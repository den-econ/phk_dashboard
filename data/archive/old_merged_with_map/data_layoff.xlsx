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n\Documents\0. Gawean\0. DEN\25. Layoff Dashboard\"/>
    </mc:Choice>
  </mc:AlternateContent>
  <xr:revisionPtr revIDLastSave="0" documentId="13_ncr:1_{D3A90A3E-016E-4B72-B186-68325B004D43}" xr6:coauthVersionLast="47" xr6:coauthVersionMax="47" xr10:uidLastSave="{00000000-0000-0000-0000-000000000000}"/>
  <bookViews>
    <workbookView xWindow="-90" yWindow="-90" windowWidth="19380" windowHeight="11460" tabRatio="845" activeTab="5" xr2:uid="{DFB0A9D2-CC32-4ACB-8E50-BD766655A077}"/>
  </bookViews>
  <sheets>
    <sheet name="Tahunan" sheetId="1" r:id="rId1"/>
    <sheet name="Bulanan" sheetId="2" r:id="rId2"/>
    <sheet name="Korelasi Bulanan" sheetId="3" r:id="rId3"/>
    <sheet name="Dampak Probabilitas Variabel" sheetId="4" r:id="rId4"/>
    <sheet name="Proyeksi Risiko Terkini" sheetId="5" r:id="rId5"/>
    <sheet name="Kondisi Variabel Terkini" sheetId="6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3" l="1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4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tc={7A67CB45-5D15-4934-BC43-9416EC654DCF}</author>
  </authors>
  <commentList>
    <comment ref="A1" authorId="0" shapeId="0" xr:uid="{7A67CB45-5D15-4934-BC43-9416EC654DCF}">
      <text>
        <t>[Threaded comment]
Your version of Excel allows you to read this threaded comment; however, any edits to it will get removed if the file is opened in a newer version of Excel. Learn more: https://go.microsoft.com/fwlink/?linkid=870924
Comment:
    Buat juga DB triwulanan dan bulanan</t>
      </text>
    </comment>
  </commentList>
</comments>
</file>

<file path=xl/sharedStrings.xml><?xml version="1.0" encoding="utf-8"?>
<sst xmlns="http://schemas.openxmlformats.org/spreadsheetml/2006/main" count="3204" uniqueCount="353">
  <si>
    <t>Provinsi</t>
  </si>
  <si>
    <t>Tahun</t>
  </si>
  <si>
    <t>PHK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</si>
  <si>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</si>
  <si>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</si>
  <si>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</si>
  <si>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</si>
  <si>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</si>
  <si>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</si>
  <si>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</si>
  <si>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</si>
  <si>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</si>
  <si>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</si>
  <si>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</si>
  <si>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</si>
  <si>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</si>
  <si>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</si>
  <si>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</si>
  <si>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</si>
  <si>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</si>
  <si>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</si>
  <si>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</si>
  <si>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</si>
  <si>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</si>
  <si>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</si>
  <si>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</si>
  <si>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</si>
  <si>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</si>
  <si>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</si>
  <si>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</si>
  <si>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</si>
  <si>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</si>
  <si>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</si>
  <si>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</si>
  <si>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</si>
  <si>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</si>
  <si>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</si>
  <si>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</si>
  <si>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</si>
  <si>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</si>
  <si>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</si>
  <si>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Jumlah Penduduk Bekerja</t>
  </si>
  <si>
    <t>Jumlah Tenaga Kerja Ind sedang</t>
  </si>
  <si>
    <t>UMP (IDR)</t>
  </si>
  <si>
    <t>Growth UMP</t>
  </si>
  <si>
    <t>Upah buruh/karyawan/pegawai (IDR)</t>
  </si>
  <si>
    <t xml:space="preserve">PDRB Riil (IDR miliar)
</t>
  </si>
  <si>
    <t>FDI</t>
  </si>
  <si>
    <t>IHP (2016=100)</t>
  </si>
  <si>
    <t>IHK (2010=100)</t>
  </si>
  <si>
    <t>Nilai Ekspor</t>
  </si>
  <si>
    <t>Nilai Impor</t>
  </si>
  <si>
    <t>NPL</t>
  </si>
  <si>
    <t>BI Rate (Average)*</t>
  </si>
  <si>
    <t>Kurs</t>
  </si>
  <si>
    <t>IKK</t>
  </si>
  <si>
    <t>Bulan</t>
  </si>
  <si>
    <t>PHK (Stock)</t>
  </si>
  <si>
    <t/>
  </si>
  <si>
    <t>PMI Manufaktur S&amp;P</t>
  </si>
  <si>
    <t>NPL (IDR miliar)</t>
  </si>
  <si>
    <t>BI Rate</t>
  </si>
  <si>
    <t>Harga Minyak Brent (USD/barrel)</t>
  </si>
  <si>
    <t>IHPB</t>
  </si>
  <si>
    <t>93,7</t>
  </si>
  <si>
    <t>Kategori</t>
  </si>
  <si>
    <t>Indikator</t>
  </si>
  <si>
    <t>Korelasi_Seketika</t>
  </si>
  <si>
    <t>Lead_1_Bulan</t>
  </si>
  <si>
    <t>Lead_3_Bulan</t>
  </si>
  <si>
    <t>Lead_6_Bulan</t>
  </si>
  <si>
    <t>1. Variabel Global</t>
  </si>
  <si>
    <t>Growth Harga Brent</t>
  </si>
  <si>
    <t>2. Variabel Nasional</t>
  </si>
  <si>
    <t>Delta BI Rate</t>
  </si>
  <si>
    <t>Growth Kurs</t>
  </si>
  <si>
    <t>3. Variabel Provinsial</t>
  </si>
  <si>
    <t>Delta PMI Manufaktur</t>
  </si>
  <si>
    <t>Growth IHK (Inflasi)</t>
  </si>
  <si>
    <t>Growth IHPB</t>
  </si>
  <si>
    <t>Growth NPL</t>
  </si>
  <si>
    <t>Growth Nilai Ekspor</t>
  </si>
  <si>
    <t>Growth Nilai Impor</t>
  </si>
  <si>
    <t>Lead 1 Bulan</t>
  </si>
  <si>
    <t>Lead 3 Bulan</t>
  </si>
  <si>
    <t>Lead 6 Bulan</t>
  </si>
  <si>
    <t>Global</t>
  </si>
  <si>
    <t>Harga Minyak Brent</t>
  </si>
  <si>
    <t>Nasional</t>
  </si>
  <si>
    <t>Kurs Rupiah</t>
  </si>
  <si>
    <t>PMI Manufaktur</t>
  </si>
  <si>
    <t>Provinsial</t>
  </si>
  <si>
    <t>IHK (Harga Konsumen)</t>
  </si>
  <si>
    <t>Ekspor</t>
  </si>
  <si>
    <t>Impor</t>
  </si>
  <si>
    <t>Efek_d_PMI</t>
  </si>
  <si>
    <t>Efek_g_IHK</t>
  </si>
  <si>
    <t>Efek_g_Ekspor</t>
  </si>
  <si>
    <t>Efek_g_Impor</t>
  </si>
  <si>
    <t>Efek_g_NPL</t>
  </si>
  <si>
    <t>Efek_g_Kurs</t>
  </si>
  <si>
    <t>Efek_g_Brent</t>
  </si>
  <si>
    <t>Efek_g_IHPB</t>
  </si>
  <si>
    <t>Efek_d_BI_Rate</t>
  </si>
  <si>
    <t>0 pp</t>
  </si>
  <si>
    <t>0.34 pp*</t>
  </si>
  <si>
    <t>0.01 pp</t>
  </si>
  <si>
    <t>0.12 pp</t>
  </si>
  <si>
    <t>-0.01 pp</t>
  </si>
  <si>
    <t>-1.02 pp*</t>
  </si>
  <si>
    <t>-0.02 pp*</t>
  </si>
  <si>
    <t>-0.14 pp</t>
  </si>
  <si>
    <t>-0.04 pp</t>
  </si>
  <si>
    <t>0.07 pp</t>
  </si>
  <si>
    <t>-0.03 pp</t>
  </si>
  <si>
    <t>0.09 pp</t>
  </si>
  <si>
    <t>1.33 pp</t>
  </si>
  <si>
    <t>-0.02 pp</t>
  </si>
  <si>
    <t>0.16 pp</t>
  </si>
  <si>
    <t>-0.22 pp</t>
  </si>
  <si>
    <t>-12.4 pp</t>
  </si>
  <si>
    <t>0.02 pp</t>
  </si>
  <si>
    <t>3.75 pp</t>
  </si>
  <si>
    <t>0.05 pp</t>
  </si>
  <si>
    <t>0.65 pp</t>
  </si>
  <si>
    <t>-0.24 pp</t>
  </si>
  <si>
    <t>-10.35 pp*</t>
  </si>
  <si>
    <t>-0.08 pp</t>
  </si>
  <si>
    <t>0.14 pp</t>
  </si>
  <si>
    <t>0.29 pp</t>
  </si>
  <si>
    <t>-0.13 pp</t>
  </si>
  <si>
    <t>-0.04 pp*</t>
  </si>
  <si>
    <t>3.89 pp*</t>
  </si>
  <si>
    <t>0.1 pp</t>
  </si>
  <si>
    <t>0.74 pp</t>
  </si>
  <si>
    <t>-4.15 pp</t>
  </si>
  <si>
    <t>-0.13 pp*</t>
  </si>
  <si>
    <t>1.62 pp</t>
  </si>
  <si>
    <t>0.04 pp</t>
  </si>
  <si>
    <t>-0.94 pp</t>
  </si>
  <si>
    <t>1.81 pp</t>
  </si>
  <si>
    <t>-0.16 pp</t>
  </si>
  <si>
    <t>-9.37 pp*</t>
  </si>
  <si>
    <t>0.89 pp*</t>
  </si>
  <si>
    <t>-1.59 pp</t>
  </si>
  <si>
    <t>0.17 pp</t>
  </si>
  <si>
    <t>-0.83 pp</t>
  </si>
  <si>
    <t>2.08 pp</t>
  </si>
  <si>
    <t>-0.2 pp</t>
  </si>
  <si>
    <t>0.2 pp</t>
  </si>
  <si>
    <t>-3.55 pp</t>
  </si>
  <si>
    <t>-0.09 pp*</t>
  </si>
  <si>
    <t>1.7 pp</t>
  </si>
  <si>
    <t>-0.07 pp</t>
  </si>
  <si>
    <t>0.11 pp</t>
  </si>
  <si>
    <t>-3.8 pp*</t>
  </si>
  <si>
    <t>-0.08 pp*</t>
  </si>
  <si>
    <t>0.51 pp</t>
  </si>
  <si>
    <t>0.13 pp</t>
  </si>
  <si>
    <t>-0.82 pp</t>
  </si>
  <si>
    <t>0.71 pp</t>
  </si>
  <si>
    <t>0.3 pp</t>
  </si>
  <si>
    <t>-0.1 pp</t>
  </si>
  <si>
    <t>2.25 pp</t>
  </si>
  <si>
    <t>-0.3 pp</t>
  </si>
  <si>
    <t>0.49 pp</t>
  </si>
  <si>
    <t>-0.06 pp</t>
  </si>
  <si>
    <t>-2.77 pp</t>
  </si>
  <si>
    <t>-0.05 pp</t>
  </si>
  <si>
    <t>0.68 pp</t>
  </si>
  <si>
    <t>-0.09 pp</t>
  </si>
  <si>
    <t>-2.12 pp</t>
  </si>
  <si>
    <t>0.03 pp</t>
  </si>
  <si>
    <t>0.63 pp</t>
  </si>
  <si>
    <t>-0.59 pp</t>
  </si>
  <si>
    <t>-0.17 pp</t>
  </si>
  <si>
    <t>7.29 pp</t>
  </si>
  <si>
    <t>0.06 pp</t>
  </si>
  <si>
    <t>-0.28 pp</t>
  </si>
  <si>
    <t>1.06 pp</t>
  </si>
  <si>
    <t>-7.11 pp</t>
  </si>
  <si>
    <t>-0.18 pp</t>
  </si>
  <si>
    <t>0.08 pp</t>
  </si>
  <si>
    <t>0.46 pp</t>
  </si>
  <si>
    <t>-0.03 pp*</t>
  </si>
  <si>
    <t>-0.01 pp*</t>
  </si>
  <si>
    <t>0.21 pp</t>
  </si>
  <si>
    <t>0.00 pp</t>
  </si>
  <si>
    <t>0.61 pp</t>
  </si>
  <si>
    <t>0.19 pp</t>
  </si>
  <si>
    <t>-0.5 pp</t>
  </si>
  <si>
    <t>-0.05 pp*</t>
  </si>
  <si>
    <t>0.94 pp</t>
  </si>
  <si>
    <t>-0.19 pp</t>
  </si>
  <si>
    <t>-0.11 pp</t>
  </si>
  <si>
    <t>-2.4 pp</t>
  </si>
  <si>
    <t>-2.84 pp</t>
  </si>
  <si>
    <t>-0.41 pp*</t>
  </si>
  <si>
    <t>0.33 pp</t>
  </si>
  <si>
    <t>-3.36 pp</t>
  </si>
  <si>
    <t>-0.65 pp</t>
  </si>
  <si>
    <t>0.23 pp</t>
  </si>
  <si>
    <t>-2.27 pp</t>
  </si>
  <si>
    <t>-0.42 pp</t>
  </si>
  <si>
    <t>0.28 pp</t>
  </si>
  <si>
    <t>0.18 pp</t>
  </si>
  <si>
    <t>-0.07 pp*</t>
  </si>
  <si>
    <t>0.22 pp</t>
  </si>
  <si>
    <t>Tahun_Data</t>
  </si>
  <si>
    <t>Bulan_Data</t>
  </si>
  <si>
    <t>Jumlah_Penduduk_Bekerja</t>
  </si>
  <si>
    <t>Probabilitas_Layoff_Aktual</t>
  </si>
  <si>
    <t>Persentase_Risiko</t>
  </si>
  <si>
    <t>Prediksi_Jumlah_PHK_Orang</t>
  </si>
  <si>
    <t>0.01%</t>
  </si>
  <si>
    <t>0.04%</t>
  </si>
  <si>
    <t>0.02%</t>
  </si>
  <si>
    <t>0%</t>
  </si>
  <si>
    <t>0.03%</t>
  </si>
  <si>
    <t>0.07%</t>
  </si>
  <si>
    <t>0.08%</t>
  </si>
  <si>
    <t>Delta_PMI</t>
  </si>
  <si>
    <t>Growth_IHK</t>
  </si>
  <si>
    <t>Growth_Ekspor</t>
  </si>
  <si>
    <t>Growth_Impor</t>
  </si>
  <si>
    <t>Growth_NPL</t>
  </si>
  <si>
    <t>Growth_Kurs</t>
  </si>
  <si>
    <t>Growth_Brent</t>
  </si>
  <si>
    <t>Growth_IHPB</t>
  </si>
  <si>
    <t>Delta_BI_Rate</t>
  </si>
  <si>
    <t>3.54%</t>
  </si>
  <si>
    <t>2.39%</t>
  </si>
  <si>
    <t>81.04%</t>
  </si>
  <si>
    <t>2.04%</t>
  </si>
  <si>
    <t>-0.02%</t>
  </si>
  <si>
    <t>-2.06%</t>
  </si>
  <si>
    <t>0.85%</t>
  </si>
  <si>
    <t>0.7%</t>
  </si>
  <si>
    <t>10.09%</t>
  </si>
  <si>
    <t>-11.09%</t>
  </si>
  <si>
    <t>-6.61%</t>
  </si>
  <si>
    <t>0.55%</t>
  </si>
  <si>
    <t>-31.02%</t>
  </si>
  <si>
    <t>56.21%</t>
  </si>
  <si>
    <t>-4.84%</t>
  </si>
  <si>
    <t>0.67%</t>
  </si>
  <si>
    <t>10.1%</t>
  </si>
  <si>
    <t>1.67%</t>
  </si>
  <si>
    <t>-5.43%</t>
  </si>
  <si>
    <t>0.43%</t>
  </si>
  <si>
    <t>84.94%</t>
  </si>
  <si>
    <t>-5.15%</t>
  </si>
  <si>
    <t>0.65%</t>
  </si>
  <si>
    <t>12.72%</t>
  </si>
  <si>
    <t>-4.41%</t>
  </si>
  <si>
    <t>0.33%</t>
  </si>
  <si>
    <t>-14.03%</t>
  </si>
  <si>
    <t>18.85%</t>
  </si>
  <si>
    <t>-4.21%</t>
  </si>
  <si>
    <t>0.87%</t>
  </si>
  <si>
    <t>0.95%</t>
  </si>
  <si>
    <t>-110.87%</t>
  </si>
  <si>
    <t>-0.23%</t>
  </si>
  <si>
    <t>0.62%</t>
  </si>
  <si>
    <t>0.8%</t>
  </si>
  <si>
    <t>-16.78%</t>
  </si>
  <si>
    <t>11.08%</t>
  </si>
  <si>
    <t>2.28%</t>
  </si>
  <si>
    <t>42.23%</t>
  </si>
  <si>
    <t>-2.03%</t>
  </si>
  <si>
    <t>0.5%</t>
  </si>
  <si>
    <t>5.97%</t>
  </si>
  <si>
    <t>7.47%</t>
  </si>
  <si>
    <t>-5.62%</t>
  </si>
  <si>
    <t>0.76%</t>
  </si>
  <si>
    <t>16.09%</t>
  </si>
  <si>
    <t>18.06%</t>
  </si>
  <si>
    <t>-3.02%</t>
  </si>
  <si>
    <t>0.28%</t>
  </si>
  <si>
    <t>1.06%</t>
  </si>
  <si>
    <t>30.33%</t>
  </si>
  <si>
    <t>-5.48%</t>
  </si>
  <si>
    <t>6.74%</t>
  </si>
  <si>
    <t>-0.59%</t>
  </si>
  <si>
    <t>-5.69%</t>
  </si>
  <si>
    <t>1.03%</t>
  </si>
  <si>
    <t>39.19%</t>
  </si>
  <si>
    <t>-0.81%</t>
  </si>
  <si>
    <t>0.89%</t>
  </si>
  <si>
    <t>30.07%</t>
  </si>
  <si>
    <t>32.2%</t>
  </si>
  <si>
    <t>-23.33%</t>
  </si>
  <si>
    <t>1.13%</t>
  </si>
  <si>
    <t>11.09%</t>
  </si>
  <si>
    <t>8.36%</t>
  </si>
  <si>
    <t>-4.57%</t>
  </si>
  <si>
    <t>0.58%</t>
  </si>
  <si>
    <t>21.74%</t>
  </si>
  <si>
    <t>11.23%</t>
  </si>
  <si>
    <t>1.09%</t>
  </si>
  <si>
    <t>0.81%</t>
  </si>
  <si>
    <t>89.37%</t>
  </si>
  <si>
    <t>52.22%</t>
  </si>
  <si>
    <t>-8.89%</t>
  </si>
  <si>
    <t>0.05%</t>
  </si>
  <si>
    <t>25.62%</t>
  </si>
  <si>
    <t>31.48%</t>
  </si>
  <si>
    <t>-1.86%</t>
  </si>
  <si>
    <t>0.72%</t>
  </si>
  <si>
    <t>65.85%</t>
  </si>
  <si>
    <t>94.85%</t>
  </si>
  <si>
    <t>-8.46%</t>
  </si>
  <si>
    <t>-1.16%</t>
  </si>
  <si>
    <t>-37.47%</t>
  </si>
  <si>
    <t>-4.99%</t>
  </si>
  <si>
    <t>1.75%</t>
  </si>
  <si>
    <t>-9.43%</t>
  </si>
  <si>
    <t>-4.76%</t>
  </si>
  <si>
    <t>1.58%</t>
  </si>
  <si>
    <t>160.14%</t>
  </si>
  <si>
    <t>-3.81%</t>
  </si>
  <si>
    <t>1.2%</t>
  </si>
  <si>
    <t>27.42%</t>
  </si>
  <si>
    <t>31.12%</t>
  </si>
  <si>
    <t>-2.44%</t>
  </si>
  <si>
    <t>19.05%</t>
  </si>
  <si>
    <t>-2.2%</t>
  </si>
  <si>
    <t>0.49%</t>
  </si>
  <si>
    <t>-8.62%</t>
  </si>
  <si>
    <t>18.7%</t>
  </si>
  <si>
    <t>-0.49%</t>
  </si>
  <si>
    <t>0.14%</t>
  </si>
  <si>
    <t>28.66%</t>
  </si>
  <si>
    <t>26.2%</t>
  </si>
  <si>
    <t>-2.35%</t>
  </si>
  <si>
    <t>0.22%</t>
  </si>
  <si>
    <t>20.19%</t>
  </si>
  <si>
    <t>62.09%</t>
  </si>
  <si>
    <t>-1.57%</t>
  </si>
  <si>
    <t>0.51%</t>
  </si>
  <si>
    <t>48.75%</t>
  </si>
  <si>
    <t>59.9%</t>
  </si>
  <si>
    <t>0.84%</t>
  </si>
  <si>
    <t>1.47%</t>
  </si>
  <si>
    <t>100.85%</t>
  </si>
  <si>
    <t>-0.99%</t>
  </si>
  <si>
    <t>4.35%</t>
  </si>
  <si>
    <t>7.97%</t>
  </si>
  <si>
    <t>-2.47%</t>
  </si>
  <si>
    <t>1.64%</t>
  </si>
  <si>
    <t>17.31%</t>
  </si>
  <si>
    <t>26.01%</t>
  </si>
  <si>
    <t>-2.48%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</si>
</sst>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"/>
    <numFmt numFmtId="166" formatCode="#,##0.0"/>
    <numFmt numFmtId="167" formatCode="yyyy\-mm"/>
    <numFmt numFmtId="168" formatCode="yyyy\-m"/>
  </numFmts>
  <fonts count="11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45B24"/>
        <bgColor rgb="FF845B24"/>
      </patternFill>
    </fill>
    <fill>
      <patternFill patternType="solid">
        <fgColor rgb="FFE5C243"/>
        <bgColor rgb="FFE5C243"/>
      </patternFill>
    </fill>
    <fill>
      <patternFill patternType="solid">
        <fgColor rgb="FF7B7224"/>
        <bgColor rgb="FF7B7224"/>
      </patternFill>
    </fill>
    <fill>
      <patternFill patternType="solid">
        <fgColor rgb="FFFAF2D8"/>
        <bgColor rgb="FFFAF2D8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3" fontId="2" fillId="3" borderId="0" xfId="0" applyNumberFormat="1" applyFont="1" applyFill="1" applyAlignment="1">
      <alignment horizontal="left" vertical="center" wrapText="1"/>
    </xf>
    <xf numFmtId="0" fontId="3" fillId="0" borderId="0" xfId="0" applyFont="1"/>
    <xf numFmtId="3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3" fontId="1" fillId="4" borderId="0" xfId="0" applyNumberFormat="1" applyFont="1" applyFill="1" applyAlignment="1">
      <alignment horizontal="left" vertical="center" wrapText="1"/>
    </xf>
    <xf numFmtId="3" fontId="0" fillId="0" borderId="0" xfId="0" applyNumberFormat="1"/>
    <xf numFmtId="0" fontId="5" fillId="5" borderId="0" xfId="0" applyFont="1" applyFill="1" applyAlignment="1">
      <alignment horizontal="left" vertical="center" wrapText="1"/>
    </xf>
    <xf numFmtId="2" fontId="1" fillId="4" borderId="0" xfId="0" applyNumberFormat="1" applyFont="1" applyFill="1" applyAlignment="1">
      <alignment horizontal="left" vertical="center" wrapText="1"/>
    </xf>
    <xf numFmtId="2" fontId="0" fillId="0" borderId="0" xfId="0" applyNumberFormat="1" applyAlignment="1">
      <alignment horizontal="right"/>
    </xf>
    <xf numFmtId="2" fontId="3" fillId="0" borderId="0" xfId="0" applyNumberFormat="1" applyFont="1" applyAlignment="1">
      <alignment horizontal="right"/>
    </xf>
    <xf numFmtId="2" fontId="0" fillId="0" borderId="0" xfId="0" applyNumberFormat="1"/>
    <xf numFmtId="164" fontId="3" fillId="0" borderId="0" xfId="0" applyNumberFormat="1" applyFont="1"/>
    <xf numFmtId="2" fontId="3" fillId="0" borderId="0" xfId="0" applyNumberFormat="1" applyFont="1"/>
    <xf numFmtId="3" fontId="1" fillId="6" borderId="0" xfId="0" applyNumberFormat="1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0" fillId="0" borderId="0" xfId="0" applyAlignment="1">
      <alignment horizontal="right"/>
    </xf>
    <xf numFmtId="165" fontId="3" fillId="0" borderId="0" xfId="0" applyNumberFormat="1" applyFont="1"/>
    <xf numFmtId="4" fontId="0" fillId="0" borderId="0" xfId="0" applyNumberFormat="1"/>
    <xf numFmtId="4" fontId="0" fillId="0" borderId="0" xfId="0" applyNumberFormat="1" applyAlignment="1">
      <alignment horizontal="right"/>
    </xf>
    <xf numFmtId="0" fontId="6" fillId="6" borderId="0" xfId="0" applyFont="1" applyFill="1" applyAlignment="1">
      <alignment horizontal="left" vertical="center" wrapText="1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4" fontId="3" fillId="0" borderId="0" xfId="0" applyNumberFormat="1" applyFont="1"/>
    <xf numFmtId="165" fontId="0" fillId="0" borderId="0" xfId="0" applyNumberFormat="1"/>
    <xf numFmtId="0" fontId="2" fillId="7" borderId="0" xfId="0" applyFont="1" applyFill="1" applyAlignment="1">
      <alignment horizontal="left" vertical="center" wrapText="1"/>
    </xf>
    <xf numFmtId="165" fontId="2" fillId="7" borderId="0" xfId="0" applyNumberFormat="1" applyFont="1" applyFill="1" applyAlignment="1">
      <alignment horizontal="left" vertical="center" wrapText="1"/>
    </xf>
    <xf numFmtId="165" fontId="0" fillId="0" borderId="0" xfId="0" applyNumberFormat="1" applyAlignment="1">
      <alignment horizontal="right"/>
    </xf>
    <xf numFmtId="165" fontId="3" fillId="8" borderId="0" xfId="0" applyNumberFormat="1" applyFont="1" applyFill="1"/>
    <xf numFmtId="165" fontId="3" fillId="9" borderId="0" xfId="0" applyNumberFormat="1" applyFont="1" applyFill="1"/>
    <xf numFmtId="165" fontId="7" fillId="9" borderId="0" xfId="0" applyNumberFormat="1" applyFont="1" applyFill="1" applyAlignment="1">
      <alignment horizontal="right"/>
    </xf>
    <xf numFmtId="165" fontId="7" fillId="0" borderId="0" xfId="0" applyNumberFormat="1" applyFont="1" applyAlignment="1">
      <alignment horizontal="right"/>
    </xf>
    <xf numFmtId="3" fontId="2" fillId="7" borderId="0" xfId="0" applyNumberFormat="1" applyFont="1" applyFill="1" applyAlignment="1">
      <alignment horizontal="left" vertical="center" wrapText="1"/>
    </xf>
    <xf numFmtId="165" fontId="3" fillId="0" borderId="0" xfId="0" applyNumberFormat="1" applyFont="1" applyAlignment="1">
      <alignment horizontal="right"/>
    </xf>
    <xf numFmtId="167" fontId="0" fillId="0" borderId="0" xfId="0" applyNumberFormat="1"/>
    <xf numFmtId="168" fontId="0" fillId="0" borderId="0" xfId="0" applyNumberFormat="1"/>
    <xf numFmtId="165" fontId="8" fillId="0" borderId="0" xfId="0" applyNumberFormat="1" applyFont="1" applyAlignment="1">
      <alignment horizontal="right"/>
    </xf>
    <xf numFmtId="166" fontId="3" fillId="0" borderId="0" xfId="0" applyNumberFormat="1" applyFont="1"/>
    <xf numFmtId="4" fontId="7" fillId="0" borderId="0" xfId="0" applyNumberFormat="1" applyFont="1"/>
    <xf numFmtId="0" fontId="7" fillId="0" borderId="0" xfId="0" applyFont="1" applyAlignment="1">
      <alignment horizontal="right"/>
    </xf>
    <xf numFmtId="166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9" fillId="0" borderId="0" xfId="1"/>
    <xf numFmtId="0" fontId="10" fillId="0" borderId="0" xfId="1" applyFont="1"/>
    <xf numFmtId="0" fontId="9" fillId="10" borderId="0" xfId="1" applyFill="1"/>
  </cellXfs>
  <cellStyles count="2">
    <cellStyle name="Normal" xfId="0" builtinId="0"/>
    <cellStyle name="Normal 2" xfId="1" xr:uid="{F4CC0203-AB2E-4469-B505-61652A4DE6AF}"/>
  </cellStyles>
  <dxfs count="3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168275</xdr:colOff>
      <xdr:row>2</xdr:row>
      <xdr:rowOff>107949</xdr:rowOff>
    </xdr:from>
    <xdr:to>
      <xdr:col>13</xdr:col>
      <xdr:colOff>228600</xdr:colOff>
      <xdr:row>6</xdr:row>
      <xdr:rowOff>155574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2D5032-B7DD-4A48-A9DD-7F8E33CA5793}"/>
            </a:ext>
          </a:extLst>
        </xdr:cNvPr>
        <xdr:cNvSpPr txBox="1"/>
      </xdr:nvSpPr>
      <xdr:spPr>
        <a:xfrm>
          <a:off x="9166225" y="482599"/>
          <a:ext cx="2346325" cy="79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- Model Fractional Logit</a:t>
          </a:r>
          <a:br>
            <a:rPr lang="en-GB" sz="1100"/>
          </a:br>
          <a:r>
            <a:rPr lang="en-GB" sz="1100"/>
            <a:t>- Level</a:t>
          </a:r>
          <a:r>
            <a:rPr lang="en-GB" sz="1100" baseline="0"/>
            <a:t> Provinsi</a:t>
          </a:r>
          <a:br>
            <a:rPr lang="en-GB" sz="1100" baseline="0"/>
          </a:br>
          <a:r>
            <a:rPr lang="en-GB" sz="1100" baseline="0"/>
            <a:t>- Data Bulanan 2022-2025</a:t>
          </a:r>
        </a:p>
        <a:p>
          <a:r>
            <a:rPr lang="en-GB" sz="1100" baseline="0"/>
            <a:t>- 9 Variabel Makro</a:t>
          </a:r>
          <a:br>
            <a:rPr lang="en-GB" sz="1100" baseline="0"/>
          </a:br>
          <a:endParaRPr lang="en-FI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lia Muthia" id="{9C64506F-86DD-4558-B64E-FB39ABF93D9D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89FC3-5EA8-46C4-84FB-9993DAEE75AD}" name="Table3" displayName="Table3" ref="A1:F10" totalsRowShown="0">
  <autoFilter ref="A1:F10" xr:uid="{00000000-0009-0000-0100-000003000000}"/>
  <tableColumns count="6">
    <tableColumn id="1" xr3:uid="{158BEB84-C51F-4F54-9089-8FC4E180CB47}" name="Kategori"/>
    <tableColumn id="2" xr3:uid="{30B2FC36-AA5B-49A5-BD26-AD8951D6D861}" name="Indikator"/>
    <tableColumn id="3" xr3:uid="{2B5095B2-EBA0-4CE3-BA76-BBCA28EB4E2E}" name="Korelasi_Seketika"/>
    <tableColumn id="4" xr3:uid="{14C145D6-E138-4A10-855A-B3F7A2246C0C}" name="Lead_1_Bulan"/>
    <tableColumn id="5" xr3:uid="{DE8F3D4C-BCA8-4255-8962-5EA0336391B9}" name="Lead_3_Bulan"/>
    <tableColumn id="6" xr3:uid="{77E429EE-DA04-4A70-A56C-2F8BB7BB7677}" name="Lead_6_Bul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D2ADB-CBB5-4CB7-9D4C-C9DFA17D8099}" name="Table33" displayName="Table33" ref="A1:J34" totalsRowShown="0" headerRowDxfId="0">
  <autoFilter ref="A1:J34" xr:uid="{00000000-0009-0000-0100-000003000000}"/>
  <tableColumns count="10">
    <tableColumn id="1" xr3:uid="{1EE1898D-6644-4907-AFFD-FEC8BD7D145C}" name="Provinsi"/>
    <tableColumn id="2" xr3:uid="{A647D045-6507-4C28-BC8D-A2D01ADF24F3}" name="Efek_d_PMI"/>
    <tableColumn id="3" xr3:uid="{30232E4A-5150-4182-A298-B6C62E993727}" name="Efek_g_IHK"/>
    <tableColumn id="4" xr3:uid="{2020A8DB-2949-4CB8-A74E-D3FD3C937FC6}" name="Efek_g_Ekspor"/>
    <tableColumn id="5" xr3:uid="{7CA4E615-127A-455C-A203-05F83E144A88}" name="Efek_g_Impor"/>
    <tableColumn id="6" xr3:uid="{066EF108-B797-444F-966B-F98B441E0E8C}" name="Efek_g_NPL"/>
    <tableColumn id="7" xr3:uid="{94822337-EBBE-4B65-A667-45D21B4D7E36}" name="Efek_g_Kurs"/>
    <tableColumn id="8" xr3:uid="{8F6E7751-CB62-452D-B3A2-BB3C721CB607}" name="Efek_g_Brent"/>
    <tableColumn id="9" xr3:uid="{28931CCC-70D1-40EC-BBDB-B11D0877F081}" name="Efek_g_IHPB"/>
    <tableColumn id="10" xr3:uid="{09ADAD9B-06DD-4A48-B5F0-D1105F84CC30}" name="Efek_d_BI_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D7A605-AEE1-440E-93E9-FE131547B1F9}" name="Table4" displayName="Table4" ref="A1:G34" totalsRowShown="0" headerRowDxfId="1">
  <autoFilter ref="A1:G34" xr:uid="{00000000-0009-0000-0100-000004000000}"/>
  <tableColumns count="7">
    <tableColumn id="1" xr3:uid="{4AC231A7-F641-4E0D-B1D8-75C72CA2C3D0}" name="Provinsi"/>
    <tableColumn id="2" xr3:uid="{10718D59-D217-4993-AFAF-A2CAA5BB130C}" name="Tahun_Data"/>
    <tableColumn id="3" xr3:uid="{4A0EFFE5-3FFB-42F2-AD56-BE973A6CF9CD}" name="Bulan_Data"/>
    <tableColumn id="4" xr3:uid="{519EE754-F051-4976-8217-636F63EF90BF}" name="Jumlah_Penduduk_Bekerja"/>
    <tableColumn id="5" xr3:uid="{F3C23D6C-D080-483B-A393-A67F7EDDA3AE}" name="Probabilitas_Layoff_Aktual"/>
    <tableColumn id="6" xr3:uid="{B6B02EE9-95BE-4239-9896-B8BA7D5A89E3}" name="Persentase_Risiko"/>
    <tableColumn id="7" xr3:uid="{9513A8C7-AC8D-4E58-B5F9-6527690B9386}" name="Prediksi_Jumlah_PHK_Ora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7BE522-2C50-46A0-A266-427484019538}" name="Table5" displayName="Table5" ref="A1:L34" totalsRowShown="0" headerRowDxfId="2">
  <autoFilter ref="A1:L34" xr:uid="{00000000-0009-0000-0100-000005000000}"/>
  <tableColumns count="12">
    <tableColumn id="1" xr3:uid="{09687040-2BEF-4395-A7FF-F36B523401B6}" name="Provinsi"/>
    <tableColumn id="2" xr3:uid="{EFF7A821-A6EE-4559-891E-9CC7B4E3CB73}" name="Tahun_Data"/>
    <tableColumn id="3" xr3:uid="{3B18BCD8-9339-43F7-883D-A57F24D55F1E}" name="Bulan_Data"/>
    <tableColumn id="4" xr3:uid="{D5519AED-2CDB-4A52-921C-81ADAE1E9F2D}" name="Delta_PMI"/>
    <tableColumn id="5" xr3:uid="{C9947DFA-3FA7-4C4F-8238-9AEBCAA59EDE}" name="Growth_IHK"/>
    <tableColumn id="6" xr3:uid="{AA898703-794F-40E1-9F85-6F0E310D8511}" name="Growth_Ekspor"/>
    <tableColumn id="7" xr3:uid="{020DECE6-9D18-4ADB-80D8-6BA8F4C07268}" name="Growth_Impor"/>
    <tableColumn id="8" xr3:uid="{B7820749-5675-4A19-9F9A-528499501306}" name="Growth_NPL"/>
    <tableColumn id="9" xr3:uid="{0132E130-CFDA-47E6-B7F3-E31584D9158C}" name="Growth_Kurs"/>
    <tableColumn id="10" xr3:uid="{B8FC0806-8CE7-48A9-902F-C90B953B6E7A}" name="Growth_Brent"/>
    <tableColumn id="11" xr3:uid="{1C43EEBA-2613-4BEC-96A0-3ECC2F804C05}" name="Growth_IHPB"/>
    <tableColumn id="12" xr3:uid="{26D88851-5CA4-4E1F-858E-75CD4060B0E2}" name="Delta_BI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04T04:46:03.00" personId="{9C64506F-86DD-4558-B64E-FB39ABF93D9D}" id="{7A67CB45-5D15-4934-BC43-9416EC654DCF}" done="1">
    <text>Buat juga DB triwulanan dan bulanan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803F-5CFA-42F7-B43A-CDF02F4272EE}">
  <dimension ref="A1:R1000"/>
  <sheetViews>
    <sheetView topLeftCell="C1" workbookViewId="0">
      <selection activeCell="J40" sqref="J40"/>
    </sheetView>
  </sheetViews>
  <sheetFormatPr defaultRowHeight="14.75" x14ac:dyDescent="0.75"/>
  <cols>
    <col min="1" max="1" width="17" customWidth="1"/>
    <col min="2" max="2" width="6.36328125" customWidth="1"/>
    <col min="3" max="7" width="12.6328125"/>
    <col min="8" max="8" width="11.76953125" customWidth="1"/>
    <col min="9" max="9" width="12.6328125"/>
  </cols>
  <sheetData>
    <row r="1" spans="1:18" ht="54" x14ac:dyDescent="0.75">
      <c r="A1" s="1" t="s">
        <v>0</v>
      </c>
      <c r="B1" s="1" t="s">
        <v>1</v>
      </c>
      <c r="C1" s="2" t="s">
        <v>2</v>
      </c>
      <c r="D1" s="7" t="s">
        <v>41</v>
      </c>
      <c r="E1" s="10" t="s">
        <v>43</v>
      </c>
      <c r="F1" s="7" t="s">
        <v>44</v>
      </c>
      <c r="G1" s="7" t="s">
        <v>45</v>
      </c>
      <c r="H1" s="9" t="s">
        <v>42</v>
      </c>
      <c r="I1" s="16" t="s">
        <v>46</v>
      </c>
      <c r="J1" s="17" t="s">
        <v>47</v>
      </c>
      <c r="K1" s="17" t="s">
        <v>48</v>
      </c>
      <c r="L1" s="17" t="s">
        <v>49</v>
      </c>
      <c r="M1" s="17" t="s">
        <v>50</v>
      </c>
      <c r="N1" s="22" t="s">
        <v>51</v>
      </c>
      <c r="O1" s="17" t="s">
        <v>52</v>
      </c>
      <c r="P1" s="17" t="s">
        <v>53</v>
      </c>
      <c r="Q1" s="17" t="s">
        <v>54</v>
      </c>
      <c r="R1" s="17" t="s">
        <v>55</v>
      </c>
    </row>
    <row r="2" spans="1:18" x14ac:dyDescent="0.75">
      <c r="A2" t="s">
        <v>3</v>
      </c>
      <c r="B2" s="3">
        <v>2022</v>
      </c>
      <c r="C2" s="4">
        <v>84</v>
      </c>
      <c r="D2" s="4">
        <v>2394994</v>
      </c>
      <c r="E2" s="11">
        <v>3166.46</v>
      </c>
      <c r="F2" s="3">
        <v>4.514963676500372E-2</v>
      </c>
      <c r="G2" s="4">
        <v>2327990</v>
      </c>
      <c r="H2" s="6">
        <v>10604</v>
      </c>
      <c r="I2" s="8">
        <v>140971.70000000001</v>
      </c>
      <c r="J2">
        <v>127.6</v>
      </c>
      <c r="K2">
        <v>130.80000000000001</v>
      </c>
      <c r="L2" s="18">
        <v>163.1</v>
      </c>
      <c r="M2" s="20">
        <v>692.5</v>
      </c>
      <c r="N2" s="23">
        <v>167.3</v>
      </c>
      <c r="O2">
        <v>605.4</v>
      </c>
      <c r="P2">
        <v>4</v>
      </c>
      <c r="Q2" s="20">
        <v>14875.93</v>
      </c>
      <c r="R2">
        <v>119.9</v>
      </c>
    </row>
    <row r="3" spans="1:18" x14ac:dyDescent="0.75">
      <c r="A3" t="s">
        <v>4</v>
      </c>
      <c r="B3" s="3">
        <v>2022</v>
      </c>
      <c r="C3" s="4">
        <v>70</v>
      </c>
      <c r="D3" s="4">
        <v>7197374</v>
      </c>
      <c r="E3" s="11">
        <v>2522.6099399999998</v>
      </c>
      <c r="F3" s="3">
        <v>0.9276917112469647</v>
      </c>
      <c r="G3" s="4">
        <v>2576442</v>
      </c>
      <c r="H3" s="6">
        <v>171145</v>
      </c>
      <c r="I3" s="8">
        <v>573528.80000000005</v>
      </c>
      <c r="J3">
        <v>1316.1</v>
      </c>
      <c r="K3">
        <v>130.80000000000001</v>
      </c>
      <c r="L3" s="18">
        <v>163.1</v>
      </c>
      <c r="M3" s="20">
        <v>12108.9</v>
      </c>
      <c r="N3" s="23">
        <v>6837.5</v>
      </c>
      <c r="O3">
        <v>5638.3</v>
      </c>
      <c r="P3">
        <v>4</v>
      </c>
      <c r="Q3" s="20">
        <v>14875.93</v>
      </c>
      <c r="R3">
        <v>119.9</v>
      </c>
    </row>
    <row r="4" spans="1:18" x14ac:dyDescent="0.75">
      <c r="A4" t="s">
        <v>5</v>
      </c>
      <c r="B4" s="3">
        <v>2022</v>
      </c>
      <c r="C4" s="4">
        <v>35</v>
      </c>
      <c r="D4" s="4">
        <v>2688164</v>
      </c>
      <c r="E4" s="11">
        <v>2512.5390000000002</v>
      </c>
      <c r="F4" s="3">
        <v>1.1472435438867592</v>
      </c>
      <c r="G4" s="4">
        <v>2655767</v>
      </c>
      <c r="H4" s="6">
        <v>16783</v>
      </c>
      <c r="I4" s="8">
        <v>182628.3</v>
      </c>
      <c r="J4">
        <v>95.6</v>
      </c>
      <c r="K4">
        <v>130.80000000000001</v>
      </c>
      <c r="L4" s="18">
        <v>163.1</v>
      </c>
      <c r="M4" s="20">
        <v>2617.8000000000002</v>
      </c>
      <c r="N4" s="23">
        <v>710.3</v>
      </c>
      <c r="O4" s="18">
        <v>1147</v>
      </c>
      <c r="P4">
        <v>4</v>
      </c>
      <c r="Q4" s="20">
        <v>14875.93</v>
      </c>
      <c r="R4">
        <v>119.9</v>
      </c>
    </row>
    <row r="5" spans="1:18" x14ac:dyDescent="0.75">
      <c r="A5" t="s">
        <v>6</v>
      </c>
      <c r="B5" s="3">
        <v>2022</v>
      </c>
      <c r="C5" s="4">
        <v>916</v>
      </c>
      <c r="D5" s="4">
        <v>3168929</v>
      </c>
      <c r="E5" s="11">
        <v>2938.5640100000001</v>
      </c>
      <c r="F5" s="3">
        <v>1.7309638916397176</v>
      </c>
      <c r="G5" s="4">
        <v>2889691</v>
      </c>
      <c r="H5" s="6">
        <v>82268</v>
      </c>
      <c r="I5" s="8">
        <v>529533</v>
      </c>
      <c r="J5">
        <v>2748.7</v>
      </c>
      <c r="K5">
        <v>130.80000000000001</v>
      </c>
      <c r="L5" s="18">
        <v>163.1</v>
      </c>
      <c r="M5" s="20">
        <v>20690.900000000001</v>
      </c>
      <c r="N5" s="23">
        <v>4899.3999999999996</v>
      </c>
      <c r="O5">
        <v>1795.1</v>
      </c>
      <c r="P5">
        <v>4</v>
      </c>
      <c r="Q5" s="20">
        <v>14875.93</v>
      </c>
      <c r="R5">
        <v>119.9</v>
      </c>
    </row>
    <row r="6" spans="1:18" x14ac:dyDescent="0.75">
      <c r="A6" t="s">
        <v>7</v>
      </c>
      <c r="B6" s="3">
        <v>2022</v>
      </c>
      <c r="C6" s="4">
        <v>92</v>
      </c>
      <c r="D6" s="4">
        <v>1797819</v>
      </c>
      <c r="E6" s="11">
        <v>2649.03424</v>
      </c>
      <c r="F6" s="3">
        <v>0.71752648951719777</v>
      </c>
      <c r="G6" s="4">
        <v>2520767</v>
      </c>
      <c r="H6" s="6">
        <v>27853</v>
      </c>
      <c r="I6" s="8">
        <v>161731.9</v>
      </c>
      <c r="J6">
        <v>39.200000000000003</v>
      </c>
      <c r="K6">
        <v>130.80000000000001</v>
      </c>
      <c r="L6" s="18">
        <v>163.1</v>
      </c>
      <c r="M6" s="20">
        <v>2719.4</v>
      </c>
      <c r="N6" s="23">
        <v>310.10000000000002</v>
      </c>
      <c r="O6">
        <v>907.1</v>
      </c>
      <c r="P6">
        <v>4</v>
      </c>
      <c r="Q6" s="20">
        <v>14875.93</v>
      </c>
      <c r="R6">
        <v>119.9</v>
      </c>
    </row>
    <row r="7" spans="1:18" x14ac:dyDescent="0.75">
      <c r="A7" t="s">
        <v>8</v>
      </c>
      <c r="B7" s="3">
        <v>2022</v>
      </c>
      <c r="C7" s="4">
        <v>160</v>
      </c>
      <c r="D7" s="4">
        <v>4289704</v>
      </c>
      <c r="E7" s="11">
        <v>3144.4459999999999</v>
      </c>
      <c r="F7" s="3">
        <v>3.3299804049211446</v>
      </c>
      <c r="G7" s="4">
        <v>2630695</v>
      </c>
      <c r="H7" s="6">
        <v>68796</v>
      </c>
      <c r="I7" s="8">
        <v>343503.6</v>
      </c>
      <c r="J7">
        <v>1226.3</v>
      </c>
      <c r="K7">
        <v>130.80000000000001</v>
      </c>
      <c r="L7" s="18">
        <v>163.1</v>
      </c>
      <c r="M7" s="20">
        <v>6789.8</v>
      </c>
      <c r="N7" s="23">
        <v>1704.8</v>
      </c>
      <c r="O7">
        <v>2902.5</v>
      </c>
      <c r="P7">
        <v>4</v>
      </c>
      <c r="Q7" s="20">
        <v>14875.93</v>
      </c>
      <c r="R7">
        <v>119.9</v>
      </c>
    </row>
    <row r="8" spans="1:18" x14ac:dyDescent="0.75">
      <c r="A8" t="s">
        <v>9</v>
      </c>
      <c r="B8" s="3">
        <v>2022</v>
      </c>
      <c r="C8" s="4">
        <v>26</v>
      </c>
      <c r="D8" s="4">
        <v>1037496</v>
      </c>
      <c r="E8" s="11">
        <v>2238.09431</v>
      </c>
      <c r="F8" s="3">
        <v>1.0426325056433399</v>
      </c>
      <c r="G8" s="4">
        <v>2737834</v>
      </c>
      <c r="H8" s="6">
        <v>6428</v>
      </c>
      <c r="I8" s="8">
        <v>49916.1</v>
      </c>
      <c r="J8">
        <v>52.2</v>
      </c>
      <c r="K8">
        <v>130.80000000000001</v>
      </c>
      <c r="L8" s="18">
        <v>163.1</v>
      </c>
      <c r="M8" s="20">
        <v>5418.9</v>
      </c>
      <c r="N8" s="23">
        <v>22.4</v>
      </c>
      <c r="O8">
        <v>391.9</v>
      </c>
      <c r="P8">
        <v>4</v>
      </c>
      <c r="Q8" s="20">
        <v>14875.93</v>
      </c>
      <c r="R8">
        <v>119.9</v>
      </c>
    </row>
    <row r="9" spans="1:18" x14ac:dyDescent="0.75">
      <c r="A9" t="s">
        <v>10</v>
      </c>
      <c r="B9" s="3">
        <v>2022</v>
      </c>
      <c r="C9" s="4">
        <v>30</v>
      </c>
      <c r="D9" s="4">
        <v>4387966</v>
      </c>
      <c r="E9" s="11">
        <v>2440.4861799999999</v>
      </c>
      <c r="F9" s="3">
        <v>0.34887354122884062</v>
      </c>
      <c r="G9" s="4">
        <v>2322728</v>
      </c>
      <c r="H9" s="6">
        <v>60465</v>
      </c>
      <c r="I9" s="8">
        <v>257534.2</v>
      </c>
      <c r="J9">
        <v>247.8</v>
      </c>
      <c r="K9">
        <v>130.80000000000001</v>
      </c>
      <c r="L9" s="18">
        <v>163.1</v>
      </c>
      <c r="M9" s="20">
        <v>288.8</v>
      </c>
      <c r="N9" s="23">
        <v>2706.4</v>
      </c>
      <c r="O9">
        <v>2968.5</v>
      </c>
      <c r="P9">
        <v>4</v>
      </c>
      <c r="Q9" s="20">
        <v>14875.93</v>
      </c>
      <c r="R9">
        <v>119.9</v>
      </c>
    </row>
    <row r="10" spans="1:18" x14ac:dyDescent="0.75">
      <c r="A10" t="s">
        <v>11</v>
      </c>
      <c r="B10" s="3">
        <v>2022</v>
      </c>
      <c r="C10" s="4">
        <v>380</v>
      </c>
      <c r="D10" s="4">
        <v>730972</v>
      </c>
      <c r="E10" s="11">
        <v>3264.884</v>
      </c>
      <c r="F10" s="3">
        <v>1.0792595866000738</v>
      </c>
      <c r="G10" s="4">
        <v>2969146</v>
      </c>
      <c r="H10" s="6">
        <v>14289</v>
      </c>
      <c r="I10" s="8">
        <v>57804.2</v>
      </c>
      <c r="J10">
        <v>129.69999999999999</v>
      </c>
      <c r="K10">
        <v>130.80000000000001</v>
      </c>
      <c r="L10" s="18">
        <v>163.1</v>
      </c>
      <c r="M10" s="20">
        <v>2510.1999999999998</v>
      </c>
      <c r="N10" s="23">
        <v>206.6</v>
      </c>
      <c r="O10">
        <v>466.1</v>
      </c>
      <c r="P10">
        <v>4</v>
      </c>
      <c r="Q10" s="20">
        <v>14875.93</v>
      </c>
      <c r="R10">
        <v>119.9</v>
      </c>
    </row>
    <row r="11" spans="1:18" x14ac:dyDescent="0.75">
      <c r="A11" t="s">
        <v>12</v>
      </c>
      <c r="B11" s="3">
        <v>2022</v>
      </c>
      <c r="C11" s="4">
        <v>863</v>
      </c>
      <c r="D11" s="4">
        <v>1155997</v>
      </c>
      <c r="E11" s="11">
        <v>3050.172</v>
      </c>
      <c r="F11" s="3">
        <v>1.4876923998323122</v>
      </c>
      <c r="G11" s="4">
        <v>4155520</v>
      </c>
      <c r="H11" s="6">
        <v>166783</v>
      </c>
      <c r="I11" s="8">
        <v>190111.1</v>
      </c>
      <c r="J11" s="18">
        <v>934</v>
      </c>
      <c r="K11">
        <v>130.80000000000001</v>
      </c>
      <c r="L11" s="18">
        <v>163.1</v>
      </c>
      <c r="M11" s="20">
        <v>18260.599999999999</v>
      </c>
      <c r="N11" s="23">
        <v>16715.5</v>
      </c>
      <c r="O11">
        <v>1234.0999999999999</v>
      </c>
      <c r="P11">
        <v>4</v>
      </c>
      <c r="Q11" s="20">
        <v>14875.93</v>
      </c>
      <c r="R11">
        <v>119.9</v>
      </c>
    </row>
    <row r="12" spans="1:18" x14ac:dyDescent="0.75">
      <c r="A12" t="s">
        <v>13</v>
      </c>
      <c r="B12" s="3">
        <v>2022</v>
      </c>
      <c r="C12" s="4">
        <v>1655</v>
      </c>
      <c r="D12" s="4">
        <v>4875102</v>
      </c>
      <c r="E12" s="11">
        <v>4641.8540000000003</v>
      </c>
      <c r="F12" s="3">
        <v>5.1100071848187554</v>
      </c>
      <c r="G12" s="4">
        <v>5255824</v>
      </c>
      <c r="H12" s="6">
        <v>250024</v>
      </c>
      <c r="I12" s="8">
        <v>1953489</v>
      </c>
      <c r="J12">
        <v>3744.1</v>
      </c>
      <c r="K12">
        <v>130.80000000000001</v>
      </c>
      <c r="L12" s="18">
        <v>163.1</v>
      </c>
      <c r="M12" s="20">
        <v>19962.900000000001</v>
      </c>
      <c r="N12" s="23">
        <v>100108.1</v>
      </c>
      <c r="O12" s="18">
        <v>77566</v>
      </c>
      <c r="P12">
        <v>4</v>
      </c>
      <c r="Q12" s="20">
        <v>14875.93</v>
      </c>
      <c r="R12">
        <v>119.9</v>
      </c>
    </row>
    <row r="13" spans="1:18" x14ac:dyDescent="0.75">
      <c r="A13" t="s">
        <v>14</v>
      </c>
      <c r="B13" s="3">
        <v>2022</v>
      </c>
      <c r="C13" s="4">
        <v>4629</v>
      </c>
      <c r="D13" s="4">
        <v>23452568</v>
      </c>
      <c r="E13" s="11">
        <v>1841.48731</v>
      </c>
      <c r="F13" s="3">
        <v>1.7198843654305733</v>
      </c>
      <c r="G13" s="4">
        <v>3533613</v>
      </c>
      <c r="H13" s="6">
        <v>1893883</v>
      </c>
      <c r="I13" s="8">
        <v>1589984.9</v>
      </c>
      <c r="J13">
        <v>6534.5</v>
      </c>
      <c r="K13">
        <v>130.80000000000001</v>
      </c>
      <c r="L13" s="18">
        <v>163.1</v>
      </c>
      <c r="M13" s="20">
        <v>35808.300000000003</v>
      </c>
      <c r="N13" s="23">
        <v>8661.1</v>
      </c>
      <c r="O13">
        <v>17681.7</v>
      </c>
      <c r="P13">
        <v>4</v>
      </c>
      <c r="Q13" s="20">
        <v>14875.93</v>
      </c>
      <c r="R13">
        <v>119.9</v>
      </c>
    </row>
    <row r="14" spans="1:18" x14ac:dyDescent="0.75">
      <c r="A14" t="s">
        <v>15</v>
      </c>
      <c r="B14" s="3">
        <v>2022</v>
      </c>
      <c r="C14" s="4">
        <v>467</v>
      </c>
      <c r="D14" s="4">
        <v>18390459</v>
      </c>
      <c r="E14" s="11">
        <v>1812.93543</v>
      </c>
      <c r="F14" s="3">
        <v>0.77579054947563009</v>
      </c>
      <c r="G14" s="4">
        <v>2200716</v>
      </c>
      <c r="H14" s="6">
        <v>1172532</v>
      </c>
      <c r="I14" s="8">
        <v>1050278.1000000001</v>
      </c>
      <c r="J14" s="18">
        <v>2362</v>
      </c>
      <c r="K14">
        <v>130.80000000000001</v>
      </c>
      <c r="L14" s="18">
        <v>163.1</v>
      </c>
      <c r="M14" s="20">
        <v>12362.9</v>
      </c>
      <c r="N14" s="23">
        <v>14428.6</v>
      </c>
      <c r="O14">
        <v>16130.5</v>
      </c>
      <c r="P14">
        <v>4</v>
      </c>
      <c r="Q14" s="20">
        <v>14875.93</v>
      </c>
      <c r="R14">
        <v>119.9</v>
      </c>
    </row>
    <row r="15" spans="1:18" x14ac:dyDescent="0.75">
      <c r="A15" t="s">
        <v>16</v>
      </c>
      <c r="B15" s="3">
        <v>2022</v>
      </c>
      <c r="C15" s="4">
        <v>113</v>
      </c>
      <c r="D15" s="4">
        <v>2241131</v>
      </c>
      <c r="E15" s="11">
        <v>1840.91553</v>
      </c>
      <c r="F15" s="3">
        <v>4.3011631728045359</v>
      </c>
      <c r="G15" s="4">
        <v>2462583</v>
      </c>
      <c r="H15" s="6">
        <v>79766</v>
      </c>
      <c r="I15" s="8">
        <v>112901.3</v>
      </c>
      <c r="J15">
        <v>113.9</v>
      </c>
      <c r="K15">
        <v>130.80000000000001</v>
      </c>
      <c r="L15" s="18">
        <v>163.1</v>
      </c>
      <c r="M15" s="21">
        <v>536</v>
      </c>
      <c r="N15" s="24">
        <v>63</v>
      </c>
      <c r="O15">
        <v>1320.4</v>
      </c>
      <c r="P15">
        <v>4</v>
      </c>
      <c r="Q15" s="20">
        <v>14875.93</v>
      </c>
      <c r="R15">
        <v>119.9</v>
      </c>
    </row>
    <row r="16" spans="1:18" x14ac:dyDescent="0.75">
      <c r="A16" t="s">
        <v>17</v>
      </c>
      <c r="B16" s="3">
        <v>2022</v>
      </c>
      <c r="C16" s="4">
        <v>3574</v>
      </c>
      <c r="D16" s="4">
        <v>21613293</v>
      </c>
      <c r="E16" s="11">
        <v>1891.5671199999999</v>
      </c>
      <c r="F16" s="3">
        <v>1.2195162410703233</v>
      </c>
      <c r="G16" s="4">
        <v>2638752</v>
      </c>
      <c r="H16" s="6">
        <v>974143</v>
      </c>
      <c r="I16" s="8">
        <v>1757874.9</v>
      </c>
      <c r="J16" s="18">
        <v>3134</v>
      </c>
      <c r="K16">
        <v>130.80000000000001</v>
      </c>
      <c r="L16" s="18">
        <v>163.1</v>
      </c>
      <c r="M16" s="20">
        <v>25898.6</v>
      </c>
      <c r="N16" s="23">
        <v>31946.5</v>
      </c>
      <c r="O16">
        <v>19233.8</v>
      </c>
      <c r="P16">
        <v>4</v>
      </c>
      <c r="Q16" s="20">
        <v>14875.93</v>
      </c>
      <c r="R16">
        <v>119.9</v>
      </c>
    </row>
    <row r="17" spans="1:18" x14ac:dyDescent="0.75">
      <c r="A17" t="s">
        <v>18</v>
      </c>
      <c r="B17" s="3">
        <v>2022</v>
      </c>
      <c r="C17" s="4">
        <v>3703</v>
      </c>
      <c r="D17" s="4">
        <v>5940618</v>
      </c>
      <c r="E17" s="11">
        <v>2501.2031099999999</v>
      </c>
      <c r="F17" s="3">
        <v>1.6337515858514564</v>
      </c>
      <c r="G17" s="4">
        <v>4370278</v>
      </c>
      <c r="H17" s="6">
        <v>816397</v>
      </c>
      <c r="I17" s="8">
        <v>484129.4</v>
      </c>
      <c r="J17">
        <v>3410.7</v>
      </c>
      <c r="K17">
        <v>130.80000000000001</v>
      </c>
      <c r="L17" s="18">
        <v>163.1</v>
      </c>
      <c r="M17" s="20">
        <v>14565.5</v>
      </c>
      <c r="N17" s="23">
        <v>17688.7</v>
      </c>
      <c r="O17">
        <v>3754.2</v>
      </c>
      <c r="P17">
        <v>4</v>
      </c>
      <c r="Q17" s="20">
        <v>14875.93</v>
      </c>
      <c r="R17">
        <v>119.9</v>
      </c>
    </row>
    <row r="18" spans="1:18" x14ac:dyDescent="0.75">
      <c r="A18" t="s">
        <v>19</v>
      </c>
      <c r="B18" s="3">
        <v>2022</v>
      </c>
      <c r="C18" s="4">
        <v>706</v>
      </c>
      <c r="D18" s="4">
        <v>2607070</v>
      </c>
      <c r="E18" s="11">
        <v>2516.971</v>
      </c>
      <c r="F18" s="3">
        <v>0.92105052125100428</v>
      </c>
      <c r="G18" s="4">
        <v>3002534</v>
      </c>
      <c r="H18" s="6">
        <v>28665</v>
      </c>
      <c r="I18" s="8">
        <v>150830.79999999999</v>
      </c>
      <c r="J18">
        <v>449.5</v>
      </c>
      <c r="K18">
        <v>130.80000000000001</v>
      </c>
      <c r="L18" s="18">
        <v>163.1</v>
      </c>
      <c r="M18" s="20">
        <v>574.70000000000005</v>
      </c>
      <c r="N18" s="23">
        <v>115.7</v>
      </c>
      <c r="O18">
        <v>2406.5</v>
      </c>
      <c r="P18">
        <v>4</v>
      </c>
      <c r="Q18" s="20">
        <v>14875.93</v>
      </c>
      <c r="R18">
        <v>119.9</v>
      </c>
    </row>
    <row r="19" spans="1:18" x14ac:dyDescent="0.75">
      <c r="A19" t="s">
        <v>20</v>
      </c>
      <c r="B19" s="3">
        <v>2022</v>
      </c>
      <c r="C19" s="4">
        <v>396</v>
      </c>
      <c r="D19" s="4">
        <v>2718345</v>
      </c>
      <c r="E19" s="11">
        <v>3016.7379999999998</v>
      </c>
      <c r="F19" s="3">
        <v>0.53099102773788331</v>
      </c>
      <c r="G19" s="4">
        <v>2218414</v>
      </c>
      <c r="H19" s="6">
        <v>9084</v>
      </c>
      <c r="I19" s="8">
        <v>102073.7</v>
      </c>
      <c r="J19">
        <v>704.6</v>
      </c>
      <c r="K19">
        <v>130.80000000000001</v>
      </c>
      <c r="L19" s="18">
        <v>163.1</v>
      </c>
      <c r="M19" s="20">
        <v>2746.9</v>
      </c>
      <c r="N19" s="23">
        <v>563.6</v>
      </c>
      <c r="O19">
        <v>973.4</v>
      </c>
      <c r="P19">
        <v>4</v>
      </c>
      <c r="Q19" s="20">
        <v>14875.93</v>
      </c>
      <c r="R19">
        <v>119.9</v>
      </c>
    </row>
    <row r="20" spans="1:18" x14ac:dyDescent="0.75">
      <c r="A20" t="s">
        <v>21</v>
      </c>
      <c r="B20" s="3">
        <v>2022</v>
      </c>
      <c r="C20" s="4">
        <v>62</v>
      </c>
      <c r="D20" s="4">
        <v>2915293</v>
      </c>
      <c r="E20" s="11">
        <v>2434.3281900000002</v>
      </c>
      <c r="F20" s="3">
        <v>1.4430786965688611</v>
      </c>
      <c r="G20" s="4">
        <v>2100927</v>
      </c>
      <c r="H20" s="6">
        <v>1466</v>
      </c>
      <c r="I20" s="8">
        <v>72711.3</v>
      </c>
      <c r="J20">
        <v>73.3</v>
      </c>
      <c r="K20">
        <v>130.80000000000001</v>
      </c>
      <c r="L20" s="18">
        <v>163.1</v>
      </c>
      <c r="M20" s="20">
        <v>61.7</v>
      </c>
      <c r="N20" s="23">
        <v>26.7</v>
      </c>
      <c r="O20" s="18">
        <v>779</v>
      </c>
      <c r="P20">
        <v>4</v>
      </c>
      <c r="Q20" s="20">
        <v>14875.93</v>
      </c>
      <c r="R20">
        <v>119.9</v>
      </c>
    </row>
    <row r="21" spans="1:18" x14ac:dyDescent="0.75">
      <c r="A21" t="s">
        <v>22</v>
      </c>
      <c r="B21" s="3">
        <v>2022</v>
      </c>
      <c r="C21" s="4">
        <v>1131</v>
      </c>
      <c r="D21" s="4">
        <v>2557523</v>
      </c>
      <c r="E21" s="11">
        <v>2922.5160000000001</v>
      </c>
      <c r="F21" s="3">
        <v>0.66725230747198339</v>
      </c>
      <c r="G21" s="4">
        <v>2645920</v>
      </c>
      <c r="H21" s="6">
        <v>42477</v>
      </c>
      <c r="I21" s="8">
        <v>148368.9</v>
      </c>
      <c r="J21">
        <v>745.5</v>
      </c>
      <c r="K21">
        <v>130.80000000000001</v>
      </c>
      <c r="L21" s="18">
        <v>163.1</v>
      </c>
      <c r="M21" s="20">
        <v>2696.4</v>
      </c>
      <c r="N21" s="24">
        <v>605</v>
      </c>
      <c r="O21">
        <v>1403.1</v>
      </c>
      <c r="P21">
        <v>4</v>
      </c>
      <c r="Q21" s="20">
        <v>14875.93</v>
      </c>
      <c r="R21">
        <v>119.9</v>
      </c>
    </row>
    <row r="22" spans="1:18" x14ac:dyDescent="0.75">
      <c r="A22" t="s">
        <v>23</v>
      </c>
      <c r="B22" s="3">
        <v>2022</v>
      </c>
      <c r="C22" s="4">
        <v>37</v>
      </c>
      <c r="D22" s="4">
        <v>1344475</v>
      </c>
      <c r="E22" s="11">
        <v>2906.4733200000001</v>
      </c>
      <c r="F22" s="3">
        <v>1.0086967357425465</v>
      </c>
      <c r="G22" s="4">
        <v>3195306</v>
      </c>
      <c r="H22" s="6">
        <v>26909</v>
      </c>
      <c r="I22" s="8">
        <v>109094.7</v>
      </c>
      <c r="J22">
        <v>548.29999999999995</v>
      </c>
      <c r="K22">
        <v>130.80000000000001</v>
      </c>
      <c r="L22" s="18">
        <v>163.1</v>
      </c>
      <c r="M22" s="20">
        <v>6151.9</v>
      </c>
      <c r="N22" s="23">
        <v>8082.4</v>
      </c>
      <c r="O22" s="18">
        <v>530</v>
      </c>
      <c r="P22">
        <v>4</v>
      </c>
      <c r="Q22" s="20">
        <v>14875.93</v>
      </c>
      <c r="R22">
        <v>119.9</v>
      </c>
    </row>
    <row r="23" spans="1:18" x14ac:dyDescent="0.75">
      <c r="A23" t="s">
        <v>24</v>
      </c>
      <c r="B23" s="3">
        <v>2022</v>
      </c>
      <c r="C23" s="4">
        <v>1199</v>
      </c>
      <c r="D23" s="4">
        <v>2092225</v>
      </c>
      <c r="E23" s="11">
        <v>3014.4972200000002</v>
      </c>
      <c r="F23" s="3">
        <v>1.1108451193345843</v>
      </c>
      <c r="G23" s="4">
        <v>2898486</v>
      </c>
      <c r="H23" s="6">
        <v>34168</v>
      </c>
      <c r="I23" s="8">
        <v>142339.20000000001</v>
      </c>
      <c r="J23">
        <v>208.1</v>
      </c>
      <c r="K23">
        <v>130.80000000000001</v>
      </c>
      <c r="L23" s="18">
        <v>163.1</v>
      </c>
      <c r="M23" s="20">
        <v>14830.4</v>
      </c>
      <c r="N23" s="24">
        <v>2929</v>
      </c>
      <c r="O23">
        <v>1498.5</v>
      </c>
      <c r="P23">
        <v>4</v>
      </c>
      <c r="Q23" s="20">
        <v>14875.93</v>
      </c>
      <c r="R23">
        <v>119.9</v>
      </c>
    </row>
    <row r="24" spans="1:18" x14ac:dyDescent="0.75">
      <c r="A24" t="s">
        <v>25</v>
      </c>
      <c r="B24" s="3">
        <v>2022</v>
      </c>
      <c r="C24" s="4">
        <v>3082</v>
      </c>
      <c r="D24" s="4">
        <v>1746920</v>
      </c>
      <c r="E24" s="11">
        <v>3310.723</v>
      </c>
      <c r="F24" s="3">
        <v>0</v>
      </c>
      <c r="G24" s="4">
        <v>3963732</v>
      </c>
      <c r="H24" s="6">
        <v>54163</v>
      </c>
      <c r="I24" s="8">
        <v>506158.9</v>
      </c>
      <c r="J24">
        <v>1266.2</v>
      </c>
      <c r="K24">
        <v>130.80000000000001</v>
      </c>
      <c r="L24" s="18">
        <v>163.1</v>
      </c>
      <c r="M24" s="20">
        <v>33601.199999999997</v>
      </c>
      <c r="N24" s="23">
        <v>8272.4</v>
      </c>
      <c r="O24">
        <v>3248.7</v>
      </c>
      <c r="P24">
        <v>4</v>
      </c>
      <c r="Q24" s="20">
        <v>14875.93</v>
      </c>
      <c r="R24">
        <v>119.9</v>
      </c>
    </row>
    <row r="25" spans="1:18" x14ac:dyDescent="0.75">
      <c r="A25" t="s">
        <v>26</v>
      </c>
      <c r="B25" s="3">
        <v>2022</v>
      </c>
      <c r="C25" s="4">
        <v>238</v>
      </c>
      <c r="D25" s="4">
        <v>353984</v>
      </c>
      <c r="E25" s="11">
        <v>2390.739</v>
      </c>
      <c r="F25" s="3">
        <v>3.7777308004346253</v>
      </c>
      <c r="G25" s="4">
        <v>3427759</v>
      </c>
      <c r="H25" s="6">
        <v>16847</v>
      </c>
      <c r="I25" s="8">
        <v>66528.399999999994</v>
      </c>
      <c r="J25">
        <v>430.5</v>
      </c>
      <c r="K25">
        <v>130.80000000000001</v>
      </c>
      <c r="L25" s="18">
        <v>163.1</v>
      </c>
      <c r="M25" s="20">
        <v>2288.6999999999998</v>
      </c>
      <c r="N25" s="23">
        <v>447.1</v>
      </c>
      <c r="P25">
        <v>4</v>
      </c>
      <c r="Q25" s="20">
        <v>14875.93</v>
      </c>
      <c r="R25">
        <v>119.9</v>
      </c>
    </row>
    <row r="26" spans="1:18" x14ac:dyDescent="0.75">
      <c r="A26" t="s">
        <v>27</v>
      </c>
      <c r="B26" s="3">
        <v>2022</v>
      </c>
      <c r="C26" s="4">
        <v>558</v>
      </c>
      <c r="D26" s="4">
        <v>1159965</v>
      </c>
      <c r="E26" s="11">
        <v>3165.8760000000002</v>
      </c>
      <c r="F26" s="3">
        <v>0</v>
      </c>
      <c r="G26" s="4">
        <v>3240217</v>
      </c>
      <c r="H26" s="6">
        <v>13183</v>
      </c>
      <c r="I26" s="8">
        <v>96768.2</v>
      </c>
      <c r="J26">
        <v>105.1</v>
      </c>
      <c r="K26">
        <v>130.80000000000001</v>
      </c>
      <c r="L26" s="18">
        <v>163.1</v>
      </c>
      <c r="M26" s="20">
        <v>1000.1</v>
      </c>
      <c r="N26" s="23">
        <v>274.3</v>
      </c>
      <c r="O26">
        <v>1399.5</v>
      </c>
      <c r="P26">
        <v>4</v>
      </c>
      <c r="Q26" s="20">
        <v>14875.93</v>
      </c>
      <c r="R26">
        <v>119.9</v>
      </c>
    </row>
    <row r="27" spans="1:18" x14ac:dyDescent="0.75">
      <c r="A27" t="s">
        <v>28</v>
      </c>
      <c r="B27" s="3">
        <v>2022</v>
      </c>
      <c r="C27" s="4">
        <v>35</v>
      </c>
      <c r="D27" s="4">
        <v>1586320</v>
      </c>
      <c r="E27" s="11">
        <v>2710.5959200000002</v>
      </c>
      <c r="F27" s="3">
        <v>6.2139693468515276</v>
      </c>
      <c r="G27" s="4">
        <v>2605724</v>
      </c>
      <c r="H27" s="6">
        <v>55185</v>
      </c>
      <c r="I27" s="8">
        <v>172624.8</v>
      </c>
      <c r="J27" s="18">
        <v>7486</v>
      </c>
      <c r="K27">
        <v>130.80000000000001</v>
      </c>
      <c r="L27" s="18">
        <v>163.1</v>
      </c>
      <c r="M27" s="20">
        <v>17471.8</v>
      </c>
      <c r="N27" s="23">
        <v>3549.4</v>
      </c>
      <c r="O27">
        <v>825.8</v>
      </c>
      <c r="P27">
        <v>4</v>
      </c>
      <c r="Q27" s="20">
        <v>14875.93</v>
      </c>
      <c r="R27">
        <v>119.9</v>
      </c>
    </row>
    <row r="28" spans="1:18" x14ac:dyDescent="0.75">
      <c r="A28" t="s">
        <v>29</v>
      </c>
      <c r="B28" s="3">
        <v>2022</v>
      </c>
      <c r="C28" s="4">
        <v>191</v>
      </c>
      <c r="D28" s="4">
        <v>4353650</v>
      </c>
      <c r="E28" s="11">
        <v>2800.58</v>
      </c>
      <c r="F28" s="3">
        <v>0.4214676713426968</v>
      </c>
      <c r="G28" s="4">
        <v>2876952</v>
      </c>
      <c r="H28" s="6">
        <v>42051</v>
      </c>
      <c r="I28" s="8">
        <v>360912.82</v>
      </c>
      <c r="J28" s="18">
        <v>469</v>
      </c>
      <c r="K28">
        <v>130.80000000000001</v>
      </c>
      <c r="L28" s="18">
        <v>163.1</v>
      </c>
      <c r="M28" s="20">
        <v>2469.9</v>
      </c>
      <c r="N28" s="23">
        <v>1243.3</v>
      </c>
      <c r="O28" s="18">
        <v>4265</v>
      </c>
      <c r="P28">
        <v>4</v>
      </c>
      <c r="Q28" s="20">
        <v>14875.93</v>
      </c>
      <c r="R28">
        <v>119.9</v>
      </c>
    </row>
    <row r="29" spans="1:18" x14ac:dyDescent="0.75">
      <c r="A29" t="s">
        <v>30</v>
      </c>
      <c r="B29" s="3">
        <v>2022</v>
      </c>
      <c r="C29" s="4">
        <v>74</v>
      </c>
      <c r="D29" s="4">
        <v>1335921</v>
      </c>
      <c r="E29" s="11">
        <v>2678.8631</v>
      </c>
      <c r="F29" s="3">
        <v>0</v>
      </c>
      <c r="G29" s="4">
        <v>2831991</v>
      </c>
      <c r="H29" s="6">
        <v>27279</v>
      </c>
      <c r="I29" s="8">
        <v>102656.4</v>
      </c>
      <c r="J29">
        <v>877.9</v>
      </c>
      <c r="K29">
        <v>130.80000000000001</v>
      </c>
      <c r="L29" s="18">
        <v>163.1</v>
      </c>
      <c r="M29" s="20">
        <v>5668.3</v>
      </c>
      <c r="N29" s="23">
        <v>2710.7</v>
      </c>
      <c r="O29" s="18">
        <v>592</v>
      </c>
      <c r="P29">
        <v>4</v>
      </c>
      <c r="Q29" s="20">
        <v>14875.93</v>
      </c>
      <c r="R29">
        <v>119.9</v>
      </c>
    </row>
    <row r="30" spans="1:18" x14ac:dyDescent="0.75">
      <c r="A30" t="s">
        <v>31</v>
      </c>
      <c r="B30" s="3">
        <v>2022</v>
      </c>
      <c r="C30" s="4">
        <v>171</v>
      </c>
      <c r="D30" s="4">
        <v>614250</v>
      </c>
      <c r="E30" s="11">
        <v>2207.212</v>
      </c>
      <c r="F30" s="3">
        <v>1.0682348825463635</v>
      </c>
      <c r="G30" s="4">
        <v>2551301</v>
      </c>
      <c r="H30" s="6">
        <v>5117</v>
      </c>
      <c r="I30" s="8">
        <v>30282.2</v>
      </c>
      <c r="J30">
        <v>102.9</v>
      </c>
      <c r="K30">
        <v>130.80000000000001</v>
      </c>
      <c r="L30" s="18">
        <v>163.1</v>
      </c>
      <c r="M30" s="21">
        <v>52</v>
      </c>
      <c r="N30" s="23">
        <v>32.6</v>
      </c>
      <c r="O30">
        <v>641.70000000000005</v>
      </c>
      <c r="P30">
        <v>4</v>
      </c>
      <c r="Q30" s="20">
        <v>14875.93</v>
      </c>
      <c r="R30">
        <v>119.9</v>
      </c>
    </row>
    <row r="31" spans="1:18" x14ac:dyDescent="0.75">
      <c r="A31" t="s">
        <v>32</v>
      </c>
      <c r="B31" s="3">
        <v>2022</v>
      </c>
      <c r="C31" s="4">
        <v>34</v>
      </c>
      <c r="D31" s="4">
        <v>731902</v>
      </c>
      <c r="E31" s="11">
        <v>1975</v>
      </c>
      <c r="F31" s="3">
        <v>1.2820512820512704</v>
      </c>
      <c r="G31" s="4">
        <v>2340502</v>
      </c>
      <c r="H31" s="6">
        <v>2736</v>
      </c>
      <c r="I31" s="8">
        <v>33643</v>
      </c>
      <c r="J31">
        <v>28.3</v>
      </c>
      <c r="K31">
        <v>130.80000000000001</v>
      </c>
      <c r="L31" s="18">
        <v>163.1</v>
      </c>
      <c r="M31" s="20">
        <v>411.2</v>
      </c>
      <c r="N31" s="23">
        <v>67.400000000000006</v>
      </c>
      <c r="O31">
        <v>191.1</v>
      </c>
      <c r="P31">
        <v>4</v>
      </c>
      <c r="Q31" s="20">
        <v>14875.93</v>
      </c>
      <c r="R31">
        <v>119.9</v>
      </c>
    </row>
    <row r="32" spans="1:18" x14ac:dyDescent="0.75">
      <c r="A32" t="s">
        <v>33</v>
      </c>
      <c r="B32" s="3">
        <v>2022</v>
      </c>
      <c r="C32" s="4">
        <v>195</v>
      </c>
      <c r="D32" s="4">
        <v>808844</v>
      </c>
      <c r="E32" s="11">
        <v>2619.3128299999998</v>
      </c>
      <c r="F32" s="3">
        <v>0.55094222139986471</v>
      </c>
      <c r="G32" s="4">
        <v>2719294</v>
      </c>
      <c r="H32" s="6">
        <v>4217</v>
      </c>
      <c r="I32" s="8">
        <v>33575.1</v>
      </c>
      <c r="J32">
        <v>73.400000000000006</v>
      </c>
      <c r="K32">
        <v>130.80000000000001</v>
      </c>
      <c r="L32" s="18">
        <v>163.1</v>
      </c>
      <c r="M32" s="20">
        <v>133.5</v>
      </c>
      <c r="N32" s="23">
        <v>185.7</v>
      </c>
      <c r="O32">
        <v>288.8</v>
      </c>
      <c r="P32">
        <v>4</v>
      </c>
      <c r="Q32" s="20">
        <v>14875.93</v>
      </c>
      <c r="R32">
        <v>119.9</v>
      </c>
    </row>
    <row r="33" spans="1:18" x14ac:dyDescent="0.75">
      <c r="A33" t="s">
        <v>34</v>
      </c>
      <c r="B33" s="3">
        <v>2022</v>
      </c>
      <c r="C33" s="4">
        <v>8</v>
      </c>
      <c r="D33" s="4">
        <v>584968</v>
      </c>
      <c r="E33" s="11">
        <v>2862.2310000000002</v>
      </c>
      <c r="F33" s="3">
        <v>5.1699228007774991</v>
      </c>
      <c r="G33" s="4">
        <v>2938081</v>
      </c>
      <c r="H33" s="6">
        <v>32639</v>
      </c>
      <c r="I33" s="8">
        <v>40248.400000000001</v>
      </c>
      <c r="J33">
        <v>4487.5</v>
      </c>
      <c r="K33">
        <v>130.80000000000001</v>
      </c>
      <c r="L33" s="18">
        <v>163.1</v>
      </c>
      <c r="M33" s="20">
        <v>7947.8</v>
      </c>
      <c r="N33" s="24">
        <v>4243</v>
      </c>
      <c r="O33">
        <v>168.8</v>
      </c>
      <c r="P33">
        <v>4</v>
      </c>
      <c r="Q33" s="20">
        <v>14875.93</v>
      </c>
      <c r="R33">
        <v>119.9</v>
      </c>
    </row>
    <row r="34" spans="1:18" x14ac:dyDescent="0.75">
      <c r="A34" s="3" t="s">
        <v>35</v>
      </c>
      <c r="B34" s="3">
        <v>2022</v>
      </c>
      <c r="C34" s="5">
        <v>124</v>
      </c>
      <c r="D34" s="4">
        <v>487705</v>
      </c>
      <c r="E34" s="12">
        <v>3200</v>
      </c>
      <c r="F34" s="3">
        <v>2.0863906080520707</v>
      </c>
      <c r="G34" s="5">
        <v>3283235</v>
      </c>
      <c r="H34" s="6">
        <v>15885</v>
      </c>
      <c r="I34" s="8">
        <v>62530.5</v>
      </c>
      <c r="J34">
        <v>71.8</v>
      </c>
      <c r="K34">
        <v>130.80000000000001</v>
      </c>
      <c r="L34" s="18">
        <v>163.1</v>
      </c>
      <c r="M34" s="21">
        <v>2463</v>
      </c>
      <c r="N34" s="23">
        <v>297.2</v>
      </c>
      <c r="O34">
        <v>585.20000000000005</v>
      </c>
      <c r="P34">
        <v>4</v>
      </c>
      <c r="Q34" s="20">
        <v>14875.93</v>
      </c>
      <c r="R34">
        <v>119.9</v>
      </c>
    </row>
    <row r="35" spans="1:18" x14ac:dyDescent="0.75">
      <c r="A35" s="3" t="s">
        <v>36</v>
      </c>
      <c r="B35" s="3">
        <v>2022</v>
      </c>
      <c r="C35" s="5"/>
      <c r="D35" s="8"/>
      <c r="E35" s="3"/>
      <c r="F35" s="3"/>
      <c r="G35" s="6"/>
      <c r="H35" s="6"/>
      <c r="I35" s="8"/>
      <c r="L35" s="18"/>
      <c r="M35" s="20"/>
      <c r="N35" s="23"/>
      <c r="Q35" s="20"/>
    </row>
    <row r="36" spans="1:18" x14ac:dyDescent="0.75">
      <c r="A36" s="3" t="s">
        <v>37</v>
      </c>
      <c r="B36" s="3">
        <v>2022</v>
      </c>
      <c r="C36" s="5">
        <v>76</v>
      </c>
      <c r="D36" s="4">
        <v>1934767</v>
      </c>
      <c r="E36" s="12">
        <v>3561.9319999999998</v>
      </c>
      <c r="F36" s="3">
        <v>1.2862058179543396</v>
      </c>
      <c r="G36" s="5">
        <v>3954382</v>
      </c>
      <c r="H36" s="6">
        <v>4596</v>
      </c>
      <c r="I36" s="8"/>
      <c r="J36">
        <v>1260.5</v>
      </c>
      <c r="K36">
        <v>130.80000000000001</v>
      </c>
      <c r="L36" s="18">
        <v>163.1</v>
      </c>
      <c r="M36" s="20">
        <v>5959.4</v>
      </c>
      <c r="N36" s="23">
        <v>843.1</v>
      </c>
      <c r="O36">
        <v>951.6</v>
      </c>
      <c r="P36">
        <v>4</v>
      </c>
      <c r="Q36" s="20">
        <v>14875.93</v>
      </c>
      <c r="R36">
        <v>119.9</v>
      </c>
    </row>
    <row r="37" spans="1:18" x14ac:dyDescent="0.75">
      <c r="A37" t="s">
        <v>38</v>
      </c>
      <c r="B37" s="3">
        <v>2022</v>
      </c>
      <c r="C37" s="4"/>
      <c r="D37" s="8"/>
      <c r="E37" s="13"/>
      <c r="F37" s="6"/>
      <c r="G37" s="8"/>
      <c r="H37" s="3"/>
      <c r="I37" s="8"/>
      <c r="L37" s="18"/>
      <c r="M37" s="20"/>
      <c r="N37" s="23"/>
      <c r="Q37" s="20"/>
    </row>
    <row r="38" spans="1:18" x14ac:dyDescent="0.75">
      <c r="A38" t="s">
        <v>39</v>
      </c>
      <c r="B38" s="3">
        <v>2022</v>
      </c>
      <c r="C38" s="4"/>
      <c r="D38" s="8"/>
      <c r="E38" s="13"/>
      <c r="F38" s="6"/>
      <c r="G38" s="8"/>
      <c r="H38" s="3"/>
      <c r="I38" s="8"/>
      <c r="L38" s="18"/>
      <c r="M38" s="20"/>
      <c r="N38" s="23"/>
      <c r="Q38" s="20"/>
    </row>
    <row r="39" spans="1:18" x14ac:dyDescent="0.75">
      <c r="A39" t="s">
        <v>40</v>
      </c>
      <c r="B39" s="3">
        <v>2022</v>
      </c>
      <c r="C39" s="4"/>
      <c r="D39" s="8"/>
      <c r="E39" s="13"/>
      <c r="F39" s="6"/>
      <c r="G39" s="8"/>
      <c r="H39" s="3"/>
      <c r="I39" s="8"/>
      <c r="L39" s="18"/>
      <c r="M39" s="20"/>
      <c r="N39" s="23"/>
      <c r="Q39" s="20"/>
    </row>
    <row r="40" spans="1:18" x14ac:dyDescent="0.75">
      <c r="A40" t="s">
        <v>3</v>
      </c>
      <c r="B40" s="3">
        <v>2023</v>
      </c>
      <c r="C40" s="4">
        <v>195</v>
      </c>
      <c r="D40" s="4">
        <v>2447345</v>
      </c>
      <c r="E40" s="11">
        <v>3413.6660000000002</v>
      </c>
      <c r="F40" s="14">
        <f t="shared" ref="F40:F72" si="0">E40/E2*100-100</f>
        <v>7.8070147735957534</v>
      </c>
      <c r="G40" s="4">
        <v>2594530</v>
      </c>
      <c r="H40" s="6">
        <v>9245</v>
      </c>
      <c r="I40" s="8">
        <v>146932.5</v>
      </c>
      <c r="J40">
        <v>248.6</v>
      </c>
      <c r="K40" s="19">
        <v>132.15</v>
      </c>
      <c r="L40" s="18">
        <v>169.1</v>
      </c>
      <c r="M40" s="20">
        <v>609.20000000000005</v>
      </c>
      <c r="N40" s="24">
        <v>148</v>
      </c>
      <c r="O40">
        <v>655.5</v>
      </c>
      <c r="P40" s="3">
        <v>5.81</v>
      </c>
      <c r="Q40" s="20">
        <v>14875.93</v>
      </c>
      <c r="R40" s="3">
        <v>124.4</v>
      </c>
    </row>
    <row r="41" spans="1:18" x14ac:dyDescent="0.75">
      <c r="A41" t="s">
        <v>4</v>
      </c>
      <c r="B41" s="3">
        <v>2023</v>
      </c>
      <c r="C41" s="4">
        <v>1247</v>
      </c>
      <c r="D41" s="4">
        <v>7549537</v>
      </c>
      <c r="E41" s="11">
        <v>2710.4939300000001</v>
      </c>
      <c r="F41" s="14">
        <f t="shared" si="0"/>
        <v>7.4480000661537105</v>
      </c>
      <c r="G41" s="4">
        <v>2610584</v>
      </c>
      <c r="H41" s="6">
        <v>224018</v>
      </c>
      <c r="I41" s="8">
        <v>602235.9</v>
      </c>
      <c r="J41">
        <v>1181.3</v>
      </c>
      <c r="K41" s="19">
        <v>132.15</v>
      </c>
      <c r="L41" s="18">
        <v>169.1</v>
      </c>
      <c r="M41" s="20">
        <v>10238.9</v>
      </c>
      <c r="N41" s="23">
        <v>5820.8</v>
      </c>
      <c r="O41">
        <v>5037.8999999999996</v>
      </c>
      <c r="P41" s="3">
        <v>5.81</v>
      </c>
      <c r="Q41" s="20">
        <v>14875.93</v>
      </c>
      <c r="R41" s="3">
        <v>124.4</v>
      </c>
    </row>
    <row r="42" spans="1:18" x14ac:dyDescent="0.75">
      <c r="A42" t="s">
        <v>5</v>
      </c>
      <c r="B42" s="3">
        <v>2023</v>
      </c>
      <c r="C42" s="4">
        <v>465</v>
      </c>
      <c r="D42" s="4">
        <v>2844925</v>
      </c>
      <c r="E42" s="11">
        <v>2742.4760000000001</v>
      </c>
      <c r="F42" s="14">
        <f t="shared" si="0"/>
        <v>9.1515793386689666</v>
      </c>
      <c r="G42" s="4">
        <v>2753517</v>
      </c>
      <c r="H42" s="6">
        <v>24588</v>
      </c>
      <c r="I42" s="8">
        <v>191069.3</v>
      </c>
      <c r="J42">
        <v>120.7</v>
      </c>
      <c r="K42" s="19">
        <v>132.15</v>
      </c>
      <c r="L42" s="18">
        <v>169.1</v>
      </c>
      <c r="M42" s="20">
        <v>2366.6999999999998</v>
      </c>
      <c r="N42" s="23">
        <v>399.6</v>
      </c>
      <c r="O42">
        <v>1257.2</v>
      </c>
      <c r="P42" s="3">
        <v>5.81</v>
      </c>
      <c r="Q42" s="25">
        <v>15254.41</v>
      </c>
      <c r="R42" s="3">
        <v>124.4</v>
      </c>
    </row>
    <row r="43" spans="1:18" x14ac:dyDescent="0.75">
      <c r="A43" t="s">
        <v>6</v>
      </c>
      <c r="B43" s="3">
        <v>2023</v>
      </c>
      <c r="C43" s="4">
        <v>4063</v>
      </c>
      <c r="D43" s="4">
        <v>3002334</v>
      </c>
      <c r="E43" s="11">
        <v>3191.6625300000001</v>
      </c>
      <c r="F43" s="14">
        <f t="shared" si="0"/>
        <v>8.6130000618907587</v>
      </c>
      <c r="G43" s="4">
        <v>3011040</v>
      </c>
      <c r="H43" s="6">
        <v>102923</v>
      </c>
      <c r="I43" s="8">
        <v>551828.5</v>
      </c>
      <c r="J43">
        <v>2042.3</v>
      </c>
      <c r="K43" s="19">
        <v>132.15</v>
      </c>
      <c r="L43" s="18">
        <v>169.1</v>
      </c>
      <c r="M43" s="20">
        <v>18956.8</v>
      </c>
      <c r="N43" s="23">
        <v>2335.9</v>
      </c>
      <c r="O43">
        <v>1987.7</v>
      </c>
      <c r="P43" s="3">
        <v>5.81</v>
      </c>
      <c r="Q43" s="25">
        <v>15254.41</v>
      </c>
      <c r="R43" s="3">
        <v>124.4</v>
      </c>
    </row>
    <row r="44" spans="1:18" x14ac:dyDescent="0.75">
      <c r="A44" t="s">
        <v>7</v>
      </c>
      <c r="B44" s="3">
        <v>2023</v>
      </c>
      <c r="C44" s="4">
        <v>331</v>
      </c>
      <c r="D44" s="4">
        <v>1802264</v>
      </c>
      <c r="E44" s="11">
        <v>2943.0330800000002</v>
      </c>
      <c r="F44" s="14">
        <f t="shared" si="0"/>
        <v>11.098340503141273</v>
      </c>
      <c r="G44" s="4">
        <v>2668478</v>
      </c>
      <c r="H44" s="6">
        <v>23486</v>
      </c>
      <c r="I44" s="8">
        <v>169259</v>
      </c>
      <c r="J44">
        <v>45.1</v>
      </c>
      <c r="K44" s="19">
        <v>132.15</v>
      </c>
      <c r="L44" s="18">
        <v>169.1</v>
      </c>
      <c r="M44" s="20">
        <v>2192.8000000000002</v>
      </c>
      <c r="N44" s="23">
        <v>78.599999999999994</v>
      </c>
      <c r="O44">
        <v>957.3</v>
      </c>
      <c r="P44" s="3">
        <v>5.81</v>
      </c>
      <c r="Q44" s="25">
        <v>15254.41</v>
      </c>
      <c r="R44" s="3">
        <v>124.4</v>
      </c>
    </row>
    <row r="45" spans="1:18" x14ac:dyDescent="0.75">
      <c r="A45" t="s">
        <v>8</v>
      </c>
      <c r="B45" s="3">
        <v>2023</v>
      </c>
      <c r="C45" s="4">
        <v>188</v>
      </c>
      <c r="D45" s="4">
        <v>4399659</v>
      </c>
      <c r="E45" s="11">
        <v>3404.17724</v>
      </c>
      <c r="F45" s="14">
        <f t="shared" si="0"/>
        <v>8.2600000127208517</v>
      </c>
      <c r="G45" s="4">
        <v>2767669</v>
      </c>
      <c r="H45" s="6">
        <v>55445</v>
      </c>
      <c r="I45" s="8">
        <v>360967.5</v>
      </c>
      <c r="J45">
        <v>1478.6</v>
      </c>
      <c r="K45" s="19">
        <v>132.15</v>
      </c>
      <c r="L45" s="18">
        <v>169.1</v>
      </c>
      <c r="M45" s="20">
        <v>6585.5</v>
      </c>
      <c r="N45" s="23">
        <v>1164.4000000000001</v>
      </c>
      <c r="O45">
        <v>3259.8</v>
      </c>
      <c r="P45" s="3">
        <v>5.81</v>
      </c>
      <c r="Q45" s="25">
        <v>15254.41</v>
      </c>
      <c r="R45" s="3">
        <v>124.4</v>
      </c>
    </row>
    <row r="46" spans="1:18" x14ac:dyDescent="0.75">
      <c r="A46" t="s">
        <v>9</v>
      </c>
      <c r="B46" s="3">
        <v>2023</v>
      </c>
      <c r="C46" s="4">
        <v>25</v>
      </c>
      <c r="D46" s="4">
        <v>1069615</v>
      </c>
      <c r="E46" s="11">
        <v>2418.2800000000002</v>
      </c>
      <c r="F46" s="14">
        <f t="shared" si="0"/>
        <v>8.0508533172581167</v>
      </c>
      <c r="G46" s="4">
        <v>2740734</v>
      </c>
      <c r="H46" s="6">
        <v>7269</v>
      </c>
      <c r="I46" s="8">
        <v>52051.6</v>
      </c>
      <c r="J46">
        <v>76.099999999999994</v>
      </c>
      <c r="K46" s="19">
        <v>132.15</v>
      </c>
      <c r="L46" s="18">
        <v>169.1</v>
      </c>
      <c r="M46" s="20">
        <v>4645.8</v>
      </c>
      <c r="N46" s="23"/>
      <c r="O46">
        <v>538.6</v>
      </c>
      <c r="P46" s="3">
        <v>5.81</v>
      </c>
      <c r="Q46" s="25">
        <v>15254.41</v>
      </c>
      <c r="R46" s="3">
        <v>124.4</v>
      </c>
    </row>
    <row r="47" spans="1:18" x14ac:dyDescent="0.75">
      <c r="A47" t="s">
        <v>10</v>
      </c>
      <c r="B47" s="3">
        <v>2023</v>
      </c>
      <c r="C47" s="4">
        <v>75</v>
      </c>
      <c r="D47" s="4">
        <v>4697658</v>
      </c>
      <c r="E47" s="11">
        <v>2633.2845900000002</v>
      </c>
      <c r="F47" s="14">
        <f t="shared" si="0"/>
        <v>7.9000000729362938</v>
      </c>
      <c r="G47" s="4">
        <v>2424538</v>
      </c>
      <c r="H47" s="6">
        <v>63854</v>
      </c>
      <c r="I47" s="8">
        <v>269240.5</v>
      </c>
      <c r="J47">
        <v>220.6</v>
      </c>
      <c r="K47" s="19">
        <v>132.15</v>
      </c>
      <c r="L47" s="18">
        <v>169.1</v>
      </c>
      <c r="M47" s="20">
        <v>246.4</v>
      </c>
      <c r="N47" s="23">
        <v>2153.9</v>
      </c>
      <c r="O47">
        <v>1935.4</v>
      </c>
      <c r="P47" s="3">
        <v>5.81</v>
      </c>
      <c r="Q47" s="25">
        <v>15254.41</v>
      </c>
      <c r="R47" s="3">
        <v>124.4</v>
      </c>
    </row>
    <row r="48" spans="1:18" x14ac:dyDescent="0.75">
      <c r="A48" t="s">
        <v>11</v>
      </c>
      <c r="B48" s="3">
        <v>2023</v>
      </c>
      <c r="C48" s="4">
        <v>207</v>
      </c>
      <c r="D48" s="4">
        <v>749815</v>
      </c>
      <c r="E48" s="11">
        <v>3498.4789999999998</v>
      </c>
      <c r="F48" s="14">
        <f t="shared" si="0"/>
        <v>7.1547718081254885</v>
      </c>
      <c r="G48" s="4">
        <v>3221747</v>
      </c>
      <c r="H48" s="6">
        <v>17963</v>
      </c>
      <c r="I48" s="8">
        <v>60336.3</v>
      </c>
      <c r="J48">
        <v>72.5</v>
      </c>
      <c r="K48" s="19">
        <v>132.15</v>
      </c>
      <c r="L48" s="18">
        <v>169.1</v>
      </c>
      <c r="M48" s="20">
        <v>2034.7</v>
      </c>
      <c r="N48" s="23">
        <v>19.5</v>
      </c>
      <c r="O48">
        <v>470.8</v>
      </c>
      <c r="P48" s="3">
        <v>5.81</v>
      </c>
      <c r="Q48" s="25">
        <v>15254.41</v>
      </c>
      <c r="R48" s="3">
        <v>124.4</v>
      </c>
    </row>
    <row r="49" spans="1:18" x14ac:dyDescent="0.75">
      <c r="A49" t="s">
        <v>12</v>
      </c>
      <c r="B49" s="3">
        <v>2023</v>
      </c>
      <c r="C49" s="4">
        <v>683</v>
      </c>
      <c r="D49" s="4">
        <v>1019356</v>
      </c>
      <c r="E49" s="11">
        <v>3279.194</v>
      </c>
      <c r="F49" s="14">
        <f t="shared" si="0"/>
        <v>7.5084946029272999</v>
      </c>
      <c r="G49" s="4">
        <v>4651057</v>
      </c>
      <c r="H49" s="6">
        <v>204464</v>
      </c>
      <c r="I49" s="8">
        <v>199912.8</v>
      </c>
      <c r="J49">
        <v>764.1</v>
      </c>
      <c r="K49" s="19">
        <v>132.15</v>
      </c>
      <c r="L49" s="18">
        <v>169.1</v>
      </c>
      <c r="M49" s="20">
        <v>17789.3</v>
      </c>
      <c r="N49" s="23">
        <v>17900.3</v>
      </c>
      <c r="O49">
        <v>1517.9</v>
      </c>
      <c r="P49" s="3">
        <v>5.81</v>
      </c>
      <c r="Q49" s="25">
        <v>15254.41</v>
      </c>
      <c r="R49" s="3">
        <v>124.4</v>
      </c>
    </row>
    <row r="50" spans="1:18" x14ac:dyDescent="0.75">
      <c r="A50" t="s">
        <v>13</v>
      </c>
      <c r="B50" s="3">
        <v>2023</v>
      </c>
      <c r="C50" s="4">
        <v>2413</v>
      </c>
      <c r="D50" s="4">
        <v>5072737</v>
      </c>
      <c r="E50" s="11">
        <v>4901.7978240000002</v>
      </c>
      <c r="F50" s="14">
        <f t="shared" si="0"/>
        <v>5.6000000000000085</v>
      </c>
      <c r="G50" s="4">
        <v>5532624</v>
      </c>
      <c r="H50" s="6">
        <v>219305</v>
      </c>
      <c r="I50" s="8">
        <v>2050474.5</v>
      </c>
      <c r="J50" s="18">
        <v>4830</v>
      </c>
      <c r="K50" s="19">
        <v>132.15</v>
      </c>
      <c r="L50" s="18">
        <v>169.1</v>
      </c>
      <c r="M50" s="20">
        <v>11076.4</v>
      </c>
      <c r="N50" s="23">
        <v>100956.2</v>
      </c>
      <c r="O50">
        <v>69457.3</v>
      </c>
      <c r="P50" s="3">
        <v>5.81</v>
      </c>
      <c r="Q50" s="25">
        <v>15254.41</v>
      </c>
      <c r="R50" s="3">
        <v>124.4</v>
      </c>
    </row>
    <row r="51" spans="1:18" x14ac:dyDescent="0.75">
      <c r="A51" t="s">
        <v>14</v>
      </c>
      <c r="B51" s="3">
        <v>2023</v>
      </c>
      <c r="C51" s="4">
        <v>19217</v>
      </c>
      <c r="D51" s="4">
        <v>23503598</v>
      </c>
      <c r="E51" s="11">
        <v>1986.6701700000001</v>
      </c>
      <c r="F51" s="14">
        <f t="shared" si="0"/>
        <v>7.8840000260441627</v>
      </c>
      <c r="G51" s="4">
        <v>3674236</v>
      </c>
      <c r="H51" s="6">
        <v>2070895</v>
      </c>
      <c r="I51" s="8">
        <v>1669406.4</v>
      </c>
      <c r="J51">
        <v>8283.7000000000007</v>
      </c>
      <c r="K51" s="19">
        <v>132.15</v>
      </c>
      <c r="L51" s="18">
        <v>169.1</v>
      </c>
      <c r="M51" s="20">
        <v>36632.400000000001</v>
      </c>
      <c r="N51" s="23">
        <v>5956.7</v>
      </c>
      <c r="O51">
        <v>18276.5</v>
      </c>
      <c r="P51" s="3">
        <v>5.81</v>
      </c>
      <c r="Q51" s="25">
        <v>15254.41</v>
      </c>
      <c r="R51" s="3">
        <v>124.4</v>
      </c>
    </row>
    <row r="52" spans="1:18" x14ac:dyDescent="0.75">
      <c r="A52" t="s">
        <v>15</v>
      </c>
      <c r="B52" s="3">
        <v>2023</v>
      </c>
      <c r="C52" s="4">
        <v>9435</v>
      </c>
      <c r="D52" s="4">
        <v>19988875</v>
      </c>
      <c r="E52" s="11">
        <v>1958.1696899999999</v>
      </c>
      <c r="F52" s="14">
        <f t="shared" si="0"/>
        <v>8.0110001490786686</v>
      </c>
      <c r="G52" s="4">
        <v>2321344</v>
      </c>
      <c r="H52" s="6">
        <v>1319315</v>
      </c>
      <c r="I52" s="8">
        <v>1102437.5</v>
      </c>
      <c r="J52">
        <v>1563.7</v>
      </c>
      <c r="K52" s="19">
        <v>132.15</v>
      </c>
      <c r="L52" s="18">
        <v>169.1</v>
      </c>
      <c r="M52" s="20">
        <v>10229.200000000001</v>
      </c>
      <c r="N52" s="23">
        <v>14497.4</v>
      </c>
      <c r="O52">
        <v>16063.7</v>
      </c>
      <c r="P52" s="3">
        <v>5.81</v>
      </c>
      <c r="Q52" s="25">
        <v>15254.41</v>
      </c>
      <c r="R52" s="3">
        <v>124.4</v>
      </c>
    </row>
    <row r="53" spans="1:18" x14ac:dyDescent="0.75">
      <c r="A53" t="s">
        <v>16</v>
      </c>
      <c r="B53" s="3">
        <v>2023</v>
      </c>
      <c r="C53" s="4">
        <v>928</v>
      </c>
      <c r="D53" s="4">
        <v>2139710</v>
      </c>
      <c r="E53" s="11">
        <v>1981.7823900000001</v>
      </c>
      <c r="F53" s="14">
        <f t="shared" si="0"/>
        <v>7.6520001979667285</v>
      </c>
      <c r="G53" s="4">
        <v>2705601</v>
      </c>
      <c r="H53" s="6">
        <v>83521</v>
      </c>
      <c r="I53" s="8">
        <v>118625.60000000001</v>
      </c>
      <c r="J53" s="18">
        <v>46</v>
      </c>
      <c r="K53" s="19">
        <v>132.15</v>
      </c>
      <c r="L53" s="18">
        <v>169.1</v>
      </c>
      <c r="M53" s="20">
        <v>472.3</v>
      </c>
      <c r="N53" s="23">
        <v>8.1</v>
      </c>
      <c r="O53">
        <v>1453.3</v>
      </c>
      <c r="P53" s="3">
        <v>5.81</v>
      </c>
      <c r="Q53" s="25">
        <v>15254.41</v>
      </c>
      <c r="R53" s="3">
        <v>124.4</v>
      </c>
    </row>
    <row r="54" spans="1:18" x14ac:dyDescent="0.75">
      <c r="A54" t="s">
        <v>17</v>
      </c>
      <c r="B54" s="3">
        <v>2023</v>
      </c>
      <c r="C54" s="4">
        <v>2498</v>
      </c>
      <c r="D54" s="4">
        <v>22703177</v>
      </c>
      <c r="E54" s="11">
        <v>2040.2443000000001</v>
      </c>
      <c r="F54" s="14">
        <f t="shared" si="0"/>
        <v>7.8600002309196384</v>
      </c>
      <c r="G54" s="4">
        <v>2654068</v>
      </c>
      <c r="H54" s="6">
        <v>1337563</v>
      </c>
      <c r="I54" s="8">
        <v>1844808.7</v>
      </c>
      <c r="J54" s="18">
        <v>4741</v>
      </c>
      <c r="K54" s="19">
        <v>132.15</v>
      </c>
      <c r="L54" s="18">
        <v>169.1</v>
      </c>
      <c r="M54" s="20">
        <v>22425.4</v>
      </c>
      <c r="N54" s="23">
        <v>28485.599999999999</v>
      </c>
      <c r="O54">
        <v>18124.3</v>
      </c>
      <c r="P54" s="3">
        <v>5.81</v>
      </c>
      <c r="Q54" s="25">
        <v>15254.41</v>
      </c>
      <c r="R54" s="3">
        <v>124.4</v>
      </c>
    </row>
    <row r="55" spans="1:18" x14ac:dyDescent="0.75">
      <c r="A55" t="s">
        <v>18</v>
      </c>
      <c r="B55" s="3">
        <v>2023</v>
      </c>
      <c r="C55" s="4">
        <v>11140</v>
      </c>
      <c r="D55" s="4">
        <v>5516656</v>
      </c>
      <c r="E55" s="11">
        <v>2661.2801100000001</v>
      </c>
      <c r="F55" s="14">
        <f t="shared" si="0"/>
        <v>6.400000038381549</v>
      </c>
      <c r="G55" s="4">
        <v>4378058</v>
      </c>
      <c r="H55" s="6">
        <v>820039</v>
      </c>
      <c r="I55" s="8">
        <v>507425.7</v>
      </c>
      <c r="J55">
        <v>4451.6000000000004</v>
      </c>
      <c r="K55" s="19">
        <v>132.15</v>
      </c>
      <c r="L55" s="18">
        <v>169.1</v>
      </c>
      <c r="M55" s="20">
        <v>12141.9</v>
      </c>
      <c r="N55" s="23">
        <v>16493.7</v>
      </c>
      <c r="O55">
        <v>3685.7</v>
      </c>
      <c r="P55" s="3">
        <v>5.81</v>
      </c>
      <c r="Q55" s="25">
        <v>15254.41</v>
      </c>
      <c r="R55" s="3">
        <v>124.4</v>
      </c>
    </row>
    <row r="56" spans="1:18" x14ac:dyDescent="0.75">
      <c r="A56" t="s">
        <v>19</v>
      </c>
      <c r="B56" s="3">
        <v>2023</v>
      </c>
      <c r="C56" s="4">
        <v>145</v>
      </c>
      <c r="D56" s="4">
        <v>2617816</v>
      </c>
      <c r="E56" s="11">
        <v>2713.6722799999998</v>
      </c>
      <c r="F56" s="14">
        <f t="shared" si="0"/>
        <v>7.8149998549844213</v>
      </c>
      <c r="G56" s="4">
        <v>3380840</v>
      </c>
      <c r="H56" s="6">
        <v>35984</v>
      </c>
      <c r="I56" s="8">
        <v>159464.29999999999</v>
      </c>
      <c r="J56">
        <v>808.5</v>
      </c>
      <c r="K56" s="19">
        <v>132.15</v>
      </c>
      <c r="L56" s="18">
        <v>169.1</v>
      </c>
      <c r="M56" s="21">
        <v>581</v>
      </c>
      <c r="N56" s="23">
        <v>113.2</v>
      </c>
      <c r="O56">
        <v>1857.6</v>
      </c>
      <c r="P56" s="3">
        <v>5.81</v>
      </c>
      <c r="Q56" s="25">
        <v>15254.41</v>
      </c>
      <c r="R56" s="3">
        <v>124.4</v>
      </c>
    </row>
    <row r="57" spans="1:18" x14ac:dyDescent="0.75">
      <c r="A57" t="s">
        <v>20</v>
      </c>
      <c r="B57" s="3">
        <v>2023</v>
      </c>
      <c r="C57" s="4">
        <v>90</v>
      </c>
      <c r="D57" s="4">
        <v>2892982</v>
      </c>
      <c r="E57" s="11">
        <v>3251.7026700000001</v>
      </c>
      <c r="F57" s="14">
        <f t="shared" si="0"/>
        <v>7.7886999136153037</v>
      </c>
      <c r="G57" s="4">
        <v>2344661</v>
      </c>
      <c r="H57" s="6">
        <v>8639</v>
      </c>
      <c r="I57" s="8">
        <v>103906.2</v>
      </c>
      <c r="J57">
        <v>468.4</v>
      </c>
      <c r="K57" s="19">
        <v>132.15</v>
      </c>
      <c r="L57" s="18">
        <v>169.1</v>
      </c>
      <c r="M57" s="20">
        <v>2050.6</v>
      </c>
      <c r="N57" s="23">
        <v>597.79999999999995</v>
      </c>
      <c r="O57">
        <v>802.5</v>
      </c>
      <c r="P57" s="3">
        <v>5.81</v>
      </c>
      <c r="Q57" s="25">
        <v>15254.41</v>
      </c>
      <c r="R57" s="3">
        <v>124.4</v>
      </c>
    </row>
    <row r="58" spans="1:18" x14ac:dyDescent="0.75">
      <c r="A58" t="s">
        <v>21</v>
      </c>
      <c r="B58" s="3">
        <v>2023</v>
      </c>
      <c r="C58" s="4">
        <v>108</v>
      </c>
      <c r="D58" s="4">
        <v>2896901</v>
      </c>
      <c r="E58" s="11">
        <v>2608.6017499999998</v>
      </c>
      <c r="F58" s="14">
        <f t="shared" si="0"/>
        <v>7.159000200379694</v>
      </c>
      <c r="G58" s="4">
        <v>2339851</v>
      </c>
      <c r="H58" s="6">
        <v>2638</v>
      </c>
      <c r="I58" s="8">
        <v>75246.7</v>
      </c>
      <c r="J58">
        <v>124.3</v>
      </c>
      <c r="K58" s="19">
        <v>132.15</v>
      </c>
      <c r="L58" s="18">
        <v>169.1</v>
      </c>
      <c r="M58" s="20">
        <v>74.099999999999994</v>
      </c>
      <c r="N58" s="23">
        <v>70.3</v>
      </c>
      <c r="O58">
        <v>805.8</v>
      </c>
      <c r="P58" s="3">
        <v>5.81</v>
      </c>
      <c r="Q58" s="25">
        <v>15254.41</v>
      </c>
      <c r="R58" s="3">
        <v>124.4</v>
      </c>
    </row>
    <row r="59" spans="1:18" x14ac:dyDescent="0.75">
      <c r="A59" t="s">
        <v>22</v>
      </c>
      <c r="B59" s="3">
        <v>2023</v>
      </c>
      <c r="C59" s="4">
        <v>459</v>
      </c>
      <c r="D59" s="4">
        <v>2775245</v>
      </c>
      <c r="E59" s="11">
        <v>3181.0129999999999</v>
      </c>
      <c r="F59" s="14">
        <f t="shared" si="0"/>
        <v>8.8450157330190819</v>
      </c>
      <c r="G59" s="4">
        <v>2796615</v>
      </c>
      <c r="H59" s="6">
        <v>40209</v>
      </c>
      <c r="I59" s="8">
        <v>154980.79999999999</v>
      </c>
      <c r="J59">
        <v>490.5</v>
      </c>
      <c r="K59" s="19">
        <v>132.15</v>
      </c>
      <c r="L59" s="18">
        <v>169.1</v>
      </c>
      <c r="M59" s="20">
        <v>2124.1999999999998</v>
      </c>
      <c r="N59" s="23">
        <v>457.2</v>
      </c>
      <c r="O59">
        <v>1300.7</v>
      </c>
      <c r="P59" s="3">
        <v>5.81</v>
      </c>
      <c r="Q59" s="25">
        <v>15254.41</v>
      </c>
      <c r="R59" s="3">
        <v>124.4</v>
      </c>
    </row>
    <row r="60" spans="1:18" x14ac:dyDescent="0.75">
      <c r="A60" t="s">
        <v>23</v>
      </c>
      <c r="B60" s="3">
        <v>2023</v>
      </c>
      <c r="C60" s="4">
        <v>405</v>
      </c>
      <c r="D60" s="4">
        <v>1349875</v>
      </c>
      <c r="E60" s="11">
        <v>3149.9776499999998</v>
      </c>
      <c r="F60" s="14">
        <f t="shared" si="0"/>
        <v>8.3779998365854453</v>
      </c>
      <c r="G60" s="4">
        <v>3323457</v>
      </c>
      <c r="H60" s="6">
        <v>20903</v>
      </c>
      <c r="I60" s="8">
        <v>113611.5</v>
      </c>
      <c r="J60">
        <v>697.6</v>
      </c>
      <c r="K60" s="19">
        <v>132.15</v>
      </c>
      <c r="L60" s="18">
        <v>169.1</v>
      </c>
      <c r="M60" s="20">
        <v>4992.1000000000004</v>
      </c>
      <c r="N60" s="23">
        <v>72.7</v>
      </c>
      <c r="O60">
        <v>605.70000000000005</v>
      </c>
      <c r="P60" s="3">
        <v>5.81</v>
      </c>
      <c r="Q60" s="25">
        <v>15254.41</v>
      </c>
      <c r="R60" s="3">
        <v>124.4</v>
      </c>
    </row>
    <row r="61" spans="1:18" x14ac:dyDescent="0.75">
      <c r="A61" t="s">
        <v>24</v>
      </c>
      <c r="B61" s="3">
        <v>2023</v>
      </c>
      <c r="C61" s="4">
        <v>2284</v>
      </c>
      <c r="D61" s="4">
        <v>2079681</v>
      </c>
      <c r="E61" s="11">
        <v>3201.3960470000002</v>
      </c>
      <c r="F61" s="14">
        <f t="shared" si="0"/>
        <v>6.1999999787692559</v>
      </c>
      <c r="G61" s="4">
        <v>3066884</v>
      </c>
      <c r="H61" s="6">
        <v>34068</v>
      </c>
      <c r="I61" s="8">
        <v>149226.1</v>
      </c>
      <c r="J61">
        <v>327.9</v>
      </c>
      <c r="K61" s="19">
        <v>132.15</v>
      </c>
      <c r="L61" s="18">
        <v>169.1</v>
      </c>
      <c r="M61" s="20">
        <v>13249.9</v>
      </c>
      <c r="N61" s="23">
        <v>1419.6</v>
      </c>
      <c r="O61">
        <v>1537.4</v>
      </c>
      <c r="P61" s="3">
        <v>5.81</v>
      </c>
      <c r="Q61" s="25">
        <v>15254.41</v>
      </c>
      <c r="R61" s="3">
        <v>124.4</v>
      </c>
    </row>
    <row r="62" spans="1:18" x14ac:dyDescent="0.75">
      <c r="A62" t="s">
        <v>25</v>
      </c>
      <c r="B62" s="3">
        <v>2023</v>
      </c>
      <c r="C62" s="4">
        <v>2010</v>
      </c>
      <c r="D62" s="4">
        <v>1847295</v>
      </c>
      <c r="E62" s="11">
        <v>3485</v>
      </c>
      <c r="F62" s="14">
        <f t="shared" si="0"/>
        <v>5.2640163492989416</v>
      </c>
      <c r="G62" s="4">
        <v>4068893</v>
      </c>
      <c r="H62" s="6">
        <v>55612</v>
      </c>
      <c r="I62" s="8">
        <v>537630</v>
      </c>
      <c r="J62">
        <v>1332.7</v>
      </c>
      <c r="K62" s="19">
        <v>132.15</v>
      </c>
      <c r="L62" s="18">
        <v>169.1</v>
      </c>
      <c r="M62" s="20">
        <v>27937.7</v>
      </c>
      <c r="N62" s="23">
        <v>5570.8</v>
      </c>
      <c r="O62">
        <v>2263.5</v>
      </c>
      <c r="P62" s="3">
        <v>5.81</v>
      </c>
      <c r="Q62" s="25">
        <v>15254.41</v>
      </c>
      <c r="R62" s="3">
        <v>124.4</v>
      </c>
    </row>
    <row r="63" spans="1:18" x14ac:dyDescent="0.75">
      <c r="A63" t="s">
        <v>26</v>
      </c>
      <c r="B63" s="3">
        <v>2023</v>
      </c>
      <c r="C63" s="4">
        <v>1937</v>
      </c>
      <c r="D63" s="4">
        <v>372270</v>
      </c>
      <c r="E63" s="11">
        <v>2599.5459999999998</v>
      </c>
      <c r="F63" s="14">
        <f t="shared" si="0"/>
        <v>8.7339939658825045</v>
      </c>
      <c r="G63" s="4">
        <v>3599653</v>
      </c>
      <c r="H63" s="6">
        <v>10786</v>
      </c>
      <c r="I63" s="8">
        <v>69831.5</v>
      </c>
      <c r="J63">
        <v>1272.0999999999999</v>
      </c>
      <c r="K63" s="19">
        <v>132.15</v>
      </c>
      <c r="L63" s="18">
        <v>169.1</v>
      </c>
      <c r="M63" s="20">
        <v>1954.5</v>
      </c>
      <c r="N63" s="23">
        <v>682.2</v>
      </c>
      <c r="P63" s="3">
        <v>5.81</v>
      </c>
      <c r="Q63" s="25">
        <v>15254.41</v>
      </c>
      <c r="R63" s="3">
        <v>124.4</v>
      </c>
    </row>
    <row r="64" spans="1:18" x14ac:dyDescent="0.75">
      <c r="A64" t="s">
        <v>27</v>
      </c>
      <c r="B64" s="3">
        <v>2023</v>
      </c>
      <c r="C64" s="4">
        <v>38</v>
      </c>
      <c r="D64" s="4">
        <v>1250948</v>
      </c>
      <c r="E64" s="11">
        <v>3385.145</v>
      </c>
      <c r="F64" s="14">
        <f t="shared" si="0"/>
        <v>6.9260135267458196</v>
      </c>
      <c r="G64" s="4">
        <v>3282230</v>
      </c>
      <c r="H64" s="6">
        <v>16146</v>
      </c>
      <c r="I64" s="8">
        <v>102070.5</v>
      </c>
      <c r="J64">
        <v>203.7</v>
      </c>
      <c r="K64" s="19">
        <v>132.15</v>
      </c>
      <c r="L64" s="18">
        <v>169.1</v>
      </c>
      <c r="M64" s="20">
        <v>888.6</v>
      </c>
      <c r="N64" s="23">
        <v>194.4</v>
      </c>
      <c r="O64">
        <v>1239.7</v>
      </c>
      <c r="P64" s="3">
        <v>5.81</v>
      </c>
      <c r="Q64" s="25">
        <v>15254.41</v>
      </c>
      <c r="R64" s="3">
        <v>124.4</v>
      </c>
    </row>
    <row r="65" spans="1:18" x14ac:dyDescent="0.75">
      <c r="A65" t="s">
        <v>28</v>
      </c>
      <c r="B65" s="3">
        <v>2023</v>
      </c>
      <c r="C65" s="4">
        <v>2610</v>
      </c>
      <c r="D65" s="4">
        <v>1547169</v>
      </c>
      <c r="E65" s="11">
        <v>2758.9845399999999</v>
      </c>
      <c r="F65" s="14">
        <f t="shared" si="0"/>
        <v>1.785165381640482</v>
      </c>
      <c r="G65" s="4">
        <v>2648195</v>
      </c>
      <c r="H65" s="6">
        <v>91267</v>
      </c>
      <c r="I65" s="8">
        <v>193181.4</v>
      </c>
      <c r="J65">
        <v>7244.1</v>
      </c>
      <c r="K65" s="19">
        <v>132.15</v>
      </c>
      <c r="L65" s="18">
        <v>169.1</v>
      </c>
      <c r="M65" s="20">
        <v>19385.900000000001</v>
      </c>
      <c r="N65" s="23">
        <v>9163.7000000000007</v>
      </c>
      <c r="O65">
        <v>833.4</v>
      </c>
      <c r="P65" s="3">
        <v>5.81</v>
      </c>
      <c r="Q65" s="25">
        <v>15254.41</v>
      </c>
      <c r="R65" s="3">
        <v>124.4</v>
      </c>
    </row>
    <row r="66" spans="1:18" x14ac:dyDescent="0.75">
      <c r="A66" t="s">
        <v>29</v>
      </c>
      <c r="B66" s="3">
        <v>2023</v>
      </c>
      <c r="C66" s="4">
        <v>766</v>
      </c>
      <c r="D66" s="4">
        <v>4490983</v>
      </c>
      <c r="E66" s="11">
        <v>2989.35</v>
      </c>
      <c r="F66" s="14">
        <f t="shared" si="0"/>
        <v>6.7403894907483561</v>
      </c>
      <c r="G66" s="4">
        <v>2969920</v>
      </c>
      <c r="H66" s="6">
        <v>34113</v>
      </c>
      <c r="I66" s="8">
        <v>377207.79</v>
      </c>
      <c r="J66">
        <v>336.7</v>
      </c>
      <c r="K66" s="19">
        <v>132.15</v>
      </c>
      <c r="L66" s="18">
        <v>169.1</v>
      </c>
      <c r="M66" s="20">
        <v>2341.5</v>
      </c>
      <c r="N66" s="23">
        <v>1085.2</v>
      </c>
      <c r="O66">
        <v>4066.3</v>
      </c>
      <c r="P66" s="3">
        <v>5.81</v>
      </c>
      <c r="Q66" s="25">
        <v>15254.41</v>
      </c>
      <c r="R66" s="3">
        <v>124.4</v>
      </c>
    </row>
    <row r="67" spans="1:18" x14ac:dyDescent="0.75">
      <c r="A67" t="s">
        <v>30</v>
      </c>
      <c r="B67" s="3">
        <v>2023</v>
      </c>
      <c r="C67" s="4">
        <v>146</v>
      </c>
      <c r="D67" s="4">
        <v>1351640</v>
      </c>
      <c r="E67" s="11">
        <v>2871.7948200000001</v>
      </c>
      <c r="F67" s="14">
        <f t="shared" si="0"/>
        <v>7.2019999827538754</v>
      </c>
      <c r="G67" s="4">
        <v>2876321</v>
      </c>
      <c r="H67" s="6">
        <v>36240</v>
      </c>
      <c r="I67" s="8">
        <v>108153</v>
      </c>
      <c r="J67">
        <v>448.3</v>
      </c>
      <c r="K67" s="19">
        <v>132.15</v>
      </c>
      <c r="L67" s="18">
        <v>169.1</v>
      </c>
      <c r="M67" s="20">
        <v>4299.6000000000004</v>
      </c>
      <c r="N67" s="23">
        <v>1847.7</v>
      </c>
      <c r="O67">
        <v>637.5</v>
      </c>
      <c r="P67" s="3">
        <v>5.81</v>
      </c>
      <c r="Q67" s="25">
        <v>15254.41</v>
      </c>
      <c r="R67" s="3">
        <v>124.4</v>
      </c>
    </row>
    <row r="68" spans="1:18" x14ac:dyDescent="0.75">
      <c r="A68" t="s">
        <v>31</v>
      </c>
      <c r="B68" s="3">
        <v>2023</v>
      </c>
      <c r="C68" s="4">
        <v>483</v>
      </c>
      <c r="D68" s="4">
        <v>631521</v>
      </c>
      <c r="E68" s="11">
        <v>2371.4070000000002</v>
      </c>
      <c r="F68" s="14">
        <f t="shared" si="0"/>
        <v>7.4390226222039502</v>
      </c>
      <c r="G68" s="4">
        <v>2570181</v>
      </c>
      <c r="H68" s="6">
        <v>5773</v>
      </c>
      <c r="I68" s="8">
        <v>31643.8</v>
      </c>
      <c r="J68">
        <v>33.799999999999997</v>
      </c>
      <c r="K68" s="19">
        <v>132.15</v>
      </c>
      <c r="L68" s="18">
        <v>169.1</v>
      </c>
      <c r="M68" s="20">
        <v>55.2</v>
      </c>
      <c r="N68" s="24">
        <v>36</v>
      </c>
      <c r="O68">
        <v>783.9</v>
      </c>
      <c r="P68" s="3">
        <v>5.81</v>
      </c>
      <c r="Q68" s="25">
        <v>15254.41</v>
      </c>
      <c r="R68" s="3">
        <v>124.4</v>
      </c>
    </row>
    <row r="69" spans="1:18" x14ac:dyDescent="0.75">
      <c r="A69" t="s">
        <v>32</v>
      </c>
      <c r="B69" s="3">
        <v>2023</v>
      </c>
      <c r="C69" s="4">
        <v>9</v>
      </c>
      <c r="D69" s="4">
        <v>743007</v>
      </c>
      <c r="E69" s="11">
        <v>2123.9940000000001</v>
      </c>
      <c r="F69" s="14">
        <f t="shared" si="0"/>
        <v>7.5440000000000111</v>
      </c>
      <c r="G69" s="4">
        <v>2367534</v>
      </c>
      <c r="H69" s="6">
        <v>2585</v>
      </c>
      <c r="I69" s="8">
        <v>35402.5</v>
      </c>
      <c r="J69">
        <v>24.3</v>
      </c>
      <c r="K69" s="19">
        <v>132.15</v>
      </c>
      <c r="L69" s="18">
        <v>169.1</v>
      </c>
      <c r="M69" s="20">
        <v>472.7</v>
      </c>
      <c r="N69" s="23">
        <v>13.1</v>
      </c>
      <c r="O69">
        <v>263.2</v>
      </c>
      <c r="P69" s="3">
        <v>5.81</v>
      </c>
      <c r="Q69" s="25">
        <v>15254.41</v>
      </c>
      <c r="R69" s="3">
        <v>124.4</v>
      </c>
    </row>
    <row r="70" spans="1:18" x14ac:dyDescent="0.75">
      <c r="A70" t="s">
        <v>33</v>
      </c>
      <c r="B70" s="3">
        <v>2023</v>
      </c>
      <c r="C70" s="4">
        <v>73</v>
      </c>
      <c r="D70" s="4">
        <v>853254</v>
      </c>
      <c r="E70" s="11">
        <v>2812.8270000000002</v>
      </c>
      <c r="F70" s="14">
        <f t="shared" si="0"/>
        <v>7.3879747307617407</v>
      </c>
      <c r="G70" s="4">
        <v>2865989</v>
      </c>
      <c r="H70" s="6">
        <v>3784</v>
      </c>
      <c r="I70" s="8">
        <v>35322.9</v>
      </c>
      <c r="J70">
        <v>106.3</v>
      </c>
      <c r="K70" s="19">
        <v>132.15</v>
      </c>
      <c r="L70" s="18">
        <v>169.1</v>
      </c>
      <c r="M70" s="20">
        <v>121.7</v>
      </c>
      <c r="N70" s="23">
        <v>303.3</v>
      </c>
      <c r="O70">
        <v>336.2</v>
      </c>
      <c r="P70" s="3">
        <v>5.81</v>
      </c>
      <c r="Q70" s="25">
        <v>15254.41</v>
      </c>
      <c r="R70" s="3">
        <v>124.4</v>
      </c>
    </row>
    <row r="71" spans="1:18" x14ac:dyDescent="0.75">
      <c r="A71" t="s">
        <v>34</v>
      </c>
      <c r="B71" s="3">
        <v>2023</v>
      </c>
      <c r="C71" s="4">
        <v>160</v>
      </c>
      <c r="D71" s="4">
        <v>634699</v>
      </c>
      <c r="E71" s="11">
        <v>2976.72</v>
      </c>
      <c r="F71" s="14">
        <f t="shared" si="0"/>
        <v>3.9999916149325401</v>
      </c>
      <c r="G71" s="4">
        <v>3267084</v>
      </c>
      <c r="H71" s="6">
        <v>27027</v>
      </c>
      <c r="I71" s="8">
        <v>48929.4</v>
      </c>
      <c r="J71">
        <v>4998.2</v>
      </c>
      <c r="K71" s="19">
        <v>132.15</v>
      </c>
      <c r="L71" s="18">
        <v>169.1</v>
      </c>
      <c r="M71" s="20">
        <v>10200.1</v>
      </c>
      <c r="N71" s="23">
        <v>3158.8</v>
      </c>
      <c r="O71">
        <v>220.5</v>
      </c>
      <c r="P71" s="3">
        <v>5.81</v>
      </c>
      <c r="Q71" s="25">
        <v>15254.41</v>
      </c>
      <c r="R71" s="3">
        <v>124.4</v>
      </c>
    </row>
    <row r="72" spans="1:18" x14ac:dyDescent="0.75">
      <c r="A72" s="3" t="s">
        <v>35</v>
      </c>
      <c r="B72" s="3">
        <v>2023</v>
      </c>
      <c r="C72" s="5">
        <v>15</v>
      </c>
      <c r="D72" s="4">
        <v>560883</v>
      </c>
      <c r="E72" s="12">
        <v>3282</v>
      </c>
      <c r="F72" s="14">
        <f t="shared" si="0"/>
        <v>2.5625</v>
      </c>
      <c r="G72" s="5">
        <v>3540427</v>
      </c>
      <c r="H72" s="6">
        <v>5136</v>
      </c>
      <c r="I72" s="8">
        <v>40965.9</v>
      </c>
      <c r="J72">
        <v>28.8</v>
      </c>
      <c r="K72" s="19">
        <v>132.15</v>
      </c>
      <c r="L72" s="18">
        <v>169.1</v>
      </c>
      <c r="M72" s="20">
        <v>3078.7</v>
      </c>
      <c r="N72" s="23">
        <v>21.8</v>
      </c>
      <c r="O72">
        <v>529.1</v>
      </c>
      <c r="P72" s="3">
        <v>5.81</v>
      </c>
      <c r="Q72" s="25">
        <v>15254.41</v>
      </c>
      <c r="R72" s="3">
        <v>124.4</v>
      </c>
    </row>
    <row r="73" spans="1:18" x14ac:dyDescent="0.75">
      <c r="A73" t="s">
        <v>36</v>
      </c>
      <c r="B73" s="3">
        <v>2023</v>
      </c>
      <c r="C73" s="4"/>
      <c r="D73" s="8"/>
      <c r="E73" s="11">
        <v>3864.6959999999999</v>
      </c>
      <c r="F73" s="14"/>
      <c r="G73" s="4">
        <v>3650773</v>
      </c>
      <c r="H73" s="6"/>
      <c r="I73" s="8">
        <v>24009.1</v>
      </c>
      <c r="J73" s="18">
        <v>93</v>
      </c>
      <c r="K73" s="19">
        <v>132.15</v>
      </c>
      <c r="L73" s="18">
        <v>169.1</v>
      </c>
      <c r="M73" s="20"/>
      <c r="N73" s="23"/>
      <c r="P73" s="3">
        <v>5.81</v>
      </c>
      <c r="Q73" s="25">
        <v>15254.41</v>
      </c>
      <c r="R73" s="3">
        <v>124.4</v>
      </c>
    </row>
    <row r="74" spans="1:18" x14ac:dyDescent="0.75">
      <c r="A74" s="3" t="s">
        <v>37</v>
      </c>
      <c r="B74" s="3">
        <v>2023</v>
      </c>
      <c r="C74" s="5">
        <v>7</v>
      </c>
      <c r="D74" s="4">
        <v>2448947</v>
      </c>
      <c r="E74" s="12">
        <v>3864.6959999999999</v>
      </c>
      <c r="F74" s="14">
        <f>E74/E36*100-100</f>
        <v>8.499993823576645</v>
      </c>
      <c r="G74" s="5">
        <v>4012358</v>
      </c>
      <c r="H74" s="6">
        <v>41369</v>
      </c>
      <c r="I74" s="8">
        <v>49549.8</v>
      </c>
      <c r="J74">
        <v>8.3000000000000007</v>
      </c>
      <c r="K74" s="19">
        <v>132.15</v>
      </c>
      <c r="L74" s="18">
        <v>169.1</v>
      </c>
      <c r="M74" s="20">
        <v>6405.7</v>
      </c>
      <c r="N74" s="24">
        <v>660</v>
      </c>
      <c r="O74">
        <v>987.7</v>
      </c>
      <c r="P74" s="3">
        <v>5.81</v>
      </c>
      <c r="Q74" s="25">
        <v>15254.41</v>
      </c>
      <c r="R74" s="3">
        <v>124.4</v>
      </c>
    </row>
    <row r="75" spans="1:18" x14ac:dyDescent="0.75">
      <c r="A75" t="s">
        <v>38</v>
      </c>
      <c r="B75" s="3">
        <v>2023</v>
      </c>
      <c r="C75" s="4"/>
      <c r="D75" s="8"/>
      <c r="E75" s="11">
        <v>3864.6959999999999</v>
      </c>
      <c r="F75" s="14"/>
      <c r="G75" s="4">
        <v>3416347</v>
      </c>
      <c r="H75" s="3"/>
      <c r="I75" s="8">
        <v>18137.8</v>
      </c>
      <c r="J75">
        <v>86.3</v>
      </c>
      <c r="K75" s="19">
        <v>132.15</v>
      </c>
      <c r="L75" s="18">
        <v>169.099999999999</v>
      </c>
      <c r="M75" s="20"/>
      <c r="N75" s="23"/>
      <c r="P75" s="3">
        <v>5.81</v>
      </c>
      <c r="Q75" s="25">
        <v>15254.41</v>
      </c>
      <c r="R75" s="3">
        <v>124.4</v>
      </c>
    </row>
    <row r="76" spans="1:18" x14ac:dyDescent="0.75">
      <c r="A76" t="s">
        <v>39</v>
      </c>
      <c r="B76" s="3">
        <v>2023</v>
      </c>
      <c r="C76" s="4"/>
      <c r="D76" s="8"/>
      <c r="E76" s="11">
        <v>3864.6959999999999</v>
      </c>
      <c r="F76" s="14"/>
      <c r="G76" s="4">
        <v>5742393</v>
      </c>
      <c r="H76" s="3"/>
      <c r="I76" s="8">
        <v>101066.1</v>
      </c>
      <c r="J76" s="18">
        <v>968</v>
      </c>
      <c r="K76" s="19">
        <v>132.15</v>
      </c>
      <c r="L76" s="18">
        <v>169.099999999999</v>
      </c>
      <c r="M76" s="20"/>
      <c r="N76" s="23"/>
      <c r="P76" s="3">
        <v>5.81</v>
      </c>
      <c r="Q76" s="25">
        <v>15254.41</v>
      </c>
      <c r="R76" s="3">
        <v>124.4</v>
      </c>
    </row>
    <row r="77" spans="1:18" x14ac:dyDescent="0.75">
      <c r="A77" t="s">
        <v>40</v>
      </c>
      <c r="B77" s="3">
        <v>2023</v>
      </c>
      <c r="C77" s="4"/>
      <c r="D77" s="8"/>
      <c r="E77" s="11">
        <v>3282</v>
      </c>
      <c r="F77" s="14"/>
      <c r="G77" s="4">
        <v>4723867</v>
      </c>
      <c r="H77" s="3"/>
      <c r="I77" s="8">
        <v>13172.5</v>
      </c>
      <c r="J77" s="18">
        <v>0</v>
      </c>
      <c r="K77" s="19">
        <v>132.15</v>
      </c>
      <c r="L77" s="18">
        <v>169.099999999999</v>
      </c>
      <c r="M77" s="20"/>
      <c r="N77" s="23"/>
      <c r="P77" s="3">
        <v>5.81</v>
      </c>
      <c r="Q77" s="25">
        <v>15254.41</v>
      </c>
      <c r="R77" s="3">
        <v>124.4</v>
      </c>
    </row>
    <row r="78" spans="1:18" x14ac:dyDescent="0.75">
      <c r="A78" t="s">
        <v>3</v>
      </c>
      <c r="B78" s="3">
        <v>2024</v>
      </c>
      <c r="C78" s="4">
        <v>486</v>
      </c>
      <c r="D78" s="4">
        <v>2508354</v>
      </c>
      <c r="E78" s="11">
        <v>3460.672</v>
      </c>
      <c r="F78" s="14">
        <f t="shared" ref="F78:F153" si="1">E78/E40*100-100</f>
        <v>1.3769947030553027</v>
      </c>
      <c r="G78" s="4">
        <v>2624922</v>
      </c>
      <c r="H78" s="3"/>
      <c r="I78" s="8">
        <v>153780.5</v>
      </c>
      <c r="J78" s="3"/>
      <c r="K78" s="19">
        <v>132.18</v>
      </c>
      <c r="L78" s="18">
        <v>172.7</v>
      </c>
      <c r="M78" s="20">
        <v>692.3</v>
      </c>
      <c r="N78" s="23">
        <v>469.8</v>
      </c>
      <c r="O78">
        <v>693.8</v>
      </c>
      <c r="P78" s="3">
        <v>6.1</v>
      </c>
      <c r="Q78" s="20">
        <v>15849.92</v>
      </c>
      <c r="R78" s="3">
        <v>124.5</v>
      </c>
    </row>
    <row r="79" spans="1:18" x14ac:dyDescent="0.75">
      <c r="A79" t="s">
        <v>4</v>
      </c>
      <c r="B79" s="3">
        <v>2024</v>
      </c>
      <c r="C79" s="4">
        <v>761</v>
      </c>
      <c r="D79" s="4">
        <v>7723364</v>
      </c>
      <c r="E79" s="11">
        <v>2809.915</v>
      </c>
      <c r="F79" s="14">
        <f t="shared" si="1"/>
        <v>3.6680056317263166</v>
      </c>
      <c r="G79" s="4">
        <v>2760361</v>
      </c>
      <c r="H79" s="3"/>
      <c r="I79" s="8">
        <v>632534.69999999995</v>
      </c>
      <c r="J79" s="3"/>
      <c r="K79" s="19">
        <v>132.18</v>
      </c>
      <c r="L79" s="18">
        <v>172.7</v>
      </c>
      <c r="M79" s="20">
        <v>10660.6</v>
      </c>
      <c r="N79" s="23">
        <v>5795.2</v>
      </c>
      <c r="O79">
        <v>5138.6000000000004</v>
      </c>
      <c r="P79" s="3">
        <v>6.1</v>
      </c>
      <c r="Q79" s="20">
        <v>15849.92</v>
      </c>
      <c r="R79" s="3">
        <v>124.5</v>
      </c>
    </row>
    <row r="80" spans="1:18" x14ac:dyDescent="0.75">
      <c r="A80" t="s">
        <v>5</v>
      </c>
      <c r="B80" s="3">
        <v>2024</v>
      </c>
      <c r="C80" s="4">
        <v>671</v>
      </c>
      <c r="D80" s="4">
        <v>2924753</v>
      </c>
      <c r="E80" s="11">
        <v>2811.4989999999998</v>
      </c>
      <c r="F80" s="14">
        <f t="shared" si="1"/>
        <v>2.5168132738444911</v>
      </c>
      <c r="G80" s="4">
        <v>2772393</v>
      </c>
      <c r="H80" s="3"/>
      <c r="I80" s="8">
        <v>199420</v>
      </c>
      <c r="J80" s="3"/>
      <c r="K80" s="19">
        <v>132.18</v>
      </c>
      <c r="L80" s="18">
        <v>172.7</v>
      </c>
      <c r="M80" s="20">
        <v>2177.6</v>
      </c>
      <c r="N80" s="23">
        <v>475.6</v>
      </c>
      <c r="O80">
        <v>1518.2</v>
      </c>
      <c r="P80" s="3">
        <v>6.1</v>
      </c>
      <c r="Q80" s="20">
        <v>15849.92</v>
      </c>
      <c r="R80" s="3">
        <v>124.5</v>
      </c>
    </row>
    <row r="81" spans="1:18" x14ac:dyDescent="0.75">
      <c r="A81" t="s">
        <v>6</v>
      </c>
      <c r="B81" s="3">
        <v>2024</v>
      </c>
      <c r="C81" s="4">
        <v>1153</v>
      </c>
      <c r="D81" s="4">
        <v>3159367</v>
      </c>
      <c r="E81" s="11">
        <v>3294.625</v>
      </c>
      <c r="F81" s="14">
        <f t="shared" si="1"/>
        <v>3.2259823534664349</v>
      </c>
      <c r="G81" s="4">
        <v>3139242</v>
      </c>
      <c r="H81" s="3"/>
      <c r="I81" s="8">
        <v>571233.6</v>
      </c>
      <c r="J81" s="3"/>
      <c r="K81" s="19">
        <v>132.18</v>
      </c>
      <c r="L81" s="18">
        <v>172.7</v>
      </c>
      <c r="M81" s="21">
        <v>18181</v>
      </c>
      <c r="N81" s="24">
        <v>1959</v>
      </c>
      <c r="O81">
        <v>2297.9</v>
      </c>
      <c r="P81" s="3">
        <v>6.1</v>
      </c>
      <c r="Q81" s="20">
        <v>15849.92</v>
      </c>
      <c r="R81" s="3">
        <v>124.5</v>
      </c>
    </row>
    <row r="82" spans="1:18" x14ac:dyDescent="0.75">
      <c r="A82" t="s">
        <v>7</v>
      </c>
      <c r="B82" s="3">
        <v>2024</v>
      </c>
      <c r="C82" s="4">
        <v>323</v>
      </c>
      <c r="D82" s="4">
        <v>1833267</v>
      </c>
      <c r="E82" s="11">
        <v>3037.1210000000001</v>
      </c>
      <c r="F82" s="14">
        <f t="shared" si="1"/>
        <v>3.1969712008809665</v>
      </c>
      <c r="G82" s="4">
        <v>2831081</v>
      </c>
      <c r="H82" s="3"/>
      <c r="I82" s="8">
        <v>176868.4</v>
      </c>
      <c r="J82" s="3"/>
      <c r="K82" s="19">
        <v>132.18</v>
      </c>
      <c r="L82" s="18">
        <v>172.7</v>
      </c>
      <c r="M82" s="20">
        <v>2340.6999999999998</v>
      </c>
      <c r="N82" s="23">
        <v>51.4</v>
      </c>
      <c r="O82">
        <v>1001.3</v>
      </c>
      <c r="P82" s="3">
        <v>6.1</v>
      </c>
      <c r="Q82" s="20">
        <v>15849.92</v>
      </c>
      <c r="R82" s="3">
        <v>124.5</v>
      </c>
    </row>
    <row r="83" spans="1:18" x14ac:dyDescent="0.75">
      <c r="A83" t="s">
        <v>8</v>
      </c>
      <c r="B83" s="3">
        <v>2024</v>
      </c>
      <c r="C83" s="4">
        <v>715</v>
      </c>
      <c r="D83" s="4">
        <v>4480100</v>
      </c>
      <c r="E83" s="11">
        <v>3456.8739999999998</v>
      </c>
      <c r="F83" s="14">
        <f t="shared" si="1"/>
        <v>1.5480028296059061</v>
      </c>
      <c r="G83" s="4">
        <v>2886117</v>
      </c>
      <c r="H83" s="3"/>
      <c r="I83" s="8">
        <v>379119.6</v>
      </c>
      <c r="J83" s="3"/>
      <c r="K83" s="19">
        <v>132.18</v>
      </c>
      <c r="L83" s="18">
        <v>172.7</v>
      </c>
      <c r="M83" s="21">
        <v>6723</v>
      </c>
      <c r="N83" s="23">
        <v>2097.1999999999998</v>
      </c>
      <c r="O83" s="18">
        <v>3026</v>
      </c>
      <c r="P83" s="3">
        <v>6.1</v>
      </c>
      <c r="Q83" s="20">
        <v>15849.92</v>
      </c>
      <c r="R83" s="3">
        <v>124.5</v>
      </c>
    </row>
    <row r="84" spans="1:18" x14ac:dyDescent="0.75">
      <c r="A84" t="s">
        <v>9</v>
      </c>
      <c r="B84" s="3">
        <v>2024</v>
      </c>
      <c r="C84" s="4">
        <v>109</v>
      </c>
      <c r="D84" s="4">
        <v>1101234</v>
      </c>
      <c r="E84" s="11">
        <v>2507.0790000000002</v>
      </c>
      <c r="F84" s="14">
        <f t="shared" si="1"/>
        <v>3.6719900094281996</v>
      </c>
      <c r="G84" s="4">
        <v>2839093</v>
      </c>
      <c r="H84" s="3"/>
      <c r="I84" s="8">
        <v>54454.7</v>
      </c>
      <c r="J84" s="3"/>
      <c r="K84" s="19">
        <v>132.18</v>
      </c>
      <c r="L84" s="18">
        <v>172.7</v>
      </c>
      <c r="M84" s="20">
        <v>5588.3</v>
      </c>
      <c r="N84" s="23">
        <v>2.1</v>
      </c>
      <c r="O84" s="18">
        <v>528</v>
      </c>
      <c r="P84" s="3">
        <v>6.1</v>
      </c>
      <c r="Q84" s="20">
        <v>15849.92</v>
      </c>
      <c r="R84" s="3">
        <v>124.5</v>
      </c>
    </row>
    <row r="85" spans="1:18" x14ac:dyDescent="0.75">
      <c r="A85" t="s">
        <v>10</v>
      </c>
      <c r="B85" s="3">
        <v>2024</v>
      </c>
      <c r="C85" s="4">
        <v>143</v>
      </c>
      <c r="D85" s="4">
        <v>4787589</v>
      </c>
      <c r="E85" s="11">
        <v>2726.1039999999998</v>
      </c>
      <c r="F85" s="14">
        <f t="shared" si="1"/>
        <v>3.524852966993592</v>
      </c>
      <c r="G85" s="4">
        <v>2517788</v>
      </c>
      <c r="H85" s="3"/>
      <c r="I85" s="8">
        <v>281557.2</v>
      </c>
      <c r="J85" s="3"/>
      <c r="K85" s="19">
        <v>132.18</v>
      </c>
      <c r="L85" s="18">
        <v>172.7</v>
      </c>
      <c r="M85" s="20">
        <v>194.4</v>
      </c>
      <c r="N85" s="24">
        <v>2104</v>
      </c>
      <c r="O85">
        <v>1691.3</v>
      </c>
      <c r="P85" s="3">
        <v>6.1</v>
      </c>
      <c r="Q85" s="20">
        <v>15849.92</v>
      </c>
      <c r="R85" s="3">
        <v>124.5</v>
      </c>
    </row>
    <row r="86" spans="1:18" x14ac:dyDescent="0.75">
      <c r="A86" t="s">
        <v>11</v>
      </c>
      <c r="B86" s="3">
        <v>2024</v>
      </c>
      <c r="C86" s="4">
        <v>1908</v>
      </c>
      <c r="D86" s="4">
        <v>766084</v>
      </c>
      <c r="E86" s="11">
        <v>3640</v>
      </c>
      <c r="F86" s="14">
        <f t="shared" si="1"/>
        <v>4.0452150777523741</v>
      </c>
      <c r="G86" s="4">
        <v>3264692</v>
      </c>
      <c r="H86" s="3"/>
      <c r="I86" s="8">
        <v>60801.9</v>
      </c>
      <c r="J86" s="3"/>
      <c r="K86" s="19">
        <v>132.18</v>
      </c>
      <c r="L86" s="18">
        <v>172.7</v>
      </c>
      <c r="M86" s="20">
        <v>1701.2</v>
      </c>
      <c r="N86" s="23">
        <v>12.9</v>
      </c>
      <c r="O86">
        <v>300.89999999999998</v>
      </c>
      <c r="P86" s="3">
        <v>6.1</v>
      </c>
      <c r="Q86" s="20">
        <v>15849.92</v>
      </c>
      <c r="R86" s="3">
        <v>124.5</v>
      </c>
    </row>
    <row r="87" spans="1:18" x14ac:dyDescent="0.75">
      <c r="A87" t="s">
        <v>12</v>
      </c>
      <c r="B87" s="3">
        <v>2024</v>
      </c>
      <c r="C87" s="4">
        <v>654</v>
      </c>
      <c r="D87" s="4">
        <v>1049087</v>
      </c>
      <c r="E87" s="11">
        <v>3402.4920000000002</v>
      </c>
      <c r="F87" s="14">
        <f t="shared" si="1"/>
        <v>3.7600093193632489</v>
      </c>
      <c r="G87" s="4">
        <v>4911036</v>
      </c>
      <c r="H87" s="3"/>
      <c r="I87" s="8">
        <v>209939.1</v>
      </c>
      <c r="J87" s="3"/>
      <c r="K87" s="19">
        <v>132.18</v>
      </c>
      <c r="L87" s="18">
        <v>172.7</v>
      </c>
      <c r="M87" s="20">
        <v>19004.400000000001</v>
      </c>
      <c r="N87" s="23">
        <v>17342.099999999999</v>
      </c>
      <c r="O87">
        <v>1978.4</v>
      </c>
      <c r="P87" s="3">
        <v>6.1</v>
      </c>
      <c r="Q87" s="20">
        <v>15849.92</v>
      </c>
      <c r="R87" s="3">
        <v>124.5</v>
      </c>
    </row>
    <row r="88" spans="1:18" x14ac:dyDescent="0.75">
      <c r="A88" t="s">
        <v>13</v>
      </c>
      <c r="B88" s="3">
        <v>2024</v>
      </c>
      <c r="C88" s="4">
        <v>17085</v>
      </c>
      <c r="D88" s="4">
        <v>5107775</v>
      </c>
      <c r="E88" s="11">
        <v>5067.3810000000003</v>
      </c>
      <c r="F88" s="14">
        <f t="shared" si="1"/>
        <v>3.3780090886098577</v>
      </c>
      <c r="G88" s="4">
        <v>5806940</v>
      </c>
      <c r="H88" s="3"/>
      <c r="I88" s="8">
        <v>2151198.7999999998</v>
      </c>
      <c r="J88" s="3"/>
      <c r="K88" s="19">
        <v>132.18</v>
      </c>
      <c r="L88" s="18">
        <v>172.7</v>
      </c>
      <c r="M88" s="20">
        <v>13769.6</v>
      </c>
      <c r="N88" s="23">
        <v>109998.8</v>
      </c>
      <c r="O88" s="18">
        <v>69824</v>
      </c>
      <c r="P88" s="3">
        <v>6.1</v>
      </c>
      <c r="Q88" s="20">
        <v>15849.92</v>
      </c>
      <c r="R88" s="3">
        <v>124.5</v>
      </c>
    </row>
    <row r="89" spans="1:18" x14ac:dyDescent="0.75">
      <c r="A89" t="s">
        <v>14</v>
      </c>
      <c r="B89" s="3">
        <v>2024</v>
      </c>
      <c r="C89" s="4">
        <v>10661</v>
      </c>
      <c r="D89" s="4">
        <v>24417110</v>
      </c>
      <c r="E89" s="11">
        <v>2057.4949999999999</v>
      </c>
      <c r="F89" s="14">
        <f t="shared" si="1"/>
        <v>3.5650019348707502</v>
      </c>
      <c r="G89" s="4">
        <v>3774498</v>
      </c>
      <c r="H89" s="3"/>
      <c r="I89" s="8">
        <v>1752124.2</v>
      </c>
      <c r="J89" s="3"/>
      <c r="K89" s="19">
        <v>132.18</v>
      </c>
      <c r="L89" s="18">
        <v>172.7</v>
      </c>
      <c r="M89" s="20">
        <v>37884.800000000003</v>
      </c>
      <c r="N89" s="23">
        <v>5236.8999999999996</v>
      </c>
      <c r="O89">
        <v>18330.099999999999</v>
      </c>
      <c r="P89" s="3">
        <v>6.1</v>
      </c>
      <c r="Q89" s="20">
        <v>15849.92</v>
      </c>
      <c r="R89" s="3">
        <v>124.5</v>
      </c>
    </row>
    <row r="90" spans="1:18" x14ac:dyDescent="0.75">
      <c r="A90" t="s">
        <v>15</v>
      </c>
      <c r="B90" s="3">
        <v>2024</v>
      </c>
      <c r="C90" s="4">
        <v>13130</v>
      </c>
      <c r="D90" s="4">
        <v>20861393</v>
      </c>
      <c r="E90" s="11">
        <v>2036.9469999999999</v>
      </c>
      <c r="F90" s="14">
        <f t="shared" si="1"/>
        <v>4.0230073216994668</v>
      </c>
      <c r="G90" s="4">
        <v>2405447</v>
      </c>
      <c r="H90" s="3"/>
      <c r="I90" s="8">
        <v>1156998.8999999999</v>
      </c>
      <c r="J90" s="3"/>
      <c r="K90" s="19">
        <v>132.18</v>
      </c>
      <c r="L90" s="18">
        <v>172.7</v>
      </c>
      <c r="M90" s="20">
        <v>11365.2</v>
      </c>
      <c r="N90" s="23">
        <v>15208.1</v>
      </c>
      <c r="O90" s="18">
        <v>17552</v>
      </c>
      <c r="P90" s="3">
        <v>6.1</v>
      </c>
      <c r="Q90" s="20">
        <v>15849.92</v>
      </c>
      <c r="R90" s="3">
        <v>124.5</v>
      </c>
    </row>
    <row r="91" spans="1:18" x14ac:dyDescent="0.75">
      <c r="A91" t="s">
        <v>16</v>
      </c>
      <c r="B91" s="3">
        <v>2024</v>
      </c>
      <c r="C91" s="4">
        <v>2699</v>
      </c>
      <c r="D91" s="4">
        <v>2182769</v>
      </c>
      <c r="E91" s="11">
        <v>2125.8980000000001</v>
      </c>
      <c r="F91" s="14">
        <f t="shared" si="1"/>
        <v>7.2720199113284139</v>
      </c>
      <c r="G91" s="4">
        <v>2829890</v>
      </c>
      <c r="H91" s="3"/>
      <c r="I91" s="8">
        <v>124590.39999999999</v>
      </c>
      <c r="J91" s="3"/>
      <c r="K91" s="19">
        <v>132.18</v>
      </c>
      <c r="L91" s="18">
        <v>172.7</v>
      </c>
      <c r="M91" s="20">
        <v>546.9</v>
      </c>
      <c r="N91" s="23">
        <v>23.9</v>
      </c>
      <c r="O91">
        <v>1635.8</v>
      </c>
      <c r="P91" s="3">
        <v>6.1</v>
      </c>
      <c r="Q91" s="20">
        <v>15849.92</v>
      </c>
      <c r="R91" s="3">
        <v>124.5</v>
      </c>
    </row>
    <row r="92" spans="1:18" x14ac:dyDescent="0.75">
      <c r="A92" t="s">
        <v>17</v>
      </c>
      <c r="B92" s="3">
        <v>2024</v>
      </c>
      <c r="C92" s="4">
        <v>5327</v>
      </c>
      <c r="D92" s="4">
        <v>23361110</v>
      </c>
      <c r="E92" s="11">
        <v>2165.2442999999998</v>
      </c>
      <c r="F92" s="14">
        <f t="shared" si="1"/>
        <v>6.1267172759654045</v>
      </c>
      <c r="G92" s="4">
        <v>2713383</v>
      </c>
      <c r="H92" s="3"/>
      <c r="I92" s="8">
        <v>1935810.2</v>
      </c>
      <c r="J92" s="3"/>
      <c r="K92" s="19">
        <v>132.18</v>
      </c>
      <c r="L92" s="18">
        <v>172.7</v>
      </c>
      <c r="M92" s="21">
        <v>25719</v>
      </c>
      <c r="N92" s="23">
        <v>30426.799999999999</v>
      </c>
      <c r="O92">
        <v>16759.400000000001</v>
      </c>
      <c r="P92" s="3">
        <v>6.1</v>
      </c>
      <c r="Q92" s="20">
        <v>15849.92</v>
      </c>
      <c r="R92" s="3">
        <v>124.5</v>
      </c>
    </row>
    <row r="93" spans="1:18" x14ac:dyDescent="0.75">
      <c r="A93" t="s">
        <v>18</v>
      </c>
      <c r="B93" s="3">
        <v>2024</v>
      </c>
      <c r="C93" s="4">
        <v>13042</v>
      </c>
      <c r="D93" s="4">
        <v>5797923</v>
      </c>
      <c r="E93" s="11">
        <v>2727.8119999999999</v>
      </c>
      <c r="F93" s="14">
        <f t="shared" si="1"/>
        <v>2.4999957633170737</v>
      </c>
      <c r="G93" s="4">
        <v>4392768</v>
      </c>
      <c r="H93" s="3"/>
      <c r="I93" s="8">
        <v>531735.19999999995</v>
      </c>
      <c r="J93" s="3"/>
      <c r="K93" s="19">
        <v>132.18</v>
      </c>
      <c r="L93" s="18">
        <v>172.7</v>
      </c>
      <c r="M93" s="20">
        <v>12229.4</v>
      </c>
      <c r="N93" s="23">
        <v>15014.1</v>
      </c>
      <c r="O93">
        <v>4160.3999999999996</v>
      </c>
      <c r="P93" s="3">
        <v>6.1</v>
      </c>
      <c r="Q93" s="20">
        <v>15849.92</v>
      </c>
      <c r="R93" s="3">
        <v>124.5</v>
      </c>
    </row>
    <row r="94" spans="1:18" x14ac:dyDescent="0.75">
      <c r="A94" t="s">
        <v>19</v>
      </c>
      <c r="B94" s="3">
        <v>2024</v>
      </c>
      <c r="C94" s="4">
        <v>73</v>
      </c>
      <c r="D94" s="4">
        <v>2665421</v>
      </c>
      <c r="E94" s="11">
        <v>2813.672</v>
      </c>
      <c r="F94" s="14">
        <f t="shared" si="1"/>
        <v>3.6850330357503651</v>
      </c>
      <c r="G94" s="4">
        <v>3403265</v>
      </c>
      <c r="H94" s="3"/>
      <c r="I94" s="8">
        <v>168198.7</v>
      </c>
      <c r="J94" s="3"/>
      <c r="K94" s="19">
        <v>132.18</v>
      </c>
      <c r="L94" s="18">
        <v>172.7</v>
      </c>
      <c r="M94" s="20">
        <v>632.9</v>
      </c>
      <c r="N94" s="23">
        <v>156.80000000000001</v>
      </c>
      <c r="O94">
        <v>1549.9</v>
      </c>
      <c r="P94" s="3">
        <v>6.1</v>
      </c>
      <c r="Q94" s="20">
        <v>15849.92</v>
      </c>
      <c r="R94" s="3">
        <v>124.5</v>
      </c>
    </row>
    <row r="95" spans="1:18" x14ac:dyDescent="0.75">
      <c r="A95" t="s">
        <v>20</v>
      </c>
      <c r="B95" s="3">
        <v>2024</v>
      </c>
      <c r="C95" s="4">
        <v>205</v>
      </c>
      <c r="D95" s="4">
        <v>3105549</v>
      </c>
      <c r="E95" s="11">
        <v>3361.6529999999998</v>
      </c>
      <c r="F95" s="14">
        <f t="shared" si="1"/>
        <v>3.3813156108765554</v>
      </c>
      <c r="G95" s="4">
        <v>2365102</v>
      </c>
      <c r="H95" s="3"/>
      <c r="I95" s="8">
        <v>109415.2</v>
      </c>
      <c r="J95" s="3"/>
      <c r="K95" s="19">
        <v>132.18</v>
      </c>
      <c r="L95" s="18">
        <v>172.7</v>
      </c>
      <c r="M95" s="20">
        <v>2563.6999999999998</v>
      </c>
      <c r="N95" s="23">
        <v>919.2</v>
      </c>
      <c r="O95">
        <v>1132.0999999999999</v>
      </c>
      <c r="P95" s="3">
        <v>6.1</v>
      </c>
      <c r="Q95" s="20">
        <v>15849.92</v>
      </c>
      <c r="R95" s="3">
        <v>124.5</v>
      </c>
    </row>
    <row r="96" spans="1:18" x14ac:dyDescent="0.75">
      <c r="A96" t="s">
        <v>21</v>
      </c>
      <c r="B96" s="3">
        <v>2024</v>
      </c>
      <c r="C96" s="4">
        <v>27</v>
      </c>
      <c r="D96" s="4">
        <v>3024462</v>
      </c>
      <c r="E96" s="11">
        <v>2702.616</v>
      </c>
      <c r="F96" s="14">
        <f t="shared" si="1"/>
        <v>3.6040093126518968</v>
      </c>
      <c r="G96" s="4">
        <v>2370111</v>
      </c>
      <c r="H96" s="3"/>
      <c r="I96" s="8">
        <v>78161.600000000006</v>
      </c>
      <c r="J96" s="3"/>
      <c r="K96" s="19">
        <v>132.18</v>
      </c>
      <c r="L96" s="18">
        <v>172.7</v>
      </c>
      <c r="M96" s="20">
        <v>84.8</v>
      </c>
      <c r="N96" s="23">
        <v>82.3</v>
      </c>
      <c r="O96" s="18">
        <v>1284</v>
      </c>
      <c r="P96" s="3">
        <v>6.1</v>
      </c>
      <c r="Q96" s="20">
        <v>15849.92</v>
      </c>
      <c r="R96" s="3">
        <v>124.5</v>
      </c>
    </row>
    <row r="97" spans="1:18" x14ac:dyDescent="0.75">
      <c r="A97" t="s">
        <v>22</v>
      </c>
      <c r="B97" s="3">
        <v>2024</v>
      </c>
      <c r="C97" s="4">
        <v>786</v>
      </c>
      <c r="D97" s="4">
        <v>2863521</v>
      </c>
      <c r="E97" s="11">
        <v>3261.616</v>
      </c>
      <c r="F97" s="14">
        <f t="shared" si="1"/>
        <v>2.5338783588750005</v>
      </c>
      <c r="G97" s="4">
        <v>2904061</v>
      </c>
      <c r="H97" s="3"/>
      <c r="I97" s="8">
        <v>162574.5</v>
      </c>
      <c r="J97" s="3"/>
      <c r="K97" s="19">
        <v>132.18</v>
      </c>
      <c r="L97" s="18">
        <v>172.7</v>
      </c>
      <c r="M97" s="20">
        <v>2112.3000000000002</v>
      </c>
      <c r="N97" s="23">
        <v>706.6</v>
      </c>
      <c r="O97" s="18">
        <v>1598</v>
      </c>
      <c r="P97" s="3">
        <v>6.1</v>
      </c>
      <c r="Q97" s="20">
        <v>15849.92</v>
      </c>
      <c r="R97" s="3">
        <v>124.5</v>
      </c>
    </row>
    <row r="98" spans="1:18" x14ac:dyDescent="0.75">
      <c r="A98" t="s">
        <v>23</v>
      </c>
      <c r="B98" s="3">
        <v>2024</v>
      </c>
      <c r="C98" s="4">
        <v>825</v>
      </c>
      <c r="D98" s="4">
        <v>1402275</v>
      </c>
      <c r="E98" s="11">
        <v>3282.8119999999999</v>
      </c>
      <c r="F98" s="14">
        <f t="shared" si="1"/>
        <v>4.2169934126357873</v>
      </c>
      <c r="G98" s="4">
        <v>3384610</v>
      </c>
      <c r="H98" s="3"/>
      <c r="I98" s="8">
        <v>118682.3</v>
      </c>
      <c r="J98" s="3"/>
      <c r="K98" s="19">
        <v>132.18</v>
      </c>
      <c r="L98" s="18">
        <v>172.7</v>
      </c>
      <c r="M98" s="20">
        <v>4023.5</v>
      </c>
      <c r="N98" s="23">
        <v>56.5</v>
      </c>
      <c r="O98">
        <v>794.5</v>
      </c>
      <c r="P98" s="3">
        <v>6.1</v>
      </c>
      <c r="Q98" s="20">
        <v>15849.92</v>
      </c>
      <c r="R98" s="3">
        <v>124.5</v>
      </c>
    </row>
    <row r="99" spans="1:18" x14ac:dyDescent="0.75">
      <c r="A99" t="s">
        <v>24</v>
      </c>
      <c r="B99" s="3">
        <v>2024</v>
      </c>
      <c r="C99" s="4">
        <v>864</v>
      </c>
      <c r="D99" s="4">
        <v>2129276</v>
      </c>
      <c r="E99" s="11">
        <v>3360.8580000000002</v>
      </c>
      <c r="F99" s="14">
        <f t="shared" si="1"/>
        <v>4.9810129911739693</v>
      </c>
      <c r="G99" s="4">
        <v>3239646</v>
      </c>
      <c r="H99" s="3"/>
      <c r="I99" s="8">
        <v>156770</v>
      </c>
      <c r="J99" s="3"/>
      <c r="K99" s="19">
        <v>132.18</v>
      </c>
      <c r="L99" s="18">
        <v>172.7</v>
      </c>
      <c r="M99" s="21">
        <v>11661</v>
      </c>
      <c r="N99" s="23">
        <v>2060.1999999999998</v>
      </c>
      <c r="O99">
        <v>1573.8</v>
      </c>
      <c r="P99" s="3">
        <v>6.1</v>
      </c>
      <c r="Q99" s="20">
        <v>15849.92</v>
      </c>
      <c r="R99" s="3">
        <v>124.5</v>
      </c>
    </row>
    <row r="100" spans="1:18" x14ac:dyDescent="0.75">
      <c r="A100" t="s">
        <v>25</v>
      </c>
      <c r="B100" s="3">
        <v>2024</v>
      </c>
      <c r="C100" s="4">
        <v>699</v>
      </c>
      <c r="D100" s="4">
        <v>1976447</v>
      </c>
      <c r="E100" s="11">
        <v>3545</v>
      </c>
      <c r="F100" s="14">
        <f t="shared" si="1"/>
        <v>1.7216642754662956</v>
      </c>
      <c r="G100" s="4">
        <v>4400771</v>
      </c>
      <c r="H100" s="3"/>
      <c r="I100" s="8">
        <v>570824</v>
      </c>
      <c r="J100" s="3"/>
      <c r="K100" s="19">
        <v>132.18</v>
      </c>
      <c r="L100" s="18">
        <v>172.7</v>
      </c>
      <c r="M100" s="20">
        <v>25460.9</v>
      </c>
      <c r="N100" s="23">
        <v>4998.2</v>
      </c>
      <c r="O100" s="18">
        <v>2096</v>
      </c>
      <c r="P100" s="3">
        <v>6.1</v>
      </c>
      <c r="Q100" s="20">
        <v>15849.92</v>
      </c>
      <c r="R100" s="3">
        <v>124.5</v>
      </c>
    </row>
    <row r="101" spans="1:18" x14ac:dyDescent="0.75">
      <c r="A101" t="s">
        <v>26</v>
      </c>
      <c r="B101" s="3">
        <v>2024</v>
      </c>
      <c r="C101" s="4">
        <v>1413</v>
      </c>
      <c r="D101" s="4">
        <v>378361</v>
      </c>
      <c r="E101" s="11">
        <v>2736.6979999999999</v>
      </c>
      <c r="F101" s="14">
        <f t="shared" si="1"/>
        <v>5.2759981935307252</v>
      </c>
      <c r="G101" s="4">
        <v>3748909</v>
      </c>
      <c r="H101" s="3"/>
      <c r="I101" s="8">
        <v>73134.399999999994</v>
      </c>
      <c r="J101" s="3"/>
      <c r="K101" s="19">
        <v>132.18</v>
      </c>
      <c r="L101" s="18">
        <v>172.7</v>
      </c>
      <c r="M101" s="20">
        <v>1586.2</v>
      </c>
      <c r="N101" s="23">
        <v>914.3</v>
      </c>
      <c r="P101" s="3">
        <v>6.1</v>
      </c>
      <c r="Q101" s="20">
        <v>15849.92</v>
      </c>
      <c r="R101" s="3">
        <v>124.5</v>
      </c>
    </row>
    <row r="102" spans="1:18" x14ac:dyDescent="0.75">
      <c r="A102" t="s">
        <v>27</v>
      </c>
      <c r="B102" s="3">
        <v>2024</v>
      </c>
      <c r="C102" s="4">
        <v>126</v>
      </c>
      <c r="D102" s="4">
        <v>1305834</v>
      </c>
      <c r="E102" s="11">
        <v>3434.2979999999998</v>
      </c>
      <c r="F102" s="14">
        <f t="shared" si="1"/>
        <v>1.4520205190619464</v>
      </c>
      <c r="G102" s="4">
        <v>3453051</v>
      </c>
      <c r="H102" s="3"/>
      <c r="I102" s="8">
        <v>107575</v>
      </c>
      <c r="J102" s="3"/>
      <c r="K102" s="19">
        <v>132.18</v>
      </c>
      <c r="L102" s="18">
        <v>172.7</v>
      </c>
      <c r="M102" s="20">
        <v>837.4</v>
      </c>
      <c r="N102" s="23">
        <v>225.2</v>
      </c>
      <c r="O102">
        <v>1144.9000000000001</v>
      </c>
      <c r="P102" s="3">
        <v>6.1</v>
      </c>
      <c r="Q102" s="20">
        <v>15849.92</v>
      </c>
      <c r="R102" s="3">
        <v>124.5</v>
      </c>
    </row>
    <row r="103" spans="1:18" x14ac:dyDescent="0.75">
      <c r="A103" t="s">
        <v>28</v>
      </c>
      <c r="B103" s="3">
        <v>2024</v>
      </c>
      <c r="C103" s="4">
        <v>2055</v>
      </c>
      <c r="D103" s="4">
        <v>1598656</v>
      </c>
      <c r="E103" s="11">
        <v>2885.9639999999999</v>
      </c>
      <c r="F103" s="14">
        <f t="shared" si="1"/>
        <v>4.6023983882127908</v>
      </c>
      <c r="G103" s="4">
        <v>2863721</v>
      </c>
      <c r="H103" s="3"/>
      <c r="I103" s="8">
        <v>212281.5</v>
      </c>
      <c r="J103" s="3"/>
      <c r="K103" s="19">
        <v>132.18</v>
      </c>
      <c r="L103" s="18">
        <v>172.7</v>
      </c>
      <c r="M103" s="20">
        <v>21337.200000000001</v>
      </c>
      <c r="N103" s="23">
        <v>10796.4</v>
      </c>
      <c r="O103" s="18">
        <v>868</v>
      </c>
      <c r="P103" s="3">
        <v>6.1</v>
      </c>
      <c r="Q103" s="20">
        <v>15849.92</v>
      </c>
      <c r="R103" s="3">
        <v>124.5</v>
      </c>
    </row>
    <row r="104" spans="1:18" x14ac:dyDescent="0.75">
      <c r="A104" t="s">
        <v>29</v>
      </c>
      <c r="B104" s="3">
        <v>2024</v>
      </c>
      <c r="C104" s="4">
        <v>482</v>
      </c>
      <c r="D104" s="4">
        <v>4680928</v>
      </c>
      <c r="E104" s="11">
        <v>3025.1</v>
      </c>
      <c r="F104" s="14">
        <f t="shared" si="1"/>
        <v>1.1959121548162699</v>
      </c>
      <c r="G104" s="4">
        <v>2992571</v>
      </c>
      <c r="H104" s="3"/>
      <c r="I104" s="8">
        <v>396141.74</v>
      </c>
      <c r="J104" s="3"/>
      <c r="K104" s="19">
        <v>132.18</v>
      </c>
      <c r="L104" s="18">
        <v>172.7</v>
      </c>
      <c r="M104" s="20">
        <v>2059.3000000000002</v>
      </c>
      <c r="N104" s="23">
        <v>1109.5</v>
      </c>
      <c r="O104">
        <v>4753.3999999999996</v>
      </c>
      <c r="P104" s="3">
        <v>6.1</v>
      </c>
      <c r="Q104" s="20">
        <v>15849.92</v>
      </c>
      <c r="R104" s="3">
        <v>124.5</v>
      </c>
    </row>
    <row r="105" spans="1:18" x14ac:dyDescent="0.75">
      <c r="A105" t="s">
        <v>30</v>
      </c>
      <c r="B105" s="3">
        <v>2024</v>
      </c>
      <c r="C105" s="4">
        <v>1168</v>
      </c>
      <c r="D105" s="4">
        <v>1430889</v>
      </c>
      <c r="E105" s="11">
        <v>2914.9580000000001</v>
      </c>
      <c r="F105" s="14">
        <f t="shared" si="1"/>
        <v>1.5030036163934568</v>
      </c>
      <c r="G105" s="4">
        <v>2954690</v>
      </c>
      <c r="H105" s="3"/>
      <c r="I105" s="8">
        <v>113989.5</v>
      </c>
      <c r="J105" s="3"/>
      <c r="K105" s="19">
        <v>132.18</v>
      </c>
      <c r="L105" s="18">
        <v>172.7</v>
      </c>
      <c r="M105" s="20">
        <v>3858.3</v>
      </c>
      <c r="N105" s="23">
        <v>1737.7</v>
      </c>
      <c r="O105">
        <v>647.70000000000005</v>
      </c>
      <c r="P105" s="3">
        <v>6.1</v>
      </c>
      <c r="Q105" s="20">
        <v>15849.92</v>
      </c>
      <c r="R105" s="3">
        <v>124.5</v>
      </c>
    </row>
    <row r="106" spans="1:18" x14ac:dyDescent="0.75">
      <c r="A106" t="s">
        <v>31</v>
      </c>
      <c r="B106" s="3">
        <v>2024</v>
      </c>
      <c r="C106" s="4">
        <v>87</v>
      </c>
      <c r="D106" s="4">
        <v>632184</v>
      </c>
      <c r="E106" s="11">
        <v>2444.067</v>
      </c>
      <c r="F106" s="14">
        <f t="shared" si="1"/>
        <v>3.0640037749740827</v>
      </c>
      <c r="G106" s="4">
        <v>2605876</v>
      </c>
      <c r="H106" s="3"/>
      <c r="I106" s="8">
        <v>32951.9</v>
      </c>
      <c r="J106" s="3"/>
      <c r="K106" s="19">
        <v>132.18</v>
      </c>
      <c r="L106" s="18">
        <v>172.7</v>
      </c>
      <c r="M106" s="20">
        <v>60.1</v>
      </c>
      <c r="N106" s="23">
        <v>27.7</v>
      </c>
      <c r="O106">
        <v>744.7</v>
      </c>
      <c r="P106" s="3">
        <v>6.1</v>
      </c>
      <c r="Q106" s="20">
        <v>15849.92</v>
      </c>
      <c r="R106" s="3">
        <v>124.5</v>
      </c>
    </row>
    <row r="107" spans="1:18" x14ac:dyDescent="0.75">
      <c r="A107" t="s">
        <v>32</v>
      </c>
      <c r="B107" s="3">
        <v>2024</v>
      </c>
      <c r="C107" s="4">
        <v>14</v>
      </c>
      <c r="D107" s="4">
        <v>757507</v>
      </c>
      <c r="E107" s="11">
        <v>2186.826</v>
      </c>
      <c r="F107" s="14">
        <f t="shared" si="1"/>
        <v>2.958200446893926</v>
      </c>
      <c r="G107" s="4">
        <v>2443110</v>
      </c>
      <c r="H107" s="3"/>
      <c r="I107" s="8">
        <v>37087.4</v>
      </c>
      <c r="J107" s="3"/>
      <c r="K107" s="19">
        <v>132.18</v>
      </c>
      <c r="L107" s="18">
        <v>172.7</v>
      </c>
      <c r="M107" s="20">
        <v>433.8</v>
      </c>
      <c r="N107" s="23">
        <v>3.8</v>
      </c>
      <c r="O107">
        <v>293.89999999999998</v>
      </c>
      <c r="P107" s="3">
        <v>6.1</v>
      </c>
      <c r="Q107" s="20">
        <v>15849.92</v>
      </c>
      <c r="R107" s="3">
        <v>124.5</v>
      </c>
    </row>
    <row r="108" spans="1:18" x14ac:dyDescent="0.75">
      <c r="A108" t="s">
        <v>33</v>
      </c>
      <c r="B108" s="3">
        <v>2024</v>
      </c>
      <c r="C108" s="4">
        <v>257</v>
      </c>
      <c r="D108" s="4">
        <v>907713</v>
      </c>
      <c r="E108" s="11">
        <v>2949.953</v>
      </c>
      <c r="F108" s="14">
        <f t="shared" si="1"/>
        <v>4.8750243082848641</v>
      </c>
      <c r="G108" s="4">
        <v>2925208</v>
      </c>
      <c r="H108" s="3"/>
      <c r="I108" s="8">
        <v>37210.1</v>
      </c>
      <c r="J108" s="3"/>
      <c r="K108" s="19">
        <v>132.18</v>
      </c>
      <c r="L108" s="18">
        <v>172.7</v>
      </c>
      <c r="M108" s="21">
        <v>95</v>
      </c>
      <c r="N108" s="23">
        <v>467.2</v>
      </c>
      <c r="O108">
        <v>428.9</v>
      </c>
      <c r="P108" s="3">
        <v>6.1</v>
      </c>
      <c r="Q108" s="20">
        <v>15849.92</v>
      </c>
      <c r="R108" s="3">
        <v>124.5</v>
      </c>
    </row>
    <row r="109" spans="1:18" x14ac:dyDescent="0.75">
      <c r="A109" t="s">
        <v>34</v>
      </c>
      <c r="B109" s="3">
        <v>2024</v>
      </c>
      <c r="C109" s="4">
        <v>17</v>
      </c>
      <c r="D109" s="4">
        <v>661488</v>
      </c>
      <c r="E109" s="11">
        <v>3200</v>
      </c>
      <c r="F109" s="14">
        <f t="shared" si="1"/>
        <v>7.5008734445967349</v>
      </c>
      <c r="G109" s="4">
        <v>3456786</v>
      </c>
      <c r="H109" s="3"/>
      <c r="I109" s="8">
        <v>55740.9</v>
      </c>
      <c r="J109" s="3"/>
      <c r="K109" s="19">
        <v>132.18</v>
      </c>
      <c r="L109" s="18">
        <v>172.7</v>
      </c>
      <c r="M109" s="20">
        <v>11077.1</v>
      </c>
      <c r="N109" s="23">
        <v>4221.6000000000004</v>
      </c>
      <c r="O109">
        <v>356.4</v>
      </c>
      <c r="P109" s="3">
        <v>6.1</v>
      </c>
      <c r="Q109" s="20">
        <v>15849.92</v>
      </c>
      <c r="R109" s="3">
        <v>124.5</v>
      </c>
    </row>
    <row r="110" spans="1:18" x14ac:dyDescent="0.75">
      <c r="A110" t="s">
        <v>35</v>
      </c>
      <c r="B110" s="3">
        <v>2024</v>
      </c>
      <c r="C110" s="4"/>
      <c r="D110" s="4">
        <v>290077</v>
      </c>
      <c r="E110" s="11">
        <v>3393</v>
      </c>
      <c r="F110" s="14">
        <f t="shared" si="1"/>
        <v>3.3820840950639735</v>
      </c>
      <c r="G110" s="4">
        <v>3392758</v>
      </c>
      <c r="H110" s="3"/>
      <c r="I110" s="8">
        <v>49486.2</v>
      </c>
      <c r="J110" s="3"/>
      <c r="K110" s="19">
        <v>132.18</v>
      </c>
      <c r="L110" s="18">
        <v>172.7</v>
      </c>
      <c r="M110" s="20">
        <v>3626.4</v>
      </c>
      <c r="N110" s="23">
        <v>14.6</v>
      </c>
      <c r="O110">
        <v>486.1</v>
      </c>
      <c r="P110" s="3">
        <v>6.1</v>
      </c>
      <c r="Q110" s="20">
        <v>15849.92</v>
      </c>
      <c r="R110" s="3">
        <v>124.5</v>
      </c>
    </row>
    <row r="111" spans="1:18" x14ac:dyDescent="0.75">
      <c r="A111" t="s">
        <v>36</v>
      </c>
      <c r="B111" s="3">
        <v>2024</v>
      </c>
      <c r="C111" s="4"/>
      <c r="D111" s="4">
        <v>297745</v>
      </c>
      <c r="E111" s="11">
        <v>4024.27</v>
      </c>
      <c r="F111" s="14">
        <f t="shared" si="1"/>
        <v>4.129018168570056</v>
      </c>
      <c r="G111" s="4">
        <v>3739328</v>
      </c>
      <c r="H111" s="3"/>
      <c r="I111" s="8">
        <v>24873.7</v>
      </c>
      <c r="J111" s="3"/>
      <c r="K111" s="19">
        <v>132.18</v>
      </c>
      <c r="L111" s="18">
        <v>172.7</v>
      </c>
      <c r="M111" s="20">
        <v>50.7</v>
      </c>
      <c r="N111" s="23">
        <v>27.4</v>
      </c>
      <c r="P111" s="3">
        <v>6.1</v>
      </c>
      <c r="Q111" s="20">
        <v>15849.92</v>
      </c>
      <c r="R111" s="3">
        <v>124.5</v>
      </c>
    </row>
    <row r="112" spans="1:18" x14ac:dyDescent="0.75">
      <c r="A112" t="s">
        <v>37</v>
      </c>
      <c r="B112" s="3">
        <v>2024</v>
      </c>
      <c r="C112" s="4"/>
      <c r="D112" s="4">
        <v>458792</v>
      </c>
      <c r="E112" s="11">
        <v>4024.27</v>
      </c>
      <c r="F112" s="14">
        <f t="shared" si="1"/>
        <v>4.129018168570056</v>
      </c>
      <c r="G112" s="4">
        <v>4151674</v>
      </c>
      <c r="H112" s="3"/>
      <c r="I112" s="8">
        <v>51587.199999999997</v>
      </c>
      <c r="J112" s="3"/>
      <c r="K112" s="19">
        <v>132.18</v>
      </c>
      <c r="L112" s="18">
        <v>172.7</v>
      </c>
      <c r="M112" s="20">
        <v>89.6</v>
      </c>
      <c r="N112" s="23">
        <v>7.3</v>
      </c>
      <c r="O112">
        <v>1095.5</v>
      </c>
      <c r="P112" s="3">
        <v>6.1</v>
      </c>
      <c r="Q112" s="20">
        <v>15849.92</v>
      </c>
      <c r="R112" s="3">
        <v>124.5</v>
      </c>
    </row>
    <row r="113" spans="1:18" x14ac:dyDescent="0.75">
      <c r="A113" t="s">
        <v>38</v>
      </c>
      <c r="B113" s="3">
        <v>2024</v>
      </c>
      <c r="C113" s="4"/>
      <c r="D113" s="4">
        <v>226586</v>
      </c>
      <c r="E113" s="11">
        <v>4024.27</v>
      </c>
      <c r="F113" s="14">
        <f t="shared" si="1"/>
        <v>4.129018168570056</v>
      </c>
      <c r="G113" s="4">
        <v>3639485</v>
      </c>
      <c r="H113" s="3"/>
      <c r="I113" s="8">
        <v>19061.5</v>
      </c>
      <c r="J113" s="3"/>
      <c r="K113" s="19">
        <v>132.18</v>
      </c>
      <c r="L113" s="18">
        <v>172.7</v>
      </c>
      <c r="M113" s="20">
        <v>0.2</v>
      </c>
      <c r="N113" s="23"/>
      <c r="P113" s="3">
        <v>6.1</v>
      </c>
      <c r="Q113" s="20">
        <v>15849.92</v>
      </c>
      <c r="R113" s="3">
        <v>124.5</v>
      </c>
    </row>
    <row r="114" spans="1:18" x14ac:dyDescent="0.75">
      <c r="A114" t="s">
        <v>39</v>
      </c>
      <c r="B114" s="3">
        <v>2024</v>
      </c>
      <c r="C114" s="4"/>
      <c r="D114" s="4">
        <v>778596</v>
      </c>
      <c r="E114" s="11">
        <v>4024.27</v>
      </c>
      <c r="F114" s="14">
        <f t="shared" si="1"/>
        <v>4.129018168570056</v>
      </c>
      <c r="G114" s="4">
        <v>5071157</v>
      </c>
      <c r="H114" s="3"/>
      <c r="I114" s="8">
        <v>105472.5</v>
      </c>
      <c r="J114" s="3"/>
      <c r="K114" s="19">
        <v>132.18</v>
      </c>
      <c r="L114" s="18">
        <v>172.7</v>
      </c>
      <c r="M114" s="20">
        <v>5460.4</v>
      </c>
      <c r="N114" s="23">
        <v>448.1</v>
      </c>
      <c r="P114" s="3">
        <v>6.1</v>
      </c>
      <c r="Q114" s="20">
        <v>15849.92</v>
      </c>
      <c r="R114" s="3">
        <v>124.5</v>
      </c>
    </row>
    <row r="115" spans="1:18" x14ac:dyDescent="0.75">
      <c r="A115" t="s">
        <v>40</v>
      </c>
      <c r="B115" s="3">
        <v>2024</v>
      </c>
      <c r="C115" s="4"/>
      <c r="D115" s="4">
        <v>1008418</v>
      </c>
      <c r="E115" s="11">
        <v>3393.5</v>
      </c>
      <c r="F115" s="14">
        <f t="shared" si="1"/>
        <v>3.3973187081048195</v>
      </c>
      <c r="G115" s="4">
        <v>4089877</v>
      </c>
      <c r="H115" s="3"/>
      <c r="I115" s="8">
        <v>13798.8</v>
      </c>
      <c r="J115" s="3"/>
      <c r="K115" s="19">
        <v>132.18</v>
      </c>
      <c r="L115" s="18">
        <v>172.7</v>
      </c>
      <c r="M115" s="20"/>
      <c r="N115" s="23"/>
      <c r="P115" s="3">
        <v>6.1</v>
      </c>
      <c r="Q115" s="20">
        <v>15849.92</v>
      </c>
      <c r="R115" s="3">
        <v>124.5</v>
      </c>
    </row>
    <row r="116" spans="1:18" x14ac:dyDescent="0.75">
      <c r="A116" t="s">
        <v>3</v>
      </c>
      <c r="B116" s="3">
        <v>2025</v>
      </c>
      <c r="C116" s="4">
        <v>429</v>
      </c>
      <c r="D116" s="4">
        <v>2561329</v>
      </c>
      <c r="E116" s="11">
        <v>3685.616</v>
      </c>
      <c r="F116" s="14">
        <f t="shared" si="1"/>
        <v>6.5000092467590207</v>
      </c>
      <c r="G116" s="4">
        <v>2837520</v>
      </c>
      <c r="H116" s="3"/>
      <c r="I116" s="8">
        <v>158340.4</v>
      </c>
      <c r="J116" s="3"/>
      <c r="K116" s="19">
        <v>135.74</v>
      </c>
      <c r="L116" s="18">
        <v>176</v>
      </c>
      <c r="M116" s="20">
        <v>649.20000000000005</v>
      </c>
      <c r="N116" s="23">
        <v>577.6</v>
      </c>
      <c r="O116">
        <v>934.5</v>
      </c>
      <c r="P116" s="3">
        <v>5.27</v>
      </c>
      <c r="Q116" s="25">
        <v>16447.52</v>
      </c>
      <c r="R116" s="3">
        <v>120.9</v>
      </c>
    </row>
    <row r="117" spans="1:18" x14ac:dyDescent="0.75">
      <c r="A117" t="s">
        <v>4</v>
      </c>
      <c r="B117" s="3">
        <v>2025</v>
      </c>
      <c r="C117" s="4">
        <v>1969</v>
      </c>
      <c r="D117" s="4">
        <v>7976273</v>
      </c>
      <c r="E117" s="11">
        <v>2992.5590000000002</v>
      </c>
      <c r="F117" s="14">
        <f t="shared" si="1"/>
        <v>6.4999830955740663</v>
      </c>
      <c r="G117" s="4">
        <v>2815066</v>
      </c>
      <c r="H117" s="3"/>
      <c r="I117" s="8">
        <v>661204.19999999995</v>
      </c>
      <c r="J117" s="3"/>
      <c r="K117" s="19">
        <v>135.74</v>
      </c>
      <c r="L117" s="18">
        <v>176</v>
      </c>
      <c r="M117" s="20">
        <v>12562.2</v>
      </c>
      <c r="N117" s="23">
        <v>6072.7</v>
      </c>
      <c r="O117">
        <v>5512.7</v>
      </c>
      <c r="P117" s="3">
        <v>5.27</v>
      </c>
      <c r="Q117" s="25">
        <v>16447.52</v>
      </c>
      <c r="R117" s="3">
        <v>120.9</v>
      </c>
    </row>
    <row r="118" spans="1:18" x14ac:dyDescent="0.75">
      <c r="A118" t="s">
        <v>5</v>
      </c>
      <c r="B118" s="3">
        <v>2025</v>
      </c>
      <c r="C118" s="4">
        <v>627</v>
      </c>
      <c r="D118" s="4">
        <v>3018582</v>
      </c>
      <c r="E118" s="11">
        <v>2994.1934700000002</v>
      </c>
      <c r="F118" s="14">
        <f t="shared" si="1"/>
        <v>6.4981161295095689</v>
      </c>
      <c r="G118" s="4">
        <v>2911450</v>
      </c>
      <c r="H118" s="3"/>
      <c r="I118" s="8">
        <v>206137.9</v>
      </c>
      <c r="J118" s="3"/>
      <c r="K118" s="19">
        <v>135.74</v>
      </c>
      <c r="L118" s="18">
        <v>176</v>
      </c>
      <c r="M118" s="20">
        <v>2779.4</v>
      </c>
      <c r="N118" s="23">
        <v>0.1</v>
      </c>
      <c r="O118">
        <v>1688.8</v>
      </c>
      <c r="P118" s="3">
        <v>5.27</v>
      </c>
      <c r="Q118" s="25">
        <v>16447.52</v>
      </c>
      <c r="R118" s="3">
        <v>120.9</v>
      </c>
    </row>
    <row r="119" spans="1:18" x14ac:dyDescent="0.75">
      <c r="A119" t="s">
        <v>6</v>
      </c>
      <c r="B119" s="3">
        <v>2025</v>
      </c>
      <c r="C119" s="4">
        <v>2546</v>
      </c>
      <c r="D119" s="4">
        <v>3210929</v>
      </c>
      <c r="E119" s="11">
        <v>3508.7762200000002</v>
      </c>
      <c r="F119" s="14">
        <f t="shared" si="1"/>
        <v>6.5000180597184993</v>
      </c>
      <c r="G119" s="4">
        <v>3144261</v>
      </c>
      <c r="H119" s="3"/>
      <c r="I119" s="8">
        <v>598610.4</v>
      </c>
      <c r="J119" s="3"/>
      <c r="K119" s="19">
        <v>135.74</v>
      </c>
      <c r="L119" s="18">
        <v>176</v>
      </c>
      <c r="M119" s="20">
        <v>21446.6</v>
      </c>
      <c r="N119" s="24">
        <v>1638</v>
      </c>
      <c r="O119">
        <v>2275.3000000000002</v>
      </c>
      <c r="P119" s="3">
        <v>5.27</v>
      </c>
      <c r="Q119" s="25">
        <v>16447.52</v>
      </c>
      <c r="R119" s="3">
        <v>120.9</v>
      </c>
    </row>
    <row r="120" spans="1:18" x14ac:dyDescent="0.75">
      <c r="A120" t="s">
        <v>7</v>
      </c>
      <c r="B120" s="3">
        <v>2025</v>
      </c>
      <c r="C120" s="4">
        <v>303</v>
      </c>
      <c r="D120" s="4">
        <v>1851864</v>
      </c>
      <c r="E120" s="11">
        <v>3234.5349999999999</v>
      </c>
      <c r="F120" s="14">
        <f t="shared" si="1"/>
        <v>6.5000373709180508</v>
      </c>
      <c r="G120" s="4">
        <v>2975646</v>
      </c>
      <c r="H120" s="3"/>
      <c r="I120" s="8">
        <v>185582.2</v>
      </c>
      <c r="J120" s="3"/>
      <c r="K120" s="19">
        <v>135.74</v>
      </c>
      <c r="L120" s="18">
        <v>176</v>
      </c>
      <c r="M120" s="20">
        <v>2043.8</v>
      </c>
      <c r="N120" s="23">
        <v>76.400000000000006</v>
      </c>
      <c r="O120">
        <v>1020.6</v>
      </c>
      <c r="P120" s="3">
        <v>5.27</v>
      </c>
      <c r="Q120" s="25">
        <v>16447.52</v>
      </c>
      <c r="R120" s="3">
        <v>120.9</v>
      </c>
    </row>
    <row r="121" spans="1:18" x14ac:dyDescent="0.75">
      <c r="A121" t="s">
        <v>8</v>
      </c>
      <c r="B121" s="3">
        <v>2025</v>
      </c>
      <c r="C121" s="4">
        <v>1537</v>
      </c>
      <c r="D121" s="4">
        <v>4492574</v>
      </c>
      <c r="E121" s="11">
        <v>3681.5709999999999</v>
      </c>
      <c r="F121" s="14">
        <f t="shared" si="1"/>
        <v>6.5000054962952163</v>
      </c>
      <c r="G121" s="4">
        <v>3015055</v>
      </c>
      <c r="H121" s="3"/>
      <c r="I121" s="8">
        <v>399385.8</v>
      </c>
      <c r="J121" s="3"/>
      <c r="K121" s="19">
        <v>135.74</v>
      </c>
      <c r="L121" s="18">
        <v>176</v>
      </c>
      <c r="M121" s="20">
        <v>6334.3</v>
      </c>
      <c r="N121" s="23">
        <v>1092.8</v>
      </c>
      <c r="O121">
        <v>2898.2</v>
      </c>
      <c r="P121" s="3">
        <v>5.27</v>
      </c>
      <c r="Q121" s="25">
        <v>16447.52</v>
      </c>
      <c r="R121" s="3">
        <v>120.9</v>
      </c>
    </row>
    <row r="122" spans="1:18" x14ac:dyDescent="0.75">
      <c r="A122" t="s">
        <v>9</v>
      </c>
      <c r="B122" s="3">
        <v>2025</v>
      </c>
      <c r="C122" s="4">
        <v>535</v>
      </c>
      <c r="D122" s="4">
        <v>1115334</v>
      </c>
      <c r="E122" s="11">
        <v>2670.0393899999999</v>
      </c>
      <c r="F122" s="14">
        <f t="shared" si="1"/>
        <v>6.5000101711992073</v>
      </c>
      <c r="G122" s="4">
        <v>2935681</v>
      </c>
      <c r="H122" s="3"/>
      <c r="I122" s="8">
        <v>57066.8</v>
      </c>
      <c r="J122" s="3"/>
      <c r="K122" s="19">
        <v>135.74</v>
      </c>
      <c r="L122" s="18">
        <v>176</v>
      </c>
      <c r="M122" s="20">
        <v>6637.7</v>
      </c>
      <c r="N122" s="23"/>
      <c r="O122">
        <v>493.1</v>
      </c>
      <c r="P122" s="3">
        <v>5.27</v>
      </c>
      <c r="Q122" s="25">
        <v>16447.52</v>
      </c>
      <c r="R122" s="3">
        <v>120.9</v>
      </c>
    </row>
    <row r="123" spans="1:18" x14ac:dyDescent="0.75">
      <c r="A123" t="s">
        <v>10</v>
      </c>
      <c r="B123" s="3">
        <v>2025</v>
      </c>
      <c r="C123" s="4">
        <v>800</v>
      </c>
      <c r="D123" s="4">
        <v>4853377</v>
      </c>
      <c r="E123" s="11">
        <v>2893.07</v>
      </c>
      <c r="F123" s="14">
        <f t="shared" si="1"/>
        <v>6.1247113096198973</v>
      </c>
      <c r="G123" s="4">
        <v>2520619</v>
      </c>
      <c r="H123" s="3"/>
      <c r="I123" s="8">
        <v>296420.7</v>
      </c>
      <c r="J123" s="3"/>
      <c r="K123" s="19">
        <v>135.74</v>
      </c>
      <c r="L123" s="18">
        <v>176</v>
      </c>
      <c r="M123" s="20">
        <v>104.7</v>
      </c>
      <c r="N123" s="23">
        <v>2054.6999999999998</v>
      </c>
      <c r="O123">
        <v>1934.6</v>
      </c>
      <c r="P123" s="3">
        <v>5.27</v>
      </c>
      <c r="Q123" s="25">
        <v>16447.52</v>
      </c>
      <c r="R123" s="3">
        <v>120.9</v>
      </c>
    </row>
    <row r="124" spans="1:18" x14ac:dyDescent="0.75">
      <c r="A124" t="s">
        <v>11</v>
      </c>
      <c r="B124" s="3">
        <v>2025</v>
      </c>
      <c r="C124" s="4">
        <v>271</v>
      </c>
      <c r="D124" s="4">
        <v>785723</v>
      </c>
      <c r="E124" s="11">
        <v>3876.6</v>
      </c>
      <c r="F124" s="14">
        <f t="shared" si="1"/>
        <v>6.5</v>
      </c>
      <c r="G124" s="4">
        <v>3202690</v>
      </c>
      <c r="H124" s="3"/>
      <c r="I124" s="8">
        <v>63291.199999999997</v>
      </c>
      <c r="J124" s="3"/>
      <c r="K124" s="19">
        <v>135.74</v>
      </c>
      <c r="L124" s="18">
        <v>176</v>
      </c>
      <c r="M124" s="20">
        <v>2036.7</v>
      </c>
      <c r="N124" s="23">
        <v>5.9</v>
      </c>
      <c r="O124">
        <v>374.1</v>
      </c>
      <c r="P124" s="3">
        <v>5.27</v>
      </c>
      <c r="Q124" s="25">
        <v>16447.52</v>
      </c>
      <c r="R124" s="3">
        <v>120.9</v>
      </c>
    </row>
    <row r="125" spans="1:18" x14ac:dyDescent="0.75">
      <c r="A125" t="s">
        <v>12</v>
      </c>
      <c r="B125" s="3">
        <v>2025</v>
      </c>
      <c r="C125" s="4">
        <v>3265</v>
      </c>
      <c r="D125" s="4">
        <v>1051975</v>
      </c>
      <c r="E125" s="11">
        <v>3623.654</v>
      </c>
      <c r="F125" s="14">
        <f t="shared" si="1"/>
        <v>6.5000005878044647</v>
      </c>
      <c r="G125" s="4">
        <v>4768990</v>
      </c>
      <c r="H125" s="3"/>
      <c r="I125" s="8">
        <v>224504.7</v>
      </c>
      <c r="J125" s="3"/>
      <c r="K125" s="19">
        <v>135.74</v>
      </c>
      <c r="L125" s="18">
        <v>176</v>
      </c>
      <c r="M125" s="20">
        <v>23414.2</v>
      </c>
      <c r="N125" s="23">
        <v>22208.1</v>
      </c>
      <c r="O125">
        <v>1918.2</v>
      </c>
      <c r="P125" s="3">
        <v>5.27</v>
      </c>
      <c r="Q125" s="25">
        <v>16447.52</v>
      </c>
      <c r="R125" s="3">
        <v>120.9</v>
      </c>
    </row>
    <row r="126" spans="1:18" x14ac:dyDescent="0.75">
      <c r="A126" t="s">
        <v>13</v>
      </c>
      <c r="B126" s="3">
        <v>2025</v>
      </c>
      <c r="C126" s="4">
        <v>6311</v>
      </c>
      <c r="D126" s="4">
        <v>5128464</v>
      </c>
      <c r="E126" s="11">
        <v>5396.7610000000004</v>
      </c>
      <c r="F126" s="14">
        <f t="shared" si="1"/>
        <v>6.5000046375040625</v>
      </c>
      <c r="G126" s="4">
        <v>5903603</v>
      </c>
      <c r="H126" s="3"/>
      <c r="I126" s="8">
        <v>2263237</v>
      </c>
      <c r="J126" s="3"/>
      <c r="K126" s="19">
        <v>135.74</v>
      </c>
      <c r="L126" s="18">
        <v>176</v>
      </c>
      <c r="M126" s="20">
        <v>17510.3</v>
      </c>
      <c r="N126" s="23">
        <v>117396.4</v>
      </c>
      <c r="O126">
        <v>67591.100000000006</v>
      </c>
      <c r="P126" s="3">
        <v>5.27</v>
      </c>
      <c r="Q126" s="25">
        <v>16447.52</v>
      </c>
      <c r="R126" s="3">
        <v>120.9</v>
      </c>
    </row>
    <row r="127" spans="1:18" x14ac:dyDescent="0.75">
      <c r="A127" t="s">
        <v>14</v>
      </c>
      <c r="B127" s="3">
        <v>2025</v>
      </c>
      <c r="C127" s="4">
        <v>18815</v>
      </c>
      <c r="D127" s="4">
        <v>24506852</v>
      </c>
      <c r="E127" s="11">
        <v>2191.23218</v>
      </c>
      <c r="F127" s="14">
        <f t="shared" si="1"/>
        <v>6.5000002430139574</v>
      </c>
      <c r="G127" s="4">
        <v>3768080</v>
      </c>
      <c r="H127" s="3"/>
      <c r="I127" s="8">
        <v>1845316.7</v>
      </c>
      <c r="J127" s="3"/>
      <c r="K127" s="19">
        <v>135.74</v>
      </c>
      <c r="L127" s="18">
        <v>176</v>
      </c>
      <c r="M127" s="20">
        <v>38722.699999999997</v>
      </c>
      <c r="N127" s="23">
        <v>3557.7</v>
      </c>
      <c r="O127">
        <v>23485.599999999999</v>
      </c>
      <c r="P127" s="3">
        <v>5.27</v>
      </c>
      <c r="Q127" s="25">
        <v>16447.52</v>
      </c>
      <c r="R127" s="3">
        <v>120.9</v>
      </c>
    </row>
    <row r="128" spans="1:18" x14ac:dyDescent="0.75">
      <c r="A128" t="s">
        <v>15</v>
      </c>
      <c r="B128" s="3">
        <v>2025</v>
      </c>
      <c r="C128" s="4">
        <v>14700</v>
      </c>
      <c r="D128" s="4">
        <v>21295797</v>
      </c>
      <c r="E128" s="11">
        <v>2169.3490000000002</v>
      </c>
      <c r="F128" s="14">
        <f t="shared" si="1"/>
        <v>6.5000218464201822</v>
      </c>
      <c r="G128" s="4">
        <v>2528470</v>
      </c>
      <c r="H128" s="3"/>
      <c r="I128" s="8">
        <v>1219148.6000000001</v>
      </c>
      <c r="J128" s="3"/>
      <c r="K128" s="19">
        <v>135.74</v>
      </c>
      <c r="L128" s="18">
        <v>176</v>
      </c>
      <c r="M128" s="20">
        <v>12623.2</v>
      </c>
      <c r="N128" s="23">
        <v>14599.1</v>
      </c>
      <c r="O128">
        <v>17250.2</v>
      </c>
      <c r="P128" s="3">
        <v>5.27</v>
      </c>
      <c r="Q128" s="25">
        <v>16447.52</v>
      </c>
      <c r="R128" s="3">
        <v>120.9</v>
      </c>
    </row>
    <row r="129" spans="1:18" x14ac:dyDescent="0.75">
      <c r="A129" t="s">
        <v>16</v>
      </c>
      <c r="B129" s="3">
        <v>2025</v>
      </c>
      <c r="C129" s="4">
        <v>1576</v>
      </c>
      <c r="D129" s="4">
        <v>2200071</v>
      </c>
      <c r="E129" s="11">
        <v>2264.08095</v>
      </c>
      <c r="F129" s="14">
        <f t="shared" si="1"/>
        <v>6.4999802436429093</v>
      </c>
      <c r="G129" s="4">
        <v>2924613</v>
      </c>
      <c r="H129" s="3"/>
      <c r="I129" s="8">
        <v>131435.9</v>
      </c>
      <c r="J129" s="3"/>
      <c r="K129" s="19">
        <v>135.74</v>
      </c>
      <c r="L129" s="18">
        <v>176</v>
      </c>
      <c r="M129" s="20">
        <v>558.70000000000005</v>
      </c>
      <c r="N129" s="23">
        <v>0.1</v>
      </c>
      <c r="O129">
        <v>1853.7</v>
      </c>
      <c r="P129" s="3">
        <v>5.27</v>
      </c>
      <c r="Q129" s="25">
        <v>16447.52</v>
      </c>
      <c r="R129" s="3">
        <v>120.9</v>
      </c>
    </row>
    <row r="130" spans="1:18" x14ac:dyDescent="0.75">
      <c r="A130" t="s">
        <v>17</v>
      </c>
      <c r="B130" s="3">
        <v>2025</v>
      </c>
      <c r="C130" s="4">
        <v>5949</v>
      </c>
      <c r="D130" s="4">
        <v>23801034</v>
      </c>
      <c r="E130" s="11">
        <v>2305.9850000000001</v>
      </c>
      <c r="F130" s="14">
        <f t="shared" si="1"/>
        <v>6.4999917099423925</v>
      </c>
      <c r="G130" s="4">
        <v>2899074</v>
      </c>
      <c r="H130" s="3"/>
      <c r="I130" s="8">
        <v>2038961.6</v>
      </c>
      <c r="J130" s="3"/>
      <c r="K130" s="19">
        <v>135.74</v>
      </c>
      <c r="L130" s="18">
        <v>176</v>
      </c>
      <c r="M130" s="21">
        <v>29124</v>
      </c>
      <c r="N130" s="24">
        <v>29591</v>
      </c>
      <c r="O130">
        <v>18932.900000000001</v>
      </c>
      <c r="P130" s="3">
        <v>5.27</v>
      </c>
      <c r="Q130" s="25">
        <v>16447.52</v>
      </c>
      <c r="R130" s="3">
        <v>120.9</v>
      </c>
    </row>
    <row r="131" spans="1:18" x14ac:dyDescent="0.75">
      <c r="A131" t="s">
        <v>18</v>
      </c>
      <c r="B131" s="3">
        <v>2025</v>
      </c>
      <c r="C131" s="4">
        <v>10376</v>
      </c>
      <c r="D131" s="4">
        <v>5755926</v>
      </c>
      <c r="E131" s="11">
        <v>2905.1199000000001</v>
      </c>
      <c r="F131" s="14">
        <f t="shared" si="1"/>
        <v>6.5000043991301482</v>
      </c>
      <c r="G131" s="4">
        <v>4062488</v>
      </c>
      <c r="H131" s="3"/>
      <c r="I131" s="8">
        <v>560270.9</v>
      </c>
      <c r="J131" s="3"/>
      <c r="K131" s="19">
        <v>135.74</v>
      </c>
      <c r="L131" s="18">
        <v>176</v>
      </c>
      <c r="M131" s="20">
        <v>13012.4</v>
      </c>
      <c r="N131" s="23">
        <v>13253.7</v>
      </c>
      <c r="O131" s="18">
        <v>6275</v>
      </c>
      <c r="P131" s="3">
        <v>5.27</v>
      </c>
      <c r="Q131" s="25">
        <v>16447.52</v>
      </c>
      <c r="R131" s="3">
        <v>120.9</v>
      </c>
    </row>
    <row r="132" spans="1:18" x14ac:dyDescent="0.75">
      <c r="A132" t="s">
        <v>19</v>
      </c>
      <c r="B132" s="3">
        <v>2025</v>
      </c>
      <c r="C132" s="4">
        <v>611</v>
      </c>
      <c r="D132" s="4">
        <v>2701726</v>
      </c>
      <c r="E132" s="11">
        <v>2996.5610000000001</v>
      </c>
      <c r="F132" s="14">
        <f t="shared" si="1"/>
        <v>6.5000113730385038</v>
      </c>
      <c r="G132" s="4">
        <v>3639413</v>
      </c>
      <c r="H132" s="3"/>
      <c r="I132" s="8">
        <v>177993</v>
      </c>
      <c r="J132" s="3"/>
      <c r="K132" s="19">
        <v>135.74</v>
      </c>
      <c r="L132" s="18">
        <v>176</v>
      </c>
      <c r="M132" s="20">
        <v>565.5</v>
      </c>
      <c r="N132" s="23">
        <v>142.5</v>
      </c>
      <c r="O132">
        <v>1346.2</v>
      </c>
      <c r="P132" s="3">
        <v>5.27</v>
      </c>
      <c r="Q132" s="25">
        <v>16447.52</v>
      </c>
      <c r="R132" s="3">
        <v>120.9</v>
      </c>
    </row>
    <row r="133" spans="1:18" x14ac:dyDescent="0.75">
      <c r="A133" t="s">
        <v>20</v>
      </c>
      <c r="B133" s="3">
        <v>2025</v>
      </c>
      <c r="C133" s="4">
        <v>177</v>
      </c>
      <c r="D133" s="4">
        <v>3106729</v>
      </c>
      <c r="E133" s="11">
        <v>3580.16</v>
      </c>
      <c r="F133" s="14">
        <f t="shared" si="1"/>
        <v>6.499986762464772</v>
      </c>
      <c r="G133" s="4">
        <v>2569181</v>
      </c>
      <c r="H133" s="3"/>
      <c r="I133" s="8">
        <v>112939</v>
      </c>
      <c r="J133" s="3"/>
      <c r="K133" s="19">
        <v>135.74</v>
      </c>
      <c r="L133" s="18">
        <v>176</v>
      </c>
      <c r="M133" s="20">
        <v>1697.1</v>
      </c>
      <c r="N133" s="23">
        <v>254.4</v>
      </c>
      <c r="O133">
        <v>1795.3</v>
      </c>
      <c r="P133" s="3">
        <v>5.27</v>
      </c>
      <c r="Q133" s="25">
        <v>16447.52</v>
      </c>
      <c r="R133" s="3">
        <v>120.9</v>
      </c>
    </row>
    <row r="134" spans="1:18" x14ac:dyDescent="0.75">
      <c r="A134" t="s">
        <v>21</v>
      </c>
      <c r="B134" s="3">
        <v>2025</v>
      </c>
      <c r="C134" s="4">
        <v>171</v>
      </c>
      <c r="D134" s="4">
        <v>2989090</v>
      </c>
      <c r="E134" s="11">
        <v>2878.2860000000001</v>
      </c>
      <c r="F134" s="14">
        <f t="shared" si="1"/>
        <v>6.499998519952527</v>
      </c>
      <c r="G134" s="4">
        <v>2674136</v>
      </c>
      <c r="H134" s="3"/>
      <c r="I134" s="8">
        <v>82176.5</v>
      </c>
      <c r="J134" s="3"/>
      <c r="K134" s="19">
        <v>135.74</v>
      </c>
      <c r="L134" s="18">
        <v>176</v>
      </c>
      <c r="M134" s="20">
        <v>76.599999999999994</v>
      </c>
      <c r="N134" s="23">
        <v>12.4</v>
      </c>
      <c r="O134">
        <v>1738.6</v>
      </c>
      <c r="P134" s="3">
        <v>5.27</v>
      </c>
      <c r="Q134" s="25">
        <v>16447.52</v>
      </c>
      <c r="R134" s="3">
        <v>120.9</v>
      </c>
    </row>
    <row r="135" spans="1:18" x14ac:dyDescent="0.75">
      <c r="A135" t="s">
        <v>22</v>
      </c>
      <c r="B135" s="3">
        <v>2025</v>
      </c>
      <c r="C135" s="4">
        <v>2577</v>
      </c>
      <c r="D135" s="4">
        <v>2930432</v>
      </c>
      <c r="E135" s="11">
        <v>3473.62104</v>
      </c>
      <c r="F135" s="14">
        <f t="shared" si="1"/>
        <v>6.5</v>
      </c>
      <c r="G135" s="4">
        <v>2972111</v>
      </c>
      <c r="H135" s="3"/>
      <c r="I135" s="8">
        <v>171330.7</v>
      </c>
      <c r="J135" s="3"/>
      <c r="K135" s="19">
        <v>135.74</v>
      </c>
      <c r="L135" s="18">
        <v>176</v>
      </c>
      <c r="M135" s="20">
        <v>2149.6999999999998</v>
      </c>
      <c r="N135" s="23">
        <v>650.5</v>
      </c>
      <c r="O135">
        <v>1715.8</v>
      </c>
      <c r="P135" s="3">
        <v>5.27</v>
      </c>
      <c r="Q135" s="25">
        <v>16447.52</v>
      </c>
      <c r="R135" s="3">
        <v>120.9</v>
      </c>
    </row>
    <row r="136" spans="1:18" x14ac:dyDescent="0.75">
      <c r="A136" t="s">
        <v>23</v>
      </c>
      <c r="B136" s="3">
        <v>2025</v>
      </c>
      <c r="C136" s="4">
        <v>479</v>
      </c>
      <c r="D136" s="4">
        <v>1417683</v>
      </c>
      <c r="E136" s="11">
        <v>3496.1950000000002</v>
      </c>
      <c r="F136" s="14">
        <f t="shared" si="1"/>
        <v>6.5000067015717207</v>
      </c>
      <c r="G136" s="4">
        <v>3451676</v>
      </c>
      <c r="H136" s="3"/>
      <c r="I136" s="8">
        <v>124378.8</v>
      </c>
      <c r="J136" s="3"/>
      <c r="K136" s="19">
        <v>135.74</v>
      </c>
      <c r="L136" s="18">
        <v>176</v>
      </c>
      <c r="M136" s="20">
        <v>3538.6</v>
      </c>
      <c r="N136" s="23">
        <v>37.700000000000003</v>
      </c>
      <c r="O136">
        <v>1060.5999999999999</v>
      </c>
      <c r="P136" s="3">
        <v>5.27</v>
      </c>
      <c r="Q136" s="25">
        <v>16447.52</v>
      </c>
      <c r="R136" s="3">
        <v>120.9</v>
      </c>
    </row>
    <row r="137" spans="1:18" x14ac:dyDescent="0.75">
      <c r="A137" t="s">
        <v>24</v>
      </c>
      <c r="B137" s="3">
        <v>2025</v>
      </c>
      <c r="C137" s="4">
        <v>2140</v>
      </c>
      <c r="D137" s="4">
        <v>2153139</v>
      </c>
      <c r="E137" s="11">
        <v>3579.3137700000002</v>
      </c>
      <c r="F137" s="14">
        <f t="shared" si="1"/>
        <v>6.5</v>
      </c>
      <c r="G137" s="4">
        <v>3164480</v>
      </c>
      <c r="H137" s="3"/>
      <c r="I137" s="8">
        <v>164958.29999999999</v>
      </c>
      <c r="J137" s="3"/>
      <c r="K137" s="19">
        <v>135.74</v>
      </c>
      <c r="L137" s="18">
        <v>176</v>
      </c>
      <c r="M137" s="20">
        <v>10136.6</v>
      </c>
      <c r="N137" s="23">
        <v>1522.3</v>
      </c>
      <c r="O137" s="18">
        <v>2060</v>
      </c>
      <c r="P137" s="3">
        <v>5.27</v>
      </c>
      <c r="Q137" s="25">
        <v>16447.52</v>
      </c>
      <c r="R137" s="3">
        <v>120.9</v>
      </c>
    </row>
    <row r="138" spans="1:18" x14ac:dyDescent="0.75">
      <c r="A138" t="s">
        <v>25</v>
      </c>
      <c r="B138" s="3">
        <v>2025</v>
      </c>
      <c r="C138" s="4">
        <v>3917</v>
      </c>
      <c r="D138" s="4">
        <v>1969739</v>
      </c>
      <c r="E138" s="11">
        <v>3775.4250000000002</v>
      </c>
      <c r="F138" s="14">
        <f t="shared" si="1"/>
        <v>6.5</v>
      </c>
      <c r="G138" s="4">
        <v>4475944</v>
      </c>
      <c r="H138" s="3"/>
      <c r="I138" s="8">
        <v>596660.6</v>
      </c>
      <c r="J138" s="3"/>
      <c r="K138" s="19">
        <v>135.74</v>
      </c>
      <c r="L138" s="18">
        <v>176</v>
      </c>
      <c r="M138" s="20">
        <v>21190.7</v>
      </c>
      <c r="N138" s="23">
        <v>5031.3</v>
      </c>
      <c r="O138">
        <v>2325.5</v>
      </c>
      <c r="P138" s="3">
        <v>5.27</v>
      </c>
      <c r="Q138" s="25">
        <v>16447.52</v>
      </c>
      <c r="R138" s="3">
        <v>120.9</v>
      </c>
    </row>
    <row r="139" spans="1:18" x14ac:dyDescent="0.75">
      <c r="A139" t="s">
        <v>26</v>
      </c>
      <c r="B139" s="3">
        <v>2025</v>
      </c>
      <c r="C139" s="4">
        <v>76</v>
      </c>
      <c r="D139" s="4">
        <v>380572</v>
      </c>
      <c r="E139" s="11">
        <v>2915</v>
      </c>
      <c r="F139" s="14">
        <f t="shared" si="1"/>
        <v>6.5152238208235076</v>
      </c>
      <c r="G139" s="4">
        <v>3675921</v>
      </c>
      <c r="H139" s="3"/>
      <c r="I139" s="8">
        <v>76468.899999999994</v>
      </c>
      <c r="J139" s="3"/>
      <c r="K139" s="19">
        <v>135.74</v>
      </c>
      <c r="L139" s="18">
        <v>176</v>
      </c>
      <c r="M139" s="20">
        <v>1404.3</v>
      </c>
      <c r="N139" s="23">
        <v>896.1</v>
      </c>
      <c r="P139" s="3">
        <v>5.27</v>
      </c>
      <c r="Q139" s="25">
        <v>16447.52</v>
      </c>
      <c r="R139" s="3">
        <v>120.9</v>
      </c>
    </row>
    <row r="140" spans="1:18" x14ac:dyDescent="0.75">
      <c r="A140" t="s">
        <v>27</v>
      </c>
      <c r="B140" s="3">
        <v>2025</v>
      </c>
      <c r="C140" s="4">
        <v>345</v>
      </c>
      <c r="D140" s="4">
        <v>1339333</v>
      </c>
      <c r="E140" s="11">
        <v>3657.5273699999998</v>
      </c>
      <c r="F140" s="14">
        <f t="shared" si="1"/>
        <v>6.5</v>
      </c>
      <c r="G140" s="4">
        <v>3420935</v>
      </c>
      <c r="H140" s="3"/>
      <c r="I140" s="8">
        <v>113659.4</v>
      </c>
      <c r="J140" s="3"/>
      <c r="K140" s="19">
        <v>135.74</v>
      </c>
      <c r="L140" s="18">
        <v>176</v>
      </c>
      <c r="M140" s="20">
        <v>1236.4000000000001</v>
      </c>
      <c r="N140" s="23">
        <v>174.6</v>
      </c>
      <c r="O140">
        <v>1280.5</v>
      </c>
      <c r="P140" s="3">
        <v>5.27</v>
      </c>
      <c r="Q140" s="25">
        <v>16447.52</v>
      </c>
      <c r="R140" s="3">
        <v>120.9</v>
      </c>
    </row>
    <row r="141" spans="1:18" x14ac:dyDescent="0.75">
      <c r="A141" t="s">
        <v>28</v>
      </c>
      <c r="B141" s="3">
        <v>2025</v>
      </c>
      <c r="C141" s="4">
        <v>1650</v>
      </c>
      <c r="D141" s="4">
        <v>1652846</v>
      </c>
      <c r="E141" s="11">
        <v>3073.5517</v>
      </c>
      <c r="F141" s="14">
        <f t="shared" si="1"/>
        <v>6.5000013860186669</v>
      </c>
      <c r="G141" s="4">
        <v>3056120</v>
      </c>
      <c r="H141" s="3"/>
      <c r="I141" s="8">
        <v>230265.2</v>
      </c>
      <c r="J141" s="3"/>
      <c r="K141" s="19">
        <v>135.74</v>
      </c>
      <c r="L141" s="18">
        <v>176</v>
      </c>
      <c r="M141" s="21">
        <v>22316</v>
      </c>
      <c r="N141" s="23">
        <v>11312.5</v>
      </c>
      <c r="O141">
        <v>1034.7</v>
      </c>
      <c r="P141" s="3">
        <v>5.27</v>
      </c>
      <c r="Q141" s="25">
        <v>16447.52</v>
      </c>
      <c r="R141" s="3">
        <v>120.9</v>
      </c>
    </row>
    <row r="142" spans="1:18" x14ac:dyDescent="0.75">
      <c r="A142" t="s">
        <v>29</v>
      </c>
      <c r="B142" s="3">
        <v>2025</v>
      </c>
      <c r="C142" s="4">
        <v>4297</v>
      </c>
      <c r="D142" s="4">
        <v>4759077</v>
      </c>
      <c r="E142" s="11">
        <v>3221.7310000000002</v>
      </c>
      <c r="F142" s="14">
        <f t="shared" si="1"/>
        <v>6.4999834716207801</v>
      </c>
      <c r="G142" s="4">
        <v>3060385</v>
      </c>
      <c r="H142" s="3"/>
      <c r="I142" s="8">
        <v>417633.69</v>
      </c>
      <c r="J142" s="3"/>
      <c r="K142" s="19">
        <v>135.74</v>
      </c>
      <c r="L142" s="18">
        <v>176</v>
      </c>
      <c r="M142" s="20">
        <v>1986.1</v>
      </c>
      <c r="N142" s="23">
        <v>1007.1</v>
      </c>
      <c r="O142">
        <v>5318.1</v>
      </c>
      <c r="P142" s="3">
        <v>5.27</v>
      </c>
      <c r="Q142" s="25">
        <v>16447.52</v>
      </c>
      <c r="R142" s="3">
        <v>120.9</v>
      </c>
    </row>
    <row r="143" spans="1:18" x14ac:dyDescent="0.75">
      <c r="A143" t="s">
        <v>30</v>
      </c>
      <c r="B143" s="3">
        <v>2025</v>
      </c>
      <c r="C143" s="4">
        <v>1409</v>
      </c>
      <c r="D143" s="4">
        <v>1434033</v>
      </c>
      <c r="E143" s="11">
        <v>3104.43</v>
      </c>
      <c r="F143" s="14">
        <f t="shared" si="1"/>
        <v>6.4999907374308634</v>
      </c>
      <c r="G143" s="4">
        <v>3189724</v>
      </c>
      <c r="H143" s="3"/>
      <c r="I143" s="8">
        <v>120590.2</v>
      </c>
      <c r="J143" s="3"/>
      <c r="K143" s="19">
        <v>135.74</v>
      </c>
      <c r="L143" s="18">
        <v>176</v>
      </c>
      <c r="M143" s="20">
        <v>3723.9</v>
      </c>
      <c r="N143" s="23">
        <v>1575.9</v>
      </c>
      <c r="O143">
        <v>764.5</v>
      </c>
      <c r="P143" s="3">
        <v>5.27</v>
      </c>
      <c r="Q143" s="25">
        <v>16447.52</v>
      </c>
      <c r="R143" s="3">
        <v>120.9</v>
      </c>
    </row>
    <row r="144" spans="1:18" x14ac:dyDescent="0.75">
      <c r="A144" t="s">
        <v>31</v>
      </c>
      <c r="B144" s="3">
        <v>2025</v>
      </c>
      <c r="C144" s="4">
        <v>87</v>
      </c>
      <c r="D144" s="4">
        <v>633263</v>
      </c>
      <c r="E144" s="11">
        <v>2602.931</v>
      </c>
      <c r="F144" s="14">
        <f t="shared" si="1"/>
        <v>6.4999854750299448</v>
      </c>
      <c r="G144" s="4">
        <v>2911813</v>
      </c>
      <c r="H144" s="3"/>
      <c r="I144" s="8">
        <v>34834.5</v>
      </c>
      <c r="J144" s="3"/>
      <c r="K144" s="19">
        <v>135.74</v>
      </c>
      <c r="L144" s="18">
        <v>176</v>
      </c>
      <c r="M144" s="20">
        <v>89.8</v>
      </c>
      <c r="N144" s="23">
        <v>2.2999999999999998</v>
      </c>
      <c r="O144">
        <v>646.79999999999995</v>
      </c>
      <c r="P144" s="3">
        <v>5.27</v>
      </c>
      <c r="Q144" s="25">
        <v>16447.52</v>
      </c>
      <c r="R144" s="3">
        <v>120.9</v>
      </c>
    </row>
    <row r="145" spans="1:18" x14ac:dyDescent="0.75">
      <c r="A145" t="s">
        <v>32</v>
      </c>
      <c r="B145" s="3">
        <v>2025</v>
      </c>
      <c r="C145" s="4">
        <v>95</v>
      </c>
      <c r="D145" s="4">
        <v>800433</v>
      </c>
      <c r="E145" s="11">
        <v>2328.9696899999999</v>
      </c>
      <c r="F145" s="14">
        <f t="shared" si="1"/>
        <v>6.5</v>
      </c>
      <c r="G145" s="4">
        <v>2698528</v>
      </c>
      <c r="H145" s="3"/>
      <c r="I145" s="8">
        <v>39075.699999999997</v>
      </c>
      <c r="J145" s="3"/>
      <c r="K145" s="19">
        <v>135.74</v>
      </c>
      <c r="L145" s="18">
        <v>176</v>
      </c>
      <c r="M145" s="20">
        <v>634.20000000000005</v>
      </c>
      <c r="N145" s="23">
        <v>0.9</v>
      </c>
      <c r="O145">
        <v>338.5</v>
      </c>
      <c r="P145" s="3">
        <v>5.27</v>
      </c>
      <c r="Q145" s="25">
        <v>16447.52</v>
      </c>
      <c r="R145" s="3">
        <v>120.9</v>
      </c>
    </row>
    <row r="146" spans="1:18" x14ac:dyDescent="0.75">
      <c r="A146" t="s">
        <v>33</v>
      </c>
      <c r="B146" s="3">
        <v>2025</v>
      </c>
      <c r="C146" s="4">
        <v>85</v>
      </c>
      <c r="D146" s="4">
        <v>922486</v>
      </c>
      <c r="E146" s="11">
        <v>3141.7</v>
      </c>
      <c r="F146" s="14">
        <f t="shared" si="1"/>
        <v>6.5000018644364843</v>
      </c>
      <c r="G146" s="4">
        <v>3100805</v>
      </c>
      <c r="H146" s="3"/>
      <c r="I146" s="8">
        <v>38906.1</v>
      </c>
      <c r="J146" s="3"/>
      <c r="K146" s="19">
        <v>135.74</v>
      </c>
      <c r="L146" s="18">
        <v>176</v>
      </c>
      <c r="M146" s="21">
        <v>88</v>
      </c>
      <c r="N146" s="23">
        <v>359.1</v>
      </c>
      <c r="O146">
        <v>492.2</v>
      </c>
      <c r="P146" s="3">
        <v>5.27</v>
      </c>
      <c r="Q146" s="25">
        <v>16447.52</v>
      </c>
      <c r="R146" s="3">
        <v>120.9</v>
      </c>
    </row>
    <row r="147" spans="1:18" x14ac:dyDescent="0.75">
      <c r="A147" t="s">
        <v>34</v>
      </c>
      <c r="B147" s="3">
        <v>2025</v>
      </c>
      <c r="C147" s="4">
        <v>73</v>
      </c>
      <c r="D147" s="4">
        <v>673456</v>
      </c>
      <c r="E147" s="11">
        <v>3408</v>
      </c>
      <c r="F147" s="14">
        <f t="shared" si="1"/>
        <v>6.5</v>
      </c>
      <c r="G147" s="4">
        <v>3620219</v>
      </c>
      <c r="H147" s="3"/>
      <c r="I147" s="8">
        <v>74790.3</v>
      </c>
      <c r="J147" s="3"/>
      <c r="K147" s="19">
        <v>135.74</v>
      </c>
      <c r="L147" s="18">
        <v>176</v>
      </c>
      <c r="M147" s="20">
        <v>14759.9</v>
      </c>
      <c r="N147" s="23">
        <v>6428.6</v>
      </c>
      <c r="O147">
        <v>513.29999999999995</v>
      </c>
      <c r="P147" s="3">
        <v>5.27</v>
      </c>
      <c r="Q147" s="25">
        <v>16447.52</v>
      </c>
      <c r="R147" s="3">
        <v>120.9</v>
      </c>
    </row>
    <row r="148" spans="1:18" x14ac:dyDescent="0.75">
      <c r="A148" t="s">
        <v>35</v>
      </c>
      <c r="B148" s="3">
        <v>2025</v>
      </c>
      <c r="C148" s="4">
        <v>214</v>
      </c>
      <c r="D148" s="4">
        <v>288323</v>
      </c>
      <c r="E148" s="11">
        <v>3615</v>
      </c>
      <c r="F148" s="14">
        <f t="shared" si="1"/>
        <v>6.5428824049513707</v>
      </c>
      <c r="G148" s="4">
        <v>3765973</v>
      </c>
      <c r="H148" s="3"/>
      <c r="I148" s="8">
        <v>52683.4</v>
      </c>
      <c r="J148" s="3"/>
      <c r="K148" s="19">
        <v>135.74</v>
      </c>
      <c r="L148" s="18">
        <v>176</v>
      </c>
      <c r="M148" s="20">
        <v>3280.4</v>
      </c>
      <c r="N148" s="23">
        <v>18.100000000000001</v>
      </c>
      <c r="O148">
        <v>564.20000000000005</v>
      </c>
      <c r="P148" s="3">
        <v>5.27</v>
      </c>
      <c r="Q148" s="25">
        <v>16447.52</v>
      </c>
      <c r="R148" s="3">
        <v>120.9</v>
      </c>
    </row>
    <row r="149" spans="1:18" x14ac:dyDescent="0.75">
      <c r="A149" t="s">
        <v>36</v>
      </c>
      <c r="B149" s="3">
        <v>2025</v>
      </c>
      <c r="C149" s="4"/>
      <c r="D149" s="4">
        <v>301862</v>
      </c>
      <c r="E149" s="11">
        <v>4285.8500000000004</v>
      </c>
      <c r="F149" s="14">
        <f t="shared" si="1"/>
        <v>6.5000608806069238</v>
      </c>
      <c r="G149" s="4">
        <v>3837947</v>
      </c>
      <c r="H149" s="3"/>
      <c r="I149" s="8">
        <v>25875.200000000001</v>
      </c>
      <c r="J149" s="3"/>
      <c r="K149" s="19">
        <v>135.74</v>
      </c>
      <c r="L149" s="18">
        <v>176</v>
      </c>
      <c r="M149" s="20">
        <v>29.1</v>
      </c>
      <c r="N149" s="23">
        <v>0.8</v>
      </c>
      <c r="P149" s="3">
        <v>5.27</v>
      </c>
      <c r="Q149" s="25">
        <v>16447.52</v>
      </c>
      <c r="R149" s="3">
        <v>120.9</v>
      </c>
    </row>
    <row r="150" spans="1:18" x14ac:dyDescent="0.75">
      <c r="A150" t="s">
        <v>37</v>
      </c>
      <c r="B150" s="3">
        <v>2025</v>
      </c>
      <c r="C150" s="4">
        <v>88</v>
      </c>
      <c r="D150" s="4">
        <v>434016</v>
      </c>
      <c r="E150" s="11">
        <v>4285.8500000000004</v>
      </c>
      <c r="F150" s="14">
        <f t="shared" si="1"/>
        <v>6.5000608806069238</v>
      </c>
      <c r="G150" s="4">
        <v>4426645</v>
      </c>
      <c r="H150" s="3"/>
      <c r="I150" s="8">
        <v>53634.7</v>
      </c>
      <c r="J150" s="3"/>
      <c r="K150" s="19">
        <v>135.74</v>
      </c>
      <c r="L150" s="18">
        <v>176</v>
      </c>
      <c r="M150" s="20">
        <v>93.5</v>
      </c>
      <c r="N150" s="23">
        <v>8.6999999999999993</v>
      </c>
      <c r="O150">
        <v>1038.5999999999999</v>
      </c>
      <c r="P150" s="3">
        <v>5.27</v>
      </c>
      <c r="Q150" s="25">
        <v>16447.52</v>
      </c>
      <c r="R150" s="3">
        <v>120.9</v>
      </c>
    </row>
    <row r="151" spans="1:18" x14ac:dyDescent="0.75">
      <c r="A151" t="s">
        <v>38</v>
      </c>
      <c r="B151" s="3">
        <v>2025</v>
      </c>
      <c r="C151" s="4"/>
      <c r="D151" s="4">
        <v>217682</v>
      </c>
      <c r="E151" s="11">
        <v>4285.8500000000004</v>
      </c>
      <c r="F151" s="14">
        <f t="shared" si="1"/>
        <v>6.5000608806069238</v>
      </c>
      <c r="G151" s="4">
        <v>4264963</v>
      </c>
      <c r="H151" s="3"/>
      <c r="I151" s="8">
        <v>19706.8</v>
      </c>
      <c r="J151" s="3"/>
      <c r="K151" s="19">
        <v>135.74</v>
      </c>
      <c r="L151" s="18">
        <v>176</v>
      </c>
      <c r="M151" s="20">
        <v>0.1</v>
      </c>
      <c r="N151" s="23"/>
      <c r="O151" s="3"/>
      <c r="P151" s="3">
        <v>5.27</v>
      </c>
      <c r="Q151" s="25">
        <v>16447.52</v>
      </c>
      <c r="R151" s="3">
        <v>120.9</v>
      </c>
    </row>
    <row r="152" spans="1:18" x14ac:dyDescent="0.75">
      <c r="A152" t="s">
        <v>39</v>
      </c>
      <c r="B152" s="3">
        <v>2025</v>
      </c>
      <c r="C152" s="4"/>
      <c r="D152" s="4">
        <v>790239</v>
      </c>
      <c r="E152" s="11">
        <v>4285.848</v>
      </c>
      <c r="F152" s="14">
        <f t="shared" si="1"/>
        <v>6.5000111821522921</v>
      </c>
      <c r="G152" s="4">
        <v>4808336</v>
      </c>
      <c r="H152" s="3"/>
      <c r="I152" s="8">
        <v>82475.3</v>
      </c>
      <c r="J152" s="3"/>
      <c r="K152" s="19">
        <v>135.74</v>
      </c>
      <c r="L152" s="18">
        <v>176</v>
      </c>
      <c r="M152">
        <v>4352.2</v>
      </c>
      <c r="N152" s="23">
        <v>296.60000000000002</v>
      </c>
      <c r="O152" s="3"/>
      <c r="P152" s="3">
        <v>5.27</v>
      </c>
      <c r="Q152" s="25">
        <v>16447.52</v>
      </c>
      <c r="R152" s="3">
        <v>120.9</v>
      </c>
    </row>
    <row r="153" spans="1:18" x14ac:dyDescent="0.75">
      <c r="A153" t="s">
        <v>40</v>
      </c>
      <c r="B153" s="3">
        <v>2025</v>
      </c>
      <c r="C153" s="4"/>
      <c r="D153" s="4">
        <v>1040001</v>
      </c>
      <c r="E153" s="11">
        <v>3614</v>
      </c>
      <c r="F153" s="14">
        <f t="shared" si="1"/>
        <v>6.4977162221894815</v>
      </c>
      <c r="G153" s="4">
        <v>3941546</v>
      </c>
      <c r="H153" s="3"/>
      <c r="I153" s="8">
        <v>14315.6</v>
      </c>
      <c r="J153" s="3"/>
      <c r="K153" s="19">
        <v>135.74</v>
      </c>
      <c r="L153" s="18">
        <v>176</v>
      </c>
      <c r="N153" s="23"/>
      <c r="O153" s="3"/>
      <c r="P153" s="3">
        <v>5.27</v>
      </c>
      <c r="Q153" s="25">
        <v>16447.52</v>
      </c>
      <c r="R153" s="3">
        <v>120.9</v>
      </c>
    </row>
    <row r="154" spans="1:18" x14ac:dyDescent="0.75">
      <c r="A154" s="3"/>
      <c r="B154" s="3"/>
      <c r="C154" s="6"/>
      <c r="D154" s="6"/>
      <c r="E154" s="15"/>
      <c r="F154" s="6"/>
      <c r="G154" s="6"/>
      <c r="H154" s="3"/>
      <c r="I154" s="6"/>
      <c r="J154" s="3"/>
      <c r="K154" s="3"/>
      <c r="L154" s="3"/>
      <c r="O154" s="3"/>
      <c r="P154" s="3"/>
      <c r="Q154" s="3"/>
      <c r="R154" s="3"/>
    </row>
    <row r="155" spans="1:18" x14ac:dyDescent="0.75">
      <c r="A155" s="3"/>
      <c r="B155" s="3"/>
      <c r="C155" s="6"/>
      <c r="D155" s="6"/>
      <c r="E155" s="15"/>
      <c r="F155" s="6"/>
      <c r="G155" s="6"/>
      <c r="H155" s="3"/>
      <c r="I155" s="6"/>
      <c r="J155" s="3"/>
      <c r="K155" s="3"/>
      <c r="L155" s="3"/>
      <c r="O155" s="3"/>
      <c r="P155" s="3"/>
      <c r="Q155" s="3"/>
      <c r="R155" s="3"/>
    </row>
    <row r="156" spans="1:18" x14ac:dyDescent="0.75">
      <c r="A156" s="3"/>
      <c r="B156" s="3"/>
      <c r="C156" s="6"/>
      <c r="D156" s="6"/>
      <c r="E156" s="15"/>
      <c r="F156" s="6"/>
      <c r="G156" s="6"/>
      <c r="H156" s="3"/>
      <c r="I156" s="6"/>
      <c r="J156" s="3"/>
      <c r="K156" s="3"/>
      <c r="L156" s="3"/>
      <c r="O156" s="3"/>
      <c r="P156" s="3"/>
      <c r="Q156" s="3"/>
      <c r="R156" s="3"/>
    </row>
    <row r="157" spans="1:18" x14ac:dyDescent="0.75">
      <c r="A157" s="3"/>
      <c r="B157" s="3"/>
      <c r="C157" s="6"/>
      <c r="D157" s="6"/>
      <c r="E157" s="15"/>
      <c r="F157" s="6"/>
      <c r="G157" s="6"/>
      <c r="H157" s="3"/>
      <c r="I157" s="6"/>
      <c r="J157" s="3"/>
      <c r="K157" s="3"/>
      <c r="L157" s="3"/>
      <c r="M157" s="3"/>
      <c r="O157" s="3"/>
      <c r="P157" s="3"/>
      <c r="Q157" s="3"/>
      <c r="R157" s="3"/>
    </row>
    <row r="158" spans="1:18" x14ac:dyDescent="0.75">
      <c r="A158" s="3"/>
      <c r="B158" s="3"/>
      <c r="C158" s="6"/>
      <c r="D158" s="6"/>
      <c r="E158" s="15"/>
      <c r="F158" s="6"/>
      <c r="G158" s="6"/>
      <c r="H158" s="3"/>
      <c r="I158" s="6"/>
      <c r="J158" s="3"/>
      <c r="K158" s="3"/>
      <c r="L158" s="3"/>
      <c r="M158" s="3"/>
      <c r="O158" s="3"/>
      <c r="P158" s="3"/>
      <c r="Q158" s="3"/>
      <c r="R158" s="3"/>
    </row>
    <row r="159" spans="1:18" x14ac:dyDescent="0.75">
      <c r="A159" s="3"/>
      <c r="B159" s="3"/>
      <c r="C159" s="6"/>
      <c r="D159" s="6"/>
      <c r="E159" s="15"/>
      <c r="F159" s="6"/>
      <c r="G159" s="6"/>
      <c r="H159" s="3"/>
      <c r="I159" s="6"/>
      <c r="J159" s="3"/>
      <c r="K159" s="3"/>
      <c r="L159" s="3"/>
      <c r="M159" s="3"/>
      <c r="O159" s="3"/>
      <c r="P159" s="3"/>
      <c r="Q159" s="3"/>
      <c r="R159" s="3"/>
    </row>
    <row r="160" spans="1:18" x14ac:dyDescent="0.75">
      <c r="A160" s="3"/>
      <c r="B160" s="3"/>
      <c r="C160" s="6"/>
      <c r="D160" s="6"/>
      <c r="E160" s="15"/>
      <c r="F160" s="6"/>
      <c r="G160" s="6"/>
      <c r="H160" s="3"/>
      <c r="I160" s="6"/>
      <c r="J160" s="3"/>
      <c r="K160" s="3"/>
      <c r="L160" s="3"/>
      <c r="M160" s="3"/>
      <c r="O160" s="3"/>
      <c r="P160" s="3"/>
      <c r="Q160" s="3"/>
      <c r="R160" s="3"/>
    </row>
    <row r="161" spans="1:18" x14ac:dyDescent="0.75">
      <c r="A161" s="3"/>
      <c r="B161" s="3"/>
      <c r="C161" s="6"/>
      <c r="D161" s="6"/>
      <c r="E161" s="15"/>
      <c r="F161" s="6"/>
      <c r="G161" s="6"/>
      <c r="H161" s="3"/>
      <c r="I161" s="6"/>
      <c r="J161" s="3"/>
      <c r="K161" s="3"/>
      <c r="L161" s="3"/>
      <c r="M161" s="3"/>
      <c r="O161" s="3"/>
      <c r="P161" s="3"/>
      <c r="Q161" s="3"/>
      <c r="R161" s="3"/>
    </row>
    <row r="162" spans="1:18" x14ac:dyDescent="0.75">
      <c r="A162" s="3"/>
      <c r="B162" s="3"/>
      <c r="C162" s="6"/>
      <c r="D162" s="6"/>
      <c r="E162" s="15"/>
      <c r="F162" s="6"/>
      <c r="G162" s="6"/>
      <c r="H162" s="3"/>
      <c r="I162" s="6"/>
      <c r="J162" s="3"/>
      <c r="K162" s="3"/>
      <c r="L162" s="3"/>
      <c r="M162" s="3"/>
      <c r="O162" s="3"/>
      <c r="P162" s="3"/>
      <c r="Q162" s="3"/>
      <c r="R162" s="3"/>
    </row>
    <row r="163" spans="1:18" x14ac:dyDescent="0.75">
      <c r="A163" s="3"/>
      <c r="B163" s="3"/>
      <c r="C163" s="6"/>
      <c r="D163" s="6"/>
      <c r="E163" s="15"/>
      <c r="F163" s="6"/>
      <c r="G163" s="6"/>
      <c r="H163" s="3"/>
      <c r="I163" s="6"/>
      <c r="J163" s="3"/>
      <c r="K163" s="3"/>
      <c r="L163" s="3"/>
      <c r="M163" s="3"/>
      <c r="O163" s="3"/>
      <c r="P163" s="3"/>
      <c r="Q163" s="3"/>
      <c r="R163" s="3"/>
    </row>
    <row r="164" spans="1:18" x14ac:dyDescent="0.75">
      <c r="A164" s="3"/>
      <c r="B164" s="3"/>
      <c r="C164" s="6"/>
      <c r="D164" s="6"/>
      <c r="E164" s="15"/>
      <c r="F164" s="6"/>
      <c r="G164" s="6"/>
      <c r="H164" s="3"/>
      <c r="I164" s="6"/>
      <c r="J164" s="3"/>
      <c r="K164" s="3"/>
      <c r="L164" s="3"/>
      <c r="M164" s="3"/>
      <c r="O164" s="3"/>
      <c r="P164" s="3"/>
      <c r="Q164" s="3"/>
      <c r="R164" s="3"/>
    </row>
    <row r="165" spans="1:18" x14ac:dyDescent="0.75">
      <c r="A165" s="3"/>
      <c r="B165" s="3"/>
      <c r="C165" s="6"/>
      <c r="D165" s="6"/>
      <c r="E165" s="15"/>
      <c r="F165" s="6"/>
      <c r="G165" s="6"/>
      <c r="H165" s="3"/>
      <c r="I165" s="6"/>
      <c r="J165" s="3"/>
      <c r="K165" s="3"/>
      <c r="L165" s="3"/>
      <c r="M165" s="3"/>
      <c r="O165" s="3"/>
      <c r="P165" s="3"/>
      <c r="Q165" s="3"/>
      <c r="R165" s="3"/>
    </row>
    <row r="166" spans="1:18" x14ac:dyDescent="0.75">
      <c r="A166" s="3"/>
      <c r="B166" s="3"/>
      <c r="C166" s="6"/>
      <c r="D166" s="6"/>
      <c r="E166" s="15"/>
      <c r="F166" s="6"/>
      <c r="G166" s="6"/>
      <c r="H166" s="3"/>
      <c r="I166" s="6"/>
      <c r="J166" s="3"/>
      <c r="K166" s="3"/>
      <c r="L166" s="3"/>
      <c r="M166" s="3"/>
      <c r="O166" s="3"/>
      <c r="P166" s="3"/>
      <c r="Q166" s="3"/>
      <c r="R166" s="3"/>
    </row>
    <row r="167" spans="1:18" x14ac:dyDescent="0.75">
      <c r="A167" s="3"/>
      <c r="B167" s="3"/>
      <c r="C167" s="6"/>
      <c r="D167" s="6"/>
      <c r="E167" s="15"/>
      <c r="F167" s="6"/>
      <c r="G167" s="6"/>
      <c r="H167" s="3"/>
      <c r="I167" s="6"/>
      <c r="J167" s="3"/>
      <c r="K167" s="3"/>
      <c r="L167" s="3"/>
      <c r="M167" s="3"/>
      <c r="O167" s="3"/>
      <c r="P167" s="3"/>
      <c r="Q167" s="3"/>
      <c r="R167" s="3"/>
    </row>
    <row r="168" spans="1:18" x14ac:dyDescent="0.75">
      <c r="A168" s="3"/>
      <c r="B168" s="3"/>
      <c r="C168" s="6"/>
      <c r="D168" s="6"/>
      <c r="E168" s="15"/>
      <c r="F168" s="6"/>
      <c r="G168" s="6"/>
      <c r="H168" s="3"/>
      <c r="I168" s="6"/>
      <c r="J168" s="3"/>
      <c r="K168" s="3"/>
      <c r="L168" s="3"/>
      <c r="M168" s="3"/>
      <c r="O168" s="3"/>
      <c r="P168" s="3"/>
      <c r="Q168" s="3"/>
      <c r="R168" s="3"/>
    </row>
    <row r="169" spans="1:18" x14ac:dyDescent="0.75">
      <c r="A169" s="3"/>
      <c r="B169" s="3"/>
      <c r="C169" s="6"/>
      <c r="D169" s="6"/>
      <c r="E169" s="15"/>
      <c r="F169" s="6"/>
      <c r="G169" s="6"/>
      <c r="H169" s="3"/>
      <c r="I169" s="6"/>
      <c r="J169" s="3"/>
      <c r="K169" s="3"/>
      <c r="L169" s="3"/>
      <c r="M169" s="3"/>
      <c r="O169" s="3"/>
      <c r="P169" s="3"/>
      <c r="Q169" s="3"/>
      <c r="R169" s="3"/>
    </row>
    <row r="170" spans="1:18" x14ac:dyDescent="0.75">
      <c r="A170" s="3"/>
      <c r="B170" s="3"/>
      <c r="C170" s="6"/>
      <c r="D170" s="6"/>
      <c r="E170" s="15"/>
      <c r="F170" s="6"/>
      <c r="G170" s="6"/>
      <c r="H170" s="3"/>
      <c r="I170" s="6"/>
      <c r="J170" s="3"/>
      <c r="K170" s="3"/>
      <c r="L170" s="3"/>
      <c r="M170" s="3"/>
      <c r="O170" s="3"/>
      <c r="P170" s="3"/>
      <c r="Q170" s="3"/>
      <c r="R170" s="3"/>
    </row>
    <row r="171" spans="1:18" x14ac:dyDescent="0.75">
      <c r="A171" s="3"/>
      <c r="B171" s="3"/>
      <c r="C171" s="6"/>
      <c r="D171" s="6"/>
      <c r="E171" s="15"/>
      <c r="F171" s="6"/>
      <c r="G171" s="6"/>
      <c r="H171" s="3"/>
      <c r="I171" s="6"/>
      <c r="J171" s="3"/>
      <c r="K171" s="3"/>
      <c r="L171" s="3"/>
      <c r="M171" s="3"/>
      <c r="O171" s="3"/>
      <c r="P171" s="3"/>
      <c r="Q171" s="3"/>
      <c r="R171" s="3"/>
    </row>
    <row r="172" spans="1:18" x14ac:dyDescent="0.75">
      <c r="A172" s="3"/>
      <c r="B172" s="3"/>
      <c r="C172" s="6"/>
      <c r="D172" s="6"/>
      <c r="E172" s="15"/>
      <c r="F172" s="6"/>
      <c r="G172" s="6"/>
      <c r="H172" s="3"/>
      <c r="I172" s="6"/>
      <c r="J172" s="3"/>
      <c r="K172" s="3"/>
      <c r="L172" s="3"/>
      <c r="M172" s="3"/>
      <c r="O172" s="3"/>
      <c r="P172" s="3"/>
      <c r="Q172" s="3"/>
      <c r="R172" s="3"/>
    </row>
    <row r="173" spans="1:18" x14ac:dyDescent="0.75">
      <c r="A173" s="3"/>
      <c r="B173" s="3"/>
      <c r="C173" s="6"/>
      <c r="D173" s="6"/>
      <c r="E173" s="15"/>
      <c r="F173" s="6"/>
      <c r="G173" s="6"/>
      <c r="H173" s="3"/>
      <c r="I173" s="6"/>
      <c r="J173" s="3"/>
      <c r="K173" s="3"/>
      <c r="L173" s="3"/>
      <c r="M173" s="3"/>
      <c r="O173" s="3"/>
      <c r="P173" s="3"/>
      <c r="Q173" s="3"/>
      <c r="R173" s="3"/>
    </row>
    <row r="174" spans="1:18" x14ac:dyDescent="0.75">
      <c r="A174" s="3"/>
      <c r="B174" s="3"/>
      <c r="C174" s="6"/>
      <c r="D174" s="6"/>
      <c r="E174" s="15"/>
      <c r="F174" s="6"/>
      <c r="G174" s="6"/>
      <c r="H174" s="3"/>
      <c r="I174" s="6"/>
      <c r="J174" s="3"/>
      <c r="K174" s="3"/>
      <c r="L174" s="3"/>
      <c r="M174" s="3"/>
      <c r="O174" s="3"/>
      <c r="P174" s="3"/>
      <c r="Q174" s="3"/>
      <c r="R174" s="3"/>
    </row>
    <row r="175" spans="1:18" x14ac:dyDescent="0.75">
      <c r="A175" s="3"/>
      <c r="B175" s="3"/>
      <c r="C175" s="6"/>
      <c r="D175" s="6"/>
      <c r="E175" s="15"/>
      <c r="F175" s="6"/>
      <c r="G175" s="6"/>
      <c r="H175" s="3"/>
      <c r="I175" s="6"/>
      <c r="J175" s="3"/>
      <c r="K175" s="3"/>
      <c r="L175" s="3"/>
      <c r="M175" s="3"/>
      <c r="O175" s="3"/>
      <c r="P175" s="3"/>
      <c r="Q175" s="3"/>
      <c r="R175" s="3"/>
    </row>
    <row r="176" spans="1:18" x14ac:dyDescent="0.75">
      <c r="A176" s="3"/>
      <c r="B176" s="3"/>
      <c r="C176" s="6"/>
      <c r="D176" s="6"/>
      <c r="E176" s="15"/>
      <c r="F176" s="6"/>
      <c r="G176" s="6"/>
      <c r="H176" s="3"/>
      <c r="I176" s="6"/>
      <c r="J176" s="3"/>
      <c r="K176" s="3"/>
      <c r="L176" s="3"/>
      <c r="M176" s="3"/>
      <c r="O176" s="3"/>
      <c r="P176" s="3"/>
      <c r="Q176" s="3"/>
      <c r="R176" s="3"/>
    </row>
    <row r="177" spans="1:18" x14ac:dyDescent="0.75">
      <c r="A177" s="3"/>
      <c r="B177" s="3"/>
      <c r="C177" s="6"/>
      <c r="D177" s="6"/>
      <c r="E177" s="15"/>
      <c r="F177" s="6"/>
      <c r="G177" s="6"/>
      <c r="H177" s="3"/>
      <c r="I177" s="6"/>
      <c r="J177" s="3"/>
      <c r="K177" s="3"/>
      <c r="L177" s="3"/>
      <c r="M177" s="3"/>
      <c r="O177" s="3"/>
      <c r="P177" s="3"/>
      <c r="Q177" s="3"/>
      <c r="R177" s="3"/>
    </row>
    <row r="178" spans="1:18" x14ac:dyDescent="0.75">
      <c r="A178" s="3"/>
      <c r="B178" s="3"/>
      <c r="C178" s="6"/>
      <c r="D178" s="6"/>
      <c r="E178" s="15"/>
      <c r="F178" s="6"/>
      <c r="G178" s="6"/>
      <c r="H178" s="3"/>
      <c r="I178" s="6"/>
      <c r="J178" s="3"/>
      <c r="K178" s="3"/>
      <c r="L178" s="3"/>
      <c r="M178" s="3"/>
      <c r="O178" s="3"/>
      <c r="P178" s="3"/>
      <c r="Q178" s="3"/>
      <c r="R178" s="3"/>
    </row>
    <row r="179" spans="1:18" x14ac:dyDescent="0.75">
      <c r="A179" s="3"/>
      <c r="B179" s="3"/>
      <c r="C179" s="6"/>
      <c r="D179" s="6"/>
      <c r="E179" s="15"/>
      <c r="F179" s="6"/>
      <c r="G179" s="6"/>
      <c r="H179" s="3"/>
      <c r="I179" s="6"/>
      <c r="J179" s="3"/>
      <c r="K179" s="3"/>
      <c r="L179" s="3"/>
      <c r="M179" s="3"/>
      <c r="O179" s="3"/>
      <c r="P179" s="3"/>
      <c r="Q179" s="3"/>
      <c r="R179" s="3"/>
    </row>
    <row r="180" spans="1:18" x14ac:dyDescent="0.75">
      <c r="A180" s="3"/>
      <c r="B180" s="3"/>
      <c r="C180" s="6"/>
      <c r="D180" s="6"/>
      <c r="E180" s="15"/>
      <c r="F180" s="6"/>
      <c r="G180" s="6"/>
      <c r="H180" s="3"/>
      <c r="I180" s="6"/>
      <c r="J180" s="3"/>
      <c r="K180" s="3"/>
      <c r="L180" s="3"/>
      <c r="M180" s="3"/>
      <c r="O180" s="3"/>
      <c r="P180" s="3"/>
      <c r="Q180" s="3"/>
      <c r="R180" s="3"/>
    </row>
    <row r="181" spans="1:18" x14ac:dyDescent="0.75">
      <c r="A181" s="3"/>
      <c r="B181" s="3"/>
      <c r="C181" s="6"/>
      <c r="D181" s="6"/>
      <c r="E181" s="15"/>
      <c r="F181" s="6"/>
      <c r="G181" s="6"/>
      <c r="H181" s="3"/>
      <c r="I181" s="6"/>
      <c r="J181" s="3"/>
      <c r="K181" s="3"/>
      <c r="L181" s="3"/>
      <c r="M181" s="3"/>
      <c r="O181" s="3"/>
      <c r="P181" s="3"/>
      <c r="Q181" s="3"/>
      <c r="R181" s="3"/>
    </row>
    <row r="182" spans="1:18" x14ac:dyDescent="0.75">
      <c r="A182" s="3"/>
      <c r="B182" s="3"/>
      <c r="C182" s="6"/>
      <c r="D182" s="6"/>
      <c r="E182" s="15"/>
      <c r="F182" s="6"/>
      <c r="G182" s="6"/>
      <c r="H182" s="3"/>
      <c r="I182" s="6"/>
      <c r="J182" s="3"/>
      <c r="K182" s="3"/>
      <c r="L182" s="3"/>
      <c r="M182" s="3"/>
      <c r="O182" s="3"/>
      <c r="P182" s="3"/>
      <c r="Q182" s="3"/>
      <c r="R182" s="3"/>
    </row>
    <row r="183" spans="1:18" x14ac:dyDescent="0.75">
      <c r="A183" s="3"/>
      <c r="B183" s="3"/>
      <c r="C183" s="6"/>
      <c r="D183" s="6"/>
      <c r="E183" s="15"/>
      <c r="F183" s="6"/>
      <c r="G183" s="6"/>
      <c r="H183" s="3"/>
      <c r="I183" s="6"/>
      <c r="J183" s="3"/>
      <c r="K183" s="3"/>
      <c r="L183" s="3"/>
      <c r="M183" s="3"/>
      <c r="O183" s="3"/>
      <c r="P183" s="3"/>
      <c r="Q183" s="3"/>
      <c r="R183" s="3"/>
    </row>
    <row r="184" spans="1:18" x14ac:dyDescent="0.75">
      <c r="A184" s="3"/>
      <c r="B184" s="3"/>
      <c r="C184" s="6"/>
      <c r="D184" s="6"/>
      <c r="E184" s="15"/>
      <c r="F184" s="6"/>
      <c r="G184" s="6"/>
      <c r="H184" s="3"/>
      <c r="I184" s="6"/>
      <c r="J184" s="3"/>
      <c r="K184" s="3"/>
      <c r="L184" s="3"/>
      <c r="M184" s="3"/>
      <c r="O184" s="3"/>
      <c r="P184" s="3"/>
      <c r="Q184" s="3"/>
      <c r="R184" s="3"/>
    </row>
    <row r="185" spans="1:18" x14ac:dyDescent="0.75">
      <c r="A185" s="3"/>
      <c r="B185" s="3"/>
      <c r="C185" s="6"/>
      <c r="D185" s="6"/>
      <c r="E185" s="15"/>
      <c r="F185" s="6"/>
      <c r="G185" s="6"/>
      <c r="H185" s="3"/>
      <c r="I185" s="6"/>
      <c r="J185" s="3"/>
      <c r="K185" s="3"/>
      <c r="L185" s="3"/>
      <c r="M185" s="3"/>
      <c r="O185" s="3"/>
      <c r="P185" s="3"/>
      <c r="Q185" s="3"/>
      <c r="R185" s="3"/>
    </row>
    <row r="186" spans="1:18" x14ac:dyDescent="0.75">
      <c r="A186" s="3"/>
      <c r="B186" s="3"/>
      <c r="C186" s="6"/>
      <c r="D186" s="6"/>
      <c r="E186" s="15"/>
      <c r="F186" s="6"/>
      <c r="G186" s="6"/>
      <c r="H186" s="3"/>
      <c r="I186" s="6"/>
      <c r="J186" s="3"/>
      <c r="K186" s="3"/>
      <c r="L186" s="3"/>
      <c r="M186" s="3"/>
      <c r="O186" s="3"/>
      <c r="P186" s="3"/>
      <c r="Q186" s="3"/>
      <c r="R186" s="3"/>
    </row>
    <row r="187" spans="1:18" x14ac:dyDescent="0.75">
      <c r="A187" s="3"/>
      <c r="B187" s="3"/>
      <c r="C187" s="6"/>
      <c r="D187" s="6"/>
      <c r="E187" s="15"/>
      <c r="F187" s="6"/>
      <c r="G187" s="6"/>
      <c r="H187" s="3"/>
      <c r="I187" s="6"/>
      <c r="J187" s="3"/>
      <c r="K187" s="3"/>
      <c r="L187" s="3"/>
      <c r="M187" s="3"/>
      <c r="O187" s="3"/>
      <c r="P187" s="3"/>
      <c r="Q187" s="3"/>
      <c r="R187" s="3"/>
    </row>
    <row r="188" spans="1:18" x14ac:dyDescent="0.75">
      <c r="A188" s="3"/>
      <c r="B188" s="3"/>
      <c r="C188" s="6"/>
      <c r="D188" s="6"/>
      <c r="E188" s="15"/>
      <c r="F188" s="6"/>
      <c r="G188" s="6"/>
      <c r="H188" s="3"/>
      <c r="I188" s="6"/>
      <c r="J188" s="3"/>
      <c r="K188" s="3"/>
      <c r="L188" s="3"/>
      <c r="M188" s="3"/>
      <c r="O188" s="3"/>
      <c r="P188" s="3"/>
      <c r="Q188" s="3"/>
      <c r="R188" s="3"/>
    </row>
    <row r="189" spans="1:18" x14ac:dyDescent="0.75">
      <c r="A189" s="3"/>
      <c r="B189" s="3"/>
      <c r="C189" s="6"/>
      <c r="D189" s="6"/>
      <c r="E189" s="15"/>
      <c r="F189" s="6"/>
      <c r="G189" s="6"/>
      <c r="H189" s="3"/>
      <c r="I189" s="6"/>
      <c r="J189" s="3"/>
      <c r="K189" s="3"/>
      <c r="L189" s="3"/>
      <c r="M189" s="3"/>
      <c r="O189" s="3"/>
      <c r="P189" s="3"/>
      <c r="Q189" s="3"/>
      <c r="R189" s="3"/>
    </row>
    <row r="190" spans="1:18" x14ac:dyDescent="0.75">
      <c r="A190" s="3"/>
      <c r="B190" s="3"/>
      <c r="C190" s="6"/>
      <c r="D190" s="6"/>
      <c r="E190" s="15"/>
      <c r="F190" s="6"/>
      <c r="G190" s="6"/>
      <c r="H190" s="3"/>
      <c r="I190" s="6"/>
      <c r="J190" s="3"/>
      <c r="K190" s="3"/>
      <c r="L190" s="3"/>
      <c r="M190" s="3"/>
      <c r="O190" s="3"/>
      <c r="P190" s="3"/>
      <c r="Q190" s="3"/>
      <c r="R190" s="3"/>
    </row>
    <row r="191" spans="1:18" x14ac:dyDescent="0.75">
      <c r="A191" s="3"/>
      <c r="B191" s="3"/>
      <c r="C191" s="6"/>
      <c r="D191" s="6"/>
      <c r="E191" s="15"/>
      <c r="F191" s="6"/>
      <c r="G191" s="6"/>
      <c r="H191" s="3"/>
      <c r="I191" s="6"/>
      <c r="J191" s="3"/>
      <c r="K191" s="3"/>
      <c r="L191" s="3"/>
      <c r="M191" s="3"/>
      <c r="O191" s="3"/>
      <c r="P191" s="3"/>
      <c r="Q191" s="3"/>
      <c r="R191" s="3"/>
    </row>
    <row r="192" spans="1:18" x14ac:dyDescent="0.75">
      <c r="A192" s="3"/>
      <c r="B192" s="3"/>
      <c r="C192" s="6"/>
      <c r="D192" s="6"/>
      <c r="E192" s="15"/>
      <c r="F192" s="6"/>
      <c r="G192" s="6"/>
      <c r="H192" s="3"/>
      <c r="I192" s="6"/>
      <c r="J192" s="3"/>
      <c r="K192" s="3"/>
      <c r="L192" s="3"/>
      <c r="M192" s="3"/>
      <c r="O192" s="3"/>
      <c r="P192" s="3"/>
      <c r="Q192" s="3"/>
      <c r="R192" s="3"/>
    </row>
    <row r="193" spans="1:18" x14ac:dyDescent="0.75">
      <c r="A193" s="3"/>
      <c r="B193" s="3"/>
      <c r="C193" s="6"/>
      <c r="D193" s="6"/>
      <c r="E193" s="15"/>
      <c r="F193" s="6"/>
      <c r="G193" s="6"/>
      <c r="H193" s="3"/>
      <c r="I193" s="6"/>
      <c r="J193" s="3"/>
      <c r="K193" s="3"/>
      <c r="L193" s="3"/>
      <c r="M193" s="3"/>
      <c r="N193" s="3"/>
      <c r="O193" s="3"/>
      <c r="P193" s="3"/>
      <c r="Q193" s="3"/>
      <c r="R193" s="3"/>
    </row>
    <row r="194" spans="1:18" x14ac:dyDescent="0.75">
      <c r="A194" s="3"/>
      <c r="B194" s="3"/>
      <c r="C194" s="6"/>
      <c r="D194" s="6"/>
      <c r="E194" s="15"/>
      <c r="F194" s="6"/>
      <c r="G194" s="6"/>
      <c r="H194" s="3"/>
      <c r="I194" s="6"/>
      <c r="J194" s="3"/>
      <c r="K194" s="3"/>
      <c r="L194" s="3"/>
      <c r="M194" s="3"/>
      <c r="N194" s="3"/>
      <c r="O194" s="3"/>
      <c r="P194" s="3"/>
      <c r="Q194" s="3"/>
      <c r="R194" s="3"/>
    </row>
    <row r="195" spans="1:18" x14ac:dyDescent="0.75">
      <c r="A195" s="3"/>
      <c r="B195" s="3"/>
      <c r="C195" s="6"/>
      <c r="D195" s="6"/>
      <c r="E195" s="15"/>
      <c r="F195" s="6"/>
      <c r="G195" s="6"/>
      <c r="H195" s="3"/>
      <c r="I195" s="6"/>
      <c r="J195" s="3"/>
      <c r="K195" s="3"/>
      <c r="L195" s="3"/>
      <c r="M195" s="3"/>
      <c r="N195" s="3"/>
      <c r="O195" s="3"/>
      <c r="P195" s="3"/>
      <c r="Q195" s="3"/>
      <c r="R195" s="3"/>
    </row>
    <row r="196" spans="1:18" x14ac:dyDescent="0.75">
      <c r="A196" s="3"/>
      <c r="B196" s="3"/>
      <c r="C196" s="6"/>
      <c r="D196" s="6"/>
      <c r="E196" s="15"/>
      <c r="F196" s="6"/>
      <c r="G196" s="6"/>
      <c r="H196" s="3"/>
      <c r="I196" s="6"/>
      <c r="J196" s="3"/>
      <c r="K196" s="3"/>
      <c r="L196" s="3"/>
      <c r="M196" s="3"/>
      <c r="N196" s="3"/>
      <c r="O196" s="3"/>
      <c r="P196" s="3"/>
      <c r="Q196" s="3"/>
      <c r="R196" s="3"/>
    </row>
    <row r="197" spans="1:18" x14ac:dyDescent="0.75">
      <c r="A197" s="3"/>
      <c r="B197" s="3"/>
      <c r="C197" s="6"/>
      <c r="D197" s="6"/>
      <c r="E197" s="15"/>
      <c r="F197" s="6"/>
      <c r="G197" s="6"/>
      <c r="H197" s="3"/>
      <c r="I197" s="6"/>
      <c r="J197" s="3"/>
      <c r="K197" s="3"/>
      <c r="L197" s="3"/>
      <c r="M197" s="3"/>
      <c r="N197" s="3"/>
      <c r="O197" s="3"/>
      <c r="P197" s="3"/>
      <c r="Q197" s="3"/>
      <c r="R197" s="3"/>
    </row>
    <row r="198" spans="1:18" x14ac:dyDescent="0.75">
      <c r="A198" s="3"/>
      <c r="B198" s="3"/>
      <c r="C198" s="6"/>
      <c r="D198" s="6"/>
      <c r="E198" s="15"/>
      <c r="F198" s="6"/>
      <c r="G198" s="6"/>
      <c r="H198" s="3"/>
      <c r="I198" s="6"/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75">
      <c r="A199" s="3"/>
      <c r="B199" s="3"/>
      <c r="C199" s="6"/>
      <c r="D199" s="6"/>
      <c r="E199" s="15"/>
      <c r="F199" s="6"/>
      <c r="G199" s="6"/>
      <c r="H199" s="3"/>
      <c r="I199" s="6"/>
      <c r="J199" s="3"/>
      <c r="K199" s="3"/>
      <c r="L199" s="3"/>
      <c r="M199" s="3"/>
      <c r="N199" s="3"/>
      <c r="O199" s="3"/>
      <c r="P199" s="3"/>
      <c r="Q199" s="3"/>
      <c r="R199" s="3"/>
    </row>
    <row r="200" spans="1:18" x14ac:dyDescent="0.75">
      <c r="A200" s="3"/>
      <c r="B200" s="3"/>
      <c r="C200" s="6"/>
      <c r="D200" s="6"/>
      <c r="E200" s="15"/>
      <c r="F200" s="6"/>
      <c r="G200" s="6"/>
      <c r="H200" s="3"/>
      <c r="I200" s="6"/>
      <c r="J200" s="3"/>
      <c r="K200" s="3"/>
      <c r="L200" s="3"/>
      <c r="M200" s="3"/>
      <c r="N200" s="3"/>
      <c r="O200" s="3"/>
      <c r="P200" s="3"/>
      <c r="Q200" s="3"/>
      <c r="R200" s="3"/>
    </row>
    <row r="201" spans="1:18" x14ac:dyDescent="0.75">
      <c r="A201" s="3"/>
      <c r="B201" s="3"/>
      <c r="C201" s="6"/>
      <c r="D201" s="6"/>
      <c r="E201" s="15"/>
      <c r="F201" s="6"/>
      <c r="G201" s="6"/>
      <c r="H201" s="3"/>
      <c r="I201" s="6"/>
      <c r="J201" s="3"/>
      <c r="K201" s="3"/>
      <c r="L201" s="3"/>
      <c r="M201" s="3"/>
      <c r="N201" s="3"/>
      <c r="O201" s="3"/>
      <c r="P201" s="3"/>
      <c r="Q201" s="3"/>
      <c r="R201" s="3"/>
    </row>
    <row r="202" spans="1:18" x14ac:dyDescent="0.75">
      <c r="A202" s="3"/>
      <c r="B202" s="3"/>
      <c r="C202" s="6"/>
      <c r="D202" s="6"/>
      <c r="E202" s="15"/>
      <c r="F202" s="6"/>
      <c r="G202" s="6"/>
      <c r="H202" s="3"/>
      <c r="I202" s="6"/>
      <c r="J202" s="3"/>
      <c r="K202" s="3"/>
      <c r="L202" s="3"/>
      <c r="M202" s="3"/>
      <c r="N202" s="3"/>
      <c r="O202" s="3"/>
      <c r="P202" s="3"/>
      <c r="Q202" s="3"/>
      <c r="R202" s="3"/>
    </row>
    <row r="203" spans="1:18" x14ac:dyDescent="0.75">
      <c r="A203" s="3"/>
      <c r="B203" s="3"/>
      <c r="C203" s="6"/>
      <c r="D203" s="6"/>
      <c r="E203" s="15"/>
      <c r="F203" s="6"/>
      <c r="G203" s="6"/>
      <c r="H203" s="3"/>
      <c r="I203" s="6"/>
      <c r="J203" s="3"/>
      <c r="K203" s="3"/>
      <c r="L203" s="3"/>
      <c r="M203" s="3"/>
      <c r="N203" s="3"/>
      <c r="O203" s="3"/>
      <c r="P203" s="3"/>
      <c r="Q203" s="3"/>
      <c r="R203" s="3"/>
    </row>
    <row r="204" spans="1:18" x14ac:dyDescent="0.75">
      <c r="A204" s="3"/>
      <c r="B204" s="3"/>
      <c r="C204" s="6"/>
      <c r="D204" s="6"/>
      <c r="E204" s="15"/>
      <c r="F204" s="6"/>
      <c r="G204" s="6"/>
      <c r="H204" s="3"/>
      <c r="I204" s="6"/>
      <c r="J204" s="3"/>
      <c r="K204" s="3"/>
      <c r="L204" s="3"/>
      <c r="M204" s="3"/>
      <c r="N204" s="3"/>
      <c r="O204" s="3"/>
      <c r="P204" s="3"/>
      <c r="Q204" s="3"/>
      <c r="R204" s="3"/>
    </row>
    <row r="205" spans="1:18" x14ac:dyDescent="0.75">
      <c r="A205" s="3"/>
      <c r="B205" s="3"/>
      <c r="C205" s="6"/>
      <c r="D205" s="6"/>
      <c r="E205" s="15"/>
      <c r="F205" s="6"/>
      <c r="G205" s="6"/>
      <c r="H205" s="3"/>
      <c r="I205" s="6"/>
      <c r="J205" s="3"/>
      <c r="K205" s="3"/>
      <c r="L205" s="3"/>
      <c r="M205" s="3"/>
      <c r="N205" s="3"/>
      <c r="O205" s="3"/>
      <c r="P205" s="3"/>
      <c r="Q205" s="3"/>
      <c r="R205" s="3"/>
    </row>
    <row r="206" spans="1:18" x14ac:dyDescent="0.75">
      <c r="A206" s="3"/>
      <c r="B206" s="3"/>
      <c r="C206" s="6"/>
      <c r="D206" s="6"/>
      <c r="E206" s="15"/>
      <c r="F206" s="6"/>
      <c r="G206" s="6"/>
      <c r="H206" s="3"/>
      <c r="I206" s="6"/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75">
      <c r="A207" s="3"/>
      <c r="B207" s="3"/>
      <c r="C207" s="6"/>
      <c r="D207" s="6"/>
      <c r="E207" s="15"/>
      <c r="F207" s="6"/>
      <c r="G207" s="6"/>
      <c r="H207" s="3"/>
      <c r="I207" s="6"/>
      <c r="J207" s="3"/>
      <c r="K207" s="3"/>
      <c r="L207" s="3"/>
      <c r="M207" s="3"/>
      <c r="N207" s="3"/>
      <c r="O207" s="3"/>
      <c r="P207" s="3"/>
      <c r="Q207" s="3"/>
      <c r="R207" s="3"/>
    </row>
    <row r="208" spans="1:18" x14ac:dyDescent="0.75">
      <c r="A208" s="3"/>
      <c r="B208" s="3"/>
      <c r="C208" s="6"/>
      <c r="D208" s="6"/>
      <c r="E208" s="15"/>
      <c r="F208" s="6"/>
      <c r="G208" s="6"/>
      <c r="H208" s="3"/>
      <c r="I208" s="6"/>
      <c r="J208" s="3"/>
      <c r="K208" s="3"/>
      <c r="L208" s="3"/>
      <c r="M208" s="3"/>
      <c r="N208" s="3"/>
      <c r="O208" s="3"/>
      <c r="P208" s="3"/>
      <c r="Q208" s="3"/>
      <c r="R208" s="3"/>
    </row>
    <row r="209" spans="1:18" x14ac:dyDescent="0.75">
      <c r="A209" s="3"/>
      <c r="B209" s="3"/>
      <c r="C209" s="6"/>
      <c r="D209" s="6"/>
      <c r="E209" s="15"/>
      <c r="F209" s="6"/>
      <c r="G209" s="6"/>
      <c r="H209" s="3"/>
      <c r="I209" s="6"/>
      <c r="J209" s="3"/>
      <c r="K209" s="3"/>
      <c r="L209" s="3"/>
      <c r="M209" s="3"/>
      <c r="N209" s="3"/>
      <c r="O209" s="3"/>
      <c r="P209" s="3"/>
      <c r="Q209" s="3"/>
      <c r="R209" s="3"/>
    </row>
    <row r="210" spans="1:18" x14ac:dyDescent="0.75">
      <c r="A210" s="3"/>
      <c r="B210" s="3"/>
      <c r="C210" s="6"/>
      <c r="D210" s="6"/>
      <c r="E210" s="15"/>
      <c r="F210" s="6"/>
      <c r="G210" s="6"/>
      <c r="H210" s="3"/>
      <c r="I210" s="6"/>
      <c r="J210" s="3"/>
      <c r="K210" s="3"/>
      <c r="L210" s="3"/>
      <c r="M210" s="3"/>
      <c r="N210" s="3"/>
      <c r="O210" s="3"/>
      <c r="P210" s="3"/>
      <c r="Q210" s="3"/>
      <c r="R210" s="3"/>
    </row>
    <row r="211" spans="1:18" x14ac:dyDescent="0.75">
      <c r="A211" s="3"/>
      <c r="B211" s="3"/>
      <c r="C211" s="6"/>
      <c r="D211" s="6"/>
      <c r="E211" s="15"/>
      <c r="F211" s="6"/>
      <c r="G211" s="6"/>
      <c r="H211" s="3"/>
      <c r="I211" s="6"/>
      <c r="J211" s="3"/>
      <c r="K211" s="3"/>
      <c r="L211" s="3"/>
      <c r="M211" s="3"/>
      <c r="N211" s="3"/>
      <c r="O211" s="3"/>
      <c r="P211" s="3"/>
      <c r="Q211" s="3"/>
      <c r="R211" s="3"/>
    </row>
    <row r="212" spans="1:18" x14ac:dyDescent="0.75">
      <c r="A212" s="3"/>
      <c r="B212" s="3"/>
      <c r="C212" s="6"/>
      <c r="D212" s="6"/>
      <c r="E212" s="15"/>
      <c r="F212" s="6"/>
      <c r="G212" s="6"/>
      <c r="H212" s="3"/>
      <c r="I212" s="6"/>
      <c r="J212" s="3"/>
      <c r="K212" s="3"/>
      <c r="L212" s="3"/>
      <c r="M212" s="3"/>
      <c r="N212" s="3"/>
      <c r="O212" s="3"/>
      <c r="P212" s="3"/>
      <c r="Q212" s="3"/>
      <c r="R212" s="3"/>
    </row>
    <row r="213" spans="1:18" x14ac:dyDescent="0.75">
      <c r="A213" s="3"/>
      <c r="B213" s="3"/>
      <c r="C213" s="6"/>
      <c r="D213" s="6"/>
      <c r="E213" s="15"/>
      <c r="F213" s="6"/>
      <c r="G213" s="6"/>
      <c r="H213" s="3"/>
      <c r="I213" s="6"/>
      <c r="J213" s="3"/>
      <c r="K213" s="3"/>
      <c r="L213" s="3"/>
      <c r="M213" s="3"/>
      <c r="N213" s="3"/>
      <c r="O213" s="3"/>
      <c r="P213" s="3"/>
      <c r="Q213" s="3"/>
      <c r="R213" s="3"/>
    </row>
    <row r="214" spans="1:18" x14ac:dyDescent="0.75">
      <c r="A214" s="3"/>
      <c r="B214" s="3"/>
      <c r="C214" s="6"/>
      <c r="D214" s="6"/>
      <c r="E214" s="15"/>
      <c r="F214" s="6"/>
      <c r="G214" s="6"/>
      <c r="H214" s="3"/>
      <c r="I214" s="6"/>
      <c r="J214" s="3"/>
      <c r="K214" s="3"/>
      <c r="L214" s="3"/>
      <c r="M214" s="3"/>
      <c r="N214" s="3"/>
      <c r="O214" s="3"/>
      <c r="P214" s="3"/>
      <c r="Q214" s="3"/>
      <c r="R214" s="3"/>
    </row>
    <row r="215" spans="1:18" x14ac:dyDescent="0.75">
      <c r="A215" s="3"/>
      <c r="B215" s="3"/>
      <c r="C215" s="6"/>
      <c r="D215" s="6"/>
      <c r="E215" s="15"/>
      <c r="F215" s="6"/>
      <c r="G215" s="6"/>
      <c r="H215" s="3"/>
      <c r="I215" s="6"/>
      <c r="J215" s="3"/>
      <c r="K215" s="3"/>
      <c r="L215" s="3"/>
      <c r="M215" s="3"/>
      <c r="N215" s="3"/>
      <c r="O215" s="3"/>
      <c r="P215" s="3"/>
      <c r="Q215" s="3"/>
      <c r="R215" s="3"/>
    </row>
    <row r="216" spans="1:18" x14ac:dyDescent="0.75">
      <c r="A216" s="3"/>
      <c r="B216" s="3"/>
      <c r="C216" s="6"/>
      <c r="D216" s="6"/>
      <c r="E216" s="15"/>
      <c r="F216" s="6"/>
      <c r="G216" s="6"/>
      <c r="H216" s="3"/>
      <c r="I216" s="6"/>
      <c r="J216" s="3"/>
      <c r="K216" s="3"/>
      <c r="L216" s="3"/>
      <c r="M216" s="3"/>
      <c r="N216" s="3"/>
      <c r="O216" s="3"/>
      <c r="P216" s="3"/>
      <c r="Q216" s="3"/>
      <c r="R216" s="3"/>
    </row>
    <row r="217" spans="1:18" x14ac:dyDescent="0.75">
      <c r="A217" s="3"/>
      <c r="B217" s="3"/>
      <c r="C217" s="6"/>
      <c r="D217" s="6"/>
      <c r="E217" s="15"/>
      <c r="F217" s="6"/>
      <c r="G217" s="6"/>
      <c r="H217" s="3"/>
      <c r="I217" s="6"/>
      <c r="J217" s="3"/>
      <c r="K217" s="3"/>
      <c r="L217" s="3"/>
      <c r="M217" s="3"/>
      <c r="N217" s="3"/>
      <c r="O217" s="3"/>
      <c r="P217" s="3"/>
      <c r="Q217" s="3"/>
      <c r="R217" s="3"/>
    </row>
    <row r="218" spans="1:18" x14ac:dyDescent="0.75">
      <c r="A218" s="3"/>
      <c r="B218" s="3"/>
      <c r="C218" s="6"/>
      <c r="D218" s="6"/>
      <c r="E218" s="15"/>
      <c r="F218" s="6"/>
      <c r="G218" s="6"/>
      <c r="H218" s="3"/>
      <c r="I218" s="6"/>
      <c r="J218" s="3"/>
      <c r="K218" s="3"/>
      <c r="L218" s="3"/>
      <c r="M218" s="3"/>
      <c r="N218" s="3"/>
      <c r="O218" s="3"/>
      <c r="P218" s="3"/>
      <c r="Q218" s="3"/>
      <c r="R218" s="3"/>
    </row>
    <row r="219" spans="1:18" x14ac:dyDescent="0.75">
      <c r="A219" s="3"/>
      <c r="B219" s="3"/>
      <c r="C219" s="6"/>
      <c r="D219" s="6"/>
      <c r="E219" s="15"/>
      <c r="F219" s="6"/>
      <c r="G219" s="6"/>
      <c r="H219" s="3"/>
      <c r="I219" s="6"/>
      <c r="J219" s="3"/>
      <c r="K219" s="3"/>
      <c r="L219" s="3"/>
      <c r="M219" s="3"/>
      <c r="N219" s="3"/>
      <c r="O219" s="3"/>
      <c r="P219" s="3"/>
      <c r="Q219" s="3"/>
      <c r="R219" s="3"/>
    </row>
    <row r="220" spans="1:18" x14ac:dyDescent="0.75">
      <c r="A220" s="3"/>
      <c r="B220" s="3"/>
      <c r="C220" s="6"/>
      <c r="D220" s="6"/>
      <c r="E220" s="15"/>
      <c r="F220" s="6"/>
      <c r="G220" s="6"/>
      <c r="H220" s="3"/>
      <c r="I220" s="6"/>
      <c r="J220" s="3"/>
      <c r="K220" s="3"/>
      <c r="L220" s="3"/>
      <c r="M220" s="3"/>
      <c r="N220" s="3"/>
      <c r="O220" s="3"/>
      <c r="P220" s="3"/>
      <c r="Q220" s="3"/>
      <c r="R220" s="3"/>
    </row>
    <row r="221" spans="1:18" x14ac:dyDescent="0.75">
      <c r="A221" s="3"/>
      <c r="B221" s="3"/>
      <c r="C221" s="6"/>
      <c r="D221" s="6"/>
      <c r="E221" s="15"/>
      <c r="F221" s="6"/>
      <c r="G221" s="6"/>
      <c r="H221" s="3"/>
      <c r="I221" s="6"/>
      <c r="J221" s="3"/>
      <c r="K221" s="3"/>
      <c r="L221" s="3"/>
      <c r="M221" s="3"/>
      <c r="N221" s="3"/>
      <c r="O221" s="3"/>
      <c r="P221" s="3"/>
      <c r="Q221" s="3"/>
      <c r="R221" s="3"/>
    </row>
    <row r="222" spans="1:18" x14ac:dyDescent="0.75">
      <c r="A222" s="3"/>
      <c r="B222" s="3"/>
      <c r="C222" s="6"/>
      <c r="D222" s="6"/>
      <c r="E222" s="15"/>
      <c r="F222" s="6"/>
      <c r="G222" s="6"/>
      <c r="H222" s="3"/>
      <c r="I222" s="6"/>
      <c r="J222" s="3"/>
      <c r="K222" s="3"/>
      <c r="L222" s="3"/>
      <c r="M222" s="3"/>
      <c r="N222" s="3"/>
      <c r="O222" s="3"/>
      <c r="P222" s="3"/>
      <c r="Q222" s="3"/>
      <c r="R222" s="3"/>
    </row>
    <row r="223" spans="1:18" x14ac:dyDescent="0.75">
      <c r="A223" s="3"/>
      <c r="B223" s="3"/>
      <c r="C223" s="6"/>
      <c r="D223" s="6"/>
      <c r="E223" s="15"/>
      <c r="F223" s="6"/>
      <c r="G223" s="6"/>
      <c r="H223" s="3"/>
      <c r="I223" s="6"/>
      <c r="J223" s="3"/>
      <c r="K223" s="3"/>
      <c r="L223" s="3"/>
      <c r="M223" s="3"/>
      <c r="N223" s="3"/>
      <c r="O223" s="3"/>
      <c r="P223" s="3"/>
      <c r="Q223" s="3"/>
      <c r="R223" s="3"/>
    </row>
    <row r="224" spans="1:18" x14ac:dyDescent="0.75">
      <c r="A224" s="3"/>
      <c r="B224" s="3"/>
      <c r="C224" s="6"/>
      <c r="D224" s="6"/>
      <c r="E224" s="15"/>
      <c r="F224" s="6"/>
      <c r="G224" s="6"/>
      <c r="H224" s="3"/>
      <c r="I224" s="6"/>
      <c r="J224" s="3"/>
      <c r="K224" s="3"/>
      <c r="L224" s="3"/>
      <c r="M224" s="3"/>
      <c r="N224" s="3"/>
      <c r="O224" s="3"/>
      <c r="P224" s="3"/>
      <c r="Q224" s="3"/>
      <c r="R224" s="3"/>
    </row>
    <row r="225" spans="1:18" x14ac:dyDescent="0.75">
      <c r="A225" s="3"/>
      <c r="B225" s="3"/>
      <c r="C225" s="6"/>
      <c r="D225" s="6"/>
      <c r="E225" s="15"/>
      <c r="F225" s="6"/>
      <c r="G225" s="6"/>
      <c r="H225" s="3"/>
      <c r="I225" s="6"/>
      <c r="J225" s="3"/>
      <c r="K225" s="3"/>
      <c r="L225" s="3"/>
      <c r="M225" s="3"/>
      <c r="N225" s="3"/>
      <c r="O225" s="3"/>
      <c r="P225" s="3"/>
      <c r="Q225" s="3"/>
      <c r="R225" s="3"/>
    </row>
    <row r="226" spans="1:18" x14ac:dyDescent="0.75">
      <c r="A226" s="3"/>
      <c r="B226" s="3"/>
      <c r="C226" s="6"/>
      <c r="D226" s="6"/>
      <c r="E226" s="15"/>
      <c r="F226" s="6"/>
      <c r="G226" s="6"/>
      <c r="H226" s="3"/>
      <c r="I226" s="6"/>
      <c r="J226" s="3"/>
      <c r="K226" s="3"/>
      <c r="L226" s="3"/>
      <c r="M226" s="3"/>
      <c r="N226" s="3"/>
      <c r="O226" s="3"/>
      <c r="P226" s="3"/>
      <c r="Q226" s="3"/>
      <c r="R226" s="3"/>
    </row>
    <row r="227" spans="1:18" x14ac:dyDescent="0.75">
      <c r="A227" s="3"/>
      <c r="B227" s="3"/>
      <c r="C227" s="6"/>
      <c r="D227" s="6"/>
      <c r="E227" s="15"/>
      <c r="F227" s="6"/>
      <c r="G227" s="6"/>
      <c r="H227" s="3"/>
      <c r="I227" s="6"/>
      <c r="J227" s="3"/>
      <c r="K227" s="3"/>
      <c r="L227" s="3"/>
      <c r="M227" s="3"/>
      <c r="N227" s="3"/>
      <c r="O227" s="3"/>
      <c r="P227" s="3"/>
      <c r="Q227" s="3"/>
      <c r="R227" s="3"/>
    </row>
    <row r="228" spans="1:18" x14ac:dyDescent="0.75">
      <c r="A228" s="3"/>
      <c r="B228" s="3"/>
      <c r="C228" s="6"/>
      <c r="D228" s="6"/>
      <c r="E228" s="15"/>
      <c r="F228" s="6"/>
      <c r="G228" s="6"/>
      <c r="H228" s="3"/>
      <c r="I228" s="6"/>
      <c r="J228" s="3"/>
      <c r="K228" s="3"/>
      <c r="L228" s="3"/>
      <c r="M228" s="3"/>
      <c r="N228" s="3"/>
      <c r="O228" s="3"/>
      <c r="P228" s="3"/>
      <c r="Q228" s="3"/>
      <c r="R228" s="3"/>
    </row>
    <row r="229" spans="1:18" x14ac:dyDescent="0.75">
      <c r="A229" s="3"/>
      <c r="B229" s="3"/>
      <c r="C229" s="6"/>
      <c r="D229" s="6"/>
      <c r="E229" s="15"/>
      <c r="F229" s="6"/>
      <c r="G229" s="6"/>
      <c r="H229" s="3"/>
      <c r="I229" s="6"/>
      <c r="J229" s="3"/>
      <c r="K229" s="3"/>
      <c r="L229" s="3"/>
      <c r="M229" s="3"/>
      <c r="N229" s="3"/>
      <c r="O229" s="3"/>
      <c r="P229" s="3"/>
      <c r="Q229" s="3"/>
      <c r="R229" s="3"/>
    </row>
    <row r="230" spans="1:18" x14ac:dyDescent="0.75">
      <c r="A230" s="3"/>
      <c r="B230" s="3"/>
      <c r="C230" s="6"/>
      <c r="D230" s="6"/>
      <c r="E230" s="15"/>
      <c r="F230" s="6"/>
      <c r="G230" s="6"/>
      <c r="H230" s="3"/>
      <c r="I230" s="6"/>
      <c r="J230" s="3"/>
      <c r="K230" s="3"/>
      <c r="L230" s="3"/>
      <c r="M230" s="3"/>
      <c r="N230" s="3"/>
      <c r="O230" s="3"/>
      <c r="P230" s="3"/>
      <c r="Q230" s="3"/>
      <c r="R230" s="3"/>
    </row>
    <row r="231" spans="1:18" x14ac:dyDescent="0.75">
      <c r="A231" s="3"/>
      <c r="B231" s="3"/>
      <c r="C231" s="6"/>
      <c r="D231" s="6"/>
      <c r="E231" s="15"/>
      <c r="F231" s="6"/>
      <c r="G231" s="6"/>
      <c r="H231" s="3"/>
      <c r="I231" s="6"/>
      <c r="J231" s="3"/>
      <c r="K231" s="3"/>
      <c r="L231" s="3"/>
      <c r="M231" s="3"/>
      <c r="N231" s="3"/>
      <c r="O231" s="3"/>
      <c r="P231" s="3"/>
      <c r="Q231" s="3"/>
      <c r="R231" s="3"/>
    </row>
    <row r="232" spans="1:18" x14ac:dyDescent="0.75">
      <c r="A232" s="3"/>
      <c r="B232" s="3"/>
      <c r="C232" s="6"/>
      <c r="D232" s="6"/>
      <c r="E232" s="15"/>
      <c r="F232" s="6"/>
      <c r="G232" s="6"/>
      <c r="H232" s="3"/>
      <c r="I232" s="6"/>
      <c r="J232" s="3"/>
      <c r="K232" s="3"/>
      <c r="L232" s="3"/>
      <c r="M232" s="3"/>
      <c r="N232" s="3"/>
      <c r="O232" s="3"/>
      <c r="P232" s="3"/>
      <c r="Q232" s="3"/>
      <c r="R232" s="3"/>
    </row>
    <row r="233" spans="1:18" x14ac:dyDescent="0.75">
      <c r="A233" s="3"/>
      <c r="B233" s="3"/>
      <c r="C233" s="6"/>
      <c r="D233" s="6"/>
      <c r="E233" s="15"/>
      <c r="F233" s="6"/>
      <c r="G233" s="6"/>
      <c r="H233" s="3"/>
      <c r="I233" s="6"/>
      <c r="J233" s="3"/>
      <c r="K233" s="3"/>
      <c r="L233" s="3"/>
      <c r="M233" s="3"/>
      <c r="N233" s="3"/>
      <c r="O233" s="3"/>
      <c r="P233" s="3"/>
      <c r="Q233" s="3"/>
      <c r="R233" s="3"/>
    </row>
    <row r="234" spans="1:18" x14ac:dyDescent="0.75">
      <c r="A234" s="3"/>
      <c r="B234" s="3"/>
      <c r="C234" s="6"/>
      <c r="D234" s="6"/>
      <c r="E234" s="15"/>
      <c r="F234" s="6"/>
      <c r="G234" s="6"/>
      <c r="H234" s="3"/>
      <c r="I234" s="6"/>
      <c r="J234" s="3"/>
      <c r="K234" s="3"/>
      <c r="L234" s="3"/>
      <c r="M234" s="3"/>
      <c r="N234" s="3"/>
      <c r="O234" s="3"/>
      <c r="P234" s="3"/>
      <c r="Q234" s="3"/>
      <c r="R234" s="3"/>
    </row>
    <row r="235" spans="1:18" x14ac:dyDescent="0.75">
      <c r="A235" s="3"/>
      <c r="B235" s="3"/>
      <c r="C235" s="6"/>
      <c r="D235" s="6"/>
      <c r="E235" s="15"/>
      <c r="F235" s="6"/>
      <c r="G235" s="6"/>
      <c r="H235" s="3"/>
      <c r="I235" s="6"/>
      <c r="J235" s="3"/>
      <c r="K235" s="3"/>
      <c r="L235" s="3"/>
      <c r="M235" s="3"/>
      <c r="N235" s="3"/>
      <c r="O235" s="3"/>
      <c r="P235" s="3"/>
      <c r="Q235" s="3"/>
      <c r="R235" s="3"/>
    </row>
    <row r="236" spans="1:18" x14ac:dyDescent="0.75">
      <c r="A236" s="3"/>
      <c r="B236" s="3"/>
      <c r="C236" s="6"/>
      <c r="D236" s="6"/>
      <c r="E236" s="15"/>
      <c r="F236" s="6"/>
      <c r="G236" s="6"/>
      <c r="H236" s="3"/>
      <c r="I236" s="6"/>
      <c r="J236" s="3"/>
      <c r="K236" s="3"/>
      <c r="L236" s="3"/>
      <c r="M236" s="3"/>
      <c r="N236" s="3"/>
      <c r="O236" s="3"/>
      <c r="P236" s="3"/>
      <c r="Q236" s="3"/>
      <c r="R236" s="3"/>
    </row>
    <row r="237" spans="1:18" x14ac:dyDescent="0.75">
      <c r="A237" s="3"/>
      <c r="B237" s="3"/>
      <c r="C237" s="6"/>
      <c r="D237" s="6"/>
      <c r="E237" s="15"/>
      <c r="F237" s="6"/>
      <c r="G237" s="6"/>
      <c r="H237" s="3"/>
      <c r="I237" s="6"/>
      <c r="J237" s="3"/>
      <c r="K237" s="3"/>
      <c r="L237" s="3"/>
      <c r="M237" s="3"/>
      <c r="N237" s="3"/>
      <c r="O237" s="3"/>
      <c r="P237" s="3"/>
      <c r="Q237" s="3"/>
      <c r="R237" s="3"/>
    </row>
    <row r="238" spans="1:18" x14ac:dyDescent="0.75">
      <c r="A238" s="3"/>
      <c r="B238" s="3"/>
      <c r="C238" s="6"/>
      <c r="D238" s="6"/>
      <c r="E238" s="15"/>
      <c r="F238" s="6"/>
      <c r="G238" s="6"/>
      <c r="H238" s="3"/>
      <c r="I238" s="6"/>
      <c r="J238" s="3"/>
      <c r="K238" s="3"/>
      <c r="L238" s="3"/>
      <c r="M238" s="3"/>
      <c r="N238" s="3"/>
      <c r="O238" s="3"/>
      <c r="P238" s="3"/>
      <c r="Q238" s="3"/>
      <c r="R238" s="3"/>
    </row>
    <row r="239" spans="1:18" x14ac:dyDescent="0.75">
      <c r="A239" s="3"/>
      <c r="B239" s="3"/>
      <c r="C239" s="6"/>
      <c r="D239" s="6"/>
      <c r="E239" s="15"/>
      <c r="F239" s="6"/>
      <c r="G239" s="6"/>
      <c r="H239" s="3"/>
      <c r="I239" s="6"/>
      <c r="J239" s="3"/>
      <c r="K239" s="3"/>
      <c r="L239" s="3"/>
      <c r="M239" s="3"/>
      <c r="N239" s="3"/>
      <c r="O239" s="3"/>
      <c r="P239" s="3"/>
      <c r="Q239" s="3"/>
      <c r="R239" s="3"/>
    </row>
    <row r="240" spans="1:18" x14ac:dyDescent="0.75">
      <c r="A240" s="3"/>
      <c r="B240" s="3"/>
      <c r="C240" s="6"/>
      <c r="D240" s="6"/>
      <c r="E240" s="15"/>
      <c r="F240" s="6"/>
      <c r="G240" s="6"/>
      <c r="H240" s="3"/>
      <c r="I240" s="6"/>
      <c r="J240" s="3"/>
      <c r="K240" s="3"/>
      <c r="L240" s="3"/>
      <c r="M240" s="3"/>
      <c r="N240" s="3"/>
      <c r="O240" s="3"/>
      <c r="P240" s="3"/>
      <c r="Q240" s="3"/>
      <c r="R240" s="3"/>
    </row>
    <row r="241" spans="1:18" x14ac:dyDescent="0.75">
      <c r="A241" s="3"/>
      <c r="B241" s="3"/>
      <c r="C241" s="6"/>
      <c r="D241" s="6"/>
      <c r="E241" s="15"/>
      <c r="F241" s="6"/>
      <c r="G241" s="6"/>
      <c r="H241" s="3"/>
      <c r="I241" s="6"/>
      <c r="J241" s="3"/>
      <c r="K241" s="3"/>
      <c r="L241" s="3"/>
      <c r="M241" s="3"/>
      <c r="N241" s="3"/>
      <c r="O241" s="3"/>
      <c r="P241" s="3"/>
      <c r="Q241" s="3"/>
      <c r="R241" s="3"/>
    </row>
    <row r="242" spans="1:18" x14ac:dyDescent="0.75">
      <c r="A242" s="3"/>
      <c r="B242" s="3"/>
      <c r="C242" s="6"/>
      <c r="D242" s="6"/>
      <c r="E242" s="15"/>
      <c r="F242" s="6"/>
      <c r="G242" s="6"/>
      <c r="H242" s="3"/>
      <c r="I242" s="6"/>
      <c r="J242" s="3"/>
      <c r="K242" s="3"/>
      <c r="L242" s="3"/>
      <c r="M242" s="3"/>
      <c r="N242" s="3"/>
      <c r="O242" s="3"/>
      <c r="P242" s="3"/>
      <c r="Q242" s="3"/>
      <c r="R242" s="3"/>
    </row>
    <row r="243" spans="1:18" x14ac:dyDescent="0.75">
      <c r="A243" s="3"/>
      <c r="B243" s="3"/>
      <c r="C243" s="6"/>
      <c r="D243" s="6"/>
      <c r="E243" s="15"/>
      <c r="F243" s="6"/>
      <c r="G243" s="6"/>
      <c r="H243" s="3"/>
      <c r="I243" s="6"/>
      <c r="J243" s="3"/>
      <c r="K243" s="3"/>
      <c r="L243" s="3"/>
      <c r="M243" s="3"/>
      <c r="N243" s="3"/>
      <c r="O243" s="3"/>
      <c r="P243" s="3"/>
      <c r="Q243" s="3"/>
      <c r="R243" s="3"/>
    </row>
    <row r="244" spans="1:18" x14ac:dyDescent="0.75">
      <c r="A244" s="3"/>
      <c r="B244" s="3"/>
      <c r="C244" s="6"/>
      <c r="D244" s="6"/>
      <c r="E244" s="15"/>
      <c r="F244" s="6"/>
      <c r="G244" s="6"/>
      <c r="H244" s="3"/>
      <c r="I244" s="6"/>
      <c r="J244" s="3"/>
      <c r="K244" s="3"/>
      <c r="L244" s="3"/>
      <c r="M244" s="3"/>
      <c r="N244" s="3"/>
      <c r="O244" s="3"/>
      <c r="P244" s="3"/>
      <c r="Q244" s="3"/>
      <c r="R244" s="3"/>
    </row>
    <row r="245" spans="1:18" x14ac:dyDescent="0.75">
      <c r="A245" s="3"/>
      <c r="B245" s="3"/>
      <c r="C245" s="6"/>
      <c r="D245" s="6"/>
      <c r="E245" s="15"/>
      <c r="F245" s="6"/>
      <c r="G245" s="6"/>
      <c r="H245" s="3"/>
      <c r="I245" s="6"/>
      <c r="J245" s="3"/>
      <c r="K245" s="3"/>
      <c r="L245" s="3"/>
      <c r="M245" s="3"/>
      <c r="N245" s="3"/>
      <c r="O245" s="3"/>
      <c r="P245" s="3"/>
      <c r="Q245" s="3"/>
      <c r="R245" s="3"/>
    </row>
    <row r="246" spans="1:18" x14ac:dyDescent="0.75">
      <c r="A246" s="3"/>
      <c r="B246" s="3"/>
      <c r="C246" s="6"/>
      <c r="D246" s="6"/>
      <c r="E246" s="15"/>
      <c r="F246" s="6"/>
      <c r="G246" s="6"/>
      <c r="H246" s="3"/>
      <c r="I246" s="6"/>
      <c r="J246" s="3"/>
      <c r="K246" s="3"/>
      <c r="L246" s="3"/>
      <c r="M246" s="3"/>
      <c r="N246" s="3"/>
      <c r="O246" s="3"/>
      <c r="P246" s="3"/>
      <c r="Q246" s="3"/>
      <c r="R246" s="3"/>
    </row>
    <row r="247" spans="1:18" x14ac:dyDescent="0.75">
      <c r="A247" s="3"/>
      <c r="B247" s="3"/>
      <c r="C247" s="6"/>
      <c r="D247" s="6"/>
      <c r="E247" s="15"/>
      <c r="F247" s="6"/>
      <c r="G247" s="6"/>
      <c r="H247" s="3"/>
      <c r="I247" s="6"/>
      <c r="J247" s="3"/>
      <c r="K247" s="3"/>
      <c r="L247" s="3"/>
      <c r="M247" s="3"/>
      <c r="N247" s="3"/>
      <c r="O247" s="3"/>
      <c r="P247" s="3"/>
      <c r="Q247" s="3"/>
      <c r="R247" s="3"/>
    </row>
    <row r="248" spans="1:18" x14ac:dyDescent="0.75">
      <c r="A248" s="3"/>
      <c r="B248" s="3"/>
      <c r="C248" s="6"/>
      <c r="D248" s="6"/>
      <c r="E248" s="15"/>
      <c r="F248" s="6"/>
      <c r="G248" s="6"/>
      <c r="H248" s="3"/>
      <c r="I248" s="6"/>
      <c r="J248" s="3"/>
      <c r="K248" s="3"/>
      <c r="L248" s="3"/>
      <c r="M248" s="3"/>
      <c r="N248" s="3"/>
      <c r="O248" s="3"/>
      <c r="P248" s="3"/>
      <c r="Q248" s="3"/>
      <c r="R248" s="3"/>
    </row>
    <row r="249" spans="1:18" x14ac:dyDescent="0.75">
      <c r="A249" s="3"/>
      <c r="B249" s="3"/>
      <c r="C249" s="6"/>
      <c r="D249" s="6"/>
      <c r="E249" s="15"/>
      <c r="F249" s="6"/>
      <c r="G249" s="6"/>
      <c r="H249" s="3"/>
      <c r="I249" s="6"/>
      <c r="J249" s="3"/>
      <c r="K249" s="3"/>
      <c r="L249" s="3"/>
      <c r="M249" s="3"/>
      <c r="N249" s="3"/>
      <c r="O249" s="3"/>
      <c r="P249" s="3"/>
      <c r="Q249" s="3"/>
      <c r="R249" s="3"/>
    </row>
    <row r="250" spans="1:18" x14ac:dyDescent="0.75">
      <c r="A250" s="3"/>
      <c r="B250" s="3"/>
      <c r="C250" s="6"/>
      <c r="D250" s="6"/>
      <c r="E250" s="15"/>
      <c r="F250" s="6"/>
      <c r="G250" s="6"/>
      <c r="H250" s="3"/>
      <c r="I250" s="6"/>
      <c r="J250" s="3"/>
      <c r="K250" s="3"/>
      <c r="L250" s="3"/>
      <c r="M250" s="3"/>
      <c r="N250" s="3"/>
      <c r="O250" s="3"/>
      <c r="P250" s="3"/>
      <c r="Q250" s="3"/>
      <c r="R250" s="3"/>
    </row>
    <row r="251" spans="1:18" x14ac:dyDescent="0.75">
      <c r="A251" s="3"/>
      <c r="B251" s="3"/>
      <c r="C251" s="6"/>
      <c r="D251" s="6"/>
      <c r="E251" s="15"/>
      <c r="F251" s="6"/>
      <c r="G251" s="6"/>
      <c r="H251" s="3"/>
      <c r="I251" s="6"/>
      <c r="J251" s="3"/>
      <c r="K251" s="3"/>
      <c r="L251" s="3"/>
      <c r="M251" s="3"/>
      <c r="N251" s="3"/>
      <c r="O251" s="3"/>
      <c r="P251" s="3"/>
      <c r="Q251" s="3"/>
      <c r="R251" s="3"/>
    </row>
    <row r="252" spans="1:18" x14ac:dyDescent="0.75">
      <c r="A252" s="3"/>
      <c r="B252" s="3"/>
      <c r="C252" s="6"/>
      <c r="D252" s="6"/>
      <c r="E252" s="15"/>
      <c r="F252" s="6"/>
      <c r="G252" s="6"/>
      <c r="H252" s="3"/>
      <c r="I252" s="6"/>
      <c r="J252" s="3"/>
      <c r="K252" s="3"/>
      <c r="L252" s="3"/>
      <c r="M252" s="3"/>
      <c r="N252" s="3"/>
      <c r="O252" s="3"/>
      <c r="P252" s="3"/>
      <c r="Q252" s="3"/>
      <c r="R252" s="3"/>
    </row>
    <row r="253" spans="1:18" x14ac:dyDescent="0.75">
      <c r="A253" s="3"/>
      <c r="B253" s="3"/>
      <c r="C253" s="6"/>
      <c r="D253" s="6"/>
      <c r="E253" s="15"/>
      <c r="F253" s="6"/>
      <c r="G253" s="6"/>
      <c r="H253" s="3"/>
      <c r="I253" s="6"/>
      <c r="J253" s="3"/>
      <c r="K253" s="3"/>
      <c r="L253" s="3"/>
      <c r="M253" s="3"/>
      <c r="N253" s="3"/>
      <c r="O253" s="3"/>
      <c r="P253" s="3"/>
      <c r="Q253" s="3"/>
      <c r="R253" s="3"/>
    </row>
    <row r="254" spans="1:18" x14ac:dyDescent="0.75">
      <c r="A254" s="3"/>
      <c r="B254" s="3"/>
      <c r="C254" s="6"/>
      <c r="D254" s="6"/>
      <c r="E254" s="15"/>
      <c r="F254" s="6"/>
      <c r="G254" s="6"/>
      <c r="H254" s="3"/>
      <c r="I254" s="6"/>
      <c r="J254" s="3"/>
      <c r="K254" s="3"/>
      <c r="L254" s="3"/>
      <c r="M254" s="3"/>
      <c r="N254" s="3"/>
      <c r="O254" s="3"/>
      <c r="P254" s="3"/>
      <c r="Q254" s="3"/>
      <c r="R254" s="3"/>
    </row>
    <row r="255" spans="1:18" x14ac:dyDescent="0.75">
      <c r="A255" s="3"/>
      <c r="B255" s="3"/>
      <c r="C255" s="6"/>
      <c r="D255" s="6"/>
      <c r="E255" s="15"/>
      <c r="F255" s="6"/>
      <c r="G255" s="6"/>
      <c r="H255" s="3"/>
      <c r="I255" s="6"/>
      <c r="J255" s="3"/>
      <c r="K255" s="3"/>
      <c r="L255" s="3"/>
      <c r="M255" s="3"/>
      <c r="N255" s="3"/>
      <c r="O255" s="3"/>
      <c r="P255" s="3"/>
      <c r="Q255" s="3"/>
      <c r="R255" s="3"/>
    </row>
    <row r="256" spans="1:18" x14ac:dyDescent="0.75">
      <c r="A256" s="3"/>
      <c r="B256" s="3"/>
      <c r="C256" s="6"/>
      <c r="D256" s="6"/>
      <c r="E256" s="15"/>
      <c r="F256" s="6"/>
      <c r="G256" s="6"/>
      <c r="H256" s="3"/>
      <c r="I256" s="6"/>
      <c r="J256" s="3"/>
      <c r="K256" s="3"/>
      <c r="L256" s="3"/>
      <c r="M256" s="3"/>
      <c r="N256" s="3"/>
      <c r="O256" s="3"/>
      <c r="P256" s="3"/>
      <c r="Q256" s="3"/>
      <c r="R256" s="3"/>
    </row>
    <row r="257" spans="1:18" x14ac:dyDescent="0.75">
      <c r="A257" s="3"/>
      <c r="B257" s="3"/>
      <c r="C257" s="6"/>
      <c r="D257" s="6"/>
      <c r="E257" s="15"/>
      <c r="F257" s="6"/>
      <c r="G257" s="6"/>
      <c r="H257" s="3"/>
      <c r="I257" s="6"/>
      <c r="J257" s="3"/>
      <c r="K257" s="3"/>
      <c r="L257" s="3"/>
      <c r="M257" s="3"/>
      <c r="N257" s="3"/>
      <c r="O257" s="3"/>
      <c r="P257" s="3"/>
      <c r="Q257" s="3"/>
      <c r="R257" s="3"/>
    </row>
    <row r="258" spans="1:18" x14ac:dyDescent="0.75">
      <c r="A258" s="3"/>
      <c r="B258" s="3"/>
      <c r="C258" s="6"/>
      <c r="D258" s="6"/>
      <c r="E258" s="15"/>
      <c r="F258" s="6"/>
      <c r="G258" s="6"/>
      <c r="H258" s="3"/>
      <c r="I258" s="6"/>
      <c r="J258" s="3"/>
      <c r="K258" s="3"/>
      <c r="L258" s="3"/>
      <c r="M258" s="3"/>
      <c r="N258" s="3"/>
      <c r="O258" s="3"/>
      <c r="P258" s="3"/>
      <c r="Q258" s="3"/>
      <c r="R258" s="3"/>
    </row>
    <row r="259" spans="1:18" x14ac:dyDescent="0.75">
      <c r="A259" s="3"/>
      <c r="B259" s="3"/>
      <c r="C259" s="6"/>
      <c r="D259" s="6"/>
      <c r="E259" s="15"/>
      <c r="F259" s="6"/>
      <c r="G259" s="6"/>
      <c r="H259" s="3"/>
      <c r="I259" s="6"/>
      <c r="J259" s="3"/>
      <c r="K259" s="3"/>
      <c r="L259" s="3"/>
      <c r="M259" s="3"/>
      <c r="N259" s="3"/>
      <c r="O259" s="3"/>
      <c r="P259" s="3"/>
      <c r="Q259" s="3"/>
      <c r="R259" s="3"/>
    </row>
    <row r="260" spans="1:18" x14ac:dyDescent="0.75">
      <c r="A260" s="3"/>
      <c r="B260" s="3"/>
      <c r="C260" s="6"/>
      <c r="D260" s="6"/>
      <c r="E260" s="15"/>
      <c r="F260" s="6"/>
      <c r="G260" s="6"/>
      <c r="H260" s="3"/>
      <c r="I260" s="6"/>
      <c r="J260" s="3"/>
      <c r="K260" s="3"/>
      <c r="L260" s="3"/>
      <c r="M260" s="3"/>
      <c r="N260" s="3"/>
      <c r="O260" s="3"/>
      <c r="P260" s="3"/>
      <c r="Q260" s="3"/>
      <c r="R260" s="3"/>
    </row>
    <row r="261" spans="1:18" x14ac:dyDescent="0.75">
      <c r="A261" s="3"/>
      <c r="B261" s="3"/>
      <c r="C261" s="6"/>
      <c r="D261" s="6"/>
      <c r="E261" s="15"/>
      <c r="F261" s="6"/>
      <c r="G261" s="6"/>
      <c r="H261" s="3"/>
      <c r="I261" s="6"/>
      <c r="J261" s="3"/>
      <c r="K261" s="3"/>
      <c r="L261" s="3"/>
      <c r="M261" s="3"/>
      <c r="N261" s="3"/>
      <c r="O261" s="3"/>
      <c r="P261" s="3"/>
      <c r="Q261" s="3"/>
      <c r="R261" s="3"/>
    </row>
    <row r="262" spans="1:18" x14ac:dyDescent="0.75">
      <c r="A262" s="3"/>
      <c r="B262" s="3"/>
      <c r="C262" s="6"/>
      <c r="D262" s="6"/>
      <c r="E262" s="15"/>
      <c r="F262" s="6"/>
      <c r="G262" s="6"/>
      <c r="H262" s="3"/>
      <c r="I262" s="6"/>
      <c r="J262" s="3"/>
      <c r="K262" s="3"/>
      <c r="L262" s="3"/>
      <c r="M262" s="3"/>
      <c r="N262" s="3"/>
      <c r="O262" s="3"/>
      <c r="P262" s="3"/>
      <c r="Q262" s="3"/>
      <c r="R262" s="3"/>
    </row>
    <row r="263" spans="1:18" x14ac:dyDescent="0.75">
      <c r="A263" s="3"/>
      <c r="B263" s="3"/>
      <c r="C263" s="6"/>
      <c r="D263" s="6"/>
      <c r="E263" s="15"/>
      <c r="F263" s="6"/>
      <c r="G263" s="6"/>
      <c r="H263" s="3"/>
      <c r="I263" s="6"/>
      <c r="J263" s="3"/>
      <c r="K263" s="3"/>
      <c r="L263" s="3"/>
      <c r="M263" s="3"/>
      <c r="N263" s="3"/>
      <c r="O263" s="3"/>
      <c r="P263" s="3"/>
      <c r="Q263" s="3"/>
      <c r="R263" s="3"/>
    </row>
    <row r="264" spans="1:18" x14ac:dyDescent="0.75">
      <c r="A264" s="3"/>
      <c r="B264" s="3"/>
      <c r="C264" s="6"/>
      <c r="D264" s="6"/>
      <c r="E264" s="15"/>
      <c r="F264" s="6"/>
      <c r="G264" s="6"/>
      <c r="H264" s="3"/>
      <c r="I264" s="6"/>
      <c r="J264" s="3"/>
      <c r="K264" s="3"/>
      <c r="L264" s="3"/>
      <c r="M264" s="3"/>
      <c r="N264" s="3"/>
      <c r="O264" s="3"/>
      <c r="P264" s="3"/>
      <c r="Q264" s="3"/>
      <c r="R264" s="3"/>
    </row>
    <row r="265" spans="1:18" x14ac:dyDescent="0.75">
      <c r="A265" s="3"/>
      <c r="B265" s="3"/>
      <c r="C265" s="6"/>
      <c r="D265" s="6"/>
      <c r="E265" s="15"/>
      <c r="F265" s="6"/>
      <c r="G265" s="6"/>
      <c r="H265" s="3"/>
      <c r="I265" s="6"/>
      <c r="J265" s="3"/>
      <c r="K265" s="3"/>
      <c r="L265" s="3"/>
      <c r="M265" s="3"/>
      <c r="N265" s="3"/>
      <c r="O265" s="3"/>
      <c r="P265" s="3"/>
      <c r="Q265" s="3"/>
      <c r="R265" s="3"/>
    </row>
    <row r="266" spans="1:18" x14ac:dyDescent="0.75">
      <c r="A266" s="3"/>
      <c r="B266" s="3"/>
      <c r="C266" s="6"/>
      <c r="D266" s="6"/>
      <c r="E266" s="15"/>
      <c r="F266" s="6"/>
      <c r="G266" s="6"/>
      <c r="H266" s="3"/>
      <c r="I266" s="6"/>
      <c r="J266" s="3"/>
      <c r="K266" s="3"/>
      <c r="L266" s="3"/>
      <c r="M266" s="3"/>
      <c r="N266" s="3"/>
      <c r="O266" s="3"/>
      <c r="P266" s="3"/>
      <c r="Q266" s="3"/>
      <c r="R266" s="3"/>
    </row>
    <row r="267" spans="1:18" x14ac:dyDescent="0.75">
      <c r="A267" s="3"/>
      <c r="B267" s="3"/>
      <c r="C267" s="6"/>
      <c r="D267" s="6"/>
      <c r="E267" s="15"/>
      <c r="F267" s="6"/>
      <c r="G267" s="6"/>
      <c r="H267" s="3"/>
      <c r="I267" s="6"/>
      <c r="J267" s="3"/>
      <c r="K267" s="3"/>
      <c r="L267" s="3"/>
      <c r="M267" s="3"/>
      <c r="N267" s="3"/>
      <c r="O267" s="3"/>
      <c r="P267" s="3"/>
      <c r="Q267" s="3"/>
      <c r="R267" s="3"/>
    </row>
    <row r="268" spans="1:18" x14ac:dyDescent="0.75">
      <c r="A268" s="3"/>
      <c r="B268" s="3"/>
      <c r="C268" s="6"/>
      <c r="D268" s="6"/>
      <c r="E268" s="15"/>
      <c r="F268" s="6"/>
      <c r="G268" s="6"/>
      <c r="H268" s="3"/>
      <c r="I268" s="6"/>
      <c r="J268" s="3"/>
      <c r="K268" s="3"/>
      <c r="L268" s="3"/>
      <c r="M268" s="3"/>
      <c r="N268" s="3"/>
      <c r="O268" s="3"/>
      <c r="P268" s="3"/>
      <c r="Q268" s="3"/>
      <c r="R268" s="3"/>
    </row>
    <row r="269" spans="1:18" x14ac:dyDescent="0.75">
      <c r="A269" s="3"/>
      <c r="B269" s="3"/>
      <c r="C269" s="6"/>
      <c r="D269" s="6"/>
      <c r="E269" s="15"/>
      <c r="F269" s="6"/>
      <c r="G269" s="6"/>
      <c r="H269" s="3"/>
      <c r="I269" s="6"/>
      <c r="J269" s="3"/>
      <c r="K269" s="3"/>
      <c r="L269" s="3"/>
      <c r="M269" s="3"/>
      <c r="N269" s="3"/>
      <c r="O269" s="3"/>
      <c r="P269" s="3"/>
      <c r="Q269" s="3"/>
      <c r="R269" s="3"/>
    </row>
    <row r="270" spans="1:18" x14ac:dyDescent="0.75">
      <c r="A270" s="3"/>
      <c r="B270" s="3"/>
      <c r="C270" s="6"/>
      <c r="D270" s="6"/>
      <c r="E270" s="15"/>
      <c r="F270" s="6"/>
      <c r="G270" s="6"/>
      <c r="H270" s="3"/>
      <c r="I270" s="6"/>
      <c r="J270" s="3"/>
      <c r="K270" s="3"/>
      <c r="L270" s="3"/>
      <c r="M270" s="3"/>
      <c r="N270" s="3"/>
      <c r="O270" s="3"/>
      <c r="P270" s="3"/>
      <c r="Q270" s="3"/>
      <c r="R270" s="3"/>
    </row>
    <row r="271" spans="1:18" x14ac:dyDescent="0.75">
      <c r="A271" s="3"/>
      <c r="B271" s="3"/>
      <c r="C271" s="6"/>
      <c r="D271" s="6"/>
      <c r="E271" s="15"/>
      <c r="F271" s="6"/>
      <c r="G271" s="6"/>
      <c r="H271" s="3"/>
      <c r="I271" s="6"/>
      <c r="J271" s="3"/>
      <c r="K271" s="3"/>
      <c r="L271" s="3"/>
      <c r="M271" s="3"/>
      <c r="N271" s="3"/>
      <c r="O271" s="3"/>
      <c r="P271" s="3"/>
      <c r="Q271" s="3"/>
      <c r="R271" s="3"/>
    </row>
    <row r="272" spans="1:18" x14ac:dyDescent="0.75">
      <c r="A272" s="3"/>
      <c r="B272" s="3"/>
      <c r="C272" s="6"/>
      <c r="D272" s="6"/>
      <c r="E272" s="15"/>
      <c r="F272" s="6"/>
      <c r="G272" s="6"/>
      <c r="H272" s="3"/>
      <c r="I272" s="6"/>
      <c r="J272" s="3"/>
      <c r="K272" s="3"/>
      <c r="L272" s="3"/>
      <c r="M272" s="3"/>
      <c r="N272" s="3"/>
      <c r="O272" s="3"/>
      <c r="P272" s="3"/>
      <c r="Q272" s="3"/>
      <c r="R272" s="3"/>
    </row>
    <row r="273" spans="1:18" x14ac:dyDescent="0.75">
      <c r="A273" s="3"/>
      <c r="B273" s="3"/>
      <c r="C273" s="6"/>
      <c r="D273" s="6"/>
      <c r="E273" s="15"/>
      <c r="F273" s="6"/>
      <c r="G273" s="6"/>
      <c r="H273" s="3"/>
      <c r="I273" s="6"/>
      <c r="J273" s="3"/>
      <c r="K273" s="3"/>
      <c r="L273" s="3"/>
      <c r="M273" s="3"/>
      <c r="N273" s="3"/>
      <c r="O273" s="3"/>
      <c r="P273" s="3"/>
      <c r="Q273" s="3"/>
      <c r="R273" s="3"/>
    </row>
    <row r="274" spans="1:18" x14ac:dyDescent="0.75">
      <c r="A274" s="3"/>
      <c r="B274" s="3"/>
      <c r="C274" s="6"/>
      <c r="D274" s="6"/>
      <c r="E274" s="15"/>
      <c r="F274" s="6"/>
      <c r="G274" s="6"/>
      <c r="H274" s="3"/>
      <c r="I274" s="6"/>
      <c r="J274" s="3"/>
      <c r="K274" s="3"/>
      <c r="L274" s="3"/>
      <c r="M274" s="3"/>
      <c r="N274" s="3"/>
      <c r="O274" s="3"/>
      <c r="P274" s="3"/>
      <c r="Q274" s="3"/>
      <c r="R274" s="3"/>
    </row>
    <row r="275" spans="1:18" x14ac:dyDescent="0.75">
      <c r="A275" s="3"/>
      <c r="B275" s="3"/>
      <c r="C275" s="6"/>
      <c r="D275" s="6"/>
      <c r="E275" s="15"/>
      <c r="F275" s="6"/>
      <c r="G275" s="6"/>
      <c r="H275" s="3"/>
      <c r="I275" s="6"/>
      <c r="J275" s="3"/>
      <c r="K275" s="3"/>
      <c r="L275" s="3"/>
      <c r="M275" s="3"/>
      <c r="N275" s="3"/>
      <c r="O275" s="3"/>
      <c r="P275" s="3"/>
      <c r="Q275" s="3"/>
      <c r="R275" s="3"/>
    </row>
    <row r="276" spans="1:18" x14ac:dyDescent="0.75">
      <c r="A276" s="3"/>
      <c r="B276" s="3"/>
      <c r="C276" s="6"/>
      <c r="D276" s="6"/>
      <c r="E276" s="15"/>
      <c r="F276" s="6"/>
      <c r="G276" s="6"/>
      <c r="H276" s="3"/>
      <c r="I276" s="6"/>
      <c r="J276" s="3"/>
      <c r="K276" s="3"/>
      <c r="L276" s="3"/>
      <c r="M276" s="3"/>
      <c r="N276" s="3"/>
      <c r="O276" s="3"/>
      <c r="P276" s="3"/>
      <c r="Q276" s="3"/>
      <c r="R276" s="3"/>
    </row>
    <row r="277" spans="1:18" x14ac:dyDescent="0.75">
      <c r="A277" s="3"/>
      <c r="B277" s="3"/>
      <c r="C277" s="6"/>
      <c r="D277" s="6"/>
      <c r="E277" s="15"/>
      <c r="F277" s="6"/>
      <c r="G277" s="6"/>
      <c r="H277" s="3"/>
      <c r="I277" s="6"/>
      <c r="J277" s="3"/>
      <c r="K277" s="3"/>
      <c r="L277" s="3"/>
      <c r="M277" s="3"/>
      <c r="N277" s="3"/>
      <c r="O277" s="3"/>
      <c r="P277" s="3"/>
      <c r="Q277" s="3"/>
      <c r="R277" s="3"/>
    </row>
    <row r="278" spans="1:18" x14ac:dyDescent="0.75">
      <c r="A278" s="3"/>
      <c r="B278" s="3"/>
      <c r="C278" s="6"/>
      <c r="D278" s="6"/>
      <c r="E278" s="15"/>
      <c r="F278" s="6"/>
      <c r="G278" s="6"/>
      <c r="H278" s="3"/>
      <c r="I278" s="6"/>
      <c r="J278" s="3"/>
      <c r="K278" s="3"/>
      <c r="L278" s="3"/>
      <c r="M278" s="3"/>
      <c r="N278" s="3"/>
      <c r="O278" s="3"/>
      <c r="P278" s="3"/>
      <c r="Q278" s="3"/>
      <c r="R278" s="3"/>
    </row>
    <row r="279" spans="1:18" x14ac:dyDescent="0.75">
      <c r="A279" s="3"/>
      <c r="B279" s="3"/>
      <c r="C279" s="6"/>
      <c r="D279" s="6"/>
      <c r="E279" s="15"/>
      <c r="F279" s="6"/>
      <c r="G279" s="6"/>
      <c r="H279" s="3"/>
      <c r="I279" s="6"/>
      <c r="J279" s="3"/>
      <c r="K279" s="3"/>
      <c r="L279" s="3"/>
      <c r="M279" s="3"/>
      <c r="N279" s="3"/>
      <c r="O279" s="3"/>
      <c r="P279" s="3"/>
      <c r="Q279" s="3"/>
      <c r="R279" s="3"/>
    </row>
    <row r="280" spans="1:18" x14ac:dyDescent="0.75">
      <c r="A280" s="3"/>
      <c r="B280" s="3"/>
      <c r="C280" s="6"/>
      <c r="D280" s="6"/>
      <c r="E280" s="15"/>
      <c r="F280" s="6"/>
      <c r="G280" s="6"/>
      <c r="H280" s="3"/>
      <c r="I280" s="6"/>
      <c r="J280" s="3"/>
      <c r="K280" s="3"/>
      <c r="L280" s="3"/>
      <c r="M280" s="3"/>
      <c r="N280" s="3"/>
      <c r="O280" s="3"/>
      <c r="P280" s="3"/>
      <c r="Q280" s="3"/>
      <c r="R280" s="3"/>
    </row>
    <row r="281" spans="1:18" x14ac:dyDescent="0.75">
      <c r="A281" s="3"/>
      <c r="B281" s="3"/>
      <c r="C281" s="6"/>
      <c r="D281" s="6"/>
      <c r="E281" s="15"/>
      <c r="F281" s="6"/>
      <c r="G281" s="6"/>
      <c r="H281" s="3"/>
      <c r="I281" s="6"/>
      <c r="J281" s="3"/>
      <c r="K281" s="3"/>
      <c r="L281" s="3"/>
      <c r="M281" s="3"/>
      <c r="N281" s="3"/>
      <c r="O281" s="3"/>
      <c r="P281" s="3"/>
      <c r="Q281" s="3"/>
      <c r="R281" s="3"/>
    </row>
    <row r="282" spans="1:18" x14ac:dyDescent="0.75">
      <c r="A282" s="3"/>
      <c r="B282" s="3"/>
      <c r="C282" s="6"/>
      <c r="D282" s="6"/>
      <c r="E282" s="15"/>
      <c r="F282" s="6"/>
      <c r="G282" s="6"/>
      <c r="H282" s="3"/>
      <c r="I282" s="6"/>
      <c r="J282" s="3"/>
      <c r="K282" s="3"/>
      <c r="L282" s="3"/>
      <c r="M282" s="3"/>
      <c r="N282" s="3"/>
      <c r="O282" s="3"/>
      <c r="P282" s="3"/>
      <c r="Q282" s="3"/>
      <c r="R282" s="3"/>
    </row>
    <row r="283" spans="1:18" x14ac:dyDescent="0.75">
      <c r="A283" s="3"/>
      <c r="B283" s="3"/>
      <c r="C283" s="6"/>
      <c r="D283" s="6"/>
      <c r="E283" s="15"/>
      <c r="F283" s="6"/>
      <c r="G283" s="6"/>
      <c r="H283" s="3"/>
      <c r="I283" s="6"/>
      <c r="J283" s="3"/>
      <c r="K283" s="3"/>
      <c r="L283" s="3"/>
      <c r="M283" s="3"/>
      <c r="N283" s="3"/>
      <c r="O283" s="3"/>
      <c r="P283" s="3"/>
      <c r="Q283" s="3"/>
      <c r="R283" s="3"/>
    </row>
    <row r="284" spans="1:18" x14ac:dyDescent="0.75">
      <c r="A284" s="3"/>
      <c r="B284" s="3"/>
      <c r="C284" s="6"/>
      <c r="D284" s="6"/>
      <c r="E284" s="15"/>
      <c r="F284" s="6"/>
      <c r="G284" s="6"/>
      <c r="H284" s="3"/>
      <c r="I284" s="6"/>
      <c r="J284" s="3"/>
      <c r="K284" s="3"/>
      <c r="L284" s="3"/>
      <c r="M284" s="3"/>
      <c r="N284" s="3"/>
      <c r="O284" s="3"/>
      <c r="P284" s="3"/>
      <c r="Q284" s="3"/>
      <c r="R284" s="3"/>
    </row>
    <row r="285" spans="1:18" x14ac:dyDescent="0.75">
      <c r="A285" s="3"/>
      <c r="B285" s="3"/>
      <c r="C285" s="6"/>
      <c r="D285" s="6"/>
      <c r="E285" s="15"/>
      <c r="F285" s="6"/>
      <c r="G285" s="6"/>
      <c r="H285" s="3"/>
      <c r="I285" s="6"/>
      <c r="J285" s="3"/>
      <c r="K285" s="3"/>
      <c r="L285" s="3"/>
      <c r="M285" s="3"/>
      <c r="N285" s="3"/>
      <c r="O285" s="3"/>
      <c r="P285" s="3"/>
      <c r="Q285" s="3"/>
      <c r="R285" s="3"/>
    </row>
    <row r="286" spans="1:18" x14ac:dyDescent="0.75">
      <c r="A286" s="3"/>
      <c r="B286" s="3"/>
      <c r="C286" s="6"/>
      <c r="D286" s="6"/>
      <c r="E286" s="15"/>
      <c r="F286" s="6"/>
      <c r="G286" s="6"/>
      <c r="H286" s="3"/>
      <c r="I286" s="6"/>
      <c r="J286" s="3"/>
      <c r="K286" s="3"/>
      <c r="L286" s="3"/>
      <c r="M286" s="3"/>
      <c r="N286" s="3"/>
      <c r="O286" s="3"/>
      <c r="P286" s="3"/>
      <c r="Q286" s="3"/>
      <c r="R286" s="3"/>
    </row>
    <row r="287" spans="1:18" x14ac:dyDescent="0.75">
      <c r="A287" s="3"/>
      <c r="B287" s="3"/>
      <c r="C287" s="6"/>
      <c r="D287" s="6"/>
      <c r="E287" s="15"/>
      <c r="F287" s="6"/>
      <c r="G287" s="6"/>
      <c r="H287" s="3"/>
      <c r="I287" s="6"/>
      <c r="J287" s="3"/>
      <c r="K287" s="3"/>
      <c r="L287" s="3"/>
      <c r="M287" s="3"/>
      <c r="N287" s="3"/>
      <c r="O287" s="3"/>
      <c r="P287" s="3"/>
      <c r="Q287" s="3"/>
      <c r="R287" s="3"/>
    </row>
    <row r="288" spans="1:18" x14ac:dyDescent="0.75">
      <c r="A288" s="3"/>
      <c r="B288" s="3"/>
      <c r="C288" s="6"/>
      <c r="D288" s="6"/>
      <c r="E288" s="15"/>
      <c r="F288" s="6"/>
      <c r="G288" s="6"/>
      <c r="H288" s="3"/>
      <c r="I288" s="6"/>
      <c r="J288" s="3"/>
      <c r="K288" s="3"/>
      <c r="L288" s="3"/>
      <c r="M288" s="3"/>
      <c r="N288" s="3"/>
      <c r="O288" s="3"/>
      <c r="P288" s="3"/>
      <c r="Q288" s="3"/>
      <c r="R288" s="3"/>
    </row>
    <row r="289" spans="1:18" x14ac:dyDescent="0.75">
      <c r="A289" s="3"/>
      <c r="B289" s="3"/>
      <c r="C289" s="6"/>
      <c r="D289" s="6"/>
      <c r="E289" s="15"/>
      <c r="F289" s="6"/>
      <c r="G289" s="6"/>
      <c r="H289" s="3"/>
      <c r="I289" s="6"/>
      <c r="J289" s="3"/>
      <c r="K289" s="3"/>
      <c r="L289" s="3"/>
      <c r="M289" s="3"/>
      <c r="N289" s="3"/>
      <c r="O289" s="3"/>
      <c r="P289" s="3"/>
      <c r="Q289" s="3"/>
      <c r="R289" s="3"/>
    </row>
    <row r="290" spans="1:18" x14ac:dyDescent="0.75">
      <c r="A290" s="3"/>
      <c r="B290" s="3"/>
      <c r="C290" s="6"/>
      <c r="D290" s="6"/>
      <c r="E290" s="15"/>
      <c r="F290" s="6"/>
      <c r="G290" s="6"/>
      <c r="H290" s="3"/>
      <c r="I290" s="6"/>
      <c r="J290" s="3"/>
      <c r="K290" s="3"/>
      <c r="L290" s="3"/>
      <c r="M290" s="3"/>
      <c r="N290" s="3"/>
      <c r="O290" s="3"/>
      <c r="P290" s="3"/>
      <c r="Q290" s="3"/>
      <c r="R290" s="3"/>
    </row>
    <row r="291" spans="1:18" x14ac:dyDescent="0.75">
      <c r="A291" s="3"/>
      <c r="B291" s="3"/>
      <c r="C291" s="6"/>
      <c r="D291" s="6"/>
      <c r="E291" s="15"/>
      <c r="F291" s="6"/>
      <c r="G291" s="6"/>
      <c r="H291" s="3"/>
      <c r="I291" s="6"/>
      <c r="J291" s="3"/>
      <c r="K291" s="3"/>
      <c r="L291" s="3"/>
      <c r="M291" s="3"/>
      <c r="N291" s="3"/>
      <c r="O291" s="3"/>
      <c r="P291" s="3"/>
      <c r="Q291" s="3"/>
      <c r="R291" s="3"/>
    </row>
    <row r="292" spans="1:18" x14ac:dyDescent="0.75">
      <c r="A292" s="3"/>
      <c r="B292" s="3"/>
      <c r="C292" s="6"/>
      <c r="D292" s="6"/>
      <c r="E292" s="15"/>
      <c r="F292" s="6"/>
      <c r="G292" s="6"/>
      <c r="H292" s="3"/>
      <c r="I292" s="6"/>
      <c r="J292" s="3"/>
      <c r="K292" s="3"/>
      <c r="L292" s="3"/>
      <c r="M292" s="3"/>
      <c r="N292" s="3"/>
      <c r="O292" s="3"/>
      <c r="P292" s="3"/>
      <c r="Q292" s="3"/>
      <c r="R292" s="3"/>
    </row>
    <row r="293" spans="1:18" x14ac:dyDescent="0.75">
      <c r="A293" s="3"/>
      <c r="B293" s="3"/>
      <c r="C293" s="6"/>
      <c r="D293" s="6"/>
      <c r="E293" s="15"/>
      <c r="F293" s="6"/>
      <c r="G293" s="6"/>
      <c r="H293" s="3"/>
      <c r="I293" s="6"/>
      <c r="J293" s="3"/>
      <c r="K293" s="3"/>
      <c r="L293" s="3"/>
      <c r="M293" s="3"/>
      <c r="N293" s="3"/>
      <c r="O293" s="3"/>
      <c r="P293" s="3"/>
      <c r="Q293" s="3"/>
      <c r="R293" s="3"/>
    </row>
    <row r="294" spans="1:18" x14ac:dyDescent="0.75">
      <c r="A294" s="3"/>
      <c r="B294" s="3"/>
      <c r="C294" s="6"/>
      <c r="D294" s="6"/>
      <c r="E294" s="15"/>
      <c r="F294" s="6"/>
      <c r="G294" s="6"/>
      <c r="H294" s="3"/>
      <c r="I294" s="6"/>
      <c r="J294" s="3"/>
      <c r="K294" s="3"/>
      <c r="L294" s="3"/>
      <c r="M294" s="3"/>
      <c r="N294" s="3"/>
      <c r="O294" s="3"/>
      <c r="P294" s="3"/>
      <c r="Q294" s="3"/>
      <c r="R294" s="3"/>
    </row>
    <row r="295" spans="1:18" x14ac:dyDescent="0.75">
      <c r="A295" s="3"/>
      <c r="B295" s="3"/>
      <c r="C295" s="6"/>
      <c r="D295" s="6"/>
      <c r="E295" s="15"/>
      <c r="F295" s="6"/>
      <c r="G295" s="6"/>
      <c r="H295" s="3"/>
      <c r="I295" s="6"/>
      <c r="J295" s="3"/>
      <c r="K295" s="3"/>
      <c r="L295" s="3"/>
      <c r="M295" s="3"/>
      <c r="N295" s="3"/>
      <c r="O295" s="3"/>
      <c r="P295" s="3"/>
      <c r="Q295" s="3"/>
      <c r="R295" s="3"/>
    </row>
    <row r="296" spans="1:18" x14ac:dyDescent="0.75">
      <c r="A296" s="3"/>
      <c r="B296" s="3"/>
      <c r="C296" s="6"/>
      <c r="D296" s="6"/>
      <c r="E296" s="15"/>
      <c r="F296" s="6"/>
      <c r="G296" s="6"/>
      <c r="H296" s="3"/>
      <c r="I296" s="6"/>
      <c r="J296" s="3"/>
      <c r="K296" s="3"/>
      <c r="L296" s="3"/>
      <c r="M296" s="3"/>
      <c r="N296" s="3"/>
      <c r="O296" s="3"/>
      <c r="P296" s="3"/>
      <c r="Q296" s="3"/>
      <c r="R296" s="3"/>
    </row>
    <row r="297" spans="1:18" x14ac:dyDescent="0.75">
      <c r="A297" s="3"/>
      <c r="B297" s="3"/>
      <c r="C297" s="6"/>
      <c r="D297" s="6"/>
      <c r="E297" s="15"/>
      <c r="F297" s="6"/>
      <c r="G297" s="6"/>
      <c r="H297" s="3"/>
      <c r="I297" s="6"/>
      <c r="J297" s="3"/>
      <c r="K297" s="3"/>
      <c r="L297" s="3"/>
      <c r="M297" s="3"/>
      <c r="N297" s="3"/>
      <c r="O297" s="3"/>
      <c r="P297" s="3"/>
      <c r="Q297" s="3"/>
      <c r="R297" s="3"/>
    </row>
    <row r="298" spans="1:18" x14ac:dyDescent="0.75">
      <c r="A298" s="3"/>
      <c r="B298" s="3"/>
      <c r="C298" s="6"/>
      <c r="D298" s="6"/>
      <c r="E298" s="15"/>
      <c r="F298" s="6"/>
      <c r="G298" s="6"/>
      <c r="H298" s="3"/>
      <c r="I298" s="6"/>
      <c r="J298" s="3"/>
      <c r="K298" s="3"/>
      <c r="L298" s="3"/>
      <c r="M298" s="3"/>
      <c r="N298" s="3"/>
      <c r="O298" s="3"/>
      <c r="P298" s="3"/>
      <c r="Q298" s="3"/>
      <c r="R298" s="3"/>
    </row>
    <row r="299" spans="1:18" x14ac:dyDescent="0.75">
      <c r="A299" s="3"/>
      <c r="B299" s="3"/>
      <c r="C299" s="6"/>
      <c r="D299" s="6"/>
      <c r="E299" s="15"/>
      <c r="F299" s="6"/>
      <c r="G299" s="6"/>
      <c r="H299" s="3"/>
      <c r="I299" s="6"/>
      <c r="J299" s="3"/>
      <c r="K299" s="3"/>
      <c r="L299" s="3"/>
      <c r="M299" s="3"/>
      <c r="N299" s="3"/>
      <c r="O299" s="3"/>
      <c r="P299" s="3"/>
      <c r="Q299" s="3"/>
      <c r="R299" s="3"/>
    </row>
    <row r="300" spans="1:18" x14ac:dyDescent="0.75">
      <c r="A300" s="3"/>
      <c r="B300" s="3"/>
      <c r="C300" s="6"/>
      <c r="D300" s="6"/>
      <c r="E300" s="15"/>
      <c r="F300" s="6"/>
      <c r="G300" s="6"/>
      <c r="H300" s="3"/>
      <c r="I300" s="6"/>
      <c r="J300" s="3"/>
      <c r="K300" s="3"/>
      <c r="L300" s="3"/>
      <c r="M300" s="3"/>
      <c r="N300" s="3"/>
      <c r="O300" s="3"/>
      <c r="P300" s="3"/>
      <c r="Q300" s="3"/>
      <c r="R300" s="3"/>
    </row>
    <row r="301" spans="1:18" x14ac:dyDescent="0.75">
      <c r="A301" s="3"/>
      <c r="B301" s="3"/>
      <c r="C301" s="6"/>
      <c r="D301" s="6"/>
      <c r="E301" s="15"/>
      <c r="F301" s="6"/>
      <c r="G301" s="6"/>
      <c r="H301" s="3"/>
      <c r="I301" s="6"/>
      <c r="J301" s="3"/>
      <c r="K301" s="3"/>
      <c r="L301" s="3"/>
      <c r="M301" s="3"/>
      <c r="N301" s="3"/>
      <c r="O301" s="3"/>
      <c r="P301" s="3"/>
      <c r="Q301" s="3"/>
      <c r="R301" s="3"/>
    </row>
    <row r="302" spans="1:18" x14ac:dyDescent="0.75">
      <c r="A302" s="3"/>
      <c r="B302" s="3"/>
      <c r="C302" s="6"/>
      <c r="D302" s="6"/>
      <c r="E302" s="15"/>
      <c r="F302" s="6"/>
      <c r="G302" s="6"/>
      <c r="H302" s="3"/>
      <c r="I302" s="6"/>
      <c r="J302" s="3"/>
      <c r="K302" s="3"/>
      <c r="L302" s="3"/>
      <c r="M302" s="3"/>
      <c r="N302" s="3"/>
      <c r="O302" s="3"/>
      <c r="P302" s="3"/>
      <c r="Q302" s="3"/>
      <c r="R302" s="3"/>
    </row>
    <row r="303" spans="1:18" x14ac:dyDescent="0.75">
      <c r="A303" s="3"/>
      <c r="B303" s="3"/>
      <c r="C303" s="6"/>
      <c r="D303" s="6"/>
      <c r="E303" s="15"/>
      <c r="F303" s="6"/>
      <c r="G303" s="6"/>
      <c r="H303" s="3"/>
      <c r="I303" s="6"/>
      <c r="J303" s="3"/>
      <c r="K303" s="3"/>
      <c r="L303" s="3"/>
      <c r="M303" s="3"/>
      <c r="N303" s="3"/>
      <c r="O303" s="3"/>
      <c r="P303" s="3"/>
      <c r="Q303" s="3"/>
      <c r="R303" s="3"/>
    </row>
    <row r="304" spans="1:18" x14ac:dyDescent="0.75">
      <c r="A304" s="3"/>
      <c r="B304" s="3"/>
      <c r="C304" s="6"/>
      <c r="D304" s="6"/>
      <c r="E304" s="15"/>
      <c r="F304" s="6"/>
      <c r="G304" s="6"/>
      <c r="H304" s="3"/>
      <c r="I304" s="6"/>
      <c r="J304" s="3"/>
      <c r="K304" s="3"/>
      <c r="L304" s="3"/>
      <c r="M304" s="3"/>
      <c r="N304" s="3"/>
      <c r="O304" s="3"/>
      <c r="P304" s="3"/>
      <c r="Q304" s="3"/>
      <c r="R304" s="3"/>
    </row>
    <row r="305" spans="1:18" x14ac:dyDescent="0.75">
      <c r="A305" s="3"/>
      <c r="B305" s="3"/>
      <c r="C305" s="6"/>
      <c r="D305" s="6"/>
      <c r="E305" s="15"/>
      <c r="F305" s="6"/>
      <c r="G305" s="6"/>
      <c r="H305" s="3"/>
      <c r="I305" s="6"/>
      <c r="J305" s="3"/>
      <c r="K305" s="3"/>
      <c r="L305" s="3"/>
      <c r="M305" s="3"/>
      <c r="N305" s="3"/>
      <c r="O305" s="3"/>
      <c r="P305" s="3"/>
      <c r="Q305" s="3"/>
      <c r="R305" s="3"/>
    </row>
    <row r="306" spans="1:18" x14ac:dyDescent="0.75">
      <c r="A306" s="3"/>
      <c r="B306" s="3"/>
      <c r="C306" s="6"/>
      <c r="D306" s="6"/>
      <c r="E306" s="15"/>
      <c r="F306" s="6"/>
      <c r="G306" s="6"/>
      <c r="H306" s="3"/>
      <c r="I306" s="6"/>
      <c r="J306" s="3"/>
      <c r="K306" s="3"/>
      <c r="L306" s="3"/>
      <c r="M306" s="3"/>
      <c r="N306" s="3"/>
      <c r="O306" s="3"/>
      <c r="P306" s="3"/>
      <c r="Q306" s="3"/>
      <c r="R306" s="3"/>
    </row>
    <row r="307" spans="1:18" x14ac:dyDescent="0.75">
      <c r="A307" s="3"/>
      <c r="B307" s="3"/>
      <c r="C307" s="6"/>
      <c r="D307" s="6"/>
      <c r="E307" s="15"/>
      <c r="F307" s="6"/>
      <c r="G307" s="6"/>
      <c r="H307" s="3"/>
      <c r="I307" s="6"/>
      <c r="J307" s="3"/>
      <c r="K307" s="3"/>
      <c r="L307" s="3"/>
      <c r="M307" s="3"/>
      <c r="N307" s="3"/>
      <c r="O307" s="3"/>
      <c r="P307" s="3"/>
      <c r="Q307" s="3"/>
      <c r="R307" s="3"/>
    </row>
    <row r="308" spans="1:18" x14ac:dyDescent="0.75">
      <c r="A308" s="3"/>
      <c r="B308" s="3"/>
      <c r="C308" s="6"/>
      <c r="D308" s="6"/>
      <c r="E308" s="15"/>
      <c r="F308" s="6"/>
      <c r="G308" s="6"/>
      <c r="H308" s="3"/>
      <c r="I308" s="6"/>
      <c r="J308" s="3"/>
      <c r="K308" s="3"/>
      <c r="L308" s="3"/>
      <c r="M308" s="3"/>
      <c r="N308" s="3"/>
      <c r="O308" s="3"/>
      <c r="P308" s="3"/>
      <c r="Q308" s="3"/>
      <c r="R308" s="3"/>
    </row>
    <row r="309" spans="1:18" x14ac:dyDescent="0.75">
      <c r="A309" s="3"/>
      <c r="B309" s="3"/>
      <c r="C309" s="6"/>
      <c r="D309" s="6"/>
      <c r="E309" s="15"/>
      <c r="F309" s="6"/>
      <c r="G309" s="6"/>
      <c r="H309" s="3"/>
      <c r="I309" s="6"/>
      <c r="J309" s="3"/>
      <c r="K309" s="3"/>
      <c r="L309" s="3"/>
      <c r="M309" s="3"/>
      <c r="N309" s="3"/>
      <c r="O309" s="3"/>
      <c r="P309" s="3"/>
      <c r="Q309" s="3"/>
      <c r="R309" s="3"/>
    </row>
    <row r="310" spans="1:18" x14ac:dyDescent="0.75">
      <c r="A310" s="3"/>
      <c r="B310" s="3"/>
      <c r="C310" s="6"/>
      <c r="D310" s="6"/>
      <c r="E310" s="15"/>
      <c r="F310" s="6"/>
      <c r="G310" s="6"/>
      <c r="H310" s="3"/>
      <c r="I310" s="6"/>
      <c r="J310" s="3"/>
      <c r="K310" s="3"/>
      <c r="L310" s="3"/>
      <c r="M310" s="3"/>
      <c r="N310" s="3"/>
      <c r="O310" s="3"/>
      <c r="P310" s="3"/>
      <c r="Q310" s="3"/>
      <c r="R310" s="3"/>
    </row>
    <row r="311" spans="1:18" x14ac:dyDescent="0.75">
      <c r="A311" s="3"/>
      <c r="B311" s="3"/>
      <c r="C311" s="6"/>
      <c r="D311" s="6"/>
      <c r="E311" s="15"/>
      <c r="F311" s="6"/>
      <c r="G311" s="6"/>
      <c r="H311" s="3"/>
      <c r="I311" s="6"/>
      <c r="J311" s="3"/>
      <c r="K311" s="3"/>
      <c r="L311" s="3"/>
      <c r="M311" s="3"/>
      <c r="N311" s="3"/>
      <c r="O311" s="3"/>
      <c r="P311" s="3"/>
      <c r="Q311" s="3"/>
      <c r="R311" s="3"/>
    </row>
    <row r="312" spans="1:18" x14ac:dyDescent="0.75">
      <c r="A312" s="3"/>
      <c r="B312" s="3"/>
      <c r="C312" s="6"/>
      <c r="D312" s="6"/>
      <c r="E312" s="15"/>
      <c r="F312" s="6"/>
      <c r="G312" s="6"/>
      <c r="H312" s="3"/>
      <c r="I312" s="6"/>
      <c r="J312" s="3"/>
      <c r="K312" s="3"/>
      <c r="L312" s="3"/>
      <c r="M312" s="3"/>
      <c r="N312" s="3"/>
      <c r="O312" s="3"/>
      <c r="P312" s="3"/>
      <c r="Q312" s="3"/>
      <c r="R312" s="3"/>
    </row>
    <row r="313" spans="1:18" x14ac:dyDescent="0.75">
      <c r="A313" s="3"/>
      <c r="B313" s="3"/>
      <c r="C313" s="6"/>
      <c r="D313" s="6"/>
      <c r="E313" s="15"/>
      <c r="F313" s="6"/>
      <c r="G313" s="6"/>
      <c r="H313" s="3"/>
      <c r="I313" s="6"/>
      <c r="J313" s="3"/>
      <c r="K313" s="3"/>
      <c r="L313" s="3"/>
      <c r="M313" s="3"/>
      <c r="N313" s="3"/>
      <c r="O313" s="3"/>
      <c r="P313" s="3"/>
      <c r="Q313" s="3"/>
      <c r="R313" s="3"/>
    </row>
    <row r="314" spans="1:18" x14ac:dyDescent="0.75">
      <c r="A314" s="3"/>
      <c r="B314" s="3"/>
      <c r="C314" s="6"/>
      <c r="D314" s="6"/>
      <c r="E314" s="15"/>
      <c r="F314" s="6"/>
      <c r="G314" s="6"/>
      <c r="H314" s="3"/>
      <c r="I314" s="6"/>
      <c r="J314" s="3"/>
      <c r="K314" s="3"/>
      <c r="L314" s="3"/>
      <c r="M314" s="3"/>
      <c r="N314" s="3"/>
      <c r="O314" s="3"/>
      <c r="P314" s="3"/>
      <c r="Q314" s="3"/>
      <c r="R314" s="3"/>
    </row>
    <row r="315" spans="1:18" x14ac:dyDescent="0.75">
      <c r="A315" s="3"/>
      <c r="B315" s="3"/>
      <c r="C315" s="6"/>
      <c r="D315" s="6"/>
      <c r="E315" s="15"/>
      <c r="F315" s="6"/>
      <c r="G315" s="6"/>
      <c r="H315" s="3"/>
      <c r="I315" s="6"/>
      <c r="J315" s="3"/>
      <c r="K315" s="3"/>
      <c r="L315" s="3"/>
      <c r="M315" s="3"/>
      <c r="N315" s="3"/>
      <c r="O315" s="3"/>
      <c r="P315" s="3"/>
      <c r="Q315" s="3"/>
      <c r="R315" s="3"/>
    </row>
    <row r="316" spans="1:18" x14ac:dyDescent="0.75">
      <c r="A316" s="3"/>
      <c r="B316" s="3"/>
      <c r="C316" s="6"/>
      <c r="D316" s="6"/>
      <c r="E316" s="15"/>
      <c r="F316" s="6"/>
      <c r="G316" s="6"/>
      <c r="H316" s="3"/>
      <c r="I316" s="6"/>
      <c r="J316" s="3"/>
      <c r="K316" s="3"/>
      <c r="L316" s="3"/>
      <c r="M316" s="3"/>
      <c r="N316" s="3"/>
      <c r="O316" s="3"/>
      <c r="P316" s="3"/>
      <c r="Q316" s="3"/>
      <c r="R316" s="3"/>
    </row>
    <row r="317" spans="1:18" x14ac:dyDescent="0.75">
      <c r="A317" s="3"/>
      <c r="B317" s="3"/>
      <c r="C317" s="6"/>
      <c r="D317" s="6"/>
      <c r="E317" s="15"/>
      <c r="F317" s="6"/>
      <c r="G317" s="6"/>
      <c r="H317" s="3"/>
      <c r="I317" s="6"/>
      <c r="J317" s="3"/>
      <c r="K317" s="3"/>
      <c r="L317" s="3"/>
      <c r="M317" s="3"/>
      <c r="N317" s="3"/>
      <c r="O317" s="3"/>
      <c r="P317" s="3"/>
      <c r="Q317" s="3"/>
      <c r="R317" s="3"/>
    </row>
    <row r="318" spans="1:18" x14ac:dyDescent="0.75">
      <c r="A318" s="3"/>
      <c r="B318" s="3"/>
      <c r="C318" s="6"/>
      <c r="D318" s="6"/>
      <c r="E318" s="15"/>
      <c r="F318" s="6"/>
      <c r="G318" s="6"/>
      <c r="H318" s="3"/>
      <c r="I318" s="6"/>
      <c r="J318" s="3"/>
      <c r="K318" s="3"/>
      <c r="L318" s="3"/>
      <c r="M318" s="3"/>
      <c r="N318" s="3"/>
      <c r="O318" s="3"/>
      <c r="P318" s="3"/>
      <c r="Q318" s="3"/>
      <c r="R318" s="3"/>
    </row>
    <row r="319" spans="1:18" x14ac:dyDescent="0.75">
      <c r="A319" s="3"/>
      <c r="B319" s="3"/>
      <c r="C319" s="6"/>
      <c r="D319" s="6"/>
      <c r="E319" s="15"/>
      <c r="F319" s="6"/>
      <c r="G319" s="6"/>
      <c r="H319" s="3"/>
      <c r="I319" s="6"/>
      <c r="J319" s="3"/>
      <c r="K319" s="3"/>
      <c r="L319" s="3"/>
      <c r="M319" s="3"/>
      <c r="N319" s="3"/>
      <c r="O319" s="3"/>
      <c r="P319" s="3"/>
      <c r="Q319" s="3"/>
      <c r="R319" s="3"/>
    </row>
    <row r="320" spans="1:18" x14ac:dyDescent="0.75">
      <c r="A320" s="3"/>
      <c r="B320" s="3"/>
      <c r="C320" s="6"/>
      <c r="D320" s="6"/>
      <c r="E320" s="15"/>
      <c r="F320" s="6"/>
      <c r="G320" s="6"/>
      <c r="H320" s="3"/>
      <c r="I320" s="6"/>
      <c r="J320" s="3"/>
      <c r="K320" s="3"/>
      <c r="L320" s="3"/>
      <c r="M320" s="3"/>
      <c r="N320" s="3"/>
      <c r="O320" s="3"/>
      <c r="P320" s="3"/>
      <c r="Q320" s="3"/>
      <c r="R320" s="3"/>
    </row>
    <row r="321" spans="1:18" x14ac:dyDescent="0.75">
      <c r="A321" s="3"/>
      <c r="B321" s="3"/>
      <c r="C321" s="6"/>
      <c r="D321" s="6"/>
      <c r="E321" s="15"/>
      <c r="F321" s="6"/>
      <c r="G321" s="6"/>
      <c r="H321" s="3"/>
      <c r="I321" s="6"/>
      <c r="J321" s="3"/>
      <c r="K321" s="3"/>
      <c r="L321" s="3"/>
      <c r="M321" s="3"/>
      <c r="N321" s="3"/>
      <c r="O321" s="3"/>
      <c r="P321" s="3"/>
      <c r="Q321" s="3"/>
      <c r="R321" s="3"/>
    </row>
    <row r="322" spans="1:18" x14ac:dyDescent="0.75">
      <c r="A322" s="3"/>
      <c r="B322" s="3"/>
      <c r="C322" s="6"/>
      <c r="D322" s="6"/>
      <c r="E322" s="15"/>
      <c r="F322" s="6"/>
      <c r="G322" s="6"/>
      <c r="H322" s="3"/>
      <c r="I322" s="6"/>
      <c r="J322" s="3"/>
      <c r="K322" s="3"/>
      <c r="L322" s="3"/>
      <c r="M322" s="3"/>
      <c r="N322" s="3"/>
      <c r="O322" s="3"/>
      <c r="P322" s="3"/>
      <c r="Q322" s="3"/>
      <c r="R322" s="3"/>
    </row>
    <row r="323" spans="1:18" x14ac:dyDescent="0.75">
      <c r="A323" s="3"/>
      <c r="B323" s="3"/>
      <c r="C323" s="6"/>
      <c r="D323" s="6"/>
      <c r="E323" s="15"/>
      <c r="F323" s="6"/>
      <c r="G323" s="6"/>
      <c r="H323" s="3"/>
      <c r="I323" s="6"/>
      <c r="J323" s="3"/>
      <c r="K323" s="3"/>
      <c r="L323" s="3"/>
      <c r="M323" s="3"/>
      <c r="N323" s="3"/>
      <c r="O323" s="3"/>
      <c r="P323" s="3"/>
      <c r="Q323" s="3"/>
      <c r="R323" s="3"/>
    </row>
    <row r="324" spans="1:18" x14ac:dyDescent="0.75">
      <c r="A324" s="3"/>
      <c r="B324" s="3"/>
      <c r="C324" s="6"/>
      <c r="D324" s="6"/>
      <c r="E324" s="15"/>
      <c r="F324" s="6"/>
      <c r="G324" s="6"/>
      <c r="H324" s="3"/>
      <c r="I324" s="6"/>
      <c r="J324" s="3"/>
      <c r="K324" s="3"/>
      <c r="L324" s="3"/>
      <c r="M324" s="3"/>
      <c r="N324" s="3"/>
      <c r="O324" s="3"/>
      <c r="P324" s="3"/>
      <c r="Q324" s="3"/>
      <c r="R324" s="3"/>
    </row>
    <row r="325" spans="1:18" x14ac:dyDescent="0.75">
      <c r="A325" s="3"/>
      <c r="B325" s="3"/>
      <c r="C325" s="6"/>
      <c r="D325" s="6"/>
      <c r="E325" s="15"/>
      <c r="F325" s="6"/>
      <c r="G325" s="6"/>
      <c r="H325" s="3"/>
      <c r="I325" s="6"/>
      <c r="J325" s="3"/>
      <c r="K325" s="3"/>
      <c r="L325" s="3"/>
      <c r="M325" s="3"/>
      <c r="N325" s="3"/>
      <c r="O325" s="3"/>
      <c r="P325" s="3"/>
      <c r="Q325" s="3"/>
      <c r="R325" s="3"/>
    </row>
    <row r="326" spans="1:18" x14ac:dyDescent="0.75">
      <c r="A326" s="3"/>
      <c r="B326" s="3"/>
      <c r="C326" s="6"/>
      <c r="D326" s="6"/>
      <c r="E326" s="15"/>
      <c r="F326" s="6"/>
      <c r="G326" s="6"/>
      <c r="H326" s="3"/>
      <c r="I326" s="6"/>
      <c r="J326" s="3"/>
      <c r="K326" s="3"/>
      <c r="L326" s="3"/>
      <c r="M326" s="3"/>
      <c r="N326" s="3"/>
      <c r="O326" s="3"/>
      <c r="P326" s="3"/>
      <c r="Q326" s="3"/>
      <c r="R326" s="3"/>
    </row>
    <row r="327" spans="1:18" x14ac:dyDescent="0.75">
      <c r="A327" s="3"/>
      <c r="B327" s="3"/>
      <c r="C327" s="6"/>
      <c r="D327" s="6"/>
      <c r="E327" s="15"/>
      <c r="F327" s="6"/>
      <c r="G327" s="6"/>
      <c r="H327" s="3"/>
      <c r="I327" s="6"/>
      <c r="J327" s="3"/>
      <c r="K327" s="3"/>
      <c r="L327" s="3"/>
      <c r="M327" s="3"/>
      <c r="N327" s="3"/>
      <c r="O327" s="3"/>
      <c r="P327" s="3"/>
      <c r="Q327" s="3"/>
      <c r="R327" s="3"/>
    </row>
    <row r="328" spans="1:18" x14ac:dyDescent="0.75">
      <c r="A328" s="3"/>
      <c r="B328" s="3"/>
      <c r="C328" s="6"/>
      <c r="D328" s="6"/>
      <c r="E328" s="15"/>
      <c r="F328" s="6"/>
      <c r="G328" s="6"/>
      <c r="H328" s="3"/>
      <c r="I328" s="6"/>
      <c r="J328" s="3"/>
      <c r="K328" s="3"/>
      <c r="L328" s="3"/>
      <c r="M328" s="3"/>
      <c r="N328" s="3"/>
      <c r="O328" s="3"/>
      <c r="P328" s="3"/>
      <c r="Q328" s="3"/>
      <c r="R328" s="3"/>
    </row>
    <row r="329" spans="1:18" x14ac:dyDescent="0.75">
      <c r="A329" s="3"/>
      <c r="B329" s="3"/>
      <c r="C329" s="6"/>
      <c r="D329" s="6"/>
      <c r="E329" s="15"/>
      <c r="F329" s="6"/>
      <c r="G329" s="6"/>
      <c r="H329" s="3"/>
      <c r="I329" s="6"/>
      <c r="J329" s="3"/>
      <c r="K329" s="3"/>
      <c r="L329" s="3"/>
      <c r="M329" s="3"/>
      <c r="N329" s="3"/>
      <c r="O329" s="3"/>
      <c r="P329" s="3"/>
      <c r="Q329" s="3"/>
      <c r="R329" s="3"/>
    </row>
    <row r="330" spans="1:18" x14ac:dyDescent="0.75">
      <c r="A330" s="3"/>
      <c r="B330" s="3"/>
      <c r="C330" s="6"/>
      <c r="D330" s="6"/>
      <c r="E330" s="15"/>
      <c r="F330" s="6"/>
      <c r="G330" s="6"/>
      <c r="H330" s="3"/>
      <c r="I330" s="6"/>
      <c r="J330" s="3"/>
      <c r="K330" s="3"/>
      <c r="L330" s="3"/>
      <c r="M330" s="3"/>
      <c r="N330" s="3"/>
      <c r="O330" s="3"/>
      <c r="P330" s="3"/>
      <c r="Q330" s="3"/>
      <c r="R330" s="3"/>
    </row>
    <row r="331" spans="1:18" x14ac:dyDescent="0.75">
      <c r="A331" s="3"/>
      <c r="B331" s="3"/>
      <c r="C331" s="6"/>
      <c r="D331" s="6"/>
      <c r="E331" s="15"/>
      <c r="F331" s="6"/>
      <c r="G331" s="6"/>
      <c r="H331" s="3"/>
      <c r="I331" s="6"/>
      <c r="J331" s="3"/>
      <c r="K331" s="3"/>
      <c r="L331" s="3"/>
      <c r="M331" s="3"/>
      <c r="N331" s="3"/>
      <c r="O331" s="3"/>
      <c r="P331" s="3"/>
      <c r="Q331" s="3"/>
      <c r="R331" s="3"/>
    </row>
    <row r="332" spans="1:18" x14ac:dyDescent="0.75">
      <c r="A332" s="3"/>
      <c r="B332" s="3"/>
      <c r="C332" s="6"/>
      <c r="D332" s="6"/>
      <c r="E332" s="15"/>
      <c r="F332" s="6"/>
      <c r="G332" s="6"/>
      <c r="H332" s="3"/>
      <c r="I332" s="6"/>
      <c r="J332" s="3"/>
      <c r="K332" s="3"/>
      <c r="L332" s="3"/>
      <c r="M332" s="3"/>
      <c r="N332" s="3"/>
      <c r="O332" s="3"/>
      <c r="P332" s="3"/>
      <c r="Q332" s="3"/>
      <c r="R332" s="3"/>
    </row>
    <row r="333" spans="1:18" x14ac:dyDescent="0.75">
      <c r="A333" s="3"/>
      <c r="B333" s="3"/>
      <c r="C333" s="6"/>
      <c r="D333" s="6"/>
      <c r="E333" s="15"/>
      <c r="F333" s="6"/>
      <c r="G333" s="6"/>
      <c r="H333" s="3"/>
      <c r="I333" s="6"/>
      <c r="J333" s="3"/>
      <c r="K333" s="3"/>
      <c r="L333" s="3"/>
      <c r="M333" s="3"/>
      <c r="N333" s="3"/>
      <c r="O333" s="3"/>
      <c r="P333" s="3"/>
      <c r="Q333" s="3"/>
      <c r="R333" s="3"/>
    </row>
    <row r="334" spans="1:18" x14ac:dyDescent="0.75">
      <c r="A334" s="3"/>
      <c r="B334" s="3"/>
      <c r="C334" s="6"/>
      <c r="D334" s="6"/>
      <c r="E334" s="15"/>
      <c r="F334" s="6"/>
      <c r="G334" s="6"/>
      <c r="H334" s="3"/>
      <c r="I334" s="6"/>
      <c r="J334" s="3"/>
      <c r="K334" s="3"/>
      <c r="L334" s="3"/>
      <c r="M334" s="3"/>
      <c r="N334" s="3"/>
      <c r="O334" s="3"/>
      <c r="P334" s="3"/>
      <c r="Q334" s="3"/>
      <c r="R334" s="3"/>
    </row>
    <row r="335" spans="1:18" x14ac:dyDescent="0.75">
      <c r="A335" s="3"/>
      <c r="B335" s="3"/>
      <c r="C335" s="6"/>
      <c r="D335" s="6"/>
      <c r="E335" s="15"/>
      <c r="F335" s="6"/>
      <c r="G335" s="6"/>
      <c r="H335" s="3"/>
      <c r="I335" s="6"/>
      <c r="J335" s="3"/>
      <c r="K335" s="3"/>
      <c r="L335" s="3"/>
      <c r="M335" s="3"/>
      <c r="N335" s="3"/>
      <c r="O335" s="3"/>
      <c r="P335" s="3"/>
      <c r="Q335" s="3"/>
      <c r="R335" s="3"/>
    </row>
    <row r="336" spans="1:18" x14ac:dyDescent="0.75">
      <c r="A336" s="3"/>
      <c r="B336" s="3"/>
      <c r="C336" s="6"/>
      <c r="D336" s="6"/>
      <c r="E336" s="15"/>
      <c r="F336" s="6"/>
      <c r="G336" s="6"/>
      <c r="H336" s="3"/>
      <c r="I336" s="6"/>
      <c r="J336" s="3"/>
      <c r="K336" s="3"/>
      <c r="L336" s="3"/>
      <c r="M336" s="3"/>
      <c r="N336" s="3"/>
      <c r="O336" s="3"/>
      <c r="P336" s="3"/>
      <c r="Q336" s="3"/>
      <c r="R336" s="3"/>
    </row>
    <row r="337" spans="1:18" x14ac:dyDescent="0.75">
      <c r="A337" s="3"/>
      <c r="B337" s="3"/>
      <c r="C337" s="6"/>
      <c r="D337" s="6"/>
      <c r="E337" s="15"/>
      <c r="F337" s="6"/>
      <c r="G337" s="6"/>
      <c r="H337" s="3"/>
      <c r="I337" s="6"/>
      <c r="J337" s="3"/>
      <c r="K337" s="3"/>
      <c r="L337" s="3"/>
      <c r="M337" s="3"/>
      <c r="N337" s="3"/>
      <c r="O337" s="3"/>
      <c r="P337" s="3"/>
      <c r="Q337" s="3"/>
      <c r="R337" s="3"/>
    </row>
    <row r="338" spans="1:18" x14ac:dyDescent="0.75">
      <c r="A338" s="3"/>
      <c r="B338" s="3"/>
      <c r="C338" s="6"/>
      <c r="D338" s="6"/>
      <c r="E338" s="15"/>
      <c r="F338" s="6"/>
      <c r="G338" s="6"/>
      <c r="H338" s="3"/>
      <c r="I338" s="6"/>
      <c r="J338" s="3"/>
      <c r="K338" s="3"/>
      <c r="L338" s="3"/>
      <c r="M338" s="3"/>
      <c r="N338" s="3"/>
      <c r="O338" s="3"/>
      <c r="P338" s="3"/>
      <c r="Q338" s="3"/>
      <c r="R338" s="3"/>
    </row>
    <row r="339" spans="1:18" x14ac:dyDescent="0.75">
      <c r="A339" s="3"/>
      <c r="B339" s="3"/>
      <c r="C339" s="6"/>
      <c r="D339" s="6"/>
      <c r="E339" s="15"/>
      <c r="F339" s="6"/>
      <c r="G339" s="6"/>
      <c r="H339" s="3"/>
      <c r="I339" s="6"/>
      <c r="J339" s="3"/>
      <c r="K339" s="3"/>
      <c r="L339" s="3"/>
      <c r="M339" s="3"/>
      <c r="N339" s="3"/>
      <c r="O339" s="3"/>
      <c r="P339" s="3"/>
      <c r="Q339" s="3"/>
      <c r="R339" s="3"/>
    </row>
    <row r="340" spans="1:18" x14ac:dyDescent="0.75">
      <c r="A340" s="3"/>
      <c r="B340" s="3"/>
      <c r="C340" s="6"/>
      <c r="D340" s="6"/>
      <c r="E340" s="15"/>
      <c r="F340" s="6"/>
      <c r="G340" s="6"/>
      <c r="H340" s="3"/>
      <c r="I340" s="6"/>
      <c r="J340" s="3"/>
      <c r="K340" s="3"/>
      <c r="L340" s="3"/>
      <c r="M340" s="3"/>
      <c r="N340" s="3"/>
      <c r="O340" s="3"/>
      <c r="P340" s="3"/>
      <c r="Q340" s="3"/>
      <c r="R340" s="3"/>
    </row>
    <row r="341" spans="1:18" x14ac:dyDescent="0.75">
      <c r="A341" s="3"/>
      <c r="B341" s="3"/>
      <c r="C341" s="6"/>
      <c r="D341" s="6"/>
      <c r="E341" s="15"/>
      <c r="F341" s="6"/>
      <c r="G341" s="6"/>
      <c r="H341" s="3"/>
      <c r="I341" s="6"/>
      <c r="J341" s="3"/>
      <c r="K341" s="3"/>
      <c r="L341" s="3"/>
      <c r="M341" s="3"/>
      <c r="N341" s="3"/>
      <c r="O341" s="3"/>
      <c r="P341" s="3"/>
      <c r="Q341" s="3"/>
      <c r="R341" s="3"/>
    </row>
    <row r="342" spans="1:18" x14ac:dyDescent="0.75">
      <c r="A342" s="3"/>
      <c r="B342" s="3"/>
      <c r="C342" s="6"/>
      <c r="D342" s="6"/>
      <c r="E342" s="15"/>
      <c r="F342" s="6"/>
      <c r="G342" s="6"/>
      <c r="H342" s="3"/>
      <c r="I342" s="6"/>
      <c r="J342" s="3"/>
      <c r="K342" s="3"/>
      <c r="L342" s="3"/>
      <c r="M342" s="3"/>
      <c r="N342" s="3"/>
      <c r="O342" s="3"/>
      <c r="P342" s="3"/>
      <c r="Q342" s="3"/>
      <c r="R342" s="3"/>
    </row>
    <row r="343" spans="1:18" x14ac:dyDescent="0.75">
      <c r="A343" s="3"/>
      <c r="B343" s="3"/>
      <c r="C343" s="6"/>
      <c r="D343" s="6"/>
      <c r="E343" s="15"/>
      <c r="F343" s="6"/>
      <c r="G343" s="6"/>
      <c r="H343" s="3"/>
      <c r="I343" s="6"/>
      <c r="J343" s="3"/>
      <c r="K343" s="3"/>
      <c r="L343" s="3"/>
      <c r="M343" s="3"/>
      <c r="N343" s="3"/>
      <c r="O343" s="3"/>
      <c r="P343" s="3"/>
      <c r="Q343" s="3"/>
      <c r="R343" s="3"/>
    </row>
    <row r="344" spans="1:18" x14ac:dyDescent="0.75">
      <c r="A344" s="3"/>
      <c r="B344" s="3"/>
      <c r="C344" s="6"/>
      <c r="D344" s="6"/>
      <c r="E344" s="15"/>
      <c r="F344" s="6"/>
      <c r="G344" s="6"/>
      <c r="H344" s="3"/>
      <c r="I344" s="6"/>
      <c r="J344" s="3"/>
      <c r="K344" s="3"/>
      <c r="L344" s="3"/>
      <c r="M344" s="3"/>
      <c r="N344" s="3"/>
      <c r="O344" s="3"/>
      <c r="P344" s="3"/>
      <c r="Q344" s="3"/>
      <c r="R344" s="3"/>
    </row>
    <row r="345" spans="1:18" x14ac:dyDescent="0.75">
      <c r="A345" s="3"/>
      <c r="B345" s="3"/>
      <c r="C345" s="6"/>
      <c r="D345" s="6"/>
      <c r="E345" s="15"/>
      <c r="F345" s="6"/>
      <c r="G345" s="6"/>
      <c r="H345" s="3"/>
      <c r="I345" s="6"/>
      <c r="J345" s="3"/>
      <c r="K345" s="3"/>
      <c r="L345" s="3"/>
      <c r="M345" s="3"/>
      <c r="N345" s="3"/>
      <c r="O345" s="3"/>
      <c r="P345" s="3"/>
      <c r="Q345" s="3"/>
      <c r="R345" s="3"/>
    </row>
    <row r="346" spans="1:18" x14ac:dyDescent="0.75">
      <c r="A346" s="3"/>
      <c r="B346" s="3"/>
      <c r="C346" s="6"/>
      <c r="D346" s="6"/>
      <c r="E346" s="15"/>
      <c r="F346" s="6"/>
      <c r="G346" s="6"/>
      <c r="H346" s="3"/>
      <c r="I346" s="6"/>
      <c r="J346" s="3"/>
      <c r="K346" s="3"/>
      <c r="L346" s="3"/>
      <c r="M346" s="3"/>
      <c r="N346" s="3"/>
      <c r="O346" s="3"/>
      <c r="P346" s="3"/>
      <c r="Q346" s="3"/>
      <c r="R346" s="3"/>
    </row>
    <row r="347" spans="1:18" x14ac:dyDescent="0.75">
      <c r="A347" s="3"/>
      <c r="B347" s="3"/>
      <c r="C347" s="6"/>
      <c r="D347" s="6"/>
      <c r="E347" s="15"/>
      <c r="F347" s="6"/>
      <c r="G347" s="6"/>
      <c r="H347" s="3"/>
      <c r="I347" s="6"/>
      <c r="J347" s="3"/>
      <c r="K347" s="3"/>
      <c r="L347" s="3"/>
      <c r="M347" s="3"/>
      <c r="N347" s="3"/>
      <c r="O347" s="3"/>
      <c r="P347" s="3"/>
      <c r="Q347" s="3"/>
      <c r="R347" s="3"/>
    </row>
    <row r="348" spans="1:18" x14ac:dyDescent="0.75">
      <c r="A348" s="3"/>
      <c r="B348" s="3"/>
      <c r="C348" s="6"/>
      <c r="D348" s="6"/>
      <c r="E348" s="15"/>
      <c r="F348" s="6"/>
      <c r="G348" s="6"/>
      <c r="H348" s="3"/>
      <c r="I348" s="6"/>
      <c r="J348" s="3"/>
      <c r="K348" s="3"/>
      <c r="L348" s="3"/>
      <c r="M348" s="3"/>
      <c r="N348" s="3"/>
      <c r="O348" s="3"/>
      <c r="P348" s="3"/>
      <c r="Q348" s="3"/>
      <c r="R348" s="3"/>
    </row>
    <row r="349" spans="1:18" x14ac:dyDescent="0.75">
      <c r="A349" s="3"/>
      <c r="B349" s="3"/>
      <c r="C349" s="6"/>
      <c r="D349" s="6"/>
      <c r="E349" s="15"/>
      <c r="F349" s="6"/>
      <c r="G349" s="6"/>
      <c r="H349" s="3"/>
      <c r="I349" s="6"/>
      <c r="J349" s="3"/>
      <c r="K349" s="3"/>
      <c r="L349" s="3"/>
      <c r="M349" s="3"/>
      <c r="N349" s="3"/>
      <c r="O349" s="3"/>
      <c r="P349" s="3"/>
      <c r="Q349" s="3"/>
      <c r="R349" s="3"/>
    </row>
    <row r="350" spans="1:18" x14ac:dyDescent="0.75">
      <c r="A350" s="3"/>
      <c r="B350" s="3"/>
      <c r="C350" s="6"/>
      <c r="D350" s="6"/>
      <c r="E350" s="15"/>
      <c r="F350" s="6"/>
      <c r="G350" s="6"/>
      <c r="H350" s="3"/>
      <c r="I350" s="6"/>
      <c r="J350" s="3"/>
      <c r="K350" s="3"/>
      <c r="L350" s="3"/>
      <c r="M350" s="3"/>
      <c r="N350" s="3"/>
      <c r="O350" s="3"/>
      <c r="P350" s="3"/>
      <c r="Q350" s="3"/>
      <c r="R350" s="3"/>
    </row>
    <row r="351" spans="1:18" x14ac:dyDescent="0.75">
      <c r="A351" s="3"/>
      <c r="B351" s="3"/>
      <c r="C351" s="6"/>
      <c r="D351" s="6"/>
      <c r="E351" s="15"/>
      <c r="F351" s="6"/>
      <c r="G351" s="6"/>
      <c r="H351" s="3"/>
      <c r="I351" s="6"/>
      <c r="J351" s="3"/>
      <c r="K351" s="3"/>
      <c r="L351" s="3"/>
      <c r="M351" s="3"/>
      <c r="N351" s="3"/>
      <c r="O351" s="3"/>
      <c r="P351" s="3"/>
      <c r="Q351" s="3"/>
      <c r="R351" s="3"/>
    </row>
    <row r="352" spans="1:18" x14ac:dyDescent="0.75">
      <c r="A352" s="3"/>
      <c r="B352" s="3"/>
      <c r="C352" s="6"/>
      <c r="D352" s="6"/>
      <c r="E352" s="15"/>
      <c r="F352" s="6"/>
      <c r="G352" s="6"/>
      <c r="H352" s="3"/>
      <c r="I352" s="6"/>
      <c r="J352" s="3"/>
      <c r="K352" s="3"/>
      <c r="L352" s="3"/>
      <c r="M352" s="3"/>
      <c r="N352" s="3"/>
      <c r="O352" s="3"/>
      <c r="P352" s="3"/>
      <c r="Q352" s="3"/>
      <c r="R352" s="3"/>
    </row>
    <row r="353" spans="1:18" x14ac:dyDescent="0.75">
      <c r="A353" s="3"/>
      <c r="B353" s="3"/>
      <c r="C353" s="6"/>
      <c r="D353" s="6"/>
      <c r="E353" s="15"/>
      <c r="F353" s="6"/>
      <c r="G353" s="6"/>
      <c r="H353" s="3"/>
      <c r="I353" s="6"/>
      <c r="J353" s="3"/>
      <c r="K353" s="3"/>
      <c r="L353" s="3"/>
      <c r="M353" s="3"/>
      <c r="N353" s="3"/>
      <c r="O353" s="3"/>
      <c r="P353" s="3"/>
      <c r="Q353" s="3"/>
      <c r="R353" s="3"/>
    </row>
    <row r="354" spans="1:18" x14ac:dyDescent="0.75">
      <c r="A354" s="3"/>
      <c r="B354" s="3"/>
      <c r="C354" s="6"/>
      <c r="D354" s="6"/>
      <c r="E354" s="15"/>
      <c r="F354" s="6"/>
      <c r="G354" s="6"/>
      <c r="H354" s="3"/>
      <c r="I354" s="6"/>
      <c r="J354" s="3"/>
      <c r="K354" s="3"/>
      <c r="L354" s="3"/>
      <c r="M354" s="3"/>
      <c r="N354" s="3"/>
      <c r="O354" s="3"/>
      <c r="P354" s="3"/>
      <c r="Q354" s="3"/>
      <c r="R354" s="3"/>
    </row>
    <row r="355" spans="1:18" x14ac:dyDescent="0.75">
      <c r="A355" s="3"/>
      <c r="B355" s="3"/>
      <c r="C355" s="6"/>
      <c r="D355" s="6"/>
      <c r="E355" s="15"/>
      <c r="F355" s="6"/>
      <c r="G355" s="6"/>
      <c r="H355" s="3"/>
      <c r="I355" s="6"/>
      <c r="J355" s="3"/>
      <c r="K355" s="3"/>
      <c r="L355" s="3"/>
      <c r="M355" s="3"/>
      <c r="N355" s="3"/>
      <c r="O355" s="3"/>
      <c r="P355" s="3"/>
      <c r="Q355" s="3"/>
      <c r="R355" s="3"/>
    </row>
    <row r="356" spans="1:18" x14ac:dyDescent="0.75">
      <c r="A356" s="3"/>
      <c r="B356" s="3"/>
      <c r="C356" s="6"/>
      <c r="D356" s="6"/>
      <c r="E356" s="15"/>
      <c r="F356" s="6"/>
      <c r="G356" s="6"/>
      <c r="H356" s="3"/>
      <c r="I356" s="6"/>
      <c r="J356" s="3"/>
      <c r="K356" s="3"/>
      <c r="L356" s="3"/>
      <c r="M356" s="3"/>
      <c r="N356" s="3"/>
      <c r="O356" s="3"/>
      <c r="P356" s="3"/>
      <c r="Q356" s="3"/>
      <c r="R356" s="3"/>
    </row>
    <row r="357" spans="1:18" x14ac:dyDescent="0.75">
      <c r="A357" s="3"/>
      <c r="B357" s="3"/>
      <c r="C357" s="6"/>
      <c r="D357" s="6"/>
      <c r="E357" s="15"/>
      <c r="F357" s="6"/>
      <c r="G357" s="6"/>
      <c r="H357" s="3"/>
      <c r="I357" s="6"/>
      <c r="J357" s="3"/>
      <c r="K357" s="3"/>
      <c r="L357" s="3"/>
      <c r="M357" s="3"/>
      <c r="N357" s="3"/>
      <c r="O357" s="3"/>
      <c r="P357" s="3"/>
      <c r="Q357" s="3"/>
      <c r="R357" s="3"/>
    </row>
    <row r="358" spans="1:18" x14ac:dyDescent="0.75">
      <c r="A358" s="3"/>
      <c r="B358" s="3"/>
      <c r="C358" s="6"/>
      <c r="D358" s="6"/>
      <c r="E358" s="15"/>
      <c r="F358" s="6"/>
      <c r="G358" s="6"/>
      <c r="H358" s="3"/>
      <c r="I358" s="6"/>
      <c r="J358" s="3"/>
      <c r="K358" s="3"/>
      <c r="L358" s="3"/>
      <c r="M358" s="3"/>
      <c r="N358" s="3"/>
      <c r="O358" s="3"/>
      <c r="P358" s="3"/>
      <c r="Q358" s="3"/>
      <c r="R358" s="3"/>
    </row>
    <row r="359" spans="1:18" x14ac:dyDescent="0.75">
      <c r="A359" s="3"/>
      <c r="B359" s="3"/>
      <c r="C359" s="6"/>
      <c r="D359" s="6"/>
      <c r="E359" s="15"/>
      <c r="F359" s="6"/>
      <c r="G359" s="6"/>
      <c r="H359" s="3"/>
      <c r="I359" s="6"/>
      <c r="J359" s="3"/>
      <c r="K359" s="3"/>
      <c r="L359" s="3"/>
      <c r="M359" s="3"/>
      <c r="N359" s="3"/>
      <c r="O359" s="3"/>
      <c r="P359" s="3"/>
      <c r="Q359" s="3"/>
      <c r="R359" s="3"/>
    </row>
    <row r="360" spans="1:18" x14ac:dyDescent="0.75">
      <c r="A360" s="3"/>
      <c r="B360" s="3"/>
      <c r="C360" s="6"/>
      <c r="D360" s="6"/>
      <c r="E360" s="15"/>
      <c r="F360" s="6"/>
      <c r="G360" s="6"/>
      <c r="H360" s="3"/>
      <c r="I360" s="6"/>
      <c r="J360" s="3"/>
      <c r="K360" s="3"/>
      <c r="L360" s="3"/>
      <c r="M360" s="3"/>
      <c r="N360" s="3"/>
      <c r="O360" s="3"/>
      <c r="P360" s="3"/>
      <c r="Q360" s="3"/>
      <c r="R360" s="3"/>
    </row>
    <row r="361" spans="1:18" x14ac:dyDescent="0.75">
      <c r="A361" s="3"/>
      <c r="B361" s="3"/>
      <c r="C361" s="6"/>
      <c r="D361" s="6"/>
      <c r="E361" s="15"/>
      <c r="F361" s="6"/>
      <c r="G361" s="6"/>
      <c r="H361" s="3"/>
      <c r="I361" s="6"/>
      <c r="J361" s="3"/>
      <c r="K361" s="3"/>
      <c r="L361" s="3"/>
      <c r="M361" s="3"/>
      <c r="N361" s="3"/>
      <c r="O361" s="3"/>
      <c r="P361" s="3"/>
      <c r="Q361" s="3"/>
      <c r="R361" s="3"/>
    </row>
    <row r="362" spans="1:18" x14ac:dyDescent="0.75">
      <c r="A362" s="3"/>
      <c r="B362" s="3"/>
      <c r="C362" s="6"/>
      <c r="D362" s="6"/>
      <c r="E362" s="15"/>
      <c r="F362" s="6"/>
      <c r="G362" s="6"/>
      <c r="H362" s="3"/>
      <c r="I362" s="6"/>
      <c r="J362" s="3"/>
      <c r="K362" s="3"/>
      <c r="L362" s="3"/>
      <c r="M362" s="3"/>
      <c r="N362" s="3"/>
      <c r="O362" s="3"/>
      <c r="P362" s="3"/>
      <c r="Q362" s="3"/>
      <c r="R362" s="3"/>
    </row>
    <row r="363" spans="1:18" x14ac:dyDescent="0.75">
      <c r="A363" s="3"/>
      <c r="B363" s="3"/>
      <c r="C363" s="6"/>
      <c r="D363" s="6"/>
      <c r="E363" s="15"/>
      <c r="F363" s="6"/>
      <c r="G363" s="6"/>
      <c r="H363" s="3"/>
      <c r="I363" s="6"/>
      <c r="J363" s="3"/>
      <c r="K363" s="3"/>
      <c r="L363" s="3"/>
      <c r="M363" s="3"/>
      <c r="N363" s="3"/>
      <c r="O363" s="3"/>
      <c r="P363" s="3"/>
      <c r="Q363" s="3"/>
      <c r="R363" s="3"/>
    </row>
    <row r="364" spans="1:18" x14ac:dyDescent="0.75">
      <c r="A364" s="3"/>
      <c r="B364" s="3"/>
      <c r="C364" s="6"/>
      <c r="D364" s="6"/>
      <c r="E364" s="15"/>
      <c r="F364" s="6"/>
      <c r="G364" s="6"/>
      <c r="H364" s="3"/>
      <c r="I364" s="6"/>
      <c r="J364" s="3"/>
      <c r="K364" s="3"/>
      <c r="L364" s="3"/>
      <c r="M364" s="3"/>
      <c r="N364" s="3"/>
      <c r="O364" s="3"/>
      <c r="P364" s="3"/>
      <c r="Q364" s="3"/>
      <c r="R364" s="3"/>
    </row>
    <row r="365" spans="1:18" x14ac:dyDescent="0.75">
      <c r="A365" s="3"/>
      <c r="B365" s="3"/>
      <c r="C365" s="6"/>
      <c r="D365" s="6"/>
      <c r="E365" s="15"/>
      <c r="F365" s="6"/>
      <c r="G365" s="6"/>
      <c r="H365" s="3"/>
      <c r="I365" s="6"/>
      <c r="J365" s="3"/>
      <c r="K365" s="3"/>
      <c r="L365" s="3"/>
      <c r="M365" s="3"/>
      <c r="N365" s="3"/>
      <c r="O365" s="3"/>
      <c r="P365" s="3"/>
      <c r="Q365" s="3"/>
      <c r="R365" s="3"/>
    </row>
    <row r="366" spans="1:18" x14ac:dyDescent="0.75">
      <c r="A366" s="3"/>
      <c r="B366" s="3"/>
      <c r="C366" s="6"/>
      <c r="D366" s="6"/>
      <c r="E366" s="15"/>
      <c r="F366" s="6"/>
      <c r="G366" s="6"/>
      <c r="H366" s="3"/>
      <c r="I366" s="6"/>
      <c r="J366" s="3"/>
      <c r="K366" s="3"/>
      <c r="L366" s="3"/>
      <c r="M366" s="3"/>
      <c r="N366" s="3"/>
      <c r="O366" s="3"/>
      <c r="P366" s="3"/>
      <c r="Q366" s="3"/>
      <c r="R366" s="3"/>
    </row>
    <row r="367" spans="1:18" x14ac:dyDescent="0.75">
      <c r="A367" s="3"/>
      <c r="B367" s="3"/>
      <c r="C367" s="6"/>
      <c r="D367" s="6"/>
      <c r="E367" s="15"/>
      <c r="F367" s="6"/>
      <c r="G367" s="6"/>
      <c r="H367" s="3"/>
      <c r="I367" s="6"/>
      <c r="J367" s="3"/>
      <c r="K367" s="3"/>
      <c r="L367" s="3"/>
      <c r="M367" s="3"/>
      <c r="N367" s="3"/>
      <c r="O367" s="3"/>
      <c r="P367" s="3"/>
      <c r="Q367" s="3"/>
      <c r="R367" s="3"/>
    </row>
    <row r="368" spans="1:18" x14ac:dyDescent="0.75">
      <c r="A368" s="3"/>
      <c r="B368" s="3"/>
      <c r="C368" s="6"/>
      <c r="D368" s="6"/>
      <c r="E368" s="15"/>
      <c r="F368" s="6"/>
      <c r="G368" s="6"/>
      <c r="H368" s="3"/>
      <c r="I368" s="6"/>
      <c r="J368" s="3"/>
      <c r="K368" s="3"/>
      <c r="L368" s="3"/>
      <c r="M368" s="3"/>
      <c r="N368" s="3"/>
      <c r="O368" s="3"/>
      <c r="P368" s="3"/>
      <c r="Q368" s="3"/>
      <c r="R368" s="3"/>
    </row>
    <row r="369" spans="1:18" x14ac:dyDescent="0.75">
      <c r="A369" s="3"/>
      <c r="B369" s="3"/>
      <c r="C369" s="6"/>
      <c r="D369" s="6"/>
      <c r="E369" s="15"/>
      <c r="F369" s="6"/>
      <c r="G369" s="6"/>
      <c r="H369" s="3"/>
      <c r="I369" s="6"/>
      <c r="J369" s="3"/>
      <c r="K369" s="3"/>
      <c r="L369" s="3"/>
      <c r="M369" s="3"/>
      <c r="N369" s="3"/>
      <c r="O369" s="3"/>
      <c r="P369" s="3"/>
      <c r="Q369" s="3"/>
      <c r="R369" s="3"/>
    </row>
    <row r="370" spans="1:18" x14ac:dyDescent="0.75">
      <c r="A370" s="3"/>
      <c r="B370" s="3"/>
      <c r="C370" s="6"/>
      <c r="D370" s="6"/>
      <c r="E370" s="15"/>
      <c r="F370" s="6"/>
      <c r="G370" s="6"/>
      <c r="H370" s="3"/>
      <c r="I370" s="6"/>
      <c r="J370" s="3"/>
      <c r="K370" s="3"/>
      <c r="L370" s="3"/>
      <c r="M370" s="3"/>
      <c r="N370" s="3"/>
      <c r="O370" s="3"/>
      <c r="P370" s="3"/>
      <c r="Q370" s="3"/>
      <c r="R370" s="3"/>
    </row>
    <row r="371" spans="1:18" x14ac:dyDescent="0.75">
      <c r="A371" s="3"/>
      <c r="B371" s="3"/>
      <c r="C371" s="6"/>
      <c r="D371" s="6"/>
      <c r="E371" s="15"/>
      <c r="F371" s="6"/>
      <c r="G371" s="6"/>
      <c r="H371" s="3"/>
      <c r="I371" s="6"/>
      <c r="J371" s="3"/>
      <c r="K371" s="3"/>
      <c r="L371" s="3"/>
      <c r="M371" s="3"/>
      <c r="N371" s="3"/>
      <c r="O371" s="3"/>
      <c r="P371" s="3"/>
      <c r="Q371" s="3"/>
      <c r="R371" s="3"/>
    </row>
    <row r="372" spans="1:18" x14ac:dyDescent="0.75">
      <c r="A372" s="3"/>
      <c r="B372" s="3"/>
      <c r="C372" s="6"/>
      <c r="D372" s="6"/>
      <c r="E372" s="15"/>
      <c r="F372" s="6"/>
      <c r="G372" s="6"/>
      <c r="H372" s="3"/>
      <c r="I372" s="6"/>
      <c r="J372" s="3"/>
      <c r="K372" s="3"/>
      <c r="L372" s="3"/>
      <c r="M372" s="3"/>
      <c r="N372" s="3"/>
      <c r="O372" s="3"/>
      <c r="P372" s="3"/>
      <c r="Q372" s="3"/>
      <c r="R372" s="3"/>
    </row>
    <row r="373" spans="1:18" x14ac:dyDescent="0.75">
      <c r="A373" s="3"/>
      <c r="B373" s="3"/>
      <c r="C373" s="6"/>
      <c r="D373" s="6"/>
      <c r="E373" s="15"/>
      <c r="F373" s="6"/>
      <c r="G373" s="6"/>
      <c r="H373" s="3"/>
      <c r="I373" s="6"/>
      <c r="J373" s="3"/>
      <c r="K373" s="3"/>
      <c r="L373" s="3"/>
      <c r="M373" s="3"/>
      <c r="N373" s="3"/>
      <c r="O373" s="3"/>
      <c r="P373" s="3"/>
      <c r="Q373" s="3"/>
      <c r="R373" s="3"/>
    </row>
    <row r="374" spans="1:18" x14ac:dyDescent="0.75">
      <c r="A374" s="3"/>
      <c r="B374" s="3"/>
      <c r="C374" s="6"/>
      <c r="D374" s="6"/>
      <c r="E374" s="15"/>
      <c r="F374" s="6"/>
      <c r="G374" s="6"/>
      <c r="H374" s="3"/>
      <c r="I374" s="6"/>
      <c r="J374" s="3"/>
      <c r="K374" s="3"/>
      <c r="L374" s="3"/>
      <c r="M374" s="3"/>
      <c r="N374" s="3"/>
      <c r="O374" s="3"/>
      <c r="P374" s="3"/>
      <c r="Q374" s="3"/>
      <c r="R374" s="3"/>
    </row>
    <row r="375" spans="1:18" x14ac:dyDescent="0.75">
      <c r="A375" s="3"/>
      <c r="B375" s="3"/>
      <c r="C375" s="6"/>
      <c r="D375" s="6"/>
      <c r="E375" s="15"/>
      <c r="F375" s="6"/>
      <c r="G375" s="6"/>
      <c r="H375" s="3"/>
      <c r="I375" s="6"/>
      <c r="J375" s="3"/>
      <c r="K375" s="3"/>
      <c r="L375" s="3"/>
      <c r="M375" s="3"/>
      <c r="N375" s="3"/>
      <c r="O375" s="3"/>
      <c r="P375" s="3"/>
      <c r="Q375" s="3"/>
      <c r="R375" s="3"/>
    </row>
    <row r="376" spans="1:18" x14ac:dyDescent="0.75">
      <c r="A376" s="3"/>
      <c r="B376" s="3"/>
      <c r="C376" s="6"/>
      <c r="D376" s="6"/>
      <c r="E376" s="15"/>
      <c r="F376" s="6"/>
      <c r="G376" s="6"/>
      <c r="H376" s="3"/>
      <c r="I376" s="6"/>
      <c r="J376" s="3"/>
      <c r="K376" s="3"/>
      <c r="L376" s="3"/>
      <c r="M376" s="3"/>
      <c r="N376" s="3"/>
      <c r="O376" s="3"/>
      <c r="P376" s="3"/>
      <c r="Q376" s="3"/>
      <c r="R376" s="3"/>
    </row>
    <row r="377" spans="1:18" x14ac:dyDescent="0.75">
      <c r="A377" s="3"/>
      <c r="B377" s="3"/>
      <c r="C377" s="6"/>
      <c r="D377" s="6"/>
      <c r="E377" s="15"/>
      <c r="F377" s="6"/>
      <c r="G377" s="6"/>
      <c r="H377" s="3"/>
      <c r="I377" s="6"/>
      <c r="J377" s="3"/>
      <c r="K377" s="3"/>
      <c r="L377" s="3"/>
      <c r="M377" s="3"/>
      <c r="N377" s="3"/>
      <c r="O377" s="3"/>
      <c r="P377" s="3"/>
      <c r="Q377" s="3"/>
      <c r="R377" s="3"/>
    </row>
    <row r="378" spans="1:18" x14ac:dyDescent="0.75">
      <c r="A378" s="3"/>
      <c r="B378" s="3"/>
      <c r="C378" s="6"/>
      <c r="D378" s="6"/>
      <c r="E378" s="15"/>
      <c r="F378" s="6"/>
      <c r="G378" s="6"/>
      <c r="H378" s="3"/>
      <c r="I378" s="6"/>
      <c r="J378" s="3"/>
      <c r="K378" s="3"/>
      <c r="L378" s="3"/>
      <c r="M378" s="3"/>
      <c r="N378" s="3"/>
      <c r="O378" s="3"/>
      <c r="P378" s="3"/>
      <c r="Q378" s="3"/>
      <c r="R378" s="3"/>
    </row>
    <row r="379" spans="1:18" x14ac:dyDescent="0.75">
      <c r="A379" s="3"/>
      <c r="B379" s="3"/>
      <c r="C379" s="6"/>
      <c r="D379" s="6"/>
      <c r="E379" s="15"/>
      <c r="F379" s="6"/>
      <c r="G379" s="6"/>
      <c r="H379" s="3"/>
      <c r="I379" s="6"/>
      <c r="J379" s="3"/>
      <c r="K379" s="3"/>
      <c r="L379" s="3"/>
      <c r="M379" s="3"/>
      <c r="N379" s="3"/>
      <c r="O379" s="3"/>
      <c r="P379" s="3"/>
      <c r="Q379" s="3"/>
      <c r="R379" s="3"/>
    </row>
    <row r="380" spans="1:18" x14ac:dyDescent="0.75">
      <c r="A380" s="3"/>
      <c r="B380" s="3"/>
      <c r="C380" s="6"/>
      <c r="D380" s="6"/>
      <c r="E380" s="15"/>
      <c r="F380" s="6"/>
      <c r="G380" s="6"/>
      <c r="H380" s="3"/>
      <c r="I380" s="6"/>
      <c r="J380" s="3"/>
      <c r="K380" s="3"/>
      <c r="L380" s="3"/>
      <c r="M380" s="3"/>
      <c r="N380" s="3"/>
      <c r="O380" s="3"/>
      <c r="P380" s="3"/>
      <c r="Q380" s="3"/>
      <c r="R380" s="3"/>
    </row>
    <row r="381" spans="1:18" x14ac:dyDescent="0.75">
      <c r="A381" s="3"/>
      <c r="B381" s="3"/>
      <c r="C381" s="6"/>
      <c r="D381" s="6"/>
      <c r="E381" s="15"/>
      <c r="F381" s="6"/>
      <c r="G381" s="6"/>
      <c r="H381" s="3"/>
      <c r="I381" s="6"/>
      <c r="J381" s="3"/>
      <c r="K381" s="3"/>
      <c r="L381" s="3"/>
      <c r="M381" s="3"/>
      <c r="N381" s="3"/>
      <c r="O381" s="3"/>
      <c r="P381" s="3"/>
      <c r="Q381" s="3"/>
      <c r="R381" s="3"/>
    </row>
    <row r="382" spans="1:18" x14ac:dyDescent="0.75">
      <c r="A382" s="3"/>
      <c r="B382" s="3"/>
      <c r="C382" s="6"/>
      <c r="D382" s="6"/>
      <c r="E382" s="15"/>
      <c r="F382" s="6"/>
      <c r="G382" s="6"/>
      <c r="H382" s="3"/>
      <c r="I382" s="6"/>
      <c r="J382" s="3"/>
      <c r="K382" s="3"/>
      <c r="L382" s="3"/>
      <c r="M382" s="3"/>
      <c r="N382" s="3"/>
      <c r="O382" s="3"/>
      <c r="P382" s="3"/>
      <c r="Q382" s="3"/>
      <c r="R382" s="3"/>
    </row>
    <row r="383" spans="1:18" x14ac:dyDescent="0.75">
      <c r="A383" s="3"/>
      <c r="B383" s="3"/>
      <c r="C383" s="6"/>
      <c r="D383" s="6"/>
      <c r="E383" s="15"/>
      <c r="F383" s="6"/>
      <c r="G383" s="6"/>
      <c r="H383" s="3"/>
      <c r="I383" s="6"/>
      <c r="J383" s="3"/>
      <c r="K383" s="3"/>
      <c r="L383" s="3"/>
      <c r="M383" s="3"/>
      <c r="N383" s="3"/>
      <c r="O383" s="3"/>
      <c r="P383" s="3"/>
      <c r="Q383" s="3"/>
      <c r="R383" s="3"/>
    </row>
    <row r="384" spans="1:18" x14ac:dyDescent="0.75">
      <c r="A384" s="3"/>
      <c r="B384" s="3"/>
      <c r="C384" s="6"/>
      <c r="D384" s="6"/>
      <c r="E384" s="15"/>
      <c r="F384" s="6"/>
      <c r="G384" s="6"/>
      <c r="H384" s="3"/>
      <c r="I384" s="6"/>
      <c r="J384" s="3"/>
      <c r="K384" s="3"/>
      <c r="L384" s="3"/>
      <c r="M384" s="3"/>
      <c r="N384" s="3"/>
      <c r="O384" s="3"/>
      <c r="P384" s="3"/>
      <c r="Q384" s="3"/>
      <c r="R384" s="3"/>
    </row>
    <row r="385" spans="1:18" x14ac:dyDescent="0.75">
      <c r="A385" s="3"/>
      <c r="B385" s="3"/>
      <c r="C385" s="6"/>
      <c r="D385" s="6"/>
      <c r="E385" s="15"/>
      <c r="F385" s="6"/>
      <c r="G385" s="6"/>
      <c r="H385" s="3"/>
      <c r="I385" s="6"/>
      <c r="J385" s="3"/>
      <c r="K385" s="3"/>
      <c r="L385" s="3"/>
      <c r="M385" s="3"/>
      <c r="N385" s="3"/>
      <c r="O385" s="3"/>
      <c r="P385" s="3"/>
      <c r="Q385" s="3"/>
      <c r="R385" s="3"/>
    </row>
    <row r="386" spans="1:18" x14ac:dyDescent="0.75">
      <c r="A386" s="3"/>
      <c r="B386" s="3"/>
      <c r="C386" s="6"/>
      <c r="D386" s="6"/>
      <c r="E386" s="15"/>
      <c r="F386" s="6"/>
      <c r="G386" s="6"/>
      <c r="H386" s="3"/>
      <c r="I386" s="6"/>
      <c r="J386" s="3"/>
      <c r="K386" s="3"/>
      <c r="L386" s="3"/>
      <c r="M386" s="3"/>
      <c r="N386" s="3"/>
      <c r="O386" s="3"/>
      <c r="P386" s="3"/>
      <c r="Q386" s="3"/>
      <c r="R386" s="3"/>
    </row>
    <row r="387" spans="1:18" x14ac:dyDescent="0.75">
      <c r="A387" s="3"/>
      <c r="B387" s="3"/>
      <c r="C387" s="6"/>
      <c r="D387" s="6"/>
      <c r="E387" s="15"/>
      <c r="F387" s="6"/>
      <c r="G387" s="6"/>
      <c r="H387" s="3"/>
      <c r="I387" s="6"/>
      <c r="J387" s="3"/>
      <c r="K387" s="3"/>
      <c r="L387" s="3"/>
      <c r="M387" s="3"/>
      <c r="N387" s="3"/>
      <c r="O387" s="3"/>
      <c r="P387" s="3"/>
      <c r="Q387" s="3"/>
      <c r="R387" s="3"/>
    </row>
    <row r="388" spans="1:18" x14ac:dyDescent="0.75">
      <c r="A388" s="3"/>
      <c r="B388" s="3"/>
      <c r="C388" s="6"/>
      <c r="D388" s="6"/>
      <c r="E388" s="15"/>
      <c r="F388" s="6"/>
      <c r="G388" s="6"/>
      <c r="H388" s="3"/>
      <c r="I388" s="6"/>
      <c r="J388" s="3"/>
      <c r="K388" s="3"/>
      <c r="L388" s="3"/>
      <c r="M388" s="3"/>
      <c r="N388" s="3"/>
      <c r="O388" s="3"/>
      <c r="P388" s="3"/>
      <c r="Q388" s="3"/>
      <c r="R388" s="3"/>
    </row>
    <row r="389" spans="1:18" x14ac:dyDescent="0.75">
      <c r="A389" s="3"/>
      <c r="B389" s="3"/>
      <c r="C389" s="6"/>
      <c r="D389" s="6"/>
      <c r="E389" s="15"/>
      <c r="F389" s="6"/>
      <c r="G389" s="6"/>
      <c r="H389" s="3"/>
      <c r="I389" s="6"/>
      <c r="J389" s="3"/>
      <c r="K389" s="3"/>
      <c r="L389" s="3"/>
      <c r="M389" s="3"/>
      <c r="N389" s="3"/>
      <c r="O389" s="3"/>
      <c r="P389" s="3"/>
      <c r="Q389" s="3"/>
      <c r="R389" s="3"/>
    </row>
    <row r="390" spans="1:18" x14ac:dyDescent="0.75">
      <c r="A390" s="3"/>
      <c r="B390" s="3"/>
      <c r="C390" s="6"/>
      <c r="D390" s="6"/>
      <c r="E390" s="15"/>
      <c r="F390" s="6"/>
      <c r="G390" s="6"/>
      <c r="H390" s="3"/>
      <c r="I390" s="6"/>
      <c r="J390" s="3"/>
      <c r="K390" s="3"/>
      <c r="L390" s="3"/>
      <c r="M390" s="3"/>
      <c r="N390" s="3"/>
      <c r="O390" s="3"/>
      <c r="P390" s="3"/>
      <c r="Q390" s="3"/>
      <c r="R390" s="3"/>
    </row>
    <row r="391" spans="1:18" x14ac:dyDescent="0.75">
      <c r="A391" s="3"/>
      <c r="B391" s="3"/>
      <c r="C391" s="6"/>
      <c r="D391" s="6"/>
      <c r="E391" s="15"/>
      <c r="F391" s="6"/>
      <c r="G391" s="6"/>
      <c r="H391" s="3"/>
      <c r="I391" s="6"/>
      <c r="J391" s="3"/>
      <c r="K391" s="3"/>
      <c r="L391" s="3"/>
      <c r="M391" s="3"/>
      <c r="N391" s="3"/>
      <c r="O391" s="3"/>
      <c r="P391" s="3"/>
      <c r="Q391" s="3"/>
      <c r="R391" s="3"/>
    </row>
    <row r="392" spans="1:18" x14ac:dyDescent="0.75">
      <c r="A392" s="3"/>
      <c r="B392" s="3"/>
      <c r="C392" s="6"/>
      <c r="D392" s="6"/>
      <c r="E392" s="15"/>
      <c r="F392" s="6"/>
      <c r="G392" s="6"/>
      <c r="H392" s="3"/>
      <c r="I392" s="6"/>
      <c r="J392" s="3"/>
      <c r="K392" s="3"/>
      <c r="L392" s="3"/>
      <c r="M392" s="3"/>
      <c r="N392" s="3"/>
      <c r="O392" s="3"/>
      <c r="P392" s="3"/>
      <c r="Q392" s="3"/>
      <c r="R392" s="3"/>
    </row>
    <row r="393" spans="1:18" x14ac:dyDescent="0.75">
      <c r="A393" s="3"/>
      <c r="B393" s="3"/>
      <c r="C393" s="6"/>
      <c r="D393" s="6"/>
      <c r="E393" s="15"/>
      <c r="F393" s="6"/>
      <c r="G393" s="6"/>
      <c r="H393" s="3"/>
      <c r="I393" s="6"/>
      <c r="J393" s="3"/>
      <c r="K393" s="3"/>
      <c r="L393" s="3"/>
      <c r="M393" s="3"/>
      <c r="N393" s="3"/>
      <c r="O393" s="3"/>
      <c r="P393" s="3"/>
      <c r="Q393" s="3"/>
      <c r="R393" s="3"/>
    </row>
    <row r="394" spans="1:18" x14ac:dyDescent="0.75">
      <c r="A394" s="3"/>
      <c r="B394" s="3"/>
      <c r="C394" s="6"/>
      <c r="D394" s="6"/>
      <c r="E394" s="15"/>
      <c r="F394" s="6"/>
      <c r="G394" s="6"/>
      <c r="H394" s="3"/>
      <c r="I394" s="6"/>
      <c r="J394" s="3"/>
      <c r="K394" s="3"/>
      <c r="L394" s="3"/>
      <c r="M394" s="3"/>
      <c r="N394" s="3"/>
      <c r="O394" s="3"/>
      <c r="P394" s="3"/>
      <c r="Q394" s="3"/>
      <c r="R394" s="3"/>
    </row>
    <row r="395" spans="1:18" x14ac:dyDescent="0.75">
      <c r="A395" s="3"/>
      <c r="B395" s="3"/>
      <c r="C395" s="6"/>
      <c r="D395" s="6"/>
      <c r="E395" s="15"/>
      <c r="F395" s="6"/>
      <c r="G395" s="6"/>
      <c r="H395" s="3"/>
      <c r="I395" s="6"/>
      <c r="J395" s="3"/>
      <c r="K395" s="3"/>
      <c r="L395" s="3"/>
      <c r="M395" s="3"/>
      <c r="N395" s="3"/>
      <c r="O395" s="3"/>
      <c r="P395" s="3"/>
      <c r="Q395" s="3"/>
      <c r="R395" s="3"/>
    </row>
    <row r="396" spans="1:18" x14ac:dyDescent="0.75">
      <c r="A396" s="3"/>
      <c r="B396" s="3"/>
      <c r="C396" s="6"/>
      <c r="D396" s="6"/>
      <c r="E396" s="15"/>
      <c r="F396" s="6"/>
      <c r="G396" s="6"/>
      <c r="H396" s="3"/>
      <c r="I396" s="6"/>
      <c r="J396" s="3"/>
      <c r="K396" s="3"/>
      <c r="L396" s="3"/>
      <c r="M396" s="3"/>
      <c r="N396" s="3"/>
      <c r="O396" s="3"/>
      <c r="P396" s="3"/>
      <c r="Q396" s="3"/>
      <c r="R396" s="3"/>
    </row>
    <row r="397" spans="1:18" x14ac:dyDescent="0.75">
      <c r="A397" s="3"/>
      <c r="B397" s="3"/>
      <c r="C397" s="6"/>
      <c r="D397" s="6"/>
      <c r="E397" s="15"/>
      <c r="F397" s="6"/>
      <c r="G397" s="6"/>
      <c r="H397" s="3"/>
      <c r="I397" s="6"/>
      <c r="J397" s="3"/>
      <c r="K397" s="3"/>
      <c r="L397" s="3"/>
      <c r="M397" s="3"/>
      <c r="N397" s="3"/>
      <c r="O397" s="3"/>
      <c r="P397" s="3"/>
      <c r="Q397" s="3"/>
      <c r="R397" s="3"/>
    </row>
    <row r="398" spans="1:18" x14ac:dyDescent="0.75">
      <c r="A398" s="3"/>
      <c r="B398" s="3"/>
      <c r="C398" s="6"/>
      <c r="D398" s="6"/>
      <c r="E398" s="15"/>
      <c r="F398" s="6"/>
      <c r="G398" s="6"/>
      <c r="H398" s="3"/>
      <c r="I398" s="6"/>
      <c r="J398" s="3"/>
      <c r="K398" s="3"/>
      <c r="L398" s="3"/>
      <c r="M398" s="3"/>
      <c r="N398" s="3"/>
      <c r="O398" s="3"/>
      <c r="P398" s="3"/>
      <c r="Q398" s="3"/>
      <c r="R398" s="3"/>
    </row>
    <row r="399" spans="1:18" x14ac:dyDescent="0.75">
      <c r="A399" s="3"/>
      <c r="B399" s="3"/>
      <c r="C399" s="6"/>
      <c r="D399" s="6"/>
      <c r="E399" s="15"/>
      <c r="F399" s="6"/>
      <c r="G399" s="6"/>
      <c r="H399" s="3"/>
      <c r="I399" s="6"/>
      <c r="J399" s="3"/>
      <c r="K399" s="3"/>
      <c r="L399" s="3"/>
      <c r="M399" s="3"/>
      <c r="N399" s="3"/>
      <c r="O399" s="3"/>
      <c r="P399" s="3"/>
      <c r="Q399" s="3"/>
      <c r="R399" s="3"/>
    </row>
    <row r="400" spans="1:18" x14ac:dyDescent="0.75">
      <c r="A400" s="3"/>
      <c r="B400" s="3"/>
      <c r="C400" s="6"/>
      <c r="D400" s="6"/>
      <c r="E400" s="15"/>
      <c r="F400" s="6"/>
      <c r="G400" s="6"/>
      <c r="H400" s="3"/>
      <c r="I400" s="6"/>
      <c r="J400" s="3"/>
      <c r="K400" s="3"/>
      <c r="L400" s="3"/>
      <c r="M400" s="3"/>
      <c r="N400" s="3"/>
      <c r="O400" s="3"/>
      <c r="P400" s="3"/>
      <c r="Q400" s="3"/>
      <c r="R400" s="3"/>
    </row>
    <row r="401" spans="1:18" x14ac:dyDescent="0.75">
      <c r="A401" s="3"/>
      <c r="B401" s="3"/>
      <c r="C401" s="6"/>
      <c r="D401" s="6"/>
      <c r="E401" s="15"/>
      <c r="F401" s="6"/>
      <c r="G401" s="6"/>
      <c r="H401" s="3"/>
      <c r="I401" s="6"/>
      <c r="J401" s="3"/>
      <c r="K401" s="3"/>
      <c r="L401" s="3"/>
      <c r="M401" s="3"/>
      <c r="N401" s="3"/>
      <c r="O401" s="3"/>
      <c r="P401" s="3"/>
      <c r="Q401" s="3"/>
      <c r="R401" s="3"/>
    </row>
    <row r="402" spans="1:18" x14ac:dyDescent="0.75">
      <c r="A402" s="3"/>
      <c r="B402" s="3"/>
      <c r="C402" s="6"/>
      <c r="D402" s="6"/>
      <c r="E402" s="15"/>
      <c r="F402" s="6"/>
      <c r="G402" s="6"/>
      <c r="H402" s="3"/>
      <c r="I402" s="6"/>
      <c r="J402" s="3"/>
      <c r="K402" s="3"/>
      <c r="L402" s="3"/>
      <c r="M402" s="3"/>
      <c r="N402" s="3"/>
      <c r="O402" s="3"/>
      <c r="P402" s="3"/>
      <c r="Q402" s="3"/>
      <c r="R402" s="3"/>
    </row>
    <row r="403" spans="1:18" x14ac:dyDescent="0.75">
      <c r="A403" s="3"/>
      <c r="B403" s="3"/>
      <c r="C403" s="6"/>
      <c r="D403" s="6"/>
      <c r="E403" s="15"/>
      <c r="F403" s="6"/>
      <c r="G403" s="6"/>
      <c r="H403" s="3"/>
      <c r="I403" s="6"/>
      <c r="J403" s="3"/>
      <c r="K403" s="3"/>
      <c r="L403" s="3"/>
      <c r="M403" s="3"/>
      <c r="N403" s="3"/>
      <c r="O403" s="3"/>
      <c r="P403" s="3"/>
      <c r="Q403" s="3"/>
      <c r="R403" s="3"/>
    </row>
    <row r="404" spans="1:18" x14ac:dyDescent="0.75">
      <c r="A404" s="3"/>
      <c r="B404" s="3"/>
      <c r="C404" s="6"/>
      <c r="D404" s="6"/>
      <c r="E404" s="15"/>
      <c r="F404" s="6"/>
      <c r="G404" s="6"/>
      <c r="H404" s="3"/>
      <c r="I404" s="6"/>
      <c r="J404" s="3"/>
      <c r="K404" s="3"/>
      <c r="L404" s="3"/>
      <c r="M404" s="3"/>
      <c r="N404" s="3"/>
      <c r="O404" s="3"/>
      <c r="P404" s="3"/>
      <c r="Q404" s="3"/>
      <c r="R404" s="3"/>
    </row>
    <row r="405" spans="1:18" x14ac:dyDescent="0.75">
      <c r="A405" s="3"/>
      <c r="B405" s="3"/>
      <c r="C405" s="6"/>
      <c r="D405" s="6"/>
      <c r="E405" s="15"/>
      <c r="F405" s="6"/>
      <c r="G405" s="6"/>
      <c r="H405" s="3"/>
      <c r="I405" s="6"/>
      <c r="J405" s="3"/>
      <c r="K405" s="3"/>
      <c r="L405" s="3"/>
      <c r="M405" s="3"/>
      <c r="N405" s="3"/>
      <c r="O405" s="3"/>
      <c r="P405" s="3"/>
      <c r="Q405" s="3"/>
      <c r="R405" s="3"/>
    </row>
    <row r="406" spans="1:18" x14ac:dyDescent="0.75">
      <c r="A406" s="3"/>
      <c r="B406" s="3"/>
      <c r="C406" s="6"/>
      <c r="D406" s="6"/>
      <c r="E406" s="15"/>
      <c r="F406" s="6"/>
      <c r="G406" s="6"/>
      <c r="H406" s="3"/>
      <c r="I406" s="6"/>
      <c r="J406" s="3"/>
      <c r="K406" s="3"/>
      <c r="L406" s="3"/>
      <c r="M406" s="3"/>
      <c r="N406" s="3"/>
      <c r="O406" s="3"/>
      <c r="P406" s="3"/>
      <c r="Q406" s="3"/>
      <c r="R406" s="3"/>
    </row>
    <row r="407" spans="1:18" x14ac:dyDescent="0.75">
      <c r="A407" s="3"/>
      <c r="B407" s="3"/>
      <c r="C407" s="6"/>
      <c r="D407" s="6"/>
      <c r="E407" s="15"/>
      <c r="F407" s="6"/>
      <c r="G407" s="6"/>
      <c r="H407" s="3"/>
      <c r="I407" s="6"/>
      <c r="J407" s="3"/>
      <c r="K407" s="3"/>
      <c r="L407" s="3"/>
      <c r="M407" s="3"/>
      <c r="N407" s="3"/>
      <c r="O407" s="3"/>
      <c r="P407" s="3"/>
      <c r="Q407" s="3"/>
      <c r="R407" s="3"/>
    </row>
    <row r="408" spans="1:18" x14ac:dyDescent="0.75">
      <c r="A408" s="3"/>
      <c r="B408" s="3"/>
      <c r="C408" s="6"/>
      <c r="D408" s="6"/>
      <c r="E408" s="15"/>
      <c r="F408" s="6"/>
      <c r="G408" s="6"/>
      <c r="H408" s="3"/>
      <c r="I408" s="6"/>
      <c r="J408" s="3"/>
      <c r="K408" s="3"/>
      <c r="L408" s="3"/>
      <c r="M408" s="3"/>
      <c r="N408" s="3"/>
      <c r="O408" s="3"/>
      <c r="P408" s="3"/>
      <c r="Q408" s="3"/>
      <c r="R408" s="3"/>
    </row>
    <row r="409" spans="1:18" x14ac:dyDescent="0.75">
      <c r="A409" s="3"/>
      <c r="B409" s="3"/>
      <c r="C409" s="6"/>
      <c r="D409" s="6"/>
      <c r="E409" s="15"/>
      <c r="F409" s="6"/>
      <c r="G409" s="6"/>
      <c r="H409" s="3"/>
      <c r="I409" s="6"/>
      <c r="J409" s="3"/>
      <c r="K409" s="3"/>
      <c r="L409" s="3"/>
      <c r="M409" s="3"/>
      <c r="N409" s="3"/>
      <c r="O409" s="3"/>
      <c r="P409" s="3"/>
      <c r="Q409" s="3"/>
      <c r="R409" s="3"/>
    </row>
    <row r="410" spans="1:18" x14ac:dyDescent="0.75">
      <c r="A410" s="3"/>
      <c r="B410" s="3"/>
      <c r="C410" s="6"/>
      <c r="D410" s="6"/>
      <c r="E410" s="15"/>
      <c r="F410" s="6"/>
      <c r="G410" s="6"/>
      <c r="H410" s="3"/>
      <c r="I410" s="6"/>
      <c r="J410" s="3"/>
      <c r="K410" s="3"/>
      <c r="L410" s="3"/>
      <c r="M410" s="3"/>
      <c r="N410" s="3"/>
      <c r="O410" s="3"/>
      <c r="P410" s="3"/>
      <c r="Q410" s="3"/>
      <c r="R410" s="3"/>
    </row>
    <row r="411" spans="1:18" x14ac:dyDescent="0.75">
      <c r="A411" s="3"/>
      <c r="B411" s="3"/>
      <c r="C411" s="6"/>
      <c r="D411" s="6"/>
      <c r="E411" s="15"/>
      <c r="F411" s="6"/>
      <c r="G411" s="6"/>
      <c r="H411" s="3"/>
      <c r="I411" s="6"/>
      <c r="J411" s="3"/>
      <c r="K411" s="3"/>
      <c r="L411" s="3"/>
      <c r="M411" s="3"/>
      <c r="N411" s="3"/>
      <c r="O411" s="3"/>
      <c r="P411" s="3"/>
      <c r="Q411" s="3"/>
      <c r="R411" s="3"/>
    </row>
    <row r="412" spans="1:18" x14ac:dyDescent="0.75">
      <c r="A412" s="3"/>
      <c r="B412" s="3"/>
      <c r="C412" s="6"/>
      <c r="D412" s="6"/>
      <c r="E412" s="15"/>
      <c r="F412" s="6"/>
      <c r="G412" s="6"/>
      <c r="H412" s="3"/>
      <c r="I412" s="6"/>
      <c r="J412" s="3"/>
      <c r="K412" s="3"/>
      <c r="L412" s="3"/>
      <c r="M412" s="3"/>
      <c r="N412" s="3"/>
      <c r="O412" s="3"/>
      <c r="P412" s="3"/>
      <c r="Q412" s="3"/>
      <c r="R412" s="3"/>
    </row>
    <row r="413" spans="1:18" x14ac:dyDescent="0.75">
      <c r="A413" s="3"/>
      <c r="B413" s="3"/>
      <c r="C413" s="6"/>
      <c r="D413" s="6"/>
      <c r="E413" s="15"/>
      <c r="F413" s="6"/>
      <c r="G413" s="6"/>
      <c r="H413" s="3"/>
      <c r="I413" s="6"/>
      <c r="J413" s="3"/>
      <c r="K413" s="3"/>
      <c r="L413" s="3"/>
      <c r="M413" s="3"/>
      <c r="N413" s="3"/>
      <c r="O413" s="3"/>
      <c r="P413" s="3"/>
      <c r="Q413" s="3"/>
      <c r="R413" s="3"/>
    </row>
    <row r="414" spans="1:18" x14ac:dyDescent="0.75">
      <c r="A414" s="3"/>
      <c r="B414" s="3"/>
      <c r="C414" s="6"/>
      <c r="D414" s="6"/>
      <c r="E414" s="15"/>
      <c r="F414" s="6"/>
      <c r="G414" s="6"/>
      <c r="H414" s="3"/>
      <c r="I414" s="6"/>
      <c r="J414" s="3"/>
      <c r="K414" s="3"/>
      <c r="L414" s="3"/>
      <c r="M414" s="3"/>
      <c r="N414" s="3"/>
      <c r="O414" s="3"/>
      <c r="P414" s="3"/>
      <c r="Q414" s="3"/>
      <c r="R414" s="3"/>
    </row>
    <row r="415" spans="1:18" x14ac:dyDescent="0.75">
      <c r="A415" s="3"/>
      <c r="B415" s="3"/>
      <c r="C415" s="6"/>
      <c r="D415" s="6"/>
      <c r="E415" s="15"/>
      <c r="F415" s="6"/>
      <c r="G415" s="6"/>
      <c r="H415" s="3"/>
      <c r="I415" s="6"/>
      <c r="J415" s="3"/>
      <c r="K415" s="3"/>
      <c r="L415" s="3"/>
      <c r="M415" s="3"/>
      <c r="N415" s="3"/>
      <c r="O415" s="3"/>
      <c r="P415" s="3"/>
      <c r="Q415" s="3"/>
      <c r="R415" s="3"/>
    </row>
    <row r="416" spans="1:18" x14ac:dyDescent="0.75">
      <c r="A416" s="3"/>
      <c r="B416" s="3"/>
      <c r="C416" s="6"/>
      <c r="D416" s="6"/>
      <c r="E416" s="15"/>
      <c r="F416" s="6"/>
      <c r="G416" s="6"/>
      <c r="H416" s="3"/>
      <c r="I416" s="6"/>
      <c r="J416" s="3"/>
      <c r="K416" s="3"/>
      <c r="L416" s="3"/>
      <c r="M416" s="3"/>
      <c r="N416" s="3"/>
      <c r="O416" s="3"/>
      <c r="P416" s="3"/>
      <c r="Q416" s="3"/>
      <c r="R416" s="3"/>
    </row>
    <row r="417" spans="1:18" x14ac:dyDescent="0.75">
      <c r="A417" s="3"/>
      <c r="B417" s="3"/>
      <c r="C417" s="6"/>
      <c r="D417" s="6"/>
      <c r="E417" s="15"/>
      <c r="F417" s="6"/>
      <c r="G417" s="6"/>
      <c r="H417" s="3"/>
      <c r="I417" s="6"/>
      <c r="J417" s="3"/>
      <c r="K417" s="3"/>
      <c r="L417" s="3"/>
      <c r="M417" s="3"/>
      <c r="N417" s="3"/>
      <c r="O417" s="3"/>
      <c r="P417" s="3"/>
      <c r="Q417" s="3"/>
      <c r="R417" s="3"/>
    </row>
    <row r="418" spans="1:18" x14ac:dyDescent="0.75">
      <c r="A418" s="3"/>
      <c r="B418" s="3"/>
      <c r="C418" s="6"/>
      <c r="D418" s="6"/>
      <c r="E418" s="15"/>
      <c r="F418" s="6"/>
      <c r="G418" s="6"/>
      <c r="H418" s="3"/>
      <c r="I418" s="6"/>
      <c r="J418" s="3"/>
      <c r="K418" s="3"/>
      <c r="L418" s="3"/>
      <c r="M418" s="3"/>
      <c r="N418" s="3"/>
      <c r="O418" s="3"/>
      <c r="P418" s="3"/>
      <c r="Q418" s="3"/>
      <c r="R418" s="3"/>
    </row>
    <row r="419" spans="1:18" x14ac:dyDescent="0.75">
      <c r="A419" s="3"/>
      <c r="B419" s="3"/>
      <c r="C419" s="6"/>
      <c r="D419" s="6"/>
      <c r="E419" s="15"/>
      <c r="F419" s="6"/>
      <c r="G419" s="6"/>
      <c r="H419" s="3"/>
      <c r="I419" s="6"/>
      <c r="J419" s="3"/>
      <c r="K419" s="3"/>
      <c r="L419" s="3"/>
      <c r="M419" s="3"/>
      <c r="N419" s="3"/>
      <c r="O419" s="3"/>
      <c r="P419" s="3"/>
      <c r="Q419" s="3"/>
      <c r="R419" s="3"/>
    </row>
    <row r="420" spans="1:18" x14ac:dyDescent="0.75">
      <c r="A420" s="3"/>
      <c r="B420" s="3"/>
      <c r="C420" s="6"/>
      <c r="D420" s="6"/>
      <c r="E420" s="15"/>
      <c r="F420" s="6"/>
      <c r="G420" s="6"/>
      <c r="H420" s="3"/>
      <c r="I420" s="6"/>
      <c r="J420" s="3"/>
      <c r="K420" s="3"/>
      <c r="L420" s="3"/>
      <c r="M420" s="3"/>
      <c r="N420" s="3"/>
      <c r="O420" s="3"/>
      <c r="P420" s="3"/>
      <c r="Q420" s="3"/>
      <c r="R420" s="3"/>
    </row>
    <row r="421" spans="1:18" x14ac:dyDescent="0.75">
      <c r="A421" s="3"/>
      <c r="B421" s="3"/>
      <c r="C421" s="6"/>
      <c r="D421" s="6"/>
      <c r="E421" s="15"/>
      <c r="F421" s="6"/>
      <c r="G421" s="6"/>
      <c r="H421" s="3"/>
      <c r="I421" s="6"/>
      <c r="J421" s="3"/>
      <c r="K421" s="3"/>
      <c r="L421" s="3"/>
      <c r="M421" s="3"/>
      <c r="N421" s="3"/>
      <c r="O421" s="3"/>
      <c r="P421" s="3"/>
      <c r="Q421" s="3"/>
      <c r="R421" s="3"/>
    </row>
    <row r="422" spans="1:18" x14ac:dyDescent="0.75">
      <c r="A422" s="3"/>
      <c r="B422" s="3"/>
      <c r="C422" s="6"/>
      <c r="D422" s="6"/>
      <c r="E422" s="15"/>
      <c r="F422" s="6"/>
      <c r="G422" s="6"/>
      <c r="H422" s="3"/>
      <c r="I422" s="6"/>
      <c r="J422" s="3"/>
      <c r="K422" s="3"/>
      <c r="L422" s="3"/>
      <c r="M422" s="3"/>
      <c r="N422" s="3"/>
      <c r="O422" s="3"/>
      <c r="P422" s="3"/>
      <c r="Q422" s="3"/>
      <c r="R422" s="3"/>
    </row>
    <row r="423" spans="1:18" x14ac:dyDescent="0.75">
      <c r="A423" s="3"/>
      <c r="B423" s="3"/>
      <c r="C423" s="6"/>
      <c r="D423" s="6"/>
      <c r="E423" s="15"/>
      <c r="F423" s="6"/>
      <c r="G423" s="6"/>
      <c r="H423" s="3"/>
      <c r="I423" s="6"/>
      <c r="J423" s="3"/>
      <c r="K423" s="3"/>
      <c r="L423" s="3"/>
      <c r="M423" s="3"/>
      <c r="N423" s="3"/>
      <c r="O423" s="3"/>
      <c r="P423" s="3"/>
      <c r="Q423" s="3"/>
      <c r="R423" s="3"/>
    </row>
    <row r="424" spans="1:18" x14ac:dyDescent="0.75">
      <c r="A424" s="3"/>
      <c r="B424" s="3"/>
      <c r="C424" s="6"/>
      <c r="D424" s="6"/>
      <c r="E424" s="15"/>
      <c r="F424" s="6"/>
      <c r="G424" s="6"/>
      <c r="H424" s="3"/>
      <c r="I424" s="6"/>
      <c r="J424" s="3"/>
      <c r="K424" s="3"/>
      <c r="L424" s="3"/>
      <c r="M424" s="3"/>
      <c r="N424" s="3"/>
      <c r="O424" s="3"/>
      <c r="P424" s="3"/>
      <c r="Q424" s="3"/>
      <c r="R424" s="3"/>
    </row>
    <row r="425" spans="1:18" x14ac:dyDescent="0.75">
      <c r="A425" s="3"/>
      <c r="B425" s="3"/>
      <c r="C425" s="6"/>
      <c r="D425" s="6"/>
      <c r="E425" s="15"/>
      <c r="F425" s="6"/>
      <c r="G425" s="6"/>
      <c r="H425" s="3"/>
      <c r="I425" s="6"/>
      <c r="J425" s="3"/>
      <c r="K425" s="3"/>
      <c r="L425" s="3"/>
      <c r="M425" s="3"/>
      <c r="N425" s="3"/>
      <c r="O425" s="3"/>
      <c r="P425" s="3"/>
      <c r="Q425" s="3"/>
      <c r="R425" s="3"/>
    </row>
    <row r="426" spans="1:18" x14ac:dyDescent="0.75">
      <c r="A426" s="3"/>
      <c r="B426" s="3"/>
      <c r="C426" s="6"/>
      <c r="D426" s="6"/>
      <c r="E426" s="15"/>
      <c r="F426" s="6"/>
      <c r="G426" s="6"/>
      <c r="H426" s="3"/>
      <c r="I426" s="6"/>
      <c r="J426" s="3"/>
      <c r="K426" s="3"/>
      <c r="L426" s="3"/>
      <c r="M426" s="3"/>
      <c r="N426" s="3"/>
      <c r="O426" s="3"/>
      <c r="P426" s="3"/>
      <c r="Q426" s="3"/>
      <c r="R426" s="3"/>
    </row>
    <row r="427" spans="1:18" x14ac:dyDescent="0.75">
      <c r="A427" s="3"/>
      <c r="B427" s="3"/>
      <c r="C427" s="6"/>
      <c r="D427" s="6"/>
      <c r="E427" s="15"/>
      <c r="F427" s="6"/>
      <c r="G427" s="6"/>
      <c r="H427" s="3"/>
      <c r="I427" s="6"/>
      <c r="J427" s="3"/>
      <c r="K427" s="3"/>
      <c r="L427" s="3"/>
      <c r="M427" s="3"/>
      <c r="N427" s="3"/>
      <c r="O427" s="3"/>
      <c r="P427" s="3"/>
      <c r="Q427" s="3"/>
      <c r="R427" s="3"/>
    </row>
    <row r="428" spans="1:18" x14ac:dyDescent="0.75">
      <c r="A428" s="3"/>
      <c r="B428" s="3"/>
      <c r="C428" s="6"/>
      <c r="D428" s="6"/>
      <c r="E428" s="15"/>
      <c r="F428" s="6"/>
      <c r="G428" s="6"/>
      <c r="H428" s="3"/>
      <c r="I428" s="6"/>
      <c r="J428" s="3"/>
      <c r="K428" s="3"/>
      <c r="L428" s="3"/>
      <c r="M428" s="3"/>
      <c r="N428" s="3"/>
      <c r="O428" s="3"/>
      <c r="P428" s="3"/>
      <c r="Q428" s="3"/>
      <c r="R428" s="3"/>
    </row>
    <row r="429" spans="1:18" x14ac:dyDescent="0.75">
      <c r="A429" s="3"/>
      <c r="B429" s="3"/>
      <c r="C429" s="6"/>
      <c r="D429" s="6"/>
      <c r="E429" s="15"/>
      <c r="F429" s="6"/>
      <c r="G429" s="6"/>
      <c r="H429" s="3"/>
      <c r="I429" s="6"/>
      <c r="J429" s="3"/>
      <c r="K429" s="3"/>
      <c r="L429" s="3"/>
      <c r="M429" s="3"/>
      <c r="N429" s="3"/>
      <c r="O429" s="3"/>
      <c r="P429" s="3"/>
      <c r="Q429" s="3"/>
      <c r="R429" s="3"/>
    </row>
    <row r="430" spans="1:18" x14ac:dyDescent="0.75">
      <c r="A430" s="3"/>
      <c r="B430" s="3"/>
      <c r="C430" s="6"/>
      <c r="D430" s="6"/>
      <c r="E430" s="15"/>
      <c r="F430" s="6"/>
      <c r="G430" s="6"/>
      <c r="H430" s="3"/>
      <c r="I430" s="6"/>
      <c r="J430" s="3"/>
      <c r="K430" s="3"/>
      <c r="L430" s="3"/>
      <c r="M430" s="3"/>
      <c r="N430" s="3"/>
      <c r="O430" s="3"/>
      <c r="P430" s="3"/>
      <c r="Q430" s="3"/>
      <c r="R430" s="3"/>
    </row>
    <row r="431" spans="1:18" x14ac:dyDescent="0.75">
      <c r="A431" s="3"/>
      <c r="B431" s="3"/>
      <c r="C431" s="6"/>
      <c r="D431" s="6"/>
      <c r="E431" s="15"/>
      <c r="F431" s="6"/>
      <c r="G431" s="6"/>
      <c r="H431" s="3"/>
      <c r="I431" s="6"/>
      <c r="J431" s="3"/>
      <c r="K431" s="3"/>
      <c r="L431" s="3"/>
      <c r="M431" s="3"/>
      <c r="N431" s="3"/>
      <c r="O431" s="3"/>
      <c r="P431" s="3"/>
      <c r="Q431" s="3"/>
      <c r="R431" s="3"/>
    </row>
    <row r="432" spans="1:18" x14ac:dyDescent="0.75">
      <c r="A432" s="3"/>
      <c r="B432" s="3"/>
      <c r="C432" s="6"/>
      <c r="D432" s="6"/>
      <c r="E432" s="15"/>
      <c r="F432" s="6"/>
      <c r="G432" s="6"/>
      <c r="H432" s="3"/>
      <c r="I432" s="6"/>
      <c r="J432" s="3"/>
      <c r="K432" s="3"/>
      <c r="L432" s="3"/>
      <c r="M432" s="3"/>
      <c r="N432" s="3"/>
      <c r="O432" s="3"/>
      <c r="P432" s="3"/>
      <c r="Q432" s="3"/>
      <c r="R432" s="3"/>
    </row>
    <row r="433" spans="1:18" x14ac:dyDescent="0.75">
      <c r="A433" s="3"/>
      <c r="B433" s="3"/>
      <c r="C433" s="6"/>
      <c r="D433" s="6"/>
      <c r="E433" s="15"/>
      <c r="F433" s="6"/>
      <c r="G433" s="6"/>
      <c r="H433" s="3"/>
      <c r="I433" s="6"/>
      <c r="J433" s="3"/>
      <c r="K433" s="3"/>
      <c r="L433" s="3"/>
      <c r="M433" s="3"/>
      <c r="N433" s="3"/>
      <c r="O433" s="3"/>
      <c r="P433" s="3"/>
      <c r="Q433" s="3"/>
      <c r="R433" s="3"/>
    </row>
    <row r="434" spans="1:18" x14ac:dyDescent="0.75">
      <c r="A434" s="3"/>
      <c r="B434" s="3"/>
      <c r="C434" s="6"/>
      <c r="D434" s="6"/>
      <c r="E434" s="15"/>
      <c r="F434" s="6"/>
      <c r="G434" s="6"/>
      <c r="H434" s="3"/>
      <c r="I434" s="6"/>
      <c r="J434" s="3"/>
      <c r="K434" s="3"/>
      <c r="L434" s="3"/>
      <c r="M434" s="3"/>
      <c r="N434" s="3"/>
      <c r="O434" s="3"/>
      <c r="P434" s="3"/>
      <c r="Q434" s="3"/>
      <c r="R434" s="3"/>
    </row>
    <row r="435" spans="1:18" x14ac:dyDescent="0.75">
      <c r="A435" s="3"/>
      <c r="B435" s="3"/>
      <c r="C435" s="6"/>
      <c r="D435" s="6"/>
      <c r="E435" s="15"/>
      <c r="F435" s="6"/>
      <c r="G435" s="6"/>
      <c r="H435" s="3"/>
      <c r="I435" s="6"/>
      <c r="J435" s="3"/>
      <c r="K435" s="3"/>
      <c r="L435" s="3"/>
      <c r="M435" s="3"/>
      <c r="N435" s="3"/>
      <c r="O435" s="3"/>
      <c r="P435" s="3"/>
      <c r="Q435" s="3"/>
      <c r="R435" s="3"/>
    </row>
    <row r="436" spans="1:18" x14ac:dyDescent="0.75">
      <c r="A436" s="3"/>
      <c r="B436" s="3"/>
      <c r="C436" s="6"/>
      <c r="D436" s="6"/>
      <c r="E436" s="15"/>
      <c r="F436" s="6"/>
      <c r="G436" s="6"/>
      <c r="H436" s="3"/>
      <c r="I436" s="6"/>
      <c r="J436" s="3"/>
      <c r="K436" s="3"/>
      <c r="L436" s="3"/>
      <c r="M436" s="3"/>
      <c r="N436" s="3"/>
      <c r="O436" s="3"/>
      <c r="P436" s="3"/>
      <c r="Q436" s="3"/>
      <c r="R436" s="3"/>
    </row>
    <row r="437" spans="1:18" x14ac:dyDescent="0.75">
      <c r="A437" s="3"/>
      <c r="B437" s="3"/>
      <c r="C437" s="6"/>
      <c r="D437" s="6"/>
      <c r="E437" s="15"/>
      <c r="F437" s="6"/>
      <c r="G437" s="6"/>
      <c r="H437" s="3"/>
      <c r="I437" s="6"/>
      <c r="J437" s="3"/>
      <c r="K437" s="3"/>
      <c r="L437" s="3"/>
      <c r="M437" s="3"/>
      <c r="N437" s="3"/>
      <c r="O437" s="3"/>
      <c r="P437" s="3"/>
      <c r="Q437" s="3"/>
      <c r="R437" s="3"/>
    </row>
    <row r="438" spans="1:18" x14ac:dyDescent="0.75">
      <c r="A438" s="3"/>
      <c r="B438" s="3"/>
      <c r="C438" s="6"/>
      <c r="D438" s="6"/>
      <c r="E438" s="15"/>
      <c r="F438" s="6"/>
      <c r="G438" s="6"/>
      <c r="H438" s="3"/>
      <c r="I438" s="6"/>
      <c r="J438" s="3"/>
      <c r="K438" s="3"/>
      <c r="L438" s="3"/>
      <c r="M438" s="3"/>
      <c r="N438" s="3"/>
      <c r="O438" s="3"/>
      <c r="P438" s="3"/>
      <c r="Q438" s="3"/>
      <c r="R438" s="3"/>
    </row>
    <row r="439" spans="1:18" x14ac:dyDescent="0.75">
      <c r="A439" s="3"/>
      <c r="B439" s="3"/>
      <c r="C439" s="6"/>
      <c r="D439" s="6"/>
      <c r="E439" s="15"/>
      <c r="F439" s="6"/>
      <c r="G439" s="6"/>
      <c r="H439" s="3"/>
      <c r="I439" s="6"/>
      <c r="J439" s="3"/>
      <c r="K439" s="3"/>
      <c r="L439" s="3"/>
      <c r="M439" s="3"/>
      <c r="N439" s="3"/>
      <c r="O439" s="3"/>
      <c r="P439" s="3"/>
      <c r="Q439" s="3"/>
      <c r="R439" s="3"/>
    </row>
    <row r="440" spans="1:18" x14ac:dyDescent="0.75">
      <c r="A440" s="3"/>
      <c r="B440" s="3"/>
      <c r="C440" s="6"/>
      <c r="D440" s="6"/>
      <c r="E440" s="15"/>
      <c r="F440" s="6"/>
      <c r="G440" s="6"/>
      <c r="H440" s="3"/>
      <c r="I440" s="6"/>
      <c r="J440" s="3"/>
      <c r="K440" s="3"/>
      <c r="L440" s="3"/>
      <c r="M440" s="3"/>
      <c r="N440" s="3"/>
      <c r="O440" s="3"/>
      <c r="P440" s="3"/>
      <c r="Q440" s="3"/>
      <c r="R440" s="3"/>
    </row>
    <row r="441" spans="1:18" x14ac:dyDescent="0.75">
      <c r="A441" s="3"/>
      <c r="B441" s="3"/>
      <c r="C441" s="6"/>
      <c r="D441" s="6"/>
      <c r="E441" s="15"/>
      <c r="F441" s="6"/>
      <c r="G441" s="6"/>
      <c r="H441" s="3"/>
      <c r="I441" s="6"/>
      <c r="J441" s="3"/>
      <c r="K441" s="3"/>
      <c r="L441" s="3"/>
      <c r="M441" s="3"/>
      <c r="N441" s="3"/>
      <c r="O441" s="3"/>
      <c r="P441" s="3"/>
      <c r="Q441" s="3"/>
      <c r="R441" s="3"/>
    </row>
    <row r="442" spans="1:18" x14ac:dyDescent="0.75">
      <c r="A442" s="3"/>
      <c r="B442" s="3"/>
      <c r="C442" s="6"/>
      <c r="D442" s="6"/>
      <c r="E442" s="15"/>
      <c r="F442" s="6"/>
      <c r="G442" s="6"/>
      <c r="H442" s="3"/>
      <c r="I442" s="6"/>
      <c r="J442" s="3"/>
      <c r="K442" s="3"/>
      <c r="L442" s="3"/>
      <c r="M442" s="3"/>
      <c r="N442" s="3"/>
      <c r="O442" s="3"/>
      <c r="P442" s="3"/>
      <c r="Q442" s="3"/>
      <c r="R442" s="3"/>
    </row>
    <row r="443" spans="1:18" x14ac:dyDescent="0.75">
      <c r="A443" s="3"/>
      <c r="B443" s="3"/>
      <c r="C443" s="6"/>
      <c r="D443" s="6"/>
      <c r="E443" s="15"/>
      <c r="F443" s="6"/>
      <c r="G443" s="6"/>
      <c r="H443" s="3"/>
      <c r="I443" s="6"/>
      <c r="J443" s="3"/>
      <c r="K443" s="3"/>
      <c r="L443" s="3"/>
      <c r="M443" s="3"/>
      <c r="N443" s="3"/>
      <c r="O443" s="3"/>
      <c r="P443" s="3"/>
      <c r="Q443" s="3"/>
      <c r="R443" s="3"/>
    </row>
    <row r="444" spans="1:18" x14ac:dyDescent="0.75">
      <c r="A444" s="3"/>
      <c r="B444" s="3"/>
      <c r="C444" s="6"/>
      <c r="D444" s="6"/>
      <c r="E444" s="15"/>
      <c r="F444" s="6"/>
      <c r="G444" s="6"/>
      <c r="H444" s="3"/>
      <c r="I444" s="6"/>
      <c r="J444" s="3"/>
      <c r="K444" s="3"/>
      <c r="L444" s="3"/>
      <c r="M444" s="3"/>
      <c r="N444" s="3"/>
      <c r="O444" s="3"/>
      <c r="P444" s="3"/>
      <c r="Q444" s="3"/>
      <c r="R444" s="3"/>
    </row>
    <row r="445" spans="1:18" x14ac:dyDescent="0.75">
      <c r="A445" s="3"/>
      <c r="B445" s="3"/>
      <c r="C445" s="6"/>
      <c r="D445" s="6"/>
      <c r="E445" s="15"/>
      <c r="F445" s="6"/>
      <c r="G445" s="6"/>
      <c r="H445" s="3"/>
      <c r="I445" s="6"/>
      <c r="J445" s="3"/>
      <c r="K445" s="3"/>
      <c r="L445" s="3"/>
      <c r="M445" s="3"/>
      <c r="N445" s="3"/>
      <c r="O445" s="3"/>
      <c r="P445" s="3"/>
      <c r="Q445" s="3"/>
      <c r="R445" s="3"/>
    </row>
    <row r="446" spans="1:18" x14ac:dyDescent="0.75">
      <c r="A446" s="3"/>
      <c r="B446" s="3"/>
      <c r="C446" s="6"/>
      <c r="D446" s="6"/>
      <c r="E446" s="15"/>
      <c r="F446" s="6"/>
      <c r="G446" s="6"/>
      <c r="H446" s="3"/>
      <c r="I446" s="6"/>
      <c r="J446" s="3"/>
      <c r="K446" s="3"/>
      <c r="L446" s="3"/>
      <c r="M446" s="3"/>
      <c r="N446" s="3"/>
      <c r="O446" s="3"/>
      <c r="P446" s="3"/>
      <c r="Q446" s="3"/>
      <c r="R446" s="3"/>
    </row>
    <row r="447" spans="1:18" x14ac:dyDescent="0.75">
      <c r="A447" s="3"/>
      <c r="B447" s="3"/>
      <c r="C447" s="6"/>
      <c r="D447" s="6"/>
      <c r="E447" s="15"/>
      <c r="F447" s="6"/>
      <c r="G447" s="6"/>
      <c r="H447" s="3"/>
      <c r="I447" s="6"/>
      <c r="J447" s="3"/>
      <c r="K447" s="3"/>
      <c r="L447" s="3"/>
      <c r="M447" s="3"/>
      <c r="N447" s="3"/>
      <c r="O447" s="3"/>
      <c r="P447" s="3"/>
      <c r="Q447" s="3"/>
      <c r="R447" s="3"/>
    </row>
    <row r="448" spans="1:18" x14ac:dyDescent="0.75">
      <c r="A448" s="3"/>
      <c r="B448" s="3"/>
      <c r="C448" s="6"/>
      <c r="D448" s="6"/>
      <c r="E448" s="15"/>
      <c r="F448" s="6"/>
      <c r="G448" s="6"/>
      <c r="H448" s="3"/>
      <c r="I448" s="6"/>
      <c r="J448" s="3"/>
      <c r="K448" s="3"/>
      <c r="L448" s="3"/>
      <c r="M448" s="3"/>
      <c r="N448" s="3"/>
      <c r="O448" s="3"/>
      <c r="P448" s="3"/>
      <c r="Q448" s="3"/>
      <c r="R448" s="3"/>
    </row>
    <row r="449" spans="1:18" x14ac:dyDescent="0.75">
      <c r="A449" s="3"/>
      <c r="B449" s="3"/>
      <c r="C449" s="6"/>
      <c r="D449" s="6"/>
      <c r="E449" s="15"/>
      <c r="F449" s="6"/>
      <c r="G449" s="6"/>
      <c r="H449" s="3"/>
      <c r="I449" s="6"/>
      <c r="J449" s="3"/>
      <c r="K449" s="3"/>
      <c r="L449" s="3"/>
      <c r="M449" s="3"/>
      <c r="N449" s="3"/>
      <c r="O449" s="3"/>
      <c r="P449" s="3"/>
      <c r="Q449" s="3"/>
      <c r="R449" s="3"/>
    </row>
    <row r="450" spans="1:18" x14ac:dyDescent="0.75">
      <c r="A450" s="3"/>
      <c r="B450" s="3"/>
      <c r="C450" s="6"/>
      <c r="D450" s="6"/>
      <c r="E450" s="15"/>
      <c r="F450" s="6"/>
      <c r="G450" s="6"/>
      <c r="H450" s="3"/>
      <c r="I450" s="6"/>
      <c r="J450" s="3"/>
      <c r="K450" s="3"/>
      <c r="L450" s="3"/>
      <c r="M450" s="3"/>
      <c r="N450" s="3"/>
      <c r="O450" s="3"/>
      <c r="P450" s="3"/>
      <c r="Q450" s="3"/>
      <c r="R450" s="3"/>
    </row>
    <row r="451" spans="1:18" x14ac:dyDescent="0.75">
      <c r="A451" s="3"/>
      <c r="B451" s="3"/>
      <c r="C451" s="6"/>
      <c r="D451" s="6"/>
      <c r="E451" s="15"/>
      <c r="F451" s="6"/>
      <c r="G451" s="6"/>
      <c r="H451" s="3"/>
      <c r="I451" s="6"/>
      <c r="J451" s="3"/>
      <c r="K451" s="3"/>
      <c r="L451" s="3"/>
      <c r="M451" s="3"/>
      <c r="N451" s="3"/>
      <c r="O451" s="3"/>
      <c r="P451" s="3"/>
      <c r="Q451" s="3"/>
      <c r="R451" s="3"/>
    </row>
    <row r="452" spans="1:18" x14ac:dyDescent="0.75">
      <c r="A452" s="3"/>
      <c r="B452" s="3"/>
      <c r="C452" s="6"/>
      <c r="D452" s="6"/>
      <c r="E452" s="15"/>
      <c r="F452" s="6"/>
      <c r="G452" s="6"/>
      <c r="H452" s="3"/>
      <c r="I452" s="6"/>
      <c r="J452" s="3"/>
      <c r="K452" s="3"/>
      <c r="L452" s="3"/>
      <c r="M452" s="3"/>
      <c r="N452" s="3"/>
      <c r="O452" s="3"/>
      <c r="P452" s="3"/>
      <c r="Q452" s="3"/>
      <c r="R452" s="3"/>
    </row>
    <row r="453" spans="1:18" x14ac:dyDescent="0.75">
      <c r="A453" s="3"/>
      <c r="B453" s="3"/>
      <c r="C453" s="6"/>
      <c r="D453" s="6"/>
      <c r="E453" s="15"/>
      <c r="F453" s="6"/>
      <c r="G453" s="6"/>
      <c r="H453" s="3"/>
      <c r="I453" s="6"/>
      <c r="J453" s="3"/>
      <c r="K453" s="3"/>
      <c r="L453" s="3"/>
      <c r="M453" s="3"/>
      <c r="N453" s="3"/>
      <c r="O453" s="3"/>
      <c r="P453" s="3"/>
      <c r="Q453" s="3"/>
      <c r="R453" s="3"/>
    </row>
    <row r="454" spans="1:18" x14ac:dyDescent="0.75">
      <c r="A454" s="3"/>
      <c r="B454" s="3"/>
      <c r="C454" s="6"/>
      <c r="D454" s="6"/>
      <c r="E454" s="15"/>
      <c r="F454" s="6"/>
      <c r="G454" s="6"/>
      <c r="H454" s="3"/>
      <c r="I454" s="6"/>
      <c r="J454" s="3"/>
      <c r="K454" s="3"/>
      <c r="L454" s="3"/>
      <c r="M454" s="3"/>
      <c r="N454" s="3"/>
      <c r="O454" s="3"/>
      <c r="P454" s="3"/>
      <c r="Q454" s="3"/>
      <c r="R454" s="3"/>
    </row>
    <row r="455" spans="1:18" x14ac:dyDescent="0.75">
      <c r="A455" s="3"/>
      <c r="B455" s="3"/>
      <c r="C455" s="6"/>
      <c r="D455" s="6"/>
      <c r="E455" s="15"/>
      <c r="F455" s="6"/>
      <c r="G455" s="6"/>
      <c r="H455" s="3"/>
      <c r="I455" s="6"/>
      <c r="J455" s="3"/>
      <c r="K455" s="3"/>
      <c r="L455" s="3"/>
      <c r="M455" s="3"/>
      <c r="N455" s="3"/>
      <c r="O455" s="3"/>
      <c r="P455" s="3"/>
      <c r="Q455" s="3"/>
      <c r="R455" s="3"/>
    </row>
    <row r="456" spans="1:18" x14ac:dyDescent="0.75">
      <c r="A456" s="3"/>
      <c r="B456" s="3"/>
      <c r="C456" s="6"/>
      <c r="D456" s="6"/>
      <c r="E456" s="15"/>
      <c r="F456" s="6"/>
      <c r="G456" s="6"/>
      <c r="H456" s="3"/>
      <c r="I456" s="6"/>
      <c r="J456" s="3"/>
      <c r="K456" s="3"/>
      <c r="L456" s="3"/>
      <c r="M456" s="3"/>
      <c r="N456" s="3"/>
      <c r="O456" s="3"/>
      <c r="P456" s="3"/>
      <c r="Q456" s="3"/>
      <c r="R456" s="3"/>
    </row>
    <row r="457" spans="1:18" x14ac:dyDescent="0.75">
      <c r="A457" s="3"/>
      <c r="B457" s="3"/>
      <c r="C457" s="6"/>
      <c r="D457" s="6"/>
      <c r="E457" s="15"/>
      <c r="F457" s="6"/>
      <c r="G457" s="6"/>
      <c r="H457" s="3"/>
      <c r="I457" s="6"/>
      <c r="J457" s="3"/>
      <c r="K457" s="3"/>
      <c r="L457" s="3"/>
      <c r="M457" s="3"/>
      <c r="N457" s="3"/>
      <c r="O457" s="3"/>
      <c r="P457" s="3"/>
      <c r="Q457" s="3"/>
      <c r="R457" s="3"/>
    </row>
    <row r="458" spans="1:18" x14ac:dyDescent="0.75">
      <c r="A458" s="3"/>
      <c r="B458" s="3"/>
      <c r="C458" s="6"/>
      <c r="D458" s="6"/>
      <c r="E458" s="15"/>
      <c r="F458" s="6"/>
      <c r="G458" s="6"/>
      <c r="H458" s="3"/>
      <c r="I458" s="6"/>
      <c r="J458" s="3"/>
      <c r="K458" s="3"/>
      <c r="L458" s="3"/>
      <c r="M458" s="3"/>
      <c r="N458" s="3"/>
      <c r="O458" s="3"/>
      <c r="P458" s="3"/>
      <c r="Q458" s="3"/>
      <c r="R458" s="3"/>
    </row>
    <row r="459" spans="1:18" x14ac:dyDescent="0.75">
      <c r="A459" s="3"/>
      <c r="B459" s="3"/>
      <c r="C459" s="6"/>
      <c r="D459" s="6"/>
      <c r="E459" s="15"/>
      <c r="F459" s="6"/>
      <c r="G459" s="6"/>
      <c r="H459" s="3"/>
      <c r="I459" s="6"/>
      <c r="J459" s="3"/>
      <c r="K459" s="3"/>
      <c r="L459" s="3"/>
      <c r="M459" s="3"/>
      <c r="N459" s="3"/>
      <c r="O459" s="3"/>
      <c r="P459" s="3"/>
      <c r="Q459" s="3"/>
      <c r="R459" s="3"/>
    </row>
    <row r="460" spans="1:18" x14ac:dyDescent="0.75">
      <c r="A460" s="3"/>
      <c r="B460" s="3"/>
      <c r="C460" s="6"/>
      <c r="D460" s="6"/>
      <c r="E460" s="15"/>
      <c r="F460" s="6"/>
      <c r="G460" s="6"/>
      <c r="H460" s="3"/>
      <c r="I460" s="6"/>
      <c r="J460" s="3"/>
      <c r="K460" s="3"/>
      <c r="L460" s="3"/>
      <c r="M460" s="3"/>
      <c r="N460" s="3"/>
      <c r="O460" s="3"/>
      <c r="P460" s="3"/>
      <c r="Q460" s="3"/>
      <c r="R460" s="3"/>
    </row>
    <row r="461" spans="1:18" x14ac:dyDescent="0.75">
      <c r="A461" s="3"/>
      <c r="B461" s="3"/>
      <c r="C461" s="6"/>
      <c r="D461" s="6"/>
      <c r="E461" s="15"/>
      <c r="F461" s="6"/>
      <c r="G461" s="6"/>
      <c r="H461" s="3"/>
      <c r="I461" s="6"/>
      <c r="J461" s="3"/>
      <c r="K461" s="3"/>
      <c r="L461" s="3"/>
      <c r="M461" s="3"/>
      <c r="N461" s="3"/>
      <c r="O461" s="3"/>
      <c r="P461" s="3"/>
      <c r="Q461" s="3"/>
      <c r="R461" s="3"/>
    </row>
    <row r="462" spans="1:18" x14ac:dyDescent="0.75">
      <c r="A462" s="3"/>
      <c r="B462" s="3"/>
      <c r="C462" s="6"/>
      <c r="D462" s="6"/>
      <c r="E462" s="15"/>
      <c r="F462" s="6"/>
      <c r="G462" s="6"/>
      <c r="H462" s="3"/>
      <c r="I462" s="6"/>
      <c r="J462" s="3"/>
      <c r="K462" s="3"/>
      <c r="L462" s="3"/>
      <c r="M462" s="3"/>
      <c r="N462" s="3"/>
      <c r="O462" s="3"/>
      <c r="P462" s="3"/>
      <c r="Q462" s="3"/>
      <c r="R462" s="3"/>
    </row>
    <row r="463" spans="1:18" x14ac:dyDescent="0.75">
      <c r="A463" s="3"/>
      <c r="B463" s="3"/>
      <c r="C463" s="6"/>
      <c r="D463" s="6"/>
      <c r="E463" s="15"/>
      <c r="F463" s="6"/>
      <c r="G463" s="6"/>
      <c r="H463" s="3"/>
      <c r="I463" s="6"/>
      <c r="J463" s="3"/>
      <c r="K463" s="3"/>
      <c r="L463" s="3"/>
      <c r="M463" s="3"/>
      <c r="N463" s="3"/>
      <c r="O463" s="3"/>
      <c r="P463" s="3"/>
      <c r="Q463" s="3"/>
      <c r="R463" s="3"/>
    </row>
    <row r="464" spans="1:18" x14ac:dyDescent="0.75">
      <c r="A464" s="3"/>
      <c r="B464" s="3"/>
      <c r="C464" s="6"/>
      <c r="D464" s="6"/>
      <c r="E464" s="15"/>
      <c r="F464" s="6"/>
      <c r="G464" s="6"/>
      <c r="H464" s="3"/>
      <c r="I464" s="6"/>
      <c r="J464" s="3"/>
      <c r="K464" s="3"/>
      <c r="L464" s="3"/>
      <c r="M464" s="3"/>
      <c r="N464" s="3"/>
      <c r="O464" s="3"/>
      <c r="P464" s="3"/>
      <c r="Q464" s="3"/>
      <c r="R464" s="3"/>
    </row>
    <row r="465" spans="1:18" x14ac:dyDescent="0.75">
      <c r="A465" s="3"/>
      <c r="B465" s="3"/>
      <c r="C465" s="6"/>
      <c r="D465" s="6"/>
      <c r="E465" s="15"/>
      <c r="F465" s="6"/>
      <c r="G465" s="6"/>
      <c r="H465" s="3"/>
      <c r="I465" s="6"/>
      <c r="J465" s="3"/>
      <c r="K465" s="3"/>
      <c r="L465" s="3"/>
      <c r="M465" s="3"/>
      <c r="N465" s="3"/>
      <c r="O465" s="3"/>
      <c r="P465" s="3"/>
      <c r="Q465" s="3"/>
      <c r="R465" s="3"/>
    </row>
    <row r="466" spans="1:18" x14ac:dyDescent="0.75">
      <c r="A466" s="3"/>
      <c r="B466" s="3"/>
      <c r="C466" s="6"/>
      <c r="D466" s="6"/>
      <c r="E466" s="15"/>
      <c r="F466" s="6"/>
      <c r="G466" s="6"/>
      <c r="H466" s="3"/>
      <c r="I466" s="6"/>
      <c r="J466" s="3"/>
      <c r="K466" s="3"/>
      <c r="L466" s="3"/>
      <c r="M466" s="3"/>
      <c r="N466" s="3"/>
      <c r="O466" s="3"/>
      <c r="P466" s="3"/>
      <c r="Q466" s="3"/>
      <c r="R466" s="3"/>
    </row>
    <row r="467" spans="1:18" x14ac:dyDescent="0.75">
      <c r="A467" s="3"/>
      <c r="B467" s="3"/>
      <c r="C467" s="6"/>
      <c r="D467" s="6"/>
      <c r="E467" s="15"/>
      <c r="F467" s="6"/>
      <c r="G467" s="6"/>
      <c r="H467" s="3"/>
      <c r="I467" s="6"/>
      <c r="J467" s="3"/>
      <c r="K467" s="3"/>
      <c r="L467" s="3"/>
      <c r="M467" s="3"/>
      <c r="N467" s="3"/>
      <c r="O467" s="3"/>
      <c r="P467" s="3"/>
      <c r="Q467" s="3"/>
      <c r="R467" s="3"/>
    </row>
    <row r="468" spans="1:18" x14ac:dyDescent="0.75">
      <c r="A468" s="3"/>
      <c r="B468" s="3"/>
      <c r="C468" s="6"/>
      <c r="D468" s="6"/>
      <c r="E468" s="15"/>
      <c r="F468" s="6"/>
      <c r="G468" s="6"/>
      <c r="H468" s="3"/>
      <c r="I468" s="6"/>
      <c r="J468" s="3"/>
      <c r="K468" s="3"/>
      <c r="L468" s="3"/>
      <c r="M468" s="3"/>
      <c r="N468" s="3"/>
      <c r="O468" s="3"/>
      <c r="P468" s="3"/>
      <c r="Q468" s="3"/>
      <c r="R468" s="3"/>
    </row>
    <row r="469" spans="1:18" x14ac:dyDescent="0.75">
      <c r="A469" s="3"/>
      <c r="B469" s="3"/>
      <c r="C469" s="6"/>
      <c r="D469" s="6"/>
      <c r="E469" s="15"/>
      <c r="F469" s="6"/>
      <c r="G469" s="6"/>
      <c r="H469" s="3"/>
      <c r="I469" s="6"/>
      <c r="J469" s="3"/>
      <c r="K469" s="3"/>
      <c r="L469" s="3"/>
      <c r="M469" s="3"/>
      <c r="N469" s="3"/>
      <c r="O469" s="3"/>
      <c r="P469" s="3"/>
      <c r="Q469" s="3"/>
      <c r="R469" s="3"/>
    </row>
    <row r="470" spans="1:18" x14ac:dyDescent="0.75">
      <c r="A470" s="3"/>
      <c r="B470" s="3"/>
      <c r="C470" s="6"/>
      <c r="D470" s="6"/>
      <c r="E470" s="15"/>
      <c r="F470" s="6"/>
      <c r="G470" s="6"/>
      <c r="H470" s="3"/>
      <c r="I470" s="6"/>
      <c r="J470" s="3"/>
      <c r="K470" s="3"/>
      <c r="L470" s="3"/>
      <c r="M470" s="3"/>
      <c r="N470" s="3"/>
      <c r="O470" s="3"/>
      <c r="P470" s="3"/>
      <c r="Q470" s="3"/>
      <c r="R470" s="3"/>
    </row>
    <row r="471" spans="1:18" x14ac:dyDescent="0.75">
      <c r="A471" s="3"/>
      <c r="B471" s="3"/>
      <c r="C471" s="6"/>
      <c r="D471" s="6"/>
      <c r="E471" s="15"/>
      <c r="F471" s="6"/>
      <c r="G471" s="6"/>
      <c r="H471" s="3"/>
      <c r="I471" s="6"/>
      <c r="J471" s="3"/>
      <c r="K471" s="3"/>
      <c r="L471" s="3"/>
      <c r="M471" s="3"/>
      <c r="N471" s="3"/>
      <c r="O471" s="3"/>
      <c r="P471" s="3"/>
      <c r="Q471" s="3"/>
      <c r="R471" s="3"/>
    </row>
    <row r="472" spans="1:18" x14ac:dyDescent="0.75">
      <c r="A472" s="3"/>
      <c r="B472" s="3"/>
      <c r="C472" s="6"/>
      <c r="D472" s="6"/>
      <c r="E472" s="15"/>
      <c r="F472" s="6"/>
      <c r="G472" s="6"/>
      <c r="H472" s="3"/>
      <c r="I472" s="6"/>
      <c r="J472" s="3"/>
      <c r="K472" s="3"/>
      <c r="L472" s="3"/>
      <c r="M472" s="3"/>
      <c r="N472" s="3"/>
      <c r="O472" s="3"/>
      <c r="P472" s="3"/>
      <c r="Q472" s="3"/>
      <c r="R472" s="3"/>
    </row>
    <row r="473" spans="1:18" x14ac:dyDescent="0.75">
      <c r="A473" s="3"/>
      <c r="B473" s="3"/>
      <c r="C473" s="6"/>
      <c r="D473" s="6"/>
      <c r="E473" s="15"/>
      <c r="F473" s="6"/>
      <c r="G473" s="6"/>
      <c r="H473" s="3"/>
      <c r="I473" s="6"/>
      <c r="J473" s="3"/>
      <c r="K473" s="3"/>
      <c r="L473" s="3"/>
      <c r="M473" s="3"/>
      <c r="N473" s="3"/>
      <c r="O473" s="3"/>
      <c r="P473" s="3"/>
      <c r="Q473" s="3"/>
      <c r="R473" s="3"/>
    </row>
    <row r="474" spans="1:18" x14ac:dyDescent="0.75">
      <c r="A474" s="3"/>
      <c r="B474" s="3"/>
      <c r="C474" s="6"/>
      <c r="D474" s="6"/>
      <c r="E474" s="15"/>
      <c r="F474" s="6"/>
      <c r="G474" s="6"/>
      <c r="H474" s="3"/>
      <c r="I474" s="6"/>
      <c r="J474" s="3"/>
      <c r="K474" s="3"/>
      <c r="L474" s="3"/>
      <c r="M474" s="3"/>
      <c r="N474" s="3"/>
      <c r="O474" s="3"/>
      <c r="P474" s="3"/>
      <c r="Q474" s="3"/>
      <c r="R474" s="3"/>
    </row>
    <row r="475" spans="1:18" x14ac:dyDescent="0.75">
      <c r="A475" s="3"/>
      <c r="B475" s="3"/>
      <c r="C475" s="6"/>
      <c r="D475" s="6"/>
      <c r="E475" s="15"/>
      <c r="F475" s="6"/>
      <c r="G475" s="6"/>
      <c r="H475" s="3"/>
      <c r="I475" s="6"/>
      <c r="J475" s="3"/>
      <c r="K475" s="3"/>
      <c r="L475" s="3"/>
      <c r="M475" s="3"/>
      <c r="N475" s="3"/>
      <c r="O475" s="3"/>
      <c r="P475" s="3"/>
      <c r="Q475" s="3"/>
      <c r="R475" s="3"/>
    </row>
    <row r="476" spans="1:18" x14ac:dyDescent="0.75">
      <c r="A476" s="3"/>
      <c r="B476" s="3"/>
      <c r="C476" s="6"/>
      <c r="D476" s="6"/>
      <c r="E476" s="15"/>
      <c r="F476" s="6"/>
      <c r="G476" s="6"/>
      <c r="H476" s="3"/>
      <c r="I476" s="6"/>
      <c r="J476" s="3"/>
      <c r="K476" s="3"/>
      <c r="L476" s="3"/>
      <c r="M476" s="3"/>
      <c r="N476" s="3"/>
      <c r="O476" s="3"/>
      <c r="P476" s="3"/>
      <c r="Q476" s="3"/>
      <c r="R476" s="3"/>
    </row>
    <row r="477" spans="1:18" x14ac:dyDescent="0.75">
      <c r="A477" s="3"/>
      <c r="B477" s="3"/>
      <c r="C477" s="6"/>
      <c r="D477" s="6"/>
      <c r="E477" s="15"/>
      <c r="F477" s="6"/>
      <c r="G477" s="6"/>
      <c r="H477" s="3"/>
      <c r="I477" s="6"/>
      <c r="J477" s="3"/>
      <c r="K477" s="3"/>
      <c r="L477" s="3"/>
      <c r="M477" s="3"/>
      <c r="N477" s="3"/>
      <c r="O477" s="3"/>
      <c r="P477" s="3"/>
      <c r="Q477" s="3"/>
      <c r="R477" s="3"/>
    </row>
    <row r="478" spans="1:18" x14ac:dyDescent="0.75">
      <c r="A478" s="3"/>
      <c r="B478" s="3"/>
      <c r="C478" s="6"/>
      <c r="D478" s="6"/>
      <c r="E478" s="15"/>
      <c r="F478" s="6"/>
      <c r="G478" s="6"/>
      <c r="H478" s="3"/>
      <c r="I478" s="6"/>
      <c r="J478" s="3"/>
      <c r="K478" s="3"/>
      <c r="L478" s="3"/>
      <c r="M478" s="3"/>
      <c r="N478" s="3"/>
      <c r="O478" s="3"/>
      <c r="P478" s="3"/>
      <c r="Q478" s="3"/>
      <c r="R478" s="3"/>
    </row>
    <row r="479" spans="1:18" x14ac:dyDescent="0.75">
      <c r="A479" s="3"/>
      <c r="B479" s="3"/>
      <c r="C479" s="6"/>
      <c r="D479" s="6"/>
      <c r="E479" s="15"/>
      <c r="F479" s="6"/>
      <c r="G479" s="6"/>
      <c r="H479" s="3"/>
      <c r="I479" s="6"/>
      <c r="J479" s="3"/>
      <c r="K479" s="3"/>
      <c r="L479" s="3"/>
      <c r="M479" s="3"/>
      <c r="N479" s="3"/>
      <c r="O479" s="3"/>
      <c r="P479" s="3"/>
      <c r="Q479" s="3"/>
      <c r="R479" s="3"/>
    </row>
    <row r="480" spans="1:18" x14ac:dyDescent="0.75">
      <c r="A480" s="3"/>
      <c r="B480" s="3"/>
      <c r="C480" s="6"/>
      <c r="D480" s="6"/>
      <c r="E480" s="15"/>
      <c r="F480" s="6"/>
      <c r="G480" s="6"/>
      <c r="H480" s="3"/>
      <c r="I480" s="6"/>
      <c r="J480" s="3"/>
      <c r="K480" s="3"/>
      <c r="L480" s="3"/>
      <c r="M480" s="3"/>
      <c r="N480" s="3"/>
      <c r="O480" s="3"/>
      <c r="P480" s="3"/>
      <c r="Q480" s="3"/>
      <c r="R480" s="3"/>
    </row>
    <row r="481" spans="1:18" x14ac:dyDescent="0.75">
      <c r="A481" s="3"/>
      <c r="B481" s="3"/>
      <c r="C481" s="6"/>
      <c r="D481" s="6"/>
      <c r="E481" s="15"/>
      <c r="F481" s="6"/>
      <c r="G481" s="6"/>
      <c r="H481" s="3"/>
      <c r="I481" s="6"/>
      <c r="J481" s="3"/>
      <c r="K481" s="3"/>
      <c r="L481" s="3"/>
      <c r="M481" s="3"/>
      <c r="N481" s="3"/>
      <c r="O481" s="3"/>
      <c r="P481" s="3"/>
      <c r="Q481" s="3"/>
      <c r="R481" s="3"/>
    </row>
    <row r="482" spans="1:18" x14ac:dyDescent="0.75">
      <c r="A482" s="3"/>
      <c r="B482" s="3"/>
      <c r="C482" s="6"/>
      <c r="D482" s="6"/>
      <c r="E482" s="15"/>
      <c r="F482" s="6"/>
      <c r="G482" s="6"/>
      <c r="H482" s="3"/>
      <c r="I482" s="6"/>
      <c r="J482" s="3"/>
      <c r="K482" s="3"/>
      <c r="L482" s="3"/>
      <c r="M482" s="3"/>
      <c r="N482" s="3"/>
      <c r="O482" s="3"/>
      <c r="P482" s="3"/>
      <c r="Q482" s="3"/>
      <c r="R482" s="3"/>
    </row>
    <row r="483" spans="1:18" x14ac:dyDescent="0.75">
      <c r="A483" s="3"/>
      <c r="B483" s="3"/>
      <c r="C483" s="6"/>
      <c r="D483" s="6"/>
      <c r="E483" s="15"/>
      <c r="F483" s="6"/>
      <c r="G483" s="6"/>
      <c r="H483" s="3"/>
      <c r="I483" s="6"/>
      <c r="J483" s="3"/>
      <c r="K483" s="3"/>
      <c r="L483" s="3"/>
      <c r="M483" s="3"/>
      <c r="N483" s="3"/>
      <c r="O483" s="3"/>
      <c r="P483" s="3"/>
      <c r="Q483" s="3"/>
      <c r="R483" s="3"/>
    </row>
    <row r="484" spans="1:18" x14ac:dyDescent="0.75">
      <c r="A484" s="3"/>
      <c r="B484" s="3"/>
      <c r="C484" s="6"/>
      <c r="D484" s="6"/>
      <c r="E484" s="15"/>
      <c r="F484" s="6"/>
      <c r="G484" s="6"/>
      <c r="H484" s="3"/>
      <c r="I484" s="6"/>
      <c r="J484" s="3"/>
      <c r="K484" s="3"/>
      <c r="L484" s="3"/>
      <c r="M484" s="3"/>
      <c r="N484" s="3"/>
      <c r="O484" s="3"/>
      <c r="P484" s="3"/>
      <c r="Q484" s="3"/>
      <c r="R484" s="3"/>
    </row>
    <row r="485" spans="1:18" x14ac:dyDescent="0.75">
      <c r="A485" s="3"/>
      <c r="B485" s="3"/>
      <c r="C485" s="6"/>
      <c r="D485" s="6"/>
      <c r="E485" s="15"/>
      <c r="F485" s="6"/>
      <c r="G485" s="6"/>
      <c r="H485" s="3"/>
      <c r="I485" s="6"/>
      <c r="J485" s="3"/>
      <c r="K485" s="3"/>
      <c r="L485" s="3"/>
      <c r="M485" s="3"/>
      <c r="N485" s="3"/>
      <c r="O485" s="3"/>
      <c r="P485" s="3"/>
      <c r="Q485" s="3"/>
      <c r="R485" s="3"/>
    </row>
    <row r="486" spans="1:18" x14ac:dyDescent="0.75">
      <c r="A486" s="3"/>
      <c r="B486" s="3"/>
      <c r="C486" s="6"/>
      <c r="D486" s="6"/>
      <c r="E486" s="15"/>
      <c r="F486" s="6"/>
      <c r="G486" s="6"/>
      <c r="H486" s="3"/>
      <c r="I486" s="6"/>
      <c r="J486" s="3"/>
      <c r="K486" s="3"/>
      <c r="L486" s="3"/>
      <c r="M486" s="3"/>
      <c r="N486" s="3"/>
      <c r="O486" s="3"/>
      <c r="P486" s="3"/>
      <c r="Q486" s="3"/>
      <c r="R486" s="3"/>
    </row>
    <row r="487" spans="1:18" x14ac:dyDescent="0.75">
      <c r="A487" s="3"/>
      <c r="B487" s="3"/>
      <c r="C487" s="6"/>
      <c r="D487" s="6"/>
      <c r="E487" s="15"/>
      <c r="F487" s="6"/>
      <c r="G487" s="6"/>
      <c r="H487" s="3"/>
      <c r="I487" s="6"/>
      <c r="J487" s="3"/>
      <c r="K487" s="3"/>
      <c r="L487" s="3"/>
      <c r="M487" s="3"/>
      <c r="N487" s="3"/>
      <c r="O487" s="3"/>
      <c r="P487" s="3"/>
      <c r="Q487" s="3"/>
      <c r="R487" s="3"/>
    </row>
    <row r="488" spans="1:18" x14ac:dyDescent="0.75">
      <c r="A488" s="3"/>
      <c r="B488" s="3"/>
      <c r="C488" s="6"/>
      <c r="D488" s="6"/>
      <c r="E488" s="15"/>
      <c r="F488" s="6"/>
      <c r="G488" s="6"/>
      <c r="H488" s="3"/>
      <c r="I488" s="6"/>
      <c r="J488" s="3"/>
      <c r="K488" s="3"/>
      <c r="L488" s="3"/>
      <c r="M488" s="3"/>
      <c r="N488" s="3"/>
      <c r="O488" s="3"/>
      <c r="P488" s="3"/>
      <c r="Q488" s="3"/>
      <c r="R488" s="3"/>
    </row>
    <row r="489" spans="1:18" x14ac:dyDescent="0.75">
      <c r="A489" s="3"/>
      <c r="B489" s="3"/>
      <c r="C489" s="6"/>
      <c r="D489" s="6"/>
      <c r="E489" s="15"/>
      <c r="F489" s="6"/>
      <c r="G489" s="6"/>
      <c r="H489" s="3"/>
      <c r="I489" s="6"/>
      <c r="J489" s="3"/>
      <c r="K489" s="3"/>
      <c r="L489" s="3"/>
      <c r="M489" s="3"/>
      <c r="N489" s="3"/>
      <c r="O489" s="3"/>
      <c r="P489" s="3"/>
      <c r="Q489" s="3"/>
      <c r="R489" s="3"/>
    </row>
    <row r="490" spans="1:18" x14ac:dyDescent="0.75">
      <c r="A490" s="3"/>
      <c r="B490" s="3"/>
      <c r="C490" s="6"/>
      <c r="D490" s="6"/>
      <c r="E490" s="15"/>
      <c r="F490" s="6"/>
      <c r="G490" s="6"/>
      <c r="H490" s="3"/>
      <c r="I490" s="6"/>
      <c r="J490" s="3"/>
      <c r="K490" s="3"/>
      <c r="L490" s="3"/>
      <c r="M490" s="3"/>
      <c r="N490" s="3"/>
      <c r="O490" s="3"/>
      <c r="P490" s="3"/>
      <c r="Q490" s="3"/>
      <c r="R490" s="3"/>
    </row>
    <row r="491" spans="1:18" x14ac:dyDescent="0.75">
      <c r="A491" s="3"/>
      <c r="B491" s="3"/>
      <c r="C491" s="6"/>
      <c r="D491" s="6"/>
      <c r="E491" s="15"/>
      <c r="F491" s="6"/>
      <c r="G491" s="6"/>
      <c r="H491" s="3"/>
      <c r="I491" s="6"/>
      <c r="J491" s="3"/>
      <c r="K491" s="3"/>
      <c r="L491" s="3"/>
      <c r="M491" s="3"/>
      <c r="N491" s="3"/>
      <c r="O491" s="3"/>
      <c r="P491" s="3"/>
      <c r="Q491" s="3"/>
      <c r="R491" s="3"/>
    </row>
    <row r="492" spans="1:18" x14ac:dyDescent="0.75">
      <c r="A492" s="3"/>
      <c r="B492" s="3"/>
      <c r="C492" s="6"/>
      <c r="D492" s="6"/>
      <c r="E492" s="15"/>
      <c r="F492" s="6"/>
      <c r="G492" s="6"/>
      <c r="H492" s="3"/>
      <c r="I492" s="6"/>
      <c r="J492" s="3"/>
      <c r="K492" s="3"/>
      <c r="L492" s="3"/>
      <c r="M492" s="3"/>
      <c r="N492" s="3"/>
      <c r="O492" s="3"/>
      <c r="P492" s="3"/>
      <c r="Q492" s="3"/>
      <c r="R492" s="3"/>
    </row>
    <row r="493" spans="1:18" x14ac:dyDescent="0.75">
      <c r="A493" s="3"/>
      <c r="B493" s="3"/>
      <c r="C493" s="6"/>
      <c r="D493" s="6"/>
      <c r="E493" s="15"/>
      <c r="F493" s="6"/>
      <c r="G493" s="6"/>
      <c r="H493" s="3"/>
      <c r="I493" s="6"/>
      <c r="J493" s="3"/>
      <c r="K493" s="3"/>
      <c r="L493" s="3"/>
      <c r="M493" s="3"/>
      <c r="N493" s="3"/>
      <c r="O493" s="3"/>
      <c r="P493" s="3"/>
      <c r="Q493" s="3"/>
      <c r="R493" s="3"/>
    </row>
    <row r="494" spans="1:18" x14ac:dyDescent="0.75">
      <c r="A494" s="3"/>
      <c r="B494" s="3"/>
      <c r="C494" s="6"/>
      <c r="D494" s="6"/>
      <c r="E494" s="15"/>
      <c r="F494" s="6"/>
      <c r="G494" s="6"/>
      <c r="H494" s="3"/>
      <c r="I494" s="6"/>
      <c r="J494" s="3"/>
      <c r="K494" s="3"/>
      <c r="L494" s="3"/>
      <c r="M494" s="3"/>
      <c r="N494" s="3"/>
      <c r="O494" s="3"/>
      <c r="P494" s="3"/>
      <c r="Q494" s="3"/>
      <c r="R494" s="3"/>
    </row>
    <row r="495" spans="1:18" x14ac:dyDescent="0.75">
      <c r="A495" s="3"/>
      <c r="B495" s="3"/>
      <c r="C495" s="6"/>
      <c r="D495" s="6"/>
      <c r="E495" s="15"/>
      <c r="F495" s="6"/>
      <c r="G495" s="6"/>
      <c r="H495" s="3"/>
      <c r="I495" s="6"/>
      <c r="J495" s="3"/>
      <c r="K495" s="3"/>
      <c r="L495" s="3"/>
      <c r="M495" s="3"/>
      <c r="N495" s="3"/>
      <c r="O495" s="3"/>
      <c r="P495" s="3"/>
      <c r="Q495" s="3"/>
      <c r="R495" s="3"/>
    </row>
    <row r="496" spans="1:18" x14ac:dyDescent="0.75">
      <c r="A496" s="3"/>
      <c r="B496" s="3"/>
      <c r="C496" s="6"/>
      <c r="D496" s="6"/>
      <c r="E496" s="15"/>
      <c r="F496" s="6"/>
      <c r="G496" s="6"/>
      <c r="H496" s="3"/>
      <c r="I496" s="6"/>
      <c r="J496" s="3"/>
      <c r="K496" s="3"/>
      <c r="L496" s="3"/>
      <c r="M496" s="3"/>
      <c r="N496" s="3"/>
      <c r="O496" s="3"/>
      <c r="P496" s="3"/>
      <c r="Q496" s="3"/>
      <c r="R496" s="3"/>
    </row>
    <row r="497" spans="1:18" x14ac:dyDescent="0.75">
      <c r="A497" s="3"/>
      <c r="B497" s="3"/>
      <c r="C497" s="6"/>
      <c r="D497" s="6"/>
      <c r="E497" s="15"/>
      <c r="F497" s="6"/>
      <c r="G497" s="6"/>
      <c r="H497" s="3"/>
      <c r="I497" s="6"/>
      <c r="J497" s="3"/>
      <c r="K497" s="3"/>
      <c r="L497" s="3"/>
      <c r="M497" s="3"/>
      <c r="N497" s="3"/>
      <c r="O497" s="3"/>
      <c r="P497" s="3"/>
      <c r="Q497" s="3"/>
      <c r="R497" s="3"/>
    </row>
    <row r="498" spans="1:18" x14ac:dyDescent="0.75">
      <c r="A498" s="3"/>
      <c r="B498" s="3"/>
      <c r="C498" s="6"/>
      <c r="D498" s="6"/>
      <c r="E498" s="15"/>
      <c r="F498" s="6"/>
      <c r="G498" s="6"/>
      <c r="H498" s="3"/>
      <c r="I498" s="6"/>
      <c r="J498" s="3"/>
      <c r="K498" s="3"/>
      <c r="L498" s="3"/>
      <c r="M498" s="3"/>
      <c r="N498" s="3"/>
      <c r="O498" s="3"/>
      <c r="P498" s="3"/>
      <c r="Q498" s="3"/>
      <c r="R498" s="3"/>
    </row>
    <row r="499" spans="1:18" x14ac:dyDescent="0.75">
      <c r="A499" s="3"/>
      <c r="B499" s="3"/>
      <c r="C499" s="6"/>
      <c r="D499" s="6"/>
      <c r="E499" s="15"/>
      <c r="F499" s="6"/>
      <c r="G499" s="6"/>
      <c r="H499" s="3"/>
      <c r="I499" s="6"/>
      <c r="J499" s="3"/>
      <c r="K499" s="3"/>
      <c r="L499" s="3"/>
      <c r="M499" s="3"/>
      <c r="N499" s="3"/>
      <c r="O499" s="3"/>
      <c r="P499" s="3"/>
      <c r="Q499" s="3"/>
      <c r="R499" s="3"/>
    </row>
    <row r="500" spans="1:18" x14ac:dyDescent="0.75">
      <c r="A500" s="3"/>
      <c r="B500" s="3"/>
      <c r="C500" s="6"/>
      <c r="D500" s="6"/>
      <c r="E500" s="15"/>
      <c r="F500" s="6"/>
      <c r="G500" s="6"/>
      <c r="H500" s="3"/>
      <c r="I500" s="6"/>
      <c r="J500" s="3"/>
      <c r="K500" s="3"/>
      <c r="L500" s="3"/>
      <c r="M500" s="3"/>
      <c r="N500" s="3"/>
      <c r="O500" s="3"/>
      <c r="P500" s="3"/>
      <c r="Q500" s="3"/>
      <c r="R500" s="3"/>
    </row>
    <row r="501" spans="1:18" x14ac:dyDescent="0.75">
      <c r="A501" s="3"/>
      <c r="B501" s="3"/>
      <c r="C501" s="6"/>
      <c r="D501" s="6"/>
      <c r="E501" s="15"/>
      <c r="F501" s="6"/>
      <c r="G501" s="6"/>
      <c r="H501" s="3"/>
      <c r="I501" s="6"/>
      <c r="J501" s="3"/>
      <c r="K501" s="3"/>
      <c r="L501" s="3"/>
      <c r="M501" s="3"/>
      <c r="N501" s="3"/>
      <c r="O501" s="3"/>
      <c r="P501" s="3"/>
      <c r="Q501" s="3"/>
      <c r="R501" s="3"/>
    </row>
    <row r="502" spans="1:18" x14ac:dyDescent="0.75">
      <c r="A502" s="3"/>
      <c r="B502" s="3"/>
      <c r="C502" s="6"/>
      <c r="D502" s="6"/>
      <c r="E502" s="15"/>
      <c r="F502" s="6"/>
      <c r="G502" s="6"/>
      <c r="H502" s="3"/>
      <c r="I502" s="6"/>
      <c r="J502" s="3"/>
      <c r="K502" s="3"/>
      <c r="L502" s="3"/>
      <c r="M502" s="3"/>
      <c r="N502" s="3"/>
      <c r="O502" s="3"/>
      <c r="P502" s="3"/>
      <c r="Q502" s="3"/>
      <c r="R502" s="3"/>
    </row>
    <row r="503" spans="1:18" x14ac:dyDescent="0.75">
      <c r="A503" s="3"/>
      <c r="B503" s="3"/>
      <c r="C503" s="6"/>
      <c r="D503" s="6"/>
      <c r="E503" s="15"/>
      <c r="F503" s="6"/>
      <c r="G503" s="6"/>
      <c r="H503" s="3"/>
      <c r="I503" s="6"/>
      <c r="J503" s="3"/>
      <c r="K503" s="3"/>
      <c r="L503" s="3"/>
      <c r="M503" s="3"/>
      <c r="N503" s="3"/>
      <c r="O503" s="3"/>
      <c r="P503" s="3"/>
      <c r="Q503" s="3"/>
      <c r="R503" s="3"/>
    </row>
    <row r="504" spans="1:18" x14ac:dyDescent="0.75">
      <c r="A504" s="3"/>
      <c r="B504" s="3"/>
      <c r="C504" s="6"/>
      <c r="D504" s="6"/>
      <c r="E504" s="15"/>
      <c r="F504" s="6"/>
      <c r="G504" s="6"/>
      <c r="H504" s="3"/>
      <c r="I504" s="6"/>
      <c r="J504" s="3"/>
      <c r="K504" s="3"/>
      <c r="L504" s="3"/>
      <c r="M504" s="3"/>
      <c r="N504" s="3"/>
      <c r="O504" s="3"/>
      <c r="P504" s="3"/>
      <c r="Q504" s="3"/>
      <c r="R504" s="3"/>
    </row>
    <row r="505" spans="1:18" x14ac:dyDescent="0.75">
      <c r="A505" s="3"/>
      <c r="B505" s="3"/>
      <c r="C505" s="6"/>
      <c r="D505" s="6"/>
      <c r="E505" s="15"/>
      <c r="F505" s="6"/>
      <c r="G505" s="6"/>
      <c r="H505" s="3"/>
      <c r="I505" s="6"/>
      <c r="J505" s="3"/>
      <c r="K505" s="3"/>
      <c r="L505" s="3"/>
      <c r="M505" s="3"/>
      <c r="N505" s="3"/>
      <c r="O505" s="3"/>
      <c r="P505" s="3"/>
      <c r="Q505" s="3"/>
      <c r="R505" s="3"/>
    </row>
    <row r="506" spans="1:18" x14ac:dyDescent="0.75">
      <c r="A506" s="3"/>
      <c r="B506" s="3"/>
      <c r="C506" s="6"/>
      <c r="D506" s="6"/>
      <c r="E506" s="15"/>
      <c r="F506" s="6"/>
      <c r="G506" s="6"/>
      <c r="H506" s="3"/>
      <c r="I506" s="6"/>
      <c r="J506" s="3"/>
      <c r="K506" s="3"/>
      <c r="L506" s="3"/>
      <c r="M506" s="3"/>
      <c r="N506" s="3"/>
      <c r="O506" s="3"/>
      <c r="P506" s="3"/>
      <c r="Q506" s="3"/>
      <c r="R506" s="3"/>
    </row>
    <row r="507" spans="1:18" x14ac:dyDescent="0.75">
      <c r="A507" s="3"/>
      <c r="B507" s="3"/>
      <c r="C507" s="6"/>
      <c r="D507" s="6"/>
      <c r="E507" s="15"/>
      <c r="F507" s="6"/>
      <c r="G507" s="6"/>
      <c r="H507" s="3"/>
      <c r="I507" s="6"/>
      <c r="J507" s="3"/>
      <c r="K507" s="3"/>
      <c r="L507" s="3"/>
      <c r="M507" s="3"/>
      <c r="N507" s="3"/>
      <c r="O507" s="3"/>
      <c r="P507" s="3"/>
      <c r="Q507" s="3"/>
      <c r="R507" s="3"/>
    </row>
    <row r="508" spans="1:18" x14ac:dyDescent="0.75">
      <c r="A508" s="3"/>
      <c r="B508" s="3"/>
      <c r="C508" s="6"/>
      <c r="D508" s="6"/>
      <c r="E508" s="15"/>
      <c r="F508" s="6"/>
      <c r="G508" s="6"/>
      <c r="H508" s="3"/>
      <c r="I508" s="6"/>
      <c r="J508" s="3"/>
      <c r="K508" s="3"/>
      <c r="L508" s="3"/>
      <c r="M508" s="3"/>
      <c r="N508" s="3"/>
      <c r="O508" s="3"/>
      <c r="P508" s="3"/>
      <c r="Q508" s="3"/>
      <c r="R508" s="3"/>
    </row>
    <row r="509" spans="1:18" x14ac:dyDescent="0.75">
      <c r="A509" s="3"/>
      <c r="B509" s="3"/>
      <c r="C509" s="6"/>
      <c r="D509" s="6"/>
      <c r="E509" s="15"/>
      <c r="F509" s="6"/>
      <c r="G509" s="6"/>
      <c r="H509" s="3"/>
      <c r="I509" s="6"/>
      <c r="J509" s="3"/>
      <c r="K509" s="3"/>
      <c r="L509" s="3"/>
      <c r="M509" s="3"/>
      <c r="N509" s="3"/>
      <c r="O509" s="3"/>
      <c r="P509" s="3"/>
      <c r="Q509" s="3"/>
      <c r="R509" s="3"/>
    </row>
    <row r="510" spans="1:18" x14ac:dyDescent="0.75">
      <c r="A510" s="3"/>
      <c r="B510" s="3"/>
      <c r="C510" s="6"/>
      <c r="D510" s="6"/>
      <c r="E510" s="15"/>
      <c r="F510" s="6"/>
      <c r="G510" s="6"/>
      <c r="H510" s="3"/>
      <c r="I510" s="6"/>
      <c r="J510" s="3"/>
      <c r="K510" s="3"/>
      <c r="L510" s="3"/>
      <c r="M510" s="3"/>
      <c r="N510" s="3"/>
      <c r="O510" s="3"/>
      <c r="P510" s="3"/>
      <c r="Q510" s="3"/>
      <c r="R510" s="3"/>
    </row>
    <row r="511" spans="1:18" x14ac:dyDescent="0.75">
      <c r="A511" s="3"/>
      <c r="B511" s="3"/>
      <c r="C511" s="6"/>
      <c r="D511" s="6"/>
      <c r="E511" s="15"/>
      <c r="F511" s="6"/>
      <c r="G511" s="6"/>
      <c r="H511" s="3"/>
      <c r="I511" s="6"/>
      <c r="J511" s="3"/>
      <c r="K511" s="3"/>
      <c r="L511" s="3"/>
      <c r="M511" s="3"/>
      <c r="N511" s="3"/>
      <c r="O511" s="3"/>
      <c r="P511" s="3"/>
      <c r="Q511" s="3"/>
      <c r="R511" s="3"/>
    </row>
    <row r="512" spans="1:18" x14ac:dyDescent="0.75">
      <c r="A512" s="3"/>
      <c r="B512" s="3"/>
      <c r="C512" s="6"/>
      <c r="D512" s="6"/>
      <c r="E512" s="15"/>
      <c r="F512" s="6"/>
      <c r="G512" s="6"/>
      <c r="H512" s="3"/>
      <c r="I512" s="6"/>
      <c r="J512" s="3"/>
      <c r="K512" s="3"/>
      <c r="L512" s="3"/>
      <c r="M512" s="3"/>
      <c r="N512" s="3"/>
      <c r="O512" s="3"/>
      <c r="P512" s="3"/>
      <c r="Q512" s="3"/>
      <c r="R512" s="3"/>
    </row>
    <row r="513" spans="1:18" x14ac:dyDescent="0.75">
      <c r="A513" s="3"/>
      <c r="B513" s="3"/>
      <c r="C513" s="6"/>
      <c r="D513" s="6"/>
      <c r="E513" s="15"/>
      <c r="F513" s="6"/>
      <c r="G513" s="6"/>
      <c r="H513" s="3"/>
      <c r="I513" s="6"/>
      <c r="J513" s="3"/>
      <c r="K513" s="3"/>
      <c r="L513" s="3"/>
      <c r="M513" s="3"/>
      <c r="N513" s="3"/>
      <c r="O513" s="3"/>
      <c r="P513" s="3"/>
      <c r="Q513" s="3"/>
      <c r="R513" s="3"/>
    </row>
    <row r="514" spans="1:18" x14ac:dyDescent="0.75">
      <c r="A514" s="3"/>
      <c r="B514" s="3"/>
      <c r="C514" s="6"/>
      <c r="D514" s="6"/>
      <c r="E514" s="15"/>
      <c r="F514" s="6"/>
      <c r="G514" s="6"/>
      <c r="H514" s="3"/>
      <c r="I514" s="6"/>
      <c r="J514" s="3"/>
      <c r="K514" s="3"/>
      <c r="L514" s="3"/>
      <c r="M514" s="3"/>
      <c r="N514" s="3"/>
      <c r="O514" s="3"/>
      <c r="P514" s="3"/>
      <c r="Q514" s="3"/>
      <c r="R514" s="3"/>
    </row>
    <row r="515" spans="1:18" x14ac:dyDescent="0.75">
      <c r="A515" s="3"/>
      <c r="B515" s="3"/>
      <c r="C515" s="6"/>
      <c r="D515" s="6"/>
      <c r="E515" s="15"/>
      <c r="F515" s="6"/>
      <c r="G515" s="6"/>
      <c r="H515" s="3"/>
      <c r="I515" s="6"/>
      <c r="J515" s="3"/>
      <c r="K515" s="3"/>
      <c r="L515" s="3"/>
      <c r="M515" s="3"/>
      <c r="N515" s="3"/>
      <c r="O515" s="3"/>
      <c r="P515" s="3"/>
      <c r="Q515" s="3"/>
      <c r="R515" s="3"/>
    </row>
    <row r="516" spans="1:18" x14ac:dyDescent="0.75">
      <c r="A516" s="3"/>
      <c r="B516" s="3"/>
      <c r="C516" s="6"/>
      <c r="D516" s="6"/>
      <c r="E516" s="15"/>
      <c r="F516" s="6"/>
      <c r="G516" s="6"/>
      <c r="H516" s="3"/>
      <c r="I516" s="6"/>
      <c r="J516" s="3"/>
      <c r="K516" s="3"/>
      <c r="L516" s="3"/>
      <c r="M516" s="3"/>
      <c r="N516" s="3"/>
      <c r="O516" s="3"/>
      <c r="P516" s="3"/>
      <c r="Q516" s="3"/>
      <c r="R516" s="3"/>
    </row>
    <row r="517" spans="1:18" x14ac:dyDescent="0.75">
      <c r="A517" s="3"/>
      <c r="B517" s="3"/>
      <c r="C517" s="6"/>
      <c r="D517" s="6"/>
      <c r="E517" s="15"/>
      <c r="F517" s="6"/>
      <c r="G517" s="6"/>
      <c r="H517" s="3"/>
      <c r="I517" s="6"/>
      <c r="J517" s="3"/>
      <c r="K517" s="3"/>
      <c r="L517" s="3"/>
      <c r="M517" s="3"/>
      <c r="N517" s="3"/>
      <c r="O517" s="3"/>
      <c r="P517" s="3"/>
      <c r="Q517" s="3"/>
      <c r="R517" s="3"/>
    </row>
    <row r="518" spans="1:18" x14ac:dyDescent="0.75">
      <c r="A518" s="3"/>
      <c r="B518" s="3"/>
      <c r="C518" s="6"/>
      <c r="D518" s="6"/>
      <c r="E518" s="15"/>
      <c r="F518" s="6"/>
      <c r="G518" s="6"/>
      <c r="H518" s="3"/>
      <c r="I518" s="6"/>
      <c r="J518" s="3"/>
      <c r="K518" s="3"/>
      <c r="L518" s="3"/>
      <c r="M518" s="3"/>
      <c r="N518" s="3"/>
      <c r="O518" s="3"/>
      <c r="P518" s="3"/>
      <c r="Q518" s="3"/>
      <c r="R518" s="3"/>
    </row>
    <row r="519" spans="1:18" x14ac:dyDescent="0.75">
      <c r="A519" s="3"/>
      <c r="B519" s="3"/>
      <c r="C519" s="6"/>
      <c r="D519" s="6"/>
      <c r="E519" s="15"/>
      <c r="F519" s="6"/>
      <c r="G519" s="6"/>
      <c r="H519" s="3"/>
      <c r="I519" s="6"/>
      <c r="J519" s="3"/>
      <c r="K519" s="3"/>
      <c r="L519" s="3"/>
      <c r="M519" s="3"/>
      <c r="N519" s="3"/>
      <c r="O519" s="3"/>
      <c r="P519" s="3"/>
      <c r="Q519" s="3"/>
      <c r="R519" s="3"/>
    </row>
    <row r="520" spans="1:18" x14ac:dyDescent="0.75">
      <c r="A520" s="3"/>
      <c r="B520" s="3"/>
      <c r="C520" s="6"/>
      <c r="D520" s="6"/>
      <c r="E520" s="15"/>
      <c r="F520" s="6"/>
      <c r="G520" s="6"/>
      <c r="H520" s="3"/>
      <c r="I520" s="6"/>
      <c r="J520" s="3"/>
      <c r="K520" s="3"/>
      <c r="L520" s="3"/>
      <c r="M520" s="3"/>
      <c r="N520" s="3"/>
      <c r="O520" s="3"/>
      <c r="P520" s="3"/>
      <c r="Q520" s="3"/>
      <c r="R520" s="3"/>
    </row>
    <row r="521" spans="1:18" x14ac:dyDescent="0.75">
      <c r="A521" s="3"/>
      <c r="B521" s="3"/>
      <c r="C521" s="6"/>
      <c r="D521" s="6"/>
      <c r="E521" s="15"/>
      <c r="F521" s="6"/>
      <c r="G521" s="6"/>
      <c r="H521" s="3"/>
      <c r="I521" s="6"/>
      <c r="J521" s="3"/>
      <c r="K521" s="3"/>
      <c r="L521" s="3"/>
      <c r="M521" s="3"/>
      <c r="N521" s="3"/>
      <c r="O521" s="3"/>
      <c r="P521" s="3"/>
      <c r="Q521" s="3"/>
      <c r="R521" s="3"/>
    </row>
    <row r="522" spans="1:18" x14ac:dyDescent="0.75">
      <c r="A522" s="3"/>
      <c r="B522" s="3"/>
      <c r="C522" s="6"/>
      <c r="D522" s="6"/>
      <c r="E522" s="15"/>
      <c r="F522" s="6"/>
      <c r="G522" s="6"/>
      <c r="H522" s="3"/>
      <c r="I522" s="6"/>
      <c r="J522" s="3"/>
      <c r="K522" s="3"/>
      <c r="L522" s="3"/>
      <c r="M522" s="3"/>
      <c r="N522" s="3"/>
      <c r="O522" s="3"/>
      <c r="P522" s="3"/>
      <c r="Q522" s="3"/>
      <c r="R522" s="3"/>
    </row>
    <row r="523" spans="1:18" x14ac:dyDescent="0.75">
      <c r="A523" s="3"/>
      <c r="B523" s="3"/>
      <c r="C523" s="6"/>
      <c r="D523" s="6"/>
      <c r="E523" s="15"/>
      <c r="F523" s="6"/>
      <c r="G523" s="6"/>
      <c r="H523" s="3"/>
      <c r="I523" s="6"/>
      <c r="J523" s="3"/>
      <c r="K523" s="3"/>
      <c r="L523" s="3"/>
      <c r="M523" s="3"/>
      <c r="N523" s="3"/>
      <c r="O523" s="3"/>
      <c r="P523" s="3"/>
      <c r="Q523" s="3"/>
      <c r="R523" s="3"/>
    </row>
    <row r="524" spans="1:18" x14ac:dyDescent="0.75">
      <c r="A524" s="3"/>
      <c r="B524" s="3"/>
      <c r="C524" s="6"/>
      <c r="D524" s="6"/>
      <c r="E524" s="15"/>
      <c r="F524" s="6"/>
      <c r="G524" s="6"/>
      <c r="H524" s="3"/>
      <c r="I524" s="6"/>
      <c r="J524" s="3"/>
      <c r="K524" s="3"/>
      <c r="L524" s="3"/>
      <c r="M524" s="3"/>
      <c r="N524" s="3"/>
      <c r="O524" s="3"/>
      <c r="P524" s="3"/>
      <c r="Q524" s="3"/>
      <c r="R524" s="3"/>
    </row>
    <row r="525" spans="1:18" x14ac:dyDescent="0.75">
      <c r="A525" s="3"/>
      <c r="B525" s="3"/>
      <c r="C525" s="6"/>
      <c r="D525" s="6"/>
      <c r="E525" s="15"/>
      <c r="F525" s="6"/>
      <c r="G525" s="6"/>
      <c r="H525" s="3"/>
      <c r="I525" s="6"/>
      <c r="J525" s="3"/>
      <c r="K525" s="3"/>
      <c r="L525" s="3"/>
      <c r="M525" s="3"/>
      <c r="N525" s="3"/>
      <c r="O525" s="3"/>
      <c r="P525" s="3"/>
      <c r="Q525" s="3"/>
      <c r="R525" s="3"/>
    </row>
    <row r="526" spans="1:18" x14ac:dyDescent="0.75">
      <c r="A526" s="3"/>
      <c r="B526" s="3"/>
      <c r="C526" s="6"/>
      <c r="D526" s="6"/>
      <c r="E526" s="15"/>
      <c r="F526" s="6"/>
      <c r="G526" s="6"/>
      <c r="H526" s="3"/>
      <c r="I526" s="6"/>
      <c r="J526" s="3"/>
      <c r="K526" s="3"/>
      <c r="L526" s="3"/>
      <c r="M526" s="3"/>
      <c r="N526" s="3"/>
      <c r="O526" s="3"/>
      <c r="P526" s="3"/>
      <c r="Q526" s="3"/>
      <c r="R526" s="3"/>
    </row>
    <row r="527" spans="1:18" x14ac:dyDescent="0.75">
      <c r="A527" s="3"/>
      <c r="B527" s="3"/>
      <c r="C527" s="6"/>
      <c r="D527" s="6"/>
      <c r="E527" s="15"/>
      <c r="F527" s="6"/>
      <c r="G527" s="6"/>
      <c r="H527" s="3"/>
      <c r="I527" s="6"/>
      <c r="J527" s="3"/>
      <c r="K527" s="3"/>
      <c r="L527" s="3"/>
      <c r="M527" s="3"/>
      <c r="N527" s="3"/>
      <c r="O527" s="3"/>
      <c r="P527" s="3"/>
      <c r="Q527" s="3"/>
      <c r="R527" s="3"/>
    </row>
    <row r="528" spans="1:18" x14ac:dyDescent="0.75">
      <c r="A528" s="3"/>
      <c r="B528" s="3"/>
      <c r="C528" s="6"/>
      <c r="D528" s="6"/>
      <c r="E528" s="15"/>
      <c r="F528" s="6"/>
      <c r="G528" s="6"/>
      <c r="H528" s="3"/>
      <c r="I528" s="6"/>
      <c r="J528" s="3"/>
      <c r="K528" s="3"/>
      <c r="L528" s="3"/>
      <c r="M528" s="3"/>
      <c r="N528" s="3"/>
      <c r="O528" s="3"/>
      <c r="P528" s="3"/>
      <c r="Q528" s="3"/>
      <c r="R528" s="3"/>
    </row>
    <row r="529" spans="1:18" x14ac:dyDescent="0.75">
      <c r="A529" s="3"/>
      <c r="B529" s="3"/>
      <c r="C529" s="6"/>
      <c r="D529" s="6"/>
      <c r="E529" s="15"/>
      <c r="F529" s="6"/>
      <c r="G529" s="6"/>
      <c r="H529" s="3"/>
      <c r="I529" s="6"/>
      <c r="J529" s="3"/>
      <c r="K529" s="3"/>
      <c r="L529" s="3"/>
      <c r="M529" s="3"/>
      <c r="N529" s="3"/>
      <c r="O529" s="3"/>
      <c r="P529" s="3"/>
      <c r="Q529" s="3"/>
      <c r="R529" s="3"/>
    </row>
    <row r="530" spans="1:18" x14ac:dyDescent="0.75">
      <c r="A530" s="3"/>
      <c r="B530" s="3"/>
      <c r="C530" s="6"/>
      <c r="D530" s="6"/>
      <c r="E530" s="15"/>
      <c r="F530" s="6"/>
      <c r="G530" s="6"/>
      <c r="H530" s="3"/>
      <c r="I530" s="6"/>
      <c r="J530" s="3"/>
      <c r="K530" s="3"/>
      <c r="L530" s="3"/>
      <c r="M530" s="3"/>
      <c r="N530" s="3"/>
      <c r="O530" s="3"/>
      <c r="P530" s="3"/>
      <c r="Q530" s="3"/>
      <c r="R530" s="3"/>
    </row>
    <row r="531" spans="1:18" x14ac:dyDescent="0.75">
      <c r="A531" s="3"/>
      <c r="B531" s="3"/>
      <c r="C531" s="6"/>
      <c r="D531" s="6"/>
      <c r="E531" s="15"/>
      <c r="F531" s="6"/>
      <c r="G531" s="6"/>
      <c r="H531" s="3"/>
      <c r="I531" s="6"/>
      <c r="J531" s="3"/>
      <c r="K531" s="3"/>
      <c r="L531" s="3"/>
      <c r="M531" s="3"/>
      <c r="N531" s="3"/>
      <c r="O531" s="3"/>
      <c r="P531" s="3"/>
      <c r="Q531" s="3"/>
      <c r="R531" s="3"/>
    </row>
    <row r="532" spans="1:18" x14ac:dyDescent="0.75">
      <c r="A532" s="3"/>
      <c r="B532" s="3"/>
      <c r="C532" s="6"/>
      <c r="D532" s="6"/>
      <c r="E532" s="15"/>
      <c r="F532" s="6"/>
      <c r="G532" s="6"/>
      <c r="H532" s="3"/>
      <c r="I532" s="6"/>
      <c r="J532" s="3"/>
      <c r="K532" s="3"/>
      <c r="L532" s="3"/>
      <c r="M532" s="3"/>
      <c r="N532" s="3"/>
      <c r="O532" s="3"/>
      <c r="P532" s="3"/>
      <c r="Q532" s="3"/>
      <c r="R532" s="3"/>
    </row>
    <row r="533" spans="1:18" x14ac:dyDescent="0.75">
      <c r="A533" s="3"/>
      <c r="B533" s="3"/>
      <c r="C533" s="6"/>
      <c r="D533" s="6"/>
      <c r="E533" s="15"/>
      <c r="F533" s="6"/>
      <c r="G533" s="6"/>
      <c r="H533" s="3"/>
      <c r="I533" s="6"/>
      <c r="J533" s="3"/>
      <c r="K533" s="3"/>
      <c r="L533" s="3"/>
      <c r="M533" s="3"/>
      <c r="N533" s="3"/>
      <c r="O533" s="3"/>
      <c r="P533" s="3"/>
      <c r="Q533" s="3"/>
      <c r="R533" s="3"/>
    </row>
    <row r="534" spans="1:18" x14ac:dyDescent="0.75">
      <c r="A534" s="3"/>
      <c r="B534" s="3"/>
      <c r="C534" s="6"/>
      <c r="D534" s="6"/>
      <c r="E534" s="15"/>
      <c r="F534" s="6"/>
      <c r="G534" s="6"/>
      <c r="H534" s="3"/>
      <c r="I534" s="6"/>
      <c r="J534" s="3"/>
      <c r="K534" s="3"/>
      <c r="L534" s="3"/>
      <c r="M534" s="3"/>
      <c r="N534" s="3"/>
      <c r="O534" s="3"/>
      <c r="P534" s="3"/>
      <c r="Q534" s="3"/>
      <c r="R534" s="3"/>
    </row>
    <row r="535" spans="1:18" x14ac:dyDescent="0.75">
      <c r="A535" s="3"/>
      <c r="B535" s="3"/>
      <c r="C535" s="6"/>
      <c r="D535" s="6"/>
      <c r="E535" s="15"/>
      <c r="F535" s="6"/>
      <c r="G535" s="6"/>
      <c r="H535" s="3"/>
      <c r="I535" s="6"/>
      <c r="J535" s="3"/>
      <c r="K535" s="3"/>
      <c r="L535" s="3"/>
      <c r="M535" s="3"/>
      <c r="N535" s="3"/>
      <c r="O535" s="3"/>
      <c r="P535" s="3"/>
      <c r="Q535" s="3"/>
      <c r="R535" s="3"/>
    </row>
    <row r="536" spans="1:18" x14ac:dyDescent="0.75">
      <c r="A536" s="3"/>
      <c r="B536" s="3"/>
      <c r="C536" s="6"/>
      <c r="D536" s="6"/>
      <c r="E536" s="15"/>
      <c r="F536" s="6"/>
      <c r="G536" s="6"/>
      <c r="H536" s="3"/>
      <c r="I536" s="6"/>
      <c r="J536" s="3"/>
      <c r="K536" s="3"/>
      <c r="L536" s="3"/>
      <c r="M536" s="3"/>
      <c r="N536" s="3"/>
      <c r="O536" s="3"/>
      <c r="P536" s="3"/>
      <c r="Q536" s="3"/>
      <c r="R536" s="3"/>
    </row>
    <row r="537" spans="1:18" x14ac:dyDescent="0.75">
      <c r="A537" s="3"/>
      <c r="B537" s="3"/>
      <c r="C537" s="6"/>
      <c r="D537" s="6"/>
      <c r="E537" s="15"/>
      <c r="F537" s="6"/>
      <c r="G537" s="6"/>
      <c r="H537" s="3"/>
      <c r="I537" s="6"/>
      <c r="J537" s="3"/>
      <c r="K537" s="3"/>
      <c r="L537" s="3"/>
      <c r="M537" s="3"/>
      <c r="N537" s="3"/>
      <c r="O537" s="3"/>
      <c r="P537" s="3"/>
      <c r="Q537" s="3"/>
      <c r="R537" s="3"/>
    </row>
    <row r="538" spans="1:18" x14ac:dyDescent="0.75">
      <c r="A538" s="3"/>
      <c r="B538" s="3"/>
      <c r="C538" s="6"/>
      <c r="D538" s="6"/>
      <c r="E538" s="15"/>
      <c r="F538" s="6"/>
      <c r="G538" s="6"/>
      <c r="H538" s="3"/>
      <c r="I538" s="6"/>
      <c r="J538" s="3"/>
      <c r="K538" s="3"/>
      <c r="L538" s="3"/>
      <c r="M538" s="3"/>
      <c r="N538" s="3"/>
      <c r="O538" s="3"/>
      <c r="P538" s="3"/>
      <c r="Q538" s="3"/>
      <c r="R538" s="3"/>
    </row>
    <row r="539" spans="1:18" x14ac:dyDescent="0.75">
      <c r="A539" s="3"/>
      <c r="B539" s="3"/>
      <c r="C539" s="6"/>
      <c r="D539" s="6"/>
      <c r="E539" s="15"/>
      <c r="F539" s="6"/>
      <c r="G539" s="6"/>
      <c r="H539" s="3"/>
      <c r="I539" s="6"/>
      <c r="J539" s="3"/>
      <c r="K539" s="3"/>
      <c r="L539" s="3"/>
      <c r="M539" s="3"/>
      <c r="N539" s="3"/>
      <c r="O539" s="3"/>
      <c r="P539" s="3"/>
      <c r="Q539" s="3"/>
      <c r="R539" s="3"/>
    </row>
    <row r="540" spans="1:18" x14ac:dyDescent="0.75">
      <c r="A540" s="3"/>
      <c r="B540" s="3"/>
      <c r="C540" s="6"/>
      <c r="D540" s="6"/>
      <c r="E540" s="15"/>
      <c r="F540" s="6"/>
      <c r="G540" s="6"/>
      <c r="H540" s="3"/>
      <c r="I540" s="6"/>
      <c r="J540" s="3"/>
      <c r="K540" s="3"/>
      <c r="L540" s="3"/>
      <c r="M540" s="3"/>
      <c r="N540" s="3"/>
      <c r="O540" s="3"/>
      <c r="P540" s="3"/>
      <c r="Q540" s="3"/>
      <c r="R540" s="3"/>
    </row>
    <row r="541" spans="1:18" x14ac:dyDescent="0.75">
      <c r="A541" s="3"/>
      <c r="B541" s="3"/>
      <c r="C541" s="6"/>
      <c r="D541" s="6"/>
      <c r="E541" s="15"/>
      <c r="F541" s="6"/>
      <c r="G541" s="6"/>
      <c r="H541" s="3"/>
      <c r="I541" s="6"/>
      <c r="J541" s="3"/>
      <c r="K541" s="3"/>
      <c r="L541" s="3"/>
      <c r="M541" s="3"/>
      <c r="N541" s="3"/>
      <c r="O541" s="3"/>
      <c r="P541" s="3"/>
      <c r="Q541" s="3"/>
      <c r="R541" s="3"/>
    </row>
    <row r="542" spans="1:18" x14ac:dyDescent="0.75">
      <c r="A542" s="3"/>
      <c r="B542" s="3"/>
      <c r="C542" s="6"/>
      <c r="D542" s="6"/>
      <c r="E542" s="15"/>
      <c r="F542" s="6"/>
      <c r="G542" s="6"/>
      <c r="H542" s="3"/>
      <c r="I542" s="6"/>
      <c r="J542" s="3"/>
      <c r="K542" s="3"/>
      <c r="L542" s="3"/>
      <c r="M542" s="3"/>
      <c r="N542" s="3"/>
      <c r="O542" s="3"/>
      <c r="P542" s="3"/>
      <c r="Q542" s="3"/>
      <c r="R542" s="3"/>
    </row>
    <row r="543" spans="1:18" x14ac:dyDescent="0.75">
      <c r="A543" s="3"/>
      <c r="B543" s="3"/>
      <c r="C543" s="6"/>
      <c r="D543" s="6"/>
      <c r="E543" s="15"/>
      <c r="F543" s="6"/>
      <c r="G543" s="6"/>
      <c r="H543" s="3"/>
      <c r="I543" s="6"/>
      <c r="J543" s="3"/>
      <c r="K543" s="3"/>
      <c r="L543" s="3"/>
      <c r="M543" s="3"/>
      <c r="N543" s="3"/>
      <c r="O543" s="3"/>
      <c r="P543" s="3"/>
      <c r="Q543" s="3"/>
      <c r="R543" s="3"/>
    </row>
    <row r="544" spans="1:18" x14ac:dyDescent="0.75">
      <c r="A544" s="3"/>
      <c r="B544" s="3"/>
      <c r="C544" s="6"/>
      <c r="D544" s="6"/>
      <c r="E544" s="15"/>
      <c r="F544" s="6"/>
      <c r="G544" s="6"/>
      <c r="H544" s="3"/>
      <c r="I544" s="6"/>
      <c r="J544" s="3"/>
      <c r="K544" s="3"/>
      <c r="L544" s="3"/>
      <c r="M544" s="3"/>
      <c r="N544" s="3"/>
      <c r="O544" s="3"/>
      <c r="P544" s="3"/>
      <c r="Q544" s="3"/>
      <c r="R544" s="3"/>
    </row>
    <row r="545" spans="1:18" x14ac:dyDescent="0.75">
      <c r="A545" s="3"/>
      <c r="B545" s="3"/>
      <c r="C545" s="6"/>
      <c r="D545" s="6"/>
      <c r="E545" s="15"/>
      <c r="F545" s="6"/>
      <c r="G545" s="6"/>
      <c r="H545" s="3"/>
      <c r="I545" s="6"/>
      <c r="J545" s="3"/>
      <c r="K545" s="3"/>
      <c r="L545" s="3"/>
      <c r="M545" s="3"/>
      <c r="N545" s="3"/>
      <c r="O545" s="3"/>
      <c r="P545" s="3"/>
      <c r="Q545" s="3"/>
      <c r="R545" s="3"/>
    </row>
    <row r="546" spans="1:18" x14ac:dyDescent="0.75">
      <c r="A546" s="3"/>
      <c r="B546" s="3"/>
      <c r="C546" s="6"/>
      <c r="D546" s="6"/>
      <c r="E546" s="15"/>
      <c r="F546" s="6"/>
      <c r="G546" s="6"/>
      <c r="H546" s="3"/>
      <c r="I546" s="6"/>
      <c r="J546" s="3"/>
      <c r="K546" s="3"/>
      <c r="L546" s="3"/>
      <c r="M546" s="3"/>
      <c r="N546" s="3"/>
      <c r="O546" s="3"/>
      <c r="P546" s="3"/>
      <c r="Q546" s="3"/>
      <c r="R546" s="3"/>
    </row>
    <row r="547" spans="1:18" x14ac:dyDescent="0.75">
      <c r="A547" s="3"/>
      <c r="B547" s="3"/>
      <c r="C547" s="6"/>
      <c r="D547" s="6"/>
      <c r="E547" s="15"/>
      <c r="F547" s="6"/>
      <c r="G547" s="6"/>
      <c r="H547" s="3"/>
      <c r="I547" s="6"/>
      <c r="J547" s="3"/>
      <c r="K547" s="3"/>
      <c r="L547" s="3"/>
      <c r="M547" s="3"/>
      <c r="N547" s="3"/>
      <c r="O547" s="3"/>
      <c r="P547" s="3"/>
      <c r="Q547" s="3"/>
      <c r="R547" s="3"/>
    </row>
    <row r="548" spans="1:18" x14ac:dyDescent="0.75">
      <c r="A548" s="3"/>
      <c r="B548" s="3"/>
      <c r="C548" s="6"/>
      <c r="D548" s="6"/>
      <c r="E548" s="15"/>
      <c r="F548" s="6"/>
      <c r="G548" s="6"/>
      <c r="H548" s="3"/>
      <c r="I548" s="6"/>
      <c r="J548" s="3"/>
      <c r="K548" s="3"/>
      <c r="L548" s="3"/>
      <c r="M548" s="3"/>
      <c r="N548" s="3"/>
      <c r="O548" s="3"/>
      <c r="P548" s="3"/>
      <c r="Q548" s="3"/>
      <c r="R548" s="3"/>
    </row>
    <row r="549" spans="1:18" x14ac:dyDescent="0.75">
      <c r="A549" s="3"/>
      <c r="B549" s="3"/>
      <c r="C549" s="6"/>
      <c r="D549" s="6"/>
      <c r="E549" s="15"/>
      <c r="F549" s="6"/>
      <c r="G549" s="6"/>
      <c r="H549" s="3"/>
      <c r="I549" s="6"/>
      <c r="J549" s="3"/>
      <c r="K549" s="3"/>
      <c r="L549" s="3"/>
      <c r="M549" s="3"/>
      <c r="N549" s="3"/>
      <c r="O549" s="3"/>
      <c r="P549" s="3"/>
      <c r="Q549" s="3"/>
      <c r="R549" s="3"/>
    </row>
    <row r="550" spans="1:18" x14ac:dyDescent="0.75">
      <c r="A550" s="3"/>
      <c r="B550" s="3"/>
      <c r="C550" s="6"/>
      <c r="D550" s="6"/>
      <c r="E550" s="15"/>
      <c r="F550" s="6"/>
      <c r="G550" s="6"/>
      <c r="H550" s="3"/>
      <c r="I550" s="6"/>
      <c r="J550" s="3"/>
      <c r="K550" s="3"/>
      <c r="L550" s="3"/>
      <c r="M550" s="3"/>
      <c r="N550" s="3"/>
      <c r="O550" s="3"/>
      <c r="P550" s="3"/>
      <c r="Q550" s="3"/>
      <c r="R550" s="3"/>
    </row>
    <row r="551" spans="1:18" x14ac:dyDescent="0.75">
      <c r="A551" s="3"/>
      <c r="B551" s="3"/>
      <c r="C551" s="6"/>
      <c r="D551" s="6"/>
      <c r="E551" s="15"/>
      <c r="F551" s="6"/>
      <c r="G551" s="6"/>
      <c r="H551" s="3"/>
      <c r="I551" s="6"/>
      <c r="J551" s="3"/>
      <c r="K551" s="3"/>
      <c r="L551" s="3"/>
      <c r="M551" s="3"/>
      <c r="N551" s="3"/>
      <c r="O551" s="3"/>
      <c r="P551" s="3"/>
      <c r="Q551" s="3"/>
      <c r="R551" s="3"/>
    </row>
    <row r="552" spans="1:18" x14ac:dyDescent="0.75">
      <c r="A552" s="3"/>
      <c r="B552" s="3"/>
      <c r="C552" s="6"/>
      <c r="D552" s="6"/>
      <c r="E552" s="15"/>
      <c r="F552" s="6"/>
      <c r="G552" s="6"/>
      <c r="H552" s="3"/>
      <c r="I552" s="6"/>
      <c r="J552" s="3"/>
      <c r="K552" s="3"/>
      <c r="L552" s="3"/>
      <c r="M552" s="3"/>
      <c r="N552" s="3"/>
      <c r="O552" s="3"/>
      <c r="P552" s="3"/>
      <c r="Q552" s="3"/>
      <c r="R552" s="3"/>
    </row>
    <row r="553" spans="1:18" x14ac:dyDescent="0.75">
      <c r="A553" s="3"/>
      <c r="B553" s="3"/>
      <c r="C553" s="6"/>
      <c r="D553" s="6"/>
      <c r="E553" s="15"/>
      <c r="F553" s="6"/>
      <c r="G553" s="6"/>
      <c r="H553" s="3"/>
      <c r="I553" s="6"/>
      <c r="J553" s="3"/>
      <c r="K553" s="3"/>
      <c r="L553" s="3"/>
      <c r="M553" s="3"/>
      <c r="N553" s="3"/>
      <c r="O553" s="3"/>
      <c r="P553" s="3"/>
      <c r="Q553" s="3"/>
      <c r="R553" s="3"/>
    </row>
    <row r="554" spans="1:18" x14ac:dyDescent="0.75">
      <c r="A554" s="3"/>
      <c r="B554" s="3"/>
      <c r="C554" s="6"/>
      <c r="D554" s="6"/>
      <c r="E554" s="15"/>
      <c r="F554" s="6"/>
      <c r="G554" s="6"/>
      <c r="H554" s="3"/>
      <c r="I554" s="6"/>
      <c r="J554" s="3"/>
      <c r="K554" s="3"/>
      <c r="L554" s="3"/>
      <c r="M554" s="3"/>
      <c r="N554" s="3"/>
      <c r="O554" s="3"/>
      <c r="P554" s="3"/>
      <c r="Q554" s="3"/>
      <c r="R554" s="3"/>
    </row>
    <row r="555" spans="1:18" x14ac:dyDescent="0.75">
      <c r="A555" s="3"/>
      <c r="B555" s="3"/>
      <c r="C555" s="6"/>
      <c r="D555" s="6"/>
      <c r="E555" s="15"/>
      <c r="F555" s="6"/>
      <c r="G555" s="6"/>
      <c r="H555" s="3"/>
      <c r="I555" s="6"/>
      <c r="J555" s="3"/>
      <c r="K555" s="3"/>
      <c r="L555" s="3"/>
      <c r="M555" s="3"/>
      <c r="N555" s="3"/>
      <c r="O555" s="3"/>
      <c r="P555" s="3"/>
      <c r="Q555" s="3"/>
      <c r="R555" s="3"/>
    </row>
    <row r="556" spans="1:18" x14ac:dyDescent="0.75">
      <c r="A556" s="3"/>
      <c r="B556" s="3"/>
      <c r="C556" s="6"/>
      <c r="D556" s="6"/>
      <c r="E556" s="15"/>
      <c r="F556" s="6"/>
      <c r="G556" s="6"/>
      <c r="H556" s="3"/>
      <c r="I556" s="6"/>
      <c r="J556" s="3"/>
      <c r="K556" s="3"/>
      <c r="L556" s="3"/>
      <c r="M556" s="3"/>
      <c r="N556" s="3"/>
      <c r="O556" s="3"/>
      <c r="P556" s="3"/>
      <c r="Q556" s="3"/>
      <c r="R556" s="3"/>
    </row>
    <row r="557" spans="1:18" x14ac:dyDescent="0.75">
      <c r="A557" s="3"/>
      <c r="B557" s="3"/>
      <c r="C557" s="6"/>
      <c r="D557" s="6"/>
      <c r="E557" s="15"/>
      <c r="F557" s="6"/>
      <c r="G557" s="6"/>
      <c r="H557" s="3"/>
      <c r="I557" s="6"/>
      <c r="J557" s="3"/>
      <c r="K557" s="3"/>
      <c r="L557" s="3"/>
      <c r="M557" s="3"/>
      <c r="N557" s="3"/>
      <c r="O557" s="3"/>
      <c r="P557" s="3"/>
      <c r="Q557" s="3"/>
      <c r="R557" s="3"/>
    </row>
    <row r="558" spans="1:18" x14ac:dyDescent="0.75">
      <c r="A558" s="3"/>
      <c r="B558" s="3"/>
      <c r="C558" s="6"/>
      <c r="D558" s="6"/>
      <c r="E558" s="15"/>
      <c r="F558" s="6"/>
      <c r="G558" s="6"/>
      <c r="H558" s="3"/>
      <c r="I558" s="6"/>
      <c r="J558" s="3"/>
      <c r="K558" s="3"/>
      <c r="L558" s="3"/>
      <c r="M558" s="3"/>
      <c r="N558" s="3"/>
      <c r="O558" s="3"/>
      <c r="P558" s="3"/>
      <c r="Q558" s="3"/>
      <c r="R558" s="3"/>
    </row>
    <row r="559" spans="1:18" x14ac:dyDescent="0.75">
      <c r="A559" s="3"/>
      <c r="B559" s="3"/>
      <c r="C559" s="6"/>
      <c r="D559" s="6"/>
      <c r="E559" s="15"/>
      <c r="F559" s="6"/>
      <c r="G559" s="6"/>
      <c r="H559" s="3"/>
      <c r="I559" s="6"/>
      <c r="J559" s="3"/>
      <c r="K559" s="3"/>
      <c r="L559" s="3"/>
      <c r="M559" s="3"/>
      <c r="N559" s="3"/>
      <c r="O559" s="3"/>
      <c r="P559" s="3"/>
      <c r="Q559" s="3"/>
      <c r="R559" s="3"/>
    </row>
    <row r="560" spans="1:18" x14ac:dyDescent="0.75">
      <c r="A560" s="3"/>
      <c r="B560" s="3"/>
      <c r="C560" s="6"/>
      <c r="D560" s="6"/>
      <c r="E560" s="15"/>
      <c r="F560" s="6"/>
      <c r="G560" s="6"/>
      <c r="H560" s="3"/>
      <c r="I560" s="6"/>
      <c r="J560" s="3"/>
      <c r="K560" s="3"/>
      <c r="L560" s="3"/>
      <c r="M560" s="3"/>
      <c r="N560" s="3"/>
      <c r="O560" s="3"/>
      <c r="P560" s="3"/>
      <c r="Q560" s="3"/>
      <c r="R560" s="3"/>
    </row>
    <row r="561" spans="1:18" x14ac:dyDescent="0.75">
      <c r="A561" s="3"/>
      <c r="B561" s="3"/>
      <c r="C561" s="6"/>
      <c r="D561" s="6"/>
      <c r="E561" s="15"/>
      <c r="F561" s="6"/>
      <c r="G561" s="6"/>
      <c r="H561" s="3"/>
      <c r="I561" s="6"/>
      <c r="J561" s="3"/>
      <c r="K561" s="3"/>
      <c r="L561" s="3"/>
      <c r="M561" s="3"/>
      <c r="N561" s="3"/>
      <c r="O561" s="3"/>
      <c r="P561" s="3"/>
      <c r="Q561" s="3"/>
      <c r="R561" s="3"/>
    </row>
    <row r="562" spans="1:18" x14ac:dyDescent="0.75">
      <c r="A562" s="3"/>
      <c r="B562" s="3"/>
      <c r="C562" s="6"/>
      <c r="D562" s="6"/>
      <c r="E562" s="15"/>
      <c r="F562" s="6"/>
      <c r="G562" s="6"/>
      <c r="H562" s="3"/>
      <c r="I562" s="6"/>
      <c r="J562" s="3"/>
      <c r="K562" s="3"/>
      <c r="L562" s="3"/>
      <c r="M562" s="3"/>
      <c r="N562" s="3"/>
      <c r="O562" s="3"/>
      <c r="P562" s="3"/>
      <c r="Q562" s="3"/>
      <c r="R562" s="3"/>
    </row>
    <row r="563" spans="1:18" x14ac:dyDescent="0.75">
      <c r="A563" s="3"/>
      <c r="B563" s="3"/>
      <c r="C563" s="6"/>
      <c r="D563" s="6"/>
      <c r="E563" s="15"/>
      <c r="F563" s="6"/>
      <c r="G563" s="6"/>
      <c r="H563" s="3"/>
      <c r="I563" s="6"/>
      <c r="J563" s="3"/>
      <c r="K563" s="3"/>
      <c r="L563" s="3"/>
      <c r="M563" s="3"/>
      <c r="N563" s="3"/>
      <c r="O563" s="3"/>
      <c r="P563" s="3"/>
      <c r="Q563" s="3"/>
      <c r="R563" s="3"/>
    </row>
    <row r="564" spans="1:18" x14ac:dyDescent="0.75">
      <c r="A564" s="3"/>
      <c r="B564" s="3"/>
      <c r="C564" s="6"/>
      <c r="D564" s="6"/>
      <c r="E564" s="15"/>
      <c r="F564" s="6"/>
      <c r="G564" s="6"/>
      <c r="H564" s="3"/>
      <c r="I564" s="6"/>
      <c r="J564" s="3"/>
      <c r="K564" s="3"/>
      <c r="L564" s="3"/>
      <c r="M564" s="3"/>
      <c r="N564" s="3"/>
      <c r="O564" s="3"/>
      <c r="P564" s="3"/>
      <c r="Q564" s="3"/>
      <c r="R564" s="3"/>
    </row>
    <row r="565" spans="1:18" x14ac:dyDescent="0.75">
      <c r="A565" s="3"/>
      <c r="B565" s="3"/>
      <c r="C565" s="6"/>
      <c r="D565" s="6"/>
      <c r="E565" s="15"/>
      <c r="F565" s="6"/>
      <c r="G565" s="6"/>
      <c r="H565" s="3"/>
      <c r="I565" s="6"/>
      <c r="J565" s="3"/>
      <c r="K565" s="3"/>
      <c r="L565" s="3"/>
      <c r="M565" s="3"/>
      <c r="N565" s="3"/>
      <c r="O565" s="3"/>
      <c r="P565" s="3"/>
      <c r="Q565" s="3"/>
      <c r="R565" s="3"/>
    </row>
    <row r="566" spans="1:18" x14ac:dyDescent="0.75">
      <c r="A566" s="3"/>
      <c r="B566" s="3"/>
      <c r="C566" s="6"/>
      <c r="D566" s="6"/>
      <c r="E566" s="15"/>
      <c r="F566" s="6"/>
      <c r="G566" s="6"/>
      <c r="H566" s="3"/>
      <c r="I566" s="6"/>
      <c r="J566" s="3"/>
      <c r="K566" s="3"/>
      <c r="L566" s="3"/>
      <c r="M566" s="3"/>
      <c r="N566" s="3"/>
      <c r="O566" s="3"/>
      <c r="P566" s="3"/>
      <c r="Q566" s="3"/>
      <c r="R566" s="3"/>
    </row>
    <row r="567" spans="1:18" x14ac:dyDescent="0.75">
      <c r="A567" s="3"/>
      <c r="B567" s="3"/>
      <c r="C567" s="6"/>
      <c r="D567" s="6"/>
      <c r="E567" s="15"/>
      <c r="F567" s="6"/>
      <c r="G567" s="6"/>
      <c r="H567" s="3"/>
      <c r="I567" s="6"/>
      <c r="J567" s="3"/>
      <c r="K567" s="3"/>
      <c r="L567" s="3"/>
      <c r="M567" s="3"/>
      <c r="N567" s="3"/>
      <c r="O567" s="3"/>
      <c r="P567" s="3"/>
      <c r="Q567" s="3"/>
      <c r="R567" s="3"/>
    </row>
    <row r="568" spans="1:18" x14ac:dyDescent="0.75">
      <c r="A568" s="3"/>
      <c r="B568" s="3"/>
      <c r="C568" s="6"/>
      <c r="D568" s="6"/>
      <c r="E568" s="15"/>
      <c r="F568" s="6"/>
      <c r="G568" s="6"/>
      <c r="H568" s="3"/>
      <c r="I568" s="6"/>
      <c r="J568" s="3"/>
      <c r="K568" s="3"/>
      <c r="L568" s="3"/>
      <c r="M568" s="3"/>
      <c r="N568" s="3"/>
      <c r="O568" s="3"/>
      <c r="P568" s="3"/>
      <c r="Q568" s="3"/>
      <c r="R568" s="3"/>
    </row>
    <row r="569" spans="1:18" x14ac:dyDescent="0.75">
      <c r="A569" s="3"/>
      <c r="B569" s="3"/>
      <c r="C569" s="6"/>
      <c r="D569" s="6"/>
      <c r="E569" s="15"/>
      <c r="F569" s="6"/>
      <c r="G569" s="6"/>
      <c r="H569" s="3"/>
      <c r="I569" s="6"/>
      <c r="J569" s="3"/>
      <c r="K569" s="3"/>
      <c r="L569" s="3"/>
      <c r="M569" s="3"/>
      <c r="N569" s="3"/>
      <c r="O569" s="3"/>
      <c r="P569" s="3"/>
      <c r="Q569" s="3"/>
      <c r="R569" s="3"/>
    </row>
    <row r="570" spans="1:18" x14ac:dyDescent="0.75">
      <c r="A570" s="3"/>
      <c r="B570" s="3"/>
      <c r="C570" s="6"/>
      <c r="D570" s="6"/>
      <c r="E570" s="15"/>
      <c r="F570" s="6"/>
      <c r="G570" s="6"/>
      <c r="H570" s="3"/>
      <c r="I570" s="6"/>
      <c r="J570" s="3"/>
      <c r="K570" s="3"/>
      <c r="L570" s="3"/>
      <c r="M570" s="3"/>
      <c r="N570" s="3"/>
      <c r="O570" s="3"/>
      <c r="P570" s="3"/>
      <c r="Q570" s="3"/>
      <c r="R570" s="3"/>
    </row>
    <row r="571" spans="1:18" x14ac:dyDescent="0.75">
      <c r="A571" s="3"/>
      <c r="B571" s="3"/>
      <c r="C571" s="6"/>
      <c r="D571" s="6"/>
      <c r="E571" s="15"/>
      <c r="F571" s="6"/>
      <c r="G571" s="6"/>
      <c r="H571" s="3"/>
      <c r="I571" s="6"/>
      <c r="J571" s="3"/>
      <c r="K571" s="3"/>
      <c r="L571" s="3"/>
      <c r="M571" s="3"/>
      <c r="N571" s="3"/>
      <c r="O571" s="3"/>
      <c r="P571" s="3"/>
      <c r="Q571" s="3"/>
      <c r="R571" s="3"/>
    </row>
    <row r="572" spans="1:18" x14ac:dyDescent="0.75">
      <c r="A572" s="3"/>
      <c r="B572" s="3"/>
      <c r="C572" s="6"/>
      <c r="D572" s="6"/>
      <c r="E572" s="15"/>
      <c r="F572" s="6"/>
      <c r="G572" s="6"/>
      <c r="H572" s="3"/>
      <c r="I572" s="6"/>
      <c r="J572" s="3"/>
      <c r="K572" s="3"/>
      <c r="L572" s="3"/>
      <c r="M572" s="3"/>
      <c r="N572" s="3"/>
      <c r="O572" s="3"/>
      <c r="P572" s="3"/>
      <c r="Q572" s="3"/>
      <c r="R572" s="3"/>
    </row>
    <row r="573" spans="1:18" x14ac:dyDescent="0.75">
      <c r="A573" s="3"/>
      <c r="B573" s="3"/>
      <c r="C573" s="6"/>
      <c r="D573" s="6"/>
      <c r="E573" s="15"/>
      <c r="F573" s="6"/>
      <c r="G573" s="6"/>
      <c r="H573" s="3"/>
      <c r="I573" s="6"/>
      <c r="J573" s="3"/>
      <c r="K573" s="3"/>
      <c r="L573" s="3"/>
      <c r="M573" s="3"/>
      <c r="N573" s="3"/>
      <c r="O573" s="3"/>
      <c r="P573" s="3"/>
      <c r="Q573" s="3"/>
      <c r="R573" s="3"/>
    </row>
    <row r="574" spans="1:18" x14ac:dyDescent="0.75">
      <c r="A574" s="3"/>
      <c r="B574" s="3"/>
      <c r="C574" s="6"/>
      <c r="D574" s="6"/>
      <c r="E574" s="15"/>
      <c r="F574" s="6"/>
      <c r="G574" s="6"/>
      <c r="H574" s="3"/>
      <c r="I574" s="6"/>
      <c r="J574" s="3"/>
      <c r="K574" s="3"/>
      <c r="L574" s="3"/>
      <c r="M574" s="3"/>
      <c r="N574" s="3"/>
      <c r="O574" s="3"/>
      <c r="P574" s="3"/>
      <c r="Q574" s="3"/>
      <c r="R574" s="3"/>
    </row>
    <row r="575" spans="1:18" x14ac:dyDescent="0.75">
      <c r="A575" s="3"/>
      <c r="B575" s="3"/>
      <c r="C575" s="6"/>
      <c r="D575" s="6"/>
      <c r="E575" s="15"/>
      <c r="F575" s="6"/>
      <c r="G575" s="6"/>
      <c r="H575" s="3"/>
      <c r="I575" s="6"/>
      <c r="J575" s="3"/>
      <c r="K575" s="3"/>
      <c r="L575" s="3"/>
      <c r="M575" s="3"/>
      <c r="N575" s="3"/>
      <c r="O575" s="3"/>
      <c r="P575" s="3"/>
      <c r="Q575" s="3"/>
      <c r="R575" s="3"/>
    </row>
    <row r="576" spans="1:18" x14ac:dyDescent="0.75">
      <c r="A576" s="3"/>
      <c r="B576" s="3"/>
      <c r="C576" s="6"/>
      <c r="D576" s="6"/>
      <c r="E576" s="15"/>
      <c r="F576" s="6"/>
      <c r="G576" s="6"/>
      <c r="H576" s="3"/>
      <c r="I576" s="6"/>
      <c r="J576" s="3"/>
      <c r="K576" s="3"/>
      <c r="L576" s="3"/>
      <c r="M576" s="3"/>
      <c r="N576" s="3"/>
      <c r="O576" s="3"/>
      <c r="P576" s="3"/>
      <c r="Q576" s="3"/>
      <c r="R576" s="3"/>
    </row>
    <row r="577" spans="1:18" x14ac:dyDescent="0.75">
      <c r="A577" s="3"/>
      <c r="B577" s="3"/>
      <c r="C577" s="6"/>
      <c r="D577" s="6"/>
      <c r="E577" s="15"/>
      <c r="F577" s="6"/>
      <c r="G577" s="6"/>
      <c r="H577" s="3"/>
      <c r="I577" s="6"/>
      <c r="J577" s="3"/>
      <c r="K577" s="3"/>
      <c r="L577" s="3"/>
      <c r="M577" s="3"/>
      <c r="N577" s="3"/>
      <c r="O577" s="3"/>
      <c r="P577" s="3"/>
      <c r="Q577" s="3"/>
      <c r="R577" s="3"/>
    </row>
    <row r="578" spans="1:18" x14ac:dyDescent="0.75">
      <c r="A578" s="3"/>
      <c r="B578" s="3"/>
      <c r="C578" s="6"/>
      <c r="D578" s="6"/>
      <c r="E578" s="15"/>
      <c r="F578" s="6"/>
      <c r="G578" s="6"/>
      <c r="H578" s="3"/>
      <c r="I578" s="6"/>
      <c r="J578" s="3"/>
      <c r="K578" s="3"/>
      <c r="L578" s="3"/>
      <c r="M578" s="3"/>
      <c r="N578" s="3"/>
      <c r="O578" s="3"/>
      <c r="P578" s="3"/>
      <c r="Q578" s="3"/>
      <c r="R578" s="3"/>
    </row>
    <row r="579" spans="1:18" x14ac:dyDescent="0.75">
      <c r="A579" s="3"/>
      <c r="B579" s="3"/>
      <c r="C579" s="6"/>
      <c r="D579" s="6"/>
      <c r="E579" s="15"/>
      <c r="F579" s="6"/>
      <c r="G579" s="6"/>
      <c r="H579" s="3"/>
      <c r="I579" s="6"/>
      <c r="J579" s="3"/>
      <c r="K579" s="3"/>
      <c r="L579" s="3"/>
      <c r="M579" s="3"/>
      <c r="N579" s="3"/>
      <c r="O579" s="3"/>
      <c r="P579" s="3"/>
      <c r="Q579" s="3"/>
      <c r="R579" s="3"/>
    </row>
    <row r="580" spans="1:18" x14ac:dyDescent="0.75">
      <c r="A580" s="3"/>
      <c r="B580" s="3"/>
      <c r="C580" s="6"/>
      <c r="D580" s="6"/>
      <c r="E580" s="15"/>
      <c r="F580" s="6"/>
      <c r="G580" s="6"/>
      <c r="H580" s="3"/>
      <c r="I580" s="6"/>
      <c r="J580" s="3"/>
      <c r="K580" s="3"/>
      <c r="L580" s="3"/>
      <c r="M580" s="3"/>
      <c r="N580" s="3"/>
      <c r="O580" s="3"/>
      <c r="P580" s="3"/>
      <c r="Q580" s="3"/>
      <c r="R580" s="3"/>
    </row>
    <row r="581" spans="1:18" x14ac:dyDescent="0.75">
      <c r="A581" s="3"/>
      <c r="B581" s="3"/>
      <c r="C581" s="6"/>
      <c r="D581" s="6"/>
      <c r="E581" s="15"/>
      <c r="F581" s="6"/>
      <c r="G581" s="6"/>
      <c r="H581" s="3"/>
      <c r="I581" s="6"/>
      <c r="J581" s="3"/>
      <c r="K581" s="3"/>
      <c r="L581" s="3"/>
      <c r="M581" s="3"/>
      <c r="N581" s="3"/>
      <c r="O581" s="3"/>
      <c r="P581" s="3"/>
      <c r="Q581" s="3"/>
      <c r="R581" s="3"/>
    </row>
    <row r="582" spans="1:18" x14ac:dyDescent="0.75">
      <c r="A582" s="3"/>
      <c r="B582" s="3"/>
      <c r="C582" s="6"/>
      <c r="D582" s="6"/>
      <c r="E582" s="15"/>
      <c r="F582" s="6"/>
      <c r="G582" s="6"/>
      <c r="H582" s="3"/>
      <c r="I582" s="6"/>
      <c r="J582" s="3"/>
      <c r="K582" s="3"/>
      <c r="L582" s="3"/>
      <c r="M582" s="3"/>
      <c r="N582" s="3"/>
      <c r="O582" s="3"/>
      <c r="P582" s="3"/>
      <c r="Q582" s="3"/>
      <c r="R582" s="3"/>
    </row>
    <row r="583" spans="1:18" x14ac:dyDescent="0.75">
      <c r="A583" s="3"/>
      <c r="B583" s="3"/>
      <c r="C583" s="6"/>
      <c r="D583" s="6"/>
      <c r="E583" s="15"/>
      <c r="F583" s="6"/>
      <c r="G583" s="6"/>
      <c r="H583" s="3"/>
      <c r="I583" s="6"/>
      <c r="J583" s="3"/>
      <c r="K583" s="3"/>
      <c r="L583" s="3"/>
      <c r="M583" s="3"/>
      <c r="N583" s="3"/>
      <c r="O583" s="3"/>
      <c r="P583" s="3"/>
      <c r="Q583" s="3"/>
      <c r="R583" s="3"/>
    </row>
    <row r="584" spans="1:18" x14ac:dyDescent="0.75">
      <c r="A584" s="3"/>
      <c r="B584" s="3"/>
      <c r="C584" s="6"/>
      <c r="D584" s="6"/>
      <c r="E584" s="15"/>
      <c r="F584" s="6"/>
      <c r="G584" s="6"/>
      <c r="H584" s="3"/>
      <c r="I584" s="6"/>
      <c r="J584" s="3"/>
      <c r="K584" s="3"/>
      <c r="L584" s="3"/>
      <c r="M584" s="3"/>
      <c r="N584" s="3"/>
      <c r="O584" s="3"/>
      <c r="P584" s="3"/>
      <c r="Q584" s="3"/>
      <c r="R584" s="3"/>
    </row>
    <row r="585" spans="1:18" x14ac:dyDescent="0.75">
      <c r="A585" s="3"/>
      <c r="B585" s="3"/>
      <c r="C585" s="6"/>
      <c r="D585" s="6"/>
      <c r="E585" s="15"/>
      <c r="F585" s="6"/>
      <c r="G585" s="6"/>
      <c r="H585" s="3"/>
      <c r="I585" s="6"/>
      <c r="J585" s="3"/>
      <c r="K585" s="3"/>
      <c r="L585" s="3"/>
      <c r="M585" s="3"/>
      <c r="N585" s="3"/>
      <c r="O585" s="3"/>
      <c r="P585" s="3"/>
      <c r="Q585" s="3"/>
      <c r="R585" s="3"/>
    </row>
    <row r="586" spans="1:18" x14ac:dyDescent="0.75">
      <c r="A586" s="3"/>
      <c r="B586" s="3"/>
      <c r="C586" s="6"/>
      <c r="D586" s="6"/>
      <c r="E586" s="15"/>
      <c r="F586" s="6"/>
      <c r="G586" s="6"/>
      <c r="H586" s="3"/>
      <c r="I586" s="6"/>
      <c r="J586" s="3"/>
      <c r="K586" s="3"/>
      <c r="L586" s="3"/>
      <c r="M586" s="3"/>
      <c r="N586" s="3"/>
      <c r="O586" s="3"/>
      <c r="P586" s="3"/>
      <c r="Q586" s="3"/>
      <c r="R586" s="3"/>
    </row>
    <row r="587" spans="1:18" x14ac:dyDescent="0.75">
      <c r="A587" s="3"/>
      <c r="B587" s="3"/>
      <c r="C587" s="6"/>
      <c r="D587" s="6"/>
      <c r="E587" s="15"/>
      <c r="F587" s="6"/>
      <c r="G587" s="6"/>
      <c r="H587" s="3"/>
      <c r="I587" s="6"/>
      <c r="J587" s="3"/>
      <c r="K587" s="3"/>
      <c r="L587" s="3"/>
      <c r="M587" s="3"/>
      <c r="N587" s="3"/>
      <c r="O587" s="3"/>
      <c r="P587" s="3"/>
      <c r="Q587" s="3"/>
      <c r="R587" s="3"/>
    </row>
    <row r="588" spans="1:18" x14ac:dyDescent="0.75">
      <c r="A588" s="3"/>
      <c r="B588" s="3"/>
      <c r="C588" s="6"/>
      <c r="D588" s="6"/>
      <c r="E588" s="15"/>
      <c r="F588" s="6"/>
      <c r="G588" s="6"/>
      <c r="H588" s="3"/>
      <c r="I588" s="6"/>
      <c r="J588" s="3"/>
      <c r="K588" s="3"/>
      <c r="L588" s="3"/>
      <c r="M588" s="3"/>
      <c r="N588" s="3"/>
      <c r="O588" s="3"/>
      <c r="P588" s="3"/>
      <c r="Q588" s="3"/>
      <c r="R588" s="3"/>
    </row>
    <row r="589" spans="1:18" x14ac:dyDescent="0.75">
      <c r="A589" s="3"/>
      <c r="B589" s="3"/>
      <c r="C589" s="6"/>
      <c r="D589" s="6"/>
      <c r="E589" s="15"/>
      <c r="F589" s="6"/>
      <c r="G589" s="6"/>
      <c r="H589" s="3"/>
      <c r="I589" s="6"/>
      <c r="J589" s="3"/>
      <c r="K589" s="3"/>
      <c r="L589" s="3"/>
      <c r="M589" s="3"/>
      <c r="N589" s="3"/>
      <c r="O589" s="3"/>
      <c r="P589" s="3"/>
      <c r="Q589" s="3"/>
      <c r="R589" s="3"/>
    </row>
    <row r="590" spans="1:18" x14ac:dyDescent="0.75">
      <c r="A590" s="3"/>
      <c r="B590" s="3"/>
      <c r="C590" s="6"/>
      <c r="D590" s="6"/>
      <c r="E590" s="15"/>
      <c r="F590" s="6"/>
      <c r="G590" s="6"/>
      <c r="H590" s="3"/>
      <c r="I590" s="6"/>
      <c r="J590" s="3"/>
      <c r="K590" s="3"/>
      <c r="L590" s="3"/>
      <c r="M590" s="3"/>
      <c r="N590" s="3"/>
      <c r="O590" s="3"/>
      <c r="P590" s="3"/>
      <c r="Q590" s="3"/>
      <c r="R590" s="3"/>
    </row>
    <row r="591" spans="1:18" x14ac:dyDescent="0.75">
      <c r="A591" s="3"/>
      <c r="B591" s="3"/>
      <c r="C591" s="6"/>
      <c r="D591" s="6"/>
      <c r="E591" s="15"/>
      <c r="F591" s="6"/>
      <c r="G591" s="6"/>
      <c r="H591" s="3"/>
      <c r="I591" s="6"/>
      <c r="J591" s="3"/>
      <c r="K591" s="3"/>
      <c r="L591" s="3"/>
      <c r="M591" s="3"/>
      <c r="N591" s="3"/>
      <c r="O591" s="3"/>
      <c r="P591" s="3"/>
      <c r="Q591" s="3"/>
      <c r="R591" s="3"/>
    </row>
    <row r="592" spans="1:18" x14ac:dyDescent="0.75">
      <c r="A592" s="3"/>
      <c r="B592" s="3"/>
      <c r="C592" s="6"/>
      <c r="D592" s="6"/>
      <c r="E592" s="15"/>
      <c r="F592" s="6"/>
      <c r="G592" s="6"/>
      <c r="H592" s="3"/>
      <c r="I592" s="6"/>
      <c r="J592" s="3"/>
      <c r="K592" s="3"/>
      <c r="L592" s="3"/>
      <c r="M592" s="3"/>
      <c r="N592" s="3"/>
      <c r="O592" s="3"/>
      <c r="P592" s="3"/>
      <c r="Q592" s="3"/>
      <c r="R592" s="3"/>
    </row>
    <row r="593" spans="1:18" x14ac:dyDescent="0.75">
      <c r="A593" s="3"/>
      <c r="B593" s="3"/>
      <c r="C593" s="6"/>
      <c r="D593" s="6"/>
      <c r="E593" s="15"/>
      <c r="F593" s="6"/>
      <c r="G593" s="6"/>
      <c r="H593" s="3"/>
      <c r="I593" s="6"/>
      <c r="J593" s="3"/>
      <c r="K593" s="3"/>
      <c r="L593" s="3"/>
      <c r="M593" s="3"/>
      <c r="N593" s="3"/>
      <c r="O593" s="3"/>
      <c r="P593" s="3"/>
      <c r="Q593" s="3"/>
      <c r="R593" s="3"/>
    </row>
    <row r="594" spans="1:18" x14ac:dyDescent="0.75">
      <c r="A594" s="3"/>
      <c r="B594" s="3"/>
      <c r="C594" s="6"/>
      <c r="D594" s="6"/>
      <c r="E594" s="15"/>
      <c r="F594" s="6"/>
      <c r="G594" s="6"/>
      <c r="H594" s="3"/>
      <c r="I594" s="6"/>
      <c r="J594" s="3"/>
      <c r="K594" s="3"/>
      <c r="L594" s="3"/>
      <c r="M594" s="3"/>
      <c r="N594" s="3"/>
      <c r="O594" s="3"/>
      <c r="P594" s="3"/>
      <c r="Q594" s="3"/>
      <c r="R594" s="3"/>
    </row>
    <row r="595" spans="1:18" x14ac:dyDescent="0.75">
      <c r="A595" s="3"/>
      <c r="B595" s="3"/>
      <c r="C595" s="6"/>
      <c r="D595" s="6"/>
      <c r="E595" s="15"/>
      <c r="F595" s="6"/>
      <c r="G595" s="6"/>
      <c r="H595" s="3"/>
      <c r="I595" s="6"/>
      <c r="J595" s="3"/>
      <c r="K595" s="3"/>
      <c r="L595" s="3"/>
      <c r="M595" s="3"/>
      <c r="N595" s="3"/>
      <c r="O595" s="3"/>
      <c r="P595" s="3"/>
      <c r="Q595" s="3"/>
      <c r="R595" s="3"/>
    </row>
    <row r="596" spans="1:18" x14ac:dyDescent="0.75">
      <c r="A596" s="3"/>
      <c r="B596" s="3"/>
      <c r="C596" s="6"/>
      <c r="D596" s="6"/>
      <c r="E596" s="15"/>
      <c r="F596" s="6"/>
      <c r="G596" s="6"/>
      <c r="H596" s="3"/>
      <c r="I596" s="6"/>
      <c r="J596" s="3"/>
      <c r="K596" s="3"/>
      <c r="L596" s="3"/>
      <c r="M596" s="3"/>
      <c r="N596" s="3"/>
      <c r="O596" s="3"/>
      <c r="P596" s="3"/>
      <c r="Q596" s="3"/>
      <c r="R596" s="3"/>
    </row>
    <row r="597" spans="1:18" x14ac:dyDescent="0.75">
      <c r="A597" s="3"/>
      <c r="B597" s="3"/>
      <c r="C597" s="6"/>
      <c r="D597" s="6"/>
      <c r="E597" s="15"/>
      <c r="F597" s="6"/>
      <c r="G597" s="6"/>
      <c r="H597" s="3"/>
      <c r="I597" s="6"/>
      <c r="J597" s="3"/>
      <c r="K597" s="3"/>
      <c r="L597" s="3"/>
      <c r="M597" s="3"/>
      <c r="N597" s="3"/>
      <c r="O597" s="3"/>
      <c r="P597" s="3"/>
      <c r="Q597" s="3"/>
      <c r="R597" s="3"/>
    </row>
    <row r="598" spans="1:18" x14ac:dyDescent="0.75">
      <c r="A598" s="3"/>
      <c r="B598" s="3"/>
      <c r="C598" s="6"/>
      <c r="D598" s="6"/>
      <c r="E598" s="15"/>
      <c r="F598" s="6"/>
      <c r="G598" s="6"/>
      <c r="H598" s="3"/>
      <c r="I598" s="6"/>
      <c r="J598" s="3"/>
      <c r="K598" s="3"/>
      <c r="L598" s="3"/>
      <c r="M598" s="3"/>
      <c r="N598" s="3"/>
      <c r="O598" s="3"/>
      <c r="P598" s="3"/>
      <c r="Q598" s="3"/>
      <c r="R598" s="3"/>
    </row>
    <row r="599" spans="1:18" x14ac:dyDescent="0.75">
      <c r="A599" s="3"/>
      <c r="B599" s="3"/>
      <c r="C599" s="6"/>
      <c r="D599" s="6"/>
      <c r="E599" s="15"/>
      <c r="F599" s="6"/>
      <c r="G599" s="6"/>
      <c r="H599" s="3"/>
      <c r="I599" s="6"/>
      <c r="J599" s="3"/>
      <c r="K599" s="3"/>
      <c r="L599" s="3"/>
      <c r="M599" s="3"/>
      <c r="N599" s="3"/>
      <c r="O599" s="3"/>
      <c r="P599" s="3"/>
      <c r="Q599" s="3"/>
      <c r="R599" s="3"/>
    </row>
    <row r="600" spans="1:18" x14ac:dyDescent="0.75">
      <c r="A600" s="3"/>
      <c r="B600" s="3"/>
      <c r="C600" s="6"/>
      <c r="D600" s="6"/>
      <c r="E600" s="15"/>
      <c r="F600" s="6"/>
      <c r="G600" s="6"/>
      <c r="H600" s="3"/>
      <c r="I600" s="6"/>
      <c r="J600" s="3"/>
      <c r="K600" s="3"/>
      <c r="L600" s="3"/>
      <c r="M600" s="3"/>
      <c r="N600" s="3"/>
      <c r="O600" s="3"/>
      <c r="P600" s="3"/>
      <c r="Q600" s="3"/>
      <c r="R600" s="3"/>
    </row>
    <row r="601" spans="1:18" x14ac:dyDescent="0.75">
      <c r="A601" s="3"/>
      <c r="B601" s="3"/>
      <c r="C601" s="6"/>
      <c r="D601" s="6"/>
      <c r="E601" s="15"/>
      <c r="F601" s="6"/>
      <c r="G601" s="6"/>
      <c r="H601" s="3"/>
      <c r="I601" s="6"/>
      <c r="J601" s="3"/>
      <c r="K601" s="3"/>
      <c r="L601" s="3"/>
      <c r="M601" s="3"/>
      <c r="N601" s="3"/>
      <c r="O601" s="3"/>
      <c r="P601" s="3"/>
      <c r="Q601" s="3"/>
      <c r="R601" s="3"/>
    </row>
    <row r="602" spans="1:18" x14ac:dyDescent="0.75">
      <c r="A602" s="3"/>
      <c r="B602" s="3"/>
      <c r="C602" s="6"/>
      <c r="D602" s="6"/>
      <c r="E602" s="15"/>
      <c r="F602" s="6"/>
      <c r="G602" s="6"/>
      <c r="H602" s="3"/>
      <c r="I602" s="6"/>
      <c r="J602" s="3"/>
      <c r="K602" s="3"/>
      <c r="L602" s="3"/>
      <c r="M602" s="3"/>
      <c r="N602" s="3"/>
      <c r="O602" s="3"/>
      <c r="P602" s="3"/>
      <c r="Q602" s="3"/>
      <c r="R602" s="3"/>
    </row>
    <row r="603" spans="1:18" x14ac:dyDescent="0.75">
      <c r="A603" s="3"/>
      <c r="B603" s="3"/>
      <c r="C603" s="6"/>
      <c r="D603" s="6"/>
      <c r="E603" s="15"/>
      <c r="F603" s="6"/>
      <c r="G603" s="6"/>
      <c r="H603" s="3"/>
      <c r="I603" s="6"/>
      <c r="J603" s="3"/>
      <c r="K603" s="3"/>
      <c r="L603" s="3"/>
      <c r="M603" s="3"/>
      <c r="N603" s="3"/>
      <c r="O603" s="3"/>
      <c r="P603" s="3"/>
      <c r="Q603" s="3"/>
      <c r="R603" s="3"/>
    </row>
    <row r="604" spans="1:18" x14ac:dyDescent="0.75">
      <c r="A604" s="3"/>
      <c r="B604" s="3"/>
      <c r="C604" s="6"/>
      <c r="D604" s="6"/>
      <c r="E604" s="15"/>
      <c r="F604" s="6"/>
      <c r="G604" s="6"/>
      <c r="H604" s="3"/>
      <c r="I604" s="6"/>
      <c r="J604" s="3"/>
      <c r="K604" s="3"/>
      <c r="L604" s="3"/>
      <c r="M604" s="3"/>
      <c r="N604" s="3"/>
      <c r="O604" s="3"/>
      <c r="P604" s="3"/>
      <c r="Q604" s="3"/>
      <c r="R604" s="3"/>
    </row>
    <row r="605" spans="1:18" x14ac:dyDescent="0.75">
      <c r="A605" s="3"/>
      <c r="B605" s="3"/>
      <c r="C605" s="6"/>
      <c r="D605" s="6"/>
      <c r="E605" s="15"/>
      <c r="F605" s="6"/>
      <c r="G605" s="6"/>
      <c r="H605" s="3"/>
      <c r="I605" s="6"/>
      <c r="J605" s="3"/>
      <c r="K605" s="3"/>
      <c r="L605" s="3"/>
      <c r="M605" s="3"/>
      <c r="N605" s="3"/>
      <c r="O605" s="3"/>
      <c r="P605" s="3"/>
      <c r="Q605" s="3"/>
      <c r="R605" s="3"/>
    </row>
    <row r="606" spans="1:18" x14ac:dyDescent="0.75">
      <c r="A606" s="3"/>
      <c r="B606" s="3"/>
      <c r="C606" s="6"/>
      <c r="D606" s="6"/>
      <c r="E606" s="15"/>
      <c r="F606" s="6"/>
      <c r="G606" s="6"/>
      <c r="H606" s="3"/>
      <c r="I606" s="6"/>
      <c r="J606" s="3"/>
      <c r="K606" s="3"/>
      <c r="L606" s="3"/>
      <c r="M606" s="3"/>
      <c r="N606" s="3"/>
      <c r="O606" s="3"/>
      <c r="P606" s="3"/>
      <c r="Q606" s="3"/>
      <c r="R606" s="3"/>
    </row>
    <row r="607" spans="1:18" x14ac:dyDescent="0.75">
      <c r="A607" s="3"/>
      <c r="B607" s="3"/>
      <c r="C607" s="6"/>
      <c r="D607" s="6"/>
      <c r="E607" s="15"/>
      <c r="F607" s="6"/>
      <c r="G607" s="6"/>
      <c r="H607" s="3"/>
      <c r="I607" s="6"/>
      <c r="J607" s="3"/>
      <c r="K607" s="3"/>
      <c r="L607" s="3"/>
      <c r="M607" s="3"/>
      <c r="N607" s="3"/>
      <c r="O607" s="3"/>
      <c r="P607" s="3"/>
      <c r="Q607" s="3"/>
      <c r="R607" s="3"/>
    </row>
    <row r="608" spans="1:18" x14ac:dyDescent="0.75">
      <c r="A608" s="3"/>
      <c r="B608" s="3"/>
      <c r="C608" s="6"/>
      <c r="D608" s="6"/>
      <c r="E608" s="15"/>
      <c r="F608" s="6"/>
      <c r="G608" s="6"/>
      <c r="H608" s="3"/>
      <c r="I608" s="6"/>
      <c r="J608" s="3"/>
      <c r="K608" s="3"/>
      <c r="L608" s="3"/>
      <c r="M608" s="3"/>
      <c r="N608" s="3"/>
      <c r="O608" s="3"/>
      <c r="P608" s="3"/>
      <c r="Q608" s="3"/>
      <c r="R608" s="3"/>
    </row>
    <row r="609" spans="1:18" x14ac:dyDescent="0.75">
      <c r="A609" s="3"/>
      <c r="B609" s="3"/>
      <c r="C609" s="6"/>
      <c r="D609" s="6"/>
      <c r="E609" s="15"/>
      <c r="F609" s="6"/>
      <c r="G609" s="6"/>
      <c r="H609" s="3"/>
      <c r="I609" s="6"/>
      <c r="J609" s="3"/>
      <c r="K609" s="3"/>
      <c r="L609" s="3"/>
      <c r="M609" s="3"/>
      <c r="N609" s="3"/>
      <c r="O609" s="3"/>
      <c r="P609" s="3"/>
      <c r="Q609" s="3"/>
      <c r="R609" s="3"/>
    </row>
    <row r="610" spans="1:18" x14ac:dyDescent="0.75">
      <c r="A610" s="3"/>
      <c r="B610" s="3"/>
      <c r="C610" s="6"/>
      <c r="D610" s="6"/>
      <c r="E610" s="15"/>
      <c r="F610" s="6"/>
      <c r="G610" s="6"/>
      <c r="H610" s="3"/>
      <c r="I610" s="6"/>
      <c r="J610" s="3"/>
      <c r="K610" s="3"/>
      <c r="L610" s="3"/>
      <c r="M610" s="3"/>
      <c r="N610" s="3"/>
      <c r="O610" s="3"/>
      <c r="P610" s="3"/>
      <c r="Q610" s="3"/>
      <c r="R610" s="3"/>
    </row>
    <row r="611" spans="1:18" x14ac:dyDescent="0.75">
      <c r="A611" s="3"/>
      <c r="B611" s="3"/>
      <c r="C611" s="6"/>
      <c r="D611" s="6"/>
      <c r="E611" s="15"/>
      <c r="F611" s="6"/>
      <c r="G611" s="6"/>
      <c r="H611" s="3"/>
      <c r="I611" s="6"/>
      <c r="J611" s="3"/>
      <c r="K611" s="3"/>
      <c r="L611" s="3"/>
      <c r="M611" s="3"/>
      <c r="N611" s="3"/>
      <c r="O611" s="3"/>
      <c r="P611" s="3"/>
      <c r="Q611" s="3"/>
      <c r="R611" s="3"/>
    </row>
    <row r="612" spans="1:18" x14ac:dyDescent="0.75">
      <c r="A612" s="3"/>
      <c r="B612" s="3"/>
      <c r="C612" s="6"/>
      <c r="D612" s="6"/>
      <c r="E612" s="15"/>
      <c r="F612" s="6"/>
      <c r="G612" s="6"/>
      <c r="H612" s="3"/>
      <c r="I612" s="6"/>
      <c r="J612" s="3"/>
      <c r="K612" s="3"/>
      <c r="L612" s="3"/>
      <c r="M612" s="3"/>
      <c r="N612" s="3"/>
      <c r="O612" s="3"/>
      <c r="P612" s="3"/>
      <c r="Q612" s="3"/>
      <c r="R612" s="3"/>
    </row>
    <row r="613" spans="1:18" x14ac:dyDescent="0.75">
      <c r="A613" s="3"/>
      <c r="B613" s="3"/>
      <c r="C613" s="6"/>
      <c r="D613" s="6"/>
      <c r="E613" s="15"/>
      <c r="F613" s="6"/>
      <c r="G613" s="6"/>
      <c r="H613" s="3"/>
      <c r="I613" s="6"/>
      <c r="J613" s="3"/>
      <c r="K613" s="3"/>
      <c r="L613" s="3"/>
      <c r="M613" s="3"/>
      <c r="N613" s="3"/>
      <c r="O613" s="3"/>
      <c r="P613" s="3"/>
      <c r="Q613" s="3"/>
      <c r="R613" s="3"/>
    </row>
    <row r="614" spans="1:18" x14ac:dyDescent="0.75">
      <c r="A614" s="3"/>
      <c r="B614" s="3"/>
      <c r="C614" s="6"/>
      <c r="D614" s="6"/>
      <c r="E614" s="15"/>
      <c r="F614" s="6"/>
      <c r="G614" s="6"/>
      <c r="H614" s="3"/>
      <c r="I614" s="6"/>
      <c r="J614" s="3"/>
      <c r="K614" s="3"/>
      <c r="L614" s="3"/>
      <c r="M614" s="3"/>
      <c r="N614" s="3"/>
      <c r="O614" s="3"/>
      <c r="P614" s="3"/>
      <c r="Q614" s="3"/>
      <c r="R614" s="3"/>
    </row>
    <row r="615" spans="1:18" x14ac:dyDescent="0.75">
      <c r="A615" s="3"/>
      <c r="B615" s="3"/>
      <c r="C615" s="6"/>
      <c r="D615" s="6"/>
      <c r="E615" s="15"/>
      <c r="F615" s="6"/>
      <c r="G615" s="6"/>
      <c r="H615" s="3"/>
      <c r="I615" s="6"/>
      <c r="J615" s="3"/>
      <c r="K615" s="3"/>
      <c r="L615" s="3"/>
      <c r="M615" s="3"/>
      <c r="N615" s="3"/>
      <c r="O615" s="3"/>
      <c r="P615" s="3"/>
      <c r="Q615" s="3"/>
      <c r="R615" s="3"/>
    </row>
    <row r="616" spans="1:18" x14ac:dyDescent="0.75">
      <c r="A616" s="3"/>
      <c r="B616" s="3"/>
      <c r="C616" s="6"/>
      <c r="D616" s="6"/>
      <c r="E616" s="15"/>
      <c r="F616" s="6"/>
      <c r="G616" s="6"/>
      <c r="H616" s="3"/>
      <c r="I616" s="6"/>
      <c r="J616" s="3"/>
      <c r="K616" s="3"/>
      <c r="L616" s="3"/>
      <c r="M616" s="3"/>
      <c r="N616" s="3"/>
      <c r="O616" s="3"/>
      <c r="P616" s="3"/>
      <c r="Q616" s="3"/>
      <c r="R616" s="3"/>
    </row>
    <row r="617" spans="1:18" x14ac:dyDescent="0.75">
      <c r="A617" s="3"/>
      <c r="B617" s="3"/>
      <c r="C617" s="6"/>
      <c r="D617" s="6"/>
      <c r="E617" s="15"/>
      <c r="F617" s="6"/>
      <c r="G617" s="6"/>
      <c r="H617" s="3"/>
      <c r="I617" s="6"/>
      <c r="J617" s="3"/>
      <c r="K617" s="3"/>
      <c r="L617" s="3"/>
      <c r="M617" s="3"/>
      <c r="N617" s="3"/>
      <c r="O617" s="3"/>
      <c r="P617" s="3"/>
      <c r="Q617" s="3"/>
      <c r="R617" s="3"/>
    </row>
    <row r="618" spans="1:18" x14ac:dyDescent="0.75">
      <c r="A618" s="3"/>
      <c r="B618" s="3"/>
      <c r="C618" s="6"/>
      <c r="D618" s="6"/>
      <c r="E618" s="15"/>
      <c r="F618" s="6"/>
      <c r="G618" s="6"/>
      <c r="H618" s="3"/>
      <c r="I618" s="6"/>
      <c r="J618" s="3"/>
      <c r="K618" s="3"/>
      <c r="L618" s="3"/>
      <c r="M618" s="3"/>
      <c r="N618" s="3"/>
      <c r="O618" s="3"/>
      <c r="P618" s="3"/>
      <c r="Q618" s="3"/>
      <c r="R618" s="3"/>
    </row>
    <row r="619" spans="1:18" x14ac:dyDescent="0.75">
      <c r="A619" s="3"/>
      <c r="B619" s="3"/>
      <c r="C619" s="6"/>
      <c r="D619" s="6"/>
      <c r="E619" s="15"/>
      <c r="F619" s="6"/>
      <c r="G619" s="6"/>
      <c r="H619" s="3"/>
      <c r="I619" s="6"/>
      <c r="J619" s="3"/>
      <c r="K619" s="3"/>
      <c r="L619" s="3"/>
      <c r="M619" s="3"/>
      <c r="N619" s="3"/>
      <c r="O619" s="3"/>
      <c r="P619" s="3"/>
      <c r="Q619" s="3"/>
      <c r="R619" s="3"/>
    </row>
    <row r="620" spans="1:18" x14ac:dyDescent="0.75">
      <c r="A620" s="3"/>
      <c r="B620" s="3"/>
      <c r="C620" s="6"/>
      <c r="D620" s="6"/>
      <c r="E620" s="15"/>
      <c r="F620" s="6"/>
      <c r="G620" s="6"/>
      <c r="H620" s="3"/>
      <c r="I620" s="6"/>
      <c r="J620" s="3"/>
      <c r="K620" s="3"/>
      <c r="L620" s="3"/>
      <c r="M620" s="3"/>
      <c r="N620" s="3"/>
      <c r="O620" s="3"/>
      <c r="P620" s="3"/>
      <c r="Q620" s="3"/>
      <c r="R620" s="3"/>
    </row>
    <row r="621" spans="1:18" x14ac:dyDescent="0.75">
      <c r="A621" s="3"/>
      <c r="B621" s="3"/>
      <c r="C621" s="6"/>
      <c r="D621" s="6"/>
      <c r="E621" s="15"/>
      <c r="F621" s="6"/>
      <c r="G621" s="6"/>
      <c r="H621" s="3"/>
      <c r="I621" s="6"/>
      <c r="J621" s="3"/>
      <c r="K621" s="3"/>
      <c r="L621" s="3"/>
      <c r="M621" s="3"/>
      <c r="N621" s="3"/>
      <c r="O621" s="3"/>
      <c r="P621" s="3"/>
      <c r="Q621" s="3"/>
      <c r="R621" s="3"/>
    </row>
    <row r="622" spans="1:18" x14ac:dyDescent="0.75">
      <c r="A622" s="3"/>
      <c r="B622" s="3"/>
      <c r="C622" s="6"/>
      <c r="D622" s="6"/>
      <c r="E622" s="15"/>
      <c r="F622" s="6"/>
      <c r="G622" s="6"/>
      <c r="H622" s="3"/>
      <c r="I622" s="6"/>
      <c r="J622" s="3"/>
      <c r="K622" s="3"/>
      <c r="L622" s="3"/>
      <c r="M622" s="3"/>
      <c r="N622" s="3"/>
      <c r="O622" s="3"/>
      <c r="P622" s="3"/>
      <c r="Q622" s="3"/>
      <c r="R622" s="3"/>
    </row>
    <row r="623" spans="1:18" x14ac:dyDescent="0.75">
      <c r="A623" s="3"/>
      <c r="B623" s="3"/>
      <c r="C623" s="6"/>
      <c r="D623" s="6"/>
      <c r="E623" s="15"/>
      <c r="F623" s="6"/>
      <c r="G623" s="6"/>
      <c r="H623" s="3"/>
      <c r="I623" s="6"/>
      <c r="J623" s="3"/>
      <c r="K623" s="3"/>
      <c r="L623" s="3"/>
      <c r="M623" s="3"/>
      <c r="N623" s="3"/>
      <c r="O623" s="3"/>
      <c r="P623" s="3"/>
      <c r="Q623" s="3"/>
      <c r="R623" s="3"/>
    </row>
    <row r="624" spans="1:18" x14ac:dyDescent="0.75">
      <c r="A624" s="3"/>
      <c r="B624" s="3"/>
      <c r="C624" s="6"/>
      <c r="D624" s="6"/>
      <c r="E624" s="15"/>
      <c r="F624" s="6"/>
      <c r="G624" s="6"/>
      <c r="H624" s="3"/>
      <c r="I624" s="6"/>
      <c r="J624" s="3"/>
      <c r="K624" s="3"/>
      <c r="L624" s="3"/>
      <c r="M624" s="3"/>
      <c r="N624" s="3"/>
      <c r="O624" s="3"/>
      <c r="P624" s="3"/>
      <c r="Q624" s="3"/>
      <c r="R624" s="3"/>
    </row>
    <row r="625" spans="1:18" x14ac:dyDescent="0.75">
      <c r="A625" s="3"/>
      <c r="B625" s="3"/>
      <c r="C625" s="6"/>
      <c r="D625" s="6"/>
      <c r="E625" s="15"/>
      <c r="F625" s="6"/>
      <c r="G625" s="6"/>
      <c r="H625" s="3"/>
      <c r="I625" s="6"/>
      <c r="J625" s="3"/>
      <c r="K625" s="3"/>
      <c r="L625" s="3"/>
      <c r="M625" s="3"/>
      <c r="N625" s="3"/>
      <c r="O625" s="3"/>
      <c r="P625" s="3"/>
      <c r="Q625" s="3"/>
      <c r="R625" s="3"/>
    </row>
    <row r="626" spans="1:18" x14ac:dyDescent="0.75">
      <c r="A626" s="3"/>
      <c r="B626" s="3"/>
      <c r="C626" s="6"/>
      <c r="D626" s="6"/>
      <c r="E626" s="15"/>
      <c r="F626" s="6"/>
      <c r="G626" s="6"/>
      <c r="H626" s="3"/>
      <c r="I626" s="6"/>
      <c r="J626" s="3"/>
      <c r="K626" s="3"/>
      <c r="L626" s="3"/>
      <c r="M626" s="3"/>
      <c r="N626" s="3"/>
      <c r="O626" s="3"/>
      <c r="P626" s="3"/>
      <c r="Q626" s="3"/>
      <c r="R626" s="3"/>
    </row>
    <row r="627" spans="1:18" x14ac:dyDescent="0.75">
      <c r="A627" s="3"/>
      <c r="B627" s="3"/>
      <c r="C627" s="6"/>
      <c r="D627" s="6"/>
      <c r="E627" s="15"/>
      <c r="F627" s="6"/>
      <c r="G627" s="6"/>
      <c r="H627" s="3"/>
      <c r="I627" s="6"/>
      <c r="J627" s="3"/>
      <c r="K627" s="3"/>
      <c r="L627" s="3"/>
      <c r="M627" s="3"/>
      <c r="N627" s="3"/>
      <c r="O627" s="3"/>
      <c r="P627" s="3"/>
      <c r="Q627" s="3"/>
      <c r="R627" s="3"/>
    </row>
    <row r="628" spans="1:18" x14ac:dyDescent="0.75">
      <c r="A628" s="3"/>
      <c r="B628" s="3"/>
      <c r="C628" s="6"/>
      <c r="D628" s="6"/>
      <c r="E628" s="15"/>
      <c r="F628" s="6"/>
      <c r="G628" s="6"/>
      <c r="H628" s="3"/>
      <c r="I628" s="6"/>
      <c r="J628" s="3"/>
      <c r="K628" s="3"/>
      <c r="L628" s="3"/>
      <c r="M628" s="3"/>
      <c r="N628" s="3"/>
      <c r="O628" s="3"/>
      <c r="P628" s="3"/>
      <c r="Q628" s="3"/>
      <c r="R628" s="3"/>
    </row>
    <row r="629" spans="1:18" x14ac:dyDescent="0.75">
      <c r="A629" s="3"/>
      <c r="B629" s="3"/>
      <c r="C629" s="6"/>
      <c r="D629" s="6"/>
      <c r="E629" s="15"/>
      <c r="F629" s="6"/>
      <c r="G629" s="6"/>
      <c r="H629" s="3"/>
      <c r="I629" s="6"/>
      <c r="J629" s="3"/>
      <c r="K629" s="3"/>
      <c r="L629" s="3"/>
      <c r="M629" s="3"/>
      <c r="N629" s="3"/>
      <c r="O629" s="3"/>
      <c r="P629" s="3"/>
      <c r="Q629" s="3"/>
      <c r="R629" s="3"/>
    </row>
    <row r="630" spans="1:18" x14ac:dyDescent="0.75">
      <c r="A630" s="3"/>
      <c r="B630" s="3"/>
      <c r="C630" s="6"/>
      <c r="D630" s="6"/>
      <c r="E630" s="15"/>
      <c r="F630" s="6"/>
      <c r="G630" s="6"/>
      <c r="H630" s="3"/>
      <c r="I630" s="6"/>
      <c r="J630" s="3"/>
      <c r="K630" s="3"/>
      <c r="L630" s="3"/>
      <c r="M630" s="3"/>
      <c r="N630" s="3"/>
      <c r="O630" s="3"/>
      <c r="P630" s="3"/>
      <c r="Q630" s="3"/>
      <c r="R630" s="3"/>
    </row>
    <row r="631" spans="1:18" x14ac:dyDescent="0.75">
      <c r="A631" s="3"/>
      <c r="B631" s="3"/>
      <c r="C631" s="6"/>
      <c r="D631" s="6"/>
      <c r="E631" s="15"/>
      <c r="F631" s="6"/>
      <c r="G631" s="6"/>
      <c r="H631" s="3"/>
      <c r="I631" s="6"/>
      <c r="J631" s="3"/>
      <c r="K631" s="3"/>
      <c r="L631" s="3"/>
      <c r="M631" s="3"/>
      <c r="N631" s="3"/>
      <c r="O631" s="3"/>
      <c r="P631" s="3"/>
      <c r="Q631" s="3"/>
      <c r="R631" s="3"/>
    </row>
    <row r="632" spans="1:18" x14ac:dyDescent="0.75">
      <c r="A632" s="3"/>
      <c r="B632" s="3"/>
      <c r="C632" s="6"/>
      <c r="D632" s="6"/>
      <c r="E632" s="15"/>
      <c r="F632" s="6"/>
      <c r="G632" s="6"/>
      <c r="H632" s="3"/>
      <c r="I632" s="6"/>
      <c r="J632" s="3"/>
      <c r="K632" s="3"/>
      <c r="L632" s="3"/>
      <c r="M632" s="3"/>
      <c r="N632" s="3"/>
      <c r="O632" s="3"/>
      <c r="P632" s="3"/>
      <c r="Q632" s="3"/>
      <c r="R632" s="3"/>
    </row>
    <row r="633" spans="1:18" x14ac:dyDescent="0.75">
      <c r="A633" s="3"/>
      <c r="B633" s="3"/>
      <c r="C633" s="6"/>
      <c r="D633" s="6"/>
      <c r="E633" s="15"/>
      <c r="F633" s="6"/>
      <c r="G633" s="6"/>
      <c r="H633" s="3"/>
      <c r="I633" s="6"/>
      <c r="J633" s="3"/>
      <c r="K633" s="3"/>
      <c r="L633" s="3"/>
      <c r="M633" s="3"/>
      <c r="N633" s="3"/>
      <c r="O633" s="3"/>
      <c r="P633" s="3"/>
      <c r="Q633" s="3"/>
      <c r="R633" s="3"/>
    </row>
    <row r="634" spans="1:18" x14ac:dyDescent="0.75">
      <c r="A634" s="3"/>
      <c r="B634" s="3"/>
      <c r="C634" s="6"/>
      <c r="D634" s="6"/>
      <c r="E634" s="15"/>
      <c r="F634" s="6"/>
      <c r="G634" s="6"/>
      <c r="H634" s="3"/>
      <c r="I634" s="6"/>
      <c r="J634" s="3"/>
      <c r="K634" s="3"/>
      <c r="L634" s="3"/>
      <c r="M634" s="3"/>
      <c r="N634" s="3"/>
      <c r="O634" s="3"/>
      <c r="P634" s="3"/>
      <c r="Q634" s="3"/>
      <c r="R634" s="3"/>
    </row>
    <row r="635" spans="1:18" x14ac:dyDescent="0.75">
      <c r="A635" s="3"/>
      <c r="B635" s="3"/>
      <c r="C635" s="6"/>
      <c r="D635" s="6"/>
      <c r="E635" s="15"/>
      <c r="F635" s="6"/>
      <c r="G635" s="6"/>
      <c r="H635" s="3"/>
      <c r="I635" s="6"/>
      <c r="J635" s="3"/>
      <c r="K635" s="3"/>
      <c r="L635" s="3"/>
      <c r="M635" s="3"/>
      <c r="N635" s="3"/>
      <c r="O635" s="3"/>
      <c r="P635" s="3"/>
      <c r="Q635" s="3"/>
      <c r="R635" s="3"/>
    </row>
    <row r="636" spans="1:18" x14ac:dyDescent="0.75">
      <c r="A636" s="3"/>
      <c r="B636" s="3"/>
      <c r="C636" s="6"/>
      <c r="D636" s="6"/>
      <c r="E636" s="15"/>
      <c r="F636" s="6"/>
      <c r="G636" s="6"/>
      <c r="H636" s="3"/>
      <c r="I636" s="6"/>
      <c r="J636" s="3"/>
      <c r="K636" s="3"/>
      <c r="L636" s="3"/>
      <c r="M636" s="3"/>
      <c r="N636" s="3"/>
      <c r="O636" s="3"/>
      <c r="P636" s="3"/>
      <c r="Q636" s="3"/>
      <c r="R636" s="3"/>
    </row>
    <row r="637" spans="1:18" x14ac:dyDescent="0.75">
      <c r="A637" s="3"/>
      <c r="B637" s="3"/>
      <c r="C637" s="6"/>
      <c r="D637" s="6"/>
      <c r="E637" s="15"/>
      <c r="F637" s="6"/>
      <c r="G637" s="6"/>
      <c r="H637" s="3"/>
      <c r="I637" s="6"/>
      <c r="J637" s="3"/>
      <c r="K637" s="3"/>
      <c r="L637" s="3"/>
      <c r="M637" s="3"/>
      <c r="N637" s="3"/>
      <c r="O637" s="3"/>
      <c r="P637" s="3"/>
      <c r="Q637" s="3"/>
      <c r="R637" s="3"/>
    </row>
    <row r="638" spans="1:18" x14ac:dyDescent="0.75">
      <c r="A638" s="3"/>
      <c r="B638" s="3"/>
      <c r="C638" s="6"/>
      <c r="D638" s="6"/>
      <c r="E638" s="15"/>
      <c r="F638" s="6"/>
      <c r="G638" s="6"/>
      <c r="H638" s="3"/>
      <c r="I638" s="6"/>
      <c r="J638" s="3"/>
      <c r="K638" s="3"/>
      <c r="L638" s="3"/>
      <c r="M638" s="3"/>
      <c r="N638" s="3"/>
      <c r="O638" s="3"/>
      <c r="P638" s="3"/>
      <c r="Q638" s="3"/>
      <c r="R638" s="3"/>
    </row>
    <row r="639" spans="1:18" x14ac:dyDescent="0.75">
      <c r="A639" s="3"/>
      <c r="B639" s="3"/>
      <c r="C639" s="6"/>
      <c r="D639" s="6"/>
      <c r="E639" s="15"/>
      <c r="F639" s="6"/>
      <c r="G639" s="6"/>
      <c r="H639" s="3"/>
      <c r="I639" s="6"/>
      <c r="J639" s="3"/>
      <c r="K639" s="3"/>
      <c r="L639" s="3"/>
      <c r="M639" s="3"/>
      <c r="N639" s="3"/>
      <c r="O639" s="3"/>
      <c r="P639" s="3"/>
      <c r="Q639" s="3"/>
      <c r="R639" s="3"/>
    </row>
    <row r="640" spans="1:18" x14ac:dyDescent="0.75">
      <c r="A640" s="3"/>
      <c r="B640" s="3"/>
      <c r="C640" s="6"/>
      <c r="D640" s="6"/>
      <c r="E640" s="15"/>
      <c r="F640" s="6"/>
      <c r="G640" s="6"/>
      <c r="H640" s="3"/>
      <c r="I640" s="6"/>
      <c r="J640" s="3"/>
      <c r="K640" s="3"/>
      <c r="L640" s="3"/>
      <c r="M640" s="3"/>
      <c r="N640" s="3"/>
      <c r="O640" s="3"/>
      <c r="P640" s="3"/>
      <c r="Q640" s="3"/>
      <c r="R640" s="3"/>
    </row>
    <row r="641" spans="1:18" x14ac:dyDescent="0.75">
      <c r="A641" s="3"/>
      <c r="B641" s="3"/>
      <c r="C641" s="6"/>
      <c r="D641" s="6"/>
      <c r="E641" s="15"/>
      <c r="F641" s="6"/>
      <c r="G641" s="6"/>
      <c r="H641" s="3"/>
      <c r="I641" s="6"/>
      <c r="J641" s="3"/>
      <c r="K641" s="3"/>
      <c r="L641" s="3"/>
      <c r="M641" s="3"/>
      <c r="N641" s="3"/>
      <c r="O641" s="3"/>
      <c r="P641" s="3"/>
      <c r="Q641" s="3"/>
      <c r="R641" s="3"/>
    </row>
    <row r="642" spans="1:18" x14ac:dyDescent="0.75">
      <c r="A642" s="3"/>
      <c r="B642" s="3"/>
      <c r="C642" s="6"/>
      <c r="D642" s="6"/>
      <c r="E642" s="15"/>
      <c r="F642" s="6"/>
      <c r="G642" s="6"/>
      <c r="H642" s="3"/>
      <c r="I642" s="6"/>
      <c r="J642" s="3"/>
      <c r="K642" s="3"/>
      <c r="L642" s="3"/>
      <c r="M642" s="3"/>
      <c r="N642" s="3"/>
      <c r="O642" s="3"/>
      <c r="P642" s="3"/>
      <c r="Q642" s="3"/>
      <c r="R642" s="3"/>
    </row>
    <row r="643" spans="1:18" x14ac:dyDescent="0.75">
      <c r="A643" s="3"/>
      <c r="B643" s="3"/>
      <c r="C643" s="6"/>
      <c r="D643" s="6"/>
      <c r="E643" s="15"/>
      <c r="F643" s="6"/>
      <c r="G643" s="6"/>
      <c r="H643" s="3"/>
      <c r="I643" s="6"/>
      <c r="J643" s="3"/>
      <c r="K643" s="3"/>
      <c r="L643" s="3"/>
      <c r="M643" s="3"/>
      <c r="N643" s="3"/>
      <c r="O643" s="3"/>
      <c r="P643" s="3"/>
      <c r="Q643" s="3"/>
      <c r="R643" s="3"/>
    </row>
    <row r="644" spans="1:18" x14ac:dyDescent="0.75">
      <c r="A644" s="3"/>
      <c r="B644" s="3"/>
      <c r="C644" s="6"/>
      <c r="D644" s="6"/>
      <c r="E644" s="15"/>
      <c r="F644" s="6"/>
      <c r="G644" s="6"/>
      <c r="H644" s="3"/>
      <c r="I644" s="6"/>
      <c r="J644" s="3"/>
      <c r="K644" s="3"/>
      <c r="L644" s="3"/>
      <c r="M644" s="3"/>
      <c r="N644" s="3"/>
      <c r="O644" s="3"/>
      <c r="P644" s="3"/>
      <c r="Q644" s="3"/>
      <c r="R644" s="3"/>
    </row>
    <row r="645" spans="1:18" x14ac:dyDescent="0.75">
      <c r="A645" s="3"/>
      <c r="B645" s="3"/>
      <c r="C645" s="6"/>
      <c r="D645" s="6"/>
      <c r="E645" s="15"/>
      <c r="F645" s="6"/>
      <c r="G645" s="6"/>
      <c r="H645" s="3"/>
      <c r="I645" s="6"/>
      <c r="J645" s="3"/>
      <c r="K645" s="3"/>
      <c r="L645" s="3"/>
      <c r="M645" s="3"/>
      <c r="N645" s="3"/>
      <c r="O645" s="3"/>
      <c r="P645" s="3"/>
      <c r="Q645" s="3"/>
      <c r="R645" s="3"/>
    </row>
    <row r="646" spans="1:18" x14ac:dyDescent="0.75">
      <c r="A646" s="3"/>
      <c r="B646" s="3"/>
      <c r="C646" s="6"/>
      <c r="D646" s="6"/>
      <c r="E646" s="15"/>
      <c r="F646" s="6"/>
      <c r="G646" s="6"/>
      <c r="H646" s="3"/>
      <c r="I646" s="6"/>
      <c r="J646" s="3"/>
      <c r="K646" s="3"/>
      <c r="L646" s="3"/>
      <c r="M646" s="3"/>
      <c r="N646" s="3"/>
      <c r="O646" s="3"/>
      <c r="P646" s="3"/>
      <c r="Q646" s="3"/>
      <c r="R646" s="3"/>
    </row>
    <row r="647" spans="1:18" x14ac:dyDescent="0.75">
      <c r="A647" s="3"/>
      <c r="B647" s="3"/>
      <c r="C647" s="6"/>
      <c r="D647" s="6"/>
      <c r="E647" s="15"/>
      <c r="F647" s="6"/>
      <c r="G647" s="6"/>
      <c r="H647" s="3"/>
      <c r="I647" s="6"/>
      <c r="J647" s="3"/>
      <c r="K647" s="3"/>
      <c r="L647" s="3"/>
      <c r="M647" s="3"/>
      <c r="N647" s="3"/>
      <c r="O647" s="3"/>
      <c r="P647" s="3"/>
      <c r="Q647" s="3"/>
      <c r="R647" s="3"/>
    </row>
    <row r="648" spans="1:18" x14ac:dyDescent="0.75">
      <c r="A648" s="3"/>
      <c r="B648" s="3"/>
      <c r="C648" s="6"/>
      <c r="D648" s="6"/>
      <c r="E648" s="15"/>
      <c r="F648" s="6"/>
      <c r="G648" s="6"/>
      <c r="H648" s="3"/>
      <c r="I648" s="6"/>
      <c r="J648" s="3"/>
      <c r="K648" s="3"/>
      <c r="L648" s="3"/>
      <c r="M648" s="3"/>
      <c r="N648" s="3"/>
      <c r="O648" s="3"/>
      <c r="P648" s="3"/>
      <c r="Q648" s="3"/>
      <c r="R648" s="3"/>
    </row>
    <row r="649" spans="1:18" x14ac:dyDescent="0.75">
      <c r="A649" s="3"/>
      <c r="B649" s="3"/>
      <c r="C649" s="6"/>
      <c r="D649" s="6"/>
      <c r="E649" s="15"/>
      <c r="F649" s="6"/>
      <c r="G649" s="6"/>
      <c r="H649" s="3"/>
      <c r="I649" s="6"/>
      <c r="J649" s="3"/>
      <c r="K649" s="3"/>
      <c r="L649" s="3"/>
      <c r="M649" s="3"/>
      <c r="N649" s="3"/>
      <c r="O649" s="3"/>
      <c r="P649" s="3"/>
      <c r="Q649" s="3"/>
      <c r="R649" s="3"/>
    </row>
    <row r="650" spans="1:18" x14ac:dyDescent="0.75">
      <c r="A650" s="3"/>
      <c r="B650" s="3"/>
      <c r="C650" s="6"/>
      <c r="D650" s="6"/>
      <c r="E650" s="15"/>
      <c r="F650" s="6"/>
      <c r="G650" s="6"/>
      <c r="H650" s="3"/>
      <c r="I650" s="6"/>
      <c r="J650" s="3"/>
      <c r="K650" s="3"/>
      <c r="L650" s="3"/>
      <c r="M650" s="3"/>
      <c r="N650" s="3"/>
      <c r="O650" s="3"/>
      <c r="P650" s="3"/>
      <c r="Q650" s="3"/>
      <c r="R650" s="3"/>
    </row>
    <row r="651" spans="1:18" x14ac:dyDescent="0.75">
      <c r="A651" s="3"/>
      <c r="B651" s="3"/>
      <c r="C651" s="6"/>
      <c r="D651" s="6"/>
      <c r="E651" s="15"/>
      <c r="F651" s="6"/>
      <c r="G651" s="6"/>
      <c r="H651" s="3"/>
      <c r="I651" s="6"/>
      <c r="J651" s="3"/>
      <c r="K651" s="3"/>
      <c r="L651" s="3"/>
      <c r="M651" s="3"/>
      <c r="N651" s="3"/>
      <c r="O651" s="3"/>
      <c r="P651" s="3"/>
      <c r="Q651" s="3"/>
      <c r="R651" s="3"/>
    </row>
    <row r="652" spans="1:18" x14ac:dyDescent="0.75">
      <c r="A652" s="3"/>
      <c r="B652" s="3"/>
      <c r="C652" s="6"/>
      <c r="D652" s="6"/>
      <c r="E652" s="15"/>
      <c r="F652" s="6"/>
      <c r="G652" s="6"/>
      <c r="H652" s="3"/>
      <c r="I652" s="6"/>
      <c r="J652" s="3"/>
      <c r="K652" s="3"/>
      <c r="L652" s="3"/>
      <c r="M652" s="3"/>
      <c r="N652" s="3"/>
      <c r="O652" s="3"/>
      <c r="P652" s="3"/>
      <c r="Q652" s="3"/>
      <c r="R652" s="3"/>
    </row>
    <row r="653" spans="1:18" x14ac:dyDescent="0.75">
      <c r="A653" s="3"/>
      <c r="B653" s="3"/>
      <c r="C653" s="6"/>
      <c r="D653" s="6"/>
      <c r="E653" s="15"/>
      <c r="F653" s="6"/>
      <c r="G653" s="6"/>
      <c r="H653" s="3"/>
      <c r="I653" s="6"/>
      <c r="J653" s="3"/>
      <c r="K653" s="3"/>
      <c r="L653" s="3"/>
      <c r="M653" s="3"/>
      <c r="N653" s="3"/>
      <c r="O653" s="3"/>
      <c r="P653" s="3"/>
      <c r="Q653" s="3"/>
      <c r="R653" s="3"/>
    </row>
    <row r="654" spans="1:18" x14ac:dyDescent="0.75">
      <c r="A654" s="3"/>
      <c r="B654" s="3"/>
      <c r="C654" s="6"/>
      <c r="D654" s="6"/>
      <c r="E654" s="15"/>
      <c r="F654" s="6"/>
      <c r="G654" s="6"/>
      <c r="H654" s="3"/>
      <c r="I654" s="6"/>
      <c r="J654" s="3"/>
      <c r="K654" s="3"/>
      <c r="L654" s="3"/>
      <c r="M654" s="3"/>
      <c r="N654" s="3"/>
      <c r="O654" s="3"/>
      <c r="P654" s="3"/>
      <c r="Q654" s="3"/>
      <c r="R654" s="3"/>
    </row>
    <row r="655" spans="1:18" x14ac:dyDescent="0.75">
      <c r="A655" s="3"/>
      <c r="B655" s="3"/>
      <c r="C655" s="6"/>
      <c r="D655" s="6"/>
      <c r="E655" s="15"/>
      <c r="F655" s="6"/>
      <c r="G655" s="6"/>
      <c r="H655" s="3"/>
      <c r="I655" s="6"/>
      <c r="J655" s="3"/>
      <c r="K655" s="3"/>
      <c r="L655" s="3"/>
      <c r="M655" s="3"/>
      <c r="N655" s="3"/>
      <c r="O655" s="3"/>
      <c r="P655" s="3"/>
      <c r="Q655" s="3"/>
      <c r="R655" s="3"/>
    </row>
    <row r="656" spans="1:18" x14ac:dyDescent="0.75">
      <c r="A656" s="3"/>
      <c r="B656" s="3"/>
      <c r="C656" s="6"/>
      <c r="D656" s="6"/>
      <c r="E656" s="15"/>
      <c r="F656" s="6"/>
      <c r="G656" s="6"/>
      <c r="H656" s="3"/>
      <c r="I656" s="6"/>
      <c r="J656" s="3"/>
      <c r="K656" s="3"/>
      <c r="L656" s="3"/>
      <c r="M656" s="3"/>
      <c r="N656" s="3"/>
      <c r="O656" s="3"/>
      <c r="P656" s="3"/>
      <c r="Q656" s="3"/>
      <c r="R656" s="3"/>
    </row>
    <row r="657" spans="1:18" x14ac:dyDescent="0.75">
      <c r="A657" s="3"/>
      <c r="B657" s="3"/>
      <c r="C657" s="6"/>
      <c r="D657" s="6"/>
      <c r="E657" s="15"/>
      <c r="F657" s="6"/>
      <c r="G657" s="6"/>
      <c r="H657" s="3"/>
      <c r="I657" s="6"/>
      <c r="J657" s="3"/>
      <c r="K657" s="3"/>
      <c r="L657" s="3"/>
      <c r="M657" s="3"/>
      <c r="N657" s="3"/>
      <c r="O657" s="3"/>
      <c r="P657" s="3"/>
      <c r="Q657" s="3"/>
      <c r="R657" s="3"/>
    </row>
    <row r="658" spans="1:18" x14ac:dyDescent="0.75">
      <c r="A658" s="3"/>
      <c r="B658" s="3"/>
      <c r="C658" s="6"/>
      <c r="D658" s="6"/>
      <c r="E658" s="15"/>
      <c r="F658" s="6"/>
      <c r="G658" s="6"/>
      <c r="H658" s="3"/>
      <c r="I658" s="6"/>
      <c r="J658" s="3"/>
      <c r="K658" s="3"/>
      <c r="L658" s="3"/>
      <c r="M658" s="3"/>
      <c r="N658" s="3"/>
      <c r="O658" s="3"/>
      <c r="P658" s="3"/>
      <c r="Q658" s="3"/>
      <c r="R658" s="3"/>
    </row>
    <row r="659" spans="1:18" x14ac:dyDescent="0.75">
      <c r="A659" s="3"/>
      <c r="B659" s="3"/>
      <c r="C659" s="6"/>
      <c r="D659" s="6"/>
      <c r="E659" s="15"/>
      <c r="F659" s="6"/>
      <c r="G659" s="6"/>
      <c r="H659" s="3"/>
      <c r="I659" s="6"/>
      <c r="J659" s="3"/>
      <c r="K659" s="3"/>
      <c r="L659" s="3"/>
      <c r="M659" s="3"/>
      <c r="N659" s="3"/>
      <c r="O659" s="3"/>
      <c r="P659" s="3"/>
      <c r="Q659" s="3"/>
      <c r="R659" s="3"/>
    </row>
    <row r="660" spans="1:18" x14ac:dyDescent="0.75">
      <c r="A660" s="3"/>
      <c r="B660" s="3"/>
      <c r="C660" s="6"/>
      <c r="D660" s="6"/>
      <c r="E660" s="15"/>
      <c r="F660" s="6"/>
      <c r="G660" s="6"/>
      <c r="H660" s="3"/>
      <c r="I660" s="6"/>
      <c r="J660" s="3"/>
      <c r="K660" s="3"/>
      <c r="L660" s="3"/>
      <c r="M660" s="3"/>
      <c r="N660" s="3"/>
      <c r="O660" s="3"/>
      <c r="P660" s="3"/>
      <c r="Q660" s="3"/>
      <c r="R660" s="3"/>
    </row>
    <row r="661" spans="1:18" x14ac:dyDescent="0.75">
      <c r="A661" s="3"/>
      <c r="B661" s="3"/>
      <c r="C661" s="6"/>
      <c r="D661" s="6"/>
      <c r="E661" s="15"/>
      <c r="F661" s="6"/>
      <c r="G661" s="6"/>
      <c r="H661" s="3"/>
      <c r="I661" s="6"/>
      <c r="J661" s="3"/>
      <c r="K661" s="3"/>
      <c r="L661" s="3"/>
      <c r="M661" s="3"/>
      <c r="N661" s="3"/>
      <c r="O661" s="3"/>
      <c r="P661" s="3"/>
      <c r="Q661" s="3"/>
      <c r="R661" s="3"/>
    </row>
    <row r="662" spans="1:18" x14ac:dyDescent="0.75">
      <c r="A662" s="3"/>
      <c r="B662" s="3"/>
      <c r="C662" s="6"/>
      <c r="D662" s="6"/>
      <c r="E662" s="15"/>
      <c r="F662" s="6"/>
      <c r="G662" s="6"/>
      <c r="H662" s="3"/>
      <c r="I662" s="6"/>
      <c r="J662" s="3"/>
      <c r="K662" s="3"/>
      <c r="L662" s="3"/>
      <c r="M662" s="3"/>
      <c r="N662" s="3"/>
      <c r="O662" s="3"/>
      <c r="P662" s="3"/>
      <c r="Q662" s="3"/>
      <c r="R662" s="3"/>
    </row>
    <row r="663" spans="1:18" x14ac:dyDescent="0.75">
      <c r="A663" s="3"/>
      <c r="B663" s="3"/>
      <c r="C663" s="6"/>
      <c r="D663" s="6"/>
      <c r="E663" s="15"/>
      <c r="F663" s="6"/>
      <c r="G663" s="6"/>
      <c r="H663" s="3"/>
      <c r="I663" s="6"/>
      <c r="J663" s="3"/>
      <c r="K663" s="3"/>
      <c r="L663" s="3"/>
      <c r="M663" s="3"/>
      <c r="N663" s="3"/>
      <c r="O663" s="3"/>
      <c r="P663" s="3"/>
      <c r="Q663" s="3"/>
      <c r="R663" s="3"/>
    </row>
    <row r="664" spans="1:18" x14ac:dyDescent="0.75">
      <c r="A664" s="3"/>
      <c r="B664" s="3"/>
      <c r="C664" s="6"/>
      <c r="D664" s="6"/>
      <c r="E664" s="15"/>
      <c r="F664" s="6"/>
      <c r="G664" s="6"/>
      <c r="H664" s="3"/>
      <c r="I664" s="6"/>
      <c r="J664" s="3"/>
      <c r="K664" s="3"/>
      <c r="L664" s="3"/>
      <c r="M664" s="3"/>
      <c r="N664" s="3"/>
      <c r="O664" s="3"/>
      <c r="P664" s="3"/>
      <c r="Q664" s="3"/>
      <c r="R664" s="3"/>
    </row>
    <row r="665" spans="1:18" x14ac:dyDescent="0.75">
      <c r="A665" s="3"/>
      <c r="B665" s="3"/>
      <c r="C665" s="6"/>
      <c r="D665" s="6"/>
      <c r="E665" s="15"/>
      <c r="F665" s="6"/>
      <c r="G665" s="6"/>
      <c r="H665" s="3"/>
      <c r="I665" s="6"/>
      <c r="J665" s="3"/>
      <c r="K665" s="3"/>
      <c r="L665" s="3"/>
      <c r="M665" s="3"/>
      <c r="N665" s="3"/>
      <c r="O665" s="3"/>
      <c r="P665" s="3"/>
      <c r="Q665" s="3"/>
      <c r="R665" s="3"/>
    </row>
    <row r="666" spans="1:18" x14ac:dyDescent="0.75">
      <c r="A666" s="3"/>
      <c r="B666" s="3"/>
      <c r="C666" s="6"/>
      <c r="D666" s="6"/>
      <c r="E666" s="15"/>
      <c r="F666" s="6"/>
      <c r="G666" s="6"/>
      <c r="H666" s="3"/>
      <c r="I666" s="6"/>
      <c r="J666" s="3"/>
      <c r="K666" s="3"/>
      <c r="L666" s="3"/>
      <c r="M666" s="3"/>
      <c r="N666" s="3"/>
      <c r="O666" s="3"/>
      <c r="P666" s="3"/>
      <c r="Q666" s="3"/>
      <c r="R666" s="3"/>
    </row>
    <row r="667" spans="1:18" x14ac:dyDescent="0.75">
      <c r="A667" s="3"/>
      <c r="B667" s="3"/>
      <c r="C667" s="6"/>
      <c r="D667" s="6"/>
      <c r="E667" s="15"/>
      <c r="F667" s="6"/>
      <c r="G667" s="6"/>
      <c r="H667" s="3"/>
      <c r="I667" s="6"/>
      <c r="J667" s="3"/>
      <c r="K667" s="3"/>
      <c r="L667" s="3"/>
      <c r="M667" s="3"/>
      <c r="N667" s="3"/>
      <c r="O667" s="3"/>
      <c r="P667" s="3"/>
      <c r="Q667" s="3"/>
      <c r="R667" s="3"/>
    </row>
    <row r="668" spans="1:18" x14ac:dyDescent="0.75">
      <c r="A668" s="3"/>
      <c r="B668" s="3"/>
      <c r="C668" s="6"/>
      <c r="D668" s="6"/>
      <c r="E668" s="15"/>
      <c r="F668" s="6"/>
      <c r="G668" s="6"/>
      <c r="H668" s="3"/>
      <c r="I668" s="6"/>
      <c r="J668" s="3"/>
      <c r="K668" s="3"/>
      <c r="L668" s="3"/>
      <c r="M668" s="3"/>
      <c r="N668" s="3"/>
      <c r="O668" s="3"/>
      <c r="P668" s="3"/>
      <c r="Q668" s="3"/>
      <c r="R668" s="3"/>
    </row>
    <row r="669" spans="1:18" x14ac:dyDescent="0.75">
      <c r="A669" s="3"/>
      <c r="B669" s="3"/>
      <c r="C669" s="6"/>
      <c r="D669" s="6"/>
      <c r="E669" s="15"/>
      <c r="F669" s="6"/>
      <c r="G669" s="6"/>
      <c r="H669" s="3"/>
      <c r="I669" s="6"/>
      <c r="J669" s="3"/>
      <c r="K669" s="3"/>
      <c r="L669" s="3"/>
      <c r="M669" s="3"/>
      <c r="N669" s="3"/>
      <c r="O669" s="3"/>
      <c r="P669" s="3"/>
      <c r="Q669" s="3"/>
      <c r="R669" s="3"/>
    </row>
    <row r="670" spans="1:18" x14ac:dyDescent="0.75">
      <c r="A670" s="3"/>
      <c r="B670" s="3"/>
      <c r="C670" s="6"/>
      <c r="D670" s="6"/>
      <c r="E670" s="15"/>
      <c r="F670" s="6"/>
      <c r="G670" s="6"/>
      <c r="H670" s="3"/>
      <c r="I670" s="6"/>
      <c r="J670" s="3"/>
      <c r="K670" s="3"/>
      <c r="L670" s="3"/>
      <c r="M670" s="3"/>
      <c r="N670" s="3"/>
      <c r="O670" s="3"/>
      <c r="P670" s="3"/>
      <c r="Q670" s="3"/>
      <c r="R670" s="3"/>
    </row>
    <row r="671" spans="1:18" x14ac:dyDescent="0.75">
      <c r="A671" s="3"/>
      <c r="B671" s="3"/>
      <c r="C671" s="6"/>
      <c r="D671" s="6"/>
      <c r="E671" s="15"/>
      <c r="F671" s="6"/>
      <c r="G671" s="6"/>
      <c r="H671" s="3"/>
      <c r="I671" s="6"/>
      <c r="J671" s="3"/>
      <c r="K671" s="3"/>
      <c r="L671" s="3"/>
      <c r="M671" s="3"/>
      <c r="N671" s="3"/>
      <c r="O671" s="3"/>
      <c r="P671" s="3"/>
      <c r="Q671" s="3"/>
      <c r="R671" s="3"/>
    </row>
    <row r="672" spans="1:18" x14ac:dyDescent="0.75">
      <c r="A672" s="3"/>
      <c r="B672" s="3"/>
      <c r="C672" s="6"/>
      <c r="D672" s="6"/>
      <c r="E672" s="15"/>
      <c r="F672" s="6"/>
      <c r="G672" s="6"/>
      <c r="H672" s="3"/>
      <c r="I672" s="6"/>
      <c r="J672" s="3"/>
      <c r="K672" s="3"/>
      <c r="L672" s="3"/>
      <c r="M672" s="3"/>
      <c r="N672" s="3"/>
      <c r="O672" s="3"/>
      <c r="P672" s="3"/>
      <c r="Q672" s="3"/>
      <c r="R672" s="3"/>
    </row>
    <row r="673" spans="1:18" x14ac:dyDescent="0.75">
      <c r="A673" s="3"/>
      <c r="B673" s="3"/>
      <c r="C673" s="6"/>
      <c r="D673" s="6"/>
      <c r="E673" s="15"/>
      <c r="F673" s="6"/>
      <c r="G673" s="6"/>
      <c r="H673" s="3"/>
      <c r="I673" s="6"/>
      <c r="J673" s="3"/>
      <c r="K673" s="3"/>
      <c r="L673" s="3"/>
      <c r="M673" s="3"/>
      <c r="N673" s="3"/>
      <c r="O673" s="3"/>
      <c r="P673" s="3"/>
      <c r="Q673" s="3"/>
      <c r="R673" s="3"/>
    </row>
    <row r="674" spans="1:18" x14ac:dyDescent="0.75">
      <c r="A674" s="3"/>
      <c r="B674" s="3"/>
      <c r="C674" s="6"/>
      <c r="D674" s="6"/>
      <c r="E674" s="15"/>
      <c r="F674" s="6"/>
      <c r="G674" s="6"/>
      <c r="H674" s="3"/>
      <c r="I674" s="6"/>
      <c r="J674" s="3"/>
      <c r="K674" s="3"/>
      <c r="L674" s="3"/>
      <c r="M674" s="3"/>
      <c r="N674" s="3"/>
      <c r="O674" s="3"/>
      <c r="P674" s="3"/>
      <c r="Q674" s="3"/>
      <c r="R674" s="3"/>
    </row>
    <row r="675" spans="1:18" x14ac:dyDescent="0.75">
      <c r="A675" s="3"/>
      <c r="B675" s="3"/>
      <c r="C675" s="6"/>
      <c r="D675" s="6"/>
      <c r="E675" s="15"/>
      <c r="F675" s="6"/>
      <c r="G675" s="6"/>
      <c r="H675" s="3"/>
      <c r="I675" s="6"/>
      <c r="J675" s="3"/>
      <c r="K675" s="3"/>
      <c r="L675" s="3"/>
      <c r="M675" s="3"/>
      <c r="N675" s="3"/>
      <c r="O675" s="3"/>
      <c r="P675" s="3"/>
      <c r="Q675" s="3"/>
      <c r="R675" s="3"/>
    </row>
    <row r="676" spans="1:18" x14ac:dyDescent="0.75">
      <c r="A676" s="3"/>
      <c r="B676" s="3"/>
      <c r="C676" s="6"/>
      <c r="D676" s="6"/>
      <c r="E676" s="15"/>
      <c r="F676" s="6"/>
      <c r="G676" s="6"/>
      <c r="H676" s="3"/>
      <c r="I676" s="6"/>
      <c r="J676" s="3"/>
      <c r="K676" s="3"/>
      <c r="L676" s="3"/>
      <c r="M676" s="3"/>
      <c r="N676" s="3"/>
      <c r="O676" s="3"/>
      <c r="P676" s="3"/>
      <c r="Q676" s="3"/>
      <c r="R676" s="3"/>
    </row>
    <row r="677" spans="1:18" x14ac:dyDescent="0.75">
      <c r="A677" s="3"/>
      <c r="B677" s="3"/>
      <c r="C677" s="6"/>
      <c r="D677" s="6"/>
      <c r="E677" s="15"/>
      <c r="F677" s="6"/>
      <c r="G677" s="6"/>
      <c r="H677" s="3"/>
      <c r="I677" s="6"/>
      <c r="J677" s="3"/>
      <c r="K677" s="3"/>
      <c r="L677" s="3"/>
      <c r="M677" s="3"/>
      <c r="N677" s="3"/>
      <c r="O677" s="3"/>
      <c r="P677" s="3"/>
      <c r="Q677" s="3"/>
      <c r="R677" s="3"/>
    </row>
    <row r="678" spans="1:18" x14ac:dyDescent="0.75">
      <c r="A678" s="3"/>
      <c r="B678" s="3"/>
      <c r="C678" s="6"/>
      <c r="D678" s="6"/>
      <c r="E678" s="15"/>
      <c r="F678" s="6"/>
      <c r="G678" s="6"/>
      <c r="H678" s="3"/>
      <c r="I678" s="6"/>
      <c r="J678" s="3"/>
      <c r="K678" s="3"/>
      <c r="L678" s="3"/>
      <c r="M678" s="3"/>
      <c r="N678" s="3"/>
      <c r="O678" s="3"/>
      <c r="P678" s="3"/>
      <c r="Q678" s="3"/>
      <c r="R678" s="3"/>
    </row>
    <row r="679" spans="1:18" x14ac:dyDescent="0.75">
      <c r="A679" s="3"/>
      <c r="B679" s="3"/>
      <c r="C679" s="6"/>
      <c r="D679" s="6"/>
      <c r="E679" s="15"/>
      <c r="F679" s="6"/>
      <c r="G679" s="6"/>
      <c r="H679" s="3"/>
      <c r="I679" s="6"/>
      <c r="J679" s="3"/>
      <c r="K679" s="3"/>
      <c r="L679" s="3"/>
      <c r="M679" s="3"/>
      <c r="N679" s="3"/>
      <c r="O679" s="3"/>
      <c r="P679" s="3"/>
      <c r="Q679" s="3"/>
      <c r="R679" s="3"/>
    </row>
    <row r="680" spans="1:18" x14ac:dyDescent="0.75">
      <c r="A680" s="3"/>
      <c r="B680" s="3"/>
      <c r="C680" s="6"/>
      <c r="D680" s="6"/>
      <c r="E680" s="15"/>
      <c r="F680" s="6"/>
      <c r="G680" s="6"/>
      <c r="H680" s="3"/>
      <c r="I680" s="6"/>
      <c r="J680" s="3"/>
      <c r="K680" s="3"/>
      <c r="L680" s="3"/>
      <c r="M680" s="3"/>
      <c r="N680" s="3"/>
      <c r="O680" s="3"/>
      <c r="P680" s="3"/>
      <c r="Q680" s="3"/>
      <c r="R680" s="3"/>
    </row>
    <row r="681" spans="1:18" x14ac:dyDescent="0.75">
      <c r="A681" s="3"/>
      <c r="B681" s="3"/>
      <c r="C681" s="6"/>
      <c r="D681" s="6"/>
      <c r="E681" s="15"/>
      <c r="F681" s="6"/>
      <c r="G681" s="6"/>
      <c r="H681" s="3"/>
      <c r="I681" s="6"/>
      <c r="J681" s="3"/>
      <c r="K681" s="3"/>
      <c r="L681" s="3"/>
      <c r="M681" s="3"/>
      <c r="N681" s="3"/>
      <c r="O681" s="3"/>
      <c r="P681" s="3"/>
      <c r="Q681" s="3"/>
      <c r="R681" s="3"/>
    </row>
    <row r="682" spans="1:18" x14ac:dyDescent="0.75">
      <c r="A682" s="3"/>
      <c r="B682" s="3"/>
      <c r="C682" s="6"/>
      <c r="D682" s="6"/>
      <c r="E682" s="15"/>
      <c r="F682" s="6"/>
      <c r="G682" s="6"/>
      <c r="H682" s="3"/>
      <c r="I682" s="6"/>
      <c r="J682" s="3"/>
      <c r="K682" s="3"/>
      <c r="L682" s="3"/>
      <c r="M682" s="3"/>
      <c r="N682" s="3"/>
      <c r="O682" s="3"/>
      <c r="P682" s="3"/>
      <c r="Q682" s="3"/>
      <c r="R682" s="3"/>
    </row>
    <row r="683" spans="1:18" x14ac:dyDescent="0.75">
      <c r="A683" s="3"/>
      <c r="B683" s="3"/>
      <c r="C683" s="6"/>
      <c r="D683" s="6"/>
      <c r="E683" s="15"/>
      <c r="F683" s="6"/>
      <c r="G683" s="6"/>
      <c r="H683" s="3"/>
      <c r="I683" s="6"/>
      <c r="J683" s="3"/>
      <c r="K683" s="3"/>
      <c r="L683" s="3"/>
      <c r="M683" s="3"/>
      <c r="N683" s="3"/>
      <c r="O683" s="3"/>
      <c r="P683" s="3"/>
      <c r="Q683" s="3"/>
      <c r="R683" s="3"/>
    </row>
    <row r="684" spans="1:18" x14ac:dyDescent="0.75">
      <c r="A684" s="3"/>
      <c r="B684" s="3"/>
      <c r="C684" s="6"/>
      <c r="D684" s="6"/>
      <c r="E684" s="15"/>
      <c r="F684" s="6"/>
      <c r="G684" s="6"/>
      <c r="H684" s="3"/>
      <c r="I684" s="6"/>
      <c r="J684" s="3"/>
      <c r="K684" s="3"/>
      <c r="L684" s="3"/>
      <c r="M684" s="3"/>
      <c r="N684" s="3"/>
      <c r="O684" s="3"/>
      <c r="P684" s="3"/>
      <c r="Q684" s="3"/>
      <c r="R684" s="3"/>
    </row>
    <row r="685" spans="1:18" x14ac:dyDescent="0.75">
      <c r="A685" s="3"/>
      <c r="B685" s="3"/>
      <c r="C685" s="6"/>
      <c r="D685" s="6"/>
      <c r="E685" s="15"/>
      <c r="F685" s="6"/>
      <c r="G685" s="6"/>
      <c r="H685" s="3"/>
      <c r="I685" s="6"/>
      <c r="J685" s="3"/>
      <c r="K685" s="3"/>
      <c r="L685" s="3"/>
      <c r="M685" s="3"/>
      <c r="N685" s="3"/>
      <c r="O685" s="3"/>
      <c r="P685" s="3"/>
      <c r="Q685" s="3"/>
      <c r="R685" s="3"/>
    </row>
    <row r="686" spans="1:18" x14ac:dyDescent="0.75">
      <c r="A686" s="3"/>
      <c r="B686" s="3"/>
      <c r="C686" s="6"/>
      <c r="D686" s="6"/>
      <c r="E686" s="15"/>
      <c r="F686" s="6"/>
      <c r="G686" s="6"/>
      <c r="H686" s="3"/>
      <c r="I686" s="6"/>
      <c r="J686" s="3"/>
      <c r="K686" s="3"/>
      <c r="L686" s="3"/>
      <c r="M686" s="3"/>
      <c r="N686" s="3"/>
      <c r="O686" s="3"/>
      <c r="P686" s="3"/>
      <c r="Q686" s="3"/>
      <c r="R686" s="3"/>
    </row>
    <row r="687" spans="1:18" x14ac:dyDescent="0.75">
      <c r="A687" s="3"/>
      <c r="B687" s="3"/>
      <c r="C687" s="6"/>
      <c r="D687" s="6"/>
      <c r="E687" s="15"/>
      <c r="F687" s="6"/>
      <c r="G687" s="6"/>
      <c r="H687" s="3"/>
      <c r="I687" s="6"/>
      <c r="J687" s="3"/>
      <c r="K687" s="3"/>
      <c r="L687" s="3"/>
      <c r="M687" s="3"/>
      <c r="N687" s="3"/>
      <c r="O687" s="3"/>
      <c r="P687" s="3"/>
      <c r="Q687" s="3"/>
      <c r="R687" s="3"/>
    </row>
    <row r="688" spans="1:18" x14ac:dyDescent="0.75">
      <c r="A688" s="3"/>
      <c r="B688" s="3"/>
      <c r="C688" s="6"/>
      <c r="D688" s="6"/>
      <c r="E688" s="15"/>
      <c r="F688" s="6"/>
      <c r="G688" s="6"/>
      <c r="H688" s="3"/>
      <c r="I688" s="6"/>
      <c r="J688" s="3"/>
      <c r="K688" s="3"/>
      <c r="L688" s="3"/>
      <c r="M688" s="3"/>
      <c r="N688" s="3"/>
      <c r="O688" s="3"/>
      <c r="P688" s="3"/>
      <c r="Q688" s="3"/>
      <c r="R688" s="3"/>
    </row>
    <row r="689" spans="1:18" x14ac:dyDescent="0.75">
      <c r="A689" s="3"/>
      <c r="B689" s="3"/>
      <c r="C689" s="6"/>
      <c r="D689" s="6"/>
      <c r="E689" s="15"/>
      <c r="F689" s="6"/>
      <c r="G689" s="6"/>
      <c r="H689" s="3"/>
      <c r="I689" s="6"/>
      <c r="J689" s="3"/>
      <c r="K689" s="3"/>
      <c r="L689" s="3"/>
      <c r="M689" s="3"/>
      <c r="N689" s="3"/>
      <c r="O689" s="3"/>
      <c r="P689" s="3"/>
      <c r="Q689" s="3"/>
      <c r="R689" s="3"/>
    </row>
    <row r="690" spans="1:18" x14ac:dyDescent="0.75">
      <c r="A690" s="3"/>
      <c r="B690" s="3"/>
      <c r="C690" s="6"/>
      <c r="D690" s="6"/>
      <c r="E690" s="15"/>
      <c r="F690" s="6"/>
      <c r="G690" s="6"/>
      <c r="H690" s="3"/>
      <c r="I690" s="6"/>
      <c r="J690" s="3"/>
      <c r="K690" s="3"/>
      <c r="L690" s="3"/>
      <c r="M690" s="3"/>
      <c r="N690" s="3"/>
      <c r="O690" s="3"/>
      <c r="P690" s="3"/>
      <c r="Q690" s="3"/>
      <c r="R690" s="3"/>
    </row>
    <row r="691" spans="1:18" x14ac:dyDescent="0.75">
      <c r="A691" s="3"/>
      <c r="B691" s="3"/>
      <c r="C691" s="6"/>
      <c r="D691" s="6"/>
      <c r="E691" s="15"/>
      <c r="F691" s="6"/>
      <c r="G691" s="6"/>
      <c r="H691" s="3"/>
      <c r="I691" s="6"/>
      <c r="J691" s="3"/>
      <c r="K691" s="3"/>
      <c r="L691" s="3"/>
      <c r="M691" s="3"/>
      <c r="N691" s="3"/>
      <c r="O691" s="3"/>
      <c r="P691" s="3"/>
      <c r="Q691" s="3"/>
      <c r="R691" s="3"/>
    </row>
    <row r="692" spans="1:18" x14ac:dyDescent="0.75">
      <c r="A692" s="3"/>
      <c r="B692" s="3"/>
      <c r="C692" s="6"/>
      <c r="D692" s="6"/>
      <c r="E692" s="15"/>
      <c r="F692" s="6"/>
      <c r="G692" s="6"/>
      <c r="H692" s="3"/>
      <c r="I692" s="6"/>
      <c r="J692" s="3"/>
      <c r="K692" s="3"/>
      <c r="L692" s="3"/>
      <c r="M692" s="3"/>
      <c r="N692" s="3"/>
      <c r="O692" s="3"/>
      <c r="P692" s="3"/>
      <c r="Q692" s="3"/>
      <c r="R692" s="3"/>
    </row>
    <row r="693" spans="1:18" x14ac:dyDescent="0.75">
      <c r="A693" s="3"/>
      <c r="B693" s="3"/>
      <c r="C693" s="6"/>
      <c r="D693" s="6"/>
      <c r="E693" s="15"/>
      <c r="F693" s="6"/>
      <c r="G693" s="6"/>
      <c r="H693" s="3"/>
      <c r="I693" s="6"/>
      <c r="J693" s="3"/>
      <c r="K693" s="3"/>
      <c r="L693" s="3"/>
      <c r="M693" s="3"/>
      <c r="N693" s="3"/>
      <c r="O693" s="3"/>
      <c r="P693" s="3"/>
      <c r="Q693" s="3"/>
      <c r="R693" s="3"/>
    </row>
    <row r="694" spans="1:18" x14ac:dyDescent="0.75">
      <c r="A694" s="3"/>
      <c r="B694" s="3"/>
      <c r="C694" s="6"/>
      <c r="D694" s="6"/>
      <c r="E694" s="15"/>
      <c r="F694" s="6"/>
      <c r="G694" s="6"/>
      <c r="H694" s="3"/>
      <c r="I694" s="6"/>
      <c r="J694" s="3"/>
      <c r="K694" s="3"/>
      <c r="L694" s="3"/>
      <c r="M694" s="3"/>
      <c r="N694" s="3"/>
      <c r="O694" s="3"/>
      <c r="P694" s="3"/>
      <c r="Q694" s="3"/>
      <c r="R694" s="3"/>
    </row>
    <row r="695" spans="1:18" x14ac:dyDescent="0.75">
      <c r="A695" s="3"/>
      <c r="B695" s="3"/>
      <c r="C695" s="6"/>
      <c r="D695" s="6"/>
      <c r="E695" s="15"/>
      <c r="F695" s="6"/>
      <c r="G695" s="6"/>
      <c r="H695" s="3"/>
      <c r="I695" s="6"/>
      <c r="J695" s="3"/>
      <c r="K695" s="3"/>
      <c r="L695" s="3"/>
      <c r="M695" s="3"/>
      <c r="N695" s="3"/>
      <c r="O695" s="3"/>
      <c r="P695" s="3"/>
      <c r="Q695" s="3"/>
      <c r="R695" s="3"/>
    </row>
    <row r="696" spans="1:18" x14ac:dyDescent="0.75">
      <c r="A696" s="3"/>
      <c r="B696" s="3"/>
      <c r="C696" s="6"/>
      <c r="D696" s="6"/>
      <c r="E696" s="15"/>
      <c r="F696" s="6"/>
      <c r="G696" s="6"/>
      <c r="H696" s="3"/>
      <c r="I696" s="6"/>
      <c r="J696" s="3"/>
      <c r="K696" s="3"/>
      <c r="L696" s="3"/>
      <c r="M696" s="3"/>
      <c r="N696" s="3"/>
      <c r="O696" s="3"/>
      <c r="P696" s="3"/>
      <c r="Q696" s="3"/>
      <c r="R696" s="3"/>
    </row>
    <row r="697" spans="1:18" x14ac:dyDescent="0.75">
      <c r="A697" s="3"/>
      <c r="B697" s="3"/>
      <c r="C697" s="6"/>
      <c r="D697" s="6"/>
      <c r="E697" s="15"/>
      <c r="F697" s="6"/>
      <c r="G697" s="6"/>
      <c r="H697" s="3"/>
      <c r="I697" s="6"/>
      <c r="J697" s="3"/>
      <c r="K697" s="3"/>
      <c r="L697" s="3"/>
      <c r="M697" s="3"/>
      <c r="N697" s="3"/>
      <c r="O697" s="3"/>
      <c r="P697" s="3"/>
      <c r="Q697" s="3"/>
      <c r="R697" s="3"/>
    </row>
    <row r="698" spans="1:18" x14ac:dyDescent="0.75">
      <c r="A698" s="3"/>
      <c r="B698" s="3"/>
      <c r="C698" s="6"/>
      <c r="D698" s="6"/>
      <c r="E698" s="15"/>
      <c r="F698" s="6"/>
      <c r="G698" s="6"/>
      <c r="H698" s="3"/>
      <c r="I698" s="6"/>
      <c r="J698" s="3"/>
      <c r="K698" s="3"/>
      <c r="L698" s="3"/>
      <c r="M698" s="3"/>
      <c r="N698" s="3"/>
      <c r="O698" s="3"/>
      <c r="P698" s="3"/>
      <c r="Q698" s="3"/>
      <c r="R698" s="3"/>
    </row>
    <row r="699" spans="1:18" x14ac:dyDescent="0.75">
      <c r="A699" s="3"/>
      <c r="B699" s="3"/>
      <c r="C699" s="6"/>
      <c r="D699" s="6"/>
      <c r="E699" s="15"/>
      <c r="F699" s="6"/>
      <c r="G699" s="6"/>
      <c r="H699" s="3"/>
      <c r="I699" s="6"/>
      <c r="J699" s="3"/>
      <c r="K699" s="3"/>
      <c r="L699" s="3"/>
      <c r="M699" s="3"/>
      <c r="N699" s="3"/>
      <c r="O699" s="3"/>
      <c r="P699" s="3"/>
      <c r="Q699" s="3"/>
      <c r="R699" s="3"/>
    </row>
    <row r="700" spans="1:18" x14ac:dyDescent="0.75">
      <c r="A700" s="3"/>
      <c r="B700" s="3"/>
      <c r="C700" s="6"/>
      <c r="D700" s="6"/>
      <c r="E700" s="15"/>
      <c r="F700" s="6"/>
      <c r="G700" s="6"/>
      <c r="H700" s="3"/>
      <c r="I700" s="6"/>
      <c r="J700" s="3"/>
      <c r="K700" s="3"/>
      <c r="L700" s="3"/>
      <c r="M700" s="3"/>
      <c r="N700" s="3"/>
      <c r="O700" s="3"/>
      <c r="P700" s="3"/>
      <c r="Q700" s="3"/>
      <c r="R700" s="3"/>
    </row>
    <row r="701" spans="1:18" x14ac:dyDescent="0.75">
      <c r="A701" s="3"/>
      <c r="B701" s="3"/>
      <c r="C701" s="6"/>
      <c r="D701" s="6"/>
      <c r="E701" s="15"/>
      <c r="F701" s="6"/>
      <c r="G701" s="6"/>
      <c r="H701" s="3"/>
      <c r="I701" s="6"/>
      <c r="J701" s="3"/>
      <c r="K701" s="3"/>
      <c r="L701" s="3"/>
      <c r="M701" s="3"/>
      <c r="N701" s="3"/>
      <c r="O701" s="3"/>
      <c r="P701" s="3"/>
      <c r="Q701" s="3"/>
      <c r="R701" s="3"/>
    </row>
    <row r="702" spans="1:18" x14ac:dyDescent="0.75">
      <c r="A702" s="3"/>
      <c r="B702" s="3"/>
      <c r="C702" s="6"/>
      <c r="D702" s="6"/>
      <c r="E702" s="15"/>
      <c r="F702" s="6"/>
      <c r="G702" s="6"/>
      <c r="H702" s="3"/>
      <c r="I702" s="6"/>
      <c r="J702" s="3"/>
      <c r="K702" s="3"/>
      <c r="L702" s="3"/>
      <c r="M702" s="3"/>
      <c r="N702" s="3"/>
      <c r="O702" s="3"/>
      <c r="P702" s="3"/>
      <c r="Q702" s="3"/>
      <c r="R702" s="3"/>
    </row>
    <row r="703" spans="1:18" x14ac:dyDescent="0.75">
      <c r="A703" s="3"/>
      <c r="B703" s="3"/>
      <c r="C703" s="6"/>
      <c r="D703" s="6"/>
      <c r="E703" s="15"/>
      <c r="F703" s="6"/>
      <c r="G703" s="6"/>
      <c r="H703" s="3"/>
      <c r="I703" s="6"/>
      <c r="J703" s="3"/>
      <c r="K703" s="3"/>
      <c r="L703" s="3"/>
      <c r="M703" s="3"/>
      <c r="N703" s="3"/>
      <c r="O703" s="3"/>
      <c r="P703" s="3"/>
      <c r="Q703" s="3"/>
      <c r="R703" s="3"/>
    </row>
    <row r="704" spans="1:18" x14ac:dyDescent="0.75">
      <c r="A704" s="3"/>
      <c r="B704" s="3"/>
      <c r="C704" s="6"/>
      <c r="D704" s="6"/>
      <c r="E704" s="15"/>
      <c r="F704" s="6"/>
      <c r="G704" s="6"/>
      <c r="H704" s="3"/>
      <c r="I704" s="6"/>
      <c r="J704" s="3"/>
      <c r="K704" s="3"/>
      <c r="L704" s="3"/>
      <c r="M704" s="3"/>
      <c r="N704" s="3"/>
      <c r="O704" s="3"/>
      <c r="P704" s="3"/>
      <c r="Q704" s="3"/>
      <c r="R704" s="3"/>
    </row>
    <row r="705" spans="1:18" x14ac:dyDescent="0.75">
      <c r="A705" s="3"/>
      <c r="B705" s="3"/>
      <c r="C705" s="6"/>
      <c r="D705" s="6"/>
      <c r="E705" s="15"/>
      <c r="F705" s="6"/>
      <c r="G705" s="6"/>
      <c r="H705" s="3"/>
      <c r="I705" s="6"/>
      <c r="J705" s="3"/>
      <c r="K705" s="3"/>
      <c r="L705" s="3"/>
      <c r="M705" s="3"/>
      <c r="N705" s="3"/>
      <c r="O705" s="3"/>
      <c r="P705" s="3"/>
      <c r="Q705" s="3"/>
      <c r="R705" s="3"/>
    </row>
    <row r="706" spans="1:18" x14ac:dyDescent="0.75">
      <c r="A706" s="3"/>
      <c r="B706" s="3"/>
      <c r="C706" s="6"/>
      <c r="D706" s="6"/>
      <c r="E706" s="15"/>
      <c r="F706" s="6"/>
      <c r="G706" s="6"/>
      <c r="H706" s="3"/>
      <c r="I706" s="6"/>
      <c r="J706" s="3"/>
      <c r="K706" s="3"/>
      <c r="L706" s="3"/>
      <c r="M706" s="3"/>
      <c r="N706" s="3"/>
      <c r="O706" s="3"/>
      <c r="P706" s="3"/>
      <c r="Q706" s="3"/>
      <c r="R706" s="3"/>
    </row>
    <row r="707" spans="1:18" x14ac:dyDescent="0.75">
      <c r="A707" s="3"/>
      <c r="B707" s="3"/>
      <c r="C707" s="6"/>
      <c r="D707" s="6"/>
      <c r="E707" s="15"/>
      <c r="F707" s="6"/>
      <c r="G707" s="6"/>
      <c r="H707" s="3"/>
      <c r="I707" s="6"/>
      <c r="J707" s="3"/>
      <c r="K707" s="3"/>
      <c r="L707" s="3"/>
      <c r="M707" s="3"/>
      <c r="N707" s="3"/>
      <c r="O707" s="3"/>
      <c r="P707" s="3"/>
      <c r="Q707" s="3"/>
      <c r="R707" s="3"/>
    </row>
    <row r="708" spans="1:18" x14ac:dyDescent="0.75">
      <c r="A708" s="3"/>
      <c r="B708" s="3"/>
      <c r="C708" s="6"/>
      <c r="D708" s="6"/>
      <c r="E708" s="15"/>
      <c r="F708" s="6"/>
      <c r="G708" s="6"/>
      <c r="H708" s="3"/>
      <c r="I708" s="6"/>
      <c r="J708" s="3"/>
      <c r="K708" s="3"/>
      <c r="L708" s="3"/>
      <c r="M708" s="3"/>
      <c r="N708" s="3"/>
      <c r="O708" s="3"/>
      <c r="P708" s="3"/>
      <c r="Q708" s="3"/>
      <c r="R708" s="3"/>
    </row>
    <row r="709" spans="1:18" x14ac:dyDescent="0.75">
      <c r="A709" s="3"/>
      <c r="B709" s="3"/>
      <c r="C709" s="6"/>
      <c r="D709" s="6"/>
      <c r="E709" s="15"/>
      <c r="F709" s="6"/>
      <c r="G709" s="6"/>
      <c r="H709" s="3"/>
      <c r="I709" s="6"/>
      <c r="J709" s="3"/>
      <c r="K709" s="3"/>
      <c r="L709" s="3"/>
      <c r="M709" s="3"/>
      <c r="N709" s="3"/>
      <c r="O709" s="3"/>
      <c r="P709" s="3"/>
      <c r="Q709" s="3"/>
      <c r="R709" s="3"/>
    </row>
    <row r="710" spans="1:18" x14ac:dyDescent="0.75">
      <c r="A710" s="3"/>
      <c r="B710" s="3"/>
      <c r="C710" s="6"/>
      <c r="D710" s="6"/>
      <c r="E710" s="15"/>
      <c r="F710" s="6"/>
      <c r="G710" s="6"/>
      <c r="H710" s="3"/>
      <c r="I710" s="6"/>
      <c r="J710" s="3"/>
      <c r="K710" s="3"/>
      <c r="L710" s="3"/>
      <c r="M710" s="3"/>
      <c r="N710" s="3"/>
      <c r="O710" s="3"/>
      <c r="P710" s="3"/>
      <c r="Q710" s="3"/>
      <c r="R710" s="3"/>
    </row>
    <row r="711" spans="1:18" x14ac:dyDescent="0.75">
      <c r="A711" s="3"/>
      <c r="B711" s="3"/>
      <c r="C711" s="6"/>
      <c r="D711" s="6"/>
      <c r="E711" s="15"/>
      <c r="F711" s="6"/>
      <c r="G711" s="6"/>
      <c r="H711" s="3"/>
      <c r="I711" s="6"/>
      <c r="J711" s="3"/>
      <c r="K711" s="3"/>
      <c r="L711" s="3"/>
      <c r="M711" s="3"/>
      <c r="N711" s="3"/>
      <c r="O711" s="3"/>
      <c r="P711" s="3"/>
      <c r="Q711" s="3"/>
      <c r="R711" s="3"/>
    </row>
    <row r="712" spans="1:18" x14ac:dyDescent="0.75">
      <c r="A712" s="3"/>
      <c r="B712" s="3"/>
      <c r="C712" s="6"/>
      <c r="D712" s="6"/>
      <c r="E712" s="15"/>
      <c r="F712" s="6"/>
      <c r="G712" s="6"/>
      <c r="H712" s="3"/>
      <c r="I712" s="6"/>
      <c r="J712" s="3"/>
      <c r="K712" s="3"/>
      <c r="L712" s="3"/>
      <c r="M712" s="3"/>
      <c r="N712" s="3"/>
      <c r="O712" s="3"/>
      <c r="P712" s="3"/>
      <c r="Q712" s="3"/>
      <c r="R712" s="3"/>
    </row>
    <row r="713" spans="1:18" x14ac:dyDescent="0.75">
      <c r="A713" s="3"/>
      <c r="B713" s="3"/>
      <c r="C713" s="6"/>
      <c r="D713" s="6"/>
      <c r="E713" s="15"/>
      <c r="F713" s="6"/>
      <c r="G713" s="6"/>
      <c r="H713" s="3"/>
      <c r="I713" s="6"/>
      <c r="J713" s="3"/>
      <c r="K713" s="3"/>
      <c r="L713" s="3"/>
      <c r="M713" s="3"/>
      <c r="N713" s="3"/>
      <c r="O713" s="3"/>
      <c r="P713" s="3"/>
      <c r="Q713" s="3"/>
      <c r="R713" s="3"/>
    </row>
    <row r="714" spans="1:18" x14ac:dyDescent="0.75">
      <c r="A714" s="3"/>
      <c r="B714" s="3"/>
      <c r="C714" s="6"/>
      <c r="D714" s="6"/>
      <c r="E714" s="15"/>
      <c r="F714" s="6"/>
      <c r="G714" s="6"/>
      <c r="H714" s="3"/>
      <c r="I714" s="6"/>
      <c r="J714" s="3"/>
      <c r="K714" s="3"/>
      <c r="L714" s="3"/>
      <c r="M714" s="3"/>
      <c r="N714" s="3"/>
      <c r="O714" s="3"/>
      <c r="P714" s="3"/>
      <c r="Q714" s="3"/>
      <c r="R714" s="3"/>
    </row>
    <row r="715" spans="1:18" x14ac:dyDescent="0.75">
      <c r="A715" s="3"/>
      <c r="B715" s="3"/>
      <c r="C715" s="6"/>
      <c r="D715" s="6"/>
      <c r="E715" s="15"/>
      <c r="F715" s="6"/>
      <c r="G715" s="6"/>
      <c r="H715" s="3"/>
      <c r="I715" s="6"/>
      <c r="J715" s="3"/>
      <c r="K715" s="3"/>
      <c r="L715" s="3"/>
      <c r="M715" s="3"/>
      <c r="N715" s="3"/>
      <c r="O715" s="3"/>
      <c r="P715" s="3"/>
      <c r="Q715" s="3"/>
      <c r="R715" s="3"/>
    </row>
    <row r="716" spans="1:18" x14ac:dyDescent="0.75">
      <c r="A716" s="3"/>
      <c r="B716" s="3"/>
      <c r="C716" s="6"/>
      <c r="D716" s="6"/>
      <c r="E716" s="15"/>
      <c r="F716" s="6"/>
      <c r="G716" s="6"/>
      <c r="H716" s="3"/>
      <c r="I716" s="6"/>
      <c r="J716" s="3"/>
      <c r="K716" s="3"/>
      <c r="L716" s="3"/>
      <c r="M716" s="3"/>
      <c r="N716" s="3"/>
      <c r="O716" s="3"/>
      <c r="P716" s="3"/>
      <c r="Q716" s="3"/>
      <c r="R716" s="3"/>
    </row>
    <row r="717" spans="1:18" x14ac:dyDescent="0.75">
      <c r="A717" s="3"/>
      <c r="B717" s="3"/>
      <c r="C717" s="6"/>
      <c r="D717" s="6"/>
      <c r="E717" s="15"/>
      <c r="F717" s="6"/>
      <c r="G717" s="6"/>
      <c r="H717" s="3"/>
      <c r="I717" s="6"/>
      <c r="J717" s="3"/>
      <c r="K717" s="3"/>
      <c r="L717" s="3"/>
      <c r="M717" s="3"/>
      <c r="N717" s="3"/>
      <c r="O717" s="3"/>
      <c r="P717" s="3"/>
      <c r="Q717" s="3"/>
      <c r="R717" s="3"/>
    </row>
    <row r="718" spans="1:18" x14ac:dyDescent="0.75">
      <c r="A718" s="3"/>
      <c r="B718" s="3"/>
      <c r="C718" s="6"/>
      <c r="D718" s="6"/>
      <c r="E718" s="15"/>
      <c r="F718" s="6"/>
      <c r="G718" s="6"/>
      <c r="H718" s="3"/>
      <c r="I718" s="6"/>
      <c r="J718" s="3"/>
      <c r="K718" s="3"/>
      <c r="L718" s="3"/>
      <c r="M718" s="3"/>
      <c r="N718" s="3"/>
      <c r="O718" s="3"/>
      <c r="P718" s="3"/>
      <c r="Q718" s="3"/>
      <c r="R718" s="3"/>
    </row>
    <row r="719" spans="1:18" x14ac:dyDescent="0.75">
      <c r="A719" s="3"/>
      <c r="B719" s="3"/>
      <c r="C719" s="6"/>
      <c r="D719" s="6"/>
      <c r="E719" s="15"/>
      <c r="F719" s="6"/>
      <c r="G719" s="6"/>
      <c r="H719" s="3"/>
      <c r="I719" s="6"/>
      <c r="J719" s="3"/>
      <c r="K719" s="3"/>
      <c r="L719" s="3"/>
      <c r="M719" s="3"/>
      <c r="N719" s="3"/>
      <c r="O719" s="3"/>
      <c r="P719" s="3"/>
      <c r="Q719" s="3"/>
      <c r="R719" s="3"/>
    </row>
    <row r="720" spans="1:18" x14ac:dyDescent="0.75">
      <c r="A720" s="3"/>
      <c r="B720" s="3"/>
      <c r="C720" s="6"/>
      <c r="D720" s="6"/>
      <c r="E720" s="15"/>
      <c r="F720" s="6"/>
      <c r="G720" s="6"/>
      <c r="H720" s="3"/>
      <c r="I720" s="6"/>
      <c r="J720" s="3"/>
      <c r="K720" s="3"/>
      <c r="L720" s="3"/>
      <c r="M720" s="3"/>
      <c r="N720" s="3"/>
      <c r="O720" s="3"/>
      <c r="P720" s="3"/>
      <c r="Q720" s="3"/>
      <c r="R720" s="3"/>
    </row>
    <row r="721" spans="1:18" x14ac:dyDescent="0.75">
      <c r="A721" s="3"/>
      <c r="B721" s="3"/>
      <c r="C721" s="6"/>
      <c r="D721" s="6"/>
      <c r="E721" s="15"/>
      <c r="F721" s="6"/>
      <c r="G721" s="6"/>
      <c r="H721" s="3"/>
      <c r="I721" s="6"/>
      <c r="J721" s="3"/>
      <c r="K721" s="3"/>
      <c r="L721" s="3"/>
      <c r="M721" s="3"/>
      <c r="N721" s="3"/>
      <c r="O721" s="3"/>
      <c r="P721" s="3"/>
      <c r="Q721" s="3"/>
      <c r="R721" s="3"/>
    </row>
    <row r="722" spans="1:18" x14ac:dyDescent="0.75">
      <c r="A722" s="3"/>
      <c r="B722" s="3"/>
      <c r="C722" s="6"/>
      <c r="D722" s="6"/>
      <c r="E722" s="15"/>
      <c r="F722" s="6"/>
      <c r="G722" s="6"/>
      <c r="H722" s="3"/>
      <c r="I722" s="6"/>
      <c r="J722" s="3"/>
      <c r="K722" s="3"/>
      <c r="L722" s="3"/>
      <c r="M722" s="3"/>
      <c r="N722" s="3"/>
      <c r="O722" s="3"/>
      <c r="P722" s="3"/>
      <c r="Q722" s="3"/>
      <c r="R722" s="3"/>
    </row>
    <row r="723" spans="1:18" x14ac:dyDescent="0.75">
      <c r="A723" s="3"/>
      <c r="B723" s="3"/>
      <c r="C723" s="6"/>
      <c r="D723" s="6"/>
      <c r="E723" s="15"/>
      <c r="F723" s="6"/>
      <c r="G723" s="6"/>
      <c r="H723" s="3"/>
      <c r="I723" s="6"/>
      <c r="J723" s="3"/>
      <c r="K723" s="3"/>
      <c r="L723" s="3"/>
      <c r="M723" s="3"/>
      <c r="N723" s="3"/>
      <c r="O723" s="3"/>
      <c r="P723" s="3"/>
      <c r="Q723" s="3"/>
      <c r="R723" s="3"/>
    </row>
    <row r="724" spans="1:18" x14ac:dyDescent="0.75">
      <c r="A724" s="3"/>
      <c r="B724" s="3"/>
      <c r="C724" s="6"/>
      <c r="D724" s="6"/>
      <c r="E724" s="15"/>
      <c r="F724" s="6"/>
      <c r="G724" s="6"/>
      <c r="H724" s="3"/>
      <c r="I724" s="6"/>
      <c r="J724" s="3"/>
      <c r="K724" s="3"/>
      <c r="L724" s="3"/>
      <c r="M724" s="3"/>
      <c r="N724" s="3"/>
      <c r="O724" s="3"/>
      <c r="P724" s="3"/>
      <c r="Q724" s="3"/>
      <c r="R724" s="3"/>
    </row>
    <row r="725" spans="1:18" x14ac:dyDescent="0.75">
      <c r="A725" s="3"/>
      <c r="B725" s="3"/>
      <c r="C725" s="6"/>
      <c r="D725" s="6"/>
      <c r="E725" s="15"/>
      <c r="F725" s="6"/>
      <c r="G725" s="6"/>
      <c r="H725" s="3"/>
      <c r="I725" s="6"/>
      <c r="J725" s="3"/>
      <c r="K725" s="3"/>
      <c r="L725" s="3"/>
      <c r="M725" s="3"/>
      <c r="N725" s="3"/>
      <c r="O725" s="3"/>
      <c r="P725" s="3"/>
      <c r="Q725" s="3"/>
      <c r="R725" s="3"/>
    </row>
    <row r="726" spans="1:18" x14ac:dyDescent="0.75">
      <c r="A726" s="3"/>
      <c r="B726" s="3"/>
      <c r="C726" s="6"/>
      <c r="D726" s="6"/>
      <c r="E726" s="15"/>
      <c r="F726" s="6"/>
      <c r="G726" s="6"/>
      <c r="H726" s="3"/>
      <c r="I726" s="6"/>
      <c r="J726" s="3"/>
      <c r="K726" s="3"/>
      <c r="L726" s="3"/>
      <c r="M726" s="3"/>
      <c r="N726" s="3"/>
      <c r="O726" s="3"/>
      <c r="P726" s="3"/>
      <c r="Q726" s="3"/>
      <c r="R726" s="3"/>
    </row>
    <row r="727" spans="1:18" x14ac:dyDescent="0.75">
      <c r="A727" s="3"/>
      <c r="B727" s="3"/>
      <c r="C727" s="6"/>
      <c r="D727" s="6"/>
      <c r="E727" s="15"/>
      <c r="F727" s="6"/>
      <c r="G727" s="6"/>
      <c r="H727" s="3"/>
      <c r="I727" s="6"/>
      <c r="J727" s="3"/>
      <c r="K727" s="3"/>
      <c r="L727" s="3"/>
      <c r="M727" s="3"/>
      <c r="N727" s="3"/>
      <c r="O727" s="3"/>
      <c r="P727" s="3"/>
      <c r="Q727" s="3"/>
      <c r="R727" s="3"/>
    </row>
    <row r="728" spans="1:18" x14ac:dyDescent="0.75">
      <c r="A728" s="3"/>
      <c r="B728" s="3"/>
      <c r="C728" s="6"/>
      <c r="D728" s="6"/>
      <c r="E728" s="15"/>
      <c r="F728" s="6"/>
      <c r="G728" s="6"/>
      <c r="H728" s="3"/>
      <c r="I728" s="6"/>
      <c r="J728" s="3"/>
      <c r="K728" s="3"/>
      <c r="L728" s="3"/>
      <c r="M728" s="3"/>
      <c r="N728" s="3"/>
      <c r="O728" s="3"/>
      <c r="P728" s="3"/>
      <c r="Q728" s="3"/>
      <c r="R728" s="3"/>
    </row>
    <row r="729" spans="1:18" x14ac:dyDescent="0.75">
      <c r="A729" s="3"/>
      <c r="B729" s="3"/>
      <c r="C729" s="6"/>
      <c r="D729" s="6"/>
      <c r="E729" s="15"/>
      <c r="F729" s="6"/>
      <c r="G729" s="6"/>
      <c r="H729" s="3"/>
      <c r="I729" s="6"/>
      <c r="J729" s="3"/>
      <c r="K729" s="3"/>
      <c r="L729" s="3"/>
      <c r="M729" s="3"/>
      <c r="N729" s="3"/>
      <c r="O729" s="3"/>
      <c r="P729" s="3"/>
      <c r="Q729" s="3"/>
      <c r="R729" s="3"/>
    </row>
    <row r="730" spans="1:18" x14ac:dyDescent="0.75">
      <c r="A730" s="3"/>
      <c r="B730" s="3"/>
      <c r="C730" s="6"/>
      <c r="D730" s="6"/>
      <c r="E730" s="15"/>
      <c r="F730" s="6"/>
      <c r="G730" s="6"/>
      <c r="H730" s="3"/>
      <c r="I730" s="6"/>
      <c r="J730" s="3"/>
      <c r="K730" s="3"/>
      <c r="L730" s="3"/>
      <c r="M730" s="3"/>
      <c r="N730" s="3"/>
      <c r="O730" s="3"/>
      <c r="P730" s="3"/>
      <c r="Q730" s="3"/>
      <c r="R730" s="3"/>
    </row>
    <row r="731" spans="1:18" x14ac:dyDescent="0.75">
      <c r="A731" s="3"/>
      <c r="B731" s="3"/>
      <c r="C731" s="6"/>
      <c r="D731" s="6"/>
      <c r="E731" s="15"/>
      <c r="F731" s="6"/>
      <c r="G731" s="6"/>
      <c r="H731" s="3"/>
      <c r="I731" s="6"/>
      <c r="J731" s="3"/>
      <c r="K731" s="3"/>
      <c r="L731" s="3"/>
      <c r="M731" s="3"/>
      <c r="N731" s="3"/>
      <c r="O731" s="3"/>
      <c r="P731" s="3"/>
      <c r="Q731" s="3"/>
      <c r="R731" s="3"/>
    </row>
    <row r="732" spans="1:18" x14ac:dyDescent="0.75">
      <c r="A732" s="3"/>
      <c r="B732" s="3"/>
      <c r="C732" s="6"/>
      <c r="D732" s="6"/>
      <c r="E732" s="15"/>
      <c r="F732" s="6"/>
      <c r="G732" s="6"/>
      <c r="H732" s="3"/>
      <c r="I732" s="6"/>
      <c r="J732" s="3"/>
      <c r="K732" s="3"/>
      <c r="L732" s="3"/>
      <c r="M732" s="3"/>
      <c r="N732" s="3"/>
      <c r="O732" s="3"/>
      <c r="P732" s="3"/>
      <c r="Q732" s="3"/>
      <c r="R732" s="3"/>
    </row>
    <row r="733" spans="1:18" x14ac:dyDescent="0.75">
      <c r="A733" s="3"/>
      <c r="B733" s="3"/>
      <c r="C733" s="6"/>
      <c r="D733" s="6"/>
      <c r="E733" s="15"/>
      <c r="F733" s="6"/>
      <c r="G733" s="6"/>
      <c r="H733" s="3"/>
      <c r="I733" s="6"/>
      <c r="J733" s="3"/>
      <c r="K733" s="3"/>
      <c r="L733" s="3"/>
      <c r="M733" s="3"/>
      <c r="N733" s="3"/>
      <c r="O733" s="3"/>
      <c r="P733" s="3"/>
      <c r="Q733" s="3"/>
      <c r="R733" s="3"/>
    </row>
    <row r="734" spans="1:18" x14ac:dyDescent="0.75">
      <c r="A734" s="3"/>
      <c r="B734" s="3"/>
      <c r="C734" s="6"/>
      <c r="D734" s="6"/>
      <c r="E734" s="15"/>
      <c r="F734" s="6"/>
      <c r="G734" s="6"/>
      <c r="H734" s="3"/>
      <c r="I734" s="6"/>
      <c r="J734" s="3"/>
      <c r="K734" s="3"/>
      <c r="L734" s="3"/>
      <c r="M734" s="3"/>
      <c r="N734" s="3"/>
      <c r="O734" s="3"/>
      <c r="P734" s="3"/>
      <c r="Q734" s="3"/>
      <c r="R734" s="3"/>
    </row>
    <row r="735" spans="1:18" x14ac:dyDescent="0.75">
      <c r="A735" s="3"/>
      <c r="B735" s="3"/>
      <c r="C735" s="6"/>
      <c r="D735" s="6"/>
      <c r="E735" s="15"/>
      <c r="F735" s="6"/>
      <c r="G735" s="6"/>
      <c r="H735" s="3"/>
      <c r="I735" s="6"/>
      <c r="J735" s="3"/>
      <c r="K735" s="3"/>
      <c r="L735" s="3"/>
      <c r="M735" s="3"/>
      <c r="N735" s="3"/>
      <c r="O735" s="3"/>
      <c r="P735" s="3"/>
      <c r="Q735" s="3"/>
      <c r="R735" s="3"/>
    </row>
    <row r="736" spans="1:18" x14ac:dyDescent="0.75">
      <c r="A736" s="3"/>
      <c r="B736" s="3"/>
      <c r="C736" s="6"/>
      <c r="D736" s="6"/>
      <c r="E736" s="15"/>
      <c r="F736" s="6"/>
      <c r="G736" s="6"/>
      <c r="H736" s="3"/>
      <c r="I736" s="6"/>
      <c r="J736" s="3"/>
      <c r="K736" s="3"/>
      <c r="L736" s="3"/>
      <c r="M736" s="3"/>
      <c r="N736" s="3"/>
      <c r="O736" s="3"/>
      <c r="P736" s="3"/>
      <c r="Q736" s="3"/>
      <c r="R736" s="3"/>
    </row>
    <row r="737" spans="1:18" x14ac:dyDescent="0.75">
      <c r="A737" s="3"/>
      <c r="B737" s="3"/>
      <c r="C737" s="6"/>
      <c r="D737" s="6"/>
      <c r="E737" s="15"/>
      <c r="F737" s="6"/>
      <c r="G737" s="6"/>
      <c r="H737" s="3"/>
      <c r="I737" s="6"/>
      <c r="J737" s="3"/>
      <c r="K737" s="3"/>
      <c r="L737" s="3"/>
      <c r="M737" s="3"/>
      <c r="N737" s="3"/>
      <c r="O737" s="3"/>
      <c r="P737" s="3"/>
      <c r="Q737" s="3"/>
      <c r="R737" s="3"/>
    </row>
    <row r="738" spans="1:18" x14ac:dyDescent="0.75">
      <c r="A738" s="3"/>
      <c r="B738" s="3"/>
      <c r="C738" s="6"/>
      <c r="D738" s="6"/>
      <c r="E738" s="15"/>
      <c r="F738" s="6"/>
      <c r="G738" s="6"/>
      <c r="H738" s="3"/>
      <c r="I738" s="6"/>
      <c r="J738" s="3"/>
      <c r="K738" s="3"/>
      <c r="L738" s="3"/>
      <c r="M738" s="3"/>
      <c r="N738" s="3"/>
      <c r="O738" s="3"/>
      <c r="P738" s="3"/>
      <c r="Q738" s="3"/>
      <c r="R738" s="3"/>
    </row>
    <row r="739" spans="1:18" x14ac:dyDescent="0.75">
      <c r="A739" s="3"/>
      <c r="B739" s="3"/>
      <c r="C739" s="6"/>
      <c r="D739" s="6"/>
      <c r="E739" s="15"/>
      <c r="F739" s="6"/>
      <c r="G739" s="6"/>
      <c r="H739" s="3"/>
      <c r="I739" s="6"/>
      <c r="J739" s="3"/>
      <c r="K739" s="3"/>
      <c r="L739" s="3"/>
      <c r="M739" s="3"/>
      <c r="N739" s="3"/>
      <c r="O739" s="3"/>
      <c r="P739" s="3"/>
      <c r="Q739" s="3"/>
      <c r="R739" s="3"/>
    </row>
    <row r="740" spans="1:18" x14ac:dyDescent="0.75">
      <c r="A740" s="3"/>
      <c r="B740" s="3"/>
      <c r="C740" s="6"/>
      <c r="D740" s="6"/>
      <c r="E740" s="15"/>
      <c r="F740" s="6"/>
      <c r="G740" s="6"/>
      <c r="H740" s="3"/>
      <c r="I740" s="6"/>
      <c r="J740" s="3"/>
      <c r="K740" s="3"/>
      <c r="L740" s="3"/>
      <c r="M740" s="3"/>
      <c r="N740" s="3"/>
      <c r="O740" s="3"/>
      <c r="P740" s="3"/>
      <c r="Q740" s="3"/>
      <c r="R740" s="3"/>
    </row>
    <row r="741" spans="1:18" x14ac:dyDescent="0.75">
      <c r="A741" s="3"/>
      <c r="B741" s="3"/>
      <c r="C741" s="6"/>
      <c r="D741" s="6"/>
      <c r="E741" s="15"/>
      <c r="F741" s="6"/>
      <c r="G741" s="6"/>
      <c r="H741" s="3"/>
      <c r="I741" s="6"/>
      <c r="J741" s="3"/>
      <c r="K741" s="3"/>
      <c r="L741" s="3"/>
      <c r="M741" s="3"/>
      <c r="N741" s="3"/>
      <c r="O741" s="3"/>
      <c r="P741" s="3"/>
      <c r="Q741" s="3"/>
      <c r="R741" s="3"/>
    </row>
    <row r="742" spans="1:18" x14ac:dyDescent="0.75">
      <c r="A742" s="3"/>
      <c r="B742" s="3"/>
      <c r="C742" s="6"/>
      <c r="D742" s="6"/>
      <c r="E742" s="15"/>
      <c r="F742" s="6"/>
      <c r="G742" s="6"/>
      <c r="H742" s="3"/>
      <c r="I742" s="6"/>
      <c r="J742" s="3"/>
      <c r="K742" s="3"/>
      <c r="L742" s="3"/>
      <c r="M742" s="3"/>
      <c r="N742" s="3"/>
      <c r="O742" s="3"/>
      <c r="P742" s="3"/>
      <c r="Q742" s="3"/>
      <c r="R742" s="3"/>
    </row>
    <row r="743" spans="1:18" x14ac:dyDescent="0.75">
      <c r="A743" s="3"/>
      <c r="B743" s="3"/>
      <c r="C743" s="6"/>
      <c r="D743" s="6"/>
      <c r="E743" s="15"/>
      <c r="F743" s="6"/>
      <c r="G743" s="6"/>
      <c r="H743" s="3"/>
      <c r="I743" s="6"/>
      <c r="J743" s="3"/>
      <c r="K743" s="3"/>
      <c r="L743" s="3"/>
      <c r="M743" s="3"/>
      <c r="N743" s="3"/>
      <c r="O743" s="3"/>
      <c r="P743" s="3"/>
      <c r="Q743" s="3"/>
      <c r="R743" s="3"/>
    </row>
    <row r="744" spans="1:18" x14ac:dyDescent="0.75">
      <c r="A744" s="3"/>
      <c r="B744" s="3"/>
      <c r="C744" s="6"/>
      <c r="D744" s="6"/>
      <c r="E744" s="15"/>
      <c r="F744" s="6"/>
      <c r="G744" s="6"/>
      <c r="H744" s="3"/>
      <c r="I744" s="6"/>
      <c r="J744" s="3"/>
      <c r="K744" s="3"/>
      <c r="L744" s="3"/>
      <c r="M744" s="3"/>
      <c r="N744" s="3"/>
      <c r="O744" s="3"/>
      <c r="P744" s="3"/>
      <c r="Q744" s="3"/>
      <c r="R744" s="3"/>
    </row>
    <row r="745" spans="1:18" x14ac:dyDescent="0.75">
      <c r="A745" s="3"/>
      <c r="B745" s="3"/>
      <c r="C745" s="6"/>
      <c r="D745" s="6"/>
      <c r="E745" s="15"/>
      <c r="F745" s="6"/>
      <c r="G745" s="6"/>
      <c r="H745" s="3"/>
      <c r="I745" s="6"/>
      <c r="J745" s="3"/>
      <c r="K745" s="3"/>
      <c r="L745" s="3"/>
      <c r="M745" s="3"/>
      <c r="N745" s="3"/>
      <c r="O745" s="3"/>
      <c r="P745" s="3"/>
      <c r="Q745" s="3"/>
      <c r="R745" s="3"/>
    </row>
    <row r="746" spans="1:18" x14ac:dyDescent="0.75">
      <c r="A746" s="3"/>
      <c r="B746" s="3"/>
      <c r="C746" s="6"/>
      <c r="D746" s="6"/>
      <c r="E746" s="15"/>
      <c r="F746" s="6"/>
      <c r="G746" s="6"/>
      <c r="H746" s="3"/>
      <c r="I746" s="6"/>
      <c r="J746" s="3"/>
      <c r="K746" s="3"/>
      <c r="L746" s="3"/>
      <c r="M746" s="3"/>
      <c r="N746" s="3"/>
      <c r="O746" s="3"/>
      <c r="P746" s="3"/>
      <c r="Q746" s="3"/>
      <c r="R746" s="3"/>
    </row>
    <row r="747" spans="1:18" x14ac:dyDescent="0.75">
      <c r="A747" s="3"/>
      <c r="B747" s="3"/>
      <c r="C747" s="6"/>
      <c r="D747" s="6"/>
      <c r="E747" s="15"/>
      <c r="F747" s="6"/>
      <c r="G747" s="6"/>
      <c r="H747" s="3"/>
      <c r="I747" s="6"/>
      <c r="J747" s="3"/>
      <c r="K747" s="3"/>
      <c r="L747" s="3"/>
      <c r="M747" s="3"/>
      <c r="N747" s="3"/>
      <c r="O747" s="3"/>
      <c r="P747" s="3"/>
      <c r="Q747" s="3"/>
      <c r="R747" s="3"/>
    </row>
    <row r="748" spans="1:18" x14ac:dyDescent="0.75">
      <c r="A748" s="3"/>
      <c r="B748" s="3"/>
      <c r="C748" s="6"/>
      <c r="D748" s="6"/>
      <c r="E748" s="15"/>
      <c r="F748" s="6"/>
      <c r="G748" s="6"/>
      <c r="H748" s="3"/>
      <c r="I748" s="6"/>
      <c r="J748" s="3"/>
      <c r="K748" s="3"/>
      <c r="L748" s="3"/>
      <c r="M748" s="3"/>
      <c r="N748" s="3"/>
      <c r="O748" s="3"/>
      <c r="P748" s="3"/>
      <c r="Q748" s="3"/>
      <c r="R748" s="3"/>
    </row>
    <row r="749" spans="1:18" x14ac:dyDescent="0.75">
      <c r="A749" s="3"/>
      <c r="B749" s="3"/>
      <c r="C749" s="6"/>
      <c r="D749" s="6"/>
      <c r="E749" s="15"/>
      <c r="F749" s="6"/>
      <c r="G749" s="6"/>
      <c r="H749" s="3"/>
      <c r="I749" s="6"/>
      <c r="J749" s="3"/>
      <c r="K749" s="3"/>
      <c r="L749" s="3"/>
      <c r="M749" s="3"/>
      <c r="N749" s="3"/>
      <c r="O749" s="3"/>
      <c r="P749" s="3"/>
      <c r="Q749" s="3"/>
      <c r="R749" s="3"/>
    </row>
    <row r="750" spans="1:18" x14ac:dyDescent="0.75">
      <c r="A750" s="3"/>
      <c r="B750" s="3"/>
      <c r="C750" s="6"/>
      <c r="D750" s="6"/>
      <c r="E750" s="15"/>
      <c r="F750" s="6"/>
      <c r="G750" s="6"/>
      <c r="H750" s="3"/>
      <c r="I750" s="6"/>
      <c r="J750" s="3"/>
      <c r="K750" s="3"/>
      <c r="L750" s="3"/>
      <c r="M750" s="3"/>
      <c r="N750" s="3"/>
      <c r="O750" s="3"/>
      <c r="P750" s="3"/>
      <c r="Q750" s="3"/>
      <c r="R750" s="3"/>
    </row>
    <row r="751" spans="1:18" x14ac:dyDescent="0.75">
      <c r="A751" s="3"/>
      <c r="B751" s="3"/>
      <c r="C751" s="6"/>
      <c r="D751" s="6"/>
      <c r="E751" s="15"/>
      <c r="F751" s="6"/>
      <c r="G751" s="6"/>
      <c r="H751" s="3"/>
      <c r="I751" s="6"/>
      <c r="J751" s="3"/>
      <c r="K751" s="3"/>
      <c r="L751" s="3"/>
      <c r="M751" s="3"/>
      <c r="N751" s="3"/>
      <c r="O751" s="3"/>
      <c r="P751" s="3"/>
      <c r="Q751" s="3"/>
      <c r="R751" s="3"/>
    </row>
    <row r="752" spans="1:18" x14ac:dyDescent="0.75">
      <c r="A752" s="3"/>
      <c r="B752" s="3"/>
      <c r="C752" s="6"/>
      <c r="D752" s="6"/>
      <c r="E752" s="15"/>
      <c r="F752" s="6"/>
      <c r="G752" s="6"/>
      <c r="H752" s="3"/>
      <c r="I752" s="6"/>
      <c r="J752" s="3"/>
      <c r="K752" s="3"/>
      <c r="L752" s="3"/>
      <c r="M752" s="3"/>
      <c r="N752" s="3"/>
      <c r="O752" s="3"/>
      <c r="P752" s="3"/>
      <c r="Q752" s="3"/>
      <c r="R752" s="3"/>
    </row>
    <row r="753" spans="1:18" x14ac:dyDescent="0.75">
      <c r="A753" s="3"/>
      <c r="B753" s="3"/>
      <c r="C753" s="6"/>
      <c r="D753" s="6"/>
      <c r="E753" s="15"/>
      <c r="F753" s="6"/>
      <c r="G753" s="6"/>
      <c r="H753" s="3"/>
      <c r="I753" s="6"/>
      <c r="J753" s="3"/>
      <c r="K753" s="3"/>
      <c r="L753" s="3"/>
      <c r="M753" s="3"/>
      <c r="N753" s="3"/>
      <c r="O753" s="3"/>
      <c r="P753" s="3"/>
      <c r="Q753" s="3"/>
      <c r="R753" s="3"/>
    </row>
    <row r="754" spans="1:18" x14ac:dyDescent="0.75">
      <c r="A754" s="3"/>
      <c r="B754" s="3"/>
      <c r="C754" s="6"/>
      <c r="D754" s="6"/>
      <c r="E754" s="15"/>
      <c r="F754" s="6"/>
      <c r="G754" s="6"/>
      <c r="H754" s="3"/>
      <c r="I754" s="6"/>
      <c r="J754" s="3"/>
      <c r="K754" s="3"/>
      <c r="L754" s="3"/>
      <c r="M754" s="3"/>
      <c r="N754" s="3"/>
      <c r="O754" s="3"/>
      <c r="P754" s="3"/>
      <c r="Q754" s="3"/>
      <c r="R754" s="3"/>
    </row>
    <row r="755" spans="1:18" x14ac:dyDescent="0.75">
      <c r="A755" s="3"/>
      <c r="B755" s="3"/>
      <c r="C755" s="6"/>
      <c r="D755" s="6"/>
      <c r="E755" s="15"/>
      <c r="F755" s="6"/>
      <c r="G755" s="6"/>
      <c r="H755" s="3"/>
      <c r="I755" s="6"/>
      <c r="J755" s="3"/>
      <c r="K755" s="3"/>
      <c r="L755" s="3"/>
      <c r="M755" s="3"/>
      <c r="N755" s="3"/>
      <c r="O755" s="3"/>
      <c r="P755" s="3"/>
      <c r="Q755" s="3"/>
      <c r="R755" s="3"/>
    </row>
    <row r="756" spans="1:18" x14ac:dyDescent="0.75">
      <c r="A756" s="3"/>
      <c r="B756" s="3"/>
      <c r="C756" s="6"/>
      <c r="D756" s="6"/>
      <c r="E756" s="15"/>
      <c r="F756" s="6"/>
      <c r="G756" s="6"/>
      <c r="H756" s="3"/>
      <c r="I756" s="6"/>
      <c r="J756" s="3"/>
      <c r="K756" s="3"/>
      <c r="L756" s="3"/>
      <c r="M756" s="3"/>
      <c r="N756" s="3"/>
      <c r="O756" s="3"/>
      <c r="P756" s="3"/>
      <c r="Q756" s="3"/>
      <c r="R756" s="3"/>
    </row>
    <row r="757" spans="1:18" x14ac:dyDescent="0.75">
      <c r="A757" s="3"/>
      <c r="B757" s="3"/>
      <c r="C757" s="6"/>
      <c r="D757" s="6"/>
      <c r="E757" s="15"/>
      <c r="F757" s="6"/>
      <c r="G757" s="6"/>
      <c r="H757" s="3"/>
      <c r="I757" s="6"/>
      <c r="J757" s="3"/>
      <c r="K757" s="3"/>
      <c r="L757" s="3"/>
      <c r="M757" s="3"/>
      <c r="N757" s="3"/>
      <c r="O757" s="3"/>
      <c r="P757" s="3"/>
      <c r="Q757" s="3"/>
      <c r="R757" s="3"/>
    </row>
    <row r="758" spans="1:18" x14ac:dyDescent="0.75">
      <c r="A758" s="3"/>
      <c r="B758" s="3"/>
      <c r="C758" s="6"/>
      <c r="D758" s="6"/>
      <c r="E758" s="15"/>
      <c r="F758" s="6"/>
      <c r="G758" s="6"/>
      <c r="H758" s="3"/>
      <c r="I758" s="6"/>
      <c r="J758" s="3"/>
      <c r="K758" s="3"/>
      <c r="L758" s="3"/>
      <c r="M758" s="3"/>
      <c r="N758" s="3"/>
      <c r="O758" s="3"/>
      <c r="P758" s="3"/>
      <c r="Q758" s="3"/>
      <c r="R758" s="3"/>
    </row>
    <row r="759" spans="1:18" x14ac:dyDescent="0.75">
      <c r="A759" s="3"/>
      <c r="B759" s="3"/>
      <c r="C759" s="6"/>
      <c r="D759" s="6"/>
      <c r="E759" s="15"/>
      <c r="F759" s="6"/>
      <c r="G759" s="6"/>
      <c r="H759" s="3"/>
      <c r="I759" s="6"/>
      <c r="J759" s="3"/>
      <c r="K759" s="3"/>
      <c r="L759" s="3"/>
      <c r="M759" s="3"/>
      <c r="N759" s="3"/>
      <c r="O759" s="3"/>
      <c r="P759" s="3"/>
      <c r="Q759" s="3"/>
      <c r="R759" s="3"/>
    </row>
    <row r="760" spans="1:18" x14ac:dyDescent="0.75">
      <c r="A760" s="3"/>
      <c r="B760" s="3"/>
      <c r="C760" s="6"/>
      <c r="D760" s="6"/>
      <c r="E760" s="15"/>
      <c r="F760" s="6"/>
      <c r="G760" s="6"/>
      <c r="H760" s="3"/>
      <c r="I760" s="6"/>
      <c r="J760" s="3"/>
      <c r="K760" s="3"/>
      <c r="L760" s="3"/>
      <c r="M760" s="3"/>
      <c r="N760" s="3"/>
      <c r="O760" s="3"/>
      <c r="P760" s="3"/>
      <c r="Q760" s="3"/>
      <c r="R760" s="3"/>
    </row>
    <row r="761" spans="1:18" x14ac:dyDescent="0.75">
      <c r="A761" s="3"/>
      <c r="B761" s="3"/>
      <c r="C761" s="6"/>
      <c r="D761" s="6"/>
      <c r="E761" s="15"/>
      <c r="F761" s="6"/>
      <c r="G761" s="6"/>
      <c r="H761" s="3"/>
      <c r="I761" s="6"/>
      <c r="J761" s="3"/>
      <c r="K761" s="3"/>
      <c r="L761" s="3"/>
      <c r="M761" s="3"/>
      <c r="N761" s="3"/>
      <c r="O761" s="3"/>
      <c r="P761" s="3"/>
      <c r="Q761" s="3"/>
      <c r="R761" s="3"/>
    </row>
    <row r="762" spans="1:18" x14ac:dyDescent="0.75">
      <c r="A762" s="3"/>
      <c r="B762" s="3"/>
      <c r="C762" s="6"/>
      <c r="D762" s="6"/>
      <c r="E762" s="15"/>
      <c r="F762" s="6"/>
      <c r="G762" s="6"/>
      <c r="H762" s="3"/>
      <c r="I762" s="6"/>
      <c r="J762" s="3"/>
      <c r="K762" s="3"/>
      <c r="L762" s="3"/>
      <c r="M762" s="3"/>
      <c r="N762" s="3"/>
      <c r="O762" s="3"/>
      <c r="P762" s="3"/>
      <c r="Q762" s="3"/>
      <c r="R762" s="3"/>
    </row>
    <row r="763" spans="1:18" x14ac:dyDescent="0.75">
      <c r="A763" s="3"/>
      <c r="B763" s="3"/>
      <c r="C763" s="6"/>
      <c r="D763" s="6"/>
      <c r="E763" s="15"/>
      <c r="F763" s="6"/>
      <c r="G763" s="6"/>
      <c r="H763" s="3"/>
      <c r="I763" s="6"/>
      <c r="J763" s="3"/>
      <c r="K763" s="3"/>
      <c r="L763" s="3"/>
      <c r="M763" s="3"/>
      <c r="N763" s="3"/>
      <c r="O763" s="3"/>
      <c r="P763" s="3"/>
      <c r="Q763" s="3"/>
      <c r="R763" s="3"/>
    </row>
    <row r="764" spans="1:18" x14ac:dyDescent="0.75">
      <c r="A764" s="3"/>
      <c r="B764" s="3"/>
      <c r="C764" s="6"/>
      <c r="D764" s="6"/>
      <c r="E764" s="15"/>
      <c r="F764" s="6"/>
      <c r="G764" s="6"/>
      <c r="H764" s="3"/>
      <c r="I764" s="6"/>
      <c r="J764" s="3"/>
      <c r="K764" s="3"/>
      <c r="L764" s="3"/>
      <c r="M764" s="3"/>
      <c r="N764" s="3"/>
      <c r="O764" s="3"/>
      <c r="P764" s="3"/>
      <c r="Q764" s="3"/>
      <c r="R764" s="3"/>
    </row>
    <row r="765" spans="1:18" x14ac:dyDescent="0.75">
      <c r="A765" s="3"/>
      <c r="B765" s="3"/>
      <c r="C765" s="6"/>
      <c r="D765" s="6"/>
      <c r="E765" s="15"/>
      <c r="F765" s="6"/>
      <c r="G765" s="6"/>
      <c r="H765" s="3"/>
      <c r="I765" s="6"/>
      <c r="J765" s="3"/>
      <c r="K765" s="3"/>
      <c r="L765" s="3"/>
      <c r="M765" s="3"/>
      <c r="N765" s="3"/>
      <c r="O765" s="3"/>
      <c r="P765" s="3"/>
      <c r="Q765" s="3"/>
      <c r="R765" s="3"/>
    </row>
    <row r="766" spans="1:18" x14ac:dyDescent="0.75">
      <c r="A766" s="3"/>
      <c r="B766" s="3"/>
      <c r="C766" s="6"/>
      <c r="D766" s="6"/>
      <c r="E766" s="15"/>
      <c r="F766" s="6"/>
      <c r="G766" s="6"/>
      <c r="H766" s="3"/>
      <c r="I766" s="6"/>
      <c r="J766" s="3"/>
      <c r="K766" s="3"/>
      <c r="L766" s="3"/>
      <c r="M766" s="3"/>
      <c r="N766" s="3"/>
      <c r="O766" s="3"/>
      <c r="P766" s="3"/>
      <c r="Q766" s="3"/>
      <c r="R766" s="3"/>
    </row>
    <row r="767" spans="1:18" x14ac:dyDescent="0.75">
      <c r="A767" s="3"/>
      <c r="B767" s="3"/>
      <c r="C767" s="6"/>
      <c r="D767" s="6"/>
      <c r="E767" s="15"/>
      <c r="F767" s="6"/>
      <c r="G767" s="6"/>
      <c r="H767" s="3"/>
      <c r="I767" s="6"/>
      <c r="J767" s="3"/>
      <c r="K767" s="3"/>
      <c r="L767" s="3"/>
      <c r="M767" s="3"/>
      <c r="N767" s="3"/>
      <c r="O767" s="3"/>
      <c r="P767" s="3"/>
      <c r="Q767" s="3"/>
      <c r="R767" s="3"/>
    </row>
    <row r="768" spans="1:18" x14ac:dyDescent="0.75">
      <c r="A768" s="3"/>
      <c r="B768" s="3"/>
      <c r="C768" s="6"/>
      <c r="D768" s="6"/>
      <c r="E768" s="15"/>
      <c r="F768" s="6"/>
      <c r="G768" s="6"/>
      <c r="H768" s="3"/>
      <c r="I768" s="6"/>
      <c r="J768" s="3"/>
      <c r="K768" s="3"/>
      <c r="L768" s="3"/>
      <c r="M768" s="3"/>
      <c r="N768" s="3"/>
      <c r="O768" s="3"/>
      <c r="P768" s="3"/>
      <c r="Q768" s="3"/>
      <c r="R768" s="3"/>
    </row>
    <row r="769" spans="1:18" x14ac:dyDescent="0.75">
      <c r="A769" s="3"/>
      <c r="B769" s="3"/>
      <c r="C769" s="6"/>
      <c r="D769" s="6"/>
      <c r="E769" s="15"/>
      <c r="F769" s="6"/>
      <c r="G769" s="6"/>
      <c r="H769" s="3"/>
      <c r="I769" s="6"/>
      <c r="J769" s="3"/>
      <c r="K769" s="3"/>
      <c r="L769" s="3"/>
      <c r="M769" s="3"/>
      <c r="N769" s="3"/>
      <c r="O769" s="3"/>
      <c r="P769" s="3"/>
      <c r="Q769" s="3"/>
      <c r="R769" s="3"/>
    </row>
    <row r="770" spans="1:18" x14ac:dyDescent="0.75">
      <c r="A770" s="3"/>
      <c r="B770" s="3"/>
      <c r="C770" s="6"/>
      <c r="D770" s="6"/>
      <c r="E770" s="15"/>
      <c r="F770" s="6"/>
      <c r="G770" s="6"/>
      <c r="H770" s="3"/>
      <c r="I770" s="6"/>
      <c r="J770" s="3"/>
      <c r="K770" s="3"/>
      <c r="L770" s="3"/>
      <c r="M770" s="3"/>
      <c r="N770" s="3"/>
      <c r="O770" s="3"/>
      <c r="P770" s="3"/>
      <c r="Q770" s="3"/>
      <c r="R770" s="3"/>
    </row>
    <row r="771" spans="1:18" x14ac:dyDescent="0.75">
      <c r="A771" s="3"/>
      <c r="B771" s="3"/>
      <c r="C771" s="6"/>
      <c r="D771" s="6"/>
      <c r="E771" s="15"/>
      <c r="F771" s="6"/>
      <c r="G771" s="6"/>
      <c r="H771" s="3"/>
      <c r="I771" s="6"/>
      <c r="J771" s="3"/>
      <c r="K771" s="3"/>
      <c r="L771" s="3"/>
      <c r="M771" s="3"/>
      <c r="N771" s="3"/>
      <c r="O771" s="3"/>
      <c r="P771" s="3"/>
      <c r="Q771" s="3"/>
      <c r="R771" s="3"/>
    </row>
    <row r="772" spans="1:18" x14ac:dyDescent="0.75">
      <c r="A772" s="3"/>
      <c r="B772" s="3"/>
      <c r="C772" s="6"/>
      <c r="D772" s="6"/>
      <c r="E772" s="15"/>
      <c r="F772" s="6"/>
      <c r="G772" s="6"/>
      <c r="H772" s="3"/>
      <c r="I772" s="6"/>
      <c r="J772" s="3"/>
      <c r="K772" s="3"/>
      <c r="L772" s="3"/>
      <c r="M772" s="3"/>
      <c r="N772" s="3"/>
      <c r="O772" s="3"/>
      <c r="P772" s="3"/>
      <c r="Q772" s="3"/>
      <c r="R772" s="3"/>
    </row>
    <row r="773" spans="1:18" x14ac:dyDescent="0.75">
      <c r="A773" s="3"/>
      <c r="B773" s="3"/>
      <c r="C773" s="6"/>
      <c r="D773" s="6"/>
      <c r="E773" s="15"/>
      <c r="F773" s="6"/>
      <c r="G773" s="6"/>
      <c r="H773" s="3"/>
      <c r="I773" s="6"/>
      <c r="J773" s="3"/>
      <c r="K773" s="3"/>
      <c r="L773" s="3"/>
      <c r="M773" s="3"/>
      <c r="N773" s="3"/>
      <c r="O773" s="3"/>
      <c r="P773" s="3"/>
      <c r="Q773" s="3"/>
      <c r="R773" s="3"/>
    </row>
    <row r="774" spans="1:18" x14ac:dyDescent="0.75">
      <c r="A774" s="3"/>
      <c r="B774" s="3"/>
      <c r="C774" s="6"/>
      <c r="D774" s="6"/>
      <c r="E774" s="15"/>
      <c r="F774" s="6"/>
      <c r="G774" s="6"/>
      <c r="H774" s="3"/>
      <c r="I774" s="6"/>
      <c r="J774" s="3"/>
      <c r="K774" s="3"/>
      <c r="L774" s="3"/>
      <c r="M774" s="3"/>
      <c r="N774" s="3"/>
      <c r="O774" s="3"/>
      <c r="P774" s="3"/>
      <c r="Q774" s="3"/>
      <c r="R774" s="3"/>
    </row>
    <row r="775" spans="1:18" x14ac:dyDescent="0.75">
      <c r="A775" s="3"/>
      <c r="B775" s="3"/>
      <c r="C775" s="6"/>
      <c r="D775" s="6"/>
      <c r="E775" s="15"/>
      <c r="F775" s="6"/>
      <c r="G775" s="6"/>
      <c r="H775" s="3"/>
      <c r="I775" s="6"/>
      <c r="J775" s="3"/>
      <c r="K775" s="3"/>
      <c r="L775" s="3"/>
      <c r="M775" s="3"/>
      <c r="N775" s="3"/>
      <c r="O775" s="3"/>
      <c r="P775" s="3"/>
      <c r="Q775" s="3"/>
      <c r="R775" s="3"/>
    </row>
    <row r="776" spans="1:18" x14ac:dyDescent="0.75">
      <c r="A776" s="3"/>
      <c r="B776" s="3"/>
      <c r="C776" s="6"/>
      <c r="D776" s="6"/>
      <c r="E776" s="15"/>
      <c r="F776" s="6"/>
      <c r="G776" s="6"/>
      <c r="H776" s="3"/>
      <c r="I776" s="6"/>
      <c r="J776" s="3"/>
      <c r="K776" s="3"/>
      <c r="L776" s="3"/>
      <c r="M776" s="3"/>
      <c r="N776" s="3"/>
      <c r="O776" s="3"/>
      <c r="P776" s="3"/>
      <c r="Q776" s="3"/>
      <c r="R776" s="3"/>
    </row>
    <row r="777" spans="1:18" x14ac:dyDescent="0.75">
      <c r="A777" s="3"/>
      <c r="B777" s="3"/>
      <c r="C777" s="6"/>
      <c r="D777" s="6"/>
      <c r="E777" s="15"/>
      <c r="F777" s="6"/>
      <c r="G777" s="6"/>
      <c r="H777" s="3"/>
      <c r="I777" s="6"/>
      <c r="J777" s="3"/>
      <c r="K777" s="3"/>
      <c r="L777" s="3"/>
      <c r="M777" s="3"/>
      <c r="N777" s="3"/>
      <c r="O777" s="3"/>
      <c r="P777" s="3"/>
      <c r="Q777" s="3"/>
      <c r="R777" s="3"/>
    </row>
    <row r="778" spans="1:18" x14ac:dyDescent="0.75">
      <c r="A778" s="3"/>
      <c r="B778" s="3"/>
      <c r="C778" s="6"/>
      <c r="D778" s="6"/>
      <c r="E778" s="15"/>
      <c r="F778" s="6"/>
      <c r="G778" s="6"/>
      <c r="H778" s="3"/>
      <c r="I778" s="6"/>
      <c r="J778" s="3"/>
      <c r="K778" s="3"/>
      <c r="L778" s="3"/>
      <c r="M778" s="3"/>
      <c r="N778" s="3"/>
      <c r="O778" s="3"/>
      <c r="P778" s="3"/>
      <c r="Q778" s="3"/>
      <c r="R778" s="3"/>
    </row>
    <row r="779" spans="1:18" x14ac:dyDescent="0.75">
      <c r="A779" s="3"/>
      <c r="B779" s="3"/>
      <c r="C779" s="6"/>
      <c r="D779" s="6"/>
      <c r="E779" s="15"/>
      <c r="F779" s="6"/>
      <c r="G779" s="6"/>
      <c r="H779" s="3"/>
      <c r="I779" s="6"/>
      <c r="J779" s="3"/>
      <c r="K779" s="3"/>
      <c r="L779" s="3"/>
      <c r="M779" s="3"/>
      <c r="N779" s="3"/>
      <c r="O779" s="3"/>
      <c r="P779" s="3"/>
      <c r="Q779" s="3"/>
      <c r="R779" s="3"/>
    </row>
    <row r="780" spans="1:18" x14ac:dyDescent="0.75">
      <c r="A780" s="3"/>
      <c r="B780" s="3"/>
      <c r="C780" s="6"/>
      <c r="D780" s="6"/>
      <c r="E780" s="15"/>
      <c r="F780" s="6"/>
      <c r="G780" s="6"/>
      <c r="H780" s="3"/>
      <c r="I780" s="6"/>
      <c r="J780" s="3"/>
      <c r="K780" s="3"/>
      <c r="L780" s="3"/>
      <c r="M780" s="3"/>
      <c r="N780" s="3"/>
      <c r="O780" s="3"/>
      <c r="P780" s="3"/>
      <c r="Q780" s="3"/>
      <c r="R780" s="3"/>
    </row>
    <row r="781" spans="1:18" x14ac:dyDescent="0.75">
      <c r="A781" s="3"/>
      <c r="B781" s="3"/>
      <c r="C781" s="6"/>
      <c r="D781" s="6"/>
      <c r="E781" s="15"/>
      <c r="F781" s="6"/>
      <c r="G781" s="6"/>
      <c r="H781" s="3"/>
      <c r="I781" s="6"/>
      <c r="J781" s="3"/>
      <c r="K781" s="3"/>
      <c r="L781" s="3"/>
      <c r="M781" s="3"/>
      <c r="N781" s="3"/>
      <c r="O781" s="3"/>
      <c r="P781" s="3"/>
      <c r="Q781" s="3"/>
      <c r="R781" s="3"/>
    </row>
    <row r="782" spans="1:18" x14ac:dyDescent="0.75">
      <c r="A782" s="3"/>
      <c r="B782" s="3"/>
      <c r="C782" s="6"/>
      <c r="D782" s="6"/>
      <c r="E782" s="15"/>
      <c r="F782" s="6"/>
      <c r="G782" s="6"/>
      <c r="H782" s="3"/>
      <c r="I782" s="6"/>
      <c r="J782" s="3"/>
      <c r="K782" s="3"/>
      <c r="L782" s="3"/>
      <c r="M782" s="3"/>
      <c r="N782" s="3"/>
      <c r="O782" s="3"/>
      <c r="P782" s="3"/>
      <c r="Q782" s="3"/>
      <c r="R782" s="3"/>
    </row>
    <row r="783" spans="1:18" x14ac:dyDescent="0.75">
      <c r="A783" s="3"/>
      <c r="B783" s="3"/>
      <c r="C783" s="6"/>
      <c r="D783" s="6"/>
      <c r="E783" s="15"/>
      <c r="F783" s="6"/>
      <c r="G783" s="6"/>
      <c r="H783" s="3"/>
      <c r="I783" s="6"/>
      <c r="J783" s="3"/>
      <c r="K783" s="3"/>
      <c r="L783" s="3"/>
      <c r="M783" s="3"/>
      <c r="N783" s="3"/>
      <c r="O783" s="3"/>
      <c r="P783" s="3"/>
      <c r="Q783" s="3"/>
      <c r="R783" s="3"/>
    </row>
    <row r="784" spans="1:18" x14ac:dyDescent="0.75">
      <c r="A784" s="3"/>
      <c r="B784" s="3"/>
      <c r="C784" s="6"/>
      <c r="D784" s="6"/>
      <c r="E784" s="15"/>
      <c r="F784" s="6"/>
      <c r="G784" s="6"/>
      <c r="H784" s="3"/>
      <c r="I784" s="6"/>
      <c r="J784" s="3"/>
      <c r="K784" s="3"/>
      <c r="L784" s="3"/>
      <c r="M784" s="3"/>
      <c r="N784" s="3"/>
      <c r="O784" s="3"/>
      <c r="P784" s="3"/>
      <c r="Q784" s="3"/>
      <c r="R784" s="3"/>
    </row>
    <row r="785" spans="1:18" x14ac:dyDescent="0.75">
      <c r="A785" s="3"/>
      <c r="B785" s="3"/>
      <c r="C785" s="6"/>
      <c r="D785" s="6"/>
      <c r="E785" s="15"/>
      <c r="F785" s="6"/>
      <c r="G785" s="6"/>
      <c r="H785" s="3"/>
      <c r="I785" s="6"/>
      <c r="J785" s="3"/>
      <c r="K785" s="3"/>
      <c r="L785" s="3"/>
      <c r="M785" s="3"/>
      <c r="N785" s="3"/>
      <c r="O785" s="3"/>
      <c r="P785" s="3"/>
      <c r="Q785" s="3"/>
      <c r="R785" s="3"/>
    </row>
    <row r="786" spans="1:18" x14ac:dyDescent="0.75">
      <c r="A786" s="3"/>
      <c r="B786" s="3"/>
      <c r="C786" s="6"/>
      <c r="D786" s="6"/>
      <c r="E786" s="15"/>
      <c r="F786" s="6"/>
      <c r="G786" s="6"/>
      <c r="H786" s="3"/>
      <c r="I786" s="6"/>
      <c r="J786" s="3"/>
      <c r="K786" s="3"/>
      <c r="L786" s="3"/>
      <c r="M786" s="3"/>
      <c r="N786" s="3"/>
      <c r="O786" s="3"/>
      <c r="P786" s="3"/>
      <c r="Q786" s="3"/>
      <c r="R786" s="3"/>
    </row>
    <row r="787" spans="1:18" x14ac:dyDescent="0.75">
      <c r="A787" s="3"/>
      <c r="B787" s="3"/>
      <c r="C787" s="6"/>
      <c r="D787" s="6"/>
      <c r="E787" s="15"/>
      <c r="F787" s="6"/>
      <c r="G787" s="6"/>
      <c r="H787" s="3"/>
      <c r="I787" s="6"/>
      <c r="J787" s="3"/>
      <c r="K787" s="3"/>
      <c r="L787" s="3"/>
      <c r="M787" s="3"/>
      <c r="N787" s="3"/>
      <c r="O787" s="3"/>
      <c r="P787" s="3"/>
      <c r="Q787" s="3"/>
      <c r="R787" s="3"/>
    </row>
    <row r="788" spans="1:18" x14ac:dyDescent="0.75">
      <c r="A788" s="3"/>
      <c r="B788" s="3"/>
      <c r="C788" s="6"/>
      <c r="D788" s="6"/>
      <c r="E788" s="15"/>
      <c r="F788" s="6"/>
      <c r="G788" s="6"/>
      <c r="H788" s="3"/>
      <c r="I788" s="6"/>
      <c r="J788" s="3"/>
      <c r="K788" s="3"/>
      <c r="L788" s="3"/>
      <c r="M788" s="3"/>
      <c r="N788" s="3"/>
      <c r="O788" s="3"/>
      <c r="P788" s="3"/>
      <c r="Q788" s="3"/>
      <c r="R788" s="3"/>
    </row>
    <row r="789" spans="1:18" x14ac:dyDescent="0.75">
      <c r="A789" s="3"/>
      <c r="B789" s="3"/>
      <c r="C789" s="6"/>
      <c r="D789" s="6"/>
      <c r="E789" s="15"/>
      <c r="F789" s="6"/>
      <c r="G789" s="6"/>
      <c r="H789" s="3"/>
      <c r="I789" s="6"/>
      <c r="J789" s="3"/>
      <c r="K789" s="3"/>
      <c r="L789" s="3"/>
      <c r="M789" s="3"/>
      <c r="N789" s="3"/>
      <c r="O789" s="3"/>
      <c r="P789" s="3"/>
      <c r="Q789" s="3"/>
      <c r="R789" s="3"/>
    </row>
    <row r="790" spans="1:18" x14ac:dyDescent="0.75">
      <c r="A790" s="3"/>
      <c r="B790" s="3"/>
      <c r="C790" s="6"/>
      <c r="D790" s="6"/>
      <c r="E790" s="15"/>
      <c r="F790" s="6"/>
      <c r="G790" s="6"/>
      <c r="H790" s="3"/>
      <c r="I790" s="6"/>
      <c r="J790" s="3"/>
      <c r="K790" s="3"/>
      <c r="L790" s="3"/>
      <c r="M790" s="3"/>
      <c r="N790" s="3"/>
      <c r="O790" s="3"/>
      <c r="P790" s="3"/>
      <c r="Q790" s="3"/>
      <c r="R790" s="3"/>
    </row>
    <row r="791" spans="1:18" x14ac:dyDescent="0.75">
      <c r="A791" s="3"/>
      <c r="B791" s="3"/>
      <c r="C791" s="6"/>
      <c r="D791" s="6"/>
      <c r="E791" s="15"/>
      <c r="F791" s="6"/>
      <c r="G791" s="6"/>
      <c r="H791" s="3"/>
      <c r="I791" s="6"/>
      <c r="J791" s="3"/>
      <c r="K791" s="3"/>
      <c r="L791" s="3"/>
      <c r="M791" s="3"/>
      <c r="N791" s="3"/>
      <c r="O791" s="3"/>
      <c r="P791" s="3"/>
      <c r="Q791" s="3"/>
      <c r="R791" s="3"/>
    </row>
    <row r="792" spans="1:18" x14ac:dyDescent="0.75">
      <c r="A792" s="3"/>
      <c r="B792" s="3"/>
      <c r="C792" s="6"/>
      <c r="D792" s="6"/>
      <c r="E792" s="15"/>
      <c r="F792" s="6"/>
      <c r="G792" s="6"/>
      <c r="H792" s="3"/>
      <c r="I792" s="6"/>
      <c r="J792" s="3"/>
      <c r="K792" s="3"/>
      <c r="L792" s="3"/>
      <c r="M792" s="3"/>
      <c r="N792" s="3"/>
      <c r="O792" s="3"/>
      <c r="P792" s="3"/>
      <c r="Q792" s="3"/>
      <c r="R792" s="3"/>
    </row>
    <row r="793" spans="1:18" x14ac:dyDescent="0.75">
      <c r="A793" s="3"/>
      <c r="B793" s="3"/>
      <c r="C793" s="6"/>
      <c r="D793" s="6"/>
      <c r="E793" s="15"/>
      <c r="F793" s="6"/>
      <c r="G793" s="6"/>
      <c r="H793" s="3"/>
      <c r="I793" s="6"/>
      <c r="J793" s="3"/>
      <c r="K793" s="3"/>
      <c r="L793" s="3"/>
      <c r="M793" s="3"/>
      <c r="N793" s="3"/>
      <c r="O793" s="3"/>
      <c r="P793" s="3"/>
      <c r="Q793" s="3"/>
      <c r="R793" s="3"/>
    </row>
    <row r="794" spans="1:18" x14ac:dyDescent="0.75">
      <c r="A794" s="3"/>
      <c r="B794" s="3"/>
      <c r="C794" s="6"/>
      <c r="D794" s="6"/>
      <c r="E794" s="15"/>
      <c r="F794" s="6"/>
      <c r="G794" s="6"/>
      <c r="H794" s="3"/>
      <c r="I794" s="6"/>
      <c r="J794" s="3"/>
      <c r="K794" s="3"/>
      <c r="L794" s="3"/>
      <c r="M794" s="3"/>
      <c r="N794" s="3"/>
      <c r="O794" s="3"/>
      <c r="P794" s="3"/>
      <c r="Q794" s="3"/>
      <c r="R794" s="3"/>
    </row>
    <row r="795" spans="1:18" x14ac:dyDescent="0.75">
      <c r="A795" s="3"/>
      <c r="B795" s="3"/>
      <c r="C795" s="6"/>
      <c r="D795" s="6"/>
      <c r="E795" s="15"/>
      <c r="F795" s="6"/>
      <c r="G795" s="6"/>
      <c r="H795" s="3"/>
      <c r="I795" s="6"/>
      <c r="J795" s="3"/>
      <c r="K795" s="3"/>
      <c r="L795" s="3"/>
      <c r="M795" s="3"/>
      <c r="N795" s="3"/>
      <c r="O795" s="3"/>
      <c r="P795" s="3"/>
      <c r="Q795" s="3"/>
      <c r="R795" s="3"/>
    </row>
    <row r="796" spans="1:18" x14ac:dyDescent="0.75">
      <c r="A796" s="3"/>
      <c r="B796" s="3"/>
      <c r="C796" s="6"/>
      <c r="D796" s="6"/>
      <c r="E796" s="15"/>
      <c r="F796" s="6"/>
      <c r="G796" s="6"/>
      <c r="H796" s="3"/>
      <c r="I796" s="6"/>
      <c r="J796" s="3"/>
      <c r="K796" s="3"/>
      <c r="L796" s="3"/>
      <c r="M796" s="3"/>
      <c r="N796" s="3"/>
      <c r="O796" s="3"/>
      <c r="P796" s="3"/>
      <c r="Q796" s="3"/>
      <c r="R796" s="3"/>
    </row>
    <row r="797" spans="1:18" x14ac:dyDescent="0.75">
      <c r="A797" s="3"/>
      <c r="B797" s="3"/>
      <c r="C797" s="6"/>
      <c r="D797" s="6"/>
      <c r="E797" s="15"/>
      <c r="F797" s="6"/>
      <c r="G797" s="6"/>
      <c r="H797" s="3"/>
      <c r="I797" s="6"/>
      <c r="J797" s="3"/>
      <c r="K797" s="3"/>
      <c r="L797" s="3"/>
      <c r="M797" s="3"/>
      <c r="N797" s="3"/>
      <c r="O797" s="3"/>
      <c r="P797" s="3"/>
      <c r="Q797" s="3"/>
      <c r="R797" s="3"/>
    </row>
    <row r="798" spans="1:18" x14ac:dyDescent="0.75">
      <c r="A798" s="3"/>
      <c r="B798" s="3"/>
      <c r="C798" s="6"/>
      <c r="D798" s="6"/>
      <c r="E798" s="15"/>
      <c r="F798" s="6"/>
      <c r="G798" s="6"/>
      <c r="H798" s="3"/>
      <c r="I798" s="6"/>
      <c r="J798" s="3"/>
      <c r="K798" s="3"/>
      <c r="L798" s="3"/>
      <c r="M798" s="3"/>
      <c r="N798" s="3"/>
      <c r="O798" s="3"/>
      <c r="P798" s="3"/>
      <c r="Q798" s="3"/>
      <c r="R798" s="3"/>
    </row>
    <row r="799" spans="1:18" x14ac:dyDescent="0.75">
      <c r="A799" s="3"/>
      <c r="B799" s="3"/>
      <c r="C799" s="6"/>
      <c r="D799" s="6"/>
      <c r="E799" s="15"/>
      <c r="F799" s="6"/>
      <c r="G799" s="6"/>
      <c r="H799" s="3"/>
      <c r="I799" s="6"/>
      <c r="J799" s="3"/>
      <c r="K799" s="3"/>
      <c r="L799" s="3"/>
      <c r="M799" s="3"/>
      <c r="N799" s="3"/>
      <c r="O799" s="3"/>
      <c r="P799" s="3"/>
      <c r="Q799" s="3"/>
      <c r="R799" s="3"/>
    </row>
    <row r="800" spans="1:18" x14ac:dyDescent="0.75">
      <c r="A800" s="3"/>
      <c r="B800" s="3"/>
      <c r="C800" s="6"/>
      <c r="D800" s="6"/>
      <c r="E800" s="15"/>
      <c r="F800" s="6"/>
      <c r="G800" s="6"/>
      <c r="H800" s="3"/>
      <c r="I800" s="6"/>
      <c r="J800" s="3"/>
      <c r="K800" s="3"/>
      <c r="L800" s="3"/>
      <c r="M800" s="3"/>
      <c r="N800" s="3"/>
      <c r="O800" s="3"/>
      <c r="P800" s="3"/>
      <c r="Q800" s="3"/>
      <c r="R800" s="3"/>
    </row>
    <row r="801" spans="1:18" x14ac:dyDescent="0.75">
      <c r="A801" s="3"/>
      <c r="B801" s="3"/>
      <c r="C801" s="6"/>
      <c r="D801" s="6"/>
      <c r="E801" s="15"/>
      <c r="F801" s="6"/>
      <c r="G801" s="6"/>
      <c r="H801" s="3"/>
      <c r="I801" s="6"/>
      <c r="J801" s="3"/>
      <c r="K801" s="3"/>
      <c r="L801" s="3"/>
      <c r="M801" s="3"/>
      <c r="N801" s="3"/>
      <c r="O801" s="3"/>
      <c r="P801" s="3"/>
      <c r="Q801" s="3"/>
      <c r="R801" s="3"/>
    </row>
    <row r="802" spans="1:18" x14ac:dyDescent="0.75">
      <c r="A802" s="3"/>
      <c r="B802" s="3"/>
      <c r="C802" s="6"/>
      <c r="D802" s="6"/>
      <c r="E802" s="15"/>
      <c r="F802" s="6"/>
      <c r="G802" s="6"/>
      <c r="H802" s="3"/>
      <c r="I802" s="6"/>
      <c r="J802" s="3"/>
      <c r="K802" s="3"/>
      <c r="L802" s="3"/>
      <c r="M802" s="3"/>
      <c r="N802" s="3"/>
      <c r="O802" s="3"/>
      <c r="P802" s="3"/>
      <c r="Q802" s="3"/>
      <c r="R802" s="3"/>
    </row>
    <row r="803" spans="1:18" x14ac:dyDescent="0.75">
      <c r="A803" s="3"/>
      <c r="B803" s="3"/>
      <c r="C803" s="6"/>
      <c r="D803" s="6"/>
      <c r="E803" s="15"/>
      <c r="F803" s="6"/>
      <c r="G803" s="6"/>
      <c r="H803" s="3"/>
      <c r="I803" s="6"/>
      <c r="J803" s="3"/>
      <c r="K803" s="3"/>
      <c r="L803" s="3"/>
      <c r="M803" s="3"/>
      <c r="N803" s="3"/>
      <c r="O803" s="3"/>
      <c r="P803" s="3"/>
      <c r="Q803" s="3"/>
      <c r="R803" s="3"/>
    </row>
    <row r="804" spans="1:18" x14ac:dyDescent="0.75">
      <c r="A804" s="3"/>
      <c r="B804" s="3"/>
      <c r="C804" s="6"/>
      <c r="D804" s="6"/>
      <c r="E804" s="15"/>
      <c r="F804" s="6"/>
      <c r="G804" s="6"/>
      <c r="H804" s="3"/>
      <c r="I804" s="6"/>
      <c r="J804" s="3"/>
      <c r="K804" s="3"/>
      <c r="L804" s="3"/>
      <c r="M804" s="3"/>
      <c r="N804" s="3"/>
      <c r="O804" s="3"/>
      <c r="P804" s="3"/>
      <c r="Q804" s="3"/>
      <c r="R804" s="3"/>
    </row>
    <row r="805" spans="1:18" x14ac:dyDescent="0.75">
      <c r="A805" s="3"/>
      <c r="B805" s="3"/>
      <c r="C805" s="6"/>
      <c r="D805" s="6"/>
      <c r="E805" s="15"/>
      <c r="F805" s="6"/>
      <c r="G805" s="6"/>
      <c r="H805" s="3"/>
      <c r="I805" s="6"/>
      <c r="J805" s="3"/>
      <c r="K805" s="3"/>
      <c r="L805" s="3"/>
      <c r="M805" s="3"/>
      <c r="N805" s="3"/>
      <c r="O805" s="3"/>
      <c r="P805" s="3"/>
      <c r="Q805" s="3"/>
      <c r="R805" s="3"/>
    </row>
    <row r="806" spans="1:18" x14ac:dyDescent="0.75">
      <c r="A806" s="3"/>
      <c r="B806" s="3"/>
      <c r="C806" s="6"/>
      <c r="D806" s="6"/>
      <c r="E806" s="15"/>
      <c r="F806" s="6"/>
      <c r="G806" s="6"/>
      <c r="H806" s="3"/>
      <c r="I806" s="6"/>
      <c r="J806" s="3"/>
      <c r="K806" s="3"/>
      <c r="L806" s="3"/>
      <c r="M806" s="3"/>
      <c r="N806" s="3"/>
      <c r="O806" s="3"/>
      <c r="P806" s="3"/>
      <c r="Q806" s="3"/>
      <c r="R806" s="3"/>
    </row>
    <row r="807" spans="1:18" x14ac:dyDescent="0.75">
      <c r="A807" s="3"/>
      <c r="B807" s="3"/>
      <c r="C807" s="6"/>
      <c r="D807" s="6"/>
      <c r="E807" s="15"/>
      <c r="F807" s="6"/>
      <c r="G807" s="6"/>
      <c r="H807" s="3"/>
      <c r="I807" s="6"/>
      <c r="J807" s="3"/>
      <c r="K807" s="3"/>
      <c r="L807" s="3"/>
      <c r="M807" s="3"/>
      <c r="N807" s="3"/>
      <c r="O807" s="3"/>
      <c r="P807" s="3"/>
      <c r="Q807" s="3"/>
      <c r="R807" s="3"/>
    </row>
    <row r="808" spans="1:18" x14ac:dyDescent="0.75">
      <c r="A808" s="3"/>
      <c r="B808" s="3"/>
      <c r="C808" s="6"/>
      <c r="D808" s="6"/>
      <c r="E808" s="15"/>
      <c r="F808" s="6"/>
      <c r="G808" s="6"/>
      <c r="H808" s="3"/>
      <c r="I808" s="6"/>
      <c r="J808" s="3"/>
      <c r="K808" s="3"/>
      <c r="L808" s="3"/>
      <c r="M808" s="3"/>
      <c r="N808" s="3"/>
      <c r="O808" s="3"/>
      <c r="P808" s="3"/>
      <c r="Q808" s="3"/>
      <c r="R808" s="3"/>
    </row>
    <row r="809" spans="1:18" x14ac:dyDescent="0.75">
      <c r="A809" s="3"/>
      <c r="B809" s="3"/>
      <c r="C809" s="6"/>
      <c r="D809" s="6"/>
      <c r="E809" s="15"/>
      <c r="F809" s="6"/>
      <c r="G809" s="6"/>
      <c r="H809" s="3"/>
      <c r="I809" s="6"/>
      <c r="J809" s="3"/>
      <c r="K809" s="3"/>
      <c r="L809" s="3"/>
      <c r="M809" s="3"/>
      <c r="N809" s="3"/>
      <c r="O809" s="3"/>
      <c r="P809" s="3"/>
      <c r="Q809" s="3"/>
      <c r="R809" s="3"/>
    </row>
    <row r="810" spans="1:18" x14ac:dyDescent="0.75">
      <c r="A810" s="3"/>
      <c r="B810" s="3"/>
      <c r="C810" s="6"/>
      <c r="D810" s="6"/>
      <c r="E810" s="15"/>
      <c r="F810" s="6"/>
      <c r="G810" s="6"/>
      <c r="H810" s="3"/>
      <c r="I810" s="6"/>
      <c r="J810" s="3"/>
      <c r="K810" s="3"/>
      <c r="L810" s="3"/>
      <c r="M810" s="3"/>
      <c r="N810" s="3"/>
      <c r="O810" s="3"/>
      <c r="P810" s="3"/>
      <c r="Q810" s="3"/>
      <c r="R810" s="3"/>
    </row>
    <row r="811" spans="1:18" x14ac:dyDescent="0.75">
      <c r="A811" s="3"/>
      <c r="B811" s="3"/>
      <c r="C811" s="6"/>
      <c r="D811" s="6"/>
      <c r="E811" s="15"/>
      <c r="F811" s="6"/>
      <c r="G811" s="6"/>
      <c r="H811" s="3"/>
      <c r="I811" s="6"/>
      <c r="J811" s="3"/>
      <c r="K811" s="3"/>
      <c r="L811" s="3"/>
      <c r="M811" s="3"/>
      <c r="N811" s="3"/>
      <c r="O811" s="3"/>
      <c r="P811" s="3"/>
      <c r="Q811" s="3"/>
      <c r="R811" s="3"/>
    </row>
    <row r="812" spans="1:18" x14ac:dyDescent="0.75">
      <c r="A812" s="3"/>
      <c r="B812" s="3"/>
      <c r="C812" s="6"/>
      <c r="D812" s="6"/>
      <c r="E812" s="15"/>
      <c r="F812" s="6"/>
      <c r="G812" s="6"/>
      <c r="H812" s="3"/>
      <c r="I812" s="6"/>
      <c r="J812" s="3"/>
      <c r="K812" s="3"/>
      <c r="L812" s="3"/>
      <c r="M812" s="3"/>
      <c r="N812" s="3"/>
      <c r="O812" s="3"/>
      <c r="P812" s="3"/>
      <c r="Q812" s="3"/>
      <c r="R812" s="3"/>
    </row>
    <row r="813" spans="1:18" x14ac:dyDescent="0.75">
      <c r="A813" s="3"/>
      <c r="B813" s="3"/>
      <c r="C813" s="6"/>
      <c r="D813" s="6"/>
      <c r="E813" s="15"/>
      <c r="F813" s="6"/>
      <c r="G813" s="6"/>
      <c r="H813" s="3"/>
      <c r="I813" s="6"/>
      <c r="J813" s="3"/>
      <c r="K813" s="3"/>
      <c r="L813" s="3"/>
      <c r="M813" s="3"/>
      <c r="N813" s="3"/>
      <c r="O813" s="3"/>
      <c r="P813" s="3"/>
      <c r="Q813" s="3"/>
      <c r="R813" s="3"/>
    </row>
    <row r="814" spans="1:18" x14ac:dyDescent="0.75">
      <c r="A814" s="3"/>
      <c r="B814" s="3"/>
      <c r="C814" s="6"/>
      <c r="D814" s="6"/>
      <c r="E814" s="15"/>
      <c r="F814" s="6"/>
      <c r="G814" s="6"/>
      <c r="H814" s="3"/>
      <c r="I814" s="6"/>
      <c r="J814" s="3"/>
      <c r="K814" s="3"/>
      <c r="L814" s="3"/>
      <c r="M814" s="3"/>
      <c r="N814" s="3"/>
      <c r="O814" s="3"/>
      <c r="P814" s="3"/>
      <c r="Q814" s="3"/>
      <c r="R814" s="3"/>
    </row>
    <row r="815" spans="1:18" x14ac:dyDescent="0.75">
      <c r="A815" s="3"/>
      <c r="B815" s="3"/>
      <c r="C815" s="6"/>
      <c r="D815" s="6"/>
      <c r="E815" s="15"/>
      <c r="F815" s="6"/>
      <c r="G815" s="6"/>
      <c r="H815" s="3"/>
      <c r="I815" s="6"/>
      <c r="J815" s="3"/>
      <c r="K815" s="3"/>
      <c r="L815" s="3"/>
      <c r="M815" s="3"/>
      <c r="N815" s="3"/>
      <c r="O815" s="3"/>
      <c r="P815" s="3"/>
      <c r="Q815" s="3"/>
      <c r="R815" s="3"/>
    </row>
    <row r="816" spans="1:18" x14ac:dyDescent="0.75">
      <c r="A816" s="3"/>
      <c r="B816" s="3"/>
      <c r="C816" s="6"/>
      <c r="D816" s="6"/>
      <c r="E816" s="15"/>
      <c r="F816" s="6"/>
      <c r="G816" s="6"/>
      <c r="H816" s="3"/>
      <c r="I816" s="6"/>
      <c r="J816" s="3"/>
      <c r="K816" s="3"/>
      <c r="L816" s="3"/>
      <c r="M816" s="3"/>
      <c r="N816" s="3"/>
      <c r="O816" s="3"/>
      <c r="P816" s="3"/>
      <c r="Q816" s="3"/>
      <c r="R816" s="3"/>
    </row>
    <row r="817" spans="1:18" x14ac:dyDescent="0.75">
      <c r="A817" s="3"/>
      <c r="B817" s="3"/>
      <c r="C817" s="6"/>
      <c r="D817" s="6"/>
      <c r="E817" s="15"/>
      <c r="F817" s="6"/>
      <c r="G817" s="6"/>
      <c r="H817" s="3"/>
      <c r="I817" s="6"/>
      <c r="J817" s="3"/>
      <c r="K817" s="3"/>
      <c r="L817" s="3"/>
      <c r="M817" s="3"/>
      <c r="N817" s="3"/>
      <c r="O817" s="3"/>
      <c r="P817" s="3"/>
      <c r="Q817" s="3"/>
      <c r="R817" s="3"/>
    </row>
    <row r="818" spans="1:18" x14ac:dyDescent="0.75">
      <c r="A818" s="3"/>
      <c r="B818" s="3"/>
      <c r="C818" s="6"/>
      <c r="D818" s="6"/>
      <c r="E818" s="15"/>
      <c r="F818" s="6"/>
      <c r="G818" s="6"/>
      <c r="H818" s="3"/>
      <c r="I818" s="6"/>
      <c r="J818" s="3"/>
      <c r="K818" s="3"/>
      <c r="L818" s="3"/>
      <c r="M818" s="3"/>
      <c r="N818" s="3"/>
      <c r="O818" s="3"/>
      <c r="P818" s="3"/>
      <c r="Q818" s="3"/>
      <c r="R818" s="3"/>
    </row>
    <row r="819" spans="1:18" x14ac:dyDescent="0.75">
      <c r="A819" s="3"/>
      <c r="B819" s="3"/>
      <c r="C819" s="6"/>
      <c r="D819" s="6"/>
      <c r="E819" s="15"/>
      <c r="F819" s="6"/>
      <c r="G819" s="6"/>
      <c r="H819" s="3"/>
      <c r="I819" s="6"/>
      <c r="J819" s="3"/>
      <c r="K819" s="3"/>
      <c r="L819" s="3"/>
      <c r="M819" s="3"/>
      <c r="N819" s="3"/>
      <c r="O819" s="3"/>
      <c r="P819" s="3"/>
      <c r="Q819" s="3"/>
      <c r="R819" s="3"/>
    </row>
    <row r="820" spans="1:18" x14ac:dyDescent="0.75">
      <c r="A820" s="3"/>
      <c r="B820" s="3"/>
      <c r="C820" s="6"/>
      <c r="D820" s="6"/>
      <c r="E820" s="15"/>
      <c r="F820" s="6"/>
      <c r="G820" s="6"/>
      <c r="H820" s="3"/>
      <c r="I820" s="6"/>
      <c r="J820" s="3"/>
      <c r="K820" s="3"/>
      <c r="L820" s="3"/>
      <c r="M820" s="3"/>
      <c r="N820" s="3"/>
      <c r="O820" s="3"/>
      <c r="P820" s="3"/>
      <c r="Q820" s="3"/>
      <c r="R820" s="3"/>
    </row>
    <row r="821" spans="1:18" x14ac:dyDescent="0.75">
      <c r="A821" s="3"/>
      <c r="B821" s="3"/>
      <c r="C821" s="6"/>
      <c r="D821" s="6"/>
      <c r="E821" s="15"/>
      <c r="F821" s="6"/>
      <c r="G821" s="6"/>
      <c r="H821" s="3"/>
      <c r="I821" s="6"/>
      <c r="J821" s="3"/>
      <c r="K821" s="3"/>
      <c r="L821" s="3"/>
      <c r="M821" s="3"/>
      <c r="N821" s="3"/>
      <c r="O821" s="3"/>
      <c r="P821" s="3"/>
      <c r="Q821" s="3"/>
      <c r="R821" s="3"/>
    </row>
    <row r="822" spans="1:18" x14ac:dyDescent="0.75">
      <c r="A822" s="3"/>
      <c r="B822" s="3"/>
      <c r="C822" s="6"/>
      <c r="D822" s="6"/>
      <c r="E822" s="15"/>
      <c r="F822" s="6"/>
      <c r="G822" s="6"/>
      <c r="H822" s="3"/>
      <c r="I822" s="6"/>
      <c r="J822" s="3"/>
      <c r="K822" s="3"/>
      <c r="L822" s="3"/>
      <c r="M822" s="3"/>
      <c r="N822" s="3"/>
      <c r="O822" s="3"/>
      <c r="P822" s="3"/>
      <c r="Q822" s="3"/>
      <c r="R822" s="3"/>
    </row>
    <row r="823" spans="1:18" x14ac:dyDescent="0.75">
      <c r="A823" s="3"/>
      <c r="B823" s="3"/>
      <c r="C823" s="6"/>
      <c r="D823" s="6"/>
      <c r="E823" s="15"/>
      <c r="F823" s="6"/>
      <c r="G823" s="6"/>
      <c r="H823" s="3"/>
      <c r="I823" s="6"/>
      <c r="J823" s="3"/>
      <c r="K823" s="3"/>
      <c r="L823" s="3"/>
      <c r="M823" s="3"/>
      <c r="N823" s="3"/>
      <c r="O823" s="3"/>
      <c r="P823" s="3"/>
      <c r="Q823" s="3"/>
      <c r="R823" s="3"/>
    </row>
    <row r="824" spans="1:18" x14ac:dyDescent="0.75">
      <c r="A824" s="3"/>
      <c r="B824" s="3"/>
      <c r="C824" s="6"/>
      <c r="D824" s="6"/>
      <c r="E824" s="15"/>
      <c r="F824" s="6"/>
      <c r="G824" s="6"/>
      <c r="H824" s="3"/>
      <c r="I824" s="6"/>
      <c r="J824" s="3"/>
      <c r="K824" s="3"/>
      <c r="L824" s="3"/>
      <c r="M824" s="3"/>
      <c r="N824" s="3"/>
      <c r="O824" s="3"/>
      <c r="P824" s="3"/>
      <c r="Q824" s="3"/>
      <c r="R824" s="3"/>
    </row>
    <row r="825" spans="1:18" x14ac:dyDescent="0.75">
      <c r="A825" s="3"/>
      <c r="B825" s="3"/>
      <c r="C825" s="6"/>
      <c r="D825" s="6"/>
      <c r="E825" s="15"/>
      <c r="F825" s="6"/>
      <c r="G825" s="6"/>
      <c r="H825" s="3"/>
      <c r="I825" s="6"/>
      <c r="J825" s="3"/>
      <c r="K825" s="3"/>
      <c r="L825" s="3"/>
      <c r="M825" s="3"/>
      <c r="N825" s="3"/>
      <c r="O825" s="3"/>
      <c r="P825" s="3"/>
      <c r="Q825" s="3"/>
      <c r="R825" s="3"/>
    </row>
    <row r="826" spans="1:18" x14ac:dyDescent="0.75">
      <c r="A826" s="3"/>
      <c r="B826" s="3"/>
      <c r="C826" s="6"/>
      <c r="D826" s="6"/>
      <c r="E826" s="15"/>
      <c r="F826" s="6"/>
      <c r="G826" s="6"/>
      <c r="H826" s="3"/>
      <c r="I826" s="6"/>
      <c r="J826" s="3"/>
      <c r="K826" s="3"/>
      <c r="L826" s="3"/>
      <c r="M826" s="3"/>
      <c r="N826" s="3"/>
      <c r="O826" s="3"/>
      <c r="P826" s="3"/>
      <c r="Q826" s="3"/>
      <c r="R826" s="3"/>
    </row>
    <row r="827" spans="1:18" x14ac:dyDescent="0.75">
      <c r="A827" s="3"/>
      <c r="B827" s="3"/>
      <c r="C827" s="6"/>
      <c r="D827" s="6"/>
      <c r="E827" s="15"/>
      <c r="F827" s="6"/>
      <c r="G827" s="6"/>
      <c r="H827" s="3"/>
      <c r="I827" s="6"/>
      <c r="J827" s="3"/>
      <c r="K827" s="3"/>
      <c r="L827" s="3"/>
      <c r="M827" s="3"/>
      <c r="N827" s="3"/>
      <c r="O827" s="3"/>
      <c r="P827" s="3"/>
      <c r="Q827" s="3"/>
      <c r="R827" s="3"/>
    </row>
    <row r="828" spans="1:18" x14ac:dyDescent="0.75">
      <c r="A828" s="3"/>
      <c r="B828" s="3"/>
      <c r="C828" s="6"/>
      <c r="D828" s="6"/>
      <c r="E828" s="15"/>
      <c r="F828" s="6"/>
      <c r="G828" s="6"/>
      <c r="H828" s="3"/>
      <c r="I828" s="6"/>
      <c r="J828" s="3"/>
      <c r="K828" s="3"/>
      <c r="L828" s="3"/>
      <c r="M828" s="3"/>
      <c r="N828" s="3"/>
      <c r="O828" s="3"/>
      <c r="P828" s="3"/>
      <c r="Q828" s="3"/>
      <c r="R828" s="3"/>
    </row>
    <row r="829" spans="1:18" x14ac:dyDescent="0.75">
      <c r="A829" s="3"/>
      <c r="B829" s="3"/>
      <c r="C829" s="6"/>
      <c r="D829" s="6"/>
      <c r="E829" s="15"/>
      <c r="F829" s="6"/>
      <c r="G829" s="6"/>
      <c r="H829" s="3"/>
      <c r="I829" s="6"/>
      <c r="J829" s="3"/>
      <c r="K829" s="3"/>
      <c r="L829" s="3"/>
      <c r="M829" s="3"/>
      <c r="N829" s="3"/>
      <c r="O829" s="3"/>
      <c r="P829" s="3"/>
      <c r="Q829" s="3"/>
      <c r="R829" s="3"/>
    </row>
    <row r="830" spans="1:18" x14ac:dyDescent="0.75">
      <c r="A830" s="3"/>
      <c r="B830" s="3"/>
      <c r="C830" s="6"/>
      <c r="D830" s="6"/>
      <c r="E830" s="15"/>
      <c r="F830" s="6"/>
      <c r="G830" s="6"/>
      <c r="H830" s="3"/>
      <c r="I830" s="6"/>
      <c r="J830" s="3"/>
      <c r="K830" s="3"/>
      <c r="L830" s="3"/>
      <c r="M830" s="3"/>
      <c r="N830" s="3"/>
      <c r="O830" s="3"/>
      <c r="P830" s="3"/>
      <c r="Q830" s="3"/>
      <c r="R830" s="3"/>
    </row>
    <row r="831" spans="1:18" x14ac:dyDescent="0.75">
      <c r="A831" s="3"/>
      <c r="B831" s="3"/>
      <c r="C831" s="6"/>
      <c r="D831" s="6"/>
      <c r="E831" s="15"/>
      <c r="F831" s="6"/>
      <c r="G831" s="6"/>
      <c r="H831" s="3"/>
      <c r="I831" s="6"/>
      <c r="J831" s="3"/>
      <c r="K831" s="3"/>
      <c r="L831" s="3"/>
      <c r="M831" s="3"/>
      <c r="N831" s="3"/>
      <c r="O831" s="3"/>
      <c r="P831" s="3"/>
      <c r="Q831" s="3"/>
      <c r="R831" s="3"/>
    </row>
    <row r="832" spans="1:18" x14ac:dyDescent="0.75">
      <c r="A832" s="3"/>
      <c r="B832" s="3"/>
      <c r="C832" s="6"/>
      <c r="D832" s="6"/>
      <c r="E832" s="15"/>
      <c r="F832" s="6"/>
      <c r="G832" s="6"/>
      <c r="H832" s="3"/>
      <c r="I832" s="6"/>
      <c r="J832" s="3"/>
      <c r="K832" s="3"/>
      <c r="L832" s="3"/>
      <c r="M832" s="3"/>
      <c r="N832" s="3"/>
      <c r="O832" s="3"/>
      <c r="P832" s="3"/>
      <c r="Q832" s="3"/>
      <c r="R832" s="3"/>
    </row>
    <row r="833" spans="1:18" x14ac:dyDescent="0.75">
      <c r="A833" s="3"/>
      <c r="B833" s="3"/>
      <c r="C833" s="6"/>
      <c r="D833" s="6"/>
      <c r="E833" s="15"/>
      <c r="F833" s="6"/>
      <c r="G833" s="6"/>
      <c r="H833" s="3"/>
      <c r="I833" s="6"/>
      <c r="J833" s="3"/>
      <c r="K833" s="3"/>
      <c r="L833" s="3"/>
      <c r="M833" s="3"/>
      <c r="N833" s="3"/>
      <c r="O833" s="3"/>
      <c r="P833" s="3"/>
      <c r="Q833" s="3"/>
      <c r="R833" s="3"/>
    </row>
    <row r="834" spans="1:18" x14ac:dyDescent="0.75">
      <c r="A834" s="3"/>
      <c r="B834" s="3"/>
      <c r="C834" s="6"/>
      <c r="D834" s="6"/>
      <c r="E834" s="15"/>
      <c r="F834" s="6"/>
      <c r="G834" s="6"/>
      <c r="H834" s="3"/>
      <c r="I834" s="6"/>
      <c r="J834" s="3"/>
      <c r="K834" s="3"/>
      <c r="L834" s="3"/>
      <c r="M834" s="3"/>
      <c r="N834" s="3"/>
      <c r="O834" s="3"/>
      <c r="P834" s="3"/>
      <c r="Q834" s="3"/>
      <c r="R834" s="3"/>
    </row>
    <row r="835" spans="1:18" x14ac:dyDescent="0.75">
      <c r="A835" s="3"/>
      <c r="B835" s="3"/>
      <c r="C835" s="6"/>
      <c r="D835" s="6"/>
      <c r="E835" s="15"/>
      <c r="F835" s="6"/>
      <c r="G835" s="6"/>
      <c r="H835" s="3"/>
      <c r="I835" s="6"/>
      <c r="J835" s="3"/>
      <c r="K835" s="3"/>
      <c r="L835" s="3"/>
      <c r="M835" s="3"/>
      <c r="N835" s="3"/>
      <c r="O835" s="3"/>
      <c r="P835" s="3"/>
      <c r="Q835" s="3"/>
      <c r="R835" s="3"/>
    </row>
    <row r="836" spans="1:18" x14ac:dyDescent="0.75">
      <c r="A836" s="3"/>
      <c r="B836" s="3"/>
      <c r="C836" s="6"/>
      <c r="D836" s="6"/>
      <c r="E836" s="15"/>
      <c r="F836" s="6"/>
      <c r="G836" s="6"/>
      <c r="H836" s="3"/>
      <c r="I836" s="6"/>
      <c r="J836" s="3"/>
      <c r="K836" s="3"/>
      <c r="L836" s="3"/>
      <c r="M836" s="3"/>
      <c r="N836" s="3"/>
      <c r="O836" s="3"/>
      <c r="P836" s="3"/>
      <c r="Q836" s="3"/>
      <c r="R836" s="3"/>
    </row>
    <row r="837" spans="1:18" x14ac:dyDescent="0.75">
      <c r="A837" s="3"/>
      <c r="B837" s="3"/>
      <c r="C837" s="6"/>
      <c r="D837" s="6"/>
      <c r="E837" s="15"/>
      <c r="F837" s="6"/>
      <c r="G837" s="6"/>
      <c r="H837" s="3"/>
      <c r="I837" s="6"/>
      <c r="J837" s="3"/>
      <c r="K837" s="3"/>
      <c r="L837" s="3"/>
      <c r="M837" s="3"/>
      <c r="N837" s="3"/>
      <c r="O837" s="3"/>
      <c r="P837" s="3"/>
      <c r="Q837" s="3"/>
      <c r="R837" s="3"/>
    </row>
    <row r="838" spans="1:18" x14ac:dyDescent="0.75">
      <c r="A838" s="3"/>
      <c r="B838" s="3"/>
      <c r="C838" s="6"/>
      <c r="D838" s="6"/>
      <c r="E838" s="15"/>
      <c r="F838" s="6"/>
      <c r="G838" s="6"/>
      <c r="H838" s="3"/>
      <c r="I838" s="6"/>
      <c r="J838" s="3"/>
      <c r="K838" s="3"/>
      <c r="L838" s="3"/>
      <c r="M838" s="3"/>
      <c r="N838" s="3"/>
      <c r="O838" s="3"/>
      <c r="P838" s="3"/>
      <c r="Q838" s="3"/>
      <c r="R838" s="3"/>
    </row>
    <row r="839" spans="1:18" x14ac:dyDescent="0.75">
      <c r="A839" s="3"/>
      <c r="B839" s="3"/>
      <c r="C839" s="6"/>
      <c r="D839" s="6"/>
      <c r="E839" s="15"/>
      <c r="F839" s="6"/>
      <c r="G839" s="6"/>
      <c r="H839" s="3"/>
      <c r="I839" s="6"/>
      <c r="J839" s="3"/>
      <c r="K839" s="3"/>
      <c r="L839" s="3"/>
      <c r="M839" s="3"/>
      <c r="N839" s="3"/>
      <c r="O839" s="3"/>
      <c r="P839" s="3"/>
      <c r="Q839" s="3"/>
      <c r="R839" s="3"/>
    </row>
    <row r="840" spans="1:18" x14ac:dyDescent="0.75">
      <c r="A840" s="3"/>
      <c r="B840" s="3"/>
      <c r="C840" s="6"/>
      <c r="D840" s="6"/>
      <c r="E840" s="15"/>
      <c r="F840" s="6"/>
      <c r="G840" s="6"/>
      <c r="H840" s="3"/>
      <c r="I840" s="6"/>
      <c r="J840" s="3"/>
      <c r="K840" s="3"/>
      <c r="L840" s="3"/>
      <c r="M840" s="3"/>
      <c r="N840" s="3"/>
      <c r="O840" s="3"/>
      <c r="P840" s="3"/>
      <c r="Q840" s="3"/>
      <c r="R840" s="3"/>
    </row>
    <row r="841" spans="1:18" x14ac:dyDescent="0.75">
      <c r="A841" s="3"/>
      <c r="B841" s="3"/>
      <c r="C841" s="6"/>
      <c r="D841" s="6"/>
      <c r="E841" s="15"/>
      <c r="F841" s="6"/>
      <c r="G841" s="6"/>
      <c r="H841" s="3"/>
      <c r="I841" s="6"/>
      <c r="J841" s="3"/>
      <c r="K841" s="3"/>
      <c r="L841" s="3"/>
      <c r="M841" s="3"/>
      <c r="N841" s="3"/>
      <c r="O841" s="3"/>
      <c r="P841" s="3"/>
      <c r="Q841" s="3"/>
      <c r="R841" s="3"/>
    </row>
    <row r="842" spans="1:18" x14ac:dyDescent="0.75">
      <c r="A842" s="3"/>
      <c r="B842" s="3"/>
      <c r="C842" s="6"/>
      <c r="D842" s="6"/>
      <c r="E842" s="15"/>
      <c r="F842" s="6"/>
      <c r="G842" s="6"/>
      <c r="H842" s="3"/>
      <c r="I842" s="6"/>
      <c r="J842" s="3"/>
      <c r="K842" s="3"/>
      <c r="L842" s="3"/>
      <c r="M842" s="3"/>
      <c r="N842" s="3"/>
      <c r="O842" s="3"/>
      <c r="P842" s="3"/>
      <c r="Q842" s="3"/>
      <c r="R842" s="3"/>
    </row>
    <row r="843" spans="1:18" x14ac:dyDescent="0.75">
      <c r="A843" s="3"/>
      <c r="B843" s="3"/>
      <c r="C843" s="6"/>
      <c r="D843" s="6"/>
      <c r="E843" s="15"/>
      <c r="F843" s="6"/>
      <c r="G843" s="6"/>
      <c r="H843" s="3"/>
      <c r="I843" s="6"/>
      <c r="J843" s="3"/>
      <c r="K843" s="3"/>
      <c r="L843" s="3"/>
      <c r="M843" s="3"/>
      <c r="N843" s="3"/>
      <c r="O843" s="3"/>
      <c r="P843" s="3"/>
      <c r="Q843" s="3"/>
      <c r="R843" s="3"/>
    </row>
    <row r="844" spans="1:18" x14ac:dyDescent="0.75">
      <c r="A844" s="3"/>
      <c r="B844" s="3"/>
      <c r="C844" s="6"/>
      <c r="D844" s="6"/>
      <c r="E844" s="15"/>
      <c r="F844" s="6"/>
      <c r="G844" s="6"/>
      <c r="H844" s="3"/>
      <c r="I844" s="6"/>
      <c r="J844" s="3"/>
      <c r="K844" s="3"/>
      <c r="L844" s="3"/>
      <c r="M844" s="3"/>
      <c r="N844" s="3"/>
      <c r="O844" s="3"/>
      <c r="P844" s="3"/>
      <c r="Q844" s="3"/>
      <c r="R844" s="3"/>
    </row>
    <row r="845" spans="1:18" x14ac:dyDescent="0.75">
      <c r="A845" s="3"/>
      <c r="B845" s="3"/>
      <c r="C845" s="6"/>
      <c r="D845" s="6"/>
      <c r="E845" s="15"/>
      <c r="F845" s="6"/>
      <c r="G845" s="6"/>
      <c r="H845" s="3"/>
      <c r="I845" s="6"/>
      <c r="J845" s="3"/>
      <c r="K845" s="3"/>
      <c r="L845" s="3"/>
      <c r="M845" s="3"/>
      <c r="N845" s="3"/>
      <c r="O845" s="3"/>
      <c r="P845" s="3"/>
      <c r="Q845" s="3"/>
      <c r="R845" s="3"/>
    </row>
    <row r="846" spans="1:18" x14ac:dyDescent="0.75">
      <c r="A846" s="3"/>
      <c r="B846" s="3"/>
      <c r="C846" s="6"/>
      <c r="D846" s="6"/>
      <c r="E846" s="15"/>
      <c r="F846" s="6"/>
      <c r="G846" s="6"/>
      <c r="H846" s="3"/>
      <c r="I846" s="6"/>
      <c r="J846" s="3"/>
      <c r="K846" s="3"/>
      <c r="L846" s="3"/>
      <c r="M846" s="3"/>
      <c r="N846" s="3"/>
      <c r="O846" s="3"/>
      <c r="P846" s="3"/>
      <c r="Q846" s="3"/>
      <c r="R846" s="3"/>
    </row>
    <row r="847" spans="1:18" x14ac:dyDescent="0.75">
      <c r="A847" s="3"/>
      <c r="B847" s="3"/>
      <c r="C847" s="6"/>
      <c r="D847" s="6"/>
      <c r="E847" s="15"/>
      <c r="F847" s="6"/>
      <c r="G847" s="6"/>
      <c r="H847" s="3"/>
      <c r="I847" s="6"/>
      <c r="J847" s="3"/>
      <c r="K847" s="3"/>
      <c r="L847" s="3"/>
      <c r="M847" s="3"/>
      <c r="N847" s="3"/>
      <c r="O847" s="3"/>
      <c r="P847" s="3"/>
      <c r="Q847" s="3"/>
      <c r="R847" s="3"/>
    </row>
    <row r="848" spans="1:18" x14ac:dyDescent="0.75">
      <c r="A848" s="3"/>
      <c r="B848" s="3"/>
      <c r="C848" s="6"/>
      <c r="D848" s="6"/>
      <c r="E848" s="15"/>
      <c r="F848" s="6"/>
      <c r="G848" s="6"/>
      <c r="H848" s="3"/>
      <c r="I848" s="6"/>
      <c r="J848" s="3"/>
      <c r="K848" s="3"/>
      <c r="L848" s="3"/>
      <c r="M848" s="3"/>
      <c r="N848" s="3"/>
      <c r="O848" s="3"/>
      <c r="P848" s="3"/>
      <c r="Q848" s="3"/>
      <c r="R848" s="3"/>
    </row>
    <row r="849" spans="1:18" x14ac:dyDescent="0.75">
      <c r="A849" s="3"/>
      <c r="B849" s="3"/>
      <c r="C849" s="6"/>
      <c r="D849" s="6"/>
      <c r="E849" s="15"/>
      <c r="F849" s="6"/>
      <c r="G849" s="6"/>
      <c r="H849" s="3"/>
      <c r="I849" s="6"/>
      <c r="J849" s="3"/>
      <c r="K849" s="3"/>
      <c r="L849" s="3"/>
      <c r="M849" s="3"/>
      <c r="N849" s="3"/>
      <c r="O849" s="3"/>
      <c r="P849" s="3"/>
      <c r="Q849" s="3"/>
      <c r="R849" s="3"/>
    </row>
    <row r="850" spans="1:18" x14ac:dyDescent="0.75">
      <c r="A850" s="3"/>
      <c r="B850" s="3"/>
      <c r="C850" s="6"/>
      <c r="D850" s="6"/>
      <c r="E850" s="15"/>
      <c r="F850" s="6"/>
      <c r="G850" s="6"/>
      <c r="H850" s="3"/>
      <c r="I850" s="6"/>
      <c r="J850" s="3"/>
      <c r="K850" s="3"/>
      <c r="L850" s="3"/>
      <c r="M850" s="3"/>
      <c r="N850" s="3"/>
      <c r="O850" s="3"/>
      <c r="P850" s="3"/>
      <c r="Q850" s="3"/>
      <c r="R850" s="3"/>
    </row>
    <row r="851" spans="1:18" x14ac:dyDescent="0.75">
      <c r="A851" s="3"/>
      <c r="B851" s="3"/>
      <c r="C851" s="6"/>
      <c r="D851" s="6"/>
      <c r="E851" s="15"/>
      <c r="F851" s="6"/>
      <c r="G851" s="6"/>
      <c r="H851" s="3"/>
      <c r="I851" s="6"/>
      <c r="J851" s="3"/>
      <c r="K851" s="3"/>
      <c r="L851" s="3"/>
      <c r="M851" s="3"/>
      <c r="N851" s="3"/>
      <c r="O851" s="3"/>
      <c r="P851" s="3"/>
      <c r="Q851" s="3"/>
      <c r="R851" s="3"/>
    </row>
    <row r="852" spans="1:18" x14ac:dyDescent="0.75">
      <c r="A852" s="3"/>
      <c r="B852" s="3"/>
      <c r="C852" s="6"/>
      <c r="D852" s="6"/>
      <c r="E852" s="15"/>
      <c r="F852" s="6"/>
      <c r="G852" s="6"/>
      <c r="H852" s="3"/>
      <c r="I852" s="6"/>
      <c r="J852" s="3"/>
      <c r="K852" s="3"/>
      <c r="L852" s="3"/>
      <c r="M852" s="3"/>
      <c r="N852" s="3"/>
      <c r="O852" s="3"/>
      <c r="P852" s="3"/>
      <c r="Q852" s="3"/>
      <c r="R852" s="3"/>
    </row>
    <row r="853" spans="1:18" x14ac:dyDescent="0.75">
      <c r="A853" s="3"/>
      <c r="B853" s="3"/>
      <c r="C853" s="6"/>
      <c r="D853" s="6"/>
      <c r="E853" s="15"/>
      <c r="F853" s="6"/>
      <c r="G853" s="6"/>
      <c r="H853" s="3"/>
      <c r="I853" s="6"/>
      <c r="J853" s="3"/>
      <c r="K853" s="3"/>
      <c r="L853" s="3"/>
      <c r="M853" s="3"/>
      <c r="N853" s="3"/>
      <c r="O853" s="3"/>
      <c r="P853" s="3"/>
      <c r="Q853" s="3"/>
      <c r="R853" s="3"/>
    </row>
    <row r="854" spans="1:18" x14ac:dyDescent="0.75">
      <c r="A854" s="3"/>
      <c r="B854" s="3"/>
      <c r="C854" s="6"/>
      <c r="D854" s="6"/>
      <c r="E854" s="15"/>
      <c r="F854" s="6"/>
      <c r="G854" s="6"/>
      <c r="H854" s="3"/>
      <c r="I854" s="6"/>
      <c r="J854" s="3"/>
      <c r="K854" s="3"/>
      <c r="L854" s="3"/>
      <c r="M854" s="3"/>
      <c r="N854" s="3"/>
      <c r="O854" s="3"/>
      <c r="P854" s="3"/>
      <c r="Q854" s="3"/>
      <c r="R854" s="3"/>
    </row>
    <row r="855" spans="1:18" x14ac:dyDescent="0.75">
      <c r="A855" s="3"/>
      <c r="B855" s="3"/>
      <c r="C855" s="6"/>
      <c r="D855" s="6"/>
      <c r="E855" s="15"/>
      <c r="F855" s="6"/>
      <c r="G855" s="6"/>
      <c r="H855" s="3"/>
      <c r="I855" s="6"/>
      <c r="J855" s="3"/>
      <c r="K855" s="3"/>
      <c r="L855" s="3"/>
      <c r="M855" s="3"/>
      <c r="N855" s="3"/>
      <c r="O855" s="3"/>
      <c r="P855" s="3"/>
      <c r="Q855" s="3"/>
      <c r="R855" s="3"/>
    </row>
    <row r="856" spans="1:18" x14ac:dyDescent="0.75">
      <c r="A856" s="3"/>
      <c r="B856" s="3"/>
      <c r="C856" s="6"/>
      <c r="D856" s="6"/>
      <c r="E856" s="15"/>
      <c r="F856" s="6"/>
      <c r="G856" s="6"/>
      <c r="H856" s="3"/>
      <c r="I856" s="6"/>
      <c r="J856" s="3"/>
      <c r="K856" s="3"/>
      <c r="L856" s="3"/>
      <c r="M856" s="3"/>
      <c r="N856" s="3"/>
      <c r="O856" s="3"/>
      <c r="P856" s="3"/>
      <c r="Q856" s="3"/>
      <c r="R856" s="3"/>
    </row>
    <row r="857" spans="1:18" x14ac:dyDescent="0.75">
      <c r="A857" s="3"/>
      <c r="B857" s="3"/>
      <c r="C857" s="6"/>
      <c r="D857" s="6"/>
      <c r="E857" s="15"/>
      <c r="F857" s="6"/>
      <c r="G857" s="6"/>
      <c r="H857" s="3"/>
      <c r="I857" s="6"/>
      <c r="J857" s="3"/>
      <c r="K857" s="3"/>
      <c r="L857" s="3"/>
      <c r="M857" s="3"/>
      <c r="N857" s="3"/>
      <c r="O857" s="3"/>
      <c r="P857" s="3"/>
      <c r="Q857" s="3"/>
      <c r="R857" s="3"/>
    </row>
    <row r="858" spans="1:18" x14ac:dyDescent="0.75">
      <c r="A858" s="3"/>
      <c r="B858" s="3"/>
      <c r="C858" s="6"/>
      <c r="D858" s="6"/>
      <c r="E858" s="15"/>
      <c r="F858" s="6"/>
      <c r="G858" s="6"/>
      <c r="H858" s="3"/>
      <c r="I858" s="6"/>
      <c r="J858" s="3"/>
      <c r="K858" s="3"/>
      <c r="L858" s="3"/>
      <c r="M858" s="3"/>
      <c r="N858" s="3"/>
      <c r="O858" s="3"/>
      <c r="P858" s="3"/>
      <c r="Q858" s="3"/>
      <c r="R858" s="3"/>
    </row>
    <row r="859" spans="1:18" x14ac:dyDescent="0.75">
      <c r="A859" s="3"/>
      <c r="B859" s="3"/>
      <c r="C859" s="6"/>
      <c r="D859" s="6"/>
      <c r="E859" s="15"/>
      <c r="F859" s="6"/>
      <c r="G859" s="6"/>
      <c r="H859" s="3"/>
      <c r="I859" s="6"/>
      <c r="J859" s="3"/>
      <c r="K859" s="3"/>
      <c r="L859" s="3"/>
      <c r="M859" s="3"/>
      <c r="N859" s="3"/>
      <c r="O859" s="3"/>
      <c r="P859" s="3"/>
      <c r="Q859" s="3"/>
      <c r="R859" s="3"/>
    </row>
    <row r="860" spans="1:18" x14ac:dyDescent="0.75">
      <c r="A860" s="3"/>
      <c r="B860" s="3"/>
      <c r="C860" s="6"/>
      <c r="D860" s="6"/>
      <c r="E860" s="15"/>
      <c r="F860" s="6"/>
      <c r="G860" s="6"/>
      <c r="H860" s="3"/>
      <c r="I860" s="6"/>
      <c r="J860" s="3"/>
      <c r="K860" s="3"/>
      <c r="L860" s="3"/>
      <c r="M860" s="3"/>
      <c r="N860" s="3"/>
      <c r="O860" s="3"/>
      <c r="P860" s="3"/>
      <c r="Q860" s="3"/>
      <c r="R860" s="3"/>
    </row>
    <row r="861" spans="1:18" x14ac:dyDescent="0.75">
      <c r="A861" s="3"/>
      <c r="B861" s="3"/>
      <c r="C861" s="6"/>
      <c r="D861" s="6"/>
      <c r="E861" s="15"/>
      <c r="F861" s="6"/>
      <c r="G861" s="6"/>
      <c r="H861" s="3"/>
      <c r="I861" s="6"/>
      <c r="J861" s="3"/>
      <c r="K861" s="3"/>
      <c r="L861" s="3"/>
      <c r="M861" s="3"/>
      <c r="N861" s="3"/>
      <c r="O861" s="3"/>
      <c r="P861" s="3"/>
      <c r="Q861" s="3"/>
      <c r="R861" s="3"/>
    </row>
    <row r="862" spans="1:18" x14ac:dyDescent="0.75">
      <c r="A862" s="3"/>
      <c r="B862" s="3"/>
      <c r="C862" s="6"/>
      <c r="D862" s="6"/>
      <c r="E862" s="15"/>
      <c r="F862" s="6"/>
      <c r="G862" s="6"/>
      <c r="H862" s="3"/>
      <c r="I862" s="6"/>
      <c r="J862" s="3"/>
      <c r="K862" s="3"/>
      <c r="L862" s="3"/>
      <c r="M862" s="3"/>
      <c r="N862" s="3"/>
      <c r="O862" s="3"/>
      <c r="P862" s="3"/>
      <c r="Q862" s="3"/>
      <c r="R862" s="3"/>
    </row>
    <row r="863" spans="1:18" x14ac:dyDescent="0.75">
      <c r="A863" s="3"/>
      <c r="B863" s="3"/>
      <c r="C863" s="6"/>
      <c r="D863" s="6"/>
      <c r="E863" s="15"/>
      <c r="F863" s="6"/>
      <c r="G863" s="6"/>
      <c r="H863" s="3"/>
      <c r="I863" s="6"/>
      <c r="J863" s="3"/>
      <c r="K863" s="3"/>
      <c r="L863" s="3"/>
      <c r="M863" s="3"/>
      <c r="N863" s="3"/>
      <c r="O863" s="3"/>
      <c r="P863" s="3"/>
      <c r="Q863" s="3"/>
      <c r="R863" s="3"/>
    </row>
    <row r="864" spans="1:18" x14ac:dyDescent="0.75">
      <c r="A864" s="3"/>
      <c r="B864" s="3"/>
      <c r="C864" s="6"/>
      <c r="D864" s="6"/>
      <c r="E864" s="15"/>
      <c r="F864" s="6"/>
      <c r="G864" s="6"/>
      <c r="H864" s="3"/>
      <c r="I864" s="6"/>
      <c r="J864" s="3"/>
      <c r="K864" s="3"/>
      <c r="L864" s="3"/>
      <c r="M864" s="3"/>
      <c r="N864" s="3"/>
      <c r="O864" s="3"/>
      <c r="P864" s="3"/>
      <c r="Q864" s="3"/>
      <c r="R864" s="3"/>
    </row>
    <row r="865" spans="1:18" x14ac:dyDescent="0.75">
      <c r="A865" s="3"/>
      <c r="B865" s="3"/>
      <c r="C865" s="6"/>
      <c r="D865" s="6"/>
      <c r="E865" s="15"/>
      <c r="F865" s="6"/>
      <c r="G865" s="6"/>
      <c r="H865" s="3"/>
      <c r="I865" s="6"/>
      <c r="J865" s="3"/>
      <c r="K865" s="3"/>
      <c r="L865" s="3"/>
      <c r="M865" s="3"/>
      <c r="N865" s="3"/>
      <c r="O865" s="3"/>
      <c r="P865" s="3"/>
      <c r="Q865" s="3"/>
      <c r="R865" s="3"/>
    </row>
    <row r="866" spans="1:18" x14ac:dyDescent="0.75">
      <c r="A866" s="3"/>
      <c r="B866" s="3"/>
      <c r="C866" s="6"/>
      <c r="D866" s="6"/>
      <c r="E866" s="15"/>
      <c r="F866" s="6"/>
      <c r="G866" s="6"/>
      <c r="H866" s="3"/>
      <c r="I866" s="6"/>
      <c r="J866" s="3"/>
      <c r="K866" s="3"/>
      <c r="L866" s="3"/>
      <c r="M866" s="3"/>
      <c r="N866" s="3"/>
      <c r="O866" s="3"/>
      <c r="P866" s="3"/>
      <c r="Q866" s="3"/>
      <c r="R866" s="3"/>
    </row>
    <row r="867" spans="1:18" x14ac:dyDescent="0.75">
      <c r="A867" s="3"/>
      <c r="B867" s="3"/>
      <c r="C867" s="6"/>
      <c r="D867" s="6"/>
      <c r="E867" s="15"/>
      <c r="F867" s="6"/>
      <c r="G867" s="6"/>
      <c r="H867" s="3"/>
      <c r="I867" s="6"/>
      <c r="J867" s="3"/>
      <c r="K867" s="3"/>
      <c r="L867" s="3"/>
      <c r="M867" s="3"/>
      <c r="N867" s="3"/>
      <c r="O867" s="3"/>
      <c r="P867" s="3"/>
      <c r="Q867" s="3"/>
      <c r="R867" s="3"/>
    </row>
    <row r="868" spans="1:18" x14ac:dyDescent="0.75">
      <c r="A868" s="3"/>
      <c r="B868" s="3"/>
      <c r="C868" s="6"/>
      <c r="D868" s="6"/>
      <c r="E868" s="15"/>
      <c r="F868" s="6"/>
      <c r="G868" s="6"/>
      <c r="H868" s="3"/>
      <c r="I868" s="6"/>
      <c r="J868" s="3"/>
      <c r="K868" s="3"/>
      <c r="L868" s="3"/>
      <c r="M868" s="3"/>
      <c r="N868" s="3"/>
      <c r="O868" s="3"/>
      <c r="P868" s="3"/>
      <c r="Q868" s="3"/>
      <c r="R868" s="3"/>
    </row>
    <row r="869" spans="1:18" x14ac:dyDescent="0.75">
      <c r="A869" s="3"/>
      <c r="B869" s="3"/>
      <c r="C869" s="6"/>
      <c r="D869" s="6"/>
      <c r="E869" s="15"/>
      <c r="F869" s="6"/>
      <c r="G869" s="6"/>
      <c r="H869" s="3"/>
      <c r="I869" s="6"/>
      <c r="J869" s="3"/>
      <c r="K869" s="3"/>
      <c r="L869" s="3"/>
      <c r="M869" s="3"/>
      <c r="N869" s="3"/>
      <c r="O869" s="3"/>
      <c r="P869" s="3"/>
      <c r="Q869" s="3"/>
      <c r="R869" s="3"/>
    </row>
    <row r="870" spans="1:18" x14ac:dyDescent="0.75">
      <c r="A870" s="3"/>
      <c r="B870" s="3"/>
      <c r="C870" s="6"/>
      <c r="D870" s="6"/>
      <c r="E870" s="15"/>
      <c r="F870" s="6"/>
      <c r="G870" s="6"/>
      <c r="H870" s="3"/>
      <c r="I870" s="6"/>
      <c r="J870" s="3"/>
      <c r="K870" s="3"/>
      <c r="L870" s="3"/>
      <c r="M870" s="3"/>
      <c r="N870" s="3"/>
      <c r="O870" s="3"/>
      <c r="P870" s="3"/>
      <c r="Q870" s="3"/>
      <c r="R870" s="3"/>
    </row>
    <row r="871" spans="1:18" x14ac:dyDescent="0.75">
      <c r="A871" s="3"/>
      <c r="B871" s="3"/>
      <c r="C871" s="6"/>
      <c r="D871" s="6"/>
      <c r="E871" s="15"/>
      <c r="F871" s="6"/>
      <c r="G871" s="6"/>
      <c r="H871" s="3"/>
      <c r="I871" s="6"/>
      <c r="J871" s="3"/>
      <c r="K871" s="3"/>
      <c r="L871" s="3"/>
      <c r="M871" s="3"/>
      <c r="N871" s="3"/>
      <c r="O871" s="3"/>
      <c r="P871" s="3"/>
      <c r="Q871" s="3"/>
      <c r="R871" s="3"/>
    </row>
    <row r="872" spans="1:18" x14ac:dyDescent="0.75">
      <c r="A872" s="3"/>
      <c r="B872" s="3"/>
      <c r="C872" s="6"/>
      <c r="D872" s="6"/>
      <c r="E872" s="15"/>
      <c r="F872" s="6"/>
      <c r="G872" s="6"/>
      <c r="H872" s="3"/>
      <c r="I872" s="6"/>
      <c r="J872" s="3"/>
      <c r="K872" s="3"/>
      <c r="L872" s="3"/>
      <c r="M872" s="3"/>
      <c r="N872" s="3"/>
      <c r="O872" s="3"/>
      <c r="P872" s="3"/>
      <c r="Q872" s="3"/>
      <c r="R872" s="3"/>
    </row>
    <row r="873" spans="1:18" x14ac:dyDescent="0.75">
      <c r="A873" s="3"/>
      <c r="B873" s="3"/>
      <c r="C873" s="6"/>
      <c r="D873" s="6"/>
      <c r="E873" s="15"/>
      <c r="F873" s="6"/>
      <c r="G873" s="6"/>
      <c r="H873" s="3"/>
      <c r="I873" s="6"/>
      <c r="J873" s="3"/>
      <c r="K873" s="3"/>
      <c r="L873" s="3"/>
      <c r="M873" s="3"/>
      <c r="N873" s="3"/>
      <c r="O873" s="3"/>
      <c r="P873" s="3"/>
      <c r="Q873" s="3"/>
      <c r="R873" s="3"/>
    </row>
    <row r="874" spans="1:18" x14ac:dyDescent="0.75">
      <c r="A874" s="3"/>
      <c r="B874" s="3"/>
      <c r="C874" s="6"/>
      <c r="D874" s="6"/>
      <c r="E874" s="15"/>
      <c r="F874" s="6"/>
      <c r="G874" s="6"/>
      <c r="H874" s="3"/>
      <c r="I874" s="6"/>
      <c r="J874" s="3"/>
      <c r="K874" s="3"/>
      <c r="L874" s="3"/>
      <c r="M874" s="3"/>
      <c r="N874" s="3"/>
      <c r="O874" s="3"/>
      <c r="P874" s="3"/>
      <c r="Q874" s="3"/>
      <c r="R874" s="3"/>
    </row>
    <row r="875" spans="1:18" x14ac:dyDescent="0.75">
      <c r="A875" s="3"/>
      <c r="B875" s="3"/>
      <c r="C875" s="6"/>
      <c r="D875" s="6"/>
      <c r="E875" s="15"/>
      <c r="F875" s="6"/>
      <c r="G875" s="6"/>
      <c r="H875" s="3"/>
      <c r="I875" s="6"/>
      <c r="J875" s="3"/>
      <c r="K875" s="3"/>
      <c r="L875" s="3"/>
      <c r="M875" s="3"/>
      <c r="N875" s="3"/>
      <c r="O875" s="3"/>
      <c r="P875" s="3"/>
      <c r="Q875" s="3"/>
      <c r="R875" s="3"/>
    </row>
    <row r="876" spans="1:18" x14ac:dyDescent="0.75">
      <c r="A876" s="3"/>
      <c r="B876" s="3"/>
      <c r="C876" s="6"/>
      <c r="D876" s="6"/>
      <c r="E876" s="15"/>
      <c r="F876" s="6"/>
      <c r="G876" s="6"/>
      <c r="H876" s="3"/>
      <c r="I876" s="6"/>
      <c r="J876" s="3"/>
      <c r="K876" s="3"/>
      <c r="L876" s="3"/>
      <c r="M876" s="3"/>
      <c r="N876" s="3"/>
      <c r="O876" s="3"/>
      <c r="P876" s="3"/>
      <c r="Q876" s="3"/>
      <c r="R876" s="3"/>
    </row>
    <row r="877" spans="1:18" x14ac:dyDescent="0.75">
      <c r="A877" s="3"/>
      <c r="B877" s="3"/>
      <c r="C877" s="6"/>
      <c r="D877" s="6"/>
      <c r="E877" s="15"/>
      <c r="F877" s="6"/>
      <c r="G877" s="6"/>
      <c r="H877" s="3"/>
      <c r="I877" s="6"/>
      <c r="J877" s="3"/>
      <c r="K877" s="3"/>
      <c r="L877" s="3"/>
      <c r="M877" s="3"/>
      <c r="N877" s="3"/>
      <c r="O877" s="3"/>
      <c r="P877" s="3"/>
      <c r="Q877" s="3"/>
      <c r="R877" s="3"/>
    </row>
    <row r="878" spans="1:18" x14ac:dyDescent="0.75">
      <c r="A878" s="3"/>
      <c r="B878" s="3"/>
      <c r="C878" s="6"/>
      <c r="D878" s="6"/>
      <c r="E878" s="15"/>
      <c r="F878" s="6"/>
      <c r="G878" s="6"/>
      <c r="H878" s="3"/>
      <c r="I878" s="6"/>
      <c r="J878" s="3"/>
      <c r="K878" s="3"/>
      <c r="L878" s="3"/>
      <c r="M878" s="3"/>
      <c r="N878" s="3"/>
      <c r="O878" s="3"/>
      <c r="P878" s="3"/>
      <c r="Q878" s="3"/>
      <c r="R878" s="3"/>
    </row>
    <row r="879" spans="1:18" x14ac:dyDescent="0.75">
      <c r="A879" s="3"/>
      <c r="B879" s="3"/>
      <c r="C879" s="6"/>
      <c r="D879" s="6"/>
      <c r="E879" s="15"/>
      <c r="F879" s="6"/>
      <c r="G879" s="6"/>
      <c r="H879" s="3"/>
      <c r="I879" s="6"/>
      <c r="J879" s="3"/>
      <c r="K879" s="3"/>
      <c r="L879" s="3"/>
      <c r="M879" s="3"/>
      <c r="N879" s="3"/>
      <c r="O879" s="3"/>
      <c r="P879" s="3"/>
      <c r="Q879" s="3"/>
      <c r="R879" s="3"/>
    </row>
    <row r="880" spans="1:18" x14ac:dyDescent="0.75">
      <c r="A880" s="3"/>
      <c r="B880" s="3"/>
      <c r="C880" s="6"/>
      <c r="D880" s="6"/>
      <c r="E880" s="15"/>
      <c r="F880" s="6"/>
      <c r="G880" s="6"/>
      <c r="H880" s="3"/>
      <c r="I880" s="6"/>
      <c r="J880" s="3"/>
      <c r="K880" s="3"/>
      <c r="L880" s="3"/>
      <c r="M880" s="3"/>
      <c r="N880" s="3"/>
      <c r="O880" s="3"/>
      <c r="P880" s="3"/>
      <c r="Q880" s="3"/>
      <c r="R880" s="3"/>
    </row>
    <row r="881" spans="1:18" x14ac:dyDescent="0.75">
      <c r="A881" s="3"/>
      <c r="B881" s="3"/>
      <c r="C881" s="6"/>
      <c r="D881" s="6"/>
      <c r="E881" s="15"/>
      <c r="F881" s="6"/>
      <c r="G881" s="6"/>
      <c r="H881" s="3"/>
      <c r="I881" s="6"/>
      <c r="J881" s="3"/>
      <c r="K881" s="3"/>
      <c r="L881" s="3"/>
      <c r="M881" s="3"/>
      <c r="N881" s="3"/>
      <c r="O881" s="3"/>
      <c r="P881" s="3"/>
      <c r="Q881" s="3"/>
      <c r="R881" s="3"/>
    </row>
    <row r="882" spans="1:18" x14ac:dyDescent="0.75">
      <c r="A882" s="3"/>
      <c r="B882" s="3"/>
      <c r="C882" s="6"/>
      <c r="D882" s="6"/>
      <c r="E882" s="15"/>
      <c r="F882" s="6"/>
      <c r="G882" s="6"/>
      <c r="H882" s="3"/>
      <c r="I882" s="6"/>
      <c r="J882" s="3"/>
      <c r="K882" s="3"/>
      <c r="L882" s="3"/>
      <c r="M882" s="3"/>
      <c r="N882" s="3"/>
      <c r="O882" s="3"/>
      <c r="P882" s="3"/>
      <c r="Q882" s="3"/>
      <c r="R882" s="3"/>
    </row>
    <row r="883" spans="1:18" x14ac:dyDescent="0.75">
      <c r="A883" s="3"/>
      <c r="B883" s="3"/>
      <c r="C883" s="6"/>
      <c r="D883" s="6"/>
      <c r="E883" s="15"/>
      <c r="F883" s="6"/>
      <c r="G883" s="6"/>
      <c r="H883" s="3"/>
      <c r="I883" s="6"/>
      <c r="J883" s="3"/>
      <c r="K883" s="3"/>
      <c r="L883" s="3"/>
      <c r="M883" s="3"/>
      <c r="N883" s="3"/>
      <c r="O883" s="3"/>
      <c r="P883" s="3"/>
      <c r="Q883" s="3"/>
      <c r="R883" s="3"/>
    </row>
    <row r="884" spans="1:18" x14ac:dyDescent="0.75">
      <c r="A884" s="3"/>
      <c r="B884" s="3"/>
      <c r="C884" s="6"/>
      <c r="D884" s="6"/>
      <c r="E884" s="15"/>
      <c r="F884" s="6"/>
      <c r="G884" s="6"/>
      <c r="H884" s="3"/>
      <c r="I884" s="6"/>
      <c r="J884" s="3"/>
      <c r="K884" s="3"/>
      <c r="L884" s="3"/>
      <c r="M884" s="3"/>
      <c r="N884" s="3"/>
      <c r="O884" s="3"/>
      <c r="P884" s="3"/>
      <c r="Q884" s="3"/>
      <c r="R884" s="3"/>
    </row>
    <row r="885" spans="1:18" x14ac:dyDescent="0.75">
      <c r="A885" s="3"/>
      <c r="B885" s="3"/>
      <c r="C885" s="6"/>
      <c r="D885" s="6"/>
      <c r="E885" s="15"/>
      <c r="F885" s="6"/>
      <c r="G885" s="6"/>
      <c r="H885" s="3"/>
      <c r="I885" s="6"/>
      <c r="J885" s="3"/>
      <c r="K885" s="3"/>
      <c r="L885" s="3"/>
      <c r="M885" s="3"/>
      <c r="N885" s="3"/>
      <c r="O885" s="3"/>
      <c r="P885" s="3"/>
      <c r="Q885" s="3"/>
      <c r="R885" s="3"/>
    </row>
    <row r="886" spans="1:18" x14ac:dyDescent="0.75">
      <c r="A886" s="3"/>
      <c r="B886" s="3"/>
      <c r="C886" s="6"/>
      <c r="D886" s="6"/>
      <c r="E886" s="15"/>
      <c r="F886" s="6"/>
      <c r="G886" s="6"/>
      <c r="H886" s="3"/>
      <c r="I886" s="6"/>
      <c r="J886" s="3"/>
      <c r="K886" s="3"/>
      <c r="L886" s="3"/>
      <c r="M886" s="3"/>
      <c r="N886" s="3"/>
      <c r="O886" s="3"/>
      <c r="P886" s="3"/>
      <c r="Q886" s="3"/>
      <c r="R886" s="3"/>
    </row>
    <row r="887" spans="1:18" x14ac:dyDescent="0.75">
      <c r="A887" s="3"/>
      <c r="B887" s="3"/>
      <c r="C887" s="6"/>
      <c r="D887" s="6"/>
      <c r="E887" s="15"/>
      <c r="F887" s="6"/>
      <c r="G887" s="6"/>
      <c r="H887" s="3"/>
      <c r="I887" s="6"/>
      <c r="J887" s="3"/>
      <c r="K887" s="3"/>
      <c r="L887" s="3"/>
      <c r="M887" s="3"/>
      <c r="N887" s="3"/>
      <c r="O887" s="3"/>
      <c r="P887" s="3"/>
      <c r="Q887" s="3"/>
      <c r="R887" s="3"/>
    </row>
    <row r="888" spans="1:18" x14ac:dyDescent="0.75">
      <c r="A888" s="3"/>
      <c r="B888" s="3"/>
      <c r="C888" s="6"/>
      <c r="D888" s="6"/>
      <c r="E888" s="15"/>
      <c r="F888" s="6"/>
      <c r="G888" s="6"/>
      <c r="H888" s="3"/>
      <c r="I888" s="6"/>
      <c r="J888" s="3"/>
      <c r="K888" s="3"/>
      <c r="L888" s="3"/>
      <c r="M888" s="3"/>
      <c r="N888" s="3"/>
      <c r="O888" s="3"/>
      <c r="P888" s="3"/>
      <c r="Q888" s="3"/>
      <c r="R888" s="3"/>
    </row>
    <row r="889" spans="1:18" x14ac:dyDescent="0.75">
      <c r="A889" s="3"/>
      <c r="B889" s="3"/>
      <c r="C889" s="6"/>
      <c r="D889" s="6"/>
      <c r="E889" s="15"/>
      <c r="F889" s="6"/>
      <c r="G889" s="6"/>
      <c r="H889" s="3"/>
      <c r="I889" s="6"/>
      <c r="J889" s="3"/>
      <c r="K889" s="3"/>
      <c r="L889" s="3"/>
      <c r="M889" s="3"/>
      <c r="N889" s="3"/>
      <c r="O889" s="3"/>
      <c r="P889" s="3"/>
      <c r="Q889" s="3"/>
      <c r="R889" s="3"/>
    </row>
    <row r="890" spans="1:18" x14ac:dyDescent="0.75">
      <c r="A890" s="3"/>
      <c r="B890" s="3"/>
      <c r="C890" s="6"/>
      <c r="D890" s="6"/>
      <c r="E890" s="15"/>
      <c r="F890" s="6"/>
      <c r="G890" s="6"/>
      <c r="H890" s="3"/>
      <c r="I890" s="6"/>
      <c r="J890" s="3"/>
      <c r="K890" s="3"/>
      <c r="L890" s="3"/>
      <c r="M890" s="3"/>
      <c r="N890" s="3"/>
      <c r="O890" s="3"/>
      <c r="P890" s="3"/>
      <c r="Q890" s="3"/>
      <c r="R890" s="3"/>
    </row>
    <row r="891" spans="1:18" x14ac:dyDescent="0.75">
      <c r="A891" s="3"/>
      <c r="B891" s="3"/>
      <c r="C891" s="6"/>
      <c r="D891" s="6"/>
      <c r="E891" s="15"/>
      <c r="F891" s="6"/>
      <c r="G891" s="6"/>
      <c r="H891" s="3"/>
      <c r="I891" s="6"/>
      <c r="J891" s="3"/>
      <c r="K891" s="3"/>
      <c r="L891" s="3"/>
      <c r="M891" s="3"/>
      <c r="N891" s="3"/>
      <c r="O891" s="3"/>
      <c r="P891" s="3"/>
      <c r="Q891" s="3"/>
      <c r="R891" s="3"/>
    </row>
    <row r="892" spans="1:18" x14ac:dyDescent="0.75">
      <c r="A892" s="3"/>
      <c r="B892" s="3"/>
      <c r="C892" s="6"/>
      <c r="D892" s="6"/>
      <c r="E892" s="15"/>
      <c r="F892" s="6"/>
      <c r="G892" s="6"/>
      <c r="H892" s="3"/>
      <c r="I892" s="6"/>
      <c r="J892" s="3"/>
      <c r="K892" s="3"/>
      <c r="L892" s="3"/>
      <c r="M892" s="3"/>
      <c r="N892" s="3"/>
      <c r="O892" s="3"/>
      <c r="P892" s="3"/>
      <c r="Q892" s="3"/>
      <c r="R892" s="3"/>
    </row>
    <row r="893" spans="1:18" x14ac:dyDescent="0.75">
      <c r="A893" s="3"/>
      <c r="B893" s="3"/>
      <c r="C893" s="6"/>
      <c r="D893" s="6"/>
      <c r="E893" s="15"/>
      <c r="F893" s="6"/>
      <c r="G893" s="6"/>
      <c r="H893" s="3"/>
      <c r="I893" s="6"/>
      <c r="J893" s="3"/>
      <c r="K893" s="3"/>
      <c r="L893" s="3"/>
      <c r="M893" s="3"/>
      <c r="N893" s="3"/>
      <c r="O893" s="3"/>
      <c r="P893" s="3"/>
      <c r="Q893" s="3"/>
      <c r="R893" s="3"/>
    </row>
    <row r="894" spans="1:18" x14ac:dyDescent="0.75">
      <c r="A894" s="3"/>
      <c r="B894" s="3"/>
      <c r="C894" s="6"/>
      <c r="D894" s="6"/>
      <c r="E894" s="15"/>
      <c r="F894" s="6"/>
      <c r="G894" s="6"/>
      <c r="H894" s="3"/>
      <c r="I894" s="6"/>
      <c r="J894" s="3"/>
      <c r="K894" s="3"/>
      <c r="L894" s="3"/>
      <c r="M894" s="3"/>
      <c r="N894" s="3"/>
      <c r="O894" s="3"/>
      <c r="P894" s="3"/>
      <c r="Q894" s="3"/>
      <c r="R894" s="3"/>
    </row>
    <row r="895" spans="1:18" x14ac:dyDescent="0.75">
      <c r="A895" s="3"/>
      <c r="B895" s="3"/>
      <c r="C895" s="6"/>
      <c r="D895" s="6"/>
      <c r="E895" s="15"/>
      <c r="F895" s="6"/>
      <c r="G895" s="6"/>
      <c r="H895" s="3"/>
      <c r="I895" s="6"/>
      <c r="J895" s="3"/>
      <c r="K895" s="3"/>
      <c r="L895" s="3"/>
      <c r="M895" s="3"/>
      <c r="N895" s="3"/>
      <c r="O895" s="3"/>
      <c r="P895" s="3"/>
      <c r="Q895" s="3"/>
      <c r="R895" s="3"/>
    </row>
    <row r="896" spans="1:18" x14ac:dyDescent="0.75">
      <c r="A896" s="3"/>
      <c r="B896" s="3"/>
      <c r="C896" s="6"/>
      <c r="D896" s="6"/>
      <c r="E896" s="15"/>
      <c r="F896" s="6"/>
      <c r="G896" s="6"/>
      <c r="H896" s="3"/>
      <c r="I896" s="6"/>
      <c r="J896" s="3"/>
      <c r="K896" s="3"/>
      <c r="L896" s="3"/>
      <c r="M896" s="3"/>
      <c r="N896" s="3"/>
      <c r="O896" s="3"/>
      <c r="P896" s="3"/>
      <c r="Q896" s="3"/>
      <c r="R896" s="3"/>
    </row>
    <row r="897" spans="1:18" x14ac:dyDescent="0.75">
      <c r="A897" s="3"/>
      <c r="B897" s="3"/>
      <c r="C897" s="6"/>
      <c r="D897" s="6"/>
      <c r="E897" s="15"/>
      <c r="F897" s="6"/>
      <c r="G897" s="6"/>
      <c r="H897" s="3"/>
      <c r="I897" s="6"/>
      <c r="J897" s="3"/>
      <c r="K897" s="3"/>
      <c r="L897" s="3"/>
      <c r="M897" s="3"/>
      <c r="N897" s="3"/>
      <c r="O897" s="3"/>
      <c r="P897" s="3"/>
      <c r="Q897" s="3"/>
      <c r="R897" s="3"/>
    </row>
    <row r="898" spans="1:18" x14ac:dyDescent="0.75">
      <c r="A898" s="3"/>
      <c r="B898" s="3"/>
      <c r="C898" s="6"/>
      <c r="D898" s="6"/>
      <c r="E898" s="15"/>
      <c r="F898" s="6"/>
      <c r="G898" s="6"/>
      <c r="H898" s="3"/>
      <c r="I898" s="6"/>
      <c r="J898" s="3"/>
      <c r="K898" s="3"/>
      <c r="L898" s="3"/>
      <c r="M898" s="3"/>
      <c r="N898" s="3"/>
      <c r="O898" s="3"/>
      <c r="P898" s="3"/>
      <c r="Q898" s="3"/>
      <c r="R898" s="3"/>
    </row>
    <row r="899" spans="1:18" x14ac:dyDescent="0.75">
      <c r="A899" s="3"/>
      <c r="B899" s="3"/>
      <c r="C899" s="6"/>
      <c r="D899" s="6"/>
      <c r="E899" s="15"/>
      <c r="F899" s="6"/>
      <c r="G899" s="6"/>
      <c r="H899" s="3"/>
      <c r="I899" s="6"/>
      <c r="J899" s="3"/>
      <c r="K899" s="3"/>
      <c r="L899" s="3"/>
      <c r="M899" s="3"/>
      <c r="N899" s="3"/>
      <c r="O899" s="3"/>
      <c r="P899" s="3"/>
      <c r="Q899" s="3"/>
      <c r="R899" s="3"/>
    </row>
    <row r="900" spans="1:18" x14ac:dyDescent="0.75">
      <c r="A900" s="3"/>
      <c r="B900" s="3"/>
      <c r="C900" s="6"/>
      <c r="D900" s="6"/>
      <c r="E900" s="15"/>
      <c r="F900" s="6"/>
      <c r="G900" s="6"/>
      <c r="H900" s="3"/>
      <c r="I900" s="6"/>
      <c r="J900" s="3"/>
      <c r="K900" s="3"/>
      <c r="L900" s="3"/>
      <c r="M900" s="3"/>
      <c r="N900" s="3"/>
      <c r="O900" s="3"/>
      <c r="P900" s="3"/>
      <c r="Q900" s="3"/>
      <c r="R900" s="3"/>
    </row>
    <row r="901" spans="1:18" x14ac:dyDescent="0.75">
      <c r="A901" s="3"/>
      <c r="B901" s="3"/>
      <c r="C901" s="6"/>
      <c r="D901" s="6"/>
      <c r="E901" s="15"/>
      <c r="F901" s="6"/>
      <c r="G901" s="6"/>
      <c r="H901" s="3"/>
      <c r="I901" s="6"/>
      <c r="J901" s="3"/>
      <c r="K901" s="3"/>
      <c r="L901" s="3"/>
      <c r="M901" s="3"/>
      <c r="N901" s="3"/>
      <c r="O901" s="3"/>
      <c r="P901" s="3"/>
      <c r="Q901" s="3"/>
      <c r="R901" s="3"/>
    </row>
    <row r="902" spans="1:18" x14ac:dyDescent="0.75">
      <c r="A902" s="3"/>
      <c r="B902" s="3"/>
      <c r="C902" s="6"/>
      <c r="D902" s="6"/>
      <c r="E902" s="15"/>
      <c r="F902" s="6"/>
      <c r="G902" s="6"/>
      <c r="H902" s="3"/>
      <c r="I902" s="6"/>
      <c r="J902" s="3"/>
      <c r="K902" s="3"/>
      <c r="L902" s="3"/>
      <c r="M902" s="3"/>
      <c r="N902" s="3"/>
      <c r="O902" s="3"/>
      <c r="P902" s="3"/>
      <c r="Q902" s="3"/>
      <c r="R902" s="3"/>
    </row>
    <row r="903" spans="1:18" x14ac:dyDescent="0.75">
      <c r="A903" s="3"/>
      <c r="B903" s="3"/>
      <c r="C903" s="6"/>
      <c r="D903" s="6"/>
      <c r="E903" s="15"/>
      <c r="F903" s="6"/>
      <c r="G903" s="6"/>
      <c r="H903" s="3"/>
      <c r="I903" s="6"/>
      <c r="J903" s="3"/>
      <c r="K903" s="3"/>
      <c r="L903" s="3"/>
      <c r="M903" s="3"/>
      <c r="N903" s="3"/>
      <c r="O903" s="3"/>
      <c r="P903" s="3"/>
      <c r="Q903" s="3"/>
      <c r="R903" s="3"/>
    </row>
    <row r="904" spans="1:18" x14ac:dyDescent="0.75">
      <c r="A904" s="3"/>
      <c r="B904" s="3"/>
      <c r="C904" s="6"/>
      <c r="D904" s="6"/>
      <c r="E904" s="15"/>
      <c r="F904" s="6"/>
      <c r="G904" s="6"/>
      <c r="H904" s="3"/>
      <c r="I904" s="6"/>
      <c r="J904" s="3"/>
      <c r="K904" s="3"/>
      <c r="L904" s="3"/>
      <c r="M904" s="3"/>
      <c r="N904" s="3"/>
      <c r="O904" s="3"/>
      <c r="P904" s="3"/>
      <c r="Q904" s="3"/>
      <c r="R904" s="3"/>
    </row>
    <row r="905" spans="1:18" x14ac:dyDescent="0.75">
      <c r="A905" s="3"/>
      <c r="B905" s="3"/>
      <c r="C905" s="6"/>
      <c r="D905" s="6"/>
      <c r="E905" s="15"/>
      <c r="F905" s="6"/>
      <c r="G905" s="6"/>
      <c r="H905" s="3"/>
      <c r="I905" s="6"/>
      <c r="J905" s="3"/>
      <c r="K905" s="3"/>
      <c r="L905" s="3"/>
      <c r="M905" s="3"/>
      <c r="N905" s="3"/>
      <c r="O905" s="3"/>
      <c r="P905" s="3"/>
      <c r="Q905" s="3"/>
      <c r="R905" s="3"/>
    </row>
    <row r="906" spans="1:18" x14ac:dyDescent="0.75">
      <c r="A906" s="3"/>
      <c r="B906" s="3"/>
      <c r="C906" s="6"/>
      <c r="D906" s="6"/>
      <c r="E906" s="15"/>
      <c r="F906" s="6"/>
      <c r="G906" s="6"/>
      <c r="H906" s="3"/>
      <c r="I906" s="6"/>
      <c r="J906" s="3"/>
      <c r="K906" s="3"/>
      <c r="L906" s="3"/>
      <c r="M906" s="3"/>
      <c r="N906" s="3"/>
      <c r="O906" s="3"/>
      <c r="P906" s="3"/>
      <c r="Q906" s="3"/>
      <c r="R906" s="3"/>
    </row>
    <row r="907" spans="1:18" x14ac:dyDescent="0.75">
      <c r="A907" s="3"/>
      <c r="B907" s="3"/>
      <c r="C907" s="6"/>
      <c r="D907" s="6"/>
      <c r="E907" s="15"/>
      <c r="F907" s="6"/>
      <c r="G907" s="6"/>
      <c r="H907" s="3"/>
      <c r="I907" s="6"/>
      <c r="J907" s="3"/>
      <c r="K907" s="3"/>
      <c r="L907" s="3"/>
      <c r="M907" s="3"/>
      <c r="N907" s="3"/>
      <c r="O907" s="3"/>
      <c r="P907" s="3"/>
      <c r="Q907" s="3"/>
      <c r="R907" s="3"/>
    </row>
    <row r="908" spans="1:18" x14ac:dyDescent="0.75">
      <c r="A908" s="3"/>
      <c r="B908" s="3"/>
      <c r="C908" s="6"/>
      <c r="D908" s="6"/>
      <c r="E908" s="15"/>
      <c r="F908" s="6"/>
      <c r="G908" s="6"/>
      <c r="H908" s="3"/>
      <c r="I908" s="6"/>
      <c r="J908" s="3"/>
      <c r="K908" s="3"/>
      <c r="L908" s="3"/>
      <c r="M908" s="3"/>
      <c r="N908" s="3"/>
      <c r="O908" s="3"/>
      <c r="P908" s="3"/>
      <c r="Q908" s="3"/>
      <c r="R908" s="3"/>
    </row>
    <row r="909" spans="1:18" x14ac:dyDescent="0.75">
      <c r="A909" s="3"/>
      <c r="B909" s="3"/>
      <c r="C909" s="6"/>
      <c r="D909" s="6"/>
      <c r="E909" s="15"/>
      <c r="F909" s="6"/>
      <c r="G909" s="6"/>
      <c r="H909" s="3"/>
      <c r="I909" s="6"/>
      <c r="J909" s="3"/>
      <c r="K909" s="3"/>
      <c r="L909" s="3"/>
      <c r="M909" s="3"/>
      <c r="N909" s="3"/>
      <c r="O909" s="3"/>
      <c r="P909" s="3"/>
      <c r="Q909" s="3"/>
      <c r="R909" s="3"/>
    </row>
    <row r="910" spans="1:18" x14ac:dyDescent="0.75">
      <c r="A910" s="3"/>
      <c r="B910" s="3"/>
      <c r="C910" s="6"/>
      <c r="D910" s="6"/>
      <c r="E910" s="15"/>
      <c r="F910" s="6"/>
      <c r="G910" s="6"/>
      <c r="H910" s="3"/>
      <c r="I910" s="6"/>
      <c r="J910" s="3"/>
      <c r="K910" s="3"/>
      <c r="L910" s="3"/>
      <c r="M910" s="3"/>
      <c r="N910" s="3"/>
      <c r="O910" s="3"/>
      <c r="P910" s="3"/>
      <c r="Q910" s="3"/>
      <c r="R910" s="3"/>
    </row>
    <row r="911" spans="1:18" x14ac:dyDescent="0.75">
      <c r="A911" s="3"/>
      <c r="B911" s="3"/>
      <c r="C911" s="6"/>
      <c r="D911" s="6"/>
      <c r="E911" s="15"/>
      <c r="F911" s="6"/>
      <c r="G911" s="6"/>
      <c r="H911" s="3"/>
      <c r="I911" s="6"/>
      <c r="J911" s="3"/>
      <c r="K911" s="3"/>
      <c r="L911" s="3"/>
      <c r="M911" s="3"/>
      <c r="N911" s="3"/>
      <c r="O911" s="3"/>
      <c r="P911" s="3"/>
      <c r="Q911" s="3"/>
      <c r="R911" s="3"/>
    </row>
    <row r="912" spans="1:18" x14ac:dyDescent="0.75">
      <c r="A912" s="3"/>
      <c r="B912" s="3"/>
      <c r="C912" s="6"/>
      <c r="D912" s="6"/>
      <c r="E912" s="15"/>
      <c r="F912" s="6"/>
      <c r="G912" s="6"/>
      <c r="H912" s="3"/>
      <c r="I912" s="6"/>
      <c r="J912" s="3"/>
      <c r="K912" s="3"/>
      <c r="L912" s="3"/>
      <c r="M912" s="3"/>
      <c r="N912" s="3"/>
      <c r="O912" s="3"/>
      <c r="P912" s="3"/>
      <c r="Q912" s="3"/>
      <c r="R912" s="3"/>
    </row>
    <row r="913" spans="1:18" x14ac:dyDescent="0.75">
      <c r="A913" s="3"/>
      <c r="B913" s="3"/>
      <c r="C913" s="6"/>
      <c r="D913" s="6"/>
      <c r="E913" s="15"/>
      <c r="F913" s="6"/>
      <c r="G913" s="6"/>
      <c r="H913" s="3"/>
      <c r="I913" s="6"/>
      <c r="J913" s="3"/>
      <c r="K913" s="3"/>
      <c r="L913" s="3"/>
      <c r="M913" s="3"/>
      <c r="N913" s="3"/>
      <c r="O913" s="3"/>
      <c r="P913" s="3"/>
      <c r="Q913" s="3"/>
      <c r="R913" s="3"/>
    </row>
    <row r="914" spans="1:18" x14ac:dyDescent="0.75">
      <c r="A914" s="3"/>
      <c r="B914" s="3"/>
      <c r="C914" s="6"/>
      <c r="D914" s="6"/>
      <c r="E914" s="15"/>
      <c r="F914" s="6"/>
      <c r="G914" s="6"/>
      <c r="H914" s="3"/>
      <c r="I914" s="6"/>
      <c r="J914" s="3"/>
      <c r="K914" s="3"/>
      <c r="L914" s="3"/>
      <c r="M914" s="3"/>
      <c r="N914" s="3"/>
      <c r="O914" s="3"/>
      <c r="P914" s="3"/>
      <c r="Q914" s="3"/>
      <c r="R914" s="3"/>
    </row>
    <row r="915" spans="1:18" x14ac:dyDescent="0.75">
      <c r="A915" s="3"/>
      <c r="B915" s="3"/>
      <c r="C915" s="6"/>
      <c r="D915" s="6"/>
      <c r="E915" s="15"/>
      <c r="F915" s="6"/>
      <c r="G915" s="6"/>
      <c r="H915" s="3"/>
      <c r="I915" s="6"/>
      <c r="J915" s="3"/>
      <c r="K915" s="3"/>
      <c r="L915" s="3"/>
      <c r="M915" s="3"/>
      <c r="N915" s="3"/>
      <c r="O915" s="3"/>
      <c r="P915" s="3"/>
      <c r="Q915" s="3"/>
      <c r="R915" s="3"/>
    </row>
    <row r="916" spans="1:18" x14ac:dyDescent="0.75">
      <c r="A916" s="3"/>
      <c r="B916" s="3"/>
      <c r="C916" s="6"/>
      <c r="D916" s="6"/>
      <c r="E916" s="15"/>
      <c r="F916" s="6"/>
      <c r="G916" s="6"/>
      <c r="H916" s="3"/>
      <c r="I916" s="6"/>
      <c r="J916" s="3"/>
      <c r="K916" s="3"/>
      <c r="L916" s="3"/>
      <c r="M916" s="3"/>
      <c r="N916" s="3"/>
      <c r="O916" s="3"/>
      <c r="P916" s="3"/>
      <c r="Q916" s="3"/>
      <c r="R916" s="3"/>
    </row>
    <row r="917" spans="1:18" x14ac:dyDescent="0.75">
      <c r="A917" s="3"/>
      <c r="B917" s="3"/>
      <c r="C917" s="6"/>
      <c r="D917" s="6"/>
      <c r="E917" s="15"/>
      <c r="F917" s="6"/>
      <c r="G917" s="6"/>
      <c r="H917" s="3"/>
      <c r="I917" s="6"/>
      <c r="J917" s="3"/>
      <c r="K917" s="3"/>
      <c r="L917" s="3"/>
      <c r="M917" s="3"/>
      <c r="N917" s="3"/>
      <c r="O917" s="3"/>
      <c r="P917" s="3"/>
      <c r="Q917" s="3"/>
      <c r="R917" s="3"/>
    </row>
    <row r="918" spans="1:18" x14ac:dyDescent="0.75">
      <c r="A918" s="3"/>
      <c r="B918" s="3"/>
      <c r="C918" s="6"/>
      <c r="D918" s="6"/>
      <c r="E918" s="15"/>
      <c r="F918" s="6"/>
      <c r="G918" s="6"/>
      <c r="H918" s="3"/>
      <c r="I918" s="6"/>
      <c r="J918" s="3"/>
      <c r="K918" s="3"/>
      <c r="L918" s="3"/>
      <c r="M918" s="3"/>
      <c r="N918" s="3"/>
      <c r="O918" s="3"/>
      <c r="P918" s="3"/>
      <c r="Q918" s="3"/>
      <c r="R918" s="3"/>
    </row>
    <row r="919" spans="1:18" x14ac:dyDescent="0.75">
      <c r="A919" s="3"/>
      <c r="B919" s="3"/>
      <c r="C919" s="6"/>
      <c r="D919" s="6"/>
      <c r="E919" s="15"/>
      <c r="F919" s="6"/>
      <c r="G919" s="6"/>
      <c r="H919" s="3"/>
      <c r="I919" s="6"/>
      <c r="J919" s="3"/>
      <c r="K919" s="3"/>
      <c r="L919" s="3"/>
      <c r="M919" s="3"/>
      <c r="N919" s="3"/>
      <c r="O919" s="3"/>
      <c r="P919" s="3"/>
      <c r="Q919" s="3"/>
      <c r="R919" s="3"/>
    </row>
    <row r="920" spans="1:18" x14ac:dyDescent="0.75">
      <c r="A920" s="3"/>
      <c r="B920" s="3"/>
      <c r="C920" s="6"/>
      <c r="D920" s="6"/>
      <c r="E920" s="15"/>
      <c r="F920" s="6"/>
      <c r="G920" s="6"/>
      <c r="H920" s="3"/>
      <c r="I920" s="6"/>
      <c r="J920" s="3"/>
      <c r="K920" s="3"/>
      <c r="L920" s="3"/>
      <c r="M920" s="3"/>
      <c r="N920" s="3"/>
      <c r="O920" s="3"/>
      <c r="P920" s="3"/>
      <c r="Q920" s="3"/>
      <c r="R920" s="3"/>
    </row>
    <row r="921" spans="1:18" x14ac:dyDescent="0.75">
      <c r="A921" s="3"/>
      <c r="B921" s="3"/>
      <c r="C921" s="6"/>
      <c r="D921" s="6"/>
      <c r="E921" s="15"/>
      <c r="F921" s="6"/>
      <c r="G921" s="6"/>
      <c r="H921" s="3"/>
      <c r="I921" s="6"/>
      <c r="J921" s="3"/>
      <c r="K921" s="3"/>
      <c r="L921" s="3"/>
      <c r="M921" s="3"/>
      <c r="N921" s="3"/>
      <c r="O921" s="3"/>
      <c r="P921" s="3"/>
      <c r="Q921" s="3"/>
      <c r="R921" s="3"/>
    </row>
    <row r="922" spans="1:18" x14ac:dyDescent="0.75">
      <c r="A922" s="3"/>
      <c r="B922" s="3"/>
      <c r="C922" s="6"/>
      <c r="D922" s="6"/>
      <c r="E922" s="15"/>
      <c r="F922" s="6"/>
      <c r="G922" s="6"/>
      <c r="H922" s="3"/>
      <c r="I922" s="6"/>
      <c r="J922" s="3"/>
      <c r="K922" s="3"/>
      <c r="L922" s="3"/>
      <c r="M922" s="3"/>
      <c r="N922" s="3"/>
      <c r="O922" s="3"/>
      <c r="P922" s="3"/>
      <c r="Q922" s="3"/>
      <c r="R922" s="3"/>
    </row>
    <row r="923" spans="1:18" x14ac:dyDescent="0.75">
      <c r="A923" s="3"/>
      <c r="B923" s="3"/>
      <c r="C923" s="6"/>
      <c r="D923" s="6"/>
      <c r="E923" s="15"/>
      <c r="F923" s="6"/>
      <c r="G923" s="6"/>
      <c r="H923" s="3"/>
      <c r="I923" s="6"/>
      <c r="J923" s="3"/>
      <c r="K923" s="3"/>
      <c r="L923" s="3"/>
      <c r="M923" s="3"/>
      <c r="N923" s="3"/>
      <c r="O923" s="3"/>
      <c r="P923" s="3"/>
      <c r="Q923" s="3"/>
      <c r="R923" s="3"/>
    </row>
    <row r="924" spans="1:18" x14ac:dyDescent="0.75">
      <c r="A924" s="3"/>
      <c r="B924" s="3"/>
      <c r="C924" s="6"/>
      <c r="D924" s="6"/>
      <c r="E924" s="15"/>
      <c r="F924" s="6"/>
      <c r="G924" s="6"/>
      <c r="H924" s="3"/>
      <c r="I924" s="6"/>
      <c r="J924" s="3"/>
      <c r="K924" s="3"/>
      <c r="L924" s="3"/>
      <c r="M924" s="3"/>
      <c r="N924" s="3"/>
      <c r="O924" s="3"/>
      <c r="P924" s="3"/>
      <c r="Q924" s="3"/>
      <c r="R924" s="3"/>
    </row>
    <row r="925" spans="1:18" x14ac:dyDescent="0.75">
      <c r="A925" s="3"/>
      <c r="B925" s="3"/>
      <c r="C925" s="6"/>
      <c r="D925" s="6"/>
      <c r="E925" s="15"/>
      <c r="F925" s="6"/>
      <c r="G925" s="6"/>
      <c r="H925" s="3"/>
      <c r="I925" s="6"/>
      <c r="J925" s="3"/>
      <c r="K925" s="3"/>
      <c r="L925" s="3"/>
      <c r="M925" s="3"/>
      <c r="N925" s="3"/>
      <c r="O925" s="3"/>
      <c r="P925" s="3"/>
      <c r="Q925" s="3"/>
      <c r="R925" s="3"/>
    </row>
    <row r="926" spans="1:18" x14ac:dyDescent="0.75">
      <c r="A926" s="3"/>
      <c r="B926" s="3"/>
      <c r="C926" s="6"/>
      <c r="D926" s="6"/>
      <c r="E926" s="15"/>
      <c r="F926" s="6"/>
      <c r="G926" s="6"/>
      <c r="H926" s="3"/>
      <c r="I926" s="6"/>
      <c r="J926" s="3"/>
      <c r="K926" s="3"/>
      <c r="L926" s="3"/>
      <c r="M926" s="3"/>
      <c r="N926" s="3"/>
      <c r="O926" s="3"/>
      <c r="P926" s="3"/>
      <c r="Q926" s="3"/>
      <c r="R926" s="3"/>
    </row>
    <row r="927" spans="1:18" x14ac:dyDescent="0.75">
      <c r="A927" s="3"/>
      <c r="B927" s="3"/>
      <c r="C927" s="6"/>
      <c r="D927" s="6"/>
      <c r="E927" s="15"/>
      <c r="F927" s="6"/>
      <c r="G927" s="6"/>
      <c r="H927" s="3"/>
      <c r="I927" s="6"/>
      <c r="J927" s="3"/>
      <c r="K927" s="3"/>
      <c r="L927" s="3"/>
      <c r="M927" s="3"/>
      <c r="N927" s="3"/>
      <c r="O927" s="3"/>
      <c r="P927" s="3"/>
      <c r="Q927" s="3"/>
      <c r="R927" s="3"/>
    </row>
    <row r="928" spans="1:18" x14ac:dyDescent="0.75">
      <c r="A928" s="3"/>
      <c r="B928" s="3"/>
      <c r="C928" s="6"/>
      <c r="D928" s="6"/>
      <c r="E928" s="15"/>
      <c r="F928" s="6"/>
      <c r="G928" s="6"/>
      <c r="H928" s="3"/>
      <c r="I928" s="6"/>
      <c r="J928" s="3"/>
      <c r="K928" s="3"/>
      <c r="L928" s="3"/>
      <c r="M928" s="3"/>
      <c r="N928" s="3"/>
      <c r="O928" s="3"/>
      <c r="P928" s="3"/>
      <c r="Q928" s="3"/>
      <c r="R928" s="3"/>
    </row>
    <row r="929" spans="1:18" x14ac:dyDescent="0.75">
      <c r="A929" s="3"/>
      <c r="B929" s="3"/>
      <c r="C929" s="6"/>
      <c r="D929" s="6"/>
      <c r="E929" s="15"/>
      <c r="F929" s="6"/>
      <c r="G929" s="6"/>
      <c r="H929" s="3"/>
      <c r="I929" s="6"/>
      <c r="J929" s="3"/>
      <c r="K929" s="3"/>
      <c r="L929" s="3"/>
      <c r="M929" s="3"/>
      <c r="N929" s="3"/>
      <c r="O929" s="3"/>
      <c r="P929" s="3"/>
      <c r="Q929" s="3"/>
      <c r="R929" s="3"/>
    </row>
    <row r="930" spans="1:18" x14ac:dyDescent="0.75">
      <c r="A930" s="3"/>
      <c r="B930" s="3"/>
      <c r="C930" s="6"/>
      <c r="D930" s="6"/>
      <c r="E930" s="15"/>
      <c r="F930" s="6"/>
      <c r="G930" s="6"/>
      <c r="H930" s="3"/>
      <c r="I930" s="6"/>
      <c r="J930" s="3"/>
      <c r="K930" s="3"/>
      <c r="L930" s="3"/>
      <c r="M930" s="3"/>
      <c r="N930" s="3"/>
      <c r="O930" s="3"/>
      <c r="P930" s="3"/>
      <c r="Q930" s="3"/>
      <c r="R930" s="3"/>
    </row>
    <row r="931" spans="1:18" x14ac:dyDescent="0.75">
      <c r="A931" s="3"/>
      <c r="B931" s="3"/>
      <c r="C931" s="6"/>
      <c r="D931" s="6"/>
      <c r="E931" s="15"/>
      <c r="F931" s="6"/>
      <c r="G931" s="6"/>
      <c r="H931" s="3"/>
      <c r="I931" s="6"/>
      <c r="J931" s="3"/>
      <c r="K931" s="3"/>
      <c r="L931" s="3"/>
      <c r="M931" s="3"/>
      <c r="N931" s="3"/>
      <c r="O931" s="3"/>
      <c r="P931" s="3"/>
      <c r="Q931" s="3"/>
      <c r="R931" s="3"/>
    </row>
    <row r="932" spans="1:18" x14ac:dyDescent="0.75">
      <c r="A932" s="3"/>
      <c r="B932" s="3"/>
      <c r="C932" s="6"/>
      <c r="D932" s="6"/>
      <c r="E932" s="15"/>
      <c r="F932" s="6"/>
      <c r="G932" s="6"/>
      <c r="H932" s="3"/>
      <c r="I932" s="6"/>
      <c r="J932" s="3"/>
      <c r="K932" s="3"/>
      <c r="L932" s="3"/>
      <c r="M932" s="3"/>
      <c r="N932" s="3"/>
      <c r="O932" s="3"/>
      <c r="P932" s="3"/>
      <c r="Q932" s="3"/>
      <c r="R932" s="3"/>
    </row>
    <row r="933" spans="1:18" x14ac:dyDescent="0.75">
      <c r="A933" s="3"/>
      <c r="B933" s="3"/>
      <c r="C933" s="6"/>
      <c r="D933" s="6"/>
      <c r="E933" s="15"/>
      <c r="F933" s="6"/>
      <c r="G933" s="6"/>
      <c r="H933" s="3"/>
      <c r="I933" s="6"/>
      <c r="J933" s="3"/>
      <c r="K933" s="3"/>
      <c r="L933" s="3"/>
      <c r="M933" s="3"/>
      <c r="N933" s="3"/>
      <c r="O933" s="3"/>
      <c r="P933" s="3"/>
      <c r="Q933" s="3"/>
      <c r="R933" s="3"/>
    </row>
    <row r="934" spans="1:18" x14ac:dyDescent="0.75">
      <c r="A934" s="3"/>
      <c r="B934" s="3"/>
      <c r="C934" s="6"/>
      <c r="D934" s="6"/>
      <c r="E934" s="15"/>
      <c r="F934" s="6"/>
      <c r="G934" s="6"/>
      <c r="H934" s="3"/>
      <c r="I934" s="6"/>
      <c r="J934" s="3"/>
      <c r="K934" s="3"/>
      <c r="L934" s="3"/>
      <c r="M934" s="3"/>
      <c r="N934" s="3"/>
      <c r="O934" s="3"/>
      <c r="P934" s="3"/>
      <c r="Q934" s="3"/>
      <c r="R934" s="3"/>
    </row>
    <row r="935" spans="1:18" x14ac:dyDescent="0.75">
      <c r="A935" s="3"/>
      <c r="B935" s="3"/>
      <c r="C935" s="6"/>
      <c r="D935" s="6"/>
      <c r="E935" s="15"/>
      <c r="F935" s="6"/>
      <c r="G935" s="6"/>
      <c r="H935" s="3"/>
      <c r="I935" s="6"/>
      <c r="J935" s="3"/>
      <c r="K935" s="3"/>
      <c r="L935" s="3"/>
      <c r="M935" s="3"/>
      <c r="N935" s="3"/>
      <c r="O935" s="3"/>
      <c r="P935" s="3"/>
      <c r="Q935" s="3"/>
      <c r="R935" s="3"/>
    </row>
    <row r="936" spans="1:18" x14ac:dyDescent="0.75">
      <c r="A936" s="3"/>
      <c r="B936" s="3"/>
      <c r="C936" s="6"/>
      <c r="D936" s="6"/>
      <c r="E936" s="15"/>
      <c r="F936" s="6"/>
      <c r="G936" s="6"/>
      <c r="H936" s="3"/>
      <c r="I936" s="6"/>
      <c r="J936" s="3"/>
      <c r="K936" s="3"/>
      <c r="L936" s="3"/>
      <c r="M936" s="3"/>
      <c r="N936" s="3"/>
      <c r="O936" s="3"/>
      <c r="P936" s="3"/>
      <c r="Q936" s="3"/>
      <c r="R936" s="3"/>
    </row>
    <row r="937" spans="1:18" x14ac:dyDescent="0.75">
      <c r="A937" s="3"/>
      <c r="B937" s="3"/>
      <c r="C937" s="6"/>
      <c r="D937" s="6"/>
      <c r="E937" s="15"/>
      <c r="F937" s="6"/>
      <c r="G937" s="6"/>
      <c r="H937" s="3"/>
      <c r="I937" s="6"/>
      <c r="J937" s="3"/>
      <c r="K937" s="3"/>
      <c r="L937" s="3"/>
      <c r="M937" s="3"/>
      <c r="N937" s="3"/>
      <c r="O937" s="3"/>
      <c r="P937" s="3"/>
      <c r="Q937" s="3"/>
      <c r="R937" s="3"/>
    </row>
    <row r="938" spans="1:18" x14ac:dyDescent="0.75">
      <c r="A938" s="3"/>
      <c r="B938" s="3"/>
      <c r="C938" s="6"/>
      <c r="D938" s="6"/>
      <c r="E938" s="15"/>
      <c r="F938" s="6"/>
      <c r="G938" s="6"/>
      <c r="H938" s="3"/>
      <c r="I938" s="6"/>
      <c r="J938" s="3"/>
      <c r="K938" s="3"/>
      <c r="L938" s="3"/>
      <c r="M938" s="3"/>
      <c r="N938" s="3"/>
      <c r="O938" s="3"/>
      <c r="P938" s="3"/>
      <c r="Q938" s="3"/>
      <c r="R938" s="3"/>
    </row>
    <row r="939" spans="1:18" x14ac:dyDescent="0.75">
      <c r="A939" s="3"/>
      <c r="B939" s="3"/>
      <c r="C939" s="6"/>
      <c r="D939" s="6"/>
      <c r="E939" s="15"/>
      <c r="F939" s="6"/>
      <c r="G939" s="6"/>
      <c r="H939" s="3"/>
      <c r="I939" s="6"/>
      <c r="J939" s="3"/>
      <c r="K939" s="3"/>
      <c r="L939" s="3"/>
      <c r="M939" s="3"/>
      <c r="N939" s="3"/>
      <c r="O939" s="3"/>
      <c r="P939" s="3"/>
      <c r="Q939" s="3"/>
      <c r="R939" s="3"/>
    </row>
    <row r="940" spans="1:18" x14ac:dyDescent="0.75">
      <c r="A940" s="3"/>
      <c r="B940" s="3"/>
      <c r="C940" s="6"/>
      <c r="D940" s="6"/>
      <c r="E940" s="15"/>
      <c r="F940" s="6"/>
      <c r="G940" s="6"/>
      <c r="H940" s="3"/>
      <c r="I940" s="6"/>
      <c r="J940" s="3"/>
      <c r="K940" s="3"/>
      <c r="L940" s="3"/>
      <c r="M940" s="3"/>
      <c r="N940" s="3"/>
      <c r="O940" s="3"/>
      <c r="P940" s="3"/>
      <c r="Q940" s="3"/>
      <c r="R940" s="3"/>
    </row>
    <row r="941" spans="1:18" x14ac:dyDescent="0.75">
      <c r="A941" s="3"/>
      <c r="B941" s="3"/>
      <c r="C941" s="6"/>
      <c r="D941" s="6"/>
      <c r="E941" s="15"/>
      <c r="F941" s="6"/>
      <c r="G941" s="6"/>
      <c r="H941" s="3"/>
      <c r="I941" s="6"/>
      <c r="J941" s="3"/>
      <c r="K941" s="3"/>
      <c r="L941" s="3"/>
      <c r="M941" s="3"/>
      <c r="N941" s="3"/>
      <c r="O941" s="3"/>
      <c r="P941" s="3"/>
      <c r="Q941" s="3"/>
      <c r="R941" s="3"/>
    </row>
    <row r="942" spans="1:18" x14ac:dyDescent="0.75">
      <c r="A942" s="3"/>
      <c r="B942" s="3"/>
      <c r="C942" s="6"/>
      <c r="D942" s="6"/>
      <c r="E942" s="15"/>
      <c r="F942" s="6"/>
      <c r="G942" s="6"/>
      <c r="H942" s="3"/>
      <c r="I942" s="6"/>
      <c r="J942" s="3"/>
      <c r="K942" s="3"/>
      <c r="L942" s="3"/>
      <c r="M942" s="3"/>
      <c r="N942" s="3"/>
      <c r="O942" s="3"/>
      <c r="P942" s="3"/>
      <c r="Q942" s="3"/>
      <c r="R942" s="3"/>
    </row>
    <row r="943" spans="1:18" x14ac:dyDescent="0.75">
      <c r="A943" s="3"/>
      <c r="B943" s="3"/>
      <c r="C943" s="6"/>
      <c r="D943" s="6"/>
      <c r="E943" s="15"/>
      <c r="F943" s="6"/>
      <c r="G943" s="6"/>
      <c r="H943" s="3"/>
      <c r="I943" s="6"/>
      <c r="J943" s="3"/>
      <c r="K943" s="3"/>
      <c r="L943" s="3"/>
      <c r="M943" s="3"/>
      <c r="N943" s="3"/>
      <c r="O943" s="3"/>
      <c r="P943" s="3"/>
      <c r="Q943" s="3"/>
      <c r="R943" s="3"/>
    </row>
    <row r="944" spans="1:18" x14ac:dyDescent="0.75">
      <c r="A944" s="3"/>
      <c r="B944" s="3"/>
      <c r="C944" s="6"/>
      <c r="D944" s="6"/>
      <c r="E944" s="15"/>
      <c r="F944" s="6"/>
      <c r="G944" s="6"/>
      <c r="H944" s="3"/>
      <c r="I944" s="6"/>
      <c r="J944" s="3"/>
      <c r="K944" s="3"/>
      <c r="L944" s="3"/>
      <c r="M944" s="3"/>
      <c r="N944" s="3"/>
      <c r="O944" s="3"/>
      <c r="P944" s="3"/>
      <c r="Q944" s="3"/>
      <c r="R944" s="3"/>
    </row>
    <row r="945" spans="1:18" x14ac:dyDescent="0.75">
      <c r="A945" s="3"/>
      <c r="B945" s="3"/>
      <c r="C945" s="6"/>
      <c r="D945" s="6"/>
      <c r="E945" s="15"/>
      <c r="F945" s="6"/>
      <c r="G945" s="6"/>
      <c r="H945" s="3"/>
      <c r="I945" s="6"/>
      <c r="J945" s="3"/>
      <c r="K945" s="3"/>
      <c r="L945" s="3"/>
      <c r="M945" s="3"/>
      <c r="N945" s="3"/>
      <c r="O945" s="3"/>
      <c r="P945" s="3"/>
      <c r="Q945" s="3"/>
      <c r="R945" s="3"/>
    </row>
    <row r="946" spans="1:18" x14ac:dyDescent="0.75">
      <c r="A946" s="3"/>
      <c r="B946" s="3"/>
      <c r="C946" s="6"/>
      <c r="D946" s="6"/>
      <c r="E946" s="15"/>
      <c r="F946" s="6"/>
      <c r="G946" s="6"/>
      <c r="H946" s="3"/>
      <c r="I946" s="6"/>
      <c r="J946" s="3"/>
      <c r="K946" s="3"/>
      <c r="L946" s="3"/>
      <c r="M946" s="3"/>
      <c r="N946" s="3"/>
      <c r="O946" s="3"/>
      <c r="P946" s="3"/>
      <c r="Q946" s="3"/>
      <c r="R946" s="3"/>
    </row>
    <row r="947" spans="1:18" x14ac:dyDescent="0.75">
      <c r="A947" s="3"/>
      <c r="B947" s="3"/>
      <c r="C947" s="6"/>
      <c r="D947" s="6"/>
      <c r="E947" s="15"/>
      <c r="F947" s="6"/>
      <c r="G947" s="6"/>
      <c r="H947" s="3"/>
      <c r="I947" s="6"/>
      <c r="J947" s="3"/>
      <c r="K947" s="3"/>
      <c r="L947" s="3"/>
      <c r="M947" s="3"/>
      <c r="N947" s="3"/>
      <c r="O947" s="3"/>
      <c r="P947" s="3"/>
      <c r="Q947" s="3"/>
      <c r="R947" s="3"/>
    </row>
    <row r="948" spans="1:18" x14ac:dyDescent="0.75">
      <c r="A948" s="3"/>
      <c r="B948" s="3"/>
      <c r="C948" s="6"/>
      <c r="D948" s="6"/>
      <c r="E948" s="15"/>
      <c r="F948" s="6"/>
      <c r="G948" s="6"/>
      <c r="H948" s="3"/>
      <c r="I948" s="6"/>
      <c r="J948" s="3"/>
      <c r="K948" s="3"/>
      <c r="L948" s="3"/>
      <c r="M948" s="3"/>
      <c r="N948" s="3"/>
      <c r="O948" s="3"/>
      <c r="P948" s="3"/>
      <c r="Q948" s="3"/>
      <c r="R948" s="3"/>
    </row>
    <row r="949" spans="1:18" x14ac:dyDescent="0.75">
      <c r="A949" s="3"/>
      <c r="B949" s="3"/>
      <c r="C949" s="6"/>
      <c r="D949" s="6"/>
      <c r="E949" s="15"/>
      <c r="F949" s="6"/>
      <c r="G949" s="6"/>
      <c r="H949" s="3"/>
      <c r="I949" s="6"/>
      <c r="J949" s="3"/>
      <c r="K949" s="3"/>
      <c r="L949" s="3"/>
      <c r="M949" s="3"/>
      <c r="N949" s="3"/>
      <c r="O949" s="3"/>
      <c r="P949" s="3"/>
      <c r="Q949" s="3"/>
      <c r="R949" s="3"/>
    </row>
    <row r="950" spans="1:18" x14ac:dyDescent="0.75">
      <c r="A950" s="3"/>
      <c r="B950" s="3"/>
      <c r="C950" s="6"/>
      <c r="D950" s="6"/>
      <c r="E950" s="15"/>
      <c r="F950" s="6"/>
      <c r="G950" s="6"/>
      <c r="H950" s="3"/>
      <c r="I950" s="6"/>
      <c r="J950" s="3"/>
      <c r="K950" s="3"/>
      <c r="L950" s="3"/>
      <c r="M950" s="3"/>
      <c r="N950" s="3"/>
      <c r="O950" s="3"/>
      <c r="P950" s="3"/>
      <c r="Q950" s="3"/>
      <c r="R950" s="3"/>
    </row>
    <row r="951" spans="1:18" x14ac:dyDescent="0.75">
      <c r="A951" s="3"/>
      <c r="B951" s="3"/>
      <c r="C951" s="6"/>
      <c r="D951" s="6"/>
      <c r="E951" s="15"/>
      <c r="F951" s="6"/>
      <c r="G951" s="6"/>
      <c r="H951" s="3"/>
      <c r="I951" s="6"/>
      <c r="J951" s="3"/>
      <c r="K951" s="3"/>
      <c r="L951" s="3"/>
      <c r="M951" s="3"/>
      <c r="N951" s="3"/>
      <c r="O951" s="3"/>
      <c r="P951" s="3"/>
      <c r="Q951" s="3"/>
      <c r="R951" s="3"/>
    </row>
    <row r="952" spans="1:18" x14ac:dyDescent="0.75">
      <c r="A952" s="3"/>
      <c r="B952" s="3"/>
      <c r="C952" s="6"/>
      <c r="D952" s="6"/>
      <c r="E952" s="15"/>
      <c r="F952" s="6"/>
      <c r="G952" s="6"/>
      <c r="H952" s="3"/>
      <c r="I952" s="6"/>
      <c r="J952" s="3"/>
      <c r="K952" s="3"/>
      <c r="L952" s="3"/>
      <c r="M952" s="3"/>
      <c r="N952" s="3"/>
      <c r="O952" s="3"/>
      <c r="P952" s="3"/>
      <c r="Q952" s="3"/>
      <c r="R952" s="3"/>
    </row>
    <row r="953" spans="1:18" x14ac:dyDescent="0.75">
      <c r="A953" s="3"/>
      <c r="B953" s="3"/>
      <c r="C953" s="6"/>
      <c r="D953" s="6"/>
      <c r="E953" s="15"/>
      <c r="F953" s="6"/>
      <c r="G953" s="6"/>
      <c r="H953" s="3"/>
      <c r="I953" s="6"/>
      <c r="J953" s="3"/>
      <c r="K953" s="3"/>
      <c r="L953" s="3"/>
      <c r="M953" s="3"/>
      <c r="N953" s="3"/>
      <c r="O953" s="3"/>
      <c r="P953" s="3"/>
      <c r="Q953" s="3"/>
      <c r="R953" s="3"/>
    </row>
    <row r="954" spans="1:18" x14ac:dyDescent="0.75">
      <c r="A954" s="3"/>
      <c r="B954" s="3"/>
      <c r="C954" s="6"/>
      <c r="D954" s="6"/>
      <c r="E954" s="15"/>
      <c r="F954" s="6"/>
      <c r="G954" s="6"/>
      <c r="H954" s="3"/>
      <c r="I954" s="6"/>
      <c r="J954" s="3"/>
      <c r="K954" s="3"/>
      <c r="L954" s="3"/>
      <c r="M954" s="3"/>
      <c r="N954" s="3"/>
      <c r="O954" s="3"/>
      <c r="P954" s="3"/>
      <c r="Q954" s="3"/>
      <c r="R954" s="3"/>
    </row>
    <row r="955" spans="1:18" x14ac:dyDescent="0.75">
      <c r="A955" s="3"/>
      <c r="B955" s="3"/>
      <c r="C955" s="6"/>
      <c r="D955" s="6"/>
      <c r="E955" s="15"/>
      <c r="F955" s="6"/>
      <c r="G955" s="6"/>
      <c r="H955" s="3"/>
      <c r="I955" s="6"/>
      <c r="J955" s="3"/>
      <c r="K955" s="3"/>
      <c r="L955" s="3"/>
      <c r="M955" s="3"/>
      <c r="N955" s="3"/>
      <c r="O955" s="3"/>
      <c r="P955" s="3"/>
      <c r="Q955" s="3"/>
      <c r="R955" s="3"/>
    </row>
    <row r="956" spans="1:18" x14ac:dyDescent="0.75">
      <c r="A956" s="3"/>
      <c r="B956" s="3"/>
      <c r="C956" s="6"/>
      <c r="D956" s="6"/>
      <c r="E956" s="15"/>
      <c r="F956" s="6"/>
      <c r="G956" s="6"/>
      <c r="H956" s="3"/>
      <c r="I956" s="6"/>
      <c r="J956" s="3"/>
      <c r="K956" s="3"/>
      <c r="L956" s="3"/>
      <c r="M956" s="3"/>
      <c r="N956" s="3"/>
      <c r="O956" s="3"/>
      <c r="P956" s="3"/>
      <c r="Q956" s="3"/>
      <c r="R956" s="3"/>
    </row>
    <row r="957" spans="1:18" x14ac:dyDescent="0.75">
      <c r="A957" s="3"/>
      <c r="B957" s="3"/>
      <c r="C957" s="6"/>
      <c r="D957" s="6"/>
      <c r="E957" s="15"/>
      <c r="F957" s="6"/>
      <c r="G957" s="6"/>
      <c r="H957" s="3"/>
      <c r="I957" s="6"/>
      <c r="J957" s="3"/>
      <c r="K957" s="3"/>
      <c r="L957" s="3"/>
      <c r="M957" s="3"/>
      <c r="N957" s="3"/>
      <c r="O957" s="3"/>
      <c r="P957" s="3"/>
      <c r="Q957" s="3"/>
      <c r="R957" s="3"/>
    </row>
    <row r="958" spans="1:18" x14ac:dyDescent="0.75">
      <c r="A958" s="3"/>
      <c r="B958" s="3"/>
      <c r="C958" s="6"/>
      <c r="D958" s="6"/>
      <c r="E958" s="15"/>
      <c r="F958" s="6"/>
      <c r="G958" s="6"/>
      <c r="H958" s="3"/>
      <c r="I958" s="6"/>
      <c r="J958" s="3"/>
      <c r="K958" s="3"/>
      <c r="L958" s="3"/>
      <c r="M958" s="3"/>
      <c r="N958" s="3"/>
      <c r="O958" s="3"/>
      <c r="P958" s="3"/>
      <c r="Q958" s="3"/>
      <c r="R958" s="3"/>
    </row>
    <row r="959" spans="1:18" x14ac:dyDescent="0.75">
      <c r="A959" s="3"/>
      <c r="B959" s="3"/>
      <c r="C959" s="6"/>
      <c r="D959" s="6"/>
      <c r="E959" s="15"/>
      <c r="F959" s="6"/>
      <c r="G959" s="6"/>
      <c r="H959" s="3"/>
      <c r="I959" s="6"/>
      <c r="J959" s="3"/>
      <c r="K959" s="3"/>
      <c r="L959" s="3"/>
      <c r="M959" s="3"/>
      <c r="N959" s="3"/>
      <c r="O959" s="3"/>
      <c r="P959" s="3"/>
      <c r="Q959" s="3"/>
      <c r="R959" s="3"/>
    </row>
    <row r="960" spans="1:18" x14ac:dyDescent="0.75">
      <c r="A960" s="3"/>
      <c r="B960" s="3"/>
      <c r="C960" s="6"/>
      <c r="D960" s="6"/>
      <c r="E960" s="15"/>
      <c r="F960" s="6"/>
      <c r="G960" s="6"/>
      <c r="H960" s="3"/>
      <c r="I960" s="6"/>
      <c r="J960" s="3"/>
      <c r="K960" s="3"/>
      <c r="L960" s="3"/>
      <c r="M960" s="3"/>
      <c r="N960" s="3"/>
      <c r="O960" s="3"/>
      <c r="P960" s="3"/>
      <c r="Q960" s="3"/>
      <c r="R960" s="3"/>
    </row>
    <row r="961" spans="1:18" x14ac:dyDescent="0.75">
      <c r="A961" s="3"/>
      <c r="B961" s="3"/>
      <c r="C961" s="6"/>
      <c r="D961" s="6"/>
      <c r="E961" s="15"/>
      <c r="F961" s="6"/>
      <c r="G961" s="6"/>
      <c r="H961" s="3"/>
      <c r="I961" s="6"/>
      <c r="J961" s="3"/>
      <c r="K961" s="3"/>
      <c r="L961" s="3"/>
      <c r="M961" s="3"/>
      <c r="N961" s="3"/>
      <c r="O961" s="3"/>
      <c r="P961" s="3"/>
      <c r="Q961" s="3"/>
      <c r="R961" s="3"/>
    </row>
    <row r="962" spans="1:18" x14ac:dyDescent="0.75">
      <c r="A962" s="3"/>
      <c r="B962" s="3"/>
      <c r="C962" s="6"/>
      <c r="D962" s="6"/>
      <c r="E962" s="15"/>
      <c r="F962" s="6"/>
      <c r="G962" s="6"/>
      <c r="H962" s="3"/>
      <c r="I962" s="6"/>
      <c r="J962" s="3"/>
      <c r="K962" s="3"/>
      <c r="L962" s="3"/>
      <c r="M962" s="3"/>
      <c r="N962" s="3"/>
      <c r="O962" s="3"/>
      <c r="P962" s="3"/>
      <c r="Q962" s="3"/>
      <c r="R962" s="3"/>
    </row>
    <row r="963" spans="1:18" x14ac:dyDescent="0.75">
      <c r="A963" s="3"/>
      <c r="B963" s="3"/>
      <c r="C963" s="6"/>
      <c r="D963" s="6"/>
      <c r="E963" s="15"/>
      <c r="F963" s="6"/>
      <c r="G963" s="6"/>
      <c r="H963" s="3"/>
      <c r="I963" s="6"/>
      <c r="J963" s="3"/>
      <c r="K963" s="3"/>
      <c r="L963" s="3"/>
      <c r="M963" s="3"/>
      <c r="N963" s="3"/>
      <c r="O963" s="3"/>
      <c r="P963" s="3"/>
      <c r="Q963" s="3"/>
      <c r="R963" s="3"/>
    </row>
    <row r="964" spans="1:18" x14ac:dyDescent="0.75">
      <c r="A964" s="3"/>
      <c r="B964" s="3"/>
      <c r="C964" s="6"/>
      <c r="D964" s="6"/>
      <c r="E964" s="15"/>
      <c r="F964" s="6"/>
      <c r="G964" s="6"/>
      <c r="H964" s="3"/>
      <c r="I964" s="6"/>
      <c r="J964" s="3"/>
      <c r="K964" s="3"/>
      <c r="L964" s="3"/>
      <c r="M964" s="3"/>
      <c r="N964" s="3"/>
      <c r="O964" s="3"/>
      <c r="P964" s="3"/>
      <c r="Q964" s="3"/>
      <c r="R964" s="3"/>
    </row>
    <row r="965" spans="1:18" x14ac:dyDescent="0.75">
      <c r="A965" s="3"/>
      <c r="B965" s="3"/>
      <c r="C965" s="6"/>
      <c r="D965" s="6"/>
      <c r="E965" s="15"/>
      <c r="F965" s="6"/>
      <c r="G965" s="6"/>
      <c r="H965" s="3"/>
      <c r="I965" s="6"/>
      <c r="J965" s="3"/>
      <c r="K965" s="3"/>
      <c r="L965" s="3"/>
      <c r="M965" s="3"/>
      <c r="N965" s="3"/>
      <c r="O965" s="3"/>
      <c r="P965" s="3"/>
      <c r="Q965" s="3"/>
      <c r="R965" s="3"/>
    </row>
    <row r="966" spans="1:18" x14ac:dyDescent="0.75">
      <c r="A966" s="3"/>
      <c r="B966" s="3"/>
      <c r="C966" s="6"/>
      <c r="D966" s="6"/>
      <c r="E966" s="15"/>
      <c r="F966" s="6"/>
      <c r="G966" s="6"/>
      <c r="H966" s="3"/>
      <c r="I966" s="6"/>
      <c r="J966" s="3"/>
      <c r="K966" s="3"/>
      <c r="L966" s="3"/>
      <c r="M966" s="3"/>
      <c r="N966" s="3"/>
      <c r="O966" s="3"/>
      <c r="P966" s="3"/>
      <c r="Q966" s="3"/>
      <c r="R966" s="3"/>
    </row>
    <row r="967" spans="1:18" x14ac:dyDescent="0.75">
      <c r="A967" s="3"/>
      <c r="B967" s="3"/>
      <c r="C967" s="6"/>
      <c r="D967" s="6"/>
      <c r="E967" s="15"/>
      <c r="F967" s="6"/>
      <c r="G967" s="6"/>
      <c r="H967" s="3"/>
      <c r="I967" s="6"/>
      <c r="J967" s="3"/>
      <c r="K967" s="3"/>
      <c r="L967" s="3"/>
      <c r="M967" s="3"/>
      <c r="N967" s="3"/>
      <c r="O967" s="3"/>
      <c r="P967" s="3"/>
      <c r="Q967" s="3"/>
      <c r="R967" s="3"/>
    </row>
    <row r="968" spans="1:18" x14ac:dyDescent="0.75">
      <c r="A968" s="3"/>
      <c r="B968" s="3"/>
      <c r="C968" s="6"/>
      <c r="D968" s="6"/>
      <c r="E968" s="15"/>
      <c r="F968" s="6"/>
      <c r="G968" s="6"/>
      <c r="H968" s="3"/>
      <c r="I968" s="6"/>
      <c r="J968" s="3"/>
      <c r="K968" s="3"/>
      <c r="L968" s="3"/>
      <c r="M968" s="3"/>
      <c r="N968" s="3"/>
      <c r="O968" s="3"/>
      <c r="P968" s="3"/>
      <c r="Q968" s="3"/>
      <c r="R968" s="3"/>
    </row>
    <row r="969" spans="1:18" x14ac:dyDescent="0.75">
      <c r="A969" s="3"/>
      <c r="B969" s="3"/>
      <c r="C969" s="6"/>
      <c r="D969" s="6"/>
      <c r="E969" s="15"/>
      <c r="F969" s="6"/>
      <c r="G969" s="6"/>
      <c r="H969" s="3"/>
      <c r="I969" s="6"/>
      <c r="J969" s="3"/>
      <c r="K969" s="3"/>
      <c r="L969" s="3"/>
      <c r="M969" s="3"/>
      <c r="N969" s="3"/>
      <c r="O969" s="3"/>
      <c r="P969" s="3"/>
      <c r="Q969" s="3"/>
      <c r="R969" s="3"/>
    </row>
    <row r="970" spans="1:18" x14ac:dyDescent="0.75">
      <c r="A970" s="3"/>
      <c r="B970" s="3"/>
      <c r="C970" s="6"/>
      <c r="D970" s="6"/>
      <c r="E970" s="15"/>
      <c r="F970" s="6"/>
      <c r="G970" s="6"/>
      <c r="H970" s="3"/>
      <c r="I970" s="6"/>
      <c r="J970" s="3"/>
      <c r="K970" s="3"/>
      <c r="L970" s="3"/>
      <c r="M970" s="3"/>
      <c r="N970" s="3"/>
      <c r="O970" s="3"/>
      <c r="P970" s="3"/>
      <c r="Q970" s="3"/>
      <c r="R970" s="3"/>
    </row>
    <row r="971" spans="1:18" x14ac:dyDescent="0.75">
      <c r="A971" s="3"/>
      <c r="B971" s="3"/>
      <c r="C971" s="6"/>
      <c r="D971" s="6"/>
      <c r="E971" s="15"/>
      <c r="F971" s="6"/>
      <c r="G971" s="6"/>
      <c r="H971" s="3"/>
      <c r="I971" s="6"/>
      <c r="J971" s="3"/>
      <c r="K971" s="3"/>
      <c r="L971" s="3"/>
      <c r="M971" s="3"/>
      <c r="N971" s="3"/>
      <c r="O971" s="3"/>
      <c r="P971" s="3"/>
      <c r="Q971" s="3"/>
      <c r="R971" s="3"/>
    </row>
    <row r="972" spans="1:18" x14ac:dyDescent="0.75">
      <c r="A972" s="3"/>
      <c r="B972" s="3"/>
      <c r="C972" s="6"/>
      <c r="D972" s="6"/>
      <c r="E972" s="15"/>
      <c r="F972" s="6"/>
      <c r="G972" s="6"/>
      <c r="H972" s="3"/>
      <c r="I972" s="6"/>
      <c r="J972" s="3"/>
      <c r="K972" s="3"/>
      <c r="L972" s="3"/>
      <c r="M972" s="3"/>
      <c r="N972" s="3"/>
      <c r="O972" s="3"/>
      <c r="P972" s="3"/>
      <c r="Q972" s="3"/>
      <c r="R972" s="3"/>
    </row>
    <row r="973" spans="1:18" x14ac:dyDescent="0.75">
      <c r="A973" s="3"/>
      <c r="B973" s="3"/>
      <c r="C973" s="6"/>
      <c r="D973" s="6"/>
      <c r="E973" s="15"/>
      <c r="F973" s="6"/>
      <c r="G973" s="6"/>
      <c r="H973" s="3"/>
      <c r="I973" s="6"/>
      <c r="J973" s="3"/>
      <c r="K973" s="3"/>
      <c r="L973" s="3"/>
      <c r="M973" s="3"/>
      <c r="N973" s="3"/>
      <c r="O973" s="3"/>
      <c r="P973" s="3"/>
      <c r="Q973" s="3"/>
      <c r="R973" s="3"/>
    </row>
    <row r="974" spans="1:18" x14ac:dyDescent="0.75">
      <c r="A974" s="3"/>
      <c r="B974" s="3"/>
      <c r="C974" s="6"/>
      <c r="D974" s="6"/>
      <c r="E974" s="15"/>
      <c r="F974" s="6"/>
      <c r="G974" s="6"/>
      <c r="H974" s="3"/>
      <c r="I974" s="6"/>
      <c r="J974" s="3"/>
      <c r="K974" s="3"/>
      <c r="L974" s="3"/>
      <c r="M974" s="3"/>
      <c r="N974" s="3"/>
      <c r="O974" s="3"/>
      <c r="P974" s="3"/>
      <c r="Q974" s="3"/>
      <c r="R974" s="3"/>
    </row>
    <row r="975" spans="1:18" x14ac:dyDescent="0.75">
      <c r="A975" s="3"/>
      <c r="B975" s="3"/>
      <c r="C975" s="6"/>
      <c r="D975" s="6"/>
      <c r="E975" s="15"/>
      <c r="F975" s="6"/>
      <c r="G975" s="6"/>
      <c r="H975" s="3"/>
      <c r="I975" s="6"/>
      <c r="J975" s="3"/>
      <c r="K975" s="3"/>
      <c r="L975" s="3"/>
      <c r="M975" s="3"/>
      <c r="N975" s="3"/>
      <c r="O975" s="3"/>
      <c r="P975" s="3"/>
      <c r="Q975" s="3"/>
      <c r="R975" s="3"/>
    </row>
    <row r="976" spans="1:18" x14ac:dyDescent="0.75">
      <c r="A976" s="3"/>
      <c r="B976" s="3"/>
      <c r="C976" s="6"/>
      <c r="D976" s="6"/>
      <c r="E976" s="15"/>
      <c r="F976" s="6"/>
      <c r="G976" s="6"/>
      <c r="H976" s="3"/>
      <c r="I976" s="6"/>
      <c r="J976" s="3"/>
      <c r="K976" s="3"/>
      <c r="L976" s="3"/>
      <c r="M976" s="3"/>
      <c r="N976" s="3"/>
      <c r="O976" s="3"/>
      <c r="P976" s="3"/>
      <c r="Q976" s="3"/>
      <c r="R976" s="3"/>
    </row>
    <row r="977" spans="1:18" x14ac:dyDescent="0.75">
      <c r="A977" s="3"/>
      <c r="B977" s="3"/>
      <c r="C977" s="6"/>
      <c r="D977" s="6"/>
      <c r="E977" s="15"/>
      <c r="F977" s="6"/>
      <c r="G977" s="6"/>
      <c r="H977" s="3"/>
      <c r="I977" s="6"/>
      <c r="J977" s="3"/>
      <c r="K977" s="3"/>
      <c r="L977" s="3"/>
      <c r="M977" s="3"/>
      <c r="N977" s="3"/>
      <c r="O977" s="3"/>
      <c r="P977" s="3"/>
      <c r="Q977" s="3"/>
      <c r="R977" s="3"/>
    </row>
    <row r="978" spans="1:18" x14ac:dyDescent="0.75">
      <c r="A978" s="3"/>
      <c r="B978" s="3"/>
      <c r="C978" s="6"/>
      <c r="D978" s="6"/>
      <c r="E978" s="15"/>
      <c r="F978" s="6"/>
      <c r="G978" s="6"/>
      <c r="H978" s="3"/>
      <c r="I978" s="6"/>
      <c r="J978" s="3"/>
      <c r="K978" s="3"/>
      <c r="L978" s="3"/>
      <c r="M978" s="3"/>
      <c r="N978" s="3"/>
      <c r="O978" s="3"/>
      <c r="P978" s="3"/>
      <c r="Q978" s="3"/>
      <c r="R978" s="3"/>
    </row>
    <row r="979" spans="1:18" x14ac:dyDescent="0.75">
      <c r="A979" s="3"/>
      <c r="B979" s="3"/>
      <c r="C979" s="6"/>
      <c r="D979" s="6"/>
      <c r="E979" s="15"/>
      <c r="F979" s="6"/>
      <c r="G979" s="6"/>
      <c r="H979" s="3"/>
      <c r="I979" s="6"/>
      <c r="J979" s="3"/>
      <c r="K979" s="3"/>
      <c r="L979" s="3"/>
      <c r="M979" s="3"/>
      <c r="N979" s="3"/>
      <c r="O979" s="3"/>
      <c r="P979" s="3"/>
      <c r="Q979" s="3"/>
      <c r="R979" s="3"/>
    </row>
    <row r="980" spans="1:18" x14ac:dyDescent="0.75">
      <c r="A980" s="3"/>
      <c r="B980" s="3"/>
      <c r="C980" s="6"/>
      <c r="D980" s="6"/>
      <c r="E980" s="15"/>
      <c r="F980" s="6"/>
      <c r="G980" s="6"/>
      <c r="H980" s="3"/>
      <c r="I980" s="6"/>
      <c r="J980" s="3"/>
      <c r="K980" s="3"/>
      <c r="L980" s="3"/>
      <c r="M980" s="3"/>
      <c r="N980" s="3"/>
      <c r="O980" s="3"/>
      <c r="P980" s="3"/>
      <c r="Q980" s="3"/>
      <c r="R980" s="3"/>
    </row>
    <row r="981" spans="1:18" x14ac:dyDescent="0.75">
      <c r="A981" s="3"/>
      <c r="B981" s="3"/>
      <c r="C981" s="6"/>
      <c r="D981" s="6"/>
      <c r="E981" s="15"/>
      <c r="F981" s="6"/>
      <c r="G981" s="6"/>
      <c r="H981" s="3"/>
      <c r="I981" s="6"/>
      <c r="J981" s="3"/>
      <c r="K981" s="3"/>
      <c r="L981" s="3"/>
      <c r="M981" s="3"/>
      <c r="N981" s="3"/>
      <c r="O981" s="3"/>
      <c r="P981" s="3"/>
      <c r="Q981" s="3"/>
      <c r="R981" s="3"/>
    </row>
    <row r="982" spans="1:18" x14ac:dyDescent="0.75">
      <c r="A982" s="3"/>
      <c r="B982" s="3"/>
      <c r="C982" s="6"/>
      <c r="D982" s="6"/>
      <c r="E982" s="15"/>
      <c r="F982" s="6"/>
      <c r="G982" s="6"/>
      <c r="H982" s="3"/>
      <c r="I982" s="6"/>
      <c r="J982" s="3"/>
      <c r="K982" s="3"/>
      <c r="L982" s="3"/>
      <c r="M982" s="3"/>
      <c r="N982" s="3"/>
      <c r="O982" s="3"/>
      <c r="P982" s="3"/>
      <c r="Q982" s="3"/>
      <c r="R982" s="3"/>
    </row>
    <row r="983" spans="1:18" x14ac:dyDescent="0.75">
      <c r="A983" s="3"/>
      <c r="B983" s="3"/>
      <c r="C983" s="6"/>
      <c r="D983" s="6"/>
      <c r="E983" s="15"/>
      <c r="F983" s="6"/>
      <c r="G983" s="6"/>
      <c r="H983" s="3"/>
      <c r="I983" s="6"/>
      <c r="J983" s="3"/>
      <c r="K983" s="3"/>
      <c r="L983" s="3"/>
      <c r="M983" s="3"/>
      <c r="N983" s="3"/>
      <c r="O983" s="3"/>
      <c r="P983" s="3"/>
      <c r="Q983" s="3"/>
      <c r="R983" s="3"/>
    </row>
    <row r="984" spans="1:18" x14ac:dyDescent="0.75">
      <c r="A984" s="3"/>
      <c r="B984" s="3"/>
      <c r="C984" s="6"/>
      <c r="D984" s="6"/>
      <c r="E984" s="15"/>
      <c r="F984" s="6"/>
      <c r="G984" s="6"/>
      <c r="H984" s="3"/>
      <c r="I984" s="6"/>
      <c r="J984" s="3"/>
      <c r="K984" s="3"/>
      <c r="L984" s="3"/>
      <c r="M984" s="3"/>
      <c r="N984" s="3"/>
      <c r="O984" s="3"/>
      <c r="P984" s="3"/>
      <c r="Q984" s="3"/>
      <c r="R984" s="3"/>
    </row>
    <row r="985" spans="1:18" x14ac:dyDescent="0.75">
      <c r="A985" s="3"/>
      <c r="B985" s="3"/>
      <c r="C985" s="6"/>
      <c r="D985" s="6"/>
      <c r="E985" s="15"/>
      <c r="F985" s="6"/>
      <c r="G985" s="6"/>
      <c r="H985" s="3"/>
      <c r="I985" s="6"/>
      <c r="J985" s="3"/>
      <c r="K985" s="3"/>
      <c r="L985" s="3"/>
      <c r="M985" s="3"/>
      <c r="N985" s="3"/>
      <c r="O985" s="3"/>
      <c r="P985" s="3"/>
      <c r="Q985" s="3"/>
      <c r="R985" s="3"/>
    </row>
    <row r="986" spans="1:18" x14ac:dyDescent="0.75">
      <c r="A986" s="3"/>
      <c r="B986" s="3"/>
      <c r="C986" s="6"/>
      <c r="D986" s="6"/>
      <c r="E986" s="15"/>
      <c r="F986" s="6"/>
      <c r="G986" s="6"/>
      <c r="H986" s="3"/>
      <c r="I986" s="6"/>
      <c r="J986" s="3"/>
      <c r="K986" s="3"/>
      <c r="L986" s="3"/>
      <c r="M986" s="3"/>
      <c r="N986" s="3"/>
      <c r="O986" s="3"/>
      <c r="P986" s="3"/>
      <c r="Q986" s="3"/>
      <c r="R986" s="3"/>
    </row>
    <row r="987" spans="1:18" x14ac:dyDescent="0.75">
      <c r="A987" s="3"/>
      <c r="B987" s="3"/>
      <c r="C987" s="6"/>
      <c r="D987" s="6"/>
      <c r="E987" s="15"/>
      <c r="F987" s="6"/>
      <c r="G987" s="6"/>
      <c r="H987" s="3"/>
      <c r="I987" s="6"/>
      <c r="J987" s="3"/>
      <c r="K987" s="3"/>
      <c r="L987" s="3"/>
      <c r="M987" s="3"/>
      <c r="N987" s="3"/>
      <c r="O987" s="3"/>
      <c r="P987" s="3"/>
      <c r="Q987" s="3"/>
      <c r="R987" s="3"/>
    </row>
    <row r="988" spans="1:18" x14ac:dyDescent="0.75">
      <c r="A988" s="3"/>
      <c r="B988" s="3"/>
      <c r="C988" s="6"/>
      <c r="D988" s="6"/>
      <c r="E988" s="15"/>
      <c r="F988" s="6"/>
      <c r="G988" s="6"/>
      <c r="H988" s="3"/>
      <c r="I988" s="6"/>
      <c r="J988" s="3"/>
      <c r="K988" s="3"/>
      <c r="L988" s="3"/>
      <c r="M988" s="3"/>
      <c r="N988" s="3"/>
      <c r="O988" s="3"/>
      <c r="P988" s="3"/>
      <c r="Q988" s="3"/>
      <c r="R988" s="3"/>
    </row>
    <row r="989" spans="1:18" x14ac:dyDescent="0.75">
      <c r="A989" s="3"/>
      <c r="B989" s="3"/>
      <c r="C989" s="6"/>
      <c r="D989" s="6"/>
      <c r="E989" s="15"/>
      <c r="F989" s="6"/>
      <c r="G989" s="6"/>
      <c r="H989" s="3"/>
      <c r="I989" s="6"/>
      <c r="J989" s="3"/>
      <c r="K989" s="3"/>
      <c r="L989" s="3"/>
      <c r="M989" s="3"/>
      <c r="N989" s="3"/>
      <c r="O989" s="3"/>
      <c r="P989" s="3"/>
      <c r="Q989" s="3"/>
      <c r="R989" s="3"/>
    </row>
    <row r="990" spans="1:18" x14ac:dyDescent="0.75">
      <c r="A990" s="3"/>
      <c r="B990" s="3"/>
      <c r="C990" s="6"/>
      <c r="D990" s="6"/>
      <c r="E990" s="15"/>
      <c r="F990" s="6"/>
      <c r="G990" s="6"/>
      <c r="H990" s="3"/>
      <c r="I990" s="6"/>
      <c r="J990" s="3"/>
      <c r="K990" s="3"/>
      <c r="L990" s="3"/>
      <c r="M990" s="3"/>
      <c r="N990" s="3"/>
      <c r="O990" s="3"/>
      <c r="P990" s="3"/>
      <c r="Q990" s="3"/>
      <c r="R990" s="3"/>
    </row>
    <row r="991" spans="1:18" x14ac:dyDescent="0.75">
      <c r="A991" s="3"/>
      <c r="B991" s="3"/>
      <c r="C991" s="6"/>
      <c r="D991" s="6"/>
      <c r="E991" s="15"/>
      <c r="F991" s="6"/>
      <c r="G991" s="6"/>
      <c r="H991" s="3"/>
      <c r="I991" s="6"/>
      <c r="J991" s="3"/>
      <c r="K991" s="3"/>
      <c r="L991" s="3"/>
      <c r="M991" s="3"/>
      <c r="N991" s="3"/>
      <c r="O991" s="3"/>
      <c r="P991" s="3"/>
      <c r="Q991" s="3"/>
      <c r="R991" s="3"/>
    </row>
    <row r="992" spans="1:18" x14ac:dyDescent="0.75">
      <c r="A992" s="3"/>
      <c r="B992" s="3"/>
      <c r="C992" s="6"/>
      <c r="D992" s="6"/>
      <c r="E992" s="15"/>
      <c r="F992" s="6"/>
      <c r="G992" s="6"/>
      <c r="H992" s="3"/>
      <c r="I992" s="6"/>
      <c r="J992" s="3"/>
      <c r="K992" s="3"/>
      <c r="L992" s="3"/>
      <c r="M992" s="3"/>
      <c r="N992" s="3"/>
      <c r="O992" s="3"/>
      <c r="P992" s="3"/>
      <c r="Q992" s="3"/>
      <c r="R992" s="3"/>
    </row>
    <row r="993" spans="1:18" x14ac:dyDescent="0.75">
      <c r="A993" s="3"/>
      <c r="B993" s="3"/>
      <c r="C993" s="6"/>
      <c r="D993" s="6"/>
      <c r="E993" s="15"/>
      <c r="F993" s="6"/>
      <c r="G993" s="6"/>
      <c r="H993" s="3"/>
      <c r="I993" s="6"/>
      <c r="J993" s="3"/>
      <c r="K993" s="3"/>
      <c r="L993" s="3"/>
      <c r="M993" s="3"/>
      <c r="N993" s="3"/>
      <c r="O993" s="3"/>
      <c r="P993" s="3"/>
      <c r="Q993" s="3"/>
      <c r="R993" s="3"/>
    </row>
    <row r="994" spans="1:18" x14ac:dyDescent="0.75">
      <c r="A994" s="3"/>
      <c r="B994" s="3"/>
      <c r="C994" s="6"/>
      <c r="D994" s="6"/>
      <c r="E994" s="15"/>
      <c r="F994" s="6"/>
      <c r="G994" s="6"/>
      <c r="H994" s="3"/>
      <c r="I994" s="6"/>
      <c r="J994" s="3"/>
      <c r="K994" s="3"/>
      <c r="L994" s="3"/>
      <c r="M994" s="3"/>
      <c r="N994" s="3"/>
      <c r="O994" s="3"/>
      <c r="P994" s="3"/>
      <c r="Q994" s="3"/>
      <c r="R994" s="3"/>
    </row>
    <row r="995" spans="1:18" x14ac:dyDescent="0.75">
      <c r="A995" s="3"/>
      <c r="B995" s="3"/>
      <c r="C995" s="6"/>
      <c r="D995" s="6"/>
      <c r="E995" s="15"/>
      <c r="F995" s="6"/>
      <c r="G995" s="6"/>
      <c r="H995" s="3"/>
      <c r="I995" s="6"/>
      <c r="J995" s="3"/>
      <c r="K995" s="3"/>
      <c r="L995" s="3"/>
      <c r="M995" s="3"/>
      <c r="N995" s="3"/>
      <c r="O995" s="3"/>
      <c r="P995" s="3"/>
      <c r="Q995" s="3"/>
      <c r="R995" s="3"/>
    </row>
    <row r="996" spans="1:18" x14ac:dyDescent="0.75">
      <c r="A996" s="3"/>
      <c r="B996" s="3"/>
      <c r="C996" s="6"/>
      <c r="D996" s="6"/>
      <c r="E996" s="15"/>
      <c r="F996" s="6"/>
      <c r="G996" s="6"/>
      <c r="H996" s="3"/>
      <c r="I996" s="6"/>
      <c r="J996" s="3"/>
      <c r="K996" s="3"/>
      <c r="L996" s="3"/>
      <c r="M996" s="3"/>
      <c r="N996" s="3"/>
      <c r="O996" s="3"/>
      <c r="P996" s="3"/>
      <c r="Q996" s="3"/>
      <c r="R996" s="3"/>
    </row>
    <row r="997" spans="1:18" x14ac:dyDescent="0.75">
      <c r="A997" s="3"/>
      <c r="B997" s="3"/>
      <c r="C997" s="6"/>
      <c r="D997" s="6"/>
      <c r="E997" s="15"/>
      <c r="F997" s="6"/>
      <c r="G997" s="6"/>
      <c r="H997" s="3"/>
      <c r="I997" s="6"/>
      <c r="J997" s="3"/>
      <c r="K997" s="3"/>
      <c r="L997" s="3"/>
      <c r="M997" s="3"/>
      <c r="N997" s="3"/>
      <c r="O997" s="3"/>
      <c r="P997" s="3"/>
      <c r="Q997" s="3"/>
      <c r="R997" s="3"/>
    </row>
    <row r="998" spans="1:18" x14ac:dyDescent="0.75">
      <c r="A998" s="3"/>
      <c r="B998" s="3"/>
      <c r="C998" s="6"/>
      <c r="D998" s="6"/>
      <c r="E998" s="15"/>
      <c r="F998" s="6"/>
      <c r="G998" s="6"/>
      <c r="H998" s="3"/>
      <c r="I998" s="6"/>
      <c r="J998" s="3"/>
      <c r="K998" s="3"/>
      <c r="L998" s="3"/>
      <c r="M998" s="3"/>
      <c r="N998" s="3"/>
      <c r="O998" s="3"/>
      <c r="P998" s="3"/>
      <c r="Q998" s="3"/>
      <c r="R998" s="3"/>
    </row>
    <row r="999" spans="1:18" x14ac:dyDescent="0.75">
      <c r="A999" s="3"/>
      <c r="B999" s="3"/>
      <c r="C999" s="6"/>
      <c r="D999" s="6"/>
      <c r="E999" s="15"/>
      <c r="F999" s="6"/>
      <c r="G999" s="6"/>
      <c r="H999" s="3"/>
      <c r="I999" s="6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x14ac:dyDescent="0.75">
      <c r="A1000" s="3"/>
      <c r="B1000" s="3"/>
      <c r="C1000" s="6"/>
      <c r="D1000" s="6"/>
      <c r="E1000" s="15"/>
      <c r="F1000" s="6"/>
      <c r="G1000" s="6"/>
      <c r="H1000" s="3"/>
      <c r="I1000" s="6"/>
      <c r="J1000" s="3"/>
      <c r="K1000" s="3"/>
      <c r="L1000" s="3"/>
      <c r="M1000" s="3"/>
      <c r="N1000" s="3"/>
      <c r="O1000" s="3"/>
      <c r="P1000" s="3"/>
      <c r="Q1000" s="3"/>
      <c r="R1000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88FD-77F4-4CCE-A11B-71343E877B66}">
  <dimension ref="A1:M1849"/>
  <sheetViews>
    <sheetView workbookViewId="0">
      <selection activeCell="D1561" sqref="D1561"/>
    </sheetView>
  </sheetViews>
  <sheetFormatPr defaultRowHeight="14.75" x14ac:dyDescent="0.75"/>
  <cols>
    <col min="1" max="1" width="17" customWidth="1"/>
    <col min="2" max="2" width="6.36328125" customWidth="1"/>
    <col min="3" max="3" width="13" customWidth="1"/>
    <col min="4" max="4" width="10.58984375" customWidth="1"/>
    <col min="5" max="13" width="12.6328125"/>
  </cols>
  <sheetData>
    <row r="1" spans="1:13" ht="40.5" x14ac:dyDescent="0.75">
      <c r="A1" s="1" t="s">
        <v>0</v>
      </c>
      <c r="B1" s="1" t="s">
        <v>1</v>
      </c>
      <c r="C1" s="1" t="s">
        <v>56</v>
      </c>
      <c r="D1" s="2" t="s">
        <v>57</v>
      </c>
      <c r="E1" s="27" t="s">
        <v>59</v>
      </c>
      <c r="F1" s="28" t="s">
        <v>49</v>
      </c>
      <c r="G1" s="34" t="s">
        <v>50</v>
      </c>
      <c r="H1" s="34" t="s">
        <v>51</v>
      </c>
      <c r="I1" s="34" t="s">
        <v>60</v>
      </c>
      <c r="J1" s="34" t="s">
        <v>61</v>
      </c>
      <c r="K1" s="34" t="s">
        <v>54</v>
      </c>
      <c r="L1" s="34" t="s">
        <v>62</v>
      </c>
      <c r="M1" s="34" t="s">
        <v>63</v>
      </c>
    </row>
    <row r="2" spans="1:13" x14ac:dyDescent="0.75">
      <c r="A2" s="13" t="s">
        <v>3</v>
      </c>
      <c r="B2" s="18">
        <v>2022</v>
      </c>
      <c r="C2" s="4">
        <v>1</v>
      </c>
      <c r="D2" t="s">
        <v>58</v>
      </c>
      <c r="E2" s="19">
        <v>53.7</v>
      </c>
      <c r="F2" s="19">
        <v>97.64</v>
      </c>
      <c r="G2" s="29">
        <v>31.64</v>
      </c>
      <c r="H2" s="19">
        <v>0.3</v>
      </c>
      <c r="I2" s="39">
        <v>607.55600000000004</v>
      </c>
      <c r="J2" s="40">
        <v>3.5</v>
      </c>
      <c r="K2" s="41">
        <v>14335</v>
      </c>
      <c r="L2" s="24">
        <v>86.5</v>
      </c>
      <c r="M2" s="42">
        <v>94</v>
      </c>
    </row>
    <row r="3" spans="1:13" x14ac:dyDescent="0.75">
      <c r="A3" s="13" t="s">
        <v>3</v>
      </c>
      <c r="B3" s="18">
        <v>2022</v>
      </c>
      <c r="C3" s="4">
        <v>2</v>
      </c>
      <c r="D3" t="s">
        <v>58</v>
      </c>
      <c r="E3" s="19">
        <v>51.2</v>
      </c>
      <c r="F3" s="19">
        <v>97.43</v>
      </c>
      <c r="G3" s="29">
        <v>56.17</v>
      </c>
      <c r="H3" s="19">
        <v>1.4</v>
      </c>
      <c r="I3" s="39">
        <v>613.76499999999999</v>
      </c>
      <c r="J3" s="40">
        <v>3.5</v>
      </c>
      <c r="K3" s="41">
        <v>14351</v>
      </c>
      <c r="L3" s="24">
        <v>97.1</v>
      </c>
      <c r="M3" s="42">
        <v>94</v>
      </c>
    </row>
    <row r="4" spans="1:13" x14ac:dyDescent="0.75">
      <c r="A4" s="13" t="s">
        <v>3</v>
      </c>
      <c r="B4" s="18">
        <v>2022</v>
      </c>
      <c r="C4" s="4">
        <v>3</v>
      </c>
      <c r="D4" t="s">
        <v>58</v>
      </c>
      <c r="E4" s="19">
        <v>51.3</v>
      </c>
      <c r="F4" s="19">
        <v>97.7</v>
      </c>
      <c r="G4" s="29">
        <v>76.239999999999995</v>
      </c>
      <c r="H4" s="19">
        <v>16.100000000000001</v>
      </c>
      <c r="I4" s="39">
        <v>639.58000000000004</v>
      </c>
      <c r="J4" s="40">
        <v>3.5</v>
      </c>
      <c r="K4" s="41">
        <v>14349</v>
      </c>
      <c r="L4" s="24">
        <v>117.2</v>
      </c>
      <c r="M4" s="42">
        <v>94.7</v>
      </c>
    </row>
    <row r="5" spans="1:13" x14ac:dyDescent="0.75">
      <c r="A5" s="13" t="s">
        <v>3</v>
      </c>
      <c r="B5" s="18">
        <v>2022</v>
      </c>
      <c r="C5" s="4">
        <v>4</v>
      </c>
      <c r="D5" t="s">
        <v>58</v>
      </c>
      <c r="E5" s="19">
        <v>51.9</v>
      </c>
      <c r="F5" s="19">
        <v>98.39</v>
      </c>
      <c r="G5" s="29">
        <v>84.28</v>
      </c>
      <c r="H5" s="19">
        <v>1.24</v>
      </c>
      <c r="I5" s="39">
        <v>650.52300000000002</v>
      </c>
      <c r="J5" s="40">
        <v>3.5</v>
      </c>
      <c r="K5" s="41">
        <v>14369</v>
      </c>
      <c r="L5" s="24">
        <v>104.6</v>
      </c>
      <c r="M5" s="42">
        <v>95.6</v>
      </c>
    </row>
    <row r="6" spans="1:13" x14ac:dyDescent="0.75">
      <c r="A6" s="13" t="s">
        <v>3</v>
      </c>
      <c r="B6" s="18">
        <v>2022</v>
      </c>
      <c r="C6" s="4">
        <v>5</v>
      </c>
      <c r="D6" t="s">
        <v>58</v>
      </c>
      <c r="E6" s="19">
        <v>50.8</v>
      </c>
      <c r="F6" s="19">
        <v>99.19</v>
      </c>
      <c r="G6" s="29">
        <v>45.04</v>
      </c>
      <c r="H6" s="19">
        <v>34.299999999999997</v>
      </c>
      <c r="I6" s="39">
        <v>639.33199999999999</v>
      </c>
      <c r="J6" s="40">
        <v>3.5</v>
      </c>
      <c r="K6" s="41">
        <v>14608</v>
      </c>
      <c r="L6" s="24">
        <v>113.3</v>
      </c>
      <c r="M6" s="42">
        <v>95.9</v>
      </c>
    </row>
    <row r="7" spans="1:13" x14ac:dyDescent="0.75">
      <c r="A7" s="13" t="s">
        <v>3</v>
      </c>
      <c r="B7" s="18">
        <v>2022</v>
      </c>
      <c r="C7" s="4">
        <v>6</v>
      </c>
      <c r="D7" t="s">
        <v>58</v>
      </c>
      <c r="E7" s="19">
        <v>50.2</v>
      </c>
      <c r="F7" s="19">
        <v>100.05</v>
      </c>
      <c r="G7" s="29">
        <v>56.24</v>
      </c>
      <c r="H7" s="19">
        <v>12.57</v>
      </c>
      <c r="I7" s="39">
        <v>622.46600000000001</v>
      </c>
      <c r="J7" s="40">
        <v>3.5</v>
      </c>
      <c r="K7" s="41">
        <v>14689</v>
      </c>
      <c r="L7" s="24">
        <v>122.7</v>
      </c>
      <c r="M7" s="42">
        <v>96.6</v>
      </c>
    </row>
    <row r="8" spans="1:13" x14ac:dyDescent="0.75">
      <c r="A8" s="13" t="s">
        <v>3</v>
      </c>
      <c r="B8" s="18">
        <v>2022</v>
      </c>
      <c r="C8" s="4">
        <v>7</v>
      </c>
      <c r="D8">
        <v>0</v>
      </c>
      <c r="E8" s="19">
        <v>51.3</v>
      </c>
      <c r="F8" s="19">
        <v>101.2</v>
      </c>
      <c r="G8" s="29">
        <v>3</v>
      </c>
      <c r="H8" s="19">
        <v>56.61</v>
      </c>
      <c r="I8" s="39">
        <v>608.721</v>
      </c>
      <c r="J8" s="40">
        <v>3.5</v>
      </c>
      <c r="K8" s="41">
        <v>14984</v>
      </c>
      <c r="L8" s="24">
        <v>111.9</v>
      </c>
      <c r="M8" s="42">
        <v>97</v>
      </c>
    </row>
    <row r="9" spans="1:13" x14ac:dyDescent="0.75">
      <c r="A9" s="13" t="s">
        <v>3</v>
      </c>
      <c r="B9" s="18">
        <v>2022</v>
      </c>
      <c r="C9" s="4">
        <v>8</v>
      </c>
      <c r="D9" t="s">
        <v>58</v>
      </c>
      <c r="E9" s="19">
        <v>51.7</v>
      </c>
      <c r="F9" s="19">
        <v>100.69</v>
      </c>
      <c r="G9" s="29">
        <v>61.31</v>
      </c>
      <c r="H9" s="19">
        <v>3.08</v>
      </c>
      <c r="I9" s="39">
        <v>621.33199999999999</v>
      </c>
      <c r="J9" s="40">
        <v>3.75</v>
      </c>
      <c r="K9" s="41">
        <v>14851</v>
      </c>
      <c r="L9" s="24">
        <v>100.4</v>
      </c>
      <c r="M9" s="42">
        <v>96.9</v>
      </c>
    </row>
    <row r="10" spans="1:13" x14ac:dyDescent="0.75">
      <c r="A10" s="13" t="s">
        <v>3</v>
      </c>
      <c r="B10" s="18">
        <v>2022</v>
      </c>
      <c r="C10" s="4">
        <v>9</v>
      </c>
      <c r="D10">
        <v>0</v>
      </c>
      <c r="E10" s="19">
        <v>53.7</v>
      </c>
      <c r="F10" s="19">
        <v>102.21</v>
      </c>
      <c r="G10" s="29">
        <v>66.2</v>
      </c>
      <c r="H10" s="19">
        <v>11.75</v>
      </c>
      <c r="I10" s="39">
        <v>595.54100000000005</v>
      </c>
      <c r="J10" s="40">
        <v>4.25</v>
      </c>
      <c r="K10" s="41">
        <v>14972</v>
      </c>
      <c r="L10" s="24">
        <v>89.8</v>
      </c>
      <c r="M10" s="42">
        <v>97.7</v>
      </c>
    </row>
    <row r="11" spans="1:13" x14ac:dyDescent="0.75">
      <c r="A11" s="13" t="s">
        <v>3</v>
      </c>
      <c r="B11" s="18">
        <v>2022</v>
      </c>
      <c r="C11" s="4">
        <v>10</v>
      </c>
      <c r="D11">
        <v>1</v>
      </c>
      <c r="E11" s="19">
        <v>51.8</v>
      </c>
      <c r="F11" s="19">
        <v>101.52</v>
      </c>
      <c r="G11" s="29">
        <v>69.67</v>
      </c>
      <c r="H11" s="19">
        <v>29.83</v>
      </c>
      <c r="I11" s="39">
        <v>562.995</v>
      </c>
      <c r="J11" s="40">
        <v>4.75</v>
      </c>
      <c r="K11" s="41">
        <v>15417</v>
      </c>
      <c r="L11" s="24">
        <v>93.3</v>
      </c>
      <c r="M11" s="42">
        <v>97.7</v>
      </c>
    </row>
    <row r="12" spans="1:13" x14ac:dyDescent="0.75">
      <c r="A12" s="13" t="s">
        <v>3</v>
      </c>
      <c r="B12" s="18">
        <v>2022</v>
      </c>
      <c r="C12" s="4">
        <v>11</v>
      </c>
      <c r="D12">
        <v>1</v>
      </c>
      <c r="E12" s="19">
        <v>50.3</v>
      </c>
      <c r="F12" s="19">
        <v>101.2</v>
      </c>
      <c r="G12" s="29">
        <v>57.59</v>
      </c>
      <c r="H12" s="19"/>
      <c r="I12" s="39">
        <v>579.33500000000004</v>
      </c>
      <c r="J12" s="40">
        <v>5.25</v>
      </c>
      <c r="K12" s="41">
        <v>15659</v>
      </c>
      <c r="L12" s="24">
        <v>91.4</v>
      </c>
      <c r="M12" s="42">
        <v>98</v>
      </c>
    </row>
    <row r="13" spans="1:13" x14ac:dyDescent="0.75">
      <c r="A13" s="13" t="s">
        <v>3</v>
      </c>
      <c r="B13" s="18">
        <v>2022</v>
      </c>
      <c r="C13" s="4">
        <v>12</v>
      </c>
      <c r="D13">
        <v>84</v>
      </c>
      <c r="E13" s="19">
        <v>50.9</v>
      </c>
      <c r="F13" s="19">
        <v>102.77</v>
      </c>
      <c r="G13" s="29">
        <v>85.13</v>
      </c>
      <c r="H13" s="19">
        <v>0.16</v>
      </c>
      <c r="I13" s="39">
        <v>523.78499999999997</v>
      </c>
      <c r="J13" s="40">
        <v>5.5</v>
      </c>
      <c r="K13" s="41">
        <v>15615</v>
      </c>
      <c r="L13" s="24">
        <v>80.900000000000006</v>
      </c>
      <c r="M13" s="42">
        <v>98.7</v>
      </c>
    </row>
    <row r="14" spans="1:13" x14ac:dyDescent="0.75">
      <c r="A14" s="13" t="s">
        <v>4</v>
      </c>
      <c r="B14" s="18">
        <v>2022</v>
      </c>
      <c r="C14" s="4">
        <v>1</v>
      </c>
      <c r="D14" t="s">
        <v>58</v>
      </c>
      <c r="E14" s="19">
        <v>53.7</v>
      </c>
      <c r="F14" s="29">
        <v>97.81</v>
      </c>
      <c r="G14" s="26">
        <v>930.98</v>
      </c>
      <c r="H14" s="26">
        <v>529.29</v>
      </c>
      <c r="I14" s="39">
        <v>5849.6970000000001</v>
      </c>
      <c r="J14" s="40">
        <v>3.5</v>
      </c>
      <c r="K14" s="41">
        <v>14335</v>
      </c>
      <c r="L14" s="24">
        <v>86.5</v>
      </c>
      <c r="M14" s="42">
        <v>94</v>
      </c>
    </row>
    <row r="15" spans="1:13" x14ac:dyDescent="0.75">
      <c r="A15" s="13" t="s">
        <v>4</v>
      </c>
      <c r="B15" s="18">
        <v>2022</v>
      </c>
      <c r="C15" s="4">
        <v>2</v>
      </c>
      <c r="D15" t="s">
        <v>58</v>
      </c>
      <c r="E15" s="19">
        <v>51.2</v>
      </c>
      <c r="F15" s="29">
        <v>97.74</v>
      </c>
      <c r="G15" s="26">
        <v>837.08</v>
      </c>
      <c r="H15" s="26">
        <v>473.42</v>
      </c>
      <c r="I15" s="39">
        <v>5838.8890000000001</v>
      </c>
      <c r="J15" s="40">
        <v>3.5</v>
      </c>
      <c r="K15" s="41">
        <v>14351</v>
      </c>
      <c r="L15" s="24">
        <v>97.1</v>
      </c>
      <c r="M15" s="42">
        <v>94</v>
      </c>
    </row>
    <row r="16" spans="1:13" x14ac:dyDescent="0.75">
      <c r="A16" s="13" t="s">
        <v>4</v>
      </c>
      <c r="B16" s="18">
        <v>2022</v>
      </c>
      <c r="C16" s="4">
        <v>3</v>
      </c>
      <c r="D16" t="s">
        <v>58</v>
      </c>
      <c r="E16" s="19">
        <v>51.3</v>
      </c>
      <c r="F16" s="29">
        <v>98.35</v>
      </c>
      <c r="G16" s="26">
        <v>1117.6600000000001</v>
      </c>
      <c r="H16" s="26">
        <v>563.96</v>
      </c>
      <c r="I16" s="39">
        <v>5713.4480000000003</v>
      </c>
      <c r="J16" s="40">
        <v>3.5</v>
      </c>
      <c r="K16" s="41">
        <v>14349</v>
      </c>
      <c r="L16" s="24">
        <v>117.2</v>
      </c>
      <c r="M16" s="42">
        <v>94.7</v>
      </c>
    </row>
    <row r="17" spans="1:13" x14ac:dyDescent="0.75">
      <c r="A17" s="13" t="s">
        <v>4</v>
      </c>
      <c r="B17" s="18">
        <v>2022</v>
      </c>
      <c r="C17" s="4">
        <v>4</v>
      </c>
      <c r="D17" t="s">
        <v>58</v>
      </c>
      <c r="E17" s="19">
        <v>51.9</v>
      </c>
      <c r="F17" s="29">
        <v>98.55</v>
      </c>
      <c r="G17" s="26">
        <v>1274.83</v>
      </c>
      <c r="H17" s="26">
        <v>528.58000000000004</v>
      </c>
      <c r="I17" s="39">
        <v>5678.7439999999997</v>
      </c>
      <c r="J17" s="40">
        <v>3.5</v>
      </c>
      <c r="K17" s="41">
        <v>14369</v>
      </c>
      <c r="L17" s="24">
        <v>104.6</v>
      </c>
      <c r="M17" s="42">
        <v>95.6</v>
      </c>
    </row>
    <row r="18" spans="1:13" x14ac:dyDescent="0.75">
      <c r="A18" s="13" t="s">
        <v>4</v>
      </c>
      <c r="B18" s="18">
        <v>2022</v>
      </c>
      <c r="C18" s="4">
        <v>5</v>
      </c>
      <c r="D18" t="s">
        <v>58</v>
      </c>
      <c r="E18" s="19">
        <v>50.8</v>
      </c>
      <c r="F18" s="29">
        <v>99.1</v>
      </c>
      <c r="G18" s="26">
        <v>748.67</v>
      </c>
      <c r="H18" s="26">
        <v>531.63</v>
      </c>
      <c r="I18" s="39">
        <v>5824.2780000000002</v>
      </c>
      <c r="J18" s="40">
        <v>3.5</v>
      </c>
      <c r="K18" s="41">
        <v>14608</v>
      </c>
      <c r="L18" s="24">
        <v>113.3</v>
      </c>
      <c r="M18" s="42">
        <v>95.9</v>
      </c>
    </row>
    <row r="19" spans="1:13" x14ac:dyDescent="0.75">
      <c r="A19" s="13" t="s">
        <v>4</v>
      </c>
      <c r="B19" s="18">
        <v>2022</v>
      </c>
      <c r="C19" s="4">
        <v>6</v>
      </c>
      <c r="D19" t="s">
        <v>58</v>
      </c>
      <c r="E19" s="19">
        <v>50.2</v>
      </c>
      <c r="F19" s="29">
        <v>100.82</v>
      </c>
      <c r="G19" s="26">
        <v>1242.6600000000001</v>
      </c>
      <c r="H19" s="26">
        <v>499.04</v>
      </c>
      <c r="I19" s="39">
        <v>5620.9759999999997</v>
      </c>
      <c r="J19" s="40">
        <v>3.5</v>
      </c>
      <c r="K19" s="41">
        <v>14689</v>
      </c>
      <c r="L19" s="24">
        <v>122.7</v>
      </c>
      <c r="M19" s="42">
        <v>96.6</v>
      </c>
    </row>
    <row r="20" spans="1:13" x14ac:dyDescent="0.75">
      <c r="A20" s="13" t="s">
        <v>4</v>
      </c>
      <c r="B20" s="18">
        <v>2022</v>
      </c>
      <c r="C20" s="4">
        <v>7</v>
      </c>
      <c r="D20">
        <v>70</v>
      </c>
      <c r="E20" s="19">
        <v>51.3</v>
      </c>
      <c r="F20" s="29">
        <v>101.04</v>
      </c>
      <c r="G20" s="26">
        <v>591.41999999999996</v>
      </c>
      <c r="H20" s="26">
        <v>1226.7</v>
      </c>
      <c r="I20" s="39">
        <v>5849.4059999999999</v>
      </c>
      <c r="J20" s="40">
        <v>3.5</v>
      </c>
      <c r="K20" s="41">
        <v>14984</v>
      </c>
      <c r="L20" s="24">
        <v>111.9</v>
      </c>
      <c r="M20" s="42">
        <v>97</v>
      </c>
    </row>
    <row r="21" spans="1:13" x14ac:dyDescent="0.75">
      <c r="A21" s="13" t="s">
        <v>4</v>
      </c>
      <c r="B21" s="18">
        <v>2022</v>
      </c>
      <c r="C21" s="4">
        <v>8</v>
      </c>
      <c r="D21" t="s">
        <v>58</v>
      </c>
      <c r="E21" s="19">
        <v>51.7</v>
      </c>
      <c r="F21" s="29">
        <v>100.54</v>
      </c>
      <c r="G21" s="26">
        <v>1339.26</v>
      </c>
      <c r="H21" s="26">
        <v>511.97</v>
      </c>
      <c r="I21" s="39">
        <v>5843.4549999999999</v>
      </c>
      <c r="J21" s="40">
        <v>3.75</v>
      </c>
      <c r="K21" s="41">
        <v>14851</v>
      </c>
      <c r="L21" s="24">
        <v>100.4</v>
      </c>
      <c r="M21" s="42">
        <v>96.9</v>
      </c>
    </row>
    <row r="22" spans="1:13" x14ac:dyDescent="0.75">
      <c r="A22" s="13" t="s">
        <v>4</v>
      </c>
      <c r="B22" s="18">
        <v>2022</v>
      </c>
      <c r="C22" s="4">
        <v>9</v>
      </c>
      <c r="D22">
        <v>70</v>
      </c>
      <c r="E22" s="19">
        <v>53.7</v>
      </c>
      <c r="F22" s="29">
        <v>101.67</v>
      </c>
      <c r="G22" s="26">
        <v>1133.04</v>
      </c>
      <c r="H22" s="26">
        <v>528.05999999999995</v>
      </c>
      <c r="I22" s="39">
        <v>5417.9030000000002</v>
      </c>
      <c r="J22" s="40">
        <v>4.25</v>
      </c>
      <c r="K22" s="41">
        <v>14972</v>
      </c>
      <c r="L22" s="24">
        <v>89.8</v>
      </c>
      <c r="M22" s="42">
        <v>97.7</v>
      </c>
    </row>
    <row r="23" spans="1:13" x14ac:dyDescent="0.75">
      <c r="A23" s="13" t="s">
        <v>4</v>
      </c>
      <c r="B23" s="18">
        <v>2022</v>
      </c>
      <c r="C23" s="4">
        <v>10</v>
      </c>
      <c r="D23">
        <v>70</v>
      </c>
      <c r="E23" s="19">
        <v>51.8</v>
      </c>
      <c r="F23" s="29">
        <v>101.06</v>
      </c>
      <c r="G23" s="26">
        <v>1054.3399999999999</v>
      </c>
      <c r="H23" s="26">
        <v>455.93</v>
      </c>
      <c r="I23" s="39">
        <v>5445.2839999999997</v>
      </c>
      <c r="J23" s="40">
        <v>4.75</v>
      </c>
      <c r="K23" s="41">
        <v>15417</v>
      </c>
      <c r="L23" s="24">
        <v>93.3</v>
      </c>
      <c r="M23" s="42">
        <v>97.7</v>
      </c>
    </row>
    <row r="24" spans="1:13" x14ac:dyDescent="0.75">
      <c r="A24" s="13" t="s">
        <v>4</v>
      </c>
      <c r="B24" s="18">
        <v>2022</v>
      </c>
      <c r="C24" s="4">
        <v>11</v>
      </c>
      <c r="D24">
        <v>70</v>
      </c>
      <c r="E24" s="19">
        <v>50.3</v>
      </c>
      <c r="F24" s="29">
        <v>100.91</v>
      </c>
      <c r="G24" s="26">
        <v>1012.11</v>
      </c>
      <c r="H24" s="26">
        <v>506.19</v>
      </c>
      <c r="I24" s="39">
        <v>5413.884</v>
      </c>
      <c r="J24" s="40">
        <v>5.25</v>
      </c>
      <c r="K24" s="41">
        <v>15659</v>
      </c>
      <c r="L24" s="24">
        <v>91.4</v>
      </c>
      <c r="M24" s="42">
        <v>98</v>
      </c>
    </row>
    <row r="25" spans="1:13" x14ac:dyDescent="0.75">
      <c r="A25" s="13" t="s">
        <v>4</v>
      </c>
      <c r="B25" s="18">
        <v>2022</v>
      </c>
      <c r="C25" s="4">
        <v>12</v>
      </c>
      <c r="D25">
        <v>70</v>
      </c>
      <c r="E25" s="19">
        <v>50.9</v>
      </c>
      <c r="F25" s="29">
        <v>102.39</v>
      </c>
      <c r="G25" s="26">
        <v>826.85</v>
      </c>
      <c r="H25" s="26">
        <v>482.78</v>
      </c>
      <c r="I25" s="39">
        <v>5163.1099999999997</v>
      </c>
      <c r="J25" s="40">
        <v>5.5</v>
      </c>
      <c r="K25" s="41">
        <v>15615</v>
      </c>
      <c r="L25" s="24">
        <v>80.900000000000006</v>
      </c>
      <c r="M25" s="42">
        <v>98.7</v>
      </c>
    </row>
    <row r="26" spans="1:13" x14ac:dyDescent="0.75">
      <c r="A26" s="13" t="s">
        <v>5</v>
      </c>
      <c r="B26" s="18">
        <v>2022</v>
      </c>
      <c r="C26" s="4">
        <v>1</v>
      </c>
      <c r="D26" t="s">
        <v>58</v>
      </c>
      <c r="E26" s="19">
        <v>53.7</v>
      </c>
      <c r="F26" s="29">
        <v>96.71</v>
      </c>
      <c r="G26" s="29">
        <v>219.03</v>
      </c>
      <c r="H26" s="19">
        <v>14.11</v>
      </c>
      <c r="I26" s="24">
        <v>1072.193</v>
      </c>
      <c r="J26" s="40">
        <v>3.5</v>
      </c>
      <c r="K26" s="41">
        <v>14335</v>
      </c>
      <c r="L26" s="24">
        <v>86.5</v>
      </c>
      <c r="M26" s="42">
        <v>94</v>
      </c>
    </row>
    <row r="27" spans="1:13" x14ac:dyDescent="0.75">
      <c r="A27" s="13" t="s">
        <v>5</v>
      </c>
      <c r="B27" s="18">
        <v>2022</v>
      </c>
      <c r="C27" s="4">
        <v>2</v>
      </c>
      <c r="D27" t="s">
        <v>58</v>
      </c>
      <c r="E27" s="19">
        <v>51.2</v>
      </c>
      <c r="F27" s="29">
        <v>96.66</v>
      </c>
      <c r="G27" s="29">
        <v>250.99</v>
      </c>
      <c r="H27" s="19">
        <v>3.98</v>
      </c>
      <c r="I27" s="24">
        <v>1109.8330000000001</v>
      </c>
      <c r="J27" s="40">
        <v>3.5</v>
      </c>
      <c r="K27" s="41">
        <v>14351</v>
      </c>
      <c r="L27" s="24">
        <v>97.1</v>
      </c>
      <c r="M27" s="42">
        <v>94</v>
      </c>
    </row>
    <row r="28" spans="1:13" x14ac:dyDescent="0.75">
      <c r="A28" s="13" t="s">
        <v>5</v>
      </c>
      <c r="B28" s="18">
        <v>2022</v>
      </c>
      <c r="C28" s="4">
        <v>3</v>
      </c>
      <c r="D28" t="s">
        <v>58</v>
      </c>
      <c r="E28" s="19">
        <v>51.3</v>
      </c>
      <c r="F28" s="29">
        <v>97.47</v>
      </c>
      <c r="G28" s="29">
        <v>249.35</v>
      </c>
      <c r="H28" s="19">
        <v>8.1199999999999992</v>
      </c>
      <c r="I28" s="24">
        <v>1096.5</v>
      </c>
      <c r="J28" s="40">
        <v>3.5</v>
      </c>
      <c r="K28" s="41">
        <v>14349</v>
      </c>
      <c r="L28" s="24">
        <v>117.2</v>
      </c>
      <c r="M28" s="42">
        <v>94.7</v>
      </c>
    </row>
    <row r="29" spans="1:13" x14ac:dyDescent="0.75">
      <c r="A29" s="13" t="s">
        <v>5</v>
      </c>
      <c r="B29" s="18">
        <v>2022</v>
      </c>
      <c r="C29" s="4">
        <v>4</v>
      </c>
      <c r="D29" t="s">
        <v>58</v>
      </c>
      <c r="E29" s="19">
        <v>51.9</v>
      </c>
      <c r="F29" s="29">
        <v>98.32</v>
      </c>
      <c r="G29" s="29">
        <v>323.58</v>
      </c>
      <c r="H29" s="19">
        <v>37.75</v>
      </c>
      <c r="I29" s="24">
        <v>1180.9559999999999</v>
      </c>
      <c r="J29" s="40">
        <v>3.5</v>
      </c>
      <c r="K29" s="41">
        <v>14369</v>
      </c>
      <c r="L29" s="24">
        <v>104.6</v>
      </c>
      <c r="M29" s="42">
        <v>95.6</v>
      </c>
    </row>
    <row r="30" spans="1:13" x14ac:dyDescent="0.75">
      <c r="A30" s="13" t="s">
        <v>5</v>
      </c>
      <c r="B30" s="18">
        <v>2022</v>
      </c>
      <c r="C30" s="4">
        <v>5</v>
      </c>
      <c r="D30" t="s">
        <v>58</v>
      </c>
      <c r="E30" s="19">
        <v>50.8</v>
      </c>
      <c r="F30" s="29">
        <v>99.36</v>
      </c>
      <c r="G30" s="29">
        <v>60.2</v>
      </c>
      <c r="H30" s="19">
        <v>59.75</v>
      </c>
      <c r="I30" s="24">
        <v>1240.6479999999999</v>
      </c>
      <c r="J30" s="40">
        <v>3.5</v>
      </c>
      <c r="K30" s="41">
        <v>14608</v>
      </c>
      <c r="L30" s="24">
        <v>113.3</v>
      </c>
      <c r="M30" s="42">
        <v>95.9</v>
      </c>
    </row>
    <row r="31" spans="1:13" x14ac:dyDescent="0.75">
      <c r="A31" s="13" t="s">
        <v>5</v>
      </c>
      <c r="B31" s="18">
        <v>2022</v>
      </c>
      <c r="C31" s="4">
        <v>6</v>
      </c>
      <c r="D31" t="s">
        <v>58</v>
      </c>
      <c r="E31" s="19">
        <v>50.2</v>
      </c>
      <c r="F31" s="29">
        <v>100.78</v>
      </c>
      <c r="G31" s="29">
        <v>281.35000000000002</v>
      </c>
      <c r="H31" s="19">
        <v>89.32</v>
      </c>
      <c r="I31" s="24">
        <v>1171.0129999999999</v>
      </c>
      <c r="J31" s="40">
        <v>3.5</v>
      </c>
      <c r="K31" s="41">
        <v>14689</v>
      </c>
      <c r="L31" s="24">
        <v>122.7</v>
      </c>
      <c r="M31" s="42">
        <v>96.6</v>
      </c>
    </row>
    <row r="32" spans="1:13" x14ac:dyDescent="0.75">
      <c r="A32" s="13" t="s">
        <v>5</v>
      </c>
      <c r="B32" s="18">
        <v>2022</v>
      </c>
      <c r="C32" s="4">
        <v>7</v>
      </c>
      <c r="D32">
        <v>35</v>
      </c>
      <c r="E32" s="19">
        <v>51.3</v>
      </c>
      <c r="F32" s="29">
        <v>101.86</v>
      </c>
      <c r="G32" s="29">
        <v>55.47</v>
      </c>
      <c r="H32" s="19">
        <v>305.49</v>
      </c>
      <c r="I32" s="24">
        <v>1202.527</v>
      </c>
      <c r="J32" s="40">
        <v>3.5</v>
      </c>
      <c r="K32" s="41">
        <v>14984</v>
      </c>
      <c r="L32" s="24">
        <v>111.9</v>
      </c>
      <c r="M32" s="42">
        <v>97</v>
      </c>
    </row>
    <row r="33" spans="1:13" x14ac:dyDescent="0.75">
      <c r="A33" s="13" t="s">
        <v>5</v>
      </c>
      <c r="B33" s="18">
        <v>2022</v>
      </c>
      <c r="C33" s="4">
        <v>8</v>
      </c>
      <c r="D33" t="s">
        <v>58</v>
      </c>
      <c r="E33" s="19">
        <v>51.7</v>
      </c>
      <c r="F33" s="29">
        <v>100.73</v>
      </c>
      <c r="G33" s="29">
        <v>331.19</v>
      </c>
      <c r="H33" s="19">
        <v>58.8</v>
      </c>
      <c r="I33" s="24">
        <v>1191.471</v>
      </c>
      <c r="J33" s="40">
        <v>3.75</v>
      </c>
      <c r="K33" s="41">
        <v>14851</v>
      </c>
      <c r="L33" s="24">
        <v>100.4</v>
      </c>
      <c r="M33" s="42">
        <v>96.9</v>
      </c>
    </row>
    <row r="34" spans="1:13" x14ac:dyDescent="0.75">
      <c r="A34" s="13" t="s">
        <v>5</v>
      </c>
      <c r="B34" s="18">
        <v>2022</v>
      </c>
      <c r="C34" s="4">
        <v>9</v>
      </c>
      <c r="D34">
        <v>35</v>
      </c>
      <c r="E34" s="19">
        <v>53.7</v>
      </c>
      <c r="F34" s="29">
        <v>102.33</v>
      </c>
      <c r="G34" s="29">
        <v>196.12</v>
      </c>
      <c r="H34" s="19">
        <v>37.880000000000003</v>
      </c>
      <c r="I34" s="24">
        <v>1152.2570000000001</v>
      </c>
      <c r="J34" s="40">
        <v>4.25</v>
      </c>
      <c r="K34" s="41">
        <v>14972</v>
      </c>
      <c r="L34" s="24">
        <v>89.8</v>
      </c>
      <c r="M34" s="42">
        <v>97.7</v>
      </c>
    </row>
    <row r="35" spans="1:13" x14ac:dyDescent="0.75">
      <c r="A35" s="13" t="s">
        <v>5</v>
      </c>
      <c r="B35" s="18">
        <v>2022</v>
      </c>
      <c r="C35" s="4">
        <v>10</v>
      </c>
      <c r="D35">
        <v>35</v>
      </c>
      <c r="E35" s="19">
        <v>51.8</v>
      </c>
      <c r="F35" s="29">
        <v>101.83</v>
      </c>
      <c r="G35" s="29">
        <v>274.72000000000003</v>
      </c>
      <c r="H35" s="19">
        <v>51.59</v>
      </c>
      <c r="I35" s="24">
        <v>1158.6120000000001</v>
      </c>
      <c r="J35" s="40">
        <v>4.75</v>
      </c>
      <c r="K35" s="41">
        <v>15417</v>
      </c>
      <c r="L35" s="24">
        <v>93.3</v>
      </c>
      <c r="M35" s="42">
        <v>97.7</v>
      </c>
    </row>
    <row r="36" spans="1:13" x14ac:dyDescent="0.75">
      <c r="A36" s="13" t="s">
        <v>5</v>
      </c>
      <c r="B36" s="18">
        <v>2022</v>
      </c>
      <c r="C36" s="4">
        <v>11</v>
      </c>
      <c r="D36">
        <v>35</v>
      </c>
      <c r="E36" s="19">
        <v>50.3</v>
      </c>
      <c r="F36" s="29">
        <v>101.66</v>
      </c>
      <c r="G36" s="29">
        <v>181.31</v>
      </c>
      <c r="H36" s="19">
        <v>23.28</v>
      </c>
      <c r="I36" s="24">
        <v>1122.6400000000001</v>
      </c>
      <c r="J36" s="40">
        <v>5.25</v>
      </c>
      <c r="K36" s="41">
        <v>15659</v>
      </c>
      <c r="L36" s="24">
        <v>91.4</v>
      </c>
      <c r="M36" s="42">
        <v>98</v>
      </c>
    </row>
    <row r="37" spans="1:13" x14ac:dyDescent="0.75">
      <c r="A37" s="26" t="s">
        <v>5</v>
      </c>
      <c r="B37" s="18">
        <v>2022</v>
      </c>
      <c r="C37" s="4">
        <v>12</v>
      </c>
      <c r="D37">
        <v>35</v>
      </c>
      <c r="E37" s="19">
        <v>50.9</v>
      </c>
      <c r="F37" s="29">
        <v>102.28</v>
      </c>
      <c r="G37" s="29">
        <v>194.49</v>
      </c>
      <c r="H37" s="19">
        <v>20.23</v>
      </c>
      <c r="I37" s="24">
        <v>1065.55</v>
      </c>
      <c r="J37" s="40">
        <v>5.5</v>
      </c>
      <c r="K37" s="41">
        <v>15615</v>
      </c>
      <c r="L37" s="24">
        <v>80.900000000000006</v>
      </c>
      <c r="M37" s="42">
        <v>98.7</v>
      </c>
    </row>
    <row r="38" spans="1:13" x14ac:dyDescent="0.75">
      <c r="A38" s="26" t="s">
        <v>6</v>
      </c>
      <c r="B38" s="18">
        <v>2022</v>
      </c>
      <c r="C38" s="4">
        <v>1</v>
      </c>
      <c r="D38" t="s">
        <v>58</v>
      </c>
      <c r="E38" s="19">
        <v>53.7</v>
      </c>
      <c r="F38" s="26">
        <v>96.85</v>
      </c>
      <c r="G38" s="29">
        <v>1734.23</v>
      </c>
      <c r="H38" s="19">
        <v>224.08</v>
      </c>
      <c r="I38" s="39">
        <v>1737.7260000000001</v>
      </c>
      <c r="J38" s="40">
        <v>3.5</v>
      </c>
      <c r="K38" s="41">
        <v>14335</v>
      </c>
      <c r="L38" s="24">
        <v>86.5</v>
      </c>
      <c r="M38" s="42">
        <v>94</v>
      </c>
    </row>
    <row r="39" spans="1:13" x14ac:dyDescent="0.75">
      <c r="A39" s="26" t="s">
        <v>6</v>
      </c>
      <c r="B39" s="18">
        <v>2022</v>
      </c>
      <c r="C39" s="4">
        <v>2</v>
      </c>
      <c r="D39" t="s">
        <v>58</v>
      </c>
      <c r="E39" s="19">
        <v>51.2</v>
      </c>
      <c r="F39" s="26">
        <v>97.06</v>
      </c>
      <c r="G39" s="29">
        <v>1643.04</v>
      </c>
      <c r="H39" s="19">
        <v>176.91</v>
      </c>
      <c r="I39" s="39">
        <v>1760.009</v>
      </c>
      <c r="J39" s="40">
        <v>3.5</v>
      </c>
      <c r="K39" s="41">
        <v>14351</v>
      </c>
      <c r="L39" s="24">
        <v>97.1</v>
      </c>
      <c r="M39" s="42">
        <v>94</v>
      </c>
    </row>
    <row r="40" spans="1:13" x14ac:dyDescent="0.75">
      <c r="A40" s="20" t="s">
        <v>6</v>
      </c>
      <c r="B40" s="18">
        <v>2022</v>
      </c>
      <c r="C40" s="4">
        <v>3</v>
      </c>
      <c r="D40" t="s">
        <v>58</v>
      </c>
      <c r="E40" s="19">
        <v>51.3</v>
      </c>
      <c r="F40" s="26">
        <v>97.73</v>
      </c>
      <c r="G40" s="29">
        <v>1966.32</v>
      </c>
      <c r="H40" s="19">
        <v>295.77999999999997</v>
      </c>
      <c r="I40" s="39">
        <v>1744.739</v>
      </c>
      <c r="J40" s="40">
        <v>3.5</v>
      </c>
      <c r="K40" s="41">
        <v>14349</v>
      </c>
      <c r="L40" s="24">
        <v>117.2</v>
      </c>
      <c r="M40" s="42">
        <v>94.7</v>
      </c>
    </row>
    <row r="41" spans="1:13" x14ac:dyDescent="0.75">
      <c r="A41" s="20" t="s">
        <v>6</v>
      </c>
      <c r="B41" s="18">
        <v>2022</v>
      </c>
      <c r="C41" s="4">
        <v>4</v>
      </c>
      <c r="D41" t="s">
        <v>58</v>
      </c>
      <c r="E41" s="19">
        <v>51.9</v>
      </c>
      <c r="F41" s="26">
        <v>98.24</v>
      </c>
      <c r="G41" s="29">
        <v>2116.6999999999998</v>
      </c>
      <c r="H41" s="19">
        <v>239.05</v>
      </c>
      <c r="I41" s="39">
        <v>1765.329</v>
      </c>
      <c r="J41" s="40">
        <v>3.5</v>
      </c>
      <c r="K41" s="41">
        <v>14369</v>
      </c>
      <c r="L41" s="24">
        <v>104.6</v>
      </c>
      <c r="M41" s="42">
        <v>95.6</v>
      </c>
    </row>
    <row r="42" spans="1:13" x14ac:dyDescent="0.75">
      <c r="A42" s="20" t="s">
        <v>6</v>
      </c>
      <c r="B42" s="18">
        <v>2022</v>
      </c>
      <c r="C42" s="4">
        <v>5</v>
      </c>
      <c r="D42" t="s">
        <v>58</v>
      </c>
      <c r="E42" s="19">
        <v>50.8</v>
      </c>
      <c r="F42" s="26">
        <v>99.32</v>
      </c>
      <c r="G42" s="29">
        <v>1033.21</v>
      </c>
      <c r="H42" s="19">
        <v>191.47</v>
      </c>
      <c r="I42" s="39">
        <v>1865.8789999999999</v>
      </c>
      <c r="J42" s="40">
        <v>3.5</v>
      </c>
      <c r="K42" s="41">
        <v>14608</v>
      </c>
      <c r="L42" s="24">
        <v>113.3</v>
      </c>
      <c r="M42" s="42">
        <v>95.9</v>
      </c>
    </row>
    <row r="43" spans="1:13" x14ac:dyDescent="0.75">
      <c r="A43" s="20" t="s">
        <v>6</v>
      </c>
      <c r="B43" s="18">
        <v>2022</v>
      </c>
      <c r="C43" s="4">
        <v>6</v>
      </c>
      <c r="D43" t="s">
        <v>58</v>
      </c>
      <c r="E43" s="19">
        <v>50.2</v>
      </c>
      <c r="F43" s="26">
        <v>100.75</v>
      </c>
      <c r="G43" s="29">
        <v>2026.35</v>
      </c>
      <c r="H43" s="19">
        <v>277.19</v>
      </c>
      <c r="I43" s="39">
        <v>1847.9880000000001</v>
      </c>
      <c r="J43" s="40">
        <v>3.5</v>
      </c>
      <c r="K43" s="41">
        <v>14689</v>
      </c>
      <c r="L43" s="24">
        <v>122.7</v>
      </c>
      <c r="M43" s="42">
        <v>96.6</v>
      </c>
    </row>
    <row r="44" spans="1:13" x14ac:dyDescent="0.75">
      <c r="A44" s="20" t="s">
        <v>6</v>
      </c>
      <c r="B44" s="18">
        <v>2022</v>
      </c>
      <c r="C44" s="4">
        <v>7</v>
      </c>
      <c r="D44">
        <v>64</v>
      </c>
      <c r="E44" s="19">
        <v>51.3</v>
      </c>
      <c r="F44" s="26">
        <v>101.92</v>
      </c>
      <c r="G44" s="29">
        <v>225.54</v>
      </c>
      <c r="H44" s="19">
        <v>2144.75</v>
      </c>
      <c r="I44" s="39">
        <v>1994.5640000000001</v>
      </c>
      <c r="J44" s="40">
        <v>3.5</v>
      </c>
      <c r="K44" s="41">
        <v>14984</v>
      </c>
      <c r="L44" s="24">
        <v>111.9</v>
      </c>
      <c r="M44" s="42">
        <v>97</v>
      </c>
    </row>
    <row r="45" spans="1:13" x14ac:dyDescent="0.75">
      <c r="A45" s="20" t="s">
        <v>6</v>
      </c>
      <c r="B45" s="18">
        <v>2022</v>
      </c>
      <c r="C45" s="4">
        <v>8</v>
      </c>
      <c r="D45" t="s">
        <v>58</v>
      </c>
      <c r="E45" s="19">
        <v>51.7</v>
      </c>
      <c r="F45" s="26">
        <v>100.45</v>
      </c>
      <c r="G45" s="29">
        <v>2476.4</v>
      </c>
      <c r="H45" s="19">
        <v>184.47</v>
      </c>
      <c r="I45" s="39">
        <v>1756.636</v>
      </c>
      <c r="J45" s="40">
        <v>3.75</v>
      </c>
      <c r="K45" s="41">
        <v>14851</v>
      </c>
      <c r="L45" s="24">
        <v>100.4</v>
      </c>
      <c r="M45" s="42">
        <v>96.9</v>
      </c>
    </row>
    <row r="46" spans="1:13" x14ac:dyDescent="0.75">
      <c r="A46" s="20" t="s">
        <v>6</v>
      </c>
      <c r="B46" s="18">
        <v>2022</v>
      </c>
      <c r="C46" s="4">
        <v>9</v>
      </c>
      <c r="D46">
        <v>64</v>
      </c>
      <c r="E46" s="19">
        <v>53.7</v>
      </c>
      <c r="F46" s="26">
        <v>101.89</v>
      </c>
      <c r="G46" s="29">
        <v>1829.76</v>
      </c>
      <c r="H46" s="19">
        <v>272.08999999999997</v>
      </c>
      <c r="I46" s="39">
        <v>1766.268</v>
      </c>
      <c r="J46" s="40">
        <v>4.25</v>
      </c>
      <c r="K46" s="41">
        <v>14972</v>
      </c>
      <c r="L46" s="24">
        <v>89.8</v>
      </c>
      <c r="M46" s="42">
        <v>97.7</v>
      </c>
    </row>
    <row r="47" spans="1:13" x14ac:dyDescent="0.75">
      <c r="A47" s="20" t="s">
        <v>6</v>
      </c>
      <c r="B47" s="18">
        <v>2022</v>
      </c>
      <c r="C47" s="4">
        <v>10</v>
      </c>
      <c r="D47">
        <v>774</v>
      </c>
      <c r="E47" s="19">
        <v>51.8</v>
      </c>
      <c r="F47" s="26">
        <v>101.52</v>
      </c>
      <c r="G47" s="29">
        <v>2015.64</v>
      </c>
      <c r="H47" s="19">
        <v>299.93</v>
      </c>
      <c r="I47" s="39">
        <v>1808.038</v>
      </c>
      <c r="J47" s="40">
        <v>4.75</v>
      </c>
      <c r="K47" s="41">
        <v>15417</v>
      </c>
      <c r="L47" s="24">
        <v>93.3</v>
      </c>
      <c r="M47" s="42">
        <v>97.7</v>
      </c>
    </row>
    <row r="48" spans="1:13" x14ac:dyDescent="0.75">
      <c r="A48" t="s">
        <v>6</v>
      </c>
      <c r="B48" s="18">
        <v>2022</v>
      </c>
      <c r="C48" s="4">
        <v>11</v>
      </c>
      <c r="D48">
        <v>774</v>
      </c>
      <c r="E48" s="19">
        <v>50.3</v>
      </c>
      <c r="F48" s="26">
        <v>101.55</v>
      </c>
      <c r="G48" s="29">
        <v>1807.3</v>
      </c>
      <c r="H48" s="19">
        <v>244.65</v>
      </c>
      <c r="I48" s="39">
        <v>1836.34</v>
      </c>
      <c r="J48" s="40">
        <v>5.25</v>
      </c>
      <c r="K48" s="41">
        <v>15659</v>
      </c>
      <c r="L48" s="24">
        <v>91.4</v>
      </c>
      <c r="M48" s="42">
        <v>98</v>
      </c>
    </row>
    <row r="49" spans="1:13" x14ac:dyDescent="0.75">
      <c r="A49" s="20" t="s">
        <v>6</v>
      </c>
      <c r="B49" s="18">
        <v>2022</v>
      </c>
      <c r="C49" s="4">
        <v>12</v>
      </c>
      <c r="D49">
        <v>916</v>
      </c>
      <c r="E49" s="19">
        <v>50.9</v>
      </c>
      <c r="F49" s="26">
        <v>102.7</v>
      </c>
      <c r="G49" s="29">
        <v>1816.41</v>
      </c>
      <c r="H49" s="19">
        <v>349.02</v>
      </c>
      <c r="I49" s="39">
        <v>1658.04</v>
      </c>
      <c r="J49" s="40">
        <v>5.5</v>
      </c>
      <c r="K49" s="41">
        <v>15615</v>
      </c>
      <c r="L49" s="24">
        <v>80.900000000000006</v>
      </c>
      <c r="M49" s="42">
        <v>98.7</v>
      </c>
    </row>
    <row r="50" spans="1:13" x14ac:dyDescent="0.75">
      <c r="A50" s="20" t="s">
        <v>7</v>
      </c>
      <c r="B50" s="18">
        <v>2022</v>
      </c>
      <c r="C50" s="4">
        <v>1</v>
      </c>
      <c r="D50" t="s">
        <v>58</v>
      </c>
      <c r="E50" s="19">
        <v>53.7</v>
      </c>
      <c r="F50" s="29">
        <v>96.92</v>
      </c>
      <c r="G50" s="26">
        <v>186.85</v>
      </c>
      <c r="H50" s="29">
        <v>1.77</v>
      </c>
      <c r="I50" s="39">
        <v>837.20799999999997</v>
      </c>
      <c r="J50" s="40">
        <v>3.5</v>
      </c>
      <c r="K50" s="41">
        <v>14335</v>
      </c>
      <c r="L50" s="24">
        <v>86.5</v>
      </c>
      <c r="M50" s="42">
        <v>94</v>
      </c>
    </row>
    <row r="51" spans="1:13" x14ac:dyDescent="0.75">
      <c r="A51" s="20" t="s">
        <v>7</v>
      </c>
      <c r="B51" s="18">
        <v>2022</v>
      </c>
      <c r="C51" s="4">
        <v>2</v>
      </c>
      <c r="D51" t="s">
        <v>58</v>
      </c>
      <c r="E51" s="19">
        <v>51.2</v>
      </c>
      <c r="F51" s="29">
        <v>96.34</v>
      </c>
      <c r="G51" s="26">
        <v>174.03</v>
      </c>
      <c r="H51" s="29">
        <v>2.96</v>
      </c>
      <c r="I51" s="39">
        <v>863.91700000000003</v>
      </c>
      <c r="J51" s="40">
        <v>3.5</v>
      </c>
      <c r="K51" s="41">
        <v>14351</v>
      </c>
      <c r="L51" s="24">
        <v>97.1</v>
      </c>
      <c r="M51" s="42">
        <v>94</v>
      </c>
    </row>
    <row r="52" spans="1:13" x14ac:dyDescent="0.75">
      <c r="A52" s="20" t="s">
        <v>7</v>
      </c>
      <c r="B52" s="18">
        <v>2022</v>
      </c>
      <c r="C52" s="4">
        <v>3</v>
      </c>
      <c r="D52" t="s">
        <v>58</v>
      </c>
      <c r="E52" s="19">
        <v>51.3</v>
      </c>
      <c r="F52" s="29">
        <v>97.51</v>
      </c>
      <c r="G52" s="26">
        <v>275.58</v>
      </c>
      <c r="H52" s="29">
        <v>5.79</v>
      </c>
      <c r="I52" s="39">
        <v>819.11300000000006</v>
      </c>
      <c r="J52" s="40">
        <v>3.5</v>
      </c>
      <c r="K52" s="41">
        <v>14349</v>
      </c>
      <c r="L52" s="24">
        <v>117.2</v>
      </c>
      <c r="M52" s="42">
        <v>94.7</v>
      </c>
    </row>
    <row r="53" spans="1:13" x14ac:dyDescent="0.75">
      <c r="A53" s="20" t="s">
        <v>7</v>
      </c>
      <c r="B53" s="18">
        <v>2022</v>
      </c>
      <c r="C53" s="4">
        <v>4</v>
      </c>
      <c r="D53" t="s">
        <v>58</v>
      </c>
      <c r="E53" s="19">
        <v>51.9</v>
      </c>
      <c r="F53" s="29">
        <v>98.76</v>
      </c>
      <c r="G53" s="26">
        <v>233.52</v>
      </c>
      <c r="H53" s="29">
        <v>2.31</v>
      </c>
      <c r="I53" s="39">
        <v>861.34799999999996</v>
      </c>
      <c r="J53" s="40">
        <v>3.5</v>
      </c>
      <c r="K53" s="41">
        <v>14369</v>
      </c>
      <c r="L53" s="24">
        <v>104.6</v>
      </c>
      <c r="M53" s="42">
        <v>95.6</v>
      </c>
    </row>
    <row r="54" spans="1:13" x14ac:dyDescent="0.75">
      <c r="A54" s="20" t="s">
        <v>7</v>
      </c>
      <c r="B54" s="18">
        <v>2022</v>
      </c>
      <c r="C54" s="4">
        <v>5</v>
      </c>
      <c r="D54" t="s">
        <v>58</v>
      </c>
      <c r="E54" s="19">
        <v>50.8</v>
      </c>
      <c r="F54" s="29">
        <v>99.63</v>
      </c>
      <c r="G54" s="26">
        <v>255.46</v>
      </c>
      <c r="H54" s="29">
        <v>1.26</v>
      </c>
      <c r="I54" s="39">
        <v>930.43700000000001</v>
      </c>
      <c r="J54" s="40">
        <v>3.5</v>
      </c>
      <c r="K54" s="41">
        <v>14608</v>
      </c>
      <c r="L54" s="24">
        <v>113.3</v>
      </c>
      <c r="M54" s="42">
        <v>95.9</v>
      </c>
    </row>
    <row r="55" spans="1:13" x14ac:dyDescent="0.75">
      <c r="A55" s="20" t="s">
        <v>7</v>
      </c>
      <c r="B55" s="18">
        <v>2022</v>
      </c>
      <c r="C55" s="4">
        <v>6</v>
      </c>
      <c r="D55" t="s">
        <v>58</v>
      </c>
      <c r="E55" s="19">
        <v>50.2</v>
      </c>
      <c r="F55" s="29">
        <v>100.85</v>
      </c>
      <c r="G55" s="26">
        <v>308.45</v>
      </c>
      <c r="H55" s="29">
        <v>3.57</v>
      </c>
      <c r="I55" s="39">
        <v>925.28099999999995</v>
      </c>
      <c r="J55" s="40">
        <v>3.5</v>
      </c>
      <c r="K55" s="41">
        <v>14689</v>
      </c>
      <c r="L55" s="24">
        <v>122.7</v>
      </c>
      <c r="M55" s="42">
        <v>96.6</v>
      </c>
    </row>
    <row r="56" spans="1:13" x14ac:dyDescent="0.75">
      <c r="A56" s="20" t="s">
        <v>7</v>
      </c>
      <c r="B56" s="18">
        <v>2022</v>
      </c>
      <c r="C56" s="4">
        <v>7</v>
      </c>
      <c r="D56">
        <v>92</v>
      </c>
      <c r="E56" s="19">
        <v>51.3</v>
      </c>
      <c r="F56" s="29">
        <v>101.92</v>
      </c>
      <c r="G56" s="26">
        <v>2.0699999999999998</v>
      </c>
      <c r="H56" s="29">
        <v>274.16000000000003</v>
      </c>
      <c r="I56" s="39">
        <v>944.88199999999995</v>
      </c>
      <c r="J56" s="40">
        <v>3.5</v>
      </c>
      <c r="K56" s="41">
        <v>14984</v>
      </c>
      <c r="L56" s="24">
        <v>111.9</v>
      </c>
      <c r="M56" s="42">
        <v>97</v>
      </c>
    </row>
    <row r="57" spans="1:13" x14ac:dyDescent="0.75">
      <c r="A57" s="20" t="s">
        <v>7</v>
      </c>
      <c r="B57" s="18">
        <v>2022</v>
      </c>
      <c r="C57" s="4">
        <v>8</v>
      </c>
      <c r="D57" t="s">
        <v>58</v>
      </c>
      <c r="E57" s="19">
        <v>51.7</v>
      </c>
      <c r="F57" s="29">
        <v>100.8</v>
      </c>
      <c r="G57" s="26">
        <v>312.45999999999998</v>
      </c>
      <c r="H57" s="29">
        <v>3.32</v>
      </c>
      <c r="I57" s="39">
        <v>946.87699999999995</v>
      </c>
      <c r="J57" s="40">
        <v>3.75</v>
      </c>
      <c r="K57" s="41">
        <v>14851</v>
      </c>
      <c r="L57" s="24">
        <v>100.4</v>
      </c>
      <c r="M57" s="42">
        <v>96.9</v>
      </c>
    </row>
    <row r="58" spans="1:13" x14ac:dyDescent="0.75">
      <c r="A58" s="20" t="s">
        <v>7</v>
      </c>
      <c r="B58" s="18">
        <v>2022</v>
      </c>
      <c r="C58" s="4">
        <v>9</v>
      </c>
      <c r="D58">
        <v>92</v>
      </c>
      <c r="E58" s="19">
        <v>53.7</v>
      </c>
      <c r="F58" s="29">
        <v>101.93</v>
      </c>
      <c r="G58" s="26">
        <v>264.75</v>
      </c>
      <c r="H58" s="29">
        <v>4.4400000000000004</v>
      </c>
      <c r="I58" s="39">
        <v>925.27099999999996</v>
      </c>
      <c r="J58" s="40">
        <v>4.25</v>
      </c>
      <c r="K58" s="41">
        <v>14972</v>
      </c>
      <c r="L58" s="24">
        <v>89.8</v>
      </c>
      <c r="M58" s="42">
        <v>97.7</v>
      </c>
    </row>
    <row r="59" spans="1:13" x14ac:dyDescent="0.75">
      <c r="A59" s="20" t="s">
        <v>7</v>
      </c>
      <c r="B59" s="18">
        <v>2022</v>
      </c>
      <c r="C59" s="4">
        <v>10</v>
      </c>
      <c r="D59">
        <v>92</v>
      </c>
      <c r="E59" s="19">
        <v>51.8</v>
      </c>
      <c r="F59" s="29">
        <v>101.79</v>
      </c>
      <c r="G59" s="26">
        <v>229.1</v>
      </c>
      <c r="H59" s="29">
        <v>2.19</v>
      </c>
      <c r="I59" s="39">
        <v>964.62900000000002</v>
      </c>
      <c r="J59" s="40">
        <v>4.75</v>
      </c>
      <c r="K59" s="41">
        <v>15417</v>
      </c>
      <c r="L59" s="24">
        <v>93.3</v>
      </c>
      <c r="M59" s="42">
        <v>97.7</v>
      </c>
    </row>
    <row r="60" spans="1:13" x14ac:dyDescent="0.75">
      <c r="A60" s="20" t="s">
        <v>7</v>
      </c>
      <c r="B60" s="18">
        <v>2022</v>
      </c>
      <c r="C60" s="4">
        <v>11</v>
      </c>
      <c r="D60">
        <v>92</v>
      </c>
      <c r="E60" s="19">
        <v>50.3</v>
      </c>
      <c r="F60" s="29">
        <v>101.46</v>
      </c>
      <c r="G60" s="26">
        <v>218.54</v>
      </c>
      <c r="H60" s="35">
        <v>3.87</v>
      </c>
      <c r="I60" s="39">
        <v>972.71900000000005</v>
      </c>
      <c r="J60" s="40">
        <v>5.25</v>
      </c>
      <c r="K60" s="41">
        <v>15659</v>
      </c>
      <c r="L60" s="24">
        <v>91.4</v>
      </c>
      <c r="M60" s="42">
        <v>98</v>
      </c>
    </row>
    <row r="61" spans="1:13" x14ac:dyDescent="0.75">
      <c r="A61" s="20" t="s">
        <v>7</v>
      </c>
      <c r="B61" s="18">
        <v>2022</v>
      </c>
      <c r="C61" s="4">
        <v>12</v>
      </c>
      <c r="D61">
        <v>92</v>
      </c>
      <c r="E61" s="19">
        <v>50.9</v>
      </c>
      <c r="F61" s="29">
        <v>102.07</v>
      </c>
      <c r="G61" s="26">
        <v>258.60000000000002</v>
      </c>
      <c r="H61" s="29">
        <v>4.47</v>
      </c>
      <c r="I61" s="39">
        <v>893.22400000000005</v>
      </c>
      <c r="J61" s="40">
        <v>5.5</v>
      </c>
      <c r="K61" s="41">
        <v>15615</v>
      </c>
      <c r="L61" s="24">
        <v>80.900000000000006</v>
      </c>
      <c r="M61" s="42">
        <v>98.7</v>
      </c>
    </row>
    <row r="62" spans="1:13" x14ac:dyDescent="0.75">
      <c r="A62" s="20" t="s">
        <v>8</v>
      </c>
      <c r="B62" s="18">
        <v>2022</v>
      </c>
      <c r="C62" s="4">
        <v>1</v>
      </c>
      <c r="D62" t="s">
        <v>58</v>
      </c>
      <c r="E62" s="19">
        <v>53.7</v>
      </c>
      <c r="F62" s="29"/>
      <c r="G62" s="19">
        <v>355.12</v>
      </c>
      <c r="H62" s="19">
        <v>84.07</v>
      </c>
      <c r="I62" s="39">
        <v>2753.7339999999999</v>
      </c>
      <c r="J62" s="40">
        <v>3.5</v>
      </c>
      <c r="K62" s="41">
        <v>14335</v>
      </c>
      <c r="L62" s="24">
        <v>86.5</v>
      </c>
      <c r="M62" s="42">
        <v>94</v>
      </c>
    </row>
    <row r="63" spans="1:13" x14ac:dyDescent="0.75">
      <c r="A63" s="20" t="s">
        <v>8</v>
      </c>
      <c r="B63" s="18">
        <v>2022</v>
      </c>
      <c r="C63" s="4">
        <v>2</v>
      </c>
      <c r="D63" t="s">
        <v>58</v>
      </c>
      <c r="E63" s="19">
        <v>51.2</v>
      </c>
      <c r="F63" s="29"/>
      <c r="G63" s="19">
        <v>438.11</v>
      </c>
      <c r="H63" s="19">
        <v>61.2</v>
      </c>
      <c r="I63" s="39">
        <v>2840.7959999999998</v>
      </c>
      <c r="J63" s="40">
        <v>3.5</v>
      </c>
      <c r="K63" s="41">
        <v>14351</v>
      </c>
      <c r="L63" s="24">
        <v>97.1</v>
      </c>
      <c r="M63" s="42">
        <v>94</v>
      </c>
    </row>
    <row r="64" spans="1:13" x14ac:dyDescent="0.75">
      <c r="A64" s="20" t="s">
        <v>8</v>
      </c>
      <c r="B64" s="18">
        <v>2022</v>
      </c>
      <c r="C64" s="4">
        <v>3</v>
      </c>
      <c r="D64" t="s">
        <v>58</v>
      </c>
      <c r="E64" s="19">
        <v>51.3</v>
      </c>
      <c r="F64" s="29"/>
      <c r="G64" s="19">
        <v>644.52</v>
      </c>
      <c r="H64" s="19">
        <v>89.62</v>
      </c>
      <c r="I64" s="39">
        <v>2776.4279999999999</v>
      </c>
      <c r="J64" s="40">
        <v>3.5</v>
      </c>
      <c r="K64" s="41">
        <v>14349</v>
      </c>
      <c r="L64" s="24">
        <v>117.2</v>
      </c>
      <c r="M64" s="42">
        <v>94.7</v>
      </c>
    </row>
    <row r="65" spans="1:13" x14ac:dyDescent="0.75">
      <c r="A65" s="20" t="s">
        <v>8</v>
      </c>
      <c r="B65" s="18">
        <v>2022</v>
      </c>
      <c r="C65" s="4">
        <v>4</v>
      </c>
      <c r="D65" t="s">
        <v>58</v>
      </c>
      <c r="E65" s="19">
        <v>51.9</v>
      </c>
      <c r="F65" s="29"/>
      <c r="G65" s="19">
        <v>699.04</v>
      </c>
      <c r="H65" s="19">
        <v>77.650000000000006</v>
      </c>
      <c r="I65" s="39">
        <v>2905.1080000000002</v>
      </c>
      <c r="J65" s="40">
        <v>3.5</v>
      </c>
      <c r="K65" s="41">
        <v>14369</v>
      </c>
      <c r="L65" s="24">
        <v>104.6</v>
      </c>
      <c r="M65" s="42">
        <v>95.6</v>
      </c>
    </row>
    <row r="66" spans="1:13" x14ac:dyDescent="0.75">
      <c r="A66" s="20" t="s">
        <v>8</v>
      </c>
      <c r="B66" s="18">
        <v>2022</v>
      </c>
      <c r="C66" s="4">
        <v>5</v>
      </c>
      <c r="D66" t="s">
        <v>58</v>
      </c>
      <c r="E66" s="19">
        <v>50.8</v>
      </c>
      <c r="F66" s="29"/>
      <c r="G66" s="19">
        <v>618.91999999999996</v>
      </c>
      <c r="H66" s="19">
        <v>66.290000000000006</v>
      </c>
      <c r="I66" s="39">
        <v>3019.5709999999999</v>
      </c>
      <c r="J66" s="40">
        <v>3.5</v>
      </c>
      <c r="K66" s="41">
        <v>14608</v>
      </c>
      <c r="L66" s="24">
        <v>113.3</v>
      </c>
      <c r="M66" s="42">
        <v>95.9</v>
      </c>
    </row>
    <row r="67" spans="1:13" x14ac:dyDescent="0.75">
      <c r="A67" s="20" t="s">
        <v>8</v>
      </c>
      <c r="B67" s="18">
        <v>2022</v>
      </c>
      <c r="C67" s="4">
        <v>6</v>
      </c>
      <c r="D67" t="s">
        <v>58</v>
      </c>
      <c r="E67" s="19">
        <v>50.2</v>
      </c>
      <c r="F67" s="29"/>
      <c r="G67" s="19">
        <v>591.04</v>
      </c>
      <c r="H67" s="19">
        <v>94.71</v>
      </c>
      <c r="I67" s="39">
        <v>2960.09</v>
      </c>
      <c r="J67" s="40">
        <v>3.5</v>
      </c>
      <c r="K67" s="41">
        <v>14689</v>
      </c>
      <c r="L67" s="24">
        <v>122.7</v>
      </c>
      <c r="M67" s="42">
        <v>96.6</v>
      </c>
    </row>
    <row r="68" spans="1:13" x14ac:dyDescent="0.75">
      <c r="A68" s="20" t="s">
        <v>8</v>
      </c>
      <c r="B68" s="18">
        <v>2022</v>
      </c>
      <c r="C68" s="4">
        <v>7</v>
      </c>
      <c r="D68">
        <v>160</v>
      </c>
      <c r="E68" s="19">
        <v>51.3</v>
      </c>
      <c r="F68" s="29"/>
      <c r="G68" s="19">
        <v>74.58</v>
      </c>
      <c r="H68" s="19">
        <v>866.1</v>
      </c>
      <c r="I68" s="39">
        <v>2941.0949999999998</v>
      </c>
      <c r="J68" s="40">
        <v>3.5</v>
      </c>
      <c r="K68" s="41">
        <v>14984</v>
      </c>
      <c r="L68" s="24">
        <v>111.9</v>
      </c>
      <c r="M68" s="42">
        <v>97</v>
      </c>
    </row>
    <row r="69" spans="1:13" x14ac:dyDescent="0.75">
      <c r="A69" s="20" t="s">
        <v>8</v>
      </c>
      <c r="B69" s="18">
        <v>2022</v>
      </c>
      <c r="C69" s="4">
        <v>8</v>
      </c>
      <c r="D69" t="s">
        <v>58</v>
      </c>
      <c r="E69" s="19">
        <v>51.7</v>
      </c>
      <c r="F69" s="29"/>
      <c r="G69" s="19">
        <v>740.74</v>
      </c>
      <c r="H69" s="19">
        <v>95.65</v>
      </c>
      <c r="I69" s="39">
        <v>3016.4549999999999</v>
      </c>
      <c r="J69" s="40">
        <v>3.75</v>
      </c>
      <c r="K69" s="41">
        <v>14851</v>
      </c>
      <c r="L69" s="24">
        <v>100.4</v>
      </c>
      <c r="M69" s="42">
        <v>96.9</v>
      </c>
    </row>
    <row r="70" spans="1:13" x14ac:dyDescent="0.75">
      <c r="A70" s="20" t="s">
        <v>8</v>
      </c>
      <c r="B70" s="18">
        <v>2022</v>
      </c>
      <c r="C70" s="4">
        <v>9</v>
      </c>
      <c r="D70">
        <v>160</v>
      </c>
      <c r="E70" s="19">
        <v>53.7</v>
      </c>
      <c r="F70" s="29"/>
      <c r="G70" s="19">
        <v>676.1</v>
      </c>
      <c r="H70" s="19">
        <v>98.21</v>
      </c>
      <c r="I70" s="39">
        <v>2978.3380000000002</v>
      </c>
      <c r="J70" s="40">
        <v>4.25</v>
      </c>
      <c r="K70" s="41">
        <v>14972</v>
      </c>
      <c r="L70" s="24">
        <v>89.8</v>
      </c>
      <c r="M70" s="42">
        <v>97.7</v>
      </c>
    </row>
    <row r="71" spans="1:13" x14ac:dyDescent="0.75">
      <c r="A71" s="20" t="s">
        <v>8</v>
      </c>
      <c r="B71" s="18">
        <v>2022</v>
      </c>
      <c r="C71" s="4">
        <v>10</v>
      </c>
      <c r="D71">
        <v>160</v>
      </c>
      <c r="E71" s="19">
        <v>51.8</v>
      </c>
      <c r="F71" s="29"/>
      <c r="G71" s="19">
        <v>673.75</v>
      </c>
      <c r="H71" s="19">
        <v>62.95</v>
      </c>
      <c r="I71" s="39">
        <v>2944.5230000000001</v>
      </c>
      <c r="J71" s="40">
        <v>4.75</v>
      </c>
      <c r="K71" s="41">
        <v>15417</v>
      </c>
      <c r="L71" s="24">
        <v>93.3</v>
      </c>
      <c r="M71" s="42">
        <v>97.7</v>
      </c>
    </row>
    <row r="72" spans="1:13" x14ac:dyDescent="0.75">
      <c r="A72" s="20" t="s">
        <v>8</v>
      </c>
      <c r="B72" s="18">
        <v>2022</v>
      </c>
      <c r="C72" s="4">
        <v>11</v>
      </c>
      <c r="D72">
        <v>160</v>
      </c>
      <c r="E72" s="19">
        <v>50.3</v>
      </c>
      <c r="F72" s="29"/>
      <c r="G72" s="19">
        <v>635.35</v>
      </c>
      <c r="H72" s="19">
        <v>49.92</v>
      </c>
      <c r="I72" s="39">
        <v>2901.85</v>
      </c>
      <c r="J72" s="40">
        <v>5.25</v>
      </c>
      <c r="K72" s="41">
        <v>15659</v>
      </c>
      <c r="L72" s="24">
        <v>91.4</v>
      </c>
      <c r="M72" s="42">
        <v>98</v>
      </c>
    </row>
    <row r="73" spans="1:13" x14ac:dyDescent="0.75">
      <c r="A73" s="20" t="s">
        <v>8</v>
      </c>
      <c r="B73" s="18">
        <v>2022</v>
      </c>
      <c r="C73" s="4">
        <v>12</v>
      </c>
      <c r="D73">
        <v>160</v>
      </c>
      <c r="E73" s="19">
        <v>50.9</v>
      </c>
      <c r="F73" s="29"/>
      <c r="G73" s="19">
        <v>642.55999999999995</v>
      </c>
      <c r="H73" s="19">
        <v>58.44</v>
      </c>
      <c r="I73" s="39">
        <v>2792.3159999999998</v>
      </c>
      <c r="J73" s="40">
        <v>5.5</v>
      </c>
      <c r="K73" s="41">
        <v>15615</v>
      </c>
      <c r="L73" s="24">
        <v>80.900000000000006</v>
      </c>
      <c r="M73" s="42">
        <v>98.7</v>
      </c>
    </row>
    <row r="74" spans="1:13" x14ac:dyDescent="0.75">
      <c r="A74" s="20" t="s">
        <v>9</v>
      </c>
      <c r="B74" s="18">
        <v>2022</v>
      </c>
      <c r="C74" s="4">
        <v>1</v>
      </c>
      <c r="D74" t="s">
        <v>58</v>
      </c>
      <c r="E74" s="19">
        <v>53.7</v>
      </c>
      <c r="F74" s="26">
        <v>96.87</v>
      </c>
      <c r="G74" s="19">
        <v>4.42</v>
      </c>
      <c r="H74" s="26"/>
      <c r="I74" s="24">
        <v>362.19</v>
      </c>
      <c r="J74" s="40">
        <v>3.5</v>
      </c>
      <c r="K74" s="41">
        <v>14335</v>
      </c>
      <c r="L74" s="24">
        <v>86.5</v>
      </c>
      <c r="M74" s="42">
        <v>94</v>
      </c>
    </row>
    <row r="75" spans="1:13" x14ac:dyDescent="0.75">
      <c r="A75" s="20" t="s">
        <v>9</v>
      </c>
      <c r="B75" s="18">
        <v>2022</v>
      </c>
      <c r="C75" s="4">
        <v>2</v>
      </c>
      <c r="D75" t="s">
        <v>58</v>
      </c>
      <c r="E75" s="19">
        <v>51.2</v>
      </c>
      <c r="F75" s="26">
        <v>96.84</v>
      </c>
      <c r="G75" s="19">
        <v>20.39</v>
      </c>
      <c r="H75" s="26"/>
      <c r="I75" s="24">
        <v>367.78300000000002</v>
      </c>
      <c r="J75" s="40">
        <v>3.5</v>
      </c>
      <c r="K75" s="41">
        <v>14351</v>
      </c>
      <c r="L75" s="24">
        <v>97.1</v>
      </c>
      <c r="M75" s="42">
        <v>94</v>
      </c>
    </row>
    <row r="76" spans="1:13" x14ac:dyDescent="0.75">
      <c r="A76" s="20" t="s">
        <v>9</v>
      </c>
      <c r="B76" s="18">
        <v>2022</v>
      </c>
      <c r="C76" s="4">
        <v>3</v>
      </c>
      <c r="D76" t="s">
        <v>58</v>
      </c>
      <c r="E76" s="19">
        <v>51.3</v>
      </c>
      <c r="F76" s="26">
        <v>97.84</v>
      </c>
      <c r="G76" s="19">
        <v>24.35</v>
      </c>
      <c r="H76" s="26"/>
      <c r="I76" s="24">
        <v>367.19099999999997</v>
      </c>
      <c r="J76" s="40">
        <v>3.5</v>
      </c>
      <c r="K76" s="41">
        <v>14349</v>
      </c>
      <c r="L76" s="24">
        <v>117.2</v>
      </c>
      <c r="M76" s="42">
        <v>94.7</v>
      </c>
    </row>
    <row r="77" spans="1:13" x14ac:dyDescent="0.75">
      <c r="A77" s="20" t="s">
        <v>9</v>
      </c>
      <c r="B77" s="18">
        <v>2022</v>
      </c>
      <c r="C77" s="4">
        <v>4</v>
      </c>
      <c r="D77" t="s">
        <v>58</v>
      </c>
      <c r="E77" s="19">
        <v>51.9</v>
      </c>
      <c r="F77" s="26">
        <v>98.84</v>
      </c>
      <c r="G77" s="19">
        <v>42.18</v>
      </c>
      <c r="H77" s="26"/>
      <c r="I77" s="24">
        <v>387.37599999999998</v>
      </c>
      <c r="J77" s="40">
        <v>3.5</v>
      </c>
      <c r="K77" s="41">
        <v>14369</v>
      </c>
      <c r="L77" s="24">
        <v>104.6</v>
      </c>
      <c r="M77" s="42">
        <v>95.6</v>
      </c>
    </row>
    <row r="78" spans="1:13" x14ac:dyDescent="0.75">
      <c r="A78" s="20" t="s">
        <v>9</v>
      </c>
      <c r="B78" s="18">
        <v>2022</v>
      </c>
      <c r="C78" s="4">
        <v>5</v>
      </c>
      <c r="D78" t="s">
        <v>58</v>
      </c>
      <c r="E78" s="19">
        <v>50.8</v>
      </c>
      <c r="F78" s="26">
        <v>99.54</v>
      </c>
      <c r="G78" s="19">
        <v>31.04</v>
      </c>
      <c r="H78" s="26"/>
      <c r="I78" s="24">
        <v>390.642</v>
      </c>
      <c r="J78" s="40">
        <v>3.5</v>
      </c>
      <c r="K78" s="41">
        <v>14608</v>
      </c>
      <c r="L78" s="24">
        <v>113.3</v>
      </c>
      <c r="M78" s="42">
        <v>95.9</v>
      </c>
    </row>
    <row r="79" spans="1:13" x14ac:dyDescent="0.75">
      <c r="A79" s="20" t="s">
        <v>9</v>
      </c>
      <c r="B79" s="18">
        <v>2022</v>
      </c>
      <c r="C79" s="4">
        <v>6</v>
      </c>
      <c r="D79" t="s">
        <v>58</v>
      </c>
      <c r="E79" s="19">
        <v>50.2</v>
      </c>
      <c r="F79" s="26">
        <v>100.53</v>
      </c>
      <c r="G79" s="19">
        <v>33.46</v>
      </c>
      <c r="H79" s="26"/>
      <c r="I79" s="24">
        <v>386.28300000000002</v>
      </c>
      <c r="J79" s="40">
        <v>3.5</v>
      </c>
      <c r="K79" s="41">
        <v>14689</v>
      </c>
      <c r="L79" s="24">
        <v>122.7</v>
      </c>
      <c r="M79" s="42">
        <v>96.6</v>
      </c>
    </row>
    <row r="80" spans="1:13" x14ac:dyDescent="0.75">
      <c r="A80" s="20" t="s">
        <v>9</v>
      </c>
      <c r="B80" s="18">
        <v>2022</v>
      </c>
      <c r="C80" s="4">
        <v>7</v>
      </c>
      <c r="D80">
        <v>26</v>
      </c>
      <c r="E80" s="19">
        <v>51.3</v>
      </c>
      <c r="F80" s="26">
        <v>101.72</v>
      </c>
      <c r="G80" s="19"/>
      <c r="H80" s="26">
        <v>22.38</v>
      </c>
      <c r="I80" s="24">
        <v>394.149</v>
      </c>
      <c r="J80" s="40">
        <v>3.5</v>
      </c>
      <c r="K80" s="41">
        <v>14984</v>
      </c>
      <c r="L80" s="24">
        <v>111.9</v>
      </c>
      <c r="M80" s="42">
        <v>97</v>
      </c>
    </row>
    <row r="81" spans="1:13" x14ac:dyDescent="0.75">
      <c r="A81" s="20" t="s">
        <v>9</v>
      </c>
      <c r="B81" s="18">
        <v>2022</v>
      </c>
      <c r="C81" s="4">
        <v>8</v>
      </c>
      <c r="D81" t="s">
        <v>58</v>
      </c>
      <c r="E81" s="19">
        <v>51.7</v>
      </c>
      <c r="F81" s="26">
        <v>101.06</v>
      </c>
      <c r="G81" s="19">
        <v>20.39</v>
      </c>
      <c r="H81" s="26"/>
      <c r="I81" s="24">
        <v>408.22699999999998</v>
      </c>
      <c r="J81" s="40">
        <v>3.75</v>
      </c>
      <c r="K81" s="41">
        <v>14851</v>
      </c>
      <c r="L81" s="24">
        <v>100.4</v>
      </c>
      <c r="M81" s="42">
        <v>96.9</v>
      </c>
    </row>
    <row r="82" spans="1:13" x14ac:dyDescent="0.75">
      <c r="A82" s="20" t="s">
        <v>9</v>
      </c>
      <c r="B82" s="18">
        <v>2022</v>
      </c>
      <c r="C82" s="4">
        <v>9</v>
      </c>
      <c r="D82">
        <v>26</v>
      </c>
      <c r="E82" s="19">
        <v>53.7</v>
      </c>
      <c r="F82" s="26">
        <v>102.2</v>
      </c>
      <c r="G82" s="19">
        <v>33.909999999999997</v>
      </c>
      <c r="H82" s="26"/>
      <c r="I82" s="24">
        <v>411.03500000000003</v>
      </c>
      <c r="J82" s="40">
        <v>4.25</v>
      </c>
      <c r="K82" s="41">
        <v>14972</v>
      </c>
      <c r="L82" s="24">
        <v>89.8</v>
      </c>
      <c r="M82" s="42">
        <v>97.7</v>
      </c>
    </row>
    <row r="83" spans="1:13" x14ac:dyDescent="0.75">
      <c r="A83" s="20" t="s">
        <v>9</v>
      </c>
      <c r="B83" s="18">
        <v>2022</v>
      </c>
      <c r="C83" s="4">
        <v>10</v>
      </c>
      <c r="D83">
        <v>26</v>
      </c>
      <c r="E83" s="19">
        <v>51.8</v>
      </c>
      <c r="F83" s="26">
        <v>101.36</v>
      </c>
      <c r="G83" s="19">
        <v>35.06</v>
      </c>
      <c r="H83" s="26"/>
      <c r="I83" s="24">
        <v>421.28899999999999</v>
      </c>
      <c r="J83" s="40">
        <v>4.75</v>
      </c>
      <c r="K83" s="41">
        <v>15417</v>
      </c>
      <c r="L83" s="24">
        <v>93.3</v>
      </c>
      <c r="M83" s="42">
        <v>97.7</v>
      </c>
    </row>
    <row r="84" spans="1:13" x14ac:dyDescent="0.75">
      <c r="A84" s="20" t="s">
        <v>9</v>
      </c>
      <c r="B84" s="18">
        <v>2022</v>
      </c>
      <c r="C84" s="4">
        <v>11</v>
      </c>
      <c r="D84">
        <v>26</v>
      </c>
      <c r="E84" s="19">
        <v>50.3</v>
      </c>
      <c r="F84" s="26">
        <v>101.41</v>
      </c>
      <c r="G84" s="19">
        <v>25.96</v>
      </c>
      <c r="H84" s="26"/>
      <c r="I84" s="24">
        <v>421.65100000000001</v>
      </c>
      <c r="J84" s="40">
        <v>5.25</v>
      </c>
      <c r="K84" s="41">
        <v>15659</v>
      </c>
      <c r="L84" s="24">
        <v>91.4</v>
      </c>
      <c r="M84" s="42">
        <v>98</v>
      </c>
    </row>
    <row r="85" spans="1:13" x14ac:dyDescent="0.75">
      <c r="A85" s="20" t="s">
        <v>9</v>
      </c>
      <c r="B85" s="18">
        <v>2022</v>
      </c>
      <c r="C85" s="4">
        <v>12</v>
      </c>
      <c r="D85">
        <v>26</v>
      </c>
      <c r="E85" s="19">
        <v>50.9</v>
      </c>
      <c r="F85" s="26">
        <v>101.77</v>
      </c>
      <c r="G85" s="19">
        <v>17.7</v>
      </c>
      <c r="H85" s="26"/>
      <c r="I85" s="24">
        <v>384.72800000000001</v>
      </c>
      <c r="J85" s="40">
        <v>5.5</v>
      </c>
      <c r="K85" s="41">
        <v>15615</v>
      </c>
      <c r="L85" s="24">
        <v>80.900000000000006</v>
      </c>
      <c r="M85" s="42">
        <v>98.7</v>
      </c>
    </row>
    <row r="86" spans="1:13" x14ac:dyDescent="0.75">
      <c r="A86" s="20" t="s">
        <v>10</v>
      </c>
      <c r="B86" s="18">
        <v>2022</v>
      </c>
      <c r="C86" s="4">
        <v>1</v>
      </c>
      <c r="D86" t="s">
        <v>58</v>
      </c>
      <c r="E86" s="19">
        <v>53.7</v>
      </c>
      <c r="F86" s="19">
        <v>97.45</v>
      </c>
      <c r="G86" s="26">
        <v>332.37</v>
      </c>
      <c r="H86" s="19">
        <v>246.29</v>
      </c>
      <c r="I86" s="39">
        <v>2892.759</v>
      </c>
      <c r="J86" s="40">
        <v>3.5</v>
      </c>
      <c r="K86" s="41">
        <v>14335</v>
      </c>
      <c r="L86" s="24">
        <v>86.5</v>
      </c>
      <c r="M86" s="42">
        <v>94</v>
      </c>
    </row>
    <row r="87" spans="1:13" x14ac:dyDescent="0.75">
      <c r="A87" s="20" t="s">
        <v>10</v>
      </c>
      <c r="B87" s="18">
        <v>2022</v>
      </c>
      <c r="C87" s="4">
        <v>2</v>
      </c>
      <c r="D87" t="s">
        <v>58</v>
      </c>
      <c r="E87" s="19">
        <v>51.2</v>
      </c>
      <c r="F87" s="19">
        <v>97.27</v>
      </c>
      <c r="G87" s="26">
        <v>331.01</v>
      </c>
      <c r="H87" s="19">
        <v>246.56</v>
      </c>
      <c r="I87" s="39">
        <v>2899.502</v>
      </c>
      <c r="J87" s="40">
        <v>3.5</v>
      </c>
      <c r="K87" s="41">
        <v>14351</v>
      </c>
      <c r="L87" s="24">
        <v>97.1</v>
      </c>
      <c r="M87" s="42">
        <v>94</v>
      </c>
    </row>
    <row r="88" spans="1:13" x14ac:dyDescent="0.75">
      <c r="A88" s="20" t="s">
        <v>10</v>
      </c>
      <c r="B88" s="18">
        <v>2022</v>
      </c>
      <c r="C88" s="4">
        <v>3</v>
      </c>
      <c r="D88" t="s">
        <v>58</v>
      </c>
      <c r="E88" s="19">
        <v>51.3</v>
      </c>
      <c r="F88" s="19">
        <v>97.91</v>
      </c>
      <c r="G88" s="26">
        <v>585.04</v>
      </c>
      <c r="H88" s="19">
        <v>171.66</v>
      </c>
      <c r="I88" s="39">
        <v>2847.6930000000002</v>
      </c>
      <c r="J88" s="40">
        <v>3.5</v>
      </c>
      <c r="K88" s="41">
        <v>14349</v>
      </c>
      <c r="L88" s="24">
        <v>117.2</v>
      </c>
      <c r="M88" s="42">
        <v>94.7</v>
      </c>
    </row>
    <row r="89" spans="1:13" x14ac:dyDescent="0.75">
      <c r="A89" s="20" t="s">
        <v>10</v>
      </c>
      <c r="B89" s="18">
        <v>2022</v>
      </c>
      <c r="C89" s="4">
        <v>4</v>
      </c>
      <c r="D89" t="s">
        <v>58</v>
      </c>
      <c r="E89" s="19">
        <v>51.9</v>
      </c>
      <c r="F89" s="19">
        <v>98.65</v>
      </c>
      <c r="G89" s="26">
        <v>374.8</v>
      </c>
      <c r="H89" s="19">
        <v>259.38</v>
      </c>
      <c r="I89" s="39">
        <v>2877.6170000000002</v>
      </c>
      <c r="J89" s="40">
        <v>3.5</v>
      </c>
      <c r="K89" s="41">
        <v>14369</v>
      </c>
      <c r="L89" s="24">
        <v>104.6</v>
      </c>
      <c r="M89" s="42">
        <v>95.6</v>
      </c>
    </row>
    <row r="90" spans="1:13" x14ac:dyDescent="0.75">
      <c r="A90" s="20" t="s">
        <v>10</v>
      </c>
      <c r="B90" s="18">
        <v>2022</v>
      </c>
      <c r="C90" s="4">
        <v>5</v>
      </c>
      <c r="D90" t="s">
        <v>58</v>
      </c>
      <c r="E90" s="19">
        <v>50.8</v>
      </c>
      <c r="F90" s="19">
        <v>99.3</v>
      </c>
      <c r="G90" s="26">
        <v>297.76</v>
      </c>
      <c r="H90" s="19">
        <v>218.28</v>
      </c>
      <c r="I90" s="39">
        <v>3087.6570000000002</v>
      </c>
      <c r="J90" s="40">
        <v>3.5</v>
      </c>
      <c r="K90" s="41">
        <v>14608</v>
      </c>
      <c r="L90" s="24">
        <v>113.3</v>
      </c>
      <c r="M90" s="42">
        <v>95.9</v>
      </c>
    </row>
    <row r="91" spans="1:13" x14ac:dyDescent="0.75">
      <c r="A91" s="20" t="s">
        <v>10</v>
      </c>
      <c r="B91" s="18">
        <v>2022</v>
      </c>
      <c r="C91" s="4">
        <v>6</v>
      </c>
      <c r="D91" t="s">
        <v>58</v>
      </c>
      <c r="E91" s="19">
        <v>50.2</v>
      </c>
      <c r="F91" s="19">
        <v>100.13</v>
      </c>
      <c r="G91" s="26">
        <v>526.89</v>
      </c>
      <c r="H91" s="19">
        <v>109.83</v>
      </c>
      <c r="I91" s="39">
        <v>3078.1439999999998</v>
      </c>
      <c r="J91" s="40">
        <v>3.5</v>
      </c>
      <c r="K91" s="41">
        <v>14689</v>
      </c>
      <c r="L91" s="24">
        <v>122.7</v>
      </c>
      <c r="M91" s="42">
        <v>96.6</v>
      </c>
    </row>
    <row r="92" spans="1:13" x14ac:dyDescent="0.75">
      <c r="A92" s="20" t="s">
        <v>10</v>
      </c>
      <c r="B92" s="18">
        <v>2022</v>
      </c>
      <c r="C92" s="4">
        <v>7</v>
      </c>
      <c r="D92">
        <v>0</v>
      </c>
      <c r="E92" s="19">
        <v>51.3</v>
      </c>
      <c r="F92" s="19">
        <v>100.33</v>
      </c>
      <c r="G92" s="26">
        <v>243.52</v>
      </c>
      <c r="H92" s="19">
        <v>430.9</v>
      </c>
      <c r="I92" s="39">
        <v>2989.65</v>
      </c>
      <c r="J92" s="40">
        <v>3.5</v>
      </c>
      <c r="K92" s="41">
        <v>14984</v>
      </c>
      <c r="L92" s="24">
        <v>111.9</v>
      </c>
      <c r="M92" s="42">
        <v>97</v>
      </c>
    </row>
    <row r="93" spans="1:13" x14ac:dyDescent="0.75">
      <c r="A93" s="20" t="s">
        <v>10</v>
      </c>
      <c r="B93" s="18">
        <v>2022</v>
      </c>
      <c r="C93" s="4">
        <v>8</v>
      </c>
      <c r="D93" t="s">
        <v>58</v>
      </c>
      <c r="E93" s="19">
        <v>51.7</v>
      </c>
      <c r="F93" s="19">
        <v>100.46</v>
      </c>
      <c r="G93" s="26">
        <v>674.55</v>
      </c>
      <c r="H93" s="19">
        <v>122.56</v>
      </c>
      <c r="I93" s="39">
        <v>2979.5729999999999</v>
      </c>
      <c r="J93" s="40">
        <v>3.75</v>
      </c>
      <c r="K93" s="41">
        <v>14851</v>
      </c>
      <c r="L93" s="24">
        <v>100.4</v>
      </c>
      <c r="M93" s="42">
        <v>96.9</v>
      </c>
    </row>
    <row r="94" spans="1:13" x14ac:dyDescent="0.75">
      <c r="A94" s="20" t="s">
        <v>10</v>
      </c>
      <c r="B94" s="18">
        <v>2022</v>
      </c>
      <c r="C94" s="4">
        <v>9</v>
      </c>
      <c r="D94">
        <v>0</v>
      </c>
      <c r="E94" s="19">
        <v>53.7</v>
      </c>
      <c r="F94" s="19">
        <v>101.98</v>
      </c>
      <c r="G94" s="26">
        <v>552</v>
      </c>
      <c r="H94" s="19">
        <v>401.06</v>
      </c>
      <c r="I94" s="39">
        <v>2948.29</v>
      </c>
      <c r="J94" s="40">
        <v>4.25</v>
      </c>
      <c r="K94" s="41">
        <v>14972</v>
      </c>
      <c r="L94" s="24">
        <v>89.8</v>
      </c>
      <c r="M94" s="42">
        <v>97.7</v>
      </c>
    </row>
    <row r="95" spans="1:13" x14ac:dyDescent="0.75">
      <c r="A95" s="20" t="s">
        <v>10</v>
      </c>
      <c r="B95" s="18">
        <v>2022</v>
      </c>
      <c r="C95" s="4">
        <v>10</v>
      </c>
      <c r="D95">
        <v>0</v>
      </c>
      <c r="E95" s="19">
        <v>51.8</v>
      </c>
      <c r="F95" s="19">
        <v>101.81</v>
      </c>
      <c r="G95" s="26">
        <v>639.77</v>
      </c>
      <c r="H95" s="19">
        <v>195.16</v>
      </c>
      <c r="I95" s="39">
        <v>3040.1779999999999</v>
      </c>
      <c r="J95" s="40">
        <v>4.75</v>
      </c>
      <c r="K95" s="41">
        <v>15417</v>
      </c>
      <c r="L95" s="24">
        <v>93.3</v>
      </c>
      <c r="M95" s="42">
        <v>97.7</v>
      </c>
    </row>
    <row r="96" spans="1:13" x14ac:dyDescent="0.75">
      <c r="A96" s="20" t="s">
        <v>10</v>
      </c>
      <c r="B96" s="18">
        <v>2022</v>
      </c>
      <c r="C96" s="4">
        <v>11</v>
      </c>
      <c r="D96">
        <v>0</v>
      </c>
      <c r="E96" s="19">
        <v>50.3</v>
      </c>
      <c r="F96" s="19">
        <v>102.16</v>
      </c>
      <c r="G96" s="26">
        <v>441.66</v>
      </c>
      <c r="H96" s="19">
        <v>108.16</v>
      </c>
      <c r="I96" s="39">
        <v>3026.3519999999999</v>
      </c>
      <c r="J96" s="40">
        <v>5.25</v>
      </c>
      <c r="K96" s="41">
        <v>15659</v>
      </c>
      <c r="L96" s="24">
        <v>91.4</v>
      </c>
      <c r="M96" s="42">
        <v>98</v>
      </c>
    </row>
    <row r="97" spans="1:13" x14ac:dyDescent="0.75">
      <c r="A97" s="20" t="s">
        <v>10</v>
      </c>
      <c r="B97" s="18">
        <v>2022</v>
      </c>
      <c r="C97" s="4">
        <v>12</v>
      </c>
      <c r="D97">
        <v>30</v>
      </c>
      <c r="E97" s="19">
        <v>50.9</v>
      </c>
      <c r="F97" s="19">
        <v>102.56</v>
      </c>
      <c r="G97" s="26">
        <v>419.51</v>
      </c>
      <c r="H97" s="19">
        <v>196.52</v>
      </c>
      <c r="I97" s="39">
        <v>2954.6280000000002</v>
      </c>
      <c r="J97" s="40">
        <v>5.5</v>
      </c>
      <c r="K97" s="41">
        <v>15615</v>
      </c>
      <c r="L97" s="24">
        <v>80.900000000000006</v>
      </c>
      <c r="M97" s="42">
        <v>98.7</v>
      </c>
    </row>
    <row r="98" spans="1:13" x14ac:dyDescent="0.75">
      <c r="A98" s="20" t="s">
        <v>11</v>
      </c>
      <c r="B98" s="18">
        <v>2022</v>
      </c>
      <c r="C98" s="4">
        <v>1</v>
      </c>
      <c r="D98" t="s">
        <v>58</v>
      </c>
      <c r="E98" s="19">
        <v>53.7</v>
      </c>
      <c r="F98" s="19">
        <v>97.97</v>
      </c>
      <c r="G98" s="19">
        <v>59.29</v>
      </c>
      <c r="H98" s="19">
        <v>16.28</v>
      </c>
      <c r="I98" s="39">
        <v>311.39299999999997</v>
      </c>
      <c r="J98" s="40">
        <v>3.5</v>
      </c>
      <c r="K98" s="41">
        <v>14335</v>
      </c>
      <c r="L98" s="24">
        <v>86.5</v>
      </c>
      <c r="M98" s="42">
        <v>94</v>
      </c>
    </row>
    <row r="99" spans="1:13" x14ac:dyDescent="0.75">
      <c r="A99" s="20" t="s">
        <v>11</v>
      </c>
      <c r="B99" s="18">
        <v>2022</v>
      </c>
      <c r="C99" s="4">
        <v>2</v>
      </c>
      <c r="D99" t="s">
        <v>58</v>
      </c>
      <c r="E99" s="19">
        <v>51.2</v>
      </c>
      <c r="F99" s="19">
        <v>97.11</v>
      </c>
      <c r="G99" s="19">
        <v>307.25</v>
      </c>
      <c r="H99" s="19"/>
      <c r="I99" s="39">
        <v>319.84800000000001</v>
      </c>
      <c r="J99" s="40">
        <v>3.5</v>
      </c>
      <c r="K99" s="41">
        <v>14351</v>
      </c>
      <c r="L99" s="24">
        <v>97.1</v>
      </c>
      <c r="M99" s="42">
        <v>94</v>
      </c>
    </row>
    <row r="100" spans="1:13" x14ac:dyDescent="0.75">
      <c r="A100" s="20" t="s">
        <v>11</v>
      </c>
      <c r="B100" s="18">
        <v>2022</v>
      </c>
      <c r="C100" s="4">
        <v>3</v>
      </c>
      <c r="D100" t="s">
        <v>58</v>
      </c>
      <c r="E100" s="19">
        <v>51.3</v>
      </c>
      <c r="F100" s="19">
        <v>98.11</v>
      </c>
      <c r="G100" s="19">
        <v>314.37</v>
      </c>
      <c r="H100" s="19">
        <v>2.91</v>
      </c>
      <c r="I100" s="39">
        <v>486.32499999999999</v>
      </c>
      <c r="J100" s="40">
        <v>3.5</v>
      </c>
      <c r="K100" s="41">
        <v>14349</v>
      </c>
      <c r="L100" s="24">
        <v>117.2</v>
      </c>
      <c r="M100" s="42">
        <v>94.7</v>
      </c>
    </row>
    <row r="101" spans="1:13" x14ac:dyDescent="0.75">
      <c r="A101" s="20" t="s">
        <v>11</v>
      </c>
      <c r="B101" s="18">
        <v>2022</v>
      </c>
      <c r="C101" s="4">
        <v>4</v>
      </c>
      <c r="D101" t="s">
        <v>58</v>
      </c>
      <c r="E101" s="19">
        <v>51.9</v>
      </c>
      <c r="F101" s="19">
        <v>99.19</v>
      </c>
      <c r="G101" s="19">
        <v>436.4</v>
      </c>
      <c r="H101" s="19">
        <v>1.93</v>
      </c>
      <c r="I101" s="39">
        <v>493.59399999999999</v>
      </c>
      <c r="J101" s="40">
        <v>3.5</v>
      </c>
      <c r="K101" s="41">
        <v>14369</v>
      </c>
      <c r="L101" s="24">
        <v>104.6</v>
      </c>
      <c r="M101" s="42">
        <v>95.6</v>
      </c>
    </row>
    <row r="102" spans="1:13" x14ac:dyDescent="0.75">
      <c r="A102" s="20" t="s">
        <v>11</v>
      </c>
      <c r="B102" s="18">
        <v>2022</v>
      </c>
      <c r="C102" s="4">
        <v>5</v>
      </c>
      <c r="D102" t="s">
        <v>58</v>
      </c>
      <c r="E102" s="19">
        <v>50.8</v>
      </c>
      <c r="F102" s="19">
        <v>99.96</v>
      </c>
      <c r="G102" s="19">
        <v>172.73</v>
      </c>
      <c r="H102" s="19">
        <v>3.19</v>
      </c>
      <c r="I102" s="39">
        <v>501.21</v>
      </c>
      <c r="J102" s="40">
        <v>3.5</v>
      </c>
      <c r="K102" s="41">
        <v>14608</v>
      </c>
      <c r="L102" s="24">
        <v>113.3</v>
      </c>
      <c r="M102" s="42">
        <v>95.9</v>
      </c>
    </row>
    <row r="103" spans="1:13" x14ac:dyDescent="0.75">
      <c r="A103" s="20" t="s">
        <v>11</v>
      </c>
      <c r="B103" s="18">
        <v>2022</v>
      </c>
      <c r="C103" s="4">
        <v>6</v>
      </c>
      <c r="D103" t="s">
        <v>58</v>
      </c>
      <c r="E103" s="19">
        <v>50.2</v>
      </c>
      <c r="F103" s="19">
        <v>100.71</v>
      </c>
      <c r="G103" s="19">
        <v>286.93</v>
      </c>
      <c r="H103" s="19">
        <v>0.16</v>
      </c>
      <c r="I103" s="39">
        <v>499.78800000000001</v>
      </c>
      <c r="J103" s="40">
        <v>3.5</v>
      </c>
      <c r="K103" s="41">
        <v>14689</v>
      </c>
      <c r="L103" s="24">
        <v>122.7</v>
      </c>
      <c r="M103" s="42">
        <v>96.6</v>
      </c>
    </row>
    <row r="104" spans="1:13" x14ac:dyDescent="0.75">
      <c r="A104" s="20" t="s">
        <v>11</v>
      </c>
      <c r="B104" s="18">
        <v>2022</v>
      </c>
      <c r="C104" s="4">
        <v>7</v>
      </c>
      <c r="D104">
        <v>369</v>
      </c>
      <c r="E104" s="19">
        <v>51.3</v>
      </c>
      <c r="F104" s="19">
        <v>101.17</v>
      </c>
      <c r="G104" s="19">
        <v>14.07</v>
      </c>
      <c r="H104" s="19">
        <v>144.03</v>
      </c>
      <c r="I104" s="39">
        <v>501.726</v>
      </c>
      <c r="J104" s="40">
        <v>3.5</v>
      </c>
      <c r="K104" s="41">
        <v>14984</v>
      </c>
      <c r="L104" s="24">
        <v>111.9</v>
      </c>
      <c r="M104" s="42">
        <v>97</v>
      </c>
    </row>
    <row r="105" spans="1:13" x14ac:dyDescent="0.75">
      <c r="A105" s="20" t="s">
        <v>11</v>
      </c>
      <c r="B105" s="18">
        <v>2022</v>
      </c>
      <c r="C105" s="4">
        <v>8</v>
      </c>
      <c r="D105" t="s">
        <v>58</v>
      </c>
      <c r="E105" s="19">
        <v>51.7</v>
      </c>
      <c r="F105" s="19">
        <v>100.15</v>
      </c>
      <c r="G105" s="19">
        <v>262.20999999999998</v>
      </c>
      <c r="H105" s="19">
        <v>1.47</v>
      </c>
      <c r="I105" s="39">
        <v>493.81299999999999</v>
      </c>
      <c r="J105" s="40">
        <v>3.75</v>
      </c>
      <c r="K105" s="41">
        <v>14851</v>
      </c>
      <c r="L105" s="24">
        <v>100.4</v>
      </c>
      <c r="M105" s="42">
        <v>96.9</v>
      </c>
    </row>
    <row r="106" spans="1:13" x14ac:dyDescent="0.75">
      <c r="A106" s="20" t="s">
        <v>11</v>
      </c>
      <c r="B106" s="18">
        <v>2022</v>
      </c>
      <c r="C106" s="4">
        <v>9</v>
      </c>
      <c r="D106">
        <v>369</v>
      </c>
      <c r="E106" s="19">
        <v>53.7</v>
      </c>
      <c r="F106" s="19">
        <v>101.53</v>
      </c>
      <c r="G106" s="19">
        <v>172.54</v>
      </c>
      <c r="H106" s="19">
        <v>1.06</v>
      </c>
      <c r="I106" s="39">
        <v>487.995</v>
      </c>
      <c r="J106" s="40">
        <v>4.25</v>
      </c>
      <c r="K106" s="41">
        <v>14972</v>
      </c>
      <c r="L106" s="24">
        <v>89.8</v>
      </c>
      <c r="M106" s="42">
        <v>97.7</v>
      </c>
    </row>
    <row r="107" spans="1:13" x14ac:dyDescent="0.75">
      <c r="A107" s="20" t="s">
        <v>11</v>
      </c>
      <c r="B107" s="18">
        <v>2022</v>
      </c>
      <c r="C107" s="4">
        <v>10</v>
      </c>
      <c r="D107">
        <v>369</v>
      </c>
      <c r="E107" s="19">
        <v>51.8</v>
      </c>
      <c r="F107" s="19">
        <v>100.93</v>
      </c>
      <c r="G107" s="19">
        <v>165.84</v>
      </c>
      <c r="H107" s="19">
        <v>3.89</v>
      </c>
      <c r="I107" s="39">
        <v>510.42899999999997</v>
      </c>
      <c r="J107" s="40">
        <v>4.75</v>
      </c>
      <c r="K107" s="41">
        <v>15417</v>
      </c>
      <c r="L107" s="24">
        <v>93.3</v>
      </c>
      <c r="M107" s="42">
        <v>97.7</v>
      </c>
    </row>
    <row r="108" spans="1:13" x14ac:dyDescent="0.75">
      <c r="A108" s="20" t="s">
        <v>11</v>
      </c>
      <c r="B108" s="18">
        <v>2022</v>
      </c>
      <c r="C108" s="4">
        <v>11</v>
      </c>
      <c r="D108">
        <v>380</v>
      </c>
      <c r="E108" s="19">
        <v>50.3</v>
      </c>
      <c r="F108" s="19">
        <v>101.18</v>
      </c>
      <c r="G108" s="19">
        <v>128.15</v>
      </c>
      <c r="H108" s="19">
        <v>23.67</v>
      </c>
      <c r="I108" s="39">
        <v>509.59399999999999</v>
      </c>
      <c r="J108" s="40">
        <v>5.25</v>
      </c>
      <c r="K108" s="41">
        <v>15659</v>
      </c>
      <c r="L108" s="24">
        <v>91.4</v>
      </c>
      <c r="M108" s="42">
        <v>98</v>
      </c>
    </row>
    <row r="109" spans="1:13" x14ac:dyDescent="0.75">
      <c r="A109" s="20" t="s">
        <v>11</v>
      </c>
      <c r="B109" s="18">
        <v>2022</v>
      </c>
      <c r="C109" s="4">
        <v>12</v>
      </c>
      <c r="D109">
        <v>380</v>
      </c>
      <c r="E109" s="19">
        <v>50.9</v>
      </c>
      <c r="F109" s="19">
        <v>101.99</v>
      </c>
      <c r="G109" s="19">
        <v>190.37</v>
      </c>
      <c r="H109" s="19">
        <v>8.0299999999999994</v>
      </c>
      <c r="I109" s="39">
        <v>477.88400000000001</v>
      </c>
      <c r="J109" s="40">
        <v>5.5</v>
      </c>
      <c r="K109" s="41">
        <v>15615</v>
      </c>
      <c r="L109" s="24">
        <v>80.900000000000006</v>
      </c>
      <c r="M109" s="42">
        <v>98.7</v>
      </c>
    </row>
    <row r="110" spans="1:13" x14ac:dyDescent="0.75">
      <c r="A110" s="20" t="s">
        <v>12</v>
      </c>
      <c r="B110" s="18">
        <v>2022</v>
      </c>
      <c r="C110" s="4">
        <v>1</v>
      </c>
      <c r="D110" t="s">
        <v>58</v>
      </c>
      <c r="E110" s="19">
        <v>53.7</v>
      </c>
      <c r="F110" s="26">
        <v>97.79</v>
      </c>
      <c r="G110" s="26">
        <v>1209.54</v>
      </c>
      <c r="H110" s="29">
        <v>1362.73</v>
      </c>
      <c r="I110" s="39">
        <v>1227.365</v>
      </c>
      <c r="J110" s="40">
        <v>3.5</v>
      </c>
      <c r="K110" s="41">
        <v>14335</v>
      </c>
      <c r="L110" s="24">
        <v>86.5</v>
      </c>
      <c r="M110" s="42">
        <v>94</v>
      </c>
    </row>
    <row r="111" spans="1:13" x14ac:dyDescent="0.75">
      <c r="A111" s="20" t="s">
        <v>12</v>
      </c>
      <c r="B111" s="18">
        <v>2022</v>
      </c>
      <c r="C111" s="4">
        <v>2</v>
      </c>
      <c r="D111" t="s">
        <v>58</v>
      </c>
      <c r="E111" s="19">
        <v>51.2</v>
      </c>
      <c r="F111" s="26">
        <v>97.35</v>
      </c>
      <c r="G111" s="26">
        <v>1364.48</v>
      </c>
      <c r="H111" s="29">
        <v>990.13</v>
      </c>
      <c r="I111" s="39">
        <v>1247.2159999999999</v>
      </c>
      <c r="J111" s="40">
        <v>3.5</v>
      </c>
      <c r="K111" s="41">
        <v>14351</v>
      </c>
      <c r="L111" s="24">
        <v>97.1</v>
      </c>
      <c r="M111" s="42">
        <v>94</v>
      </c>
    </row>
    <row r="112" spans="1:13" x14ac:dyDescent="0.75">
      <c r="A112" s="20" t="s">
        <v>12</v>
      </c>
      <c r="B112" s="18">
        <v>2022</v>
      </c>
      <c r="C112" s="4">
        <v>3</v>
      </c>
      <c r="D112" t="s">
        <v>58</v>
      </c>
      <c r="E112" s="19">
        <v>51.3</v>
      </c>
      <c r="F112" s="26">
        <v>97.87</v>
      </c>
      <c r="G112" s="26">
        <v>1617.23</v>
      </c>
      <c r="H112" s="29">
        <v>1697.03</v>
      </c>
      <c r="I112" s="39">
        <v>1187.8620000000001</v>
      </c>
      <c r="J112" s="40">
        <v>3.5</v>
      </c>
      <c r="K112" s="41">
        <v>14349</v>
      </c>
      <c r="L112" s="24">
        <v>117.2</v>
      </c>
      <c r="M112" s="42">
        <v>94.7</v>
      </c>
    </row>
    <row r="113" spans="1:13" x14ac:dyDescent="0.75">
      <c r="A113" s="20" t="s">
        <v>12</v>
      </c>
      <c r="B113" s="18">
        <v>2022</v>
      </c>
      <c r="C113" s="4">
        <v>4</v>
      </c>
      <c r="D113" t="s">
        <v>58</v>
      </c>
      <c r="E113" s="19">
        <v>51.9</v>
      </c>
      <c r="F113" s="26">
        <v>98.53</v>
      </c>
      <c r="G113" s="26">
        <v>1701.9</v>
      </c>
      <c r="H113" s="29">
        <v>1480.23</v>
      </c>
      <c r="I113" s="39">
        <v>1191.7059999999999</v>
      </c>
      <c r="J113" s="40">
        <v>3.5</v>
      </c>
      <c r="K113" s="41">
        <v>14369</v>
      </c>
      <c r="L113" s="24">
        <v>104.6</v>
      </c>
      <c r="M113" s="42">
        <v>95.6</v>
      </c>
    </row>
    <row r="114" spans="1:13" x14ac:dyDescent="0.75">
      <c r="A114" s="20" t="s">
        <v>12</v>
      </c>
      <c r="B114" s="18">
        <v>2022</v>
      </c>
      <c r="C114" s="4">
        <v>5</v>
      </c>
      <c r="D114" t="s">
        <v>58</v>
      </c>
      <c r="E114" s="19">
        <v>50.8</v>
      </c>
      <c r="F114" s="26">
        <v>99.32</v>
      </c>
      <c r="G114" s="26">
        <v>1569.76</v>
      </c>
      <c r="H114" s="29">
        <v>1224.56</v>
      </c>
      <c r="I114" s="39">
        <v>1217.181</v>
      </c>
      <c r="J114" s="40">
        <v>3.5</v>
      </c>
      <c r="K114" s="41">
        <v>14608</v>
      </c>
      <c r="L114" s="24">
        <v>113.3</v>
      </c>
      <c r="M114" s="42">
        <v>95.9</v>
      </c>
    </row>
    <row r="115" spans="1:13" x14ac:dyDescent="0.75">
      <c r="A115" s="20" t="s">
        <v>12</v>
      </c>
      <c r="B115" s="18">
        <v>2022</v>
      </c>
      <c r="C115" s="4">
        <v>6</v>
      </c>
      <c r="D115" t="s">
        <v>58</v>
      </c>
      <c r="E115" s="19">
        <v>50.2</v>
      </c>
      <c r="F115" s="26">
        <v>100.23</v>
      </c>
      <c r="G115" s="26">
        <v>1460.15</v>
      </c>
      <c r="H115" s="29">
        <v>1426.13</v>
      </c>
      <c r="I115" s="39">
        <v>1207.4690000000001</v>
      </c>
      <c r="J115" s="40">
        <v>3.5</v>
      </c>
      <c r="K115" s="41">
        <v>14689</v>
      </c>
      <c r="L115" s="24">
        <v>122.7</v>
      </c>
      <c r="M115" s="42">
        <v>96.6</v>
      </c>
    </row>
    <row r="116" spans="1:13" x14ac:dyDescent="0.75">
      <c r="A116" s="20" t="s">
        <v>12</v>
      </c>
      <c r="B116" s="18">
        <v>2022</v>
      </c>
      <c r="C116" s="4">
        <v>7</v>
      </c>
      <c r="D116">
        <v>720</v>
      </c>
      <c r="E116" s="19">
        <v>51.3</v>
      </c>
      <c r="F116" s="26">
        <v>100.82</v>
      </c>
      <c r="G116" s="26">
        <v>1388.71</v>
      </c>
      <c r="H116" s="29">
        <v>1432.49</v>
      </c>
      <c r="I116" s="39">
        <v>1299.6010000000001</v>
      </c>
      <c r="J116" s="40">
        <v>3.5</v>
      </c>
      <c r="K116" s="41">
        <v>14984</v>
      </c>
      <c r="L116" s="24">
        <v>111.9</v>
      </c>
      <c r="M116" s="42">
        <v>97</v>
      </c>
    </row>
    <row r="117" spans="1:13" x14ac:dyDescent="0.75">
      <c r="A117" s="20" t="s">
        <v>12</v>
      </c>
      <c r="B117" s="18">
        <v>2022</v>
      </c>
      <c r="C117" s="4">
        <v>8</v>
      </c>
      <c r="D117" t="s">
        <v>58</v>
      </c>
      <c r="E117" s="19">
        <v>51.7</v>
      </c>
      <c r="F117" s="26">
        <v>100.46</v>
      </c>
      <c r="G117" s="26">
        <v>2156.9299999999998</v>
      </c>
      <c r="H117" s="29">
        <v>1560.8</v>
      </c>
      <c r="I117" s="39">
        <v>1365.877</v>
      </c>
      <c r="J117" s="40">
        <v>3.75</v>
      </c>
      <c r="K117" s="41">
        <v>14851</v>
      </c>
      <c r="L117" s="24">
        <v>100.4</v>
      </c>
      <c r="M117" s="42">
        <v>96.9</v>
      </c>
    </row>
    <row r="118" spans="1:13" x14ac:dyDescent="0.75">
      <c r="A118" s="20" t="s">
        <v>12</v>
      </c>
      <c r="B118" s="18">
        <v>2022</v>
      </c>
      <c r="C118" s="4">
        <v>9</v>
      </c>
      <c r="D118">
        <v>720</v>
      </c>
      <c r="E118" s="19">
        <v>53.7</v>
      </c>
      <c r="F118" s="26">
        <v>101.84</v>
      </c>
      <c r="G118" s="26">
        <v>1441.7</v>
      </c>
      <c r="H118" s="29">
        <v>1316.8</v>
      </c>
      <c r="I118" s="39">
        <v>1527.5930000000001</v>
      </c>
      <c r="J118" s="40">
        <v>4.25</v>
      </c>
      <c r="K118" s="41">
        <v>14972</v>
      </c>
      <c r="L118" s="24">
        <v>89.8</v>
      </c>
      <c r="M118" s="42">
        <v>97.7</v>
      </c>
    </row>
    <row r="119" spans="1:13" x14ac:dyDescent="0.75">
      <c r="A119" s="20" t="s">
        <v>12</v>
      </c>
      <c r="B119" s="18">
        <v>2022</v>
      </c>
      <c r="C119" s="4">
        <v>10</v>
      </c>
      <c r="D119">
        <v>863</v>
      </c>
      <c r="E119" s="19">
        <v>51.8</v>
      </c>
      <c r="F119" s="26">
        <v>101.75</v>
      </c>
      <c r="G119" s="26">
        <v>1471.6</v>
      </c>
      <c r="H119" s="29">
        <v>1335.52</v>
      </c>
      <c r="I119" s="39">
        <v>1553.3979999999999</v>
      </c>
      <c r="J119" s="40">
        <v>4.75</v>
      </c>
      <c r="K119" s="41">
        <v>15417</v>
      </c>
      <c r="L119" s="24">
        <v>93.3</v>
      </c>
      <c r="M119" s="42">
        <v>97.7</v>
      </c>
    </row>
    <row r="120" spans="1:13" x14ac:dyDescent="0.75">
      <c r="A120" s="20" t="s">
        <v>12</v>
      </c>
      <c r="B120" s="18">
        <v>2022</v>
      </c>
      <c r="C120" s="4">
        <v>11</v>
      </c>
      <c r="D120">
        <v>863</v>
      </c>
      <c r="E120" s="19">
        <v>50.3</v>
      </c>
      <c r="F120" s="26">
        <v>101.51</v>
      </c>
      <c r="G120" s="26">
        <v>1431.76</v>
      </c>
      <c r="H120" s="29">
        <v>1287.53</v>
      </c>
      <c r="I120" s="39">
        <v>910.846</v>
      </c>
      <c r="J120" s="40">
        <v>5.25</v>
      </c>
      <c r="K120" s="41">
        <v>15659</v>
      </c>
      <c r="L120" s="24">
        <v>91.4</v>
      </c>
      <c r="M120" s="42">
        <v>98</v>
      </c>
    </row>
    <row r="121" spans="1:13" x14ac:dyDescent="0.75">
      <c r="A121" s="20" t="s">
        <v>12</v>
      </c>
      <c r="B121" s="18">
        <v>2022</v>
      </c>
      <c r="C121" s="4">
        <v>12</v>
      </c>
      <c r="D121">
        <v>863</v>
      </c>
      <c r="E121" s="19">
        <v>50.9</v>
      </c>
      <c r="F121" s="26">
        <v>102.51</v>
      </c>
      <c r="G121" s="26">
        <v>1446.87</v>
      </c>
      <c r="H121" s="29">
        <v>1601.52</v>
      </c>
      <c r="I121" s="39">
        <v>872.59</v>
      </c>
      <c r="J121" s="40">
        <v>5.5</v>
      </c>
      <c r="K121" s="41">
        <v>15615</v>
      </c>
      <c r="L121" s="24">
        <v>80.900000000000006</v>
      </c>
      <c r="M121" s="42">
        <v>98.7</v>
      </c>
    </row>
    <row r="122" spans="1:13" x14ac:dyDescent="0.75">
      <c r="A122" s="20" t="s">
        <v>13</v>
      </c>
      <c r="B122" s="18">
        <v>2022</v>
      </c>
      <c r="C122" s="4">
        <v>1</v>
      </c>
      <c r="D122" t="s">
        <v>58</v>
      </c>
      <c r="E122" s="19">
        <v>53.7</v>
      </c>
      <c r="F122" s="19">
        <v>98.18</v>
      </c>
      <c r="G122" s="29">
        <v>1020.02</v>
      </c>
      <c r="H122" s="19">
        <v>9629.02</v>
      </c>
      <c r="I122" s="24">
        <v>81655.659</v>
      </c>
      <c r="J122" s="40">
        <v>3.5</v>
      </c>
      <c r="K122" s="41">
        <v>14335</v>
      </c>
      <c r="L122" s="24">
        <v>86.5</v>
      </c>
      <c r="M122" s="42">
        <v>94</v>
      </c>
    </row>
    <row r="123" spans="1:13" x14ac:dyDescent="0.75">
      <c r="A123" s="20" t="s">
        <v>13</v>
      </c>
      <c r="B123" s="18">
        <v>2022</v>
      </c>
      <c r="C123" s="4">
        <v>2</v>
      </c>
      <c r="D123" t="s">
        <v>58</v>
      </c>
      <c r="E123" s="19">
        <v>51.2</v>
      </c>
      <c r="F123" s="19">
        <v>98.13</v>
      </c>
      <c r="G123" s="29">
        <v>950.74</v>
      </c>
      <c r="H123" s="19">
        <v>7574.86</v>
      </c>
      <c r="I123" s="24">
        <v>81507.497000000003</v>
      </c>
      <c r="J123" s="40">
        <v>3.5</v>
      </c>
      <c r="K123" s="41">
        <v>14351</v>
      </c>
      <c r="L123" s="24">
        <v>97.1</v>
      </c>
      <c r="M123" s="42">
        <v>94</v>
      </c>
    </row>
    <row r="124" spans="1:13" x14ac:dyDescent="0.75">
      <c r="A124" s="20" t="s">
        <v>13</v>
      </c>
      <c r="B124" s="18">
        <v>2022</v>
      </c>
      <c r="C124" s="4">
        <v>3</v>
      </c>
      <c r="D124" t="s">
        <v>58</v>
      </c>
      <c r="E124" s="19">
        <v>51.3</v>
      </c>
      <c r="F124" s="19">
        <v>98.52</v>
      </c>
      <c r="G124" s="29">
        <v>980.26</v>
      </c>
      <c r="H124" s="19">
        <v>10029.14</v>
      </c>
      <c r="I124" s="24">
        <v>80388.512000000002</v>
      </c>
      <c r="J124" s="40">
        <v>3.5</v>
      </c>
      <c r="K124" s="41">
        <v>14349</v>
      </c>
      <c r="L124" s="24">
        <v>117.2</v>
      </c>
      <c r="M124" s="42">
        <v>94.7</v>
      </c>
    </row>
    <row r="125" spans="1:13" x14ac:dyDescent="0.75">
      <c r="A125" s="20" t="s">
        <v>13</v>
      </c>
      <c r="B125" s="18">
        <v>2022</v>
      </c>
      <c r="C125" s="4">
        <v>4</v>
      </c>
      <c r="D125" t="s">
        <v>58</v>
      </c>
      <c r="E125" s="19">
        <v>51.9</v>
      </c>
      <c r="F125" s="19">
        <v>99.21</v>
      </c>
      <c r="G125" s="29">
        <v>957.2</v>
      </c>
      <c r="H125" s="19">
        <v>7782.35</v>
      </c>
      <c r="I125" s="24">
        <v>81023.362999999998</v>
      </c>
      <c r="J125" s="40">
        <v>3.5</v>
      </c>
      <c r="K125" s="41">
        <v>14369</v>
      </c>
      <c r="L125" s="24">
        <v>104.6</v>
      </c>
      <c r="M125" s="42">
        <v>95.6</v>
      </c>
    </row>
    <row r="126" spans="1:13" x14ac:dyDescent="0.75">
      <c r="A126" s="20" t="s">
        <v>13</v>
      </c>
      <c r="B126" s="18">
        <v>2022</v>
      </c>
      <c r="C126" s="4">
        <v>5</v>
      </c>
      <c r="D126" t="s">
        <v>58</v>
      </c>
      <c r="E126" s="19">
        <v>50.8</v>
      </c>
      <c r="F126" s="19">
        <v>99.28</v>
      </c>
      <c r="G126" s="29">
        <v>715.36</v>
      </c>
      <c r="H126" s="19">
        <v>8290.32</v>
      </c>
      <c r="I126" s="24">
        <v>80507.635999999999</v>
      </c>
      <c r="J126" s="40">
        <v>3.5</v>
      </c>
      <c r="K126" s="41">
        <v>14608</v>
      </c>
      <c r="L126" s="24">
        <v>113.3</v>
      </c>
      <c r="M126" s="42">
        <v>95.9</v>
      </c>
    </row>
    <row r="127" spans="1:13" x14ac:dyDescent="0.75">
      <c r="A127" s="20" t="s">
        <v>13</v>
      </c>
      <c r="B127" s="18">
        <v>2022</v>
      </c>
      <c r="C127" s="4">
        <v>6</v>
      </c>
      <c r="D127" t="s">
        <v>58</v>
      </c>
      <c r="E127" s="19">
        <v>50.2</v>
      </c>
      <c r="F127" s="19">
        <v>99.61</v>
      </c>
      <c r="G127" s="29">
        <v>996.16</v>
      </c>
      <c r="H127" s="19">
        <v>9564.69</v>
      </c>
      <c r="I127" s="24">
        <v>78455.217999999993</v>
      </c>
      <c r="J127" s="40">
        <v>3.5</v>
      </c>
      <c r="K127" s="41">
        <v>14689</v>
      </c>
      <c r="L127" s="24">
        <v>122.7</v>
      </c>
      <c r="M127" s="42">
        <v>96.6</v>
      </c>
    </row>
    <row r="128" spans="1:13" x14ac:dyDescent="0.75">
      <c r="A128" s="20" t="s">
        <v>13</v>
      </c>
      <c r="B128" s="18">
        <v>2022</v>
      </c>
      <c r="C128" s="4">
        <v>7</v>
      </c>
      <c r="D128">
        <v>356</v>
      </c>
      <c r="E128" s="19">
        <v>51.3</v>
      </c>
      <c r="F128" s="19">
        <v>100.18</v>
      </c>
      <c r="G128" s="29">
        <v>9358.73</v>
      </c>
      <c r="H128" s="19">
        <v>917.12</v>
      </c>
      <c r="I128" s="24">
        <v>79056.274000000005</v>
      </c>
      <c r="J128" s="40">
        <v>3.5</v>
      </c>
      <c r="K128" s="41">
        <v>14984</v>
      </c>
      <c r="L128" s="24">
        <v>111.9</v>
      </c>
      <c r="M128" s="42">
        <v>97</v>
      </c>
    </row>
    <row r="129" spans="1:13" x14ac:dyDescent="0.75">
      <c r="A129" s="20" t="s">
        <v>13</v>
      </c>
      <c r="B129" s="18">
        <v>2022</v>
      </c>
      <c r="C129" s="4">
        <v>8</v>
      </c>
      <c r="D129" t="s">
        <v>58</v>
      </c>
      <c r="E129" s="19">
        <v>51.7</v>
      </c>
      <c r="F129" s="19">
        <v>100.12</v>
      </c>
      <c r="G129" s="29">
        <v>1010.01</v>
      </c>
      <c r="H129" s="19">
        <v>10212.91</v>
      </c>
      <c r="I129" s="24">
        <v>77811.073999999993</v>
      </c>
      <c r="J129" s="40">
        <v>3.75</v>
      </c>
      <c r="K129" s="41">
        <v>14851</v>
      </c>
      <c r="L129" s="24">
        <v>100.4</v>
      </c>
      <c r="M129" s="42">
        <v>96.9</v>
      </c>
    </row>
    <row r="130" spans="1:13" x14ac:dyDescent="0.75">
      <c r="A130" s="20" t="s">
        <v>13</v>
      </c>
      <c r="B130" s="18">
        <v>2022</v>
      </c>
      <c r="C130" s="4">
        <v>9</v>
      </c>
      <c r="D130">
        <v>1655</v>
      </c>
      <c r="E130" s="19">
        <v>53.7</v>
      </c>
      <c r="F130" s="19">
        <v>101.56</v>
      </c>
      <c r="G130" s="29">
        <v>1019.45</v>
      </c>
      <c r="H130" s="19">
        <v>9199.7800000000007</v>
      </c>
      <c r="I130" s="24">
        <v>77064.710000000006</v>
      </c>
      <c r="J130" s="40">
        <v>4.25</v>
      </c>
      <c r="K130" s="41">
        <v>14972</v>
      </c>
      <c r="L130" s="24">
        <v>89.8</v>
      </c>
      <c r="M130" s="42">
        <v>97.7</v>
      </c>
    </row>
    <row r="131" spans="1:13" x14ac:dyDescent="0.75">
      <c r="A131" s="20" t="s">
        <v>13</v>
      </c>
      <c r="B131" s="18">
        <v>2022</v>
      </c>
      <c r="C131" s="4">
        <v>10</v>
      </c>
      <c r="D131">
        <v>1655</v>
      </c>
      <c r="E131" s="19">
        <v>51.8</v>
      </c>
      <c r="F131" s="19">
        <v>101.53</v>
      </c>
      <c r="G131" s="29">
        <v>988.97</v>
      </c>
      <c r="H131" s="19">
        <v>8846.58</v>
      </c>
      <c r="I131" s="24">
        <v>73764.740000000005</v>
      </c>
      <c r="J131" s="40">
        <v>4.75</v>
      </c>
      <c r="K131" s="41">
        <v>15417</v>
      </c>
      <c r="L131" s="24">
        <v>93.3</v>
      </c>
      <c r="M131" s="42">
        <v>97.7</v>
      </c>
    </row>
    <row r="132" spans="1:13" x14ac:dyDescent="0.75">
      <c r="A132" s="20" t="s">
        <v>13</v>
      </c>
      <c r="B132" s="18">
        <v>2022</v>
      </c>
      <c r="C132" s="4">
        <v>11</v>
      </c>
      <c r="D132">
        <v>1655</v>
      </c>
      <c r="E132" s="19">
        <v>50.3</v>
      </c>
      <c r="F132" s="19">
        <v>101.58</v>
      </c>
      <c r="G132" s="29">
        <v>991.21</v>
      </c>
      <c r="H132" s="19">
        <v>9306.65</v>
      </c>
      <c r="I132" s="24">
        <v>71758.756999999998</v>
      </c>
      <c r="J132" s="40">
        <v>5.25</v>
      </c>
      <c r="K132" s="41">
        <v>15659</v>
      </c>
      <c r="L132" s="24">
        <v>91.4</v>
      </c>
      <c r="M132" s="42">
        <v>98</v>
      </c>
    </row>
    <row r="133" spans="1:13" x14ac:dyDescent="0.75">
      <c r="A133" s="20" t="s">
        <v>13</v>
      </c>
      <c r="B133" s="18">
        <v>2022</v>
      </c>
      <c r="C133" s="4">
        <v>12</v>
      </c>
      <c r="D133">
        <v>1655</v>
      </c>
      <c r="E133" s="19">
        <v>50.9</v>
      </c>
      <c r="F133" s="19">
        <v>102.1</v>
      </c>
      <c r="G133" s="29">
        <v>974.75</v>
      </c>
      <c r="H133" s="19">
        <v>8754.74</v>
      </c>
      <c r="I133" s="24">
        <v>67798.163</v>
      </c>
      <c r="J133" s="40">
        <v>5.5</v>
      </c>
      <c r="K133" s="41">
        <v>15615</v>
      </c>
      <c r="L133" s="24">
        <v>80.900000000000006</v>
      </c>
      <c r="M133" s="42">
        <v>98.7</v>
      </c>
    </row>
    <row r="134" spans="1:13" x14ac:dyDescent="0.75">
      <c r="A134" s="20" t="s">
        <v>14</v>
      </c>
      <c r="B134" s="18">
        <v>2022</v>
      </c>
      <c r="C134" s="4">
        <v>1</v>
      </c>
      <c r="D134" t="s">
        <v>58</v>
      </c>
      <c r="E134" s="19">
        <v>53.7</v>
      </c>
      <c r="F134" s="26">
        <v>97.17</v>
      </c>
      <c r="G134" s="29">
        <v>3109.74</v>
      </c>
      <c r="H134" s="26">
        <v>299.26</v>
      </c>
      <c r="I134" s="39">
        <v>17526.088</v>
      </c>
      <c r="J134" s="40">
        <v>3.5</v>
      </c>
      <c r="K134" s="41">
        <v>14335</v>
      </c>
      <c r="L134" s="24">
        <v>86.5</v>
      </c>
      <c r="M134" s="42">
        <v>94</v>
      </c>
    </row>
    <row r="135" spans="1:13" x14ac:dyDescent="0.75">
      <c r="A135" s="20" t="s">
        <v>14</v>
      </c>
      <c r="B135" s="18">
        <v>2022</v>
      </c>
      <c r="C135" s="4">
        <v>2</v>
      </c>
      <c r="D135" t="s">
        <v>58</v>
      </c>
      <c r="E135" s="19">
        <v>51.2</v>
      </c>
      <c r="F135" s="26">
        <v>97.21</v>
      </c>
      <c r="G135" s="29">
        <v>2959</v>
      </c>
      <c r="H135" s="26">
        <v>416.79</v>
      </c>
      <c r="I135" s="39">
        <v>17589.748</v>
      </c>
      <c r="J135" s="40">
        <v>3.5</v>
      </c>
      <c r="K135" s="41">
        <v>14351</v>
      </c>
      <c r="L135" s="24">
        <v>97.1</v>
      </c>
      <c r="M135" s="42">
        <v>94</v>
      </c>
    </row>
    <row r="136" spans="1:13" x14ac:dyDescent="0.75">
      <c r="A136" s="20" t="s">
        <v>14</v>
      </c>
      <c r="B136" s="18">
        <v>2022</v>
      </c>
      <c r="C136" s="4">
        <v>3</v>
      </c>
      <c r="D136" t="s">
        <v>58</v>
      </c>
      <c r="E136" s="19">
        <v>51.3</v>
      </c>
      <c r="F136" s="26">
        <v>97.74</v>
      </c>
      <c r="G136" s="29">
        <v>3508.25</v>
      </c>
      <c r="H136" s="26">
        <v>585.75</v>
      </c>
      <c r="I136" s="39">
        <v>17576.246999999999</v>
      </c>
      <c r="J136" s="40">
        <v>3.5</v>
      </c>
      <c r="K136" s="41">
        <v>14349</v>
      </c>
      <c r="L136" s="24">
        <v>117.2</v>
      </c>
      <c r="M136" s="42">
        <v>94.7</v>
      </c>
    </row>
    <row r="137" spans="1:13" x14ac:dyDescent="0.75">
      <c r="A137" s="20" t="s">
        <v>14</v>
      </c>
      <c r="B137" s="18">
        <v>2022</v>
      </c>
      <c r="C137" s="4">
        <v>4</v>
      </c>
      <c r="D137" t="s">
        <v>58</v>
      </c>
      <c r="E137" s="19">
        <v>51.9</v>
      </c>
      <c r="F137" s="26">
        <v>99.01</v>
      </c>
      <c r="G137" s="29">
        <v>3451.36</v>
      </c>
      <c r="H137" s="26">
        <v>1138.05</v>
      </c>
      <c r="I137" s="39">
        <v>18878.601999999999</v>
      </c>
      <c r="J137" s="40">
        <v>3.5</v>
      </c>
      <c r="K137" s="41">
        <v>14369</v>
      </c>
      <c r="L137" s="24">
        <v>104.6</v>
      </c>
      <c r="M137" s="42">
        <v>95.6</v>
      </c>
    </row>
    <row r="138" spans="1:13" x14ac:dyDescent="0.75">
      <c r="A138" s="20" t="s">
        <v>14</v>
      </c>
      <c r="B138" s="18">
        <v>2022</v>
      </c>
      <c r="C138" s="4">
        <v>5</v>
      </c>
      <c r="D138" t="s">
        <v>58</v>
      </c>
      <c r="E138" s="19">
        <v>50.8</v>
      </c>
      <c r="F138" s="26">
        <v>99.46</v>
      </c>
      <c r="G138" s="29">
        <v>2684.11</v>
      </c>
      <c r="H138" s="26">
        <v>442.07</v>
      </c>
      <c r="I138" s="39">
        <v>19348.097000000002</v>
      </c>
      <c r="J138" s="40">
        <v>3.5</v>
      </c>
      <c r="K138" s="41">
        <v>14608</v>
      </c>
      <c r="L138" s="24">
        <v>113.3</v>
      </c>
      <c r="M138" s="42">
        <v>95.9</v>
      </c>
    </row>
    <row r="139" spans="1:13" x14ac:dyDescent="0.75">
      <c r="A139" s="20" t="s">
        <v>14</v>
      </c>
      <c r="B139" s="18">
        <v>2022</v>
      </c>
      <c r="C139" s="4">
        <v>6</v>
      </c>
      <c r="D139" t="s">
        <v>58</v>
      </c>
      <c r="E139" s="19">
        <v>50.2</v>
      </c>
      <c r="F139" s="26">
        <v>100.23</v>
      </c>
      <c r="G139" s="29">
        <v>3521.63</v>
      </c>
      <c r="H139" s="26">
        <v>419.04</v>
      </c>
      <c r="I139" s="39">
        <v>17595.023000000001</v>
      </c>
      <c r="J139" s="40">
        <v>3.5</v>
      </c>
      <c r="K139" s="41">
        <v>14689</v>
      </c>
      <c r="L139" s="24">
        <v>122.7</v>
      </c>
      <c r="M139" s="42">
        <v>96.6</v>
      </c>
    </row>
    <row r="140" spans="1:13" x14ac:dyDescent="0.75">
      <c r="A140" s="20" t="s">
        <v>14</v>
      </c>
      <c r="B140" s="18">
        <v>2022</v>
      </c>
      <c r="C140" s="4">
        <v>7</v>
      </c>
      <c r="D140">
        <v>223</v>
      </c>
      <c r="E140" s="19">
        <v>51.3</v>
      </c>
      <c r="F140" s="26">
        <v>100.85</v>
      </c>
      <c r="G140" s="29">
        <v>516.46</v>
      </c>
      <c r="H140" s="26">
        <v>3298.98</v>
      </c>
      <c r="I140" s="39">
        <v>17701.939999999999</v>
      </c>
      <c r="J140" s="40">
        <v>3.5</v>
      </c>
      <c r="K140" s="41">
        <v>14984</v>
      </c>
      <c r="L140" s="24">
        <v>111.9</v>
      </c>
      <c r="M140" s="42">
        <v>97</v>
      </c>
    </row>
    <row r="141" spans="1:13" x14ac:dyDescent="0.75">
      <c r="A141" s="20" t="s">
        <v>14</v>
      </c>
      <c r="B141" s="18">
        <v>2022</v>
      </c>
      <c r="C141" s="4">
        <v>8</v>
      </c>
      <c r="D141" t="s">
        <v>58</v>
      </c>
      <c r="E141" s="19">
        <v>51.7</v>
      </c>
      <c r="F141" s="26">
        <v>100.56</v>
      </c>
      <c r="G141" s="29">
        <v>3489.67</v>
      </c>
      <c r="H141" s="26">
        <v>518.47</v>
      </c>
      <c r="I141" s="39">
        <v>17590.757000000001</v>
      </c>
      <c r="J141" s="40">
        <v>3.75</v>
      </c>
      <c r="K141" s="41">
        <v>14851</v>
      </c>
      <c r="L141" s="24">
        <v>100.4</v>
      </c>
      <c r="M141" s="42">
        <v>96.9</v>
      </c>
    </row>
    <row r="142" spans="1:13" x14ac:dyDescent="0.75">
      <c r="A142" s="20" t="s">
        <v>14</v>
      </c>
      <c r="B142" s="18">
        <v>2022</v>
      </c>
      <c r="C142" s="4">
        <v>9</v>
      </c>
      <c r="D142">
        <v>223</v>
      </c>
      <c r="E142" s="19">
        <v>53.7</v>
      </c>
      <c r="F142" s="26">
        <v>101.8</v>
      </c>
      <c r="G142" s="29">
        <v>3350.32</v>
      </c>
      <c r="H142" s="26">
        <v>341.11</v>
      </c>
      <c r="I142" s="39">
        <v>17355.937999999998</v>
      </c>
      <c r="J142" s="40">
        <v>4.25</v>
      </c>
      <c r="K142" s="41">
        <v>14972</v>
      </c>
      <c r="L142" s="24">
        <v>89.8</v>
      </c>
      <c r="M142" s="42">
        <v>97.7</v>
      </c>
    </row>
    <row r="143" spans="1:13" x14ac:dyDescent="0.75">
      <c r="A143" s="20" t="s">
        <v>14</v>
      </c>
      <c r="B143" s="18">
        <v>2022</v>
      </c>
      <c r="C143" s="4">
        <v>10</v>
      </c>
      <c r="D143">
        <v>223</v>
      </c>
      <c r="E143" s="19">
        <v>51.8</v>
      </c>
      <c r="F143" s="26">
        <v>101.77</v>
      </c>
      <c r="G143" s="29">
        <v>3151.5</v>
      </c>
      <c r="H143" s="26">
        <v>464.66</v>
      </c>
      <c r="I143" s="39">
        <v>17408.763999999999</v>
      </c>
      <c r="J143" s="40">
        <v>4.75</v>
      </c>
      <c r="K143" s="41">
        <v>15417</v>
      </c>
      <c r="L143" s="24">
        <v>93.3</v>
      </c>
      <c r="M143" s="42">
        <v>97.7</v>
      </c>
    </row>
    <row r="144" spans="1:13" x14ac:dyDescent="0.75">
      <c r="A144" s="20" t="s">
        <v>14</v>
      </c>
      <c r="B144" s="18">
        <v>2022</v>
      </c>
      <c r="C144" s="4">
        <v>11</v>
      </c>
      <c r="D144">
        <v>223</v>
      </c>
      <c r="E144" s="19">
        <v>50.3</v>
      </c>
      <c r="F144" s="26">
        <v>101.88</v>
      </c>
      <c r="G144" s="29">
        <v>3081.35</v>
      </c>
      <c r="H144" s="26">
        <v>329.29</v>
      </c>
      <c r="I144" s="39">
        <v>17113.252</v>
      </c>
      <c r="J144" s="40">
        <v>5.25</v>
      </c>
      <c r="K144" s="41">
        <v>15659</v>
      </c>
      <c r="L144" s="24">
        <v>91.4</v>
      </c>
      <c r="M144" s="42">
        <v>98</v>
      </c>
    </row>
    <row r="145" spans="1:13" x14ac:dyDescent="0.75">
      <c r="A145" s="20" t="s">
        <v>14</v>
      </c>
      <c r="B145" s="18">
        <v>2022</v>
      </c>
      <c r="C145" s="4">
        <v>12</v>
      </c>
      <c r="D145">
        <v>4629</v>
      </c>
      <c r="E145" s="19">
        <v>50.9</v>
      </c>
      <c r="F145" s="26">
        <v>102.32</v>
      </c>
      <c r="G145" s="29">
        <v>2984.92</v>
      </c>
      <c r="H145" s="26">
        <v>407.6</v>
      </c>
      <c r="I145" s="39">
        <v>16496.315999999999</v>
      </c>
      <c r="J145" s="40">
        <v>5.5</v>
      </c>
      <c r="K145" s="41">
        <v>15615</v>
      </c>
      <c r="L145" s="24">
        <v>80.900000000000006</v>
      </c>
      <c r="M145" s="42">
        <v>98.7</v>
      </c>
    </row>
    <row r="146" spans="1:13" x14ac:dyDescent="0.75">
      <c r="A146" s="20" t="s">
        <v>15</v>
      </c>
      <c r="B146" s="18">
        <v>2022</v>
      </c>
      <c r="C146" s="4">
        <v>1</v>
      </c>
      <c r="D146" t="s">
        <v>58</v>
      </c>
      <c r="E146" s="19">
        <v>53.7</v>
      </c>
      <c r="F146" s="29">
        <v>97.12</v>
      </c>
      <c r="G146" s="26">
        <v>1051.54</v>
      </c>
      <c r="H146" s="19">
        <v>1025.01</v>
      </c>
      <c r="I146" s="24">
        <v>16835.885999999999</v>
      </c>
      <c r="J146" s="40">
        <v>3.5</v>
      </c>
      <c r="K146" s="41">
        <v>14335</v>
      </c>
      <c r="L146" s="24">
        <v>86.5</v>
      </c>
      <c r="M146" s="42">
        <v>94</v>
      </c>
    </row>
    <row r="147" spans="1:13" x14ac:dyDescent="0.75">
      <c r="A147" s="20" t="s">
        <v>15</v>
      </c>
      <c r="B147" s="18">
        <v>2022</v>
      </c>
      <c r="C147" s="4">
        <v>2</v>
      </c>
      <c r="D147" t="s">
        <v>58</v>
      </c>
      <c r="E147" s="19">
        <v>51.2</v>
      </c>
      <c r="F147" s="29">
        <v>97.1</v>
      </c>
      <c r="G147" s="26">
        <v>938.18</v>
      </c>
      <c r="H147" s="19">
        <v>1141.9000000000001</v>
      </c>
      <c r="I147" s="24">
        <v>16343.349</v>
      </c>
      <c r="J147" s="40">
        <v>3.5</v>
      </c>
      <c r="K147" s="41">
        <v>14351</v>
      </c>
      <c r="L147" s="24">
        <v>97.1</v>
      </c>
      <c r="M147" s="42">
        <v>94</v>
      </c>
    </row>
    <row r="148" spans="1:13" x14ac:dyDescent="0.75">
      <c r="A148" s="20" t="s">
        <v>15</v>
      </c>
      <c r="B148" s="18">
        <v>2022</v>
      </c>
      <c r="C148" s="4">
        <v>3</v>
      </c>
      <c r="D148" t="s">
        <v>58</v>
      </c>
      <c r="E148" s="19">
        <v>51.3</v>
      </c>
      <c r="F148" s="29">
        <v>98</v>
      </c>
      <c r="G148" s="26">
        <v>1181.81</v>
      </c>
      <c r="H148" s="19">
        <v>1008.72</v>
      </c>
      <c r="I148" s="24">
        <v>16125.058000000001</v>
      </c>
      <c r="J148" s="40">
        <v>3.5</v>
      </c>
      <c r="K148" s="41">
        <v>14349</v>
      </c>
      <c r="L148" s="24">
        <v>117.2</v>
      </c>
      <c r="M148" s="42">
        <v>94.7</v>
      </c>
    </row>
    <row r="149" spans="1:13" x14ac:dyDescent="0.75">
      <c r="A149" s="20" t="s">
        <v>15</v>
      </c>
      <c r="B149" s="18">
        <v>2022</v>
      </c>
      <c r="C149" s="4">
        <v>4</v>
      </c>
      <c r="D149" t="s">
        <v>58</v>
      </c>
      <c r="E149" s="19">
        <v>51.9</v>
      </c>
      <c r="F149" s="29">
        <v>99.11</v>
      </c>
      <c r="G149" s="26">
        <v>1117</v>
      </c>
      <c r="H149" s="19">
        <v>1664.31</v>
      </c>
      <c r="I149" s="24">
        <v>16541.195</v>
      </c>
      <c r="J149" s="40">
        <v>3.5</v>
      </c>
      <c r="K149" s="41">
        <v>14369</v>
      </c>
      <c r="L149" s="24">
        <v>104.6</v>
      </c>
      <c r="M149" s="42">
        <v>95.6</v>
      </c>
    </row>
    <row r="150" spans="1:13" x14ac:dyDescent="0.75">
      <c r="A150" s="20" t="s">
        <v>15</v>
      </c>
      <c r="B150" s="18">
        <v>2022</v>
      </c>
      <c r="C150" s="4">
        <v>5</v>
      </c>
      <c r="D150" t="s">
        <v>58</v>
      </c>
      <c r="E150" s="19">
        <v>50.8</v>
      </c>
      <c r="F150" s="29">
        <v>99.57</v>
      </c>
      <c r="G150" s="26">
        <v>780.74</v>
      </c>
      <c r="H150" s="19">
        <v>1338.93</v>
      </c>
      <c r="I150" s="24">
        <v>16570.912</v>
      </c>
      <c r="J150" s="40">
        <v>3.5</v>
      </c>
      <c r="K150" s="41">
        <v>14608</v>
      </c>
      <c r="L150" s="24">
        <v>113.3</v>
      </c>
      <c r="M150" s="42">
        <v>95.9</v>
      </c>
    </row>
    <row r="151" spans="1:13" x14ac:dyDescent="0.75">
      <c r="A151" s="20" t="s">
        <v>15</v>
      </c>
      <c r="B151" s="18">
        <v>2022</v>
      </c>
      <c r="C151" s="4">
        <v>6</v>
      </c>
      <c r="D151" t="s">
        <v>58</v>
      </c>
      <c r="E151" s="19">
        <v>50.2</v>
      </c>
      <c r="F151" s="29">
        <v>100.6</v>
      </c>
      <c r="G151" s="26">
        <v>1100.99</v>
      </c>
      <c r="H151" s="19">
        <v>1096.29</v>
      </c>
      <c r="I151" s="24">
        <v>16157.311</v>
      </c>
      <c r="J151" s="40">
        <v>3.5</v>
      </c>
      <c r="K151" s="41">
        <v>14689</v>
      </c>
      <c r="L151" s="24">
        <v>122.7</v>
      </c>
      <c r="M151" s="42">
        <v>96.6</v>
      </c>
    </row>
    <row r="152" spans="1:13" x14ac:dyDescent="0.75">
      <c r="A152" s="20" t="s">
        <v>15</v>
      </c>
      <c r="B152" s="18">
        <v>2022</v>
      </c>
      <c r="C152" s="4">
        <v>7</v>
      </c>
      <c r="D152">
        <v>35</v>
      </c>
      <c r="E152" s="19">
        <v>51.3</v>
      </c>
      <c r="F152" s="29">
        <v>100.89</v>
      </c>
      <c r="G152" s="26">
        <v>1607.52</v>
      </c>
      <c r="H152" s="19">
        <v>1022.48</v>
      </c>
      <c r="I152" s="24">
        <v>16126.707</v>
      </c>
      <c r="J152" s="40">
        <v>3.5</v>
      </c>
      <c r="K152" s="41">
        <v>14984</v>
      </c>
      <c r="L152" s="24">
        <v>111.9</v>
      </c>
      <c r="M152" s="42">
        <v>97</v>
      </c>
    </row>
    <row r="153" spans="1:13" x14ac:dyDescent="0.75">
      <c r="A153" s="20" t="s">
        <v>15</v>
      </c>
      <c r="B153" s="18">
        <v>2022</v>
      </c>
      <c r="C153" s="4">
        <v>8</v>
      </c>
      <c r="D153" t="s">
        <v>58</v>
      </c>
      <c r="E153" s="19">
        <v>51.7</v>
      </c>
      <c r="F153" s="29">
        <v>100.48</v>
      </c>
      <c r="G153" s="26">
        <v>1021.04</v>
      </c>
      <c r="H153" s="19">
        <v>1579.22</v>
      </c>
      <c r="I153" s="24">
        <v>15899.64</v>
      </c>
      <c r="J153" s="40">
        <v>3.75</v>
      </c>
      <c r="K153" s="41">
        <v>14851</v>
      </c>
      <c r="L153" s="24">
        <v>100.4</v>
      </c>
      <c r="M153" s="42">
        <v>96.9</v>
      </c>
    </row>
    <row r="154" spans="1:13" x14ac:dyDescent="0.75">
      <c r="A154" t="s">
        <v>15</v>
      </c>
      <c r="B154" s="18">
        <v>2022</v>
      </c>
      <c r="C154" s="4">
        <v>9</v>
      </c>
      <c r="D154">
        <v>35</v>
      </c>
      <c r="E154" s="19">
        <v>53.7</v>
      </c>
      <c r="F154" s="29">
        <v>101.66</v>
      </c>
      <c r="G154" s="26">
        <v>909.41</v>
      </c>
      <c r="H154" s="19">
        <v>1103.01</v>
      </c>
      <c r="I154" s="24">
        <v>15886.55</v>
      </c>
      <c r="J154" s="40">
        <v>4.25</v>
      </c>
      <c r="K154" s="41">
        <v>14972</v>
      </c>
      <c r="L154" s="24">
        <v>89.8</v>
      </c>
      <c r="M154" s="42">
        <v>97.7</v>
      </c>
    </row>
    <row r="155" spans="1:13" x14ac:dyDescent="0.75">
      <c r="A155" t="s">
        <v>15</v>
      </c>
      <c r="B155" s="18">
        <v>2022</v>
      </c>
      <c r="C155" s="4">
        <v>10</v>
      </c>
      <c r="D155">
        <v>35</v>
      </c>
      <c r="E155" s="19">
        <v>51.8</v>
      </c>
      <c r="F155" s="29">
        <v>101.51</v>
      </c>
      <c r="G155" s="26">
        <v>871.62</v>
      </c>
      <c r="H155" s="19">
        <v>1194.96</v>
      </c>
      <c r="I155" s="24">
        <v>16226.444</v>
      </c>
      <c r="J155" s="40">
        <v>4.75</v>
      </c>
      <c r="K155" s="41">
        <v>15417</v>
      </c>
      <c r="L155" s="24">
        <v>93.3</v>
      </c>
      <c r="M155" s="42">
        <v>97.7</v>
      </c>
    </row>
    <row r="156" spans="1:13" x14ac:dyDescent="0.75">
      <c r="A156" t="s">
        <v>15</v>
      </c>
      <c r="B156" s="18">
        <v>2022</v>
      </c>
      <c r="C156" s="4">
        <v>11</v>
      </c>
      <c r="D156">
        <v>79</v>
      </c>
      <c r="E156" s="19">
        <v>50.3</v>
      </c>
      <c r="F156" s="29">
        <v>101.68</v>
      </c>
      <c r="G156" s="26">
        <v>905.88</v>
      </c>
      <c r="H156" s="19">
        <v>1102.8800000000001</v>
      </c>
      <c r="I156" s="24">
        <v>16322.448</v>
      </c>
      <c r="J156" s="40">
        <v>5.25</v>
      </c>
      <c r="K156" s="41">
        <v>15659</v>
      </c>
      <c r="L156" s="24">
        <v>91.4</v>
      </c>
      <c r="M156" s="42">
        <v>98</v>
      </c>
    </row>
    <row r="157" spans="1:13" x14ac:dyDescent="0.75">
      <c r="A157" t="s">
        <v>15</v>
      </c>
      <c r="B157" s="18">
        <v>2022</v>
      </c>
      <c r="C157" s="4">
        <v>12</v>
      </c>
      <c r="D157">
        <v>467</v>
      </c>
      <c r="E157" s="19">
        <v>50.9</v>
      </c>
      <c r="F157" s="29">
        <v>102.26</v>
      </c>
      <c r="G157" s="26">
        <v>877.23</v>
      </c>
      <c r="H157" s="19">
        <v>1150.8599999999999</v>
      </c>
      <c r="I157" s="24">
        <v>14530.966</v>
      </c>
      <c r="J157" s="40">
        <v>5.5</v>
      </c>
      <c r="K157" s="41">
        <v>15615</v>
      </c>
      <c r="L157" s="24">
        <v>80.900000000000006</v>
      </c>
      <c r="M157" s="42">
        <v>98.7</v>
      </c>
    </row>
    <row r="158" spans="1:13" x14ac:dyDescent="0.75">
      <c r="A158" t="s">
        <v>16</v>
      </c>
      <c r="B158" s="18">
        <v>2022</v>
      </c>
      <c r="C158" s="4">
        <v>1</v>
      </c>
      <c r="D158" t="s">
        <v>58</v>
      </c>
      <c r="E158" s="19">
        <v>53.7</v>
      </c>
      <c r="F158" s="29"/>
      <c r="G158" s="19">
        <v>51.82</v>
      </c>
      <c r="H158" s="19">
        <v>1.97</v>
      </c>
      <c r="I158" s="19">
        <v>1161.8900000000001</v>
      </c>
      <c r="J158" s="40">
        <v>3.5</v>
      </c>
      <c r="K158" s="41">
        <v>14335</v>
      </c>
      <c r="L158" s="24">
        <v>86.5</v>
      </c>
      <c r="M158" s="42">
        <v>94</v>
      </c>
    </row>
    <row r="159" spans="1:13" x14ac:dyDescent="0.75">
      <c r="A159" t="s">
        <v>16</v>
      </c>
      <c r="B159" s="18">
        <v>2022</v>
      </c>
      <c r="C159" s="4">
        <v>2</v>
      </c>
      <c r="D159" t="s">
        <v>58</v>
      </c>
      <c r="E159" s="19">
        <v>51.2</v>
      </c>
      <c r="F159" s="29"/>
      <c r="G159" s="19">
        <v>47.28</v>
      </c>
      <c r="H159" s="19">
        <v>0.02</v>
      </c>
      <c r="I159" s="19">
        <v>1173.8499999999999</v>
      </c>
      <c r="J159" s="40">
        <v>3.5</v>
      </c>
      <c r="K159" s="41">
        <v>14351</v>
      </c>
      <c r="L159" s="24">
        <v>97.1</v>
      </c>
      <c r="M159" s="42">
        <v>94</v>
      </c>
    </row>
    <row r="160" spans="1:13" x14ac:dyDescent="0.75">
      <c r="A160" t="s">
        <v>16</v>
      </c>
      <c r="B160" s="18">
        <v>2022</v>
      </c>
      <c r="C160" s="4">
        <v>3</v>
      </c>
      <c r="D160" t="s">
        <v>58</v>
      </c>
      <c r="E160" s="19">
        <v>51.3</v>
      </c>
      <c r="F160" s="29"/>
      <c r="G160" s="19">
        <v>61.33</v>
      </c>
      <c r="H160" s="19">
        <v>1.79</v>
      </c>
      <c r="I160" s="19">
        <v>1255.4159999999999</v>
      </c>
      <c r="J160" s="40">
        <v>3.5</v>
      </c>
      <c r="K160" s="41">
        <v>14349</v>
      </c>
      <c r="L160" s="24">
        <v>117.2</v>
      </c>
      <c r="M160" s="42">
        <v>94.7</v>
      </c>
    </row>
    <row r="161" spans="1:13" x14ac:dyDescent="0.75">
      <c r="A161" t="s">
        <v>16</v>
      </c>
      <c r="B161" s="18">
        <v>2022</v>
      </c>
      <c r="C161" s="4">
        <v>4</v>
      </c>
      <c r="D161" t="s">
        <v>58</v>
      </c>
      <c r="E161" s="19">
        <v>51.9</v>
      </c>
      <c r="F161" s="29"/>
      <c r="G161" s="19">
        <v>56.4</v>
      </c>
      <c r="H161" s="19">
        <v>11.84</v>
      </c>
      <c r="I161" s="19">
        <v>1343.26</v>
      </c>
      <c r="J161" s="40">
        <v>3.5</v>
      </c>
      <c r="K161" s="41">
        <v>14369</v>
      </c>
      <c r="L161" s="24">
        <v>104.6</v>
      </c>
      <c r="M161" s="42">
        <v>95.6</v>
      </c>
    </row>
    <row r="162" spans="1:13" x14ac:dyDescent="0.75">
      <c r="A162" t="s">
        <v>16</v>
      </c>
      <c r="B162" s="18">
        <v>2022</v>
      </c>
      <c r="C162" s="4">
        <v>5</v>
      </c>
      <c r="D162" t="s">
        <v>58</v>
      </c>
      <c r="E162" s="19">
        <v>50.8</v>
      </c>
      <c r="F162" s="29"/>
      <c r="G162" s="19">
        <v>35.770000000000003</v>
      </c>
      <c r="H162" s="19">
        <v>0.02</v>
      </c>
      <c r="I162" s="19">
        <v>1370.0239999999999</v>
      </c>
      <c r="J162" s="40">
        <v>3.5</v>
      </c>
      <c r="K162" s="41">
        <v>14608</v>
      </c>
      <c r="L162" s="24">
        <v>113.3</v>
      </c>
      <c r="M162" s="42">
        <v>95.9</v>
      </c>
    </row>
    <row r="163" spans="1:13" x14ac:dyDescent="0.75">
      <c r="A163" t="s">
        <v>16</v>
      </c>
      <c r="B163" s="18">
        <v>2022</v>
      </c>
      <c r="C163" s="4">
        <v>6</v>
      </c>
      <c r="D163" t="s">
        <v>58</v>
      </c>
      <c r="E163" s="19">
        <v>50.2</v>
      </c>
      <c r="F163" s="29"/>
      <c r="G163" s="19">
        <v>54.78</v>
      </c>
      <c r="H163" s="19">
        <v>0</v>
      </c>
      <c r="I163" s="19">
        <v>1340.51</v>
      </c>
      <c r="J163" s="40">
        <v>3.5</v>
      </c>
      <c r="K163" s="41">
        <v>14689</v>
      </c>
      <c r="L163" s="24">
        <v>122.7</v>
      </c>
      <c r="M163" s="42">
        <v>96.6</v>
      </c>
    </row>
    <row r="164" spans="1:13" x14ac:dyDescent="0.75">
      <c r="A164" t="s">
        <v>16</v>
      </c>
      <c r="B164" s="18">
        <v>2022</v>
      </c>
      <c r="C164" s="4">
        <v>7</v>
      </c>
      <c r="D164">
        <v>113</v>
      </c>
      <c r="E164" s="19">
        <v>51.3</v>
      </c>
      <c r="F164" s="29"/>
      <c r="G164" s="19"/>
      <c r="H164" s="19">
        <v>47.28</v>
      </c>
      <c r="I164" s="19">
        <v>1434.3219999999999</v>
      </c>
      <c r="J164" s="40">
        <v>3.5</v>
      </c>
      <c r="K164" s="41">
        <v>14984</v>
      </c>
      <c r="L164" s="24">
        <v>111.9</v>
      </c>
      <c r="M164" s="42">
        <v>97</v>
      </c>
    </row>
    <row r="165" spans="1:13" x14ac:dyDescent="0.75">
      <c r="A165" t="s">
        <v>16</v>
      </c>
      <c r="B165" s="18">
        <v>2022</v>
      </c>
      <c r="C165" s="4">
        <v>8</v>
      </c>
      <c r="D165" t="s">
        <v>58</v>
      </c>
      <c r="E165" s="19">
        <v>51.7</v>
      </c>
      <c r="F165" s="29"/>
      <c r="G165" s="19">
        <v>46.87</v>
      </c>
      <c r="H165" s="19"/>
      <c r="I165" s="19">
        <v>1464.624</v>
      </c>
      <c r="J165" s="40">
        <v>3.75</v>
      </c>
      <c r="K165" s="41">
        <v>14851</v>
      </c>
      <c r="L165" s="24">
        <v>100.4</v>
      </c>
      <c r="M165" s="42">
        <v>96.9</v>
      </c>
    </row>
    <row r="166" spans="1:13" x14ac:dyDescent="0.75">
      <c r="A166" t="s">
        <v>16</v>
      </c>
      <c r="B166" s="18">
        <v>2022</v>
      </c>
      <c r="C166" s="4">
        <v>9</v>
      </c>
      <c r="D166">
        <v>113</v>
      </c>
      <c r="E166" s="19">
        <v>53.7</v>
      </c>
      <c r="F166" s="29"/>
      <c r="G166" s="19">
        <v>44.67</v>
      </c>
      <c r="H166" s="19">
        <v>0.01</v>
      </c>
      <c r="I166" s="19">
        <v>1338.115</v>
      </c>
      <c r="J166" s="40">
        <v>4.25</v>
      </c>
      <c r="K166" s="41">
        <v>14972</v>
      </c>
      <c r="L166" s="24">
        <v>89.8</v>
      </c>
      <c r="M166" s="42">
        <v>97.7</v>
      </c>
    </row>
    <row r="167" spans="1:13" x14ac:dyDescent="0.75">
      <c r="A167" t="s">
        <v>16</v>
      </c>
      <c r="B167" s="18">
        <v>2022</v>
      </c>
      <c r="C167" s="4">
        <v>10</v>
      </c>
      <c r="D167">
        <v>113</v>
      </c>
      <c r="E167" s="19">
        <v>51.8</v>
      </c>
      <c r="F167" s="29"/>
      <c r="G167" s="19">
        <v>39.46</v>
      </c>
      <c r="H167" s="19">
        <v>0.09</v>
      </c>
      <c r="I167" s="19">
        <v>1350.732</v>
      </c>
      <c r="J167" s="40">
        <v>4.75</v>
      </c>
      <c r="K167" s="41">
        <v>15417</v>
      </c>
      <c r="L167" s="24">
        <v>93.3</v>
      </c>
      <c r="M167" s="42">
        <v>97.7</v>
      </c>
    </row>
    <row r="168" spans="1:13" x14ac:dyDescent="0.75">
      <c r="A168" t="s">
        <v>16</v>
      </c>
      <c r="B168" s="18">
        <v>2022</v>
      </c>
      <c r="C168" s="4">
        <v>11</v>
      </c>
      <c r="D168">
        <v>113</v>
      </c>
      <c r="E168" s="19">
        <v>50.3</v>
      </c>
      <c r="F168" s="29"/>
      <c r="G168" s="19">
        <v>42.8</v>
      </c>
      <c r="H168" s="19">
        <v>0.01</v>
      </c>
      <c r="I168" s="19">
        <v>1352.6420000000001</v>
      </c>
      <c r="J168" s="40">
        <v>5.25</v>
      </c>
      <c r="K168" s="41">
        <v>15659</v>
      </c>
      <c r="L168" s="24">
        <v>91.4</v>
      </c>
      <c r="M168" s="42">
        <v>98</v>
      </c>
    </row>
    <row r="169" spans="1:13" x14ac:dyDescent="0.75">
      <c r="A169" t="s">
        <v>16</v>
      </c>
      <c r="B169" s="18">
        <v>2022</v>
      </c>
      <c r="C169" s="4">
        <v>12</v>
      </c>
      <c r="D169">
        <v>113</v>
      </c>
      <c r="E169" s="19">
        <v>50.9</v>
      </c>
      <c r="F169" s="29"/>
      <c r="G169" s="19">
        <v>54.84</v>
      </c>
      <c r="H169" s="19">
        <v>0.02</v>
      </c>
      <c r="I169" s="19">
        <v>1259.6579999999999</v>
      </c>
      <c r="J169" s="40">
        <v>5.5</v>
      </c>
      <c r="K169" s="41">
        <v>15615</v>
      </c>
      <c r="L169" s="24">
        <v>80.900000000000006</v>
      </c>
      <c r="M169" s="42">
        <v>98.7</v>
      </c>
    </row>
    <row r="170" spans="1:13" x14ac:dyDescent="0.75">
      <c r="A170" t="s">
        <v>17</v>
      </c>
      <c r="B170" s="18">
        <v>2022</v>
      </c>
      <c r="C170" s="4">
        <v>1</v>
      </c>
      <c r="D170" t="s">
        <v>58</v>
      </c>
      <c r="E170" s="19">
        <v>53.7</v>
      </c>
      <c r="F170" s="26">
        <v>97.2</v>
      </c>
      <c r="G170" s="19">
        <v>1880.16</v>
      </c>
      <c r="H170" s="19">
        <v>2260.6</v>
      </c>
      <c r="I170" s="19">
        <v>18198.523000000001</v>
      </c>
      <c r="J170" s="40">
        <v>3.5</v>
      </c>
      <c r="K170" s="41">
        <v>14335</v>
      </c>
      <c r="L170" s="24">
        <v>86.5</v>
      </c>
      <c r="M170" s="42">
        <v>94</v>
      </c>
    </row>
    <row r="171" spans="1:13" x14ac:dyDescent="0.75">
      <c r="A171" t="s">
        <v>17</v>
      </c>
      <c r="B171" s="18">
        <v>2022</v>
      </c>
      <c r="C171" s="4">
        <v>2</v>
      </c>
      <c r="D171" t="s">
        <v>58</v>
      </c>
      <c r="E171" s="19">
        <v>51.2</v>
      </c>
      <c r="F171" s="26">
        <v>97.17</v>
      </c>
      <c r="G171" s="19">
        <v>2268.38</v>
      </c>
      <c r="H171" s="19">
        <v>2331.31</v>
      </c>
      <c r="I171" s="19">
        <v>18443.044000000002</v>
      </c>
      <c r="J171" s="40">
        <v>3.5</v>
      </c>
      <c r="K171" s="41">
        <v>14351</v>
      </c>
      <c r="L171" s="24">
        <v>97.1</v>
      </c>
      <c r="M171" s="42">
        <v>94</v>
      </c>
    </row>
    <row r="172" spans="1:13" x14ac:dyDescent="0.75">
      <c r="A172" t="s">
        <v>17</v>
      </c>
      <c r="B172" s="18">
        <v>2022</v>
      </c>
      <c r="C172" s="4">
        <v>3</v>
      </c>
      <c r="D172" t="s">
        <v>58</v>
      </c>
      <c r="E172" s="19">
        <v>51.3</v>
      </c>
      <c r="F172" s="26">
        <v>97.88</v>
      </c>
      <c r="G172" s="19">
        <v>2721.33</v>
      </c>
      <c r="H172" s="19">
        <v>3053.77</v>
      </c>
      <c r="I172" s="19">
        <v>18140.285</v>
      </c>
      <c r="J172" s="40">
        <v>3.5</v>
      </c>
      <c r="K172" s="41">
        <v>14349</v>
      </c>
      <c r="L172" s="24">
        <v>117.2</v>
      </c>
      <c r="M172" s="42">
        <v>94.7</v>
      </c>
    </row>
    <row r="173" spans="1:13" x14ac:dyDescent="0.75">
      <c r="A173" t="s">
        <v>17</v>
      </c>
      <c r="B173" s="18">
        <v>2022</v>
      </c>
      <c r="C173" s="4">
        <v>4</v>
      </c>
      <c r="D173" t="s">
        <v>58</v>
      </c>
      <c r="E173" s="19">
        <v>51.9</v>
      </c>
      <c r="F173" s="26">
        <v>98.83</v>
      </c>
      <c r="G173" s="19">
        <v>2261.13</v>
      </c>
      <c r="H173" s="19">
        <v>2770.9</v>
      </c>
      <c r="I173" s="19">
        <v>18688.588</v>
      </c>
      <c r="J173" s="40">
        <v>3.5</v>
      </c>
      <c r="K173" s="41">
        <v>14369</v>
      </c>
      <c r="L173" s="24">
        <v>104.6</v>
      </c>
      <c r="M173" s="42">
        <v>95.6</v>
      </c>
    </row>
    <row r="174" spans="1:13" x14ac:dyDescent="0.75">
      <c r="A174" t="s">
        <v>17</v>
      </c>
      <c r="B174" s="18">
        <v>2022</v>
      </c>
      <c r="C174" s="4">
        <v>5</v>
      </c>
      <c r="D174" t="s">
        <v>58</v>
      </c>
      <c r="E174" s="19">
        <v>50.8</v>
      </c>
      <c r="F174" s="26">
        <v>99.28</v>
      </c>
      <c r="G174" s="19">
        <v>1750.72</v>
      </c>
      <c r="H174" s="19">
        <v>2591.19</v>
      </c>
      <c r="I174" s="19">
        <v>19769.519</v>
      </c>
      <c r="J174" s="40">
        <v>3.5</v>
      </c>
      <c r="K174" s="41">
        <v>14608</v>
      </c>
      <c r="L174" s="24">
        <v>113.3</v>
      </c>
      <c r="M174" s="42">
        <v>95.9</v>
      </c>
    </row>
    <row r="175" spans="1:13" x14ac:dyDescent="0.75">
      <c r="A175" t="s">
        <v>17</v>
      </c>
      <c r="B175" s="18">
        <v>2022</v>
      </c>
      <c r="C175" s="4">
        <v>6</v>
      </c>
      <c r="D175" t="s">
        <v>58</v>
      </c>
      <c r="E175" s="19">
        <v>50.2</v>
      </c>
      <c r="F175" s="26">
        <v>100.15</v>
      </c>
      <c r="G175" s="19">
        <v>1995.82</v>
      </c>
      <c r="H175" s="19">
        <v>3188.14</v>
      </c>
      <c r="I175" s="19">
        <v>19619.748</v>
      </c>
      <c r="J175" s="40">
        <v>3.5</v>
      </c>
      <c r="K175" s="41">
        <v>14689</v>
      </c>
      <c r="L175" s="24">
        <v>122.7</v>
      </c>
      <c r="M175" s="42">
        <v>96.6</v>
      </c>
    </row>
    <row r="176" spans="1:13" x14ac:dyDescent="0.75">
      <c r="A176" t="s">
        <v>17</v>
      </c>
      <c r="B176" s="18">
        <v>2022</v>
      </c>
      <c r="C176" s="4">
        <v>7</v>
      </c>
      <c r="D176">
        <v>5</v>
      </c>
      <c r="E176" s="19">
        <v>51.3</v>
      </c>
      <c r="F176" s="26">
        <v>100.94</v>
      </c>
      <c r="G176" s="19">
        <v>3127.38</v>
      </c>
      <c r="H176" s="19">
        <v>1982.79</v>
      </c>
      <c r="I176" s="19">
        <v>19785.780999999999</v>
      </c>
      <c r="J176" s="40">
        <v>3.5</v>
      </c>
      <c r="K176" s="41">
        <v>14984</v>
      </c>
      <c r="L176" s="24">
        <v>111.9</v>
      </c>
      <c r="M176" s="42">
        <v>97</v>
      </c>
    </row>
    <row r="177" spans="1:13" x14ac:dyDescent="0.75">
      <c r="A177" t="s">
        <v>17</v>
      </c>
      <c r="B177" s="18">
        <v>2022</v>
      </c>
      <c r="C177" s="4">
        <v>8</v>
      </c>
      <c r="D177" t="s">
        <v>58</v>
      </c>
      <c r="E177" s="19">
        <v>51.7</v>
      </c>
      <c r="F177" s="26">
        <v>100.52</v>
      </c>
      <c r="G177" s="19">
        <v>2095.62</v>
      </c>
      <c r="H177" s="19">
        <v>3145.72</v>
      </c>
      <c r="I177" s="19">
        <v>20570.037</v>
      </c>
      <c r="J177" s="40">
        <v>3.75</v>
      </c>
      <c r="K177" s="41">
        <v>14851</v>
      </c>
      <c r="L177" s="24">
        <v>100.4</v>
      </c>
      <c r="M177" s="42">
        <v>96.9</v>
      </c>
    </row>
    <row r="178" spans="1:13" x14ac:dyDescent="0.75">
      <c r="A178" t="s">
        <v>17</v>
      </c>
      <c r="B178" s="18">
        <v>2022</v>
      </c>
      <c r="C178" s="4">
        <v>9</v>
      </c>
      <c r="D178">
        <v>1250</v>
      </c>
      <c r="E178" s="19">
        <v>53.7</v>
      </c>
      <c r="F178" s="26">
        <v>101.71</v>
      </c>
      <c r="G178" s="19">
        <v>1981.81</v>
      </c>
      <c r="H178" s="19">
        <v>2817.65</v>
      </c>
      <c r="I178" s="19">
        <v>19890.165000000001</v>
      </c>
      <c r="J178" s="40">
        <v>4.25</v>
      </c>
      <c r="K178" s="41">
        <v>14972</v>
      </c>
      <c r="L178" s="24">
        <v>89.8</v>
      </c>
      <c r="M178" s="42">
        <v>97.7</v>
      </c>
    </row>
    <row r="179" spans="1:13" x14ac:dyDescent="0.75">
      <c r="A179" t="s">
        <v>17</v>
      </c>
      <c r="B179" s="18">
        <v>2022</v>
      </c>
      <c r="C179" s="4">
        <v>10</v>
      </c>
      <c r="D179">
        <v>1250</v>
      </c>
      <c r="E179" s="19">
        <v>51.8</v>
      </c>
      <c r="F179" s="26">
        <v>101.57</v>
      </c>
      <c r="G179" s="19">
        <v>1880.39</v>
      </c>
      <c r="H179" s="19">
        <v>2562.67</v>
      </c>
      <c r="I179" s="19">
        <v>20325.784</v>
      </c>
      <c r="J179" s="40">
        <v>4.75</v>
      </c>
      <c r="K179" s="41">
        <v>15417</v>
      </c>
      <c r="L179" s="24">
        <v>93.3</v>
      </c>
      <c r="M179" s="42">
        <v>97.7</v>
      </c>
    </row>
    <row r="180" spans="1:13" x14ac:dyDescent="0.75">
      <c r="A180" t="s">
        <v>17</v>
      </c>
      <c r="B180" s="18">
        <v>2022</v>
      </c>
      <c r="C180" s="4">
        <v>11</v>
      </c>
      <c r="D180">
        <v>1250</v>
      </c>
      <c r="E180" s="19">
        <v>50.3</v>
      </c>
      <c r="F180" s="26">
        <v>102.07</v>
      </c>
      <c r="G180" s="19">
        <v>2047.13</v>
      </c>
      <c r="H180" s="19">
        <v>2652.09</v>
      </c>
      <c r="I180" s="19">
        <v>19887.300999999999</v>
      </c>
      <c r="J180" s="40">
        <v>5.25</v>
      </c>
      <c r="K180" s="41">
        <v>15659</v>
      </c>
      <c r="L180" s="24">
        <v>91.4</v>
      </c>
      <c r="M180" s="42">
        <v>98</v>
      </c>
    </row>
    <row r="181" spans="1:13" x14ac:dyDescent="0.75">
      <c r="A181" t="s">
        <v>17</v>
      </c>
      <c r="B181" s="18">
        <v>2022</v>
      </c>
      <c r="C181" s="4">
        <v>12</v>
      </c>
      <c r="D181">
        <v>3574</v>
      </c>
      <c r="E181" s="19">
        <v>50.9</v>
      </c>
      <c r="F181" s="26">
        <v>102.68</v>
      </c>
      <c r="G181" s="19">
        <v>1888.71</v>
      </c>
      <c r="H181" s="19">
        <v>2589.71</v>
      </c>
      <c r="I181" s="19">
        <v>17487.339</v>
      </c>
      <c r="J181" s="40">
        <v>5.5</v>
      </c>
      <c r="K181" s="41">
        <v>15615</v>
      </c>
      <c r="L181" s="24">
        <v>80.900000000000006</v>
      </c>
      <c r="M181" s="42">
        <v>98.7</v>
      </c>
    </row>
    <row r="182" spans="1:13" x14ac:dyDescent="0.75">
      <c r="A182" t="s">
        <v>18</v>
      </c>
      <c r="B182" s="18">
        <v>2022</v>
      </c>
      <c r="C182" s="4">
        <v>1</v>
      </c>
      <c r="D182" t="s">
        <v>58</v>
      </c>
      <c r="E182" s="19">
        <v>53.7</v>
      </c>
      <c r="F182" s="19">
        <v>97.87</v>
      </c>
      <c r="G182" s="19">
        <v>1241.51</v>
      </c>
      <c r="H182" s="19">
        <v>1251.76</v>
      </c>
      <c r="I182" s="19">
        <v>3921.9160000000002</v>
      </c>
      <c r="J182" s="40">
        <v>3.5</v>
      </c>
      <c r="K182" s="41">
        <v>14335</v>
      </c>
      <c r="L182" s="24">
        <v>86.5</v>
      </c>
      <c r="M182" s="42">
        <v>94</v>
      </c>
    </row>
    <row r="183" spans="1:13" x14ac:dyDescent="0.75">
      <c r="A183" t="s">
        <v>18</v>
      </c>
      <c r="B183" s="18">
        <v>2022</v>
      </c>
      <c r="C183" s="4">
        <v>2</v>
      </c>
      <c r="D183" t="s">
        <v>58</v>
      </c>
      <c r="E183" s="19">
        <v>51.2</v>
      </c>
      <c r="F183" s="19">
        <v>97.71</v>
      </c>
      <c r="G183" s="19">
        <v>1102.83</v>
      </c>
      <c r="H183" s="19">
        <v>1503.32</v>
      </c>
      <c r="I183" s="19">
        <v>3729.5619999999999</v>
      </c>
      <c r="J183" s="40">
        <v>3.5</v>
      </c>
      <c r="K183" s="41">
        <v>14351</v>
      </c>
      <c r="L183" s="24">
        <v>97.1</v>
      </c>
      <c r="M183" s="42">
        <v>94</v>
      </c>
    </row>
    <row r="184" spans="1:13" x14ac:dyDescent="0.75">
      <c r="A184" t="s">
        <v>18</v>
      </c>
      <c r="B184" s="18">
        <v>2022</v>
      </c>
      <c r="C184" s="4">
        <v>3</v>
      </c>
      <c r="D184" t="s">
        <v>58</v>
      </c>
      <c r="E184" s="19">
        <v>51.3</v>
      </c>
      <c r="F184" s="19">
        <v>98.57</v>
      </c>
      <c r="G184" s="19">
        <v>1412.39</v>
      </c>
      <c r="H184" s="19">
        <v>1850.08</v>
      </c>
      <c r="I184" s="19">
        <v>3528.9349999999999</v>
      </c>
      <c r="J184" s="40">
        <v>3.5</v>
      </c>
      <c r="K184" s="41">
        <v>14349</v>
      </c>
      <c r="L184" s="24">
        <v>117.2</v>
      </c>
      <c r="M184" s="42">
        <v>94.7</v>
      </c>
    </row>
    <row r="185" spans="1:13" x14ac:dyDescent="0.75">
      <c r="A185" t="s">
        <v>18</v>
      </c>
      <c r="B185" s="18">
        <v>2022</v>
      </c>
      <c r="C185" s="4">
        <v>4</v>
      </c>
      <c r="D185" t="s">
        <v>58</v>
      </c>
      <c r="E185" s="19">
        <v>51.9</v>
      </c>
      <c r="F185" s="19">
        <v>99.48</v>
      </c>
      <c r="G185" s="19">
        <v>1437.48</v>
      </c>
      <c r="H185" s="19">
        <v>1683.63</v>
      </c>
      <c r="I185" s="19">
        <v>3775.2469999999998</v>
      </c>
      <c r="J185" s="40">
        <v>3.5</v>
      </c>
      <c r="K185" s="41">
        <v>14369</v>
      </c>
      <c r="L185" s="24">
        <v>104.6</v>
      </c>
      <c r="M185" s="42">
        <v>95.6</v>
      </c>
    </row>
    <row r="186" spans="1:13" x14ac:dyDescent="0.75">
      <c r="A186" t="s">
        <v>18</v>
      </c>
      <c r="B186" s="18">
        <v>2022</v>
      </c>
      <c r="C186" s="4">
        <v>5</v>
      </c>
      <c r="D186" t="s">
        <v>58</v>
      </c>
      <c r="E186" s="19">
        <v>50.8</v>
      </c>
      <c r="F186" s="19">
        <v>99.61</v>
      </c>
      <c r="G186" s="19">
        <v>1036.98</v>
      </c>
      <c r="H186" s="19">
        <v>1749.07</v>
      </c>
      <c r="I186" s="19">
        <v>3942.6689999999999</v>
      </c>
      <c r="J186" s="40">
        <v>3.5</v>
      </c>
      <c r="K186" s="41">
        <v>14608</v>
      </c>
      <c r="L186" s="24">
        <v>113.3</v>
      </c>
      <c r="M186" s="42">
        <v>95.9</v>
      </c>
    </row>
    <row r="187" spans="1:13" x14ac:dyDescent="0.75">
      <c r="A187" t="s">
        <v>18</v>
      </c>
      <c r="B187" s="18">
        <v>2022</v>
      </c>
      <c r="C187" s="4">
        <v>6</v>
      </c>
      <c r="D187" t="s">
        <v>58</v>
      </c>
      <c r="E187" s="19">
        <v>50.2</v>
      </c>
      <c r="F187" s="19">
        <v>100.54</v>
      </c>
      <c r="G187" s="19">
        <v>1192.6099999999999</v>
      </c>
      <c r="H187" s="19">
        <v>1670.06</v>
      </c>
      <c r="I187" s="19">
        <v>3806.0929999999998</v>
      </c>
      <c r="J187" s="40">
        <v>3.5</v>
      </c>
      <c r="K187" s="41">
        <v>14689</v>
      </c>
      <c r="L187" s="24">
        <v>122.7</v>
      </c>
      <c r="M187" s="42">
        <v>96.6</v>
      </c>
    </row>
    <row r="188" spans="1:13" x14ac:dyDescent="0.75">
      <c r="A188" t="s">
        <v>18</v>
      </c>
      <c r="B188" s="18">
        <v>2022</v>
      </c>
      <c r="C188" s="4">
        <v>7</v>
      </c>
      <c r="D188">
        <v>0</v>
      </c>
      <c r="E188" s="19">
        <v>51.3</v>
      </c>
      <c r="F188" s="19">
        <v>100.75</v>
      </c>
      <c r="G188" s="19">
        <v>1611.28</v>
      </c>
      <c r="H188" s="19">
        <v>1140.46</v>
      </c>
      <c r="I188" s="19">
        <v>3725.433</v>
      </c>
      <c r="J188" s="40">
        <v>3.5</v>
      </c>
      <c r="K188" s="41">
        <v>14984</v>
      </c>
      <c r="L188" s="24">
        <v>111.9</v>
      </c>
      <c r="M188" s="42">
        <v>97</v>
      </c>
    </row>
    <row r="189" spans="1:13" x14ac:dyDescent="0.75">
      <c r="A189" t="s">
        <v>18</v>
      </c>
      <c r="B189" s="18">
        <v>2022</v>
      </c>
      <c r="C189" s="4">
        <v>8</v>
      </c>
      <c r="D189" t="s">
        <v>58</v>
      </c>
      <c r="E189" s="19">
        <v>51.7</v>
      </c>
      <c r="F189" s="19">
        <v>100.3</v>
      </c>
      <c r="G189" s="19">
        <v>1115.6099999999999</v>
      </c>
      <c r="H189" s="19">
        <v>1490.7</v>
      </c>
      <c r="I189" s="19">
        <v>3723.8</v>
      </c>
      <c r="J189" s="40">
        <v>3.75</v>
      </c>
      <c r="K189" s="41">
        <v>14851</v>
      </c>
      <c r="L189" s="24">
        <v>100.4</v>
      </c>
      <c r="M189" s="42">
        <v>96.9</v>
      </c>
    </row>
    <row r="190" spans="1:13" x14ac:dyDescent="0.75">
      <c r="A190" t="s">
        <v>18</v>
      </c>
      <c r="B190" s="18">
        <v>2022</v>
      </c>
      <c r="C190" s="4">
        <v>9</v>
      </c>
      <c r="D190">
        <v>3703</v>
      </c>
      <c r="E190" s="19">
        <v>53.7</v>
      </c>
      <c r="F190" s="19">
        <v>101.43</v>
      </c>
      <c r="G190" s="19">
        <v>1107.47</v>
      </c>
      <c r="H190" s="19">
        <v>1355.97</v>
      </c>
      <c r="I190" s="19">
        <v>3652.2869999999998</v>
      </c>
      <c r="J190" s="40">
        <v>4.25</v>
      </c>
      <c r="K190" s="41">
        <v>14972</v>
      </c>
      <c r="L190" s="24">
        <v>89.8</v>
      </c>
      <c r="M190" s="42">
        <v>97.7</v>
      </c>
    </row>
    <row r="191" spans="1:13" x14ac:dyDescent="0.75">
      <c r="A191" t="s">
        <v>18</v>
      </c>
      <c r="B191" s="18">
        <v>2022</v>
      </c>
      <c r="C191" s="4">
        <v>10</v>
      </c>
      <c r="D191">
        <v>3703</v>
      </c>
      <c r="E191" s="19">
        <v>51.8</v>
      </c>
      <c r="F191" s="19">
        <v>101.01</v>
      </c>
      <c r="G191" s="19">
        <v>1084.03</v>
      </c>
      <c r="H191" s="19">
        <v>1325.44</v>
      </c>
      <c r="I191" s="19">
        <v>3714.2860000000001</v>
      </c>
      <c r="J191" s="40">
        <v>4.75</v>
      </c>
      <c r="K191" s="41">
        <v>15417</v>
      </c>
      <c r="L191" s="24">
        <v>93.3</v>
      </c>
      <c r="M191" s="42">
        <v>97.7</v>
      </c>
    </row>
    <row r="192" spans="1:13" x14ac:dyDescent="0.75">
      <c r="A192" t="s">
        <v>18</v>
      </c>
      <c r="B192" s="18">
        <v>2022</v>
      </c>
      <c r="C192" s="4">
        <v>11</v>
      </c>
      <c r="D192">
        <v>3703</v>
      </c>
      <c r="E192" s="19">
        <v>50.3</v>
      </c>
      <c r="F192" s="19">
        <v>101.1</v>
      </c>
      <c r="G192" s="19">
        <v>1144.72</v>
      </c>
      <c r="H192" s="19">
        <v>1164.81</v>
      </c>
      <c r="I192" s="19">
        <v>3853.0770000000002</v>
      </c>
      <c r="J192" s="40">
        <v>5.25</v>
      </c>
      <c r="K192" s="41">
        <v>15659</v>
      </c>
      <c r="L192" s="24">
        <v>91.4</v>
      </c>
      <c r="M192" s="42">
        <v>98</v>
      </c>
    </row>
    <row r="193" spans="1:13" x14ac:dyDescent="0.75">
      <c r="A193" t="s">
        <v>18</v>
      </c>
      <c r="B193" s="18">
        <v>2022</v>
      </c>
      <c r="C193" s="4">
        <v>12</v>
      </c>
      <c r="D193">
        <v>3703</v>
      </c>
      <c r="E193" s="19">
        <v>50.9</v>
      </c>
      <c r="F193" s="19">
        <v>101.63</v>
      </c>
      <c r="G193" s="19">
        <v>1078.5999999999999</v>
      </c>
      <c r="H193" s="19">
        <v>1503.39</v>
      </c>
      <c r="I193" s="19">
        <v>3676.5219999999999</v>
      </c>
      <c r="J193" s="40">
        <v>5.5</v>
      </c>
      <c r="K193" s="41">
        <v>15615</v>
      </c>
      <c r="L193" s="24">
        <v>80.900000000000006</v>
      </c>
      <c r="M193" s="42">
        <v>98.7</v>
      </c>
    </row>
    <row r="194" spans="1:13" x14ac:dyDescent="0.75">
      <c r="A194" t="s">
        <v>19</v>
      </c>
      <c r="B194" s="18">
        <v>2022</v>
      </c>
      <c r="C194" s="4">
        <v>1</v>
      </c>
      <c r="D194" t="s">
        <v>58</v>
      </c>
      <c r="E194" s="19">
        <v>53.7</v>
      </c>
      <c r="F194" s="19">
        <v>97.72</v>
      </c>
      <c r="G194" s="19">
        <v>43.75</v>
      </c>
      <c r="H194" s="26">
        <v>1.7</v>
      </c>
      <c r="I194" s="19">
        <v>2220.277</v>
      </c>
      <c r="J194" s="40">
        <v>3.5</v>
      </c>
      <c r="K194" s="41">
        <v>14335</v>
      </c>
      <c r="L194" s="24">
        <v>86.5</v>
      </c>
      <c r="M194" s="42">
        <v>94</v>
      </c>
    </row>
    <row r="195" spans="1:13" x14ac:dyDescent="0.75">
      <c r="A195" t="s">
        <v>19</v>
      </c>
      <c r="B195" s="18">
        <v>2022</v>
      </c>
      <c r="C195" s="4">
        <v>2</v>
      </c>
      <c r="D195" t="s">
        <v>58</v>
      </c>
      <c r="E195" s="19">
        <v>51.2</v>
      </c>
      <c r="F195" s="19">
        <v>97.29</v>
      </c>
      <c r="G195" s="19">
        <v>45.44</v>
      </c>
      <c r="H195" s="26">
        <v>1.52</v>
      </c>
      <c r="I195" s="19">
        <v>2464.8270000000002</v>
      </c>
      <c r="J195" s="40">
        <v>3.5</v>
      </c>
      <c r="K195" s="41">
        <v>14351</v>
      </c>
      <c r="L195" s="24">
        <v>97.1</v>
      </c>
      <c r="M195" s="42">
        <v>94</v>
      </c>
    </row>
    <row r="196" spans="1:13" x14ac:dyDescent="0.75">
      <c r="A196" t="s">
        <v>19</v>
      </c>
      <c r="B196" s="18">
        <v>2022</v>
      </c>
      <c r="C196" s="4">
        <v>3</v>
      </c>
      <c r="D196" t="s">
        <v>58</v>
      </c>
      <c r="E196" s="19">
        <v>51.3</v>
      </c>
      <c r="F196" s="19">
        <v>97.94</v>
      </c>
      <c r="G196" s="19">
        <v>51.88</v>
      </c>
      <c r="H196" s="26">
        <v>4.42</v>
      </c>
      <c r="I196" s="19">
        <v>2341.1550000000002</v>
      </c>
      <c r="J196" s="40">
        <v>3.5</v>
      </c>
      <c r="K196" s="41">
        <v>14349</v>
      </c>
      <c r="L196" s="24">
        <v>117.2</v>
      </c>
      <c r="M196" s="42">
        <v>94.7</v>
      </c>
    </row>
    <row r="197" spans="1:13" x14ac:dyDescent="0.75">
      <c r="A197" t="s">
        <v>19</v>
      </c>
      <c r="B197" s="18">
        <v>2022</v>
      </c>
      <c r="C197" s="4">
        <v>4</v>
      </c>
      <c r="D197" t="s">
        <v>58</v>
      </c>
      <c r="E197" s="19">
        <v>51.9</v>
      </c>
      <c r="F197" s="19">
        <v>98.92</v>
      </c>
      <c r="G197" s="19">
        <v>60.66</v>
      </c>
      <c r="H197" s="26">
        <v>3.38</v>
      </c>
      <c r="I197" s="19">
        <v>2429.8069999999998</v>
      </c>
      <c r="J197" s="40">
        <v>3.5</v>
      </c>
      <c r="K197" s="41">
        <v>14369</v>
      </c>
      <c r="L197" s="24">
        <v>104.6</v>
      </c>
      <c r="M197" s="42">
        <v>95.6</v>
      </c>
    </row>
    <row r="198" spans="1:13" x14ac:dyDescent="0.75">
      <c r="A198" t="s">
        <v>19</v>
      </c>
      <c r="B198" s="18">
        <v>2022</v>
      </c>
      <c r="C198" s="4">
        <v>5</v>
      </c>
      <c r="D198" t="s">
        <v>58</v>
      </c>
      <c r="E198" s="19">
        <v>50.8</v>
      </c>
      <c r="F198" s="19">
        <v>99.2</v>
      </c>
      <c r="G198" s="19">
        <v>47.76</v>
      </c>
      <c r="H198" s="26">
        <v>5.44</v>
      </c>
      <c r="I198" s="19">
        <v>2522.7719999999999</v>
      </c>
      <c r="J198" s="40">
        <v>3.5</v>
      </c>
      <c r="K198" s="41">
        <v>14608</v>
      </c>
      <c r="L198" s="24">
        <v>113.3</v>
      </c>
      <c r="M198" s="42">
        <v>95.9</v>
      </c>
    </row>
    <row r="199" spans="1:13" x14ac:dyDescent="0.75">
      <c r="A199" t="s">
        <v>19</v>
      </c>
      <c r="B199" s="18">
        <v>2022</v>
      </c>
      <c r="C199" s="4">
        <v>6</v>
      </c>
      <c r="D199" t="s">
        <v>58</v>
      </c>
      <c r="E199" s="19">
        <v>50.2</v>
      </c>
      <c r="F199" s="19">
        <v>100.07</v>
      </c>
      <c r="G199" s="19">
        <v>49.93</v>
      </c>
      <c r="H199" s="26">
        <v>8.93</v>
      </c>
      <c r="I199" s="19">
        <v>2506.636</v>
      </c>
      <c r="J199" s="40">
        <v>3.5</v>
      </c>
      <c r="K199" s="41">
        <v>14689</v>
      </c>
      <c r="L199" s="24">
        <v>122.7</v>
      </c>
      <c r="M199" s="42">
        <v>96.6</v>
      </c>
    </row>
    <row r="200" spans="1:13" x14ac:dyDescent="0.75">
      <c r="A200" t="s">
        <v>19</v>
      </c>
      <c r="B200" s="18">
        <v>2022</v>
      </c>
      <c r="C200" s="4">
        <v>7</v>
      </c>
      <c r="D200">
        <v>96</v>
      </c>
      <c r="E200" s="19">
        <v>51.3</v>
      </c>
      <c r="F200" s="19">
        <v>101.12</v>
      </c>
      <c r="G200" s="19">
        <v>7.3</v>
      </c>
      <c r="H200" s="26">
        <v>50.1</v>
      </c>
      <c r="I200" s="19">
        <v>2725.8150000000001</v>
      </c>
      <c r="J200" s="40">
        <v>3.5</v>
      </c>
      <c r="K200" s="41">
        <v>14984</v>
      </c>
      <c r="L200" s="24">
        <v>111.9</v>
      </c>
      <c r="M200" s="42">
        <v>97</v>
      </c>
    </row>
    <row r="201" spans="1:13" x14ac:dyDescent="0.75">
      <c r="A201" t="s">
        <v>19</v>
      </c>
      <c r="B201" s="18">
        <v>2022</v>
      </c>
      <c r="C201" s="4">
        <v>8</v>
      </c>
      <c r="D201" t="s">
        <v>58</v>
      </c>
      <c r="E201" s="19">
        <v>51.7</v>
      </c>
      <c r="F201" s="19">
        <v>100.61</v>
      </c>
      <c r="G201" s="19">
        <v>50.8</v>
      </c>
      <c r="H201" s="26">
        <v>7.28</v>
      </c>
      <c r="I201" s="19">
        <v>2526.3020000000001</v>
      </c>
      <c r="J201" s="40">
        <v>3.75</v>
      </c>
      <c r="K201" s="41">
        <v>14851</v>
      </c>
      <c r="L201" s="24">
        <v>100.4</v>
      </c>
      <c r="M201" s="42">
        <v>96.9</v>
      </c>
    </row>
    <row r="202" spans="1:13" x14ac:dyDescent="0.75">
      <c r="A202" t="s">
        <v>19</v>
      </c>
      <c r="B202" s="18">
        <v>2022</v>
      </c>
      <c r="C202" s="4">
        <v>9</v>
      </c>
      <c r="D202">
        <v>96</v>
      </c>
      <c r="E202" s="19">
        <v>53.7</v>
      </c>
      <c r="F202" s="19">
        <v>101.62</v>
      </c>
      <c r="G202" s="19">
        <v>55.33</v>
      </c>
      <c r="H202" s="26">
        <v>9.83</v>
      </c>
      <c r="I202" s="19">
        <v>2423.7849999999999</v>
      </c>
      <c r="J202" s="40">
        <v>4.25</v>
      </c>
      <c r="K202" s="41">
        <v>14972</v>
      </c>
      <c r="L202" s="24">
        <v>89.8</v>
      </c>
      <c r="M202" s="42">
        <v>97.7</v>
      </c>
    </row>
    <row r="203" spans="1:13" x14ac:dyDescent="0.75">
      <c r="A203" t="s">
        <v>19</v>
      </c>
      <c r="B203" s="18">
        <v>2022</v>
      </c>
      <c r="C203" s="4">
        <v>10</v>
      </c>
      <c r="D203">
        <v>96</v>
      </c>
      <c r="E203" s="19">
        <v>51.8</v>
      </c>
      <c r="F203" s="19">
        <v>101.53</v>
      </c>
      <c r="G203" s="19">
        <v>52.96</v>
      </c>
      <c r="H203" s="26">
        <v>7.46</v>
      </c>
      <c r="I203" s="19">
        <v>2359.2570000000001</v>
      </c>
      <c r="J203" s="40">
        <v>4.75</v>
      </c>
      <c r="K203" s="41">
        <v>15417</v>
      </c>
      <c r="L203" s="24">
        <v>93.3</v>
      </c>
      <c r="M203" s="42">
        <v>97.7</v>
      </c>
    </row>
    <row r="204" spans="1:13" x14ac:dyDescent="0.75">
      <c r="A204" t="s">
        <v>19</v>
      </c>
      <c r="B204" s="18">
        <v>2022</v>
      </c>
      <c r="C204" s="4">
        <v>11</v>
      </c>
      <c r="D204">
        <v>706</v>
      </c>
      <c r="E204" s="19">
        <v>50.3</v>
      </c>
      <c r="F204" s="19">
        <v>101.74</v>
      </c>
      <c r="G204" s="19">
        <v>52.73</v>
      </c>
      <c r="H204" s="26">
        <v>7.8</v>
      </c>
      <c r="I204" s="19">
        <v>2273.6469999999999</v>
      </c>
      <c r="J204" s="40">
        <v>5.25</v>
      </c>
      <c r="K204" s="41">
        <v>15659</v>
      </c>
      <c r="L204" s="24">
        <v>91.4</v>
      </c>
      <c r="M204" s="42">
        <v>98</v>
      </c>
    </row>
    <row r="205" spans="1:13" x14ac:dyDescent="0.75">
      <c r="A205" t="s">
        <v>19</v>
      </c>
      <c r="B205" s="18">
        <v>2022</v>
      </c>
      <c r="C205" s="4">
        <v>12</v>
      </c>
      <c r="D205">
        <v>706</v>
      </c>
      <c r="E205" s="19">
        <v>50.9</v>
      </c>
      <c r="F205" s="19">
        <v>102.26</v>
      </c>
      <c r="G205" s="19">
        <v>56.17</v>
      </c>
      <c r="H205" s="26">
        <v>7.82</v>
      </c>
      <c r="I205" s="19">
        <v>2083.1289999999999</v>
      </c>
      <c r="J205" s="40">
        <v>5.5</v>
      </c>
      <c r="K205" s="41">
        <v>15615</v>
      </c>
      <c r="L205" s="24">
        <v>80.900000000000006</v>
      </c>
      <c r="M205" s="42">
        <v>98.7</v>
      </c>
    </row>
    <row r="206" spans="1:13" x14ac:dyDescent="0.75">
      <c r="A206" t="s">
        <v>20</v>
      </c>
      <c r="B206" s="18">
        <v>2022</v>
      </c>
      <c r="C206" s="4">
        <v>1</v>
      </c>
      <c r="D206" t="s">
        <v>58</v>
      </c>
      <c r="E206" s="19">
        <v>53.7</v>
      </c>
      <c r="F206" s="19">
        <v>97.33</v>
      </c>
      <c r="G206" s="26">
        <v>249.5</v>
      </c>
      <c r="H206" s="19">
        <v>16.12</v>
      </c>
      <c r="I206" s="19">
        <v>799.68299999999999</v>
      </c>
      <c r="J206" s="40">
        <v>3.5</v>
      </c>
      <c r="K206" s="41">
        <v>14335</v>
      </c>
      <c r="L206" s="24">
        <v>86.5</v>
      </c>
      <c r="M206" s="42">
        <v>94</v>
      </c>
    </row>
    <row r="207" spans="1:13" x14ac:dyDescent="0.75">
      <c r="A207" t="s">
        <v>20</v>
      </c>
      <c r="B207" s="18">
        <v>2022</v>
      </c>
      <c r="C207" s="4">
        <v>2</v>
      </c>
      <c r="D207" t="s">
        <v>58</v>
      </c>
      <c r="E207" s="19">
        <v>51.2</v>
      </c>
      <c r="F207" s="19">
        <v>97.04</v>
      </c>
      <c r="G207" s="26">
        <v>152.15</v>
      </c>
      <c r="H207" s="19">
        <v>13.9</v>
      </c>
      <c r="I207" s="19">
        <v>860.61400000000003</v>
      </c>
      <c r="J207" s="40">
        <v>3.5</v>
      </c>
      <c r="K207" s="41">
        <v>14351</v>
      </c>
      <c r="L207" s="24">
        <v>97.1</v>
      </c>
      <c r="M207" s="42">
        <v>94</v>
      </c>
    </row>
    <row r="208" spans="1:13" x14ac:dyDescent="0.75">
      <c r="A208" t="s">
        <v>20</v>
      </c>
      <c r="B208" s="18">
        <v>2022</v>
      </c>
      <c r="C208" s="4">
        <v>3</v>
      </c>
      <c r="D208" t="s">
        <v>58</v>
      </c>
      <c r="E208" s="19">
        <v>51.3</v>
      </c>
      <c r="F208" s="19">
        <v>97.87</v>
      </c>
      <c r="G208" s="26">
        <v>212.1</v>
      </c>
      <c r="H208" s="19">
        <v>24.35</v>
      </c>
      <c r="I208" s="19">
        <v>840.13599999999997</v>
      </c>
      <c r="J208" s="40">
        <v>3.5</v>
      </c>
      <c r="K208" s="41">
        <v>14349</v>
      </c>
      <c r="L208" s="24">
        <v>117.2</v>
      </c>
      <c r="M208" s="42">
        <v>94.7</v>
      </c>
    </row>
    <row r="209" spans="1:13" x14ac:dyDescent="0.75">
      <c r="A209" t="s">
        <v>20</v>
      </c>
      <c r="B209" s="18">
        <v>2022</v>
      </c>
      <c r="C209" s="4">
        <v>4</v>
      </c>
      <c r="D209" t="s">
        <v>58</v>
      </c>
      <c r="E209" s="19">
        <v>51.9</v>
      </c>
      <c r="F209" s="19">
        <v>99.07</v>
      </c>
      <c r="G209" s="26">
        <v>361.88</v>
      </c>
      <c r="H209" s="19">
        <v>13.86</v>
      </c>
      <c r="I209" s="19">
        <v>938.15200000000004</v>
      </c>
      <c r="J209" s="40">
        <v>3.5</v>
      </c>
      <c r="K209" s="41">
        <v>14369</v>
      </c>
      <c r="L209" s="24">
        <v>104.6</v>
      </c>
      <c r="M209" s="42">
        <v>95.6</v>
      </c>
    </row>
    <row r="210" spans="1:13" x14ac:dyDescent="0.75">
      <c r="A210" t="s">
        <v>20</v>
      </c>
      <c r="B210" s="18">
        <v>2022</v>
      </c>
      <c r="C210" s="4">
        <v>5</v>
      </c>
      <c r="D210" t="s">
        <v>58</v>
      </c>
      <c r="E210" s="19">
        <v>50.8</v>
      </c>
      <c r="F210" s="19">
        <v>99.29</v>
      </c>
      <c r="G210" s="26">
        <v>219.55</v>
      </c>
      <c r="H210" s="19">
        <v>26.01</v>
      </c>
      <c r="I210" s="19">
        <v>1021.253</v>
      </c>
      <c r="J210" s="40">
        <v>3.5</v>
      </c>
      <c r="K210" s="41">
        <v>14608</v>
      </c>
      <c r="L210" s="24">
        <v>113.3</v>
      </c>
      <c r="M210" s="42">
        <v>95.9</v>
      </c>
    </row>
    <row r="211" spans="1:13" x14ac:dyDescent="0.75">
      <c r="A211" t="s">
        <v>20</v>
      </c>
      <c r="B211" s="18">
        <v>2022</v>
      </c>
      <c r="C211" s="4">
        <v>6</v>
      </c>
      <c r="D211" t="s">
        <v>58</v>
      </c>
      <c r="E211" s="19">
        <v>50.2</v>
      </c>
      <c r="F211" s="19">
        <v>100.24</v>
      </c>
      <c r="G211" s="26">
        <v>323.43</v>
      </c>
      <c r="H211" s="19">
        <v>14.02</v>
      </c>
      <c r="I211" s="19">
        <v>1035.2249999999999</v>
      </c>
      <c r="J211" s="40">
        <v>3.5</v>
      </c>
      <c r="K211" s="41">
        <v>14689</v>
      </c>
      <c r="L211" s="24">
        <v>122.7</v>
      </c>
      <c r="M211" s="42">
        <v>96.6</v>
      </c>
    </row>
    <row r="212" spans="1:13" x14ac:dyDescent="0.75">
      <c r="A212" t="s">
        <v>20</v>
      </c>
      <c r="B212" s="18">
        <v>2022</v>
      </c>
      <c r="C212" s="4">
        <v>7</v>
      </c>
      <c r="D212">
        <v>21</v>
      </c>
      <c r="E212" s="19">
        <v>51.3</v>
      </c>
      <c r="F212" s="19">
        <v>101.46</v>
      </c>
      <c r="G212" s="26">
        <v>12.72</v>
      </c>
      <c r="H212" s="19">
        <v>365.62</v>
      </c>
      <c r="I212" s="19">
        <v>1061.444</v>
      </c>
      <c r="J212" s="40">
        <v>3.5</v>
      </c>
      <c r="K212" s="41">
        <v>14984</v>
      </c>
      <c r="L212" s="24">
        <v>111.9</v>
      </c>
      <c r="M212" s="42">
        <v>97</v>
      </c>
    </row>
    <row r="213" spans="1:13" x14ac:dyDescent="0.75">
      <c r="A213" t="s">
        <v>20</v>
      </c>
      <c r="B213" s="18">
        <v>2022</v>
      </c>
      <c r="C213" s="4">
        <v>8</v>
      </c>
      <c r="D213" t="s">
        <v>58</v>
      </c>
      <c r="E213" s="19">
        <v>51.7</v>
      </c>
      <c r="F213" s="19">
        <v>100.42</v>
      </c>
      <c r="G213" s="26">
        <v>219.57</v>
      </c>
      <c r="H213" s="19">
        <v>17.95</v>
      </c>
      <c r="I213" s="19">
        <v>1068.001</v>
      </c>
      <c r="J213" s="40">
        <v>3.75</v>
      </c>
      <c r="K213" s="41">
        <v>14851</v>
      </c>
      <c r="L213" s="24">
        <v>100.4</v>
      </c>
      <c r="M213" s="42">
        <v>96.9</v>
      </c>
    </row>
    <row r="214" spans="1:13" x14ac:dyDescent="0.75">
      <c r="A214" t="s">
        <v>20</v>
      </c>
      <c r="B214" s="18">
        <v>2022</v>
      </c>
      <c r="C214" s="4">
        <v>9</v>
      </c>
      <c r="D214">
        <v>21</v>
      </c>
      <c r="E214" s="19">
        <v>53.7</v>
      </c>
      <c r="F214" s="19">
        <v>101.35</v>
      </c>
      <c r="G214" s="26">
        <v>212.07</v>
      </c>
      <c r="H214" s="19">
        <v>11.05</v>
      </c>
      <c r="I214" s="19">
        <v>1070.962</v>
      </c>
      <c r="J214" s="40">
        <v>4.25</v>
      </c>
      <c r="K214" s="41">
        <v>14972</v>
      </c>
      <c r="L214" s="24">
        <v>89.8</v>
      </c>
      <c r="M214" s="42">
        <v>97.7</v>
      </c>
    </row>
    <row r="215" spans="1:13" x14ac:dyDescent="0.75">
      <c r="A215" t="s">
        <v>20</v>
      </c>
      <c r="B215" s="18">
        <v>2022</v>
      </c>
      <c r="C215" s="4">
        <v>10</v>
      </c>
      <c r="D215">
        <v>21</v>
      </c>
      <c r="E215" s="19">
        <v>51.8</v>
      </c>
      <c r="F215" s="19">
        <v>101.55</v>
      </c>
      <c r="G215" s="26">
        <v>231.56</v>
      </c>
      <c r="H215" s="19">
        <v>22.24</v>
      </c>
      <c r="I215" s="19">
        <v>1079.386</v>
      </c>
      <c r="J215" s="40">
        <v>4.75</v>
      </c>
      <c r="K215" s="41">
        <v>15417</v>
      </c>
      <c r="L215" s="24">
        <v>93.3</v>
      </c>
      <c r="M215" s="42">
        <v>97.7</v>
      </c>
    </row>
    <row r="216" spans="1:13" x14ac:dyDescent="0.75">
      <c r="A216" t="s">
        <v>20</v>
      </c>
      <c r="B216" s="18">
        <v>2022</v>
      </c>
      <c r="C216" s="4">
        <v>11</v>
      </c>
      <c r="D216">
        <v>396</v>
      </c>
      <c r="E216" s="19">
        <v>50.3</v>
      </c>
      <c r="F216" s="19">
        <v>102</v>
      </c>
      <c r="G216" s="26">
        <v>320.08</v>
      </c>
      <c r="H216" s="19">
        <v>20.74</v>
      </c>
      <c r="I216" s="19">
        <v>1018.976</v>
      </c>
      <c r="J216" s="40">
        <v>5.25</v>
      </c>
      <c r="K216" s="41">
        <v>15659</v>
      </c>
      <c r="L216" s="24">
        <v>91.4</v>
      </c>
      <c r="M216" s="42">
        <v>98</v>
      </c>
    </row>
    <row r="217" spans="1:13" x14ac:dyDescent="0.75">
      <c r="A217" t="s">
        <v>20</v>
      </c>
      <c r="B217" s="18">
        <v>2022</v>
      </c>
      <c r="C217" s="4">
        <v>12</v>
      </c>
      <c r="D217">
        <v>396</v>
      </c>
      <c r="E217" s="19">
        <v>50.9</v>
      </c>
      <c r="F217" s="19">
        <v>102.38</v>
      </c>
      <c r="G217" s="26">
        <v>232.33</v>
      </c>
      <c r="H217" s="19">
        <v>17.72</v>
      </c>
      <c r="I217" s="19">
        <v>887.52099999999996</v>
      </c>
      <c r="J217" s="40">
        <v>5.5</v>
      </c>
      <c r="K217" s="41">
        <v>15615</v>
      </c>
      <c r="L217" s="24">
        <v>80.900000000000006</v>
      </c>
      <c r="M217" s="42">
        <v>98.7</v>
      </c>
    </row>
    <row r="218" spans="1:13" x14ac:dyDescent="0.75">
      <c r="A218" t="s">
        <v>21</v>
      </c>
      <c r="B218" s="18">
        <v>2022</v>
      </c>
      <c r="C218" s="4">
        <v>1</v>
      </c>
      <c r="D218" t="s">
        <v>58</v>
      </c>
      <c r="E218" s="19">
        <v>53.7</v>
      </c>
      <c r="F218" s="19">
        <v>97.63</v>
      </c>
      <c r="G218" s="29">
        <v>6.27</v>
      </c>
      <c r="H218" s="19">
        <v>7.0000000000000007E-2</v>
      </c>
      <c r="I218" s="19">
        <v>554.92200000000003</v>
      </c>
      <c r="J218" s="40">
        <v>3.5</v>
      </c>
      <c r="K218" s="41">
        <v>14335</v>
      </c>
      <c r="L218" s="24">
        <v>86.5</v>
      </c>
      <c r="M218" s="42">
        <v>94</v>
      </c>
    </row>
    <row r="219" spans="1:13" x14ac:dyDescent="0.75">
      <c r="A219" t="s">
        <v>21</v>
      </c>
      <c r="B219" s="18">
        <v>2022</v>
      </c>
      <c r="C219" s="4">
        <v>2</v>
      </c>
      <c r="D219" t="s">
        <v>58</v>
      </c>
      <c r="E219" s="19">
        <v>51.2</v>
      </c>
      <c r="F219" s="19">
        <v>97.78</v>
      </c>
      <c r="G219" s="29">
        <v>3.16</v>
      </c>
      <c r="H219" s="19">
        <v>0.09</v>
      </c>
      <c r="I219" s="19">
        <v>561.70799999999997</v>
      </c>
      <c r="J219" s="40">
        <v>3.5</v>
      </c>
      <c r="K219" s="41">
        <v>14351</v>
      </c>
      <c r="L219" s="24">
        <v>97.1</v>
      </c>
      <c r="M219" s="42">
        <v>94</v>
      </c>
    </row>
    <row r="220" spans="1:13" x14ac:dyDescent="0.75">
      <c r="A220" t="s">
        <v>21</v>
      </c>
      <c r="B220" s="18">
        <v>2022</v>
      </c>
      <c r="C220" s="4">
        <v>3</v>
      </c>
      <c r="D220" t="s">
        <v>58</v>
      </c>
      <c r="E220" s="19">
        <v>51.3</v>
      </c>
      <c r="F220" s="19">
        <v>98.17</v>
      </c>
      <c r="G220" s="29">
        <v>4.6100000000000003</v>
      </c>
      <c r="H220" s="19">
        <v>0.26</v>
      </c>
      <c r="I220" s="19">
        <v>541.05799999999999</v>
      </c>
      <c r="J220" s="40">
        <v>3.5</v>
      </c>
      <c r="K220" s="41">
        <v>14349</v>
      </c>
      <c r="L220" s="24">
        <v>117.2</v>
      </c>
      <c r="M220" s="42">
        <v>94.7</v>
      </c>
    </row>
    <row r="221" spans="1:13" x14ac:dyDescent="0.75">
      <c r="A221" t="s">
        <v>21</v>
      </c>
      <c r="B221" s="18">
        <v>2022</v>
      </c>
      <c r="C221" s="4">
        <v>4</v>
      </c>
      <c r="D221" t="s">
        <v>58</v>
      </c>
      <c r="E221" s="19">
        <v>51.9</v>
      </c>
      <c r="F221" s="19">
        <v>99.47</v>
      </c>
      <c r="G221" s="29">
        <v>3.9</v>
      </c>
      <c r="H221" s="19">
        <v>0.18</v>
      </c>
      <c r="I221" s="19">
        <v>580.42200000000003</v>
      </c>
      <c r="J221" s="40">
        <v>3.5</v>
      </c>
      <c r="K221" s="41">
        <v>14369</v>
      </c>
      <c r="L221" s="24">
        <v>104.6</v>
      </c>
      <c r="M221" s="42">
        <v>95.6</v>
      </c>
    </row>
    <row r="222" spans="1:13" x14ac:dyDescent="0.75">
      <c r="A222" t="s">
        <v>21</v>
      </c>
      <c r="B222" s="18">
        <v>2022</v>
      </c>
      <c r="C222" s="4">
        <v>5</v>
      </c>
      <c r="D222" t="s">
        <v>58</v>
      </c>
      <c r="E222" s="19">
        <v>50.8</v>
      </c>
      <c r="F222" s="19">
        <v>99.52</v>
      </c>
      <c r="G222" s="29">
        <v>4.07</v>
      </c>
      <c r="H222" s="19">
        <v>0.22</v>
      </c>
      <c r="I222" s="19">
        <v>1149.4459999999999</v>
      </c>
      <c r="J222" s="40">
        <v>3.5</v>
      </c>
      <c r="K222" s="41">
        <v>14608</v>
      </c>
      <c r="L222" s="24">
        <v>113.3</v>
      </c>
      <c r="M222" s="42">
        <v>95.9</v>
      </c>
    </row>
    <row r="223" spans="1:13" x14ac:dyDescent="0.75">
      <c r="A223" t="s">
        <v>21</v>
      </c>
      <c r="B223" s="18">
        <v>2022</v>
      </c>
      <c r="C223" s="4">
        <v>6</v>
      </c>
      <c r="D223" t="s">
        <v>58</v>
      </c>
      <c r="E223" s="19">
        <v>50.2</v>
      </c>
      <c r="F223" s="19">
        <v>99.75</v>
      </c>
      <c r="G223" s="29">
        <v>5.48</v>
      </c>
      <c r="H223" s="19">
        <v>0.16</v>
      </c>
      <c r="I223" s="19">
        <v>1165.6500000000001</v>
      </c>
      <c r="J223" s="40">
        <v>3.5</v>
      </c>
      <c r="K223" s="41">
        <v>14689</v>
      </c>
      <c r="L223" s="24">
        <v>122.7</v>
      </c>
      <c r="M223" s="42">
        <v>96.6</v>
      </c>
    </row>
    <row r="224" spans="1:13" x14ac:dyDescent="0.75">
      <c r="A224" t="s">
        <v>21</v>
      </c>
      <c r="B224" s="18">
        <v>2022</v>
      </c>
      <c r="C224" s="4">
        <v>7</v>
      </c>
      <c r="D224">
        <v>0</v>
      </c>
      <c r="E224" s="19">
        <v>51.3</v>
      </c>
      <c r="F224" s="19">
        <v>100.5</v>
      </c>
      <c r="G224" s="29">
        <v>0.09</v>
      </c>
      <c r="H224" s="19">
        <v>5.36</v>
      </c>
      <c r="I224" s="19">
        <v>1199.2739999999999</v>
      </c>
      <c r="J224" s="40">
        <v>3.5</v>
      </c>
      <c r="K224" s="41">
        <v>14984</v>
      </c>
      <c r="L224" s="24">
        <v>111.9</v>
      </c>
      <c r="M224" s="42">
        <v>97</v>
      </c>
    </row>
    <row r="225" spans="1:13" x14ac:dyDescent="0.75">
      <c r="A225" t="s">
        <v>21</v>
      </c>
      <c r="B225" s="18">
        <v>2022</v>
      </c>
      <c r="C225" s="4">
        <v>8</v>
      </c>
      <c r="D225" t="s">
        <v>58</v>
      </c>
      <c r="E225" s="19">
        <v>51.7</v>
      </c>
      <c r="F225" s="19">
        <v>100.12</v>
      </c>
      <c r="G225" s="29">
        <v>5.4</v>
      </c>
      <c r="H225" s="19">
        <v>0.27</v>
      </c>
      <c r="I225" s="19">
        <v>1198.0160000000001</v>
      </c>
      <c r="J225" s="40">
        <v>3.75</v>
      </c>
      <c r="K225" s="41">
        <v>14851</v>
      </c>
      <c r="L225" s="24">
        <v>100.4</v>
      </c>
      <c r="M225" s="42">
        <v>96.9</v>
      </c>
    </row>
    <row r="226" spans="1:13" x14ac:dyDescent="0.75">
      <c r="A226" t="s">
        <v>21</v>
      </c>
      <c r="B226" s="18">
        <v>2022</v>
      </c>
      <c r="C226" s="4">
        <v>9</v>
      </c>
      <c r="D226">
        <v>62</v>
      </c>
      <c r="E226" s="19">
        <v>53.7</v>
      </c>
      <c r="F226" s="19">
        <v>101.46</v>
      </c>
      <c r="G226" s="29">
        <v>7.63</v>
      </c>
      <c r="H226" s="19">
        <v>0.16</v>
      </c>
      <c r="I226" s="19">
        <v>632.39</v>
      </c>
      <c r="J226" s="40">
        <v>4.25</v>
      </c>
      <c r="K226" s="41">
        <v>14972</v>
      </c>
      <c r="L226" s="24">
        <v>89.8</v>
      </c>
      <c r="M226" s="42">
        <v>97.7</v>
      </c>
    </row>
    <row r="227" spans="1:13" x14ac:dyDescent="0.75">
      <c r="A227" t="s">
        <v>21</v>
      </c>
      <c r="B227" s="18">
        <v>2022</v>
      </c>
      <c r="C227" s="4">
        <v>10</v>
      </c>
      <c r="D227">
        <v>62</v>
      </c>
      <c r="E227" s="19">
        <v>51.8</v>
      </c>
      <c r="F227" s="19">
        <v>101.54</v>
      </c>
      <c r="G227" s="29">
        <v>6.89</v>
      </c>
      <c r="H227" s="19">
        <v>0.13</v>
      </c>
      <c r="I227" s="19">
        <v>639.02300000000002</v>
      </c>
      <c r="J227" s="40">
        <v>4.75</v>
      </c>
      <c r="K227" s="41">
        <v>15417</v>
      </c>
      <c r="L227" s="24">
        <v>93.3</v>
      </c>
      <c r="M227" s="42">
        <v>97.7</v>
      </c>
    </row>
    <row r="228" spans="1:13" x14ac:dyDescent="0.75">
      <c r="A228" t="s">
        <v>21</v>
      </c>
      <c r="B228" s="18">
        <v>2022</v>
      </c>
      <c r="C228" s="4">
        <v>11</v>
      </c>
      <c r="D228">
        <v>62</v>
      </c>
      <c r="E228" s="19">
        <v>50.3</v>
      </c>
      <c r="F228" s="19">
        <v>101.68</v>
      </c>
      <c r="G228" s="29">
        <v>7.62</v>
      </c>
      <c r="H228" s="19">
        <v>0.03</v>
      </c>
      <c r="I228" s="19">
        <v>592.37199999999996</v>
      </c>
      <c r="J228" s="40">
        <v>5.25</v>
      </c>
      <c r="K228" s="41">
        <v>15659</v>
      </c>
      <c r="L228" s="24">
        <v>91.4</v>
      </c>
      <c r="M228" s="42">
        <v>98</v>
      </c>
    </row>
    <row r="229" spans="1:13" x14ac:dyDescent="0.75">
      <c r="A229" t="s">
        <v>21</v>
      </c>
      <c r="B229" s="18">
        <v>2022</v>
      </c>
      <c r="C229" s="4">
        <v>12</v>
      </c>
      <c r="D229">
        <v>62</v>
      </c>
      <c r="E229" s="19">
        <v>50.9</v>
      </c>
      <c r="F229" s="19">
        <v>102.38</v>
      </c>
      <c r="G229" s="29">
        <v>6.54</v>
      </c>
      <c r="H229" s="19">
        <v>19.78</v>
      </c>
      <c r="I229" s="19">
        <v>534.13900000000001</v>
      </c>
      <c r="J229" s="40">
        <v>5.5</v>
      </c>
      <c r="K229" s="41">
        <v>15615</v>
      </c>
      <c r="L229" s="24">
        <v>80.900000000000006</v>
      </c>
      <c r="M229" s="42">
        <v>98.7</v>
      </c>
    </row>
    <row r="230" spans="1:13" x14ac:dyDescent="0.75">
      <c r="A230" t="s">
        <v>22</v>
      </c>
      <c r="B230" s="18">
        <v>2022</v>
      </c>
      <c r="C230" s="4">
        <v>1</v>
      </c>
      <c r="D230" t="s">
        <v>58</v>
      </c>
      <c r="E230" s="19">
        <v>53.7</v>
      </c>
      <c r="F230" s="26">
        <v>97.54</v>
      </c>
      <c r="G230" s="29">
        <v>196.69</v>
      </c>
      <c r="H230" s="19">
        <v>20.34</v>
      </c>
      <c r="I230" s="19">
        <v>1312.0150000000001</v>
      </c>
      <c r="J230" s="40">
        <v>3.5</v>
      </c>
      <c r="K230" s="41">
        <v>14335</v>
      </c>
      <c r="L230" s="24">
        <v>86.5</v>
      </c>
      <c r="M230" s="42">
        <v>94</v>
      </c>
    </row>
    <row r="231" spans="1:13" x14ac:dyDescent="0.75">
      <c r="A231" t="s">
        <v>22</v>
      </c>
      <c r="B231" s="18">
        <v>2022</v>
      </c>
      <c r="C231" s="4">
        <v>2</v>
      </c>
      <c r="D231" t="s">
        <v>58</v>
      </c>
      <c r="E231" s="19">
        <v>51.2</v>
      </c>
      <c r="F231" s="26">
        <v>97.45</v>
      </c>
      <c r="G231" s="29">
        <v>294.56</v>
      </c>
      <c r="H231" s="19">
        <v>20.2</v>
      </c>
      <c r="I231" s="19">
        <v>1375.93</v>
      </c>
      <c r="J231" s="40">
        <v>3.5</v>
      </c>
      <c r="K231" s="41">
        <v>14351</v>
      </c>
      <c r="L231" s="24">
        <v>97.1</v>
      </c>
      <c r="M231" s="42">
        <v>94</v>
      </c>
    </row>
    <row r="232" spans="1:13" x14ac:dyDescent="0.75">
      <c r="A232" t="s">
        <v>22</v>
      </c>
      <c r="B232" s="18">
        <v>2022</v>
      </c>
      <c r="C232" s="4">
        <v>3</v>
      </c>
      <c r="D232" t="s">
        <v>58</v>
      </c>
      <c r="E232" s="19">
        <v>51.3</v>
      </c>
      <c r="F232" s="26">
        <v>98.24</v>
      </c>
      <c r="G232" s="29">
        <v>318.27</v>
      </c>
      <c r="H232" s="19">
        <v>36.76</v>
      </c>
      <c r="I232" s="19">
        <v>1372.1880000000001</v>
      </c>
      <c r="J232" s="40">
        <v>3.5</v>
      </c>
      <c r="K232" s="41">
        <v>14349</v>
      </c>
      <c r="L232" s="24">
        <v>117.2</v>
      </c>
      <c r="M232" s="42">
        <v>94.7</v>
      </c>
    </row>
    <row r="233" spans="1:13" x14ac:dyDescent="0.75">
      <c r="A233" t="s">
        <v>22</v>
      </c>
      <c r="B233" s="18">
        <v>2022</v>
      </c>
      <c r="C233" s="4">
        <v>4</v>
      </c>
      <c r="D233" t="s">
        <v>58</v>
      </c>
      <c r="E233" s="19">
        <v>51.9</v>
      </c>
      <c r="F233" s="26">
        <v>99.17</v>
      </c>
      <c r="G233" s="29">
        <v>345.2</v>
      </c>
      <c r="H233" s="19">
        <v>31.29</v>
      </c>
      <c r="I233" s="19">
        <v>1404.7739999999999</v>
      </c>
      <c r="J233" s="40">
        <v>3.5</v>
      </c>
      <c r="K233" s="41">
        <v>14369</v>
      </c>
      <c r="L233" s="24">
        <v>104.6</v>
      </c>
      <c r="M233" s="42">
        <v>95.6</v>
      </c>
    </row>
    <row r="234" spans="1:13" x14ac:dyDescent="0.75">
      <c r="A234" t="s">
        <v>22</v>
      </c>
      <c r="B234" s="18">
        <v>2022</v>
      </c>
      <c r="C234" s="4">
        <v>5</v>
      </c>
      <c r="D234" t="s">
        <v>58</v>
      </c>
      <c r="E234" s="19">
        <v>50.8</v>
      </c>
      <c r="F234" s="26">
        <v>99.62</v>
      </c>
      <c r="G234" s="29">
        <v>180.45</v>
      </c>
      <c r="H234" s="19">
        <v>22.97</v>
      </c>
      <c r="I234" s="19">
        <v>1505.877</v>
      </c>
      <c r="J234" s="40">
        <v>3.5</v>
      </c>
      <c r="K234" s="41">
        <v>14608</v>
      </c>
      <c r="L234" s="24">
        <v>113.3</v>
      </c>
      <c r="M234" s="42">
        <v>95.9</v>
      </c>
    </row>
    <row r="235" spans="1:13" x14ac:dyDescent="0.75">
      <c r="A235" t="s">
        <v>22</v>
      </c>
      <c r="B235" s="18">
        <v>2022</v>
      </c>
      <c r="C235" s="4">
        <v>6</v>
      </c>
      <c r="D235" t="s">
        <v>58</v>
      </c>
      <c r="E235" s="19">
        <v>50.2</v>
      </c>
      <c r="F235" s="26">
        <v>99.69</v>
      </c>
      <c r="G235" s="29">
        <v>279.54000000000002</v>
      </c>
      <c r="H235" s="19">
        <v>30.12</v>
      </c>
      <c r="I235" s="19">
        <v>1368.3979999999999</v>
      </c>
      <c r="J235" s="40">
        <v>3.5</v>
      </c>
      <c r="K235" s="41">
        <v>14689</v>
      </c>
      <c r="L235" s="24">
        <v>122.7</v>
      </c>
      <c r="M235" s="42">
        <v>96.6</v>
      </c>
    </row>
    <row r="236" spans="1:13" x14ac:dyDescent="0.75">
      <c r="A236" t="s">
        <v>22</v>
      </c>
      <c r="B236" s="18">
        <v>2022</v>
      </c>
      <c r="C236" s="4">
        <v>7</v>
      </c>
      <c r="D236">
        <v>44</v>
      </c>
      <c r="E236" s="19">
        <v>51.3</v>
      </c>
      <c r="F236" s="26">
        <v>100.11</v>
      </c>
      <c r="G236" s="29">
        <v>20.67</v>
      </c>
      <c r="H236" s="19">
        <v>288.58</v>
      </c>
      <c r="I236" s="19">
        <v>1439.261</v>
      </c>
      <c r="J236" s="40">
        <v>3.5</v>
      </c>
      <c r="K236" s="41">
        <v>14984</v>
      </c>
      <c r="L236" s="24">
        <v>111.9</v>
      </c>
      <c r="M236" s="42">
        <v>97</v>
      </c>
    </row>
    <row r="237" spans="1:13" x14ac:dyDescent="0.75">
      <c r="A237" t="s">
        <v>22</v>
      </c>
      <c r="B237" s="18">
        <v>2022</v>
      </c>
      <c r="C237" s="4">
        <v>8</v>
      </c>
      <c r="D237" t="s">
        <v>58</v>
      </c>
      <c r="E237" s="19">
        <v>51.7</v>
      </c>
      <c r="F237" s="26">
        <v>100.05</v>
      </c>
      <c r="G237" s="29">
        <v>258.82</v>
      </c>
      <c r="H237" s="19">
        <v>35.520000000000003</v>
      </c>
      <c r="I237" s="19">
        <v>1466.8869999999999</v>
      </c>
      <c r="J237" s="40">
        <v>3.75</v>
      </c>
      <c r="K237" s="41">
        <v>14851</v>
      </c>
      <c r="L237" s="24">
        <v>100.4</v>
      </c>
      <c r="M237" s="42">
        <v>96.9</v>
      </c>
    </row>
    <row r="238" spans="1:13" x14ac:dyDescent="0.75">
      <c r="A238" t="s">
        <v>22</v>
      </c>
      <c r="B238" s="18">
        <v>2022</v>
      </c>
      <c r="C238" s="4">
        <v>9</v>
      </c>
      <c r="D238">
        <v>44</v>
      </c>
      <c r="E238" s="19">
        <v>53.7</v>
      </c>
      <c r="F238" s="26">
        <v>101.68</v>
      </c>
      <c r="G238" s="29">
        <v>197.04</v>
      </c>
      <c r="H238" s="19">
        <v>33.69</v>
      </c>
      <c r="I238" s="19">
        <v>1455.4829999999999</v>
      </c>
      <c r="J238" s="40">
        <v>4.25</v>
      </c>
      <c r="K238" s="41">
        <v>14972</v>
      </c>
      <c r="L238" s="24">
        <v>89.8</v>
      </c>
      <c r="M238" s="42">
        <v>97.7</v>
      </c>
    </row>
    <row r="239" spans="1:13" x14ac:dyDescent="0.75">
      <c r="A239" t="s">
        <v>22</v>
      </c>
      <c r="B239" s="18">
        <v>2022</v>
      </c>
      <c r="C239" s="4">
        <v>10</v>
      </c>
      <c r="D239">
        <v>44</v>
      </c>
      <c r="E239" s="19">
        <v>51.8</v>
      </c>
      <c r="F239" s="26">
        <v>101.87</v>
      </c>
      <c r="G239" s="29">
        <v>194.16</v>
      </c>
      <c r="H239" s="19">
        <v>19.02</v>
      </c>
      <c r="I239" s="19">
        <v>1508.4269999999999</v>
      </c>
      <c r="J239" s="40">
        <v>4.75</v>
      </c>
      <c r="K239" s="41">
        <v>15417</v>
      </c>
      <c r="L239" s="24">
        <v>93.3</v>
      </c>
      <c r="M239" s="42">
        <v>97.7</v>
      </c>
    </row>
    <row r="240" spans="1:13" x14ac:dyDescent="0.75">
      <c r="A240" t="s">
        <v>22</v>
      </c>
      <c r="B240" s="18">
        <v>2022</v>
      </c>
      <c r="C240" s="4">
        <v>11</v>
      </c>
      <c r="D240">
        <v>44</v>
      </c>
      <c r="E240" s="19">
        <v>50.3</v>
      </c>
      <c r="F240" s="26">
        <v>102.13</v>
      </c>
      <c r="G240" s="29">
        <v>213.59</v>
      </c>
      <c r="H240" s="19">
        <v>31.29</v>
      </c>
      <c r="I240" s="19">
        <v>1367.6980000000001</v>
      </c>
      <c r="J240" s="40">
        <v>5.25</v>
      </c>
      <c r="K240" s="41">
        <v>15659</v>
      </c>
      <c r="L240" s="24">
        <v>91.4</v>
      </c>
      <c r="M240" s="42">
        <v>98</v>
      </c>
    </row>
    <row r="241" spans="1:13" x14ac:dyDescent="0.75">
      <c r="A241" t="s">
        <v>22</v>
      </c>
      <c r="B241" s="18">
        <v>2022</v>
      </c>
      <c r="C241" s="4">
        <v>12</v>
      </c>
      <c r="D241">
        <v>1131</v>
      </c>
      <c r="E241" s="19">
        <v>50.9</v>
      </c>
      <c r="F241" s="26">
        <v>102.46</v>
      </c>
      <c r="G241" s="29">
        <v>197.44</v>
      </c>
      <c r="H241" s="19">
        <v>35.26</v>
      </c>
      <c r="I241" s="19">
        <v>1260.2080000000001</v>
      </c>
      <c r="J241" s="40">
        <v>5.5</v>
      </c>
      <c r="K241" s="41">
        <v>15615</v>
      </c>
      <c r="L241" s="24">
        <v>80.900000000000006</v>
      </c>
      <c r="M241" s="42">
        <v>98.7</v>
      </c>
    </row>
    <row r="242" spans="1:13" x14ac:dyDescent="0.75">
      <c r="A242" t="s">
        <v>23</v>
      </c>
      <c r="B242" s="18">
        <v>2022</v>
      </c>
      <c r="C242" s="4">
        <v>1</v>
      </c>
      <c r="D242" t="s">
        <v>58</v>
      </c>
      <c r="E242" s="19">
        <v>53.7</v>
      </c>
      <c r="F242" s="29">
        <v>97.36</v>
      </c>
      <c r="G242" s="26">
        <v>180.63</v>
      </c>
      <c r="H242" s="19">
        <v>506.36</v>
      </c>
      <c r="I242" s="19">
        <v>502.15800000000002</v>
      </c>
      <c r="J242" s="40">
        <v>3.5</v>
      </c>
      <c r="K242" s="41">
        <v>14335</v>
      </c>
      <c r="L242" s="24">
        <v>86.5</v>
      </c>
      <c r="M242" s="42">
        <v>94</v>
      </c>
    </row>
    <row r="243" spans="1:13" x14ac:dyDescent="0.75">
      <c r="A243" t="s">
        <v>23</v>
      </c>
      <c r="B243" s="18">
        <v>2022</v>
      </c>
      <c r="C243" s="4">
        <v>2</v>
      </c>
      <c r="D243" t="s">
        <v>58</v>
      </c>
      <c r="E243" s="19">
        <v>51.2</v>
      </c>
      <c r="F243" s="29">
        <v>97.14</v>
      </c>
      <c r="G243" s="26">
        <v>514.63</v>
      </c>
      <c r="H243" s="19">
        <v>853.96</v>
      </c>
      <c r="I243" s="19">
        <v>514.10299999999995</v>
      </c>
      <c r="J243" s="40">
        <v>3.5</v>
      </c>
      <c r="K243" s="41">
        <v>14351</v>
      </c>
      <c r="L243" s="24">
        <v>97.1</v>
      </c>
      <c r="M243" s="42">
        <v>94</v>
      </c>
    </row>
    <row r="244" spans="1:13" x14ac:dyDescent="0.75">
      <c r="A244" t="s">
        <v>23</v>
      </c>
      <c r="B244" s="18">
        <v>2022</v>
      </c>
      <c r="C244" s="4">
        <v>3</v>
      </c>
      <c r="D244" t="s">
        <v>58</v>
      </c>
      <c r="E244" s="19">
        <v>51.3</v>
      </c>
      <c r="F244" s="29">
        <v>97.6</v>
      </c>
      <c r="G244" s="26">
        <v>525.86</v>
      </c>
      <c r="H244" s="19">
        <v>937.85</v>
      </c>
      <c r="I244" s="19">
        <v>514.26400000000001</v>
      </c>
      <c r="J244" s="40">
        <v>3.5</v>
      </c>
      <c r="K244" s="41">
        <v>14349</v>
      </c>
      <c r="L244" s="24">
        <v>117.2</v>
      </c>
      <c r="M244" s="42">
        <v>94.7</v>
      </c>
    </row>
    <row r="245" spans="1:13" x14ac:dyDescent="0.75">
      <c r="A245" t="s">
        <v>23</v>
      </c>
      <c r="B245" s="18">
        <v>2022</v>
      </c>
      <c r="C245" s="4">
        <v>4</v>
      </c>
      <c r="D245" t="s">
        <v>58</v>
      </c>
      <c r="E245" s="19">
        <v>51.9</v>
      </c>
      <c r="F245" s="29">
        <v>98.77</v>
      </c>
      <c r="G245" s="26">
        <v>622.1</v>
      </c>
      <c r="H245" s="19">
        <v>841.46</v>
      </c>
      <c r="I245" s="19">
        <v>534.65700000000004</v>
      </c>
      <c r="J245" s="40">
        <v>3.5</v>
      </c>
      <c r="K245" s="41">
        <v>14369</v>
      </c>
      <c r="L245" s="24">
        <v>104.6</v>
      </c>
      <c r="M245" s="42">
        <v>95.6</v>
      </c>
    </row>
    <row r="246" spans="1:13" x14ac:dyDescent="0.75">
      <c r="A246" t="s">
        <v>23</v>
      </c>
      <c r="B246" s="18">
        <v>2022</v>
      </c>
      <c r="C246" s="4">
        <v>5</v>
      </c>
      <c r="D246" t="s">
        <v>58</v>
      </c>
      <c r="E246" s="19">
        <v>50.8</v>
      </c>
      <c r="F246" s="29">
        <v>99.33</v>
      </c>
      <c r="G246" s="26">
        <v>578.29999999999995</v>
      </c>
      <c r="H246" s="19">
        <v>803.54</v>
      </c>
      <c r="I246" s="19">
        <v>569.13400000000001</v>
      </c>
      <c r="J246" s="40">
        <v>3.5</v>
      </c>
      <c r="K246" s="41">
        <v>14608</v>
      </c>
      <c r="L246" s="24">
        <v>113.3</v>
      </c>
      <c r="M246" s="42">
        <v>95.9</v>
      </c>
    </row>
    <row r="247" spans="1:13" x14ac:dyDescent="0.75">
      <c r="A247" t="s">
        <v>23</v>
      </c>
      <c r="B247" s="18">
        <v>2022</v>
      </c>
      <c r="C247" s="4">
        <v>6</v>
      </c>
      <c r="D247" t="s">
        <v>58</v>
      </c>
      <c r="E247" s="19">
        <v>50.2</v>
      </c>
      <c r="F247" s="29">
        <v>100.43</v>
      </c>
      <c r="G247" s="26">
        <v>405.7</v>
      </c>
      <c r="H247" s="19">
        <v>983.07</v>
      </c>
      <c r="I247" s="19">
        <v>546.45100000000002</v>
      </c>
      <c r="J247" s="40">
        <v>3.5</v>
      </c>
      <c r="K247" s="41">
        <v>14689</v>
      </c>
      <c r="L247" s="24">
        <v>122.7</v>
      </c>
      <c r="M247" s="42">
        <v>96.6</v>
      </c>
    </row>
    <row r="248" spans="1:13" x14ac:dyDescent="0.75">
      <c r="A248" t="s">
        <v>23</v>
      </c>
      <c r="B248" s="18">
        <v>2022</v>
      </c>
      <c r="C248" s="4">
        <v>7</v>
      </c>
      <c r="D248">
        <v>25</v>
      </c>
      <c r="E248" s="19">
        <v>51.3</v>
      </c>
      <c r="F248" s="29">
        <v>100.96</v>
      </c>
      <c r="G248" s="26">
        <v>830.16</v>
      </c>
      <c r="H248" s="19">
        <v>507.85</v>
      </c>
      <c r="I248" s="19">
        <v>550.37400000000002</v>
      </c>
      <c r="J248" s="40">
        <v>3.5</v>
      </c>
      <c r="K248" s="41">
        <v>14984</v>
      </c>
      <c r="L248" s="24">
        <v>111.9</v>
      </c>
      <c r="M248" s="42">
        <v>97</v>
      </c>
    </row>
    <row r="249" spans="1:13" x14ac:dyDescent="0.75">
      <c r="A249" t="s">
        <v>23</v>
      </c>
      <c r="B249" s="18">
        <v>2022</v>
      </c>
      <c r="C249" s="4">
        <v>8</v>
      </c>
      <c r="D249" t="s">
        <v>58</v>
      </c>
      <c r="E249" s="19">
        <v>51.7</v>
      </c>
      <c r="F249" s="29">
        <v>100.36</v>
      </c>
      <c r="G249" s="26">
        <v>505.66</v>
      </c>
      <c r="H249" s="19">
        <v>959.58</v>
      </c>
      <c r="I249" s="19">
        <v>545.26400000000001</v>
      </c>
      <c r="J249" s="40">
        <v>3.75</v>
      </c>
      <c r="K249" s="41">
        <v>14851</v>
      </c>
      <c r="L249" s="24">
        <v>100.4</v>
      </c>
      <c r="M249" s="42">
        <v>96.9</v>
      </c>
    </row>
    <row r="250" spans="1:13" x14ac:dyDescent="0.75">
      <c r="A250" t="s">
        <v>23</v>
      </c>
      <c r="B250" s="18">
        <v>2022</v>
      </c>
      <c r="C250" s="4">
        <v>9</v>
      </c>
      <c r="D250">
        <v>25</v>
      </c>
      <c r="E250" s="19">
        <v>53.7</v>
      </c>
      <c r="F250" s="29">
        <v>101.81</v>
      </c>
      <c r="G250" s="26">
        <v>397.05</v>
      </c>
      <c r="H250" s="19">
        <v>894.7</v>
      </c>
      <c r="I250" s="19">
        <v>526.28899999999999</v>
      </c>
      <c r="J250" s="40">
        <v>4.25</v>
      </c>
      <c r="K250" s="41">
        <v>14972</v>
      </c>
      <c r="L250" s="24">
        <v>89.8</v>
      </c>
      <c r="M250" s="42">
        <v>97.7</v>
      </c>
    </row>
    <row r="251" spans="1:13" x14ac:dyDescent="0.75">
      <c r="A251" t="s">
        <v>23</v>
      </c>
      <c r="B251" s="18">
        <v>2022</v>
      </c>
      <c r="C251" s="4">
        <v>10</v>
      </c>
      <c r="D251">
        <v>25</v>
      </c>
      <c r="E251" s="19">
        <v>51.8</v>
      </c>
      <c r="F251" s="29">
        <v>101.94</v>
      </c>
      <c r="G251" s="26">
        <v>501.56</v>
      </c>
      <c r="H251" s="19">
        <v>785.59</v>
      </c>
      <c r="I251" s="19">
        <v>541.13</v>
      </c>
      <c r="J251" s="40">
        <v>4.75</v>
      </c>
      <c r="K251" s="41">
        <v>15417</v>
      </c>
      <c r="L251" s="24">
        <v>93.3</v>
      </c>
      <c r="M251" s="42">
        <v>97.7</v>
      </c>
    </row>
    <row r="252" spans="1:13" x14ac:dyDescent="0.75">
      <c r="A252" t="s">
        <v>23</v>
      </c>
      <c r="B252" s="18">
        <v>2022</v>
      </c>
      <c r="C252" s="4">
        <v>11</v>
      </c>
      <c r="D252">
        <v>37</v>
      </c>
      <c r="E252" s="19">
        <v>50.3</v>
      </c>
      <c r="F252" s="29">
        <v>102.12</v>
      </c>
      <c r="G252" s="26">
        <v>601.9</v>
      </c>
      <c r="H252" s="19">
        <v>4.83</v>
      </c>
      <c r="I252" s="19">
        <v>528.38199999999995</v>
      </c>
      <c r="J252" s="40">
        <v>5.25</v>
      </c>
      <c r="K252" s="41">
        <v>15659</v>
      </c>
      <c r="L252" s="24">
        <v>91.4</v>
      </c>
      <c r="M252" s="42">
        <v>98</v>
      </c>
    </row>
    <row r="253" spans="1:13" x14ac:dyDescent="0.75">
      <c r="A253" t="s">
        <v>23</v>
      </c>
      <c r="B253" s="18">
        <v>2022</v>
      </c>
      <c r="C253" s="4">
        <v>12</v>
      </c>
      <c r="D253">
        <v>37</v>
      </c>
      <c r="E253" s="19">
        <v>50.9</v>
      </c>
      <c r="F253" s="29">
        <v>102.16</v>
      </c>
      <c r="G253" s="26">
        <v>488.33</v>
      </c>
      <c r="H253" s="19">
        <v>3.6</v>
      </c>
      <c r="I253" s="19">
        <v>487.911</v>
      </c>
      <c r="J253" s="40">
        <v>5.5</v>
      </c>
      <c r="K253" s="41">
        <v>15615</v>
      </c>
      <c r="L253" s="24">
        <v>80.900000000000006</v>
      </c>
      <c r="M253" s="42">
        <v>98.7</v>
      </c>
    </row>
    <row r="254" spans="1:13" x14ac:dyDescent="0.75">
      <c r="A254" t="s">
        <v>24</v>
      </c>
      <c r="B254" s="18">
        <v>2022</v>
      </c>
      <c r="C254" s="4">
        <v>1</v>
      </c>
      <c r="D254" t="s">
        <v>58</v>
      </c>
      <c r="E254" s="19">
        <v>53.7</v>
      </c>
      <c r="F254" s="29">
        <v>97.96</v>
      </c>
      <c r="G254" s="19">
        <v>446.29</v>
      </c>
      <c r="H254" s="26">
        <v>32.270000000000003</v>
      </c>
      <c r="I254" s="19">
        <v>1401.8030000000001</v>
      </c>
      <c r="J254" s="40">
        <v>3.5</v>
      </c>
      <c r="K254" s="41">
        <v>14335</v>
      </c>
      <c r="L254" s="24">
        <v>86.5</v>
      </c>
      <c r="M254" s="42">
        <v>94</v>
      </c>
    </row>
    <row r="255" spans="1:13" x14ac:dyDescent="0.75">
      <c r="A255" t="s">
        <v>24</v>
      </c>
      <c r="B255" s="18">
        <v>2022</v>
      </c>
      <c r="C255" s="4">
        <v>2</v>
      </c>
      <c r="D255" t="s">
        <v>58</v>
      </c>
      <c r="E255" s="19">
        <v>51.2</v>
      </c>
      <c r="F255" s="29">
        <v>97.68</v>
      </c>
      <c r="G255" s="19">
        <v>827.6</v>
      </c>
      <c r="H255" s="26">
        <v>86.97</v>
      </c>
      <c r="I255" s="19">
        <v>1402.086</v>
      </c>
      <c r="J255" s="40">
        <v>3.5</v>
      </c>
      <c r="K255" s="41">
        <v>14351</v>
      </c>
      <c r="L255" s="24">
        <v>97.1</v>
      </c>
      <c r="M255" s="42">
        <v>94</v>
      </c>
    </row>
    <row r="256" spans="1:13" x14ac:dyDescent="0.75">
      <c r="A256" t="s">
        <v>24</v>
      </c>
      <c r="B256" s="18">
        <v>2022</v>
      </c>
      <c r="C256" s="4">
        <v>3</v>
      </c>
      <c r="D256" t="s">
        <v>58</v>
      </c>
      <c r="E256" s="19">
        <v>51.3</v>
      </c>
      <c r="F256" s="29">
        <v>98.22</v>
      </c>
      <c r="G256" s="19">
        <v>1258.54</v>
      </c>
      <c r="H256" s="26">
        <v>100.41</v>
      </c>
      <c r="I256" s="19">
        <v>1424.4690000000001</v>
      </c>
      <c r="J256" s="40">
        <v>3.5</v>
      </c>
      <c r="K256" s="41">
        <v>14349</v>
      </c>
      <c r="L256" s="24">
        <v>117.2</v>
      </c>
      <c r="M256" s="42">
        <v>94.7</v>
      </c>
    </row>
    <row r="257" spans="1:13" x14ac:dyDescent="0.75">
      <c r="A257" t="s">
        <v>24</v>
      </c>
      <c r="B257" s="18">
        <v>2022</v>
      </c>
      <c r="C257" s="4">
        <v>4</v>
      </c>
      <c r="D257" t="s">
        <v>58</v>
      </c>
      <c r="E257" s="19">
        <v>51.9</v>
      </c>
      <c r="F257" s="29">
        <v>99</v>
      </c>
      <c r="G257" s="19">
        <v>1507.01</v>
      </c>
      <c r="H257" s="26">
        <v>111.14</v>
      </c>
      <c r="I257" s="19">
        <v>1548.0630000000001</v>
      </c>
      <c r="J257" s="40">
        <v>3.5</v>
      </c>
      <c r="K257" s="41">
        <v>14369</v>
      </c>
      <c r="L257" s="24">
        <v>104.6</v>
      </c>
      <c r="M257" s="42">
        <v>95.6</v>
      </c>
    </row>
    <row r="258" spans="1:13" x14ac:dyDescent="0.75">
      <c r="A258" t="s">
        <v>24</v>
      </c>
      <c r="B258" s="18">
        <v>2022</v>
      </c>
      <c r="C258" s="4">
        <v>5</v>
      </c>
      <c r="D258" t="s">
        <v>58</v>
      </c>
      <c r="E258" s="19">
        <v>50.8</v>
      </c>
      <c r="F258" s="29">
        <v>99.5</v>
      </c>
      <c r="G258" s="19">
        <v>1313.52</v>
      </c>
      <c r="H258" s="26">
        <v>74.34</v>
      </c>
      <c r="I258" s="19">
        <v>1592.991</v>
      </c>
      <c r="J258" s="40">
        <v>3.5</v>
      </c>
      <c r="K258" s="41">
        <v>14608</v>
      </c>
      <c r="L258" s="24">
        <v>113.3</v>
      </c>
      <c r="M258" s="42">
        <v>95.9</v>
      </c>
    </row>
    <row r="259" spans="1:13" x14ac:dyDescent="0.75">
      <c r="A259" t="s">
        <v>24</v>
      </c>
      <c r="B259" s="18">
        <v>2022</v>
      </c>
      <c r="C259" s="4">
        <v>6</v>
      </c>
      <c r="D259" t="s">
        <v>58</v>
      </c>
      <c r="E259" s="19">
        <v>50.2</v>
      </c>
      <c r="F259" s="29">
        <v>100.1</v>
      </c>
      <c r="G259" s="19">
        <v>1729.52</v>
      </c>
      <c r="H259" s="26">
        <v>134.29</v>
      </c>
      <c r="I259" s="19">
        <v>1546.3969999999999</v>
      </c>
      <c r="J259" s="40">
        <v>3.5</v>
      </c>
      <c r="K259" s="41">
        <v>14689</v>
      </c>
      <c r="L259" s="24">
        <v>122.7</v>
      </c>
      <c r="M259" s="42">
        <v>96.6</v>
      </c>
    </row>
    <row r="260" spans="1:13" x14ac:dyDescent="0.75">
      <c r="A260" t="s">
        <v>24</v>
      </c>
      <c r="B260" s="18">
        <v>2022</v>
      </c>
      <c r="C260" s="4">
        <v>7</v>
      </c>
      <c r="D260">
        <v>58</v>
      </c>
      <c r="E260" s="19">
        <v>51.3</v>
      </c>
      <c r="F260" s="29">
        <v>100.24</v>
      </c>
      <c r="G260" s="19">
        <v>153.56</v>
      </c>
      <c r="H260" s="26">
        <v>1540.94</v>
      </c>
      <c r="I260" s="19">
        <v>1547.7370000000001</v>
      </c>
      <c r="J260" s="40">
        <v>3.5</v>
      </c>
      <c r="K260" s="41">
        <v>14984</v>
      </c>
      <c r="L260" s="24">
        <v>111.9</v>
      </c>
      <c r="M260" s="42">
        <v>97</v>
      </c>
    </row>
    <row r="261" spans="1:13" x14ac:dyDescent="0.75">
      <c r="A261" t="s">
        <v>24</v>
      </c>
      <c r="B261" s="18">
        <v>2022</v>
      </c>
      <c r="C261" s="4">
        <v>8</v>
      </c>
      <c r="D261" t="s">
        <v>58</v>
      </c>
      <c r="E261" s="19">
        <v>51.7</v>
      </c>
      <c r="F261" s="29">
        <v>99.82</v>
      </c>
      <c r="G261" s="19">
        <v>1640.39</v>
      </c>
      <c r="H261" s="26">
        <v>200.07</v>
      </c>
      <c r="I261" s="19">
        <v>1519.7</v>
      </c>
      <c r="J261" s="40">
        <v>3.75</v>
      </c>
      <c r="K261" s="41">
        <v>14851</v>
      </c>
      <c r="L261" s="24">
        <v>100.4</v>
      </c>
      <c r="M261" s="42">
        <v>96.9</v>
      </c>
    </row>
    <row r="262" spans="1:13" x14ac:dyDescent="0.75">
      <c r="A262" t="s">
        <v>24</v>
      </c>
      <c r="B262" s="18">
        <v>2022</v>
      </c>
      <c r="C262" s="4">
        <v>9</v>
      </c>
      <c r="D262">
        <v>943</v>
      </c>
      <c r="E262" s="19">
        <v>53.7</v>
      </c>
      <c r="F262" s="29">
        <v>101.46</v>
      </c>
      <c r="G262" s="19">
        <v>1478.56</v>
      </c>
      <c r="H262" s="26">
        <v>192.42</v>
      </c>
      <c r="I262" s="19">
        <v>1474.518</v>
      </c>
      <c r="J262" s="40">
        <v>4.25</v>
      </c>
      <c r="K262" s="41">
        <v>14972</v>
      </c>
      <c r="L262" s="24">
        <v>89.8</v>
      </c>
      <c r="M262" s="42">
        <v>97.7</v>
      </c>
    </row>
    <row r="263" spans="1:13" x14ac:dyDescent="0.75">
      <c r="A263" t="s">
        <v>24</v>
      </c>
      <c r="B263" s="18">
        <v>2022</v>
      </c>
      <c r="C263" s="4">
        <v>10</v>
      </c>
      <c r="D263">
        <v>943</v>
      </c>
      <c r="E263" s="19">
        <v>51.8</v>
      </c>
      <c r="F263" s="29">
        <v>101.64</v>
      </c>
      <c r="G263" s="19">
        <v>1571.92</v>
      </c>
      <c r="H263" s="26">
        <v>196.72</v>
      </c>
      <c r="I263" s="19">
        <v>1564.874</v>
      </c>
      <c r="J263" s="40">
        <v>4.75</v>
      </c>
      <c r="K263" s="41">
        <v>15417</v>
      </c>
      <c r="L263" s="24">
        <v>93.3</v>
      </c>
      <c r="M263" s="42">
        <v>97.7</v>
      </c>
    </row>
    <row r="264" spans="1:13" x14ac:dyDescent="0.75">
      <c r="A264" t="s">
        <v>24</v>
      </c>
      <c r="B264" s="18">
        <v>2022</v>
      </c>
      <c r="C264" s="4">
        <v>11</v>
      </c>
      <c r="D264">
        <v>1199</v>
      </c>
      <c r="E264" s="19">
        <v>50.3</v>
      </c>
      <c r="F264" s="29">
        <v>101.86</v>
      </c>
      <c r="G264" s="19">
        <v>1552.35</v>
      </c>
      <c r="H264" s="26">
        <v>82.13</v>
      </c>
      <c r="I264" s="19">
        <v>1498.5509999999999</v>
      </c>
      <c r="J264" s="40">
        <v>5.25</v>
      </c>
      <c r="K264" s="41">
        <v>15659</v>
      </c>
      <c r="L264" s="24">
        <v>91.4</v>
      </c>
      <c r="M264" s="42">
        <v>98</v>
      </c>
    </row>
    <row r="265" spans="1:13" x14ac:dyDescent="0.75">
      <c r="A265" t="s">
        <v>24</v>
      </c>
      <c r="B265" s="18">
        <v>2022</v>
      </c>
      <c r="C265" s="4">
        <v>12</v>
      </c>
      <c r="D265">
        <v>1199</v>
      </c>
      <c r="E265" s="19">
        <v>50.9</v>
      </c>
      <c r="F265" s="29">
        <v>102.54</v>
      </c>
      <c r="G265" s="19">
        <v>1351.18</v>
      </c>
      <c r="H265" s="26">
        <v>177.26</v>
      </c>
      <c r="I265" s="19">
        <v>1460.922</v>
      </c>
      <c r="J265" s="40">
        <v>5.5</v>
      </c>
      <c r="K265" s="41">
        <v>15615</v>
      </c>
      <c r="L265" s="24">
        <v>80.900000000000006</v>
      </c>
      <c r="M265" s="42">
        <v>98.7</v>
      </c>
    </row>
    <row r="266" spans="1:13" x14ac:dyDescent="0.75">
      <c r="A266" t="s">
        <v>25</v>
      </c>
      <c r="B266" s="18">
        <v>2022</v>
      </c>
      <c r="C266" s="4">
        <v>1</v>
      </c>
      <c r="D266" t="s">
        <v>58</v>
      </c>
      <c r="E266" s="19">
        <v>53.7</v>
      </c>
      <c r="F266" s="26">
        <v>97.55</v>
      </c>
      <c r="G266" s="26">
        <v>1094.5999999999999</v>
      </c>
      <c r="H266" s="19">
        <v>201.23</v>
      </c>
      <c r="I266" s="19">
        <v>3342.49</v>
      </c>
      <c r="J266" s="40">
        <v>3.5</v>
      </c>
      <c r="K266" s="41">
        <v>14335</v>
      </c>
      <c r="L266" s="24">
        <v>86.5</v>
      </c>
      <c r="M266" s="42">
        <v>94</v>
      </c>
    </row>
    <row r="267" spans="1:13" x14ac:dyDescent="0.75">
      <c r="A267" t="s">
        <v>25</v>
      </c>
      <c r="B267" s="18">
        <v>2022</v>
      </c>
      <c r="C267" s="4">
        <v>2</v>
      </c>
      <c r="D267" t="s">
        <v>58</v>
      </c>
      <c r="E267" s="19">
        <v>51.2</v>
      </c>
      <c r="F267" s="26">
        <v>97.41</v>
      </c>
      <c r="G267" s="26">
        <v>2019.88</v>
      </c>
      <c r="H267" s="19">
        <v>324.36</v>
      </c>
      <c r="I267" s="19">
        <v>3378.6489999999999</v>
      </c>
      <c r="J267" s="40">
        <v>3.5</v>
      </c>
      <c r="K267" s="41">
        <v>14351</v>
      </c>
      <c r="L267" s="24">
        <v>97.1</v>
      </c>
      <c r="M267" s="42">
        <v>94</v>
      </c>
    </row>
    <row r="268" spans="1:13" x14ac:dyDescent="0.75">
      <c r="A268" t="s">
        <v>25</v>
      </c>
      <c r="B268" s="18">
        <v>2022</v>
      </c>
      <c r="C268" s="4">
        <v>3</v>
      </c>
      <c r="D268" t="s">
        <v>58</v>
      </c>
      <c r="E268" s="19">
        <v>51.3</v>
      </c>
      <c r="F268" s="26">
        <v>97.97</v>
      </c>
      <c r="G268" s="26">
        <v>3055.48</v>
      </c>
      <c r="H268" s="19">
        <v>522.4</v>
      </c>
      <c r="I268" s="19">
        <v>3302.7240000000002</v>
      </c>
      <c r="J268" s="40">
        <v>3.5</v>
      </c>
      <c r="K268" s="41">
        <v>14349</v>
      </c>
      <c r="L268" s="24">
        <v>117.2</v>
      </c>
      <c r="M268" s="42">
        <v>94.7</v>
      </c>
    </row>
    <row r="269" spans="1:13" x14ac:dyDescent="0.75">
      <c r="A269" t="s">
        <v>25</v>
      </c>
      <c r="B269" s="18">
        <v>2022</v>
      </c>
      <c r="C269" s="4">
        <v>4</v>
      </c>
      <c r="D269" t="s">
        <v>58</v>
      </c>
      <c r="E269" s="19">
        <v>51.9</v>
      </c>
      <c r="F269" s="26">
        <v>99.05</v>
      </c>
      <c r="G269" s="26">
        <v>3342.07</v>
      </c>
      <c r="H269" s="19">
        <v>415.71</v>
      </c>
      <c r="I269" s="19">
        <v>3376.7260000000001</v>
      </c>
      <c r="J269" s="40">
        <v>3.5</v>
      </c>
      <c r="K269" s="41">
        <v>14369</v>
      </c>
      <c r="L269" s="24">
        <v>104.6</v>
      </c>
      <c r="M269" s="42">
        <v>95.6</v>
      </c>
    </row>
    <row r="270" spans="1:13" x14ac:dyDescent="0.75">
      <c r="A270" t="s">
        <v>25</v>
      </c>
      <c r="B270" s="18">
        <v>2022</v>
      </c>
      <c r="C270" s="4">
        <v>5</v>
      </c>
      <c r="D270" t="s">
        <v>58</v>
      </c>
      <c r="E270" s="19">
        <v>50.8</v>
      </c>
      <c r="F270" s="26">
        <v>99.48</v>
      </c>
      <c r="G270" s="26">
        <v>2860.11</v>
      </c>
      <c r="H270" s="19">
        <v>218.69</v>
      </c>
      <c r="I270" s="19">
        <v>3476.1880000000001</v>
      </c>
      <c r="J270" s="40">
        <v>3.5</v>
      </c>
      <c r="K270" s="41">
        <v>14608</v>
      </c>
      <c r="L270" s="24">
        <v>113.3</v>
      </c>
      <c r="M270" s="42">
        <v>95.9</v>
      </c>
    </row>
    <row r="271" spans="1:13" x14ac:dyDescent="0.75">
      <c r="A271" t="s">
        <v>25</v>
      </c>
      <c r="B271" s="18">
        <v>2022</v>
      </c>
      <c r="C271" s="4">
        <v>6</v>
      </c>
      <c r="D271" t="s">
        <v>58</v>
      </c>
      <c r="E271" s="19">
        <v>50.2</v>
      </c>
      <c r="F271" s="26">
        <v>100.03</v>
      </c>
      <c r="G271" s="26">
        <v>3690.95</v>
      </c>
      <c r="H271" s="19">
        <v>567.55999999999995</v>
      </c>
      <c r="I271" s="19">
        <v>3168.18</v>
      </c>
      <c r="J271" s="40">
        <v>3.5</v>
      </c>
      <c r="K271" s="41">
        <v>14689</v>
      </c>
      <c r="L271" s="24">
        <v>122.7</v>
      </c>
      <c r="M271" s="42">
        <v>96.6</v>
      </c>
    </row>
    <row r="272" spans="1:13" x14ac:dyDescent="0.75">
      <c r="A272" t="s">
        <v>25</v>
      </c>
      <c r="B272" s="18">
        <v>2022</v>
      </c>
      <c r="C272" s="4">
        <v>7</v>
      </c>
      <c r="D272">
        <v>15</v>
      </c>
      <c r="E272" s="19">
        <v>51.3</v>
      </c>
      <c r="F272" s="26">
        <v>100.6</v>
      </c>
      <c r="G272" s="26">
        <v>746.23</v>
      </c>
      <c r="H272" s="19">
        <v>3600.69</v>
      </c>
      <c r="I272" s="19">
        <v>3239.6860000000001</v>
      </c>
      <c r="J272" s="40">
        <v>3.5</v>
      </c>
      <c r="K272" s="41">
        <v>14984</v>
      </c>
      <c r="L272" s="24">
        <v>111.9</v>
      </c>
      <c r="M272" s="42">
        <v>97</v>
      </c>
    </row>
    <row r="273" spans="1:13" x14ac:dyDescent="0.75">
      <c r="A273" t="s">
        <v>25</v>
      </c>
      <c r="B273" s="18">
        <v>2022</v>
      </c>
      <c r="C273" s="4">
        <v>8</v>
      </c>
      <c r="D273" t="s">
        <v>58</v>
      </c>
      <c r="E273" s="19">
        <v>51.7</v>
      </c>
      <c r="F273" s="26">
        <v>100.21</v>
      </c>
      <c r="G273" s="26">
        <v>3742.89</v>
      </c>
      <c r="H273" s="19">
        <v>428.79</v>
      </c>
      <c r="I273" s="19">
        <v>3256.6179999999999</v>
      </c>
      <c r="J273" s="40">
        <v>3.75</v>
      </c>
      <c r="K273" s="41">
        <v>14851</v>
      </c>
      <c r="L273" s="24">
        <v>100.4</v>
      </c>
      <c r="M273" s="42">
        <v>96.9</v>
      </c>
    </row>
    <row r="274" spans="1:13" x14ac:dyDescent="0.75">
      <c r="A274" t="s">
        <v>25</v>
      </c>
      <c r="B274" s="18">
        <v>2022</v>
      </c>
      <c r="C274" s="4">
        <v>9</v>
      </c>
      <c r="D274">
        <v>15</v>
      </c>
      <c r="E274" s="19">
        <v>53.7</v>
      </c>
      <c r="F274" s="26">
        <v>101.65</v>
      </c>
      <c r="G274" s="26">
        <v>3348.44</v>
      </c>
      <c r="H274" s="19">
        <v>280.68</v>
      </c>
      <c r="I274" s="19">
        <v>3230.576</v>
      </c>
      <c r="J274" s="40">
        <v>4.25</v>
      </c>
      <c r="K274" s="41">
        <v>14972</v>
      </c>
      <c r="L274" s="24">
        <v>89.8</v>
      </c>
      <c r="M274" s="42">
        <v>97.7</v>
      </c>
    </row>
    <row r="275" spans="1:13" x14ac:dyDescent="0.75">
      <c r="A275" t="s">
        <v>25</v>
      </c>
      <c r="B275" s="18">
        <v>2022</v>
      </c>
      <c r="C275" s="4">
        <v>10</v>
      </c>
      <c r="D275">
        <v>15</v>
      </c>
      <c r="E275" s="19">
        <v>51.8</v>
      </c>
      <c r="F275" s="26">
        <v>101.86</v>
      </c>
      <c r="G275" s="26">
        <v>3357.95</v>
      </c>
      <c r="H275" s="19">
        <v>585.07000000000005</v>
      </c>
      <c r="I275" s="19">
        <v>3200.3539999999998</v>
      </c>
      <c r="J275" s="40">
        <v>4.75</v>
      </c>
      <c r="K275" s="41">
        <v>15417</v>
      </c>
      <c r="L275" s="24">
        <v>93.3</v>
      </c>
      <c r="M275" s="42">
        <v>97.7</v>
      </c>
    </row>
    <row r="276" spans="1:13" x14ac:dyDescent="0.75">
      <c r="A276" t="s">
        <v>25</v>
      </c>
      <c r="B276" s="18">
        <v>2022</v>
      </c>
      <c r="C276" s="4">
        <v>11</v>
      </c>
      <c r="D276">
        <v>15</v>
      </c>
      <c r="E276" s="19">
        <v>50.3</v>
      </c>
      <c r="F276" s="26">
        <v>101.98</v>
      </c>
      <c r="G276" s="26">
        <v>3189.21</v>
      </c>
      <c r="H276" s="19">
        <v>536.83000000000004</v>
      </c>
      <c r="I276" s="19">
        <v>3121.8029999999999</v>
      </c>
      <c r="J276" s="40">
        <v>5.25</v>
      </c>
      <c r="K276" s="41">
        <v>15659</v>
      </c>
      <c r="L276" s="24">
        <v>91.4</v>
      </c>
      <c r="M276" s="42">
        <v>98</v>
      </c>
    </row>
    <row r="277" spans="1:13" x14ac:dyDescent="0.75">
      <c r="A277" t="s">
        <v>25</v>
      </c>
      <c r="B277" s="18">
        <v>2022</v>
      </c>
      <c r="C277" s="4">
        <v>12</v>
      </c>
      <c r="D277">
        <v>3082</v>
      </c>
      <c r="E277" s="19">
        <v>50.9</v>
      </c>
      <c r="F277" s="26">
        <v>102.2</v>
      </c>
      <c r="G277" s="26">
        <v>3153.38</v>
      </c>
      <c r="H277" s="19">
        <v>590.44000000000005</v>
      </c>
      <c r="I277" s="19">
        <v>2890.4059999999999</v>
      </c>
      <c r="J277" s="40">
        <v>5.5</v>
      </c>
      <c r="K277" s="41">
        <v>15615</v>
      </c>
      <c r="L277" s="24">
        <v>80.900000000000006</v>
      </c>
      <c r="M277" s="42">
        <v>98.7</v>
      </c>
    </row>
    <row r="278" spans="1:13" x14ac:dyDescent="0.75">
      <c r="A278" t="s">
        <v>26</v>
      </c>
      <c r="B278" s="18">
        <v>2022</v>
      </c>
      <c r="C278" s="4">
        <v>1</v>
      </c>
      <c r="D278" t="s">
        <v>58</v>
      </c>
      <c r="E278" s="19">
        <v>53.7</v>
      </c>
      <c r="F278" s="19">
        <v>97.99</v>
      </c>
      <c r="G278" s="19">
        <v>66.31</v>
      </c>
      <c r="H278" s="19">
        <v>11.53</v>
      </c>
      <c r="I278" s="3"/>
      <c r="J278" s="40">
        <v>3.5</v>
      </c>
      <c r="K278" s="41">
        <v>14335</v>
      </c>
      <c r="L278" s="24">
        <v>86.5</v>
      </c>
      <c r="M278" s="42">
        <v>94</v>
      </c>
    </row>
    <row r="279" spans="1:13" x14ac:dyDescent="0.75">
      <c r="A279" t="s">
        <v>26</v>
      </c>
      <c r="B279" s="18">
        <v>2022</v>
      </c>
      <c r="C279" s="4">
        <v>2</v>
      </c>
      <c r="D279" t="s">
        <v>58</v>
      </c>
      <c r="E279" s="19">
        <v>51.2</v>
      </c>
      <c r="F279" s="19">
        <v>98.05</v>
      </c>
      <c r="G279" s="19">
        <v>153.03</v>
      </c>
      <c r="H279" s="19">
        <v>13.48</v>
      </c>
      <c r="I279" s="3"/>
      <c r="J279" s="40">
        <v>3.5</v>
      </c>
      <c r="K279" s="41">
        <v>14351</v>
      </c>
      <c r="L279" s="24">
        <v>97.1</v>
      </c>
      <c r="M279" s="42">
        <v>94</v>
      </c>
    </row>
    <row r="280" spans="1:13" x14ac:dyDescent="0.75">
      <c r="A280" t="s">
        <v>26</v>
      </c>
      <c r="B280" s="18">
        <v>2022</v>
      </c>
      <c r="C280" s="4">
        <v>3</v>
      </c>
      <c r="D280" t="s">
        <v>58</v>
      </c>
      <c r="E280" s="19">
        <v>51.3</v>
      </c>
      <c r="F280" s="19">
        <v>98.46</v>
      </c>
      <c r="G280" s="19">
        <v>272.06</v>
      </c>
      <c r="H280" s="19">
        <v>7.57</v>
      </c>
      <c r="I280" s="3"/>
      <c r="J280" s="40">
        <v>3.5</v>
      </c>
      <c r="K280" s="41">
        <v>14349</v>
      </c>
      <c r="L280" s="24">
        <v>117.2</v>
      </c>
      <c r="M280" s="42">
        <v>94.7</v>
      </c>
    </row>
    <row r="281" spans="1:13" x14ac:dyDescent="0.75">
      <c r="A281" t="s">
        <v>26</v>
      </c>
      <c r="B281" s="18">
        <v>2022</v>
      </c>
      <c r="C281" s="4">
        <v>4</v>
      </c>
      <c r="D281" t="s">
        <v>58</v>
      </c>
      <c r="E281" s="19">
        <v>51.9</v>
      </c>
      <c r="F281" s="19">
        <v>98.89</v>
      </c>
      <c r="G281" s="19">
        <v>248.09</v>
      </c>
      <c r="H281" s="19">
        <v>9.32</v>
      </c>
      <c r="I281" s="3"/>
      <c r="J281" s="40">
        <v>3.5</v>
      </c>
      <c r="K281" s="41">
        <v>14369</v>
      </c>
      <c r="L281" s="24">
        <v>104.6</v>
      </c>
      <c r="M281" s="42">
        <v>95.6</v>
      </c>
    </row>
    <row r="282" spans="1:13" x14ac:dyDescent="0.75">
      <c r="A282" t="s">
        <v>26</v>
      </c>
      <c r="B282" s="18">
        <v>2022</v>
      </c>
      <c r="C282" s="4">
        <v>5</v>
      </c>
      <c r="D282" t="s">
        <v>58</v>
      </c>
      <c r="E282" s="19">
        <v>50.8</v>
      </c>
      <c r="F282" s="19">
        <v>99.52</v>
      </c>
      <c r="G282" s="19">
        <v>255.94</v>
      </c>
      <c r="H282" s="19">
        <v>7.52</v>
      </c>
      <c r="I282" s="3"/>
      <c r="J282" s="40">
        <v>3.5</v>
      </c>
      <c r="K282" s="41">
        <v>14608</v>
      </c>
      <c r="L282" s="24">
        <v>113.3</v>
      </c>
      <c r="M282" s="42">
        <v>95.9</v>
      </c>
    </row>
    <row r="283" spans="1:13" x14ac:dyDescent="0.75">
      <c r="A283" t="s">
        <v>26</v>
      </c>
      <c r="B283" s="18">
        <v>2022</v>
      </c>
      <c r="C283" s="4">
        <v>6</v>
      </c>
      <c r="D283" t="s">
        <v>58</v>
      </c>
      <c r="E283" s="19">
        <v>50.2</v>
      </c>
      <c r="F283" s="19">
        <v>100.16</v>
      </c>
      <c r="G283" s="19">
        <v>193.84</v>
      </c>
      <c r="H283" s="19">
        <v>15.03</v>
      </c>
      <c r="I283" s="3"/>
      <c r="J283" s="40">
        <v>3.5</v>
      </c>
      <c r="K283" s="41">
        <v>14689</v>
      </c>
      <c r="L283" s="24">
        <v>122.7</v>
      </c>
      <c r="M283" s="42">
        <v>96.6</v>
      </c>
    </row>
    <row r="284" spans="1:13" x14ac:dyDescent="0.75">
      <c r="A284" t="s">
        <v>26</v>
      </c>
      <c r="B284" s="18">
        <v>2022</v>
      </c>
      <c r="C284" s="4">
        <v>7</v>
      </c>
      <c r="D284">
        <v>0</v>
      </c>
      <c r="E284" s="19">
        <v>51.3</v>
      </c>
      <c r="F284" s="19">
        <v>100.34</v>
      </c>
      <c r="G284" s="19">
        <v>15.29</v>
      </c>
      <c r="H284" s="19">
        <v>291.58999999999997</v>
      </c>
      <c r="I284" s="3"/>
      <c r="J284" s="40">
        <v>3.5</v>
      </c>
      <c r="K284" s="41">
        <v>14984</v>
      </c>
      <c r="L284" s="24">
        <v>111.9</v>
      </c>
      <c r="M284" s="42">
        <v>97</v>
      </c>
    </row>
    <row r="285" spans="1:13" x14ac:dyDescent="0.75">
      <c r="A285" t="s">
        <v>26</v>
      </c>
      <c r="B285" s="18">
        <v>2022</v>
      </c>
      <c r="C285" s="4">
        <v>8</v>
      </c>
      <c r="D285" t="s">
        <v>58</v>
      </c>
      <c r="E285" s="19">
        <v>51.7</v>
      </c>
      <c r="F285" s="19">
        <v>100.3</v>
      </c>
      <c r="G285" s="19">
        <v>176.47</v>
      </c>
      <c r="H285" s="19">
        <v>12.24</v>
      </c>
      <c r="I285" s="3"/>
      <c r="J285" s="40">
        <v>3.75</v>
      </c>
      <c r="K285" s="41">
        <v>14851</v>
      </c>
      <c r="L285" s="24">
        <v>100.4</v>
      </c>
      <c r="M285" s="42">
        <v>96.9</v>
      </c>
    </row>
    <row r="286" spans="1:13" x14ac:dyDescent="0.75">
      <c r="A286" t="s">
        <v>26</v>
      </c>
      <c r="B286" s="18">
        <v>2022</v>
      </c>
      <c r="C286" s="4">
        <v>9</v>
      </c>
      <c r="D286">
        <v>238</v>
      </c>
      <c r="E286" s="19">
        <v>53.7</v>
      </c>
      <c r="F286" s="19">
        <v>101.46</v>
      </c>
      <c r="G286" s="19">
        <v>241.11</v>
      </c>
      <c r="H286" s="19">
        <v>26.69</v>
      </c>
      <c r="I286" s="3"/>
      <c r="J286" s="40">
        <v>4.25</v>
      </c>
      <c r="K286" s="41">
        <v>14972</v>
      </c>
      <c r="L286" s="24">
        <v>89.8</v>
      </c>
      <c r="M286" s="42">
        <v>97.7</v>
      </c>
    </row>
    <row r="287" spans="1:13" x14ac:dyDescent="0.75">
      <c r="A287" t="s">
        <v>26</v>
      </c>
      <c r="B287" s="18">
        <v>2022</v>
      </c>
      <c r="C287" s="4">
        <v>10</v>
      </c>
      <c r="D287">
        <v>238</v>
      </c>
      <c r="E287" s="19">
        <v>51.8</v>
      </c>
      <c r="F287" s="19">
        <v>101.34</v>
      </c>
      <c r="G287" s="19">
        <v>262.74</v>
      </c>
      <c r="H287" s="19">
        <v>26.91</v>
      </c>
      <c r="I287" s="3"/>
      <c r="J287" s="40">
        <v>4.75</v>
      </c>
      <c r="K287" s="41">
        <v>15417</v>
      </c>
      <c r="L287" s="24">
        <v>93.3</v>
      </c>
      <c r="M287" s="42">
        <v>97.7</v>
      </c>
    </row>
    <row r="288" spans="1:13" x14ac:dyDescent="0.75">
      <c r="A288" t="s">
        <v>26</v>
      </c>
      <c r="B288" s="18">
        <v>2022</v>
      </c>
      <c r="C288" s="4">
        <v>11</v>
      </c>
      <c r="D288">
        <v>238</v>
      </c>
      <c r="E288" s="19">
        <v>50.3</v>
      </c>
      <c r="F288" s="19">
        <v>101.39</v>
      </c>
      <c r="G288" s="19">
        <v>225.96</v>
      </c>
      <c r="H288" s="19">
        <v>10.67</v>
      </c>
      <c r="I288" s="3"/>
      <c r="J288" s="40">
        <v>5.25</v>
      </c>
      <c r="K288" s="41">
        <v>15659</v>
      </c>
      <c r="L288" s="24">
        <v>91.4</v>
      </c>
      <c r="M288" s="42">
        <v>98</v>
      </c>
    </row>
    <row r="289" spans="1:13" x14ac:dyDescent="0.75">
      <c r="A289" t="s">
        <v>26</v>
      </c>
      <c r="B289" s="18">
        <v>2022</v>
      </c>
      <c r="C289" s="4">
        <v>12</v>
      </c>
      <c r="D289">
        <v>238</v>
      </c>
      <c r="E289" s="19">
        <v>50.9</v>
      </c>
      <c r="F289" s="19">
        <v>102.1</v>
      </c>
      <c r="G289" s="19">
        <v>177.88</v>
      </c>
      <c r="H289" s="19">
        <v>14.56</v>
      </c>
      <c r="I289" s="3"/>
      <c r="J289" s="40">
        <v>5.5</v>
      </c>
      <c r="K289" s="41">
        <v>15615</v>
      </c>
      <c r="L289" s="24">
        <v>80.900000000000006</v>
      </c>
      <c r="M289" s="42">
        <v>98.7</v>
      </c>
    </row>
    <row r="290" spans="1:13" x14ac:dyDescent="0.75">
      <c r="A290" t="s">
        <v>27</v>
      </c>
      <c r="B290" s="18">
        <v>2022</v>
      </c>
      <c r="C290" s="4">
        <v>1</v>
      </c>
      <c r="D290" t="s">
        <v>58</v>
      </c>
      <c r="E290" s="19">
        <v>53.7</v>
      </c>
      <c r="F290" s="26">
        <v>98.08</v>
      </c>
      <c r="G290" s="19">
        <v>60.64</v>
      </c>
      <c r="H290" s="19">
        <v>8</v>
      </c>
      <c r="I290" s="19">
        <v>1332.442</v>
      </c>
      <c r="J290" s="40">
        <v>3.5</v>
      </c>
      <c r="K290" s="41">
        <v>14335</v>
      </c>
      <c r="L290" s="24">
        <v>86.5</v>
      </c>
      <c r="M290" s="42">
        <v>94</v>
      </c>
    </row>
    <row r="291" spans="1:13" x14ac:dyDescent="0.75">
      <c r="A291" t="s">
        <v>27</v>
      </c>
      <c r="B291" s="18">
        <v>2022</v>
      </c>
      <c r="C291" s="4">
        <v>2</v>
      </c>
      <c r="D291" t="s">
        <v>58</v>
      </c>
      <c r="E291" s="19">
        <v>51.2</v>
      </c>
      <c r="F291" s="26">
        <v>98.06</v>
      </c>
      <c r="G291" s="19">
        <v>91.36</v>
      </c>
      <c r="H291" s="19">
        <v>12</v>
      </c>
      <c r="I291" s="19">
        <v>1343.721</v>
      </c>
      <c r="J291" s="40">
        <v>3.5</v>
      </c>
      <c r="K291" s="41">
        <v>14351</v>
      </c>
      <c r="L291" s="24">
        <v>97.1</v>
      </c>
      <c r="M291" s="42">
        <v>94</v>
      </c>
    </row>
    <row r="292" spans="1:13" x14ac:dyDescent="0.75">
      <c r="A292" t="s">
        <v>27</v>
      </c>
      <c r="B292" s="18">
        <v>2022</v>
      </c>
      <c r="C292" s="4">
        <v>3</v>
      </c>
      <c r="D292" t="s">
        <v>58</v>
      </c>
      <c r="E292" s="19">
        <v>51.3</v>
      </c>
      <c r="F292" s="26">
        <v>98.27</v>
      </c>
      <c r="G292" s="19">
        <v>141.38</v>
      </c>
      <c r="H292" s="19">
        <v>18.89</v>
      </c>
      <c r="I292" s="19">
        <v>1347.8869999999999</v>
      </c>
      <c r="J292" s="40">
        <v>3.5</v>
      </c>
      <c r="K292" s="41">
        <v>14349</v>
      </c>
      <c r="L292" s="24">
        <v>117.2</v>
      </c>
      <c r="M292" s="42">
        <v>94.7</v>
      </c>
    </row>
    <row r="293" spans="1:13" x14ac:dyDescent="0.75">
      <c r="A293" t="s">
        <v>27</v>
      </c>
      <c r="B293" s="18">
        <v>2022</v>
      </c>
      <c r="C293" s="4">
        <v>4</v>
      </c>
      <c r="D293" t="s">
        <v>58</v>
      </c>
      <c r="E293" s="19">
        <v>51.9</v>
      </c>
      <c r="F293" s="26">
        <v>99.38</v>
      </c>
      <c r="G293" s="19">
        <v>91.41</v>
      </c>
      <c r="H293" s="19">
        <v>3.51</v>
      </c>
      <c r="I293" s="19">
        <v>1425.7429999999999</v>
      </c>
      <c r="J293" s="40">
        <v>3.5</v>
      </c>
      <c r="K293" s="41">
        <v>14369</v>
      </c>
      <c r="L293" s="24">
        <v>104.6</v>
      </c>
      <c r="M293" s="42">
        <v>95.6</v>
      </c>
    </row>
    <row r="294" spans="1:13" x14ac:dyDescent="0.75">
      <c r="A294" t="s">
        <v>27</v>
      </c>
      <c r="B294" s="18">
        <v>2022</v>
      </c>
      <c r="C294" s="4">
        <v>5</v>
      </c>
      <c r="D294" t="s">
        <v>58</v>
      </c>
      <c r="E294" s="19">
        <v>50.8</v>
      </c>
      <c r="F294" s="26">
        <v>99.24</v>
      </c>
      <c r="G294" s="19">
        <v>121.67</v>
      </c>
      <c r="H294" s="19">
        <v>11.74</v>
      </c>
      <c r="I294" s="19">
        <v>1462.856</v>
      </c>
      <c r="J294" s="40">
        <v>3.5</v>
      </c>
      <c r="K294" s="41">
        <v>14608</v>
      </c>
      <c r="L294" s="24">
        <v>113.3</v>
      </c>
      <c r="M294" s="42">
        <v>95.9</v>
      </c>
    </row>
    <row r="295" spans="1:13" x14ac:dyDescent="0.75">
      <c r="A295" t="s">
        <v>27</v>
      </c>
      <c r="B295" s="18">
        <v>2022</v>
      </c>
      <c r="C295" s="4">
        <v>6</v>
      </c>
      <c r="D295" t="s">
        <v>58</v>
      </c>
      <c r="E295" s="19">
        <v>50.2</v>
      </c>
      <c r="F295" s="26">
        <v>100.23</v>
      </c>
      <c r="G295" s="19">
        <v>67.44</v>
      </c>
      <c r="H295" s="19">
        <v>16.29</v>
      </c>
      <c r="I295" s="19">
        <v>1467.405</v>
      </c>
      <c r="J295" s="40">
        <v>3.5</v>
      </c>
      <c r="K295" s="41">
        <v>14689</v>
      </c>
      <c r="L295" s="24">
        <v>122.7</v>
      </c>
      <c r="M295" s="42">
        <v>96.6</v>
      </c>
    </row>
    <row r="296" spans="1:13" x14ac:dyDescent="0.75">
      <c r="A296" t="s">
        <v>27</v>
      </c>
      <c r="B296" s="18">
        <v>2022</v>
      </c>
      <c r="C296" s="4">
        <v>7</v>
      </c>
      <c r="D296">
        <v>558</v>
      </c>
      <c r="E296" s="19">
        <v>51.3</v>
      </c>
      <c r="F296" s="26">
        <v>100.22</v>
      </c>
      <c r="G296" s="19">
        <v>15.48</v>
      </c>
      <c r="H296" s="19">
        <v>135.74</v>
      </c>
      <c r="I296" s="19">
        <v>1474.5940000000001</v>
      </c>
      <c r="J296" s="40">
        <v>3.5</v>
      </c>
      <c r="K296" s="41">
        <v>14984</v>
      </c>
      <c r="L296" s="24">
        <v>111.9</v>
      </c>
      <c r="M296" s="42">
        <v>97</v>
      </c>
    </row>
    <row r="297" spans="1:13" x14ac:dyDescent="0.75">
      <c r="A297" t="s">
        <v>27</v>
      </c>
      <c r="B297" s="18">
        <v>2022</v>
      </c>
      <c r="C297" s="4">
        <v>8</v>
      </c>
      <c r="D297" t="s">
        <v>58</v>
      </c>
      <c r="E297" s="19">
        <v>51.7</v>
      </c>
      <c r="F297" s="26">
        <v>100.11</v>
      </c>
      <c r="G297" s="19">
        <v>88.17</v>
      </c>
      <c r="H297" s="19">
        <v>12.56</v>
      </c>
      <c r="I297" s="19">
        <v>1471.788</v>
      </c>
      <c r="J297" s="40">
        <v>3.75</v>
      </c>
      <c r="K297" s="41">
        <v>14851</v>
      </c>
      <c r="L297" s="24">
        <v>100.4</v>
      </c>
      <c r="M297" s="42">
        <v>96.9</v>
      </c>
    </row>
    <row r="298" spans="1:13" x14ac:dyDescent="0.75">
      <c r="A298" t="s">
        <v>27</v>
      </c>
      <c r="B298" s="18">
        <v>2022</v>
      </c>
      <c r="C298" s="4">
        <v>9</v>
      </c>
      <c r="D298">
        <v>558</v>
      </c>
      <c r="E298" s="19">
        <v>53.7</v>
      </c>
      <c r="F298" s="26">
        <v>101.53</v>
      </c>
      <c r="G298" s="19">
        <v>93.03</v>
      </c>
      <c r="H298" s="19">
        <v>14.6</v>
      </c>
      <c r="I298" s="19">
        <v>1451.087</v>
      </c>
      <c r="J298" s="40">
        <v>4.25</v>
      </c>
      <c r="K298" s="41">
        <v>14972</v>
      </c>
      <c r="L298" s="24">
        <v>89.8</v>
      </c>
      <c r="M298" s="42">
        <v>97.7</v>
      </c>
    </row>
    <row r="299" spans="1:13" x14ac:dyDescent="0.75">
      <c r="A299" t="s">
        <v>27</v>
      </c>
      <c r="B299" s="18">
        <v>2022</v>
      </c>
      <c r="C299" s="4">
        <v>10</v>
      </c>
      <c r="D299">
        <v>558</v>
      </c>
      <c r="E299" s="19">
        <v>51.8</v>
      </c>
      <c r="F299" s="26">
        <v>101.46</v>
      </c>
      <c r="G299" s="19">
        <v>82.06</v>
      </c>
      <c r="H299" s="19">
        <v>12.32</v>
      </c>
      <c r="I299" s="19">
        <v>1442.8040000000001</v>
      </c>
      <c r="J299" s="40">
        <v>4.75</v>
      </c>
      <c r="K299" s="41">
        <v>15417</v>
      </c>
      <c r="L299" s="24">
        <v>93.3</v>
      </c>
      <c r="M299" s="42">
        <v>97.7</v>
      </c>
    </row>
    <row r="300" spans="1:13" x14ac:dyDescent="0.75">
      <c r="A300" t="s">
        <v>27</v>
      </c>
      <c r="B300" s="18">
        <v>2022</v>
      </c>
      <c r="C300" s="4">
        <v>11</v>
      </c>
      <c r="D300">
        <v>558</v>
      </c>
      <c r="E300" s="19">
        <v>50.3</v>
      </c>
      <c r="F300" s="26">
        <v>101.3</v>
      </c>
      <c r="G300" s="19">
        <v>65.56</v>
      </c>
      <c r="H300" s="19">
        <v>16.989999999999998</v>
      </c>
      <c r="I300" s="19">
        <v>1362.663</v>
      </c>
      <c r="J300" s="40">
        <v>5.25</v>
      </c>
      <c r="K300" s="41">
        <v>15659</v>
      </c>
      <c r="L300" s="24">
        <v>91.4</v>
      </c>
      <c r="M300" s="42">
        <v>98</v>
      </c>
    </row>
    <row r="301" spans="1:13" x14ac:dyDescent="0.75">
      <c r="A301" t="s">
        <v>27</v>
      </c>
      <c r="B301" s="18">
        <v>2022</v>
      </c>
      <c r="C301" s="4">
        <v>12</v>
      </c>
      <c r="D301">
        <v>558</v>
      </c>
      <c r="E301" s="19">
        <v>50.9</v>
      </c>
      <c r="F301" s="26">
        <v>102.13</v>
      </c>
      <c r="G301" s="19">
        <v>81.92</v>
      </c>
      <c r="H301" s="19">
        <v>11.69</v>
      </c>
      <c r="I301" s="19">
        <v>1211.1130000000001</v>
      </c>
      <c r="J301" s="40">
        <v>5.5</v>
      </c>
      <c r="K301" s="41">
        <v>15615</v>
      </c>
      <c r="L301" s="24">
        <v>80.900000000000006</v>
      </c>
      <c r="M301" s="42">
        <v>98.7</v>
      </c>
    </row>
    <row r="302" spans="1:13" x14ac:dyDescent="0.75">
      <c r="A302" t="s">
        <v>28</v>
      </c>
      <c r="B302" s="18">
        <v>2022</v>
      </c>
      <c r="C302" s="4">
        <v>1</v>
      </c>
      <c r="D302" t="s">
        <v>58</v>
      </c>
      <c r="E302" s="19">
        <v>53.7</v>
      </c>
      <c r="F302" s="19">
        <v>97.43</v>
      </c>
      <c r="G302" s="26">
        <v>1269.79</v>
      </c>
      <c r="H302" s="19">
        <v>1.29</v>
      </c>
      <c r="I302" s="19">
        <v>812.85900000000004</v>
      </c>
      <c r="J302" s="40">
        <v>3.5</v>
      </c>
      <c r="K302" s="41">
        <v>14335</v>
      </c>
      <c r="L302" s="24">
        <v>86.5</v>
      </c>
      <c r="M302" s="42">
        <v>94</v>
      </c>
    </row>
    <row r="303" spans="1:13" x14ac:dyDescent="0.75">
      <c r="A303" t="s">
        <v>28</v>
      </c>
      <c r="B303" s="18">
        <v>2022</v>
      </c>
      <c r="C303" s="4">
        <v>2</v>
      </c>
      <c r="D303" t="s">
        <v>58</v>
      </c>
      <c r="E303" s="19">
        <v>51.2</v>
      </c>
      <c r="F303" s="19">
        <v>97.47</v>
      </c>
      <c r="G303" s="26">
        <v>1119.92</v>
      </c>
      <c r="H303" s="19">
        <v>8.64</v>
      </c>
      <c r="I303" s="19">
        <v>818.11</v>
      </c>
      <c r="J303" s="40">
        <v>3.5</v>
      </c>
      <c r="K303" s="41">
        <v>14351</v>
      </c>
      <c r="L303" s="24">
        <v>97.1</v>
      </c>
      <c r="M303" s="42">
        <v>94</v>
      </c>
    </row>
    <row r="304" spans="1:13" x14ac:dyDescent="0.75">
      <c r="A304" t="s">
        <v>28</v>
      </c>
      <c r="B304" s="18">
        <v>2022</v>
      </c>
      <c r="C304" s="4">
        <v>3</v>
      </c>
      <c r="D304" t="s">
        <v>58</v>
      </c>
      <c r="E304" s="19">
        <v>51.3</v>
      </c>
      <c r="F304" s="19">
        <v>98.24</v>
      </c>
      <c r="G304" s="26">
        <v>1684.44</v>
      </c>
      <c r="H304" s="19">
        <v>3.06</v>
      </c>
      <c r="I304" s="19">
        <v>767.70600000000002</v>
      </c>
      <c r="J304" s="40">
        <v>3.5</v>
      </c>
      <c r="K304" s="41">
        <v>14349</v>
      </c>
      <c r="L304" s="24">
        <v>117.2</v>
      </c>
      <c r="M304" s="42">
        <v>94.7</v>
      </c>
    </row>
    <row r="305" spans="1:13" x14ac:dyDescent="0.75">
      <c r="A305" t="s">
        <v>28</v>
      </c>
      <c r="B305" s="18">
        <v>2022</v>
      </c>
      <c r="C305" s="4">
        <v>4</v>
      </c>
      <c r="D305" t="s">
        <v>58</v>
      </c>
      <c r="E305" s="19">
        <v>51.9</v>
      </c>
      <c r="F305" s="19">
        <v>98.85</v>
      </c>
      <c r="G305" s="26">
        <v>1696.96</v>
      </c>
      <c r="H305" s="19"/>
      <c r="I305" s="19">
        <v>825.47299999999996</v>
      </c>
      <c r="J305" s="40">
        <v>3.5</v>
      </c>
      <c r="K305" s="41">
        <v>14369</v>
      </c>
      <c r="L305" s="24">
        <v>104.6</v>
      </c>
      <c r="M305" s="42">
        <v>95.6</v>
      </c>
    </row>
    <row r="306" spans="1:13" x14ac:dyDescent="0.75">
      <c r="A306" t="s">
        <v>28</v>
      </c>
      <c r="B306" s="18">
        <v>2022</v>
      </c>
      <c r="C306" s="4">
        <v>5</v>
      </c>
      <c r="D306" t="s">
        <v>58</v>
      </c>
      <c r="E306" s="19">
        <v>50.8</v>
      </c>
      <c r="F306" s="19">
        <v>99.11</v>
      </c>
      <c r="G306" s="26">
        <v>1690.51</v>
      </c>
      <c r="H306" s="3">
        <v>32.5</v>
      </c>
      <c r="I306" s="19">
        <v>904.21299999999997</v>
      </c>
      <c r="J306" s="40">
        <v>3.5</v>
      </c>
      <c r="K306" s="41">
        <v>14608</v>
      </c>
      <c r="L306" s="24">
        <v>113.3</v>
      </c>
      <c r="M306" s="42">
        <v>95.9</v>
      </c>
    </row>
    <row r="307" spans="1:13" x14ac:dyDescent="0.75">
      <c r="A307" t="s">
        <v>28</v>
      </c>
      <c r="B307" s="18">
        <v>2022</v>
      </c>
      <c r="C307" s="4">
        <v>6</v>
      </c>
      <c r="D307" t="s">
        <v>58</v>
      </c>
      <c r="E307" s="19">
        <v>50.2</v>
      </c>
      <c r="F307" s="19">
        <v>99.82</v>
      </c>
      <c r="G307" s="26">
        <v>1580.17</v>
      </c>
      <c r="H307" s="3">
        <v>8.73</v>
      </c>
      <c r="I307" s="19">
        <v>901.43899999999996</v>
      </c>
      <c r="J307" s="40">
        <v>3.5</v>
      </c>
      <c r="K307" s="41">
        <v>14689</v>
      </c>
      <c r="L307" s="24">
        <v>122.7</v>
      </c>
      <c r="M307" s="42">
        <v>96.6</v>
      </c>
    </row>
    <row r="308" spans="1:13" x14ac:dyDescent="0.75">
      <c r="A308" t="s">
        <v>28</v>
      </c>
      <c r="B308" s="18">
        <v>2022</v>
      </c>
      <c r="C308" s="4">
        <v>7</v>
      </c>
      <c r="D308">
        <v>35</v>
      </c>
      <c r="E308" s="19">
        <v>51.3</v>
      </c>
      <c r="F308" s="19">
        <v>100.48</v>
      </c>
      <c r="G308" s="26">
        <v>59.68</v>
      </c>
      <c r="H308" s="25">
        <v>1604.63</v>
      </c>
      <c r="I308" s="19">
        <v>882.827</v>
      </c>
      <c r="J308" s="40">
        <v>3.5</v>
      </c>
      <c r="K308" s="41">
        <v>14984</v>
      </c>
      <c r="L308" s="24">
        <v>111.9</v>
      </c>
      <c r="M308" s="42">
        <v>97</v>
      </c>
    </row>
    <row r="309" spans="1:13" x14ac:dyDescent="0.75">
      <c r="A309" t="s">
        <v>28</v>
      </c>
      <c r="B309" s="18">
        <v>2022</v>
      </c>
      <c r="C309" s="4">
        <v>8</v>
      </c>
      <c r="D309" t="s">
        <v>58</v>
      </c>
      <c r="E309" s="19">
        <v>51.7</v>
      </c>
      <c r="F309" s="19">
        <v>100.75</v>
      </c>
      <c r="G309" s="26">
        <v>1800.76</v>
      </c>
      <c r="H309" s="3">
        <v>66.52</v>
      </c>
      <c r="I309" s="19">
        <v>880.35199999999998</v>
      </c>
      <c r="J309" s="40">
        <v>3.75</v>
      </c>
      <c r="K309" s="41">
        <v>14851</v>
      </c>
      <c r="L309" s="24">
        <v>100.4</v>
      </c>
      <c r="M309" s="42">
        <v>96.9</v>
      </c>
    </row>
    <row r="310" spans="1:13" x14ac:dyDescent="0.75">
      <c r="A310" t="s">
        <v>28</v>
      </c>
      <c r="B310" s="18">
        <v>2022</v>
      </c>
      <c r="C310" s="4">
        <v>9</v>
      </c>
      <c r="D310">
        <v>35</v>
      </c>
      <c r="E310" s="19">
        <v>53.7</v>
      </c>
      <c r="F310" s="19">
        <v>102.01</v>
      </c>
      <c r="G310" s="26">
        <v>1483.56</v>
      </c>
      <c r="H310" s="3">
        <v>27.52</v>
      </c>
      <c r="I310" s="19">
        <v>798.00199999999995</v>
      </c>
      <c r="J310" s="40">
        <v>4.25</v>
      </c>
      <c r="K310" s="41">
        <v>14972</v>
      </c>
      <c r="L310" s="24">
        <v>89.8</v>
      </c>
      <c r="M310" s="42">
        <v>97.7</v>
      </c>
    </row>
    <row r="311" spans="1:13" x14ac:dyDescent="0.75">
      <c r="A311" t="s">
        <v>28</v>
      </c>
      <c r="B311" s="18">
        <v>2022</v>
      </c>
      <c r="C311" s="4">
        <v>10</v>
      </c>
      <c r="D311">
        <v>35</v>
      </c>
      <c r="E311" s="19">
        <v>51.8</v>
      </c>
      <c r="F311" s="19">
        <v>101.72</v>
      </c>
      <c r="G311" s="26">
        <v>1719.1</v>
      </c>
      <c r="H311" s="3">
        <v>21.64</v>
      </c>
      <c r="I311" s="19">
        <v>791.54899999999998</v>
      </c>
      <c r="J311" s="40">
        <v>4.75</v>
      </c>
      <c r="K311" s="41">
        <v>15417</v>
      </c>
      <c r="L311" s="24">
        <v>93.3</v>
      </c>
      <c r="M311" s="42">
        <v>97.7</v>
      </c>
    </row>
    <row r="312" spans="1:13" x14ac:dyDescent="0.75">
      <c r="A312" t="s">
        <v>28</v>
      </c>
      <c r="B312" s="18">
        <v>2022</v>
      </c>
      <c r="C312" s="4">
        <v>11</v>
      </c>
      <c r="D312">
        <v>35</v>
      </c>
      <c r="E312" s="19">
        <v>50.3</v>
      </c>
      <c r="F312" s="19">
        <v>101.82</v>
      </c>
      <c r="G312" s="26">
        <v>1537.59</v>
      </c>
      <c r="H312" s="3">
        <v>718.32</v>
      </c>
      <c r="I312" s="19">
        <v>770.92899999999997</v>
      </c>
      <c r="J312" s="40">
        <v>5.25</v>
      </c>
      <c r="K312" s="41">
        <v>15659</v>
      </c>
      <c r="L312" s="24">
        <v>91.4</v>
      </c>
      <c r="M312" s="42">
        <v>98</v>
      </c>
    </row>
    <row r="313" spans="1:13" x14ac:dyDescent="0.75">
      <c r="A313" t="s">
        <v>28</v>
      </c>
      <c r="B313" s="18">
        <v>2022</v>
      </c>
      <c r="C313" s="4">
        <v>12</v>
      </c>
      <c r="D313">
        <v>35</v>
      </c>
      <c r="E313" s="19">
        <v>50.9</v>
      </c>
      <c r="F313" s="19">
        <v>102.3</v>
      </c>
      <c r="G313" s="26">
        <v>1829.3</v>
      </c>
      <c r="H313" s="25">
        <v>1056.58</v>
      </c>
      <c r="I313" s="19">
        <v>756.52200000000005</v>
      </c>
      <c r="J313" s="40">
        <v>5.5</v>
      </c>
      <c r="K313" s="41">
        <v>15615</v>
      </c>
      <c r="L313" s="24">
        <v>80.900000000000006</v>
      </c>
      <c r="M313" s="42">
        <v>98.7</v>
      </c>
    </row>
    <row r="314" spans="1:13" x14ac:dyDescent="0.75">
      <c r="A314" t="s">
        <v>29</v>
      </c>
      <c r="B314" s="18">
        <v>2022</v>
      </c>
      <c r="C314" s="4">
        <v>1</v>
      </c>
      <c r="D314" t="s">
        <v>58</v>
      </c>
      <c r="E314" s="19">
        <v>53.7</v>
      </c>
      <c r="F314" s="19">
        <v>97.63</v>
      </c>
      <c r="G314" s="29">
        <v>164.09</v>
      </c>
      <c r="H314">
        <v>54.85</v>
      </c>
      <c r="I314" s="19">
        <v>4345.5889999999999</v>
      </c>
      <c r="J314" s="40">
        <v>3.5</v>
      </c>
      <c r="K314" s="41">
        <v>14335</v>
      </c>
      <c r="L314" s="24">
        <v>86.5</v>
      </c>
      <c r="M314" s="42">
        <v>94</v>
      </c>
    </row>
    <row r="315" spans="1:13" x14ac:dyDescent="0.75">
      <c r="A315" t="s">
        <v>29</v>
      </c>
      <c r="B315" s="18">
        <v>2022</v>
      </c>
      <c r="C315" s="4">
        <v>2</v>
      </c>
      <c r="D315" t="s">
        <v>58</v>
      </c>
      <c r="E315" s="19">
        <v>51.2</v>
      </c>
      <c r="F315" s="19">
        <v>97.56</v>
      </c>
      <c r="G315" s="29">
        <v>181.32</v>
      </c>
      <c r="H315">
        <v>66.760000000000005</v>
      </c>
      <c r="I315" s="19">
        <v>4546.6509999999998</v>
      </c>
      <c r="J315" s="40">
        <v>3.5</v>
      </c>
      <c r="K315" s="41">
        <v>14351</v>
      </c>
      <c r="L315" s="24">
        <v>97.1</v>
      </c>
      <c r="M315" s="42">
        <v>94</v>
      </c>
    </row>
    <row r="316" spans="1:13" x14ac:dyDescent="0.75">
      <c r="A316" t="s">
        <v>29</v>
      </c>
      <c r="B316" s="18">
        <v>2022</v>
      </c>
      <c r="C316" s="4">
        <v>3</v>
      </c>
      <c r="D316" t="s">
        <v>58</v>
      </c>
      <c r="E316" s="19">
        <v>51.3</v>
      </c>
      <c r="F316" s="19">
        <v>98.07</v>
      </c>
      <c r="G316" s="29">
        <v>192.45</v>
      </c>
      <c r="H316">
        <v>108.02</v>
      </c>
      <c r="I316" s="19">
        <v>4576.3289999999997</v>
      </c>
      <c r="J316" s="40">
        <v>3.5</v>
      </c>
      <c r="K316" s="41">
        <v>14349</v>
      </c>
      <c r="L316" s="24">
        <v>117.2</v>
      </c>
      <c r="M316" s="42">
        <v>94.7</v>
      </c>
    </row>
    <row r="317" spans="1:13" x14ac:dyDescent="0.75">
      <c r="A317" t="s">
        <v>29</v>
      </c>
      <c r="B317" s="18">
        <v>2022</v>
      </c>
      <c r="C317" s="4">
        <v>4</v>
      </c>
      <c r="D317" t="s">
        <v>58</v>
      </c>
      <c r="E317" s="19">
        <v>51.9</v>
      </c>
      <c r="F317" s="19">
        <v>99.19</v>
      </c>
      <c r="G317" s="29">
        <v>252.2</v>
      </c>
      <c r="H317">
        <v>89.94</v>
      </c>
      <c r="I317" s="19">
        <v>4599.3580000000002</v>
      </c>
      <c r="J317" s="40">
        <v>3.5</v>
      </c>
      <c r="K317" s="41">
        <v>14369</v>
      </c>
      <c r="L317" s="24">
        <v>104.6</v>
      </c>
      <c r="M317" s="42">
        <v>95.6</v>
      </c>
    </row>
    <row r="318" spans="1:13" x14ac:dyDescent="0.75">
      <c r="A318" t="s">
        <v>29</v>
      </c>
      <c r="B318" s="18">
        <v>2022</v>
      </c>
      <c r="C318" s="4">
        <v>5</v>
      </c>
      <c r="D318" t="s">
        <v>58</v>
      </c>
      <c r="E318" s="19">
        <v>50.8</v>
      </c>
      <c r="F318" s="19">
        <v>99.31</v>
      </c>
      <c r="G318" s="29">
        <v>230.28</v>
      </c>
      <c r="H318">
        <v>109.76</v>
      </c>
      <c r="I318" s="19">
        <v>4909.1850000000004</v>
      </c>
      <c r="J318" s="40">
        <v>3.5</v>
      </c>
      <c r="K318" s="41">
        <v>14608</v>
      </c>
      <c r="L318" s="24">
        <v>113.3</v>
      </c>
      <c r="M318" s="42">
        <v>95.9</v>
      </c>
    </row>
    <row r="319" spans="1:13" x14ac:dyDescent="0.75">
      <c r="A319" t="s">
        <v>29</v>
      </c>
      <c r="B319" s="18">
        <v>2022</v>
      </c>
      <c r="C319" s="4">
        <v>6</v>
      </c>
      <c r="D319" t="s">
        <v>58</v>
      </c>
      <c r="E319" s="19">
        <v>50.2</v>
      </c>
      <c r="F319" s="19">
        <v>99.68</v>
      </c>
      <c r="G319" s="29">
        <v>216.88</v>
      </c>
      <c r="H319">
        <v>100.1</v>
      </c>
      <c r="I319" s="19">
        <v>4003.9549999999999</v>
      </c>
      <c r="J319" s="40">
        <v>3.5</v>
      </c>
      <c r="K319" s="41">
        <v>14689</v>
      </c>
      <c r="L319" s="24">
        <v>122.7</v>
      </c>
      <c r="M319" s="42">
        <v>96.6</v>
      </c>
    </row>
    <row r="320" spans="1:13" x14ac:dyDescent="0.75">
      <c r="A320" t="s">
        <v>29</v>
      </c>
      <c r="B320" s="18">
        <v>2022</v>
      </c>
      <c r="C320" s="4">
        <v>7</v>
      </c>
      <c r="D320">
        <v>191</v>
      </c>
      <c r="E320" s="19">
        <v>51.3</v>
      </c>
      <c r="F320" s="19">
        <v>100.67</v>
      </c>
      <c r="G320" s="29">
        <v>113</v>
      </c>
      <c r="H320">
        <v>202.96</v>
      </c>
      <c r="I320" s="19">
        <v>4097.5950000000003</v>
      </c>
      <c r="J320" s="40">
        <v>3.5</v>
      </c>
      <c r="K320" s="41">
        <v>14984</v>
      </c>
      <c r="L320" s="24">
        <v>111.9</v>
      </c>
      <c r="M320" s="42">
        <v>97</v>
      </c>
    </row>
    <row r="321" spans="1:13" x14ac:dyDescent="0.75">
      <c r="A321" t="s">
        <v>29</v>
      </c>
      <c r="B321" s="18">
        <v>2022</v>
      </c>
      <c r="C321" s="4">
        <v>8</v>
      </c>
      <c r="D321" t="s">
        <v>58</v>
      </c>
      <c r="E321" s="19">
        <v>51.7</v>
      </c>
      <c r="F321" s="19">
        <v>100.27</v>
      </c>
      <c r="G321" s="29">
        <v>228.41</v>
      </c>
      <c r="H321">
        <v>107.1</v>
      </c>
      <c r="I321" s="19">
        <v>4211.2150000000001</v>
      </c>
      <c r="J321" s="40">
        <v>3.75</v>
      </c>
      <c r="K321" s="41">
        <v>14851</v>
      </c>
      <c r="L321" s="24">
        <v>100.4</v>
      </c>
      <c r="M321" s="42">
        <v>96.9</v>
      </c>
    </row>
    <row r="322" spans="1:13" x14ac:dyDescent="0.75">
      <c r="A322" t="s">
        <v>29</v>
      </c>
      <c r="B322" s="18">
        <v>2022</v>
      </c>
      <c r="C322" s="4">
        <v>9</v>
      </c>
      <c r="D322">
        <v>191</v>
      </c>
      <c r="E322" s="19">
        <v>53.7</v>
      </c>
      <c r="F322" s="19">
        <v>101.8</v>
      </c>
      <c r="G322" s="29">
        <v>233.63</v>
      </c>
      <c r="H322">
        <v>181.09</v>
      </c>
      <c r="I322" s="19">
        <v>4176.2870000000003</v>
      </c>
      <c r="J322" s="40">
        <v>4.25</v>
      </c>
      <c r="K322" s="41">
        <v>14972</v>
      </c>
      <c r="L322" s="24">
        <v>89.8</v>
      </c>
      <c r="M322" s="42">
        <v>97.7</v>
      </c>
    </row>
    <row r="323" spans="1:13" x14ac:dyDescent="0.75">
      <c r="A323" t="s">
        <v>29</v>
      </c>
      <c r="B323" s="18">
        <v>2022</v>
      </c>
      <c r="C323" s="4">
        <v>10</v>
      </c>
      <c r="D323">
        <v>191</v>
      </c>
      <c r="E323" s="19">
        <v>51.8</v>
      </c>
      <c r="F323" s="19">
        <v>101.59</v>
      </c>
      <c r="G323" s="29">
        <v>216.22</v>
      </c>
      <c r="H323">
        <v>80.83</v>
      </c>
      <c r="I323" s="19">
        <v>4258.2719999999999</v>
      </c>
      <c r="J323" s="40">
        <v>4.75</v>
      </c>
      <c r="K323" s="41">
        <v>15417</v>
      </c>
      <c r="L323" s="24">
        <v>93.3</v>
      </c>
      <c r="M323" s="42">
        <v>97.7</v>
      </c>
    </row>
    <row r="324" spans="1:13" x14ac:dyDescent="0.75">
      <c r="A324" t="s">
        <v>29</v>
      </c>
      <c r="B324" s="18">
        <v>2022</v>
      </c>
      <c r="C324" s="4">
        <v>11</v>
      </c>
      <c r="D324">
        <v>191</v>
      </c>
      <c r="E324" s="19">
        <v>50.3</v>
      </c>
      <c r="F324" s="19">
        <v>101.8</v>
      </c>
      <c r="G324" s="29">
        <v>179.59</v>
      </c>
      <c r="H324">
        <v>66.959999999999994</v>
      </c>
      <c r="I324" s="19">
        <v>4040.5259999999998</v>
      </c>
      <c r="J324" s="40">
        <v>5.25</v>
      </c>
      <c r="K324" s="41">
        <v>15659</v>
      </c>
      <c r="L324" s="24">
        <v>91.4</v>
      </c>
      <c r="M324" s="42">
        <v>98</v>
      </c>
    </row>
    <row r="325" spans="1:13" x14ac:dyDescent="0.75">
      <c r="A325" t="s">
        <v>29</v>
      </c>
      <c r="B325" s="18">
        <v>2022</v>
      </c>
      <c r="C325" s="4">
        <v>12</v>
      </c>
      <c r="D325">
        <v>191</v>
      </c>
      <c r="E325" s="19">
        <v>50.9</v>
      </c>
      <c r="F325" s="19">
        <v>102.42</v>
      </c>
      <c r="G325" s="29">
        <v>261.81</v>
      </c>
      <c r="H325">
        <v>74.930000000000007</v>
      </c>
      <c r="I325" s="19">
        <v>3414.5410000000002</v>
      </c>
      <c r="J325" s="40">
        <v>5.5</v>
      </c>
      <c r="K325" s="41">
        <v>15615</v>
      </c>
      <c r="L325" s="24">
        <v>80.900000000000006</v>
      </c>
      <c r="M325" s="42">
        <v>98.7</v>
      </c>
    </row>
    <row r="326" spans="1:13" x14ac:dyDescent="0.75">
      <c r="A326" t="s">
        <v>30</v>
      </c>
      <c r="B326" s="18">
        <v>2022</v>
      </c>
      <c r="C326" s="4">
        <v>1</v>
      </c>
      <c r="D326" t="s">
        <v>58</v>
      </c>
      <c r="E326" s="19">
        <v>53.7</v>
      </c>
      <c r="F326" s="26">
        <v>97.21</v>
      </c>
      <c r="G326" s="29">
        <v>400.19</v>
      </c>
      <c r="H326" s="3">
        <v>202.2</v>
      </c>
      <c r="I326" s="19">
        <v>594.16700000000003</v>
      </c>
      <c r="J326" s="40">
        <v>3.5</v>
      </c>
      <c r="K326" s="41">
        <v>14335</v>
      </c>
      <c r="L326" s="24">
        <v>86.5</v>
      </c>
      <c r="M326" s="42">
        <v>94</v>
      </c>
    </row>
    <row r="327" spans="1:13" x14ac:dyDescent="0.75">
      <c r="A327" t="s">
        <v>30</v>
      </c>
      <c r="B327" s="18">
        <v>2022</v>
      </c>
      <c r="C327" s="4">
        <v>2</v>
      </c>
      <c r="D327" t="s">
        <v>58</v>
      </c>
      <c r="E327" s="19">
        <v>51.2</v>
      </c>
      <c r="F327" s="26">
        <v>97.11</v>
      </c>
      <c r="G327" s="29">
        <v>314.14999999999998</v>
      </c>
      <c r="H327" s="3">
        <v>74.569999999999993</v>
      </c>
      <c r="I327" s="19">
        <v>617.577</v>
      </c>
      <c r="J327" s="40">
        <v>3.5</v>
      </c>
      <c r="K327" s="41">
        <v>14351</v>
      </c>
      <c r="L327" s="24">
        <v>97.1</v>
      </c>
      <c r="M327" s="42">
        <v>94</v>
      </c>
    </row>
    <row r="328" spans="1:13" x14ac:dyDescent="0.75">
      <c r="A328" t="s">
        <v>30</v>
      </c>
      <c r="B328" s="18">
        <v>2022</v>
      </c>
      <c r="C328" s="4">
        <v>3</v>
      </c>
      <c r="D328" t="s">
        <v>58</v>
      </c>
      <c r="E328" s="19">
        <v>51.3</v>
      </c>
      <c r="F328" s="26">
        <v>97.25</v>
      </c>
      <c r="G328" s="29">
        <v>411.54</v>
      </c>
      <c r="H328" s="3">
        <v>451.22</v>
      </c>
      <c r="I328" s="19">
        <v>607.10599999999999</v>
      </c>
      <c r="J328" s="40">
        <v>3.5</v>
      </c>
      <c r="K328" s="41">
        <v>14349</v>
      </c>
      <c r="L328" s="24">
        <v>117.2</v>
      </c>
      <c r="M328" s="42">
        <v>94.7</v>
      </c>
    </row>
    <row r="329" spans="1:13" x14ac:dyDescent="0.75">
      <c r="A329" t="s">
        <v>30</v>
      </c>
      <c r="B329" s="18">
        <v>2022</v>
      </c>
      <c r="C329" s="4">
        <v>4</v>
      </c>
      <c r="D329" t="s">
        <v>58</v>
      </c>
      <c r="E329" s="19">
        <v>51.9</v>
      </c>
      <c r="F329" s="26">
        <v>98.29</v>
      </c>
      <c r="G329" s="29">
        <v>563.51</v>
      </c>
      <c r="H329" s="3">
        <v>156.19</v>
      </c>
      <c r="I329" s="19">
        <v>576.02599999999995</v>
      </c>
      <c r="J329" s="40">
        <v>3.5</v>
      </c>
      <c r="K329" s="41">
        <v>14369</v>
      </c>
      <c r="L329" s="24">
        <v>104.6</v>
      </c>
      <c r="M329" s="42">
        <v>95.6</v>
      </c>
    </row>
    <row r="330" spans="1:13" x14ac:dyDescent="0.75">
      <c r="A330" t="s">
        <v>30</v>
      </c>
      <c r="B330" s="18">
        <v>2022</v>
      </c>
      <c r="C330" s="4">
        <v>5</v>
      </c>
      <c r="D330" t="s">
        <v>58</v>
      </c>
      <c r="E330" s="19">
        <v>50.8</v>
      </c>
      <c r="F330" s="26">
        <v>99.11</v>
      </c>
      <c r="G330" s="29">
        <v>678.17</v>
      </c>
      <c r="H330" s="3">
        <v>208.68</v>
      </c>
      <c r="I330" s="19">
        <v>606.33299999999997</v>
      </c>
      <c r="J330" s="40">
        <v>3.5</v>
      </c>
      <c r="K330" s="41">
        <v>14608</v>
      </c>
      <c r="L330" s="24">
        <v>113.3</v>
      </c>
      <c r="M330" s="42">
        <v>95.9</v>
      </c>
    </row>
    <row r="331" spans="1:13" x14ac:dyDescent="0.75">
      <c r="A331" t="s">
        <v>30</v>
      </c>
      <c r="B331" s="18">
        <v>2022</v>
      </c>
      <c r="C331" s="4">
        <v>6</v>
      </c>
      <c r="D331" t="s">
        <v>58</v>
      </c>
      <c r="E331" s="19">
        <v>50.2</v>
      </c>
      <c r="F331" s="26">
        <v>99.19</v>
      </c>
      <c r="G331" s="29">
        <v>485.7</v>
      </c>
      <c r="H331" s="3">
        <v>272.49</v>
      </c>
      <c r="I331" s="19">
        <v>589.33199999999999</v>
      </c>
      <c r="J331" s="40">
        <v>3.5</v>
      </c>
      <c r="K331" s="41">
        <v>14689</v>
      </c>
      <c r="L331" s="24">
        <v>122.7</v>
      </c>
      <c r="M331" s="42">
        <v>96.6</v>
      </c>
    </row>
    <row r="332" spans="1:13" x14ac:dyDescent="0.75">
      <c r="A332" t="s">
        <v>30</v>
      </c>
      <c r="B332" s="18">
        <v>2022</v>
      </c>
      <c r="C332" s="4">
        <v>7</v>
      </c>
      <c r="D332">
        <v>1</v>
      </c>
      <c r="E332" s="19">
        <v>51.3</v>
      </c>
      <c r="F332" s="26">
        <v>100.77</v>
      </c>
      <c r="G332" s="29">
        <v>189.89</v>
      </c>
      <c r="H332" s="3">
        <v>353.24</v>
      </c>
      <c r="I332" s="19">
        <v>609.86900000000003</v>
      </c>
      <c r="J332" s="40">
        <v>3.5</v>
      </c>
      <c r="K332" s="41">
        <v>14984</v>
      </c>
      <c r="L332" s="24">
        <v>111.9</v>
      </c>
      <c r="M332" s="42">
        <v>97</v>
      </c>
    </row>
    <row r="333" spans="1:13" x14ac:dyDescent="0.75">
      <c r="A333" t="s">
        <v>30</v>
      </c>
      <c r="B333" s="18">
        <v>2022</v>
      </c>
      <c r="C333" s="4">
        <v>8</v>
      </c>
      <c r="D333" t="s">
        <v>58</v>
      </c>
      <c r="E333" s="19">
        <v>51.7</v>
      </c>
      <c r="F333" s="26">
        <v>100.88</v>
      </c>
      <c r="G333" s="29">
        <v>501.22</v>
      </c>
      <c r="H333" s="3">
        <v>394.86</v>
      </c>
      <c r="I333" s="19">
        <v>608.298</v>
      </c>
      <c r="J333" s="40">
        <v>3.75</v>
      </c>
      <c r="K333" s="41">
        <v>14851</v>
      </c>
      <c r="L333" s="24">
        <v>100.4</v>
      </c>
      <c r="M333" s="42">
        <v>96.9</v>
      </c>
    </row>
    <row r="334" spans="1:13" x14ac:dyDescent="0.75">
      <c r="A334" t="s">
        <v>30</v>
      </c>
      <c r="B334" s="18">
        <v>2022</v>
      </c>
      <c r="C334" s="4">
        <v>9</v>
      </c>
      <c r="D334">
        <v>13</v>
      </c>
      <c r="E334" s="19">
        <v>53.7</v>
      </c>
      <c r="F334" s="26">
        <v>102.09</v>
      </c>
      <c r="G334" s="29">
        <v>553.02</v>
      </c>
      <c r="H334" s="3">
        <v>160.41</v>
      </c>
      <c r="I334" s="19">
        <v>591.26199999999994</v>
      </c>
      <c r="J334" s="40">
        <v>4.25</v>
      </c>
      <c r="K334" s="41">
        <v>14972</v>
      </c>
      <c r="L334" s="24">
        <v>89.8</v>
      </c>
      <c r="M334" s="42">
        <v>97.7</v>
      </c>
    </row>
    <row r="335" spans="1:13" x14ac:dyDescent="0.75">
      <c r="A335" t="s">
        <v>30</v>
      </c>
      <c r="B335" s="18">
        <v>2022</v>
      </c>
      <c r="C335" s="4">
        <v>10</v>
      </c>
      <c r="D335">
        <v>20</v>
      </c>
      <c r="E335" s="19">
        <v>51.8</v>
      </c>
      <c r="F335" s="26">
        <v>102.45</v>
      </c>
      <c r="G335" s="29">
        <v>569.84</v>
      </c>
      <c r="H335" s="3">
        <v>121.94</v>
      </c>
      <c r="I335" s="19">
        <v>592.81600000000003</v>
      </c>
      <c r="J335" s="40">
        <v>4.75</v>
      </c>
      <c r="K335" s="41">
        <v>15417</v>
      </c>
      <c r="L335" s="24">
        <v>93.3</v>
      </c>
      <c r="M335" s="42">
        <v>97.7</v>
      </c>
    </row>
    <row r="336" spans="1:13" x14ac:dyDescent="0.75">
      <c r="A336" t="s">
        <v>30</v>
      </c>
      <c r="B336" s="18">
        <v>2022</v>
      </c>
      <c r="C336" s="4">
        <v>11</v>
      </c>
      <c r="D336">
        <v>21</v>
      </c>
      <c r="E336" s="19">
        <v>50.3</v>
      </c>
      <c r="F336" s="26">
        <v>102.62</v>
      </c>
      <c r="G336" s="29">
        <v>497.67</v>
      </c>
      <c r="H336" s="3">
        <v>204.02</v>
      </c>
      <c r="I336" s="19">
        <v>576.30600000000004</v>
      </c>
      <c r="J336" s="40">
        <v>5.25</v>
      </c>
      <c r="K336" s="41">
        <v>15659</v>
      </c>
      <c r="L336" s="24">
        <v>91.4</v>
      </c>
      <c r="M336" s="42">
        <v>98</v>
      </c>
    </row>
    <row r="337" spans="1:13" x14ac:dyDescent="0.75">
      <c r="A337" t="s">
        <v>30</v>
      </c>
      <c r="B337" s="18">
        <v>2022</v>
      </c>
      <c r="C337" s="4">
        <v>12</v>
      </c>
      <c r="D337">
        <v>74</v>
      </c>
      <c r="E337" s="19">
        <v>50.9</v>
      </c>
      <c r="F337" s="26">
        <v>103.04</v>
      </c>
      <c r="G337" s="29">
        <v>503.42</v>
      </c>
      <c r="H337" s="3">
        <v>110.86</v>
      </c>
      <c r="I337" s="19">
        <v>534.35500000000002</v>
      </c>
      <c r="J337" s="40">
        <v>5.5</v>
      </c>
      <c r="K337" s="41">
        <v>15615</v>
      </c>
      <c r="L337" s="24">
        <v>80.900000000000006</v>
      </c>
      <c r="M337" s="42">
        <v>98.7</v>
      </c>
    </row>
    <row r="338" spans="1:13" x14ac:dyDescent="0.75">
      <c r="A338" t="s">
        <v>31</v>
      </c>
      <c r="B338" s="18">
        <v>2022</v>
      </c>
      <c r="C338" s="4">
        <v>1</v>
      </c>
      <c r="D338" t="s">
        <v>58</v>
      </c>
      <c r="E338" s="19">
        <v>53.7</v>
      </c>
      <c r="F338" s="29">
        <v>97.79</v>
      </c>
      <c r="G338" s="26">
        <v>3.91</v>
      </c>
      <c r="H338" s="3"/>
      <c r="I338" s="19">
        <v>605.38199999999995</v>
      </c>
      <c r="J338" s="40">
        <v>3.5</v>
      </c>
      <c r="K338" s="41">
        <v>14335</v>
      </c>
      <c r="L338" s="24">
        <v>86.5</v>
      </c>
      <c r="M338" s="42">
        <v>94</v>
      </c>
    </row>
    <row r="339" spans="1:13" x14ac:dyDescent="0.75">
      <c r="A339" t="s">
        <v>31</v>
      </c>
      <c r="B339" s="18">
        <v>2022</v>
      </c>
      <c r="C339" s="4">
        <v>2</v>
      </c>
      <c r="D339" t="s">
        <v>58</v>
      </c>
      <c r="E339" s="19">
        <v>51.2</v>
      </c>
      <c r="F339" s="29">
        <v>96.97</v>
      </c>
      <c r="G339" s="26">
        <v>2.13</v>
      </c>
      <c r="H339" s="3">
        <v>5.94</v>
      </c>
      <c r="I339" s="19">
        <v>613.91200000000003</v>
      </c>
      <c r="J339" s="40">
        <v>3.5</v>
      </c>
      <c r="K339" s="41">
        <v>14351</v>
      </c>
      <c r="L339" s="24">
        <v>97.1</v>
      </c>
      <c r="M339" s="42">
        <v>94</v>
      </c>
    </row>
    <row r="340" spans="1:13" x14ac:dyDescent="0.75">
      <c r="A340" t="s">
        <v>31</v>
      </c>
      <c r="B340" s="18">
        <v>2022</v>
      </c>
      <c r="C340" s="4">
        <v>3</v>
      </c>
      <c r="D340" t="s">
        <v>58</v>
      </c>
      <c r="E340" s="19">
        <v>51.3</v>
      </c>
      <c r="F340" s="29">
        <v>97.67</v>
      </c>
      <c r="G340" s="26">
        <v>0.75</v>
      </c>
      <c r="H340" s="3">
        <v>14.64</v>
      </c>
      <c r="I340" s="19">
        <v>601.34699999999998</v>
      </c>
      <c r="J340" s="40">
        <v>3.5</v>
      </c>
      <c r="K340" s="41">
        <v>14349</v>
      </c>
      <c r="L340" s="24">
        <v>117.2</v>
      </c>
      <c r="M340" s="42">
        <v>94.7</v>
      </c>
    </row>
    <row r="341" spans="1:13" x14ac:dyDescent="0.75">
      <c r="A341" t="s">
        <v>31</v>
      </c>
      <c r="B341" s="18">
        <v>2022</v>
      </c>
      <c r="C341" s="4">
        <v>4</v>
      </c>
      <c r="D341" t="s">
        <v>58</v>
      </c>
      <c r="E341" s="19">
        <v>51.9</v>
      </c>
      <c r="F341" s="29">
        <v>99.11</v>
      </c>
      <c r="G341" s="26">
        <v>1.1599999999999999</v>
      </c>
      <c r="H341" s="3">
        <v>0.79</v>
      </c>
      <c r="I341" s="19">
        <v>633.70899999999995</v>
      </c>
      <c r="J341" s="40">
        <v>3.5</v>
      </c>
      <c r="K341" s="41">
        <v>14369</v>
      </c>
      <c r="L341" s="24">
        <v>104.6</v>
      </c>
      <c r="M341" s="42">
        <v>95.6</v>
      </c>
    </row>
    <row r="342" spans="1:13" x14ac:dyDescent="0.75">
      <c r="A342" t="s">
        <v>31</v>
      </c>
      <c r="B342" s="18">
        <v>2022</v>
      </c>
      <c r="C342" s="4">
        <v>5</v>
      </c>
      <c r="D342" t="s">
        <v>58</v>
      </c>
      <c r="E342" s="19">
        <v>50.8</v>
      </c>
      <c r="F342" s="29">
        <v>99.09</v>
      </c>
      <c r="G342" s="26">
        <v>1.1000000000000001</v>
      </c>
      <c r="H342" s="3"/>
      <c r="I342" s="19">
        <v>641.06299999999999</v>
      </c>
      <c r="J342" s="40">
        <v>3.5</v>
      </c>
      <c r="K342" s="41">
        <v>14608</v>
      </c>
      <c r="L342" s="24">
        <v>113.3</v>
      </c>
      <c r="M342" s="42">
        <v>95.9</v>
      </c>
    </row>
    <row r="343" spans="1:13" x14ac:dyDescent="0.75">
      <c r="A343" t="s">
        <v>31</v>
      </c>
      <c r="B343" s="18">
        <v>2022</v>
      </c>
      <c r="C343" s="4">
        <v>6</v>
      </c>
      <c r="D343" t="s">
        <v>58</v>
      </c>
      <c r="E343" s="19">
        <v>50.2</v>
      </c>
      <c r="F343" s="29">
        <v>100.34</v>
      </c>
      <c r="G343" s="26">
        <v>1.38</v>
      </c>
      <c r="H343" s="3">
        <v>1.49</v>
      </c>
      <c r="I343" s="19">
        <v>649.03</v>
      </c>
      <c r="J343" s="40">
        <v>3.5</v>
      </c>
      <c r="K343" s="41">
        <v>14689</v>
      </c>
      <c r="L343" s="24">
        <v>122.7</v>
      </c>
      <c r="M343" s="42">
        <v>96.6</v>
      </c>
    </row>
    <row r="344" spans="1:13" x14ac:dyDescent="0.75">
      <c r="A344" t="s">
        <v>31</v>
      </c>
      <c r="B344" s="18">
        <v>2022</v>
      </c>
      <c r="C344" s="4">
        <v>7</v>
      </c>
      <c r="D344">
        <v>0</v>
      </c>
      <c r="E344" s="19">
        <v>51.3</v>
      </c>
      <c r="F344" s="29">
        <v>101.54</v>
      </c>
      <c r="G344" s="26">
        <v>2</v>
      </c>
      <c r="H344" s="3">
        <v>1.99</v>
      </c>
      <c r="I344" s="19">
        <v>659.43</v>
      </c>
      <c r="J344" s="40">
        <v>3.5</v>
      </c>
      <c r="K344" s="41">
        <v>14984</v>
      </c>
      <c r="L344" s="24">
        <v>111.9</v>
      </c>
      <c r="M344" s="42">
        <v>97</v>
      </c>
    </row>
    <row r="345" spans="1:13" x14ac:dyDescent="0.75">
      <c r="A345" t="s">
        <v>31</v>
      </c>
      <c r="B345" s="18">
        <v>2022</v>
      </c>
      <c r="C345" s="4">
        <v>8</v>
      </c>
      <c r="D345" t="s">
        <v>58</v>
      </c>
      <c r="E345" s="19">
        <v>51.7</v>
      </c>
      <c r="F345" s="29">
        <v>100.5</v>
      </c>
      <c r="G345" s="26">
        <v>3.54</v>
      </c>
      <c r="H345" s="3"/>
      <c r="I345" s="19">
        <v>693.93499999999995</v>
      </c>
      <c r="J345" s="40">
        <v>3.75</v>
      </c>
      <c r="K345" s="41">
        <v>14851</v>
      </c>
      <c r="L345" s="24">
        <v>100.4</v>
      </c>
      <c r="M345" s="42">
        <v>96.9</v>
      </c>
    </row>
    <row r="346" spans="1:13" x14ac:dyDescent="0.75">
      <c r="A346" t="s">
        <v>31</v>
      </c>
      <c r="B346" s="18">
        <v>2022</v>
      </c>
      <c r="C346" s="4">
        <v>9</v>
      </c>
      <c r="D346">
        <v>0</v>
      </c>
      <c r="E346" s="19">
        <v>53.7</v>
      </c>
      <c r="F346" s="29">
        <v>101.4</v>
      </c>
      <c r="G346" s="26">
        <v>3.54</v>
      </c>
      <c r="H346" s="3">
        <v>1.54</v>
      </c>
      <c r="I346" s="19">
        <v>678.38800000000003</v>
      </c>
      <c r="J346" s="40">
        <v>4.25</v>
      </c>
      <c r="K346" s="41">
        <v>14972</v>
      </c>
      <c r="L346" s="24">
        <v>89.8</v>
      </c>
      <c r="M346" s="42">
        <v>97.7</v>
      </c>
    </row>
    <row r="347" spans="1:13" x14ac:dyDescent="0.75">
      <c r="A347" t="s">
        <v>31</v>
      </c>
      <c r="B347" s="18">
        <v>2022</v>
      </c>
      <c r="C347" s="4">
        <v>10</v>
      </c>
      <c r="D347">
        <v>0</v>
      </c>
      <c r="E347" s="19">
        <v>51.8</v>
      </c>
      <c r="F347" s="29">
        <v>101.65</v>
      </c>
      <c r="G347" s="26">
        <v>6.93</v>
      </c>
      <c r="H347" s="3"/>
      <c r="I347" s="19">
        <v>680.55200000000002</v>
      </c>
      <c r="J347" s="40">
        <v>4.75</v>
      </c>
      <c r="K347" s="41">
        <v>15417</v>
      </c>
      <c r="L347" s="24">
        <v>93.3</v>
      </c>
      <c r="M347" s="42">
        <v>97.7</v>
      </c>
    </row>
    <row r="348" spans="1:13" x14ac:dyDescent="0.75">
      <c r="A348" t="s">
        <v>31</v>
      </c>
      <c r="B348" s="18">
        <v>2022</v>
      </c>
      <c r="C348" s="4">
        <v>11</v>
      </c>
      <c r="D348">
        <v>0</v>
      </c>
      <c r="E348" s="19">
        <v>50.3</v>
      </c>
      <c r="F348" s="29">
        <v>101.63</v>
      </c>
      <c r="G348" s="26">
        <v>13.47</v>
      </c>
      <c r="H348" s="3">
        <v>4.92</v>
      </c>
      <c r="I348" s="19">
        <v>637.04</v>
      </c>
      <c r="J348" s="40">
        <v>5.25</v>
      </c>
      <c r="K348" s="41">
        <v>15659</v>
      </c>
      <c r="L348" s="24">
        <v>91.4</v>
      </c>
      <c r="M348" s="42">
        <v>98</v>
      </c>
    </row>
    <row r="349" spans="1:13" x14ac:dyDescent="0.75">
      <c r="A349" t="s">
        <v>31</v>
      </c>
      <c r="B349" s="18">
        <v>2022</v>
      </c>
      <c r="C349" s="4">
        <v>12</v>
      </c>
      <c r="D349">
        <v>171</v>
      </c>
      <c r="E349" s="19">
        <v>50.9</v>
      </c>
      <c r="F349" s="29">
        <v>102.31</v>
      </c>
      <c r="G349" s="26">
        <v>12.08</v>
      </c>
      <c r="H349" s="3">
        <v>1.31</v>
      </c>
      <c r="I349" s="19">
        <v>606.93200000000002</v>
      </c>
      <c r="J349" s="40">
        <v>5.5</v>
      </c>
      <c r="K349" s="41">
        <v>15615</v>
      </c>
      <c r="L349" s="24">
        <v>80.900000000000006</v>
      </c>
      <c r="M349" s="42">
        <v>98.7</v>
      </c>
    </row>
    <row r="350" spans="1:13" x14ac:dyDescent="0.75">
      <c r="A350" t="s">
        <v>32</v>
      </c>
      <c r="B350" s="18">
        <v>2022</v>
      </c>
      <c r="C350" s="4">
        <v>1</v>
      </c>
      <c r="D350" t="s">
        <v>58</v>
      </c>
      <c r="E350" s="19">
        <v>53.7</v>
      </c>
      <c r="F350" s="29">
        <v>96.83</v>
      </c>
      <c r="G350" s="19">
        <v>70.010000000000005</v>
      </c>
      <c r="H350" s="3">
        <v>0.64</v>
      </c>
      <c r="I350" s="19">
        <v>150.934</v>
      </c>
      <c r="J350" s="40">
        <v>3.5</v>
      </c>
      <c r="K350" s="41">
        <v>14335</v>
      </c>
      <c r="L350" s="24">
        <v>86.5</v>
      </c>
      <c r="M350" s="42">
        <v>94</v>
      </c>
    </row>
    <row r="351" spans="1:13" x14ac:dyDescent="0.75">
      <c r="A351" t="s">
        <v>32</v>
      </c>
      <c r="B351" s="18">
        <v>2022</v>
      </c>
      <c r="C351" s="4">
        <v>2</v>
      </c>
      <c r="D351" t="s">
        <v>58</v>
      </c>
      <c r="E351" s="19">
        <v>51.2</v>
      </c>
      <c r="F351" s="29">
        <v>97.02</v>
      </c>
      <c r="G351" s="19">
        <v>1.86</v>
      </c>
      <c r="H351" s="3"/>
      <c r="I351" s="19">
        <v>155.614</v>
      </c>
      <c r="J351" s="40">
        <v>3.5</v>
      </c>
      <c r="K351" s="41">
        <v>14351</v>
      </c>
      <c r="L351" s="24">
        <v>97.1</v>
      </c>
      <c r="M351" s="42">
        <v>94</v>
      </c>
    </row>
    <row r="352" spans="1:13" x14ac:dyDescent="0.75">
      <c r="A352" t="s">
        <v>32</v>
      </c>
      <c r="B352" s="18">
        <v>2022</v>
      </c>
      <c r="C352" s="4">
        <v>3</v>
      </c>
      <c r="D352" t="s">
        <v>58</v>
      </c>
      <c r="E352" s="19">
        <v>51.3</v>
      </c>
      <c r="F352" s="29">
        <v>97.48</v>
      </c>
      <c r="G352" s="19">
        <v>18.61</v>
      </c>
      <c r="H352" s="3"/>
      <c r="I352" s="19">
        <v>156.03800000000001</v>
      </c>
      <c r="J352" s="40">
        <v>3.5</v>
      </c>
      <c r="K352" s="41">
        <v>14349</v>
      </c>
      <c r="L352" s="24">
        <v>117.2</v>
      </c>
      <c r="M352" s="42">
        <v>94.7</v>
      </c>
    </row>
    <row r="353" spans="1:13" x14ac:dyDescent="0.75">
      <c r="A353" t="s">
        <v>32</v>
      </c>
      <c r="B353" s="18">
        <v>2022</v>
      </c>
      <c r="C353" s="4">
        <v>4</v>
      </c>
      <c r="D353" t="s">
        <v>58</v>
      </c>
      <c r="E353" s="19">
        <v>51.9</v>
      </c>
      <c r="F353" s="29">
        <v>98.33</v>
      </c>
      <c r="G353" s="19">
        <v>48.65</v>
      </c>
      <c r="H353" s="3"/>
      <c r="I353" s="19">
        <v>163.006</v>
      </c>
      <c r="J353" s="40">
        <v>3.5</v>
      </c>
      <c r="K353" s="41">
        <v>14369</v>
      </c>
      <c r="L353" s="24">
        <v>104.6</v>
      </c>
      <c r="M353" s="42">
        <v>95.6</v>
      </c>
    </row>
    <row r="354" spans="1:13" x14ac:dyDescent="0.75">
      <c r="A354" t="s">
        <v>32</v>
      </c>
      <c r="B354" s="18">
        <v>2022</v>
      </c>
      <c r="C354" s="4">
        <v>5</v>
      </c>
      <c r="D354" t="s">
        <v>58</v>
      </c>
      <c r="E354" s="19">
        <v>50.8</v>
      </c>
      <c r="F354" s="29">
        <v>99.75</v>
      </c>
      <c r="G354" s="19">
        <v>2.09</v>
      </c>
      <c r="H354" s="3">
        <v>0.96</v>
      </c>
      <c r="I354" s="19">
        <v>175.43</v>
      </c>
      <c r="J354" s="40">
        <v>3.5</v>
      </c>
      <c r="K354" s="41">
        <v>14608</v>
      </c>
      <c r="L354" s="24">
        <v>113.3</v>
      </c>
      <c r="M354" s="42">
        <v>95.9</v>
      </c>
    </row>
    <row r="355" spans="1:13" x14ac:dyDescent="0.75">
      <c r="A355" t="s">
        <v>32</v>
      </c>
      <c r="B355" s="18">
        <v>2022</v>
      </c>
      <c r="C355" s="4">
        <v>6</v>
      </c>
      <c r="D355" t="s">
        <v>58</v>
      </c>
      <c r="E355" s="19">
        <v>50.2</v>
      </c>
      <c r="F355" s="29">
        <v>99.74</v>
      </c>
      <c r="G355" s="19">
        <v>35</v>
      </c>
      <c r="H355" s="3"/>
      <c r="I355" s="19">
        <v>187.12100000000001</v>
      </c>
      <c r="J355" s="40">
        <v>3.5</v>
      </c>
      <c r="K355" s="41">
        <v>14689</v>
      </c>
      <c r="L355" s="24">
        <v>122.7</v>
      </c>
      <c r="M355" s="42">
        <v>96.6</v>
      </c>
    </row>
    <row r="356" spans="1:13" x14ac:dyDescent="0.75">
      <c r="A356" t="s">
        <v>32</v>
      </c>
      <c r="B356" s="18">
        <v>2022</v>
      </c>
      <c r="C356" s="4">
        <v>7</v>
      </c>
      <c r="D356">
        <v>1</v>
      </c>
      <c r="E356" s="19">
        <v>51.3</v>
      </c>
      <c r="F356" s="29">
        <v>101.53</v>
      </c>
      <c r="G356" s="19"/>
      <c r="H356" s="3">
        <v>63.69</v>
      </c>
      <c r="I356" s="19">
        <v>211.99199999999999</v>
      </c>
      <c r="J356" s="40">
        <v>3.5</v>
      </c>
      <c r="K356" s="41">
        <v>14984</v>
      </c>
      <c r="L356" s="24">
        <v>111.9</v>
      </c>
      <c r="M356" s="42">
        <v>97</v>
      </c>
    </row>
    <row r="357" spans="1:13" x14ac:dyDescent="0.75">
      <c r="A357" t="s">
        <v>32</v>
      </c>
      <c r="B357" s="18">
        <v>2022</v>
      </c>
      <c r="C357" s="4">
        <v>8</v>
      </c>
      <c r="D357" t="s">
        <v>58</v>
      </c>
      <c r="E357" s="19">
        <v>51.7</v>
      </c>
      <c r="F357" s="29">
        <v>100.72</v>
      </c>
      <c r="G357" s="19">
        <v>48.62</v>
      </c>
      <c r="H357" s="3">
        <v>1.26</v>
      </c>
      <c r="I357" s="19">
        <v>220.14599999999999</v>
      </c>
      <c r="J357" s="40">
        <v>3.75</v>
      </c>
      <c r="K357" s="41">
        <v>14851</v>
      </c>
      <c r="L357" s="24">
        <v>100.4</v>
      </c>
      <c r="M357" s="42">
        <v>96.9</v>
      </c>
    </row>
    <row r="358" spans="1:13" x14ac:dyDescent="0.75">
      <c r="A358" t="s">
        <v>32</v>
      </c>
      <c r="B358" s="18">
        <v>2022</v>
      </c>
      <c r="C358" s="4">
        <v>9</v>
      </c>
      <c r="D358">
        <v>1</v>
      </c>
      <c r="E358" s="19">
        <v>53.7</v>
      </c>
      <c r="F358" s="29">
        <v>102.4</v>
      </c>
      <c r="G358" s="19">
        <v>51.54</v>
      </c>
      <c r="H358" s="3"/>
      <c r="I358" s="19">
        <v>217.76300000000001</v>
      </c>
      <c r="J358" s="40">
        <v>4.25</v>
      </c>
      <c r="K358" s="41">
        <v>14972</v>
      </c>
      <c r="L358" s="24">
        <v>89.8</v>
      </c>
      <c r="M358" s="42">
        <v>97.7</v>
      </c>
    </row>
    <row r="359" spans="1:13" x14ac:dyDescent="0.75">
      <c r="A359" t="s">
        <v>32</v>
      </c>
      <c r="B359" s="18">
        <v>2022</v>
      </c>
      <c r="C359" s="4">
        <v>10</v>
      </c>
      <c r="D359">
        <v>1</v>
      </c>
      <c r="E359" s="19">
        <v>51.8</v>
      </c>
      <c r="F359" s="29">
        <v>101.39</v>
      </c>
      <c r="G359" s="19">
        <v>48.24</v>
      </c>
      <c r="H359" s="3"/>
      <c r="I359" s="19">
        <v>229.40299999999999</v>
      </c>
      <c r="J359" s="40">
        <v>4.75</v>
      </c>
      <c r="K359" s="41">
        <v>15417</v>
      </c>
      <c r="L359" s="24">
        <v>93.3</v>
      </c>
      <c r="M359" s="42">
        <v>97.7</v>
      </c>
    </row>
    <row r="360" spans="1:13" x14ac:dyDescent="0.75">
      <c r="A360" t="s">
        <v>32</v>
      </c>
      <c r="B360" s="18">
        <v>2022</v>
      </c>
      <c r="C360" s="4">
        <v>11</v>
      </c>
      <c r="D360">
        <v>1</v>
      </c>
      <c r="E360" s="19">
        <v>50.3</v>
      </c>
      <c r="F360" s="29">
        <v>101.72</v>
      </c>
      <c r="G360" s="19">
        <v>38.72</v>
      </c>
      <c r="H360" s="3">
        <v>0.9</v>
      </c>
      <c r="I360" s="19">
        <v>220.435</v>
      </c>
      <c r="J360" s="40">
        <v>5.25</v>
      </c>
      <c r="K360" s="41">
        <v>15659</v>
      </c>
      <c r="L360" s="24">
        <v>91.4</v>
      </c>
      <c r="M360" s="42">
        <v>98</v>
      </c>
    </row>
    <row r="361" spans="1:13" x14ac:dyDescent="0.75">
      <c r="A361" t="s">
        <v>32</v>
      </c>
      <c r="B361" s="18">
        <v>2022</v>
      </c>
      <c r="C361" s="4">
        <v>12</v>
      </c>
      <c r="D361">
        <v>34</v>
      </c>
      <c r="E361" s="19">
        <v>50.9</v>
      </c>
      <c r="F361" s="29">
        <v>103.1</v>
      </c>
      <c r="G361" s="19">
        <v>47.85</v>
      </c>
      <c r="H361" s="3"/>
      <c r="I361" s="19">
        <v>205.54300000000001</v>
      </c>
      <c r="J361" s="40">
        <v>5.5</v>
      </c>
      <c r="K361" s="41">
        <v>15615</v>
      </c>
      <c r="L361" s="24">
        <v>80.900000000000006</v>
      </c>
      <c r="M361" s="42">
        <v>98.7</v>
      </c>
    </row>
    <row r="362" spans="1:13" x14ac:dyDescent="0.75">
      <c r="A362" t="s">
        <v>33</v>
      </c>
      <c r="B362" s="18">
        <v>2022</v>
      </c>
      <c r="C362" s="4">
        <v>1</v>
      </c>
      <c r="D362" t="s">
        <v>58</v>
      </c>
      <c r="E362" s="19">
        <v>53.7</v>
      </c>
      <c r="F362" s="26">
        <v>97.9</v>
      </c>
      <c r="G362" s="19">
        <v>3.33</v>
      </c>
      <c r="H362" s="3">
        <v>20.21</v>
      </c>
      <c r="I362" s="19">
        <v>268.22800000000001</v>
      </c>
      <c r="J362" s="40">
        <v>3.5</v>
      </c>
      <c r="K362" s="41">
        <v>14335</v>
      </c>
      <c r="L362" s="24">
        <v>86.5</v>
      </c>
      <c r="M362" s="42">
        <v>94</v>
      </c>
    </row>
    <row r="363" spans="1:13" x14ac:dyDescent="0.75">
      <c r="A363" t="s">
        <v>33</v>
      </c>
      <c r="B363" s="18">
        <v>2022</v>
      </c>
      <c r="C363" s="4">
        <v>2</v>
      </c>
      <c r="D363" t="s">
        <v>58</v>
      </c>
      <c r="E363" s="19">
        <v>51.2</v>
      </c>
      <c r="F363" s="26">
        <v>97.71</v>
      </c>
      <c r="G363" s="19">
        <v>1.53</v>
      </c>
      <c r="H363" s="3">
        <v>29.09</v>
      </c>
      <c r="I363" s="19">
        <v>276.827</v>
      </c>
      <c r="J363" s="40">
        <v>3.5</v>
      </c>
      <c r="K363" s="41">
        <v>14351</v>
      </c>
      <c r="L363" s="24">
        <v>97.1</v>
      </c>
      <c r="M363" s="42">
        <v>94</v>
      </c>
    </row>
    <row r="364" spans="1:13" x14ac:dyDescent="0.75">
      <c r="A364" t="s">
        <v>33</v>
      </c>
      <c r="B364" s="18">
        <v>2022</v>
      </c>
      <c r="C364" s="4">
        <v>3</v>
      </c>
      <c r="D364" t="s">
        <v>58</v>
      </c>
      <c r="E364" s="19">
        <v>51.3</v>
      </c>
      <c r="F364" s="26">
        <v>97.64</v>
      </c>
      <c r="G364" s="19">
        <v>2.0699999999999998</v>
      </c>
      <c r="H364" s="3">
        <v>26.07</v>
      </c>
      <c r="I364" s="19">
        <v>279.90699999999998</v>
      </c>
      <c r="J364" s="40">
        <v>3.5</v>
      </c>
      <c r="K364" s="41">
        <v>14349</v>
      </c>
      <c r="L364" s="24">
        <v>117.2</v>
      </c>
      <c r="M364" s="42">
        <v>94.7</v>
      </c>
    </row>
    <row r="365" spans="1:13" x14ac:dyDescent="0.75">
      <c r="A365" t="s">
        <v>33</v>
      </c>
      <c r="B365" s="18">
        <v>2022</v>
      </c>
      <c r="C365" s="4">
        <v>4</v>
      </c>
      <c r="D365" t="s">
        <v>58</v>
      </c>
      <c r="E365" s="19">
        <v>51.9</v>
      </c>
      <c r="F365" s="26">
        <v>98.59</v>
      </c>
      <c r="G365" s="19">
        <v>7.84</v>
      </c>
      <c r="H365" s="3">
        <v>24.06</v>
      </c>
      <c r="I365" s="19">
        <v>279.59699999999998</v>
      </c>
      <c r="J365" s="40">
        <v>3.5</v>
      </c>
      <c r="K365" s="41">
        <v>14369</v>
      </c>
      <c r="L365" s="24">
        <v>104.6</v>
      </c>
      <c r="M365" s="42">
        <v>95.6</v>
      </c>
    </row>
    <row r="366" spans="1:13" x14ac:dyDescent="0.75">
      <c r="A366" t="s">
        <v>33</v>
      </c>
      <c r="B366" s="18">
        <v>2022</v>
      </c>
      <c r="C366" s="4">
        <v>5</v>
      </c>
      <c r="D366" t="s">
        <v>58</v>
      </c>
      <c r="E366" s="19">
        <v>50.8</v>
      </c>
      <c r="F366" s="26">
        <v>99.47</v>
      </c>
      <c r="G366" s="19">
        <v>10.44</v>
      </c>
      <c r="H366" s="3">
        <v>10.17</v>
      </c>
      <c r="I366" s="19">
        <v>287.22300000000001</v>
      </c>
      <c r="J366" s="40">
        <v>3.5</v>
      </c>
      <c r="K366" s="41">
        <v>14608</v>
      </c>
      <c r="L366" s="24">
        <v>113.3</v>
      </c>
      <c r="M366" s="42">
        <v>95.9</v>
      </c>
    </row>
    <row r="367" spans="1:13" x14ac:dyDescent="0.75">
      <c r="A367" t="s">
        <v>33</v>
      </c>
      <c r="B367" s="18">
        <v>2022</v>
      </c>
      <c r="C367" s="4">
        <v>6</v>
      </c>
      <c r="D367" t="s">
        <v>58</v>
      </c>
      <c r="E367" s="19">
        <v>50.2</v>
      </c>
      <c r="F367" s="26">
        <v>99.98</v>
      </c>
      <c r="G367" s="19">
        <v>30.26</v>
      </c>
      <c r="H367" s="3">
        <v>17.829999999999998</v>
      </c>
      <c r="I367" s="19">
        <v>295.94400000000002</v>
      </c>
      <c r="J367" s="40">
        <v>3.5</v>
      </c>
      <c r="K367" s="41">
        <v>14689</v>
      </c>
      <c r="L367" s="24">
        <v>122.7</v>
      </c>
      <c r="M367" s="42">
        <v>96.6</v>
      </c>
    </row>
    <row r="368" spans="1:13" x14ac:dyDescent="0.75">
      <c r="A368" t="s">
        <v>33</v>
      </c>
      <c r="B368" s="18">
        <v>2022</v>
      </c>
      <c r="C368" s="4">
        <v>7</v>
      </c>
      <c r="D368">
        <v>0</v>
      </c>
      <c r="E368" s="19">
        <v>51.3</v>
      </c>
      <c r="F368" s="26">
        <v>100.93</v>
      </c>
      <c r="G368" s="19">
        <v>0.37</v>
      </c>
      <c r="H368" s="3">
        <v>11.57</v>
      </c>
      <c r="I368" s="19">
        <v>329.85899999999998</v>
      </c>
      <c r="J368" s="40">
        <v>3.5</v>
      </c>
      <c r="K368" s="41">
        <v>14984</v>
      </c>
      <c r="L368" s="24">
        <v>111.9</v>
      </c>
      <c r="M368" s="42">
        <v>97</v>
      </c>
    </row>
    <row r="369" spans="1:13" x14ac:dyDescent="0.75">
      <c r="A369" t="s">
        <v>33</v>
      </c>
      <c r="B369" s="18">
        <v>2022</v>
      </c>
      <c r="C369" s="4">
        <v>8</v>
      </c>
      <c r="D369" t="s">
        <v>58</v>
      </c>
      <c r="E369" s="19">
        <v>51.7</v>
      </c>
      <c r="F369" s="26">
        <v>101.41</v>
      </c>
      <c r="G369" s="19">
        <v>2.64</v>
      </c>
      <c r="H369" s="3">
        <v>5.57</v>
      </c>
      <c r="I369" s="19">
        <v>313.84699999999998</v>
      </c>
      <c r="J369" s="40">
        <v>3.75</v>
      </c>
      <c r="K369" s="41">
        <v>14851</v>
      </c>
      <c r="L369" s="24">
        <v>100.4</v>
      </c>
      <c r="M369" s="42">
        <v>96.9</v>
      </c>
    </row>
    <row r="370" spans="1:13" x14ac:dyDescent="0.75">
      <c r="A370" t="s">
        <v>33</v>
      </c>
      <c r="B370" s="18">
        <v>2022</v>
      </c>
      <c r="C370" s="4">
        <v>9</v>
      </c>
      <c r="D370">
        <v>0</v>
      </c>
      <c r="E370" s="19">
        <v>53.7</v>
      </c>
      <c r="F370" s="26">
        <v>101.99</v>
      </c>
      <c r="G370" s="19">
        <v>8.5299999999999994</v>
      </c>
      <c r="H370" s="3">
        <v>4.91</v>
      </c>
      <c r="I370" s="19">
        <v>294.09100000000001</v>
      </c>
      <c r="J370" s="40">
        <v>4.25</v>
      </c>
      <c r="K370" s="41">
        <v>14972</v>
      </c>
      <c r="L370" s="24">
        <v>89.8</v>
      </c>
      <c r="M370" s="42">
        <v>97.7</v>
      </c>
    </row>
    <row r="371" spans="1:13" x14ac:dyDescent="0.75">
      <c r="A371" t="s">
        <v>33</v>
      </c>
      <c r="B371" s="18">
        <v>2022</v>
      </c>
      <c r="C371" s="4">
        <v>10</v>
      </c>
      <c r="D371">
        <v>0</v>
      </c>
      <c r="E371" s="19">
        <v>51.8</v>
      </c>
      <c r="F371" s="26">
        <v>101.38</v>
      </c>
      <c r="G371" s="19">
        <v>14.87</v>
      </c>
      <c r="H371" s="3">
        <v>29.38</v>
      </c>
      <c r="I371" s="19">
        <v>307.69</v>
      </c>
      <c r="J371" s="40">
        <v>4.75</v>
      </c>
      <c r="K371" s="41">
        <v>15417</v>
      </c>
      <c r="L371" s="24">
        <v>93.3</v>
      </c>
      <c r="M371" s="42">
        <v>97.7</v>
      </c>
    </row>
    <row r="372" spans="1:13" x14ac:dyDescent="0.75">
      <c r="A372" t="s">
        <v>33</v>
      </c>
      <c r="B372" s="18">
        <v>2022</v>
      </c>
      <c r="C372" s="4">
        <v>11</v>
      </c>
      <c r="D372">
        <v>0</v>
      </c>
      <c r="E372" s="19">
        <v>50.3</v>
      </c>
      <c r="F372" s="26">
        <v>101.4</v>
      </c>
      <c r="G372" s="19">
        <v>10.46</v>
      </c>
      <c r="H372" s="3">
        <v>6.65</v>
      </c>
      <c r="I372" s="19">
        <v>275.35199999999998</v>
      </c>
      <c r="J372" s="40">
        <v>5.25</v>
      </c>
      <c r="K372" s="41">
        <v>15659</v>
      </c>
      <c r="L372" s="24">
        <v>91.4</v>
      </c>
      <c r="M372" s="42">
        <v>98</v>
      </c>
    </row>
    <row r="373" spans="1:13" x14ac:dyDescent="0.75">
      <c r="A373" t="s">
        <v>33</v>
      </c>
      <c r="B373" s="18">
        <v>2022</v>
      </c>
      <c r="C373" s="4">
        <v>12</v>
      </c>
      <c r="D373">
        <v>195</v>
      </c>
      <c r="E373" s="19">
        <v>50.9</v>
      </c>
      <c r="F373" s="26">
        <v>101.59</v>
      </c>
      <c r="G373" s="19">
        <v>41.1</v>
      </c>
      <c r="H373" s="3">
        <v>0.24</v>
      </c>
      <c r="I373" s="19">
        <v>257.584</v>
      </c>
      <c r="J373" s="40">
        <v>5.5</v>
      </c>
      <c r="K373" s="41">
        <v>15615</v>
      </c>
      <c r="L373" s="24">
        <v>80.900000000000006</v>
      </c>
      <c r="M373" s="42">
        <v>98.7</v>
      </c>
    </row>
    <row r="374" spans="1:13" x14ac:dyDescent="0.75">
      <c r="A374" t="s">
        <v>34</v>
      </c>
      <c r="B374" s="18">
        <v>2022</v>
      </c>
      <c r="C374" s="4">
        <v>1</v>
      </c>
      <c r="D374" t="s">
        <v>58</v>
      </c>
      <c r="E374" s="19">
        <v>53.7</v>
      </c>
      <c r="F374" s="19"/>
      <c r="G374" s="19">
        <v>676.59</v>
      </c>
      <c r="H374" s="3">
        <v>154.61000000000001</v>
      </c>
      <c r="I374" s="19">
        <v>161.32499999999999</v>
      </c>
      <c r="J374" s="40">
        <v>3.5</v>
      </c>
      <c r="K374" s="41">
        <v>14335</v>
      </c>
      <c r="L374" s="24">
        <v>86.5</v>
      </c>
      <c r="M374" s="42">
        <v>94</v>
      </c>
    </row>
    <row r="375" spans="1:13" x14ac:dyDescent="0.75">
      <c r="A375" t="s">
        <v>34</v>
      </c>
      <c r="B375" s="18">
        <v>2022</v>
      </c>
      <c r="C375" s="4">
        <v>2</v>
      </c>
      <c r="D375" t="s">
        <v>58</v>
      </c>
      <c r="E375" s="19">
        <v>51.2</v>
      </c>
      <c r="F375" s="19"/>
      <c r="G375" s="19">
        <v>561.34</v>
      </c>
      <c r="H375" s="3">
        <v>175.78</v>
      </c>
      <c r="I375" s="19">
        <v>177.16800000000001</v>
      </c>
      <c r="J375" s="40">
        <v>3.5</v>
      </c>
      <c r="K375" s="41">
        <v>14351</v>
      </c>
      <c r="L375" s="24">
        <v>97.1</v>
      </c>
      <c r="M375" s="42">
        <v>94</v>
      </c>
    </row>
    <row r="376" spans="1:13" x14ac:dyDescent="0.75">
      <c r="A376" t="s">
        <v>34</v>
      </c>
      <c r="B376" s="18">
        <v>2022</v>
      </c>
      <c r="C376" s="4">
        <v>3</v>
      </c>
      <c r="D376" t="s">
        <v>58</v>
      </c>
      <c r="E376" s="19">
        <v>51.3</v>
      </c>
      <c r="F376" s="19"/>
      <c r="G376" s="19">
        <v>900.57</v>
      </c>
      <c r="H376" s="3">
        <v>272.45999999999998</v>
      </c>
      <c r="I376" s="19">
        <v>166.87100000000001</v>
      </c>
      <c r="J376" s="40">
        <v>3.5</v>
      </c>
      <c r="K376" s="41">
        <v>14349</v>
      </c>
      <c r="L376" s="24">
        <v>117.2</v>
      </c>
      <c r="M376" s="42">
        <v>94.7</v>
      </c>
    </row>
    <row r="377" spans="1:13" x14ac:dyDescent="0.75">
      <c r="A377" t="s">
        <v>34</v>
      </c>
      <c r="B377" s="18">
        <v>2022</v>
      </c>
      <c r="C377" s="4">
        <v>4</v>
      </c>
      <c r="D377" t="s">
        <v>58</v>
      </c>
      <c r="E377" s="19">
        <v>51.9</v>
      </c>
      <c r="F377" s="19"/>
      <c r="G377" s="19">
        <v>684.94</v>
      </c>
      <c r="H377" s="3">
        <v>340.43</v>
      </c>
      <c r="I377" s="19">
        <v>174.78800000000001</v>
      </c>
      <c r="J377" s="40">
        <v>3.5</v>
      </c>
      <c r="K377" s="41">
        <v>14369</v>
      </c>
      <c r="L377" s="24">
        <v>104.6</v>
      </c>
      <c r="M377" s="42">
        <v>95.6</v>
      </c>
    </row>
    <row r="378" spans="1:13" x14ac:dyDescent="0.75">
      <c r="A378" t="s">
        <v>34</v>
      </c>
      <c r="B378" s="18">
        <v>2022</v>
      </c>
      <c r="C378" s="4">
        <v>5</v>
      </c>
      <c r="D378" t="s">
        <v>58</v>
      </c>
      <c r="E378" s="19">
        <v>50.8</v>
      </c>
      <c r="F378" s="19"/>
      <c r="G378" s="19">
        <v>761.5</v>
      </c>
      <c r="H378" s="3">
        <v>306.64999999999998</v>
      </c>
      <c r="I378" s="19">
        <v>174.27</v>
      </c>
      <c r="J378" s="40">
        <v>3.5</v>
      </c>
      <c r="K378" s="41">
        <v>14608</v>
      </c>
      <c r="L378" s="24">
        <v>113.3</v>
      </c>
      <c r="M378" s="42">
        <v>95.9</v>
      </c>
    </row>
    <row r="379" spans="1:13" x14ac:dyDescent="0.75">
      <c r="A379" t="s">
        <v>34</v>
      </c>
      <c r="B379" s="18">
        <v>2022</v>
      </c>
      <c r="C379" s="4">
        <v>6</v>
      </c>
      <c r="D379" t="s">
        <v>58</v>
      </c>
      <c r="E379" s="19">
        <v>50.2</v>
      </c>
      <c r="F379" s="19"/>
      <c r="G379" s="19">
        <v>746.62</v>
      </c>
      <c r="H379" s="3">
        <v>329.99</v>
      </c>
      <c r="I379" s="19">
        <v>178.483</v>
      </c>
      <c r="J379" s="40">
        <v>3.5</v>
      </c>
      <c r="K379" s="41">
        <v>14689</v>
      </c>
      <c r="L379" s="24">
        <v>122.7</v>
      </c>
      <c r="M379" s="42">
        <v>96.6</v>
      </c>
    </row>
    <row r="380" spans="1:13" x14ac:dyDescent="0.75">
      <c r="A380" t="s">
        <v>34</v>
      </c>
      <c r="B380" s="18">
        <v>2022</v>
      </c>
      <c r="C380" s="4">
        <v>7</v>
      </c>
      <c r="D380">
        <v>8</v>
      </c>
      <c r="E380" s="19">
        <v>51.3</v>
      </c>
      <c r="F380" s="19"/>
      <c r="G380" s="19">
        <v>317.62</v>
      </c>
      <c r="H380" s="3">
        <v>555.58000000000004</v>
      </c>
      <c r="I380" s="19">
        <v>168.46799999999999</v>
      </c>
      <c r="J380" s="40">
        <v>3.5</v>
      </c>
      <c r="K380" s="41">
        <v>14984</v>
      </c>
      <c r="L380" s="24">
        <v>111.9</v>
      </c>
      <c r="M380" s="42">
        <v>97</v>
      </c>
    </row>
    <row r="381" spans="1:13" x14ac:dyDescent="0.75">
      <c r="A381" t="s">
        <v>34</v>
      </c>
      <c r="B381" s="18">
        <v>2022</v>
      </c>
      <c r="C381" s="4">
        <v>8</v>
      </c>
      <c r="D381" t="s">
        <v>58</v>
      </c>
      <c r="E381" s="19">
        <v>51.7</v>
      </c>
      <c r="F381" s="19"/>
      <c r="G381" s="19">
        <v>612.13</v>
      </c>
      <c r="H381" s="3">
        <v>373.46</v>
      </c>
      <c r="I381" s="19">
        <v>175.292</v>
      </c>
      <c r="J381" s="40">
        <v>3.75</v>
      </c>
      <c r="K381" s="41">
        <v>14851</v>
      </c>
      <c r="L381" s="24">
        <v>100.4</v>
      </c>
      <c r="M381" s="42">
        <v>96.9</v>
      </c>
    </row>
    <row r="382" spans="1:13" x14ac:dyDescent="0.75">
      <c r="A382" t="s">
        <v>34</v>
      </c>
      <c r="B382" s="18">
        <v>2022</v>
      </c>
      <c r="C382" s="4">
        <v>9</v>
      </c>
      <c r="D382">
        <v>8</v>
      </c>
      <c r="E382" s="19">
        <v>53.7</v>
      </c>
      <c r="F382" s="19"/>
      <c r="G382" s="19">
        <v>599.38</v>
      </c>
      <c r="H382" s="3">
        <v>418.69</v>
      </c>
      <c r="I382" s="19">
        <v>168.947</v>
      </c>
      <c r="J382" s="40">
        <v>4.25</v>
      </c>
      <c r="K382" s="41">
        <v>14972</v>
      </c>
      <c r="L382" s="24">
        <v>89.8</v>
      </c>
      <c r="M382" s="42">
        <v>97.7</v>
      </c>
    </row>
    <row r="383" spans="1:13" x14ac:dyDescent="0.75">
      <c r="A383" t="s">
        <v>34</v>
      </c>
      <c r="B383" s="18">
        <v>2022</v>
      </c>
      <c r="C383" s="4">
        <v>10</v>
      </c>
      <c r="D383">
        <v>8</v>
      </c>
      <c r="E383" s="19">
        <v>51.8</v>
      </c>
      <c r="F383" s="19"/>
      <c r="G383" s="19">
        <v>616.02</v>
      </c>
      <c r="H383" s="3">
        <v>353.91</v>
      </c>
      <c r="I383" s="19">
        <v>173.458</v>
      </c>
      <c r="J383" s="40">
        <v>4.75</v>
      </c>
      <c r="K383" s="41">
        <v>15417</v>
      </c>
      <c r="L383" s="24">
        <v>93.3</v>
      </c>
      <c r="M383" s="42">
        <v>97.7</v>
      </c>
    </row>
    <row r="384" spans="1:13" x14ac:dyDescent="0.75">
      <c r="A384" t="s">
        <v>34</v>
      </c>
      <c r="B384" s="18">
        <v>2022</v>
      </c>
      <c r="C384" s="4">
        <v>11</v>
      </c>
      <c r="D384">
        <v>8</v>
      </c>
      <c r="E384" s="19">
        <v>50.3</v>
      </c>
      <c r="F384" s="19"/>
      <c r="G384" s="19">
        <v>780.78</v>
      </c>
      <c r="H384" s="3">
        <v>412.22</v>
      </c>
      <c r="I384" s="19">
        <v>156.46299999999999</v>
      </c>
      <c r="J384" s="40">
        <v>5.25</v>
      </c>
      <c r="K384" s="41">
        <v>15659</v>
      </c>
      <c r="L384" s="24">
        <v>91.4</v>
      </c>
      <c r="M384" s="42">
        <v>98</v>
      </c>
    </row>
    <row r="385" spans="1:13" x14ac:dyDescent="0.75">
      <c r="A385" t="s">
        <v>34</v>
      </c>
      <c r="B385" s="18">
        <v>2022</v>
      </c>
      <c r="C385" s="4">
        <v>12</v>
      </c>
      <c r="D385">
        <v>8</v>
      </c>
      <c r="E385" s="19">
        <v>50.9</v>
      </c>
      <c r="F385" s="19"/>
      <c r="G385" s="19">
        <v>690.26</v>
      </c>
      <c r="H385" s="3">
        <v>549.16999999999996</v>
      </c>
      <c r="I385" s="19">
        <v>149.99100000000001</v>
      </c>
      <c r="J385" s="40">
        <v>5.5</v>
      </c>
      <c r="K385" s="41">
        <v>15615</v>
      </c>
      <c r="L385" s="24">
        <v>80.900000000000006</v>
      </c>
      <c r="M385" s="42">
        <v>98.7</v>
      </c>
    </row>
    <row r="386" spans="1:13" x14ac:dyDescent="0.75">
      <c r="A386" t="s">
        <v>35</v>
      </c>
      <c r="B386" s="18">
        <v>2022</v>
      </c>
      <c r="C386" s="4">
        <v>1</v>
      </c>
      <c r="D386" t="s">
        <v>58</v>
      </c>
      <c r="E386" s="19">
        <v>53.7</v>
      </c>
      <c r="F386" s="19">
        <v>98.1</v>
      </c>
      <c r="G386" s="3">
        <v>853.48</v>
      </c>
      <c r="H386" s="36"/>
      <c r="I386" s="19">
        <v>462.13200000000001</v>
      </c>
      <c r="J386" s="40">
        <v>3.5</v>
      </c>
      <c r="K386" s="41">
        <v>14335</v>
      </c>
      <c r="L386" s="24">
        <v>86.5</v>
      </c>
      <c r="M386" s="42">
        <v>94</v>
      </c>
    </row>
    <row r="387" spans="1:13" x14ac:dyDescent="0.75">
      <c r="A387" t="s">
        <v>35</v>
      </c>
      <c r="B387" s="18">
        <v>2022</v>
      </c>
      <c r="C387" s="4">
        <v>2</v>
      </c>
      <c r="D387" t="s">
        <v>58</v>
      </c>
      <c r="E387" s="19">
        <v>51.2</v>
      </c>
      <c r="F387" s="19">
        <v>96.69</v>
      </c>
      <c r="G387" s="3"/>
      <c r="H387" s="36"/>
      <c r="I387" s="19">
        <v>519.25</v>
      </c>
      <c r="J387" s="40">
        <v>3.5</v>
      </c>
      <c r="K387" s="41">
        <v>14351</v>
      </c>
      <c r="L387" s="24">
        <v>97.1</v>
      </c>
      <c r="M387" s="42">
        <v>94</v>
      </c>
    </row>
    <row r="388" spans="1:13" x14ac:dyDescent="0.75">
      <c r="A388" t="s">
        <v>35</v>
      </c>
      <c r="B388" s="18">
        <v>2022</v>
      </c>
      <c r="C388" s="4">
        <v>3</v>
      </c>
      <c r="D388" t="s">
        <v>58</v>
      </c>
      <c r="E388" s="19">
        <v>51.3</v>
      </c>
      <c r="F388" s="19">
        <v>98.06</v>
      </c>
      <c r="G388" s="3"/>
      <c r="H388">
        <v>6.95</v>
      </c>
      <c r="I388" s="19">
        <v>540.673</v>
      </c>
      <c r="J388" s="40">
        <v>3.5</v>
      </c>
      <c r="K388" s="41">
        <v>14349</v>
      </c>
      <c r="L388" s="24">
        <v>117.2</v>
      </c>
      <c r="M388" s="42">
        <v>94.7</v>
      </c>
    </row>
    <row r="389" spans="1:13" x14ac:dyDescent="0.75">
      <c r="A389" t="s">
        <v>35</v>
      </c>
      <c r="B389" s="18">
        <v>2022</v>
      </c>
      <c r="C389" s="4">
        <v>4</v>
      </c>
      <c r="D389" t="s">
        <v>58</v>
      </c>
      <c r="E389" s="19">
        <v>51.9</v>
      </c>
      <c r="F389" s="19">
        <v>98.81</v>
      </c>
      <c r="G389" s="3"/>
      <c r="H389">
        <v>3.57</v>
      </c>
      <c r="I389" s="19">
        <v>575.673</v>
      </c>
      <c r="J389" s="40">
        <v>3.5</v>
      </c>
      <c r="K389" s="41">
        <v>14369</v>
      </c>
      <c r="L389" s="24">
        <v>104.6</v>
      </c>
      <c r="M389" s="42">
        <v>95.6</v>
      </c>
    </row>
    <row r="390" spans="1:13" x14ac:dyDescent="0.75">
      <c r="A390" t="s">
        <v>35</v>
      </c>
      <c r="B390" s="18">
        <v>2022</v>
      </c>
      <c r="C390" s="4">
        <v>5</v>
      </c>
      <c r="D390" t="s">
        <v>58</v>
      </c>
      <c r="E390" s="19">
        <v>50.8</v>
      </c>
      <c r="F390" s="19">
        <v>100.11</v>
      </c>
      <c r="G390" s="3"/>
      <c r="H390" s="36"/>
      <c r="I390" s="19">
        <v>620.09400000000005</v>
      </c>
      <c r="J390" s="40">
        <v>3.5</v>
      </c>
      <c r="K390" s="41">
        <v>14608</v>
      </c>
      <c r="L390" s="24">
        <v>113.3</v>
      </c>
      <c r="M390" s="42">
        <v>95.9</v>
      </c>
    </row>
    <row r="391" spans="1:13" x14ac:dyDescent="0.75">
      <c r="A391" t="s">
        <v>35</v>
      </c>
      <c r="B391" s="18">
        <v>2022</v>
      </c>
      <c r="C391" s="4">
        <v>6</v>
      </c>
      <c r="D391" t="s">
        <v>58</v>
      </c>
      <c r="E391" s="19">
        <v>50.2</v>
      </c>
      <c r="F391" s="19">
        <v>100.5</v>
      </c>
      <c r="G391" s="3"/>
      <c r="H391" s="36"/>
      <c r="I391" s="19">
        <v>588.63699999999994</v>
      </c>
      <c r="J391" s="40">
        <v>3.5</v>
      </c>
      <c r="K391" s="41">
        <v>14689</v>
      </c>
      <c r="L391" s="24">
        <v>122.7</v>
      </c>
      <c r="M391" s="42">
        <v>96.6</v>
      </c>
    </row>
    <row r="392" spans="1:13" x14ac:dyDescent="0.75">
      <c r="A392" t="s">
        <v>35</v>
      </c>
      <c r="B392" s="18">
        <v>2022</v>
      </c>
      <c r="C392" s="4">
        <v>7</v>
      </c>
      <c r="D392">
        <v>0</v>
      </c>
      <c r="E392" s="19">
        <v>51.3</v>
      </c>
      <c r="F392" s="19">
        <v>100.78</v>
      </c>
      <c r="G392" s="3"/>
      <c r="H392">
        <v>266.31</v>
      </c>
      <c r="I392" s="19">
        <v>626.40700000000004</v>
      </c>
      <c r="J392" s="40">
        <v>3.5</v>
      </c>
      <c r="K392" s="41">
        <v>14984</v>
      </c>
      <c r="L392" s="24">
        <v>111.9</v>
      </c>
      <c r="M392" s="42">
        <v>97</v>
      </c>
    </row>
    <row r="393" spans="1:13" x14ac:dyDescent="0.75">
      <c r="A393" t="s">
        <v>35</v>
      </c>
      <c r="B393" s="18">
        <v>2022</v>
      </c>
      <c r="C393" s="4">
        <v>8</v>
      </c>
      <c r="D393" t="s">
        <v>58</v>
      </c>
      <c r="E393" s="19">
        <v>51.7</v>
      </c>
      <c r="F393" s="19">
        <v>100.24</v>
      </c>
      <c r="G393" s="3"/>
      <c r="H393">
        <v>9.0500000000000007</v>
      </c>
      <c r="I393" s="19">
        <v>640.47699999999998</v>
      </c>
      <c r="J393" s="40">
        <v>3.75</v>
      </c>
      <c r="K393" s="41">
        <v>14851</v>
      </c>
      <c r="L393" s="24">
        <v>100.4</v>
      </c>
      <c r="M393" s="42">
        <v>96.9</v>
      </c>
    </row>
    <row r="394" spans="1:13" x14ac:dyDescent="0.75">
      <c r="A394" t="s">
        <v>35</v>
      </c>
      <c r="B394" s="18">
        <v>2022</v>
      </c>
      <c r="C394" s="4">
        <v>9</v>
      </c>
      <c r="D394">
        <v>0</v>
      </c>
      <c r="E394" s="19">
        <v>53.7</v>
      </c>
      <c r="F394" s="19">
        <v>100.35</v>
      </c>
      <c r="G394" s="3"/>
      <c r="H394" s="36"/>
      <c r="I394" s="19">
        <v>625.06899999999996</v>
      </c>
      <c r="J394" s="40">
        <v>4.25</v>
      </c>
      <c r="K394" s="41">
        <v>14972</v>
      </c>
      <c r="L394" s="24">
        <v>89.8</v>
      </c>
      <c r="M394" s="42">
        <v>97.7</v>
      </c>
    </row>
    <row r="395" spans="1:13" x14ac:dyDescent="0.75">
      <c r="A395" t="s">
        <v>35</v>
      </c>
      <c r="B395" s="18">
        <v>2022</v>
      </c>
      <c r="C395" s="4">
        <v>10</v>
      </c>
      <c r="D395">
        <v>0</v>
      </c>
      <c r="E395" s="19">
        <v>51.8</v>
      </c>
      <c r="F395" s="19">
        <v>101.17</v>
      </c>
      <c r="G395" s="3"/>
      <c r="H395" s="37"/>
      <c r="I395" s="19">
        <v>638.71199999999999</v>
      </c>
      <c r="J395" s="40">
        <v>4.75</v>
      </c>
      <c r="K395" s="41">
        <v>15417</v>
      </c>
      <c r="L395" s="24">
        <v>93.3</v>
      </c>
      <c r="M395" s="42">
        <v>97.7</v>
      </c>
    </row>
    <row r="396" spans="1:13" x14ac:dyDescent="0.75">
      <c r="A396" t="s">
        <v>35</v>
      </c>
      <c r="B396" s="18">
        <v>2022</v>
      </c>
      <c r="C396" s="4">
        <v>11</v>
      </c>
      <c r="D396">
        <v>0</v>
      </c>
      <c r="E396" s="19">
        <v>50.3</v>
      </c>
      <c r="F396" s="19">
        <v>101.79</v>
      </c>
      <c r="G396" s="3"/>
      <c r="H396">
        <v>2.58</v>
      </c>
      <c r="I396" s="19">
        <v>627.88</v>
      </c>
      <c r="J396" s="40">
        <v>5.25</v>
      </c>
      <c r="K396" s="41">
        <v>15659</v>
      </c>
      <c r="L396" s="24">
        <v>91.4</v>
      </c>
      <c r="M396" s="42">
        <v>98</v>
      </c>
    </row>
    <row r="397" spans="1:13" x14ac:dyDescent="0.75">
      <c r="A397" t="s">
        <v>35</v>
      </c>
      <c r="B397" s="18">
        <v>2022</v>
      </c>
      <c r="C397" s="4">
        <v>12</v>
      </c>
      <c r="D397">
        <v>124</v>
      </c>
      <c r="E397" s="19">
        <v>50.9</v>
      </c>
      <c r="F397" s="19">
        <v>103.41</v>
      </c>
      <c r="G397" s="3"/>
      <c r="H397">
        <v>8.7899999999999991</v>
      </c>
      <c r="I397" s="19">
        <v>557.97699999999998</v>
      </c>
      <c r="J397" s="40">
        <v>5.5</v>
      </c>
      <c r="K397" s="41">
        <v>15615</v>
      </c>
      <c r="L397" s="24">
        <v>80.900000000000006</v>
      </c>
      <c r="M397" s="42">
        <v>98.7</v>
      </c>
    </row>
    <row r="398" spans="1:13" x14ac:dyDescent="0.75">
      <c r="A398" t="s">
        <v>36</v>
      </c>
      <c r="B398" s="18">
        <v>2022</v>
      </c>
      <c r="C398" s="4">
        <v>1</v>
      </c>
      <c r="D398" t="s">
        <v>58</v>
      </c>
      <c r="E398" s="19">
        <v>53.7</v>
      </c>
      <c r="F398" s="19">
        <v>99.04</v>
      </c>
      <c r="G398" s="3"/>
      <c r="H398" s="3"/>
      <c r="I398" s="3"/>
      <c r="J398" s="40">
        <v>3.5</v>
      </c>
      <c r="K398" s="41">
        <v>14335</v>
      </c>
      <c r="L398" s="24">
        <v>86.5</v>
      </c>
      <c r="M398" s="42">
        <v>94</v>
      </c>
    </row>
    <row r="399" spans="1:13" x14ac:dyDescent="0.75">
      <c r="A399" t="s">
        <v>36</v>
      </c>
      <c r="B399" s="18">
        <v>2022</v>
      </c>
      <c r="C399" s="4">
        <v>2</v>
      </c>
      <c r="D399" t="s">
        <v>58</v>
      </c>
      <c r="E399" s="19">
        <v>51.2</v>
      </c>
      <c r="F399" s="19">
        <v>98.37</v>
      </c>
      <c r="G399" s="3"/>
      <c r="H399" s="3"/>
      <c r="I399" s="3"/>
      <c r="J399" s="40">
        <v>3.5</v>
      </c>
      <c r="K399" s="41">
        <v>14351</v>
      </c>
      <c r="L399" s="24">
        <v>97.1</v>
      </c>
      <c r="M399" s="42">
        <v>94</v>
      </c>
    </row>
    <row r="400" spans="1:13" x14ac:dyDescent="0.75">
      <c r="A400" t="s">
        <v>36</v>
      </c>
      <c r="B400" s="18">
        <v>2022</v>
      </c>
      <c r="C400" s="4">
        <v>3</v>
      </c>
      <c r="D400" t="s">
        <v>58</v>
      </c>
      <c r="E400" s="19">
        <v>51.3</v>
      </c>
      <c r="F400" s="19">
        <v>97.91</v>
      </c>
      <c r="G400" s="3"/>
      <c r="H400" s="3"/>
      <c r="I400" s="3"/>
      <c r="J400" s="40">
        <v>3.5</v>
      </c>
      <c r="K400" s="41">
        <v>14349</v>
      </c>
      <c r="L400" s="24">
        <v>117.2</v>
      </c>
      <c r="M400" s="42">
        <v>94.7</v>
      </c>
    </row>
    <row r="401" spans="1:13" x14ac:dyDescent="0.75">
      <c r="A401" t="s">
        <v>36</v>
      </c>
      <c r="B401" s="18">
        <v>2022</v>
      </c>
      <c r="C401" s="4">
        <v>4</v>
      </c>
      <c r="D401" t="s">
        <v>58</v>
      </c>
      <c r="E401" s="19">
        <v>51.9</v>
      </c>
      <c r="F401" s="19">
        <v>99.02</v>
      </c>
      <c r="G401" s="3"/>
      <c r="H401" s="3"/>
      <c r="I401" s="3"/>
      <c r="J401" s="40">
        <v>3.5</v>
      </c>
      <c r="K401" s="41">
        <v>14369</v>
      </c>
      <c r="L401" s="24">
        <v>104.6</v>
      </c>
      <c r="M401" s="42">
        <v>95.6</v>
      </c>
    </row>
    <row r="402" spans="1:13" x14ac:dyDescent="0.75">
      <c r="A402" t="s">
        <v>36</v>
      </c>
      <c r="B402" s="18">
        <v>2022</v>
      </c>
      <c r="C402" s="4">
        <v>5</v>
      </c>
      <c r="D402" t="s">
        <v>58</v>
      </c>
      <c r="E402" s="19">
        <v>50.8</v>
      </c>
      <c r="F402" s="19">
        <v>99.55</v>
      </c>
      <c r="G402" s="3"/>
      <c r="H402" s="3"/>
      <c r="I402" s="3"/>
      <c r="J402" s="40">
        <v>3.5</v>
      </c>
      <c r="K402" s="41">
        <v>14608</v>
      </c>
      <c r="L402" s="24">
        <v>113.3</v>
      </c>
      <c r="M402" s="42">
        <v>95.9</v>
      </c>
    </row>
    <row r="403" spans="1:13" x14ac:dyDescent="0.75">
      <c r="A403" t="s">
        <v>36</v>
      </c>
      <c r="B403" s="18">
        <v>2022</v>
      </c>
      <c r="C403" s="4">
        <v>6</v>
      </c>
      <c r="D403" t="s">
        <v>58</v>
      </c>
      <c r="E403" s="19">
        <v>50.2</v>
      </c>
      <c r="F403" s="19">
        <v>99.71</v>
      </c>
      <c r="G403" s="3"/>
      <c r="H403" s="3"/>
      <c r="I403" s="3"/>
      <c r="J403" s="40">
        <v>3.5</v>
      </c>
      <c r="K403" s="41">
        <v>14689</v>
      </c>
      <c r="L403" s="24">
        <v>122.7</v>
      </c>
      <c r="M403" s="42">
        <v>96.6</v>
      </c>
    </row>
    <row r="404" spans="1:13" x14ac:dyDescent="0.75">
      <c r="A404" t="s">
        <v>36</v>
      </c>
      <c r="B404" s="18">
        <v>2022</v>
      </c>
      <c r="C404" s="4">
        <v>7</v>
      </c>
      <c r="D404" t="s">
        <v>58</v>
      </c>
      <c r="E404" s="19">
        <v>51.3</v>
      </c>
      <c r="F404" s="19">
        <v>100.93</v>
      </c>
      <c r="G404" s="3"/>
      <c r="H404" s="3"/>
      <c r="I404" s="3"/>
      <c r="J404" s="40">
        <v>3.5</v>
      </c>
      <c r="K404" s="41">
        <v>14984</v>
      </c>
      <c r="L404" s="24">
        <v>111.9</v>
      </c>
      <c r="M404" s="42">
        <v>97</v>
      </c>
    </row>
    <row r="405" spans="1:13" x14ac:dyDescent="0.75">
      <c r="A405" t="s">
        <v>36</v>
      </c>
      <c r="B405" s="18">
        <v>2022</v>
      </c>
      <c r="C405" s="4">
        <v>8</v>
      </c>
      <c r="D405" t="s">
        <v>58</v>
      </c>
      <c r="E405" s="19">
        <v>51.7</v>
      </c>
      <c r="F405" s="19">
        <v>100.52</v>
      </c>
      <c r="G405" s="3"/>
      <c r="H405" s="3"/>
      <c r="I405" s="3"/>
      <c r="J405" s="40">
        <v>3.75</v>
      </c>
      <c r="K405" s="41">
        <v>14851</v>
      </c>
      <c r="L405" s="24">
        <v>100.4</v>
      </c>
      <c r="M405" s="42">
        <v>96.9</v>
      </c>
    </row>
    <row r="406" spans="1:13" x14ac:dyDescent="0.75">
      <c r="A406" t="s">
        <v>36</v>
      </c>
      <c r="B406" s="18">
        <v>2022</v>
      </c>
      <c r="C406" s="4">
        <v>9</v>
      </c>
      <c r="D406" t="s">
        <v>58</v>
      </c>
      <c r="E406" s="19">
        <v>53.7</v>
      </c>
      <c r="F406" s="19">
        <v>101.48</v>
      </c>
      <c r="G406" s="3"/>
      <c r="H406" s="3"/>
      <c r="I406" s="3"/>
      <c r="J406" s="40">
        <v>4.25</v>
      </c>
      <c r="K406" s="41">
        <v>14972</v>
      </c>
      <c r="L406" s="24">
        <v>89.8</v>
      </c>
      <c r="M406" s="42">
        <v>97.7</v>
      </c>
    </row>
    <row r="407" spans="1:13" x14ac:dyDescent="0.75">
      <c r="A407" t="s">
        <v>36</v>
      </c>
      <c r="B407" s="18">
        <v>2022</v>
      </c>
      <c r="C407" s="4">
        <v>10</v>
      </c>
      <c r="D407" t="s">
        <v>58</v>
      </c>
      <c r="E407" s="19">
        <v>51.8</v>
      </c>
      <c r="F407" s="19">
        <v>101.1</v>
      </c>
      <c r="G407" s="3"/>
      <c r="H407" s="3"/>
      <c r="I407" s="3"/>
      <c r="J407" s="40">
        <v>4.75</v>
      </c>
      <c r="K407" s="41">
        <v>15417</v>
      </c>
      <c r="L407" s="24">
        <v>93.3</v>
      </c>
      <c r="M407" s="42">
        <v>97.7</v>
      </c>
    </row>
    <row r="408" spans="1:13" x14ac:dyDescent="0.75">
      <c r="A408" t="s">
        <v>36</v>
      </c>
      <c r="B408" s="18">
        <v>2022</v>
      </c>
      <c r="C408" s="4">
        <v>11</v>
      </c>
      <c r="D408" t="s">
        <v>58</v>
      </c>
      <c r="E408" s="19">
        <v>50.3</v>
      </c>
      <c r="F408" s="19">
        <v>101.02</v>
      </c>
      <c r="G408" s="3"/>
      <c r="H408" s="3"/>
      <c r="I408" s="3"/>
      <c r="J408" s="40">
        <v>5.25</v>
      </c>
      <c r="K408" s="41">
        <v>15659</v>
      </c>
      <c r="L408" s="24">
        <v>91.4</v>
      </c>
      <c r="M408" s="42">
        <v>98</v>
      </c>
    </row>
    <row r="409" spans="1:13" x14ac:dyDescent="0.75">
      <c r="A409" t="s">
        <v>36</v>
      </c>
      <c r="B409" s="18">
        <v>2022</v>
      </c>
      <c r="C409" s="4">
        <v>12</v>
      </c>
      <c r="D409" t="s">
        <v>58</v>
      </c>
      <c r="E409" s="19">
        <v>50.9</v>
      </c>
      <c r="F409" s="19">
        <v>101.34</v>
      </c>
      <c r="G409" s="3"/>
      <c r="H409" s="3"/>
      <c r="I409" s="3"/>
      <c r="J409" s="40">
        <v>5.5</v>
      </c>
      <c r="K409" s="41">
        <v>15615</v>
      </c>
      <c r="L409" s="24">
        <v>80.900000000000006</v>
      </c>
      <c r="M409" s="42">
        <v>98.7</v>
      </c>
    </row>
    <row r="410" spans="1:13" x14ac:dyDescent="0.75">
      <c r="A410" t="s">
        <v>37</v>
      </c>
      <c r="B410" s="18">
        <v>2022</v>
      </c>
      <c r="C410" s="4">
        <v>1</v>
      </c>
      <c r="D410" t="s">
        <v>58</v>
      </c>
      <c r="E410" s="19">
        <v>53.7</v>
      </c>
      <c r="F410" s="19">
        <v>96.91</v>
      </c>
      <c r="G410" s="3"/>
      <c r="H410" s="3">
        <v>33.159999999999997</v>
      </c>
      <c r="I410" s="19">
        <v>879.34299999999996</v>
      </c>
      <c r="J410" s="40">
        <v>3.5</v>
      </c>
      <c r="K410" s="41">
        <v>14335</v>
      </c>
      <c r="L410" s="24">
        <v>86.5</v>
      </c>
      <c r="M410" s="42">
        <v>94</v>
      </c>
    </row>
    <row r="411" spans="1:13" x14ac:dyDescent="0.75">
      <c r="A411" t="s">
        <v>37</v>
      </c>
      <c r="B411" s="18">
        <v>2022</v>
      </c>
      <c r="C411" s="4">
        <v>2</v>
      </c>
      <c r="D411" t="s">
        <v>58</v>
      </c>
      <c r="E411" s="19">
        <v>51.2</v>
      </c>
      <c r="F411" s="19">
        <v>96.15</v>
      </c>
      <c r="G411" s="3"/>
      <c r="H411" s="3">
        <v>26.49</v>
      </c>
      <c r="I411" s="19">
        <v>906.02099999999996</v>
      </c>
      <c r="J411" s="40">
        <v>3.5</v>
      </c>
      <c r="K411" s="41">
        <v>14351</v>
      </c>
      <c r="L411" s="24">
        <v>97.1</v>
      </c>
      <c r="M411" s="42">
        <v>94</v>
      </c>
    </row>
    <row r="412" spans="1:13" x14ac:dyDescent="0.75">
      <c r="A412" t="s">
        <v>37</v>
      </c>
      <c r="B412" s="18">
        <v>2022</v>
      </c>
      <c r="C412" s="4">
        <v>3</v>
      </c>
      <c r="D412" t="s">
        <v>58</v>
      </c>
      <c r="E412" s="19">
        <v>51.3</v>
      </c>
      <c r="F412" s="19">
        <v>96.79</v>
      </c>
      <c r="G412" s="3"/>
      <c r="H412" s="3">
        <v>46.88</v>
      </c>
      <c r="I412" s="19">
        <v>868.86500000000001</v>
      </c>
      <c r="J412" s="40">
        <v>3.5</v>
      </c>
      <c r="K412" s="41">
        <v>14349</v>
      </c>
      <c r="L412" s="24">
        <v>117.2</v>
      </c>
      <c r="M412" s="42">
        <v>94.7</v>
      </c>
    </row>
    <row r="413" spans="1:13" x14ac:dyDescent="0.75">
      <c r="A413" t="s">
        <v>37</v>
      </c>
      <c r="B413" s="18">
        <v>2022</v>
      </c>
      <c r="C413" s="4">
        <v>4</v>
      </c>
      <c r="D413" t="s">
        <v>58</v>
      </c>
      <c r="E413" s="19">
        <v>51.9</v>
      </c>
      <c r="F413" s="19">
        <v>98.64</v>
      </c>
      <c r="G413" s="3"/>
      <c r="H413" s="3">
        <v>33.44</v>
      </c>
      <c r="I413" s="19">
        <v>959.81399999999996</v>
      </c>
      <c r="J413" s="40">
        <v>3.5</v>
      </c>
      <c r="K413" s="41">
        <v>14369</v>
      </c>
      <c r="L413" s="24">
        <v>104.6</v>
      </c>
      <c r="M413" s="42">
        <v>95.6</v>
      </c>
    </row>
    <row r="414" spans="1:13" x14ac:dyDescent="0.75">
      <c r="A414" t="s">
        <v>37</v>
      </c>
      <c r="B414" s="18">
        <v>2022</v>
      </c>
      <c r="C414" s="4">
        <v>5</v>
      </c>
      <c r="D414" t="s">
        <v>58</v>
      </c>
      <c r="E414" s="19">
        <v>50.8</v>
      </c>
      <c r="F414" s="19">
        <v>99.83</v>
      </c>
      <c r="G414" s="3"/>
      <c r="H414" s="3">
        <v>27.79</v>
      </c>
      <c r="I414" s="19">
        <v>1013.245</v>
      </c>
      <c r="J414" s="40">
        <v>3.5</v>
      </c>
      <c r="K414" s="41">
        <v>14608</v>
      </c>
      <c r="L414" s="24">
        <v>113.3</v>
      </c>
      <c r="M414" s="42">
        <v>95.9</v>
      </c>
    </row>
    <row r="415" spans="1:13" x14ac:dyDescent="0.75">
      <c r="A415" t="s">
        <v>37</v>
      </c>
      <c r="B415" s="18">
        <v>2022</v>
      </c>
      <c r="C415" s="4">
        <v>6</v>
      </c>
      <c r="D415" t="s">
        <v>58</v>
      </c>
      <c r="E415" s="19">
        <v>50.2</v>
      </c>
      <c r="F415" s="19">
        <v>100.44</v>
      </c>
      <c r="G415" s="3"/>
      <c r="H415" s="3">
        <v>52.99</v>
      </c>
      <c r="I415" s="19">
        <v>986.96</v>
      </c>
      <c r="J415" s="40">
        <v>3.5</v>
      </c>
      <c r="K415" s="41">
        <v>14689</v>
      </c>
      <c r="L415" s="24">
        <v>122.7</v>
      </c>
      <c r="M415" s="42">
        <v>96.6</v>
      </c>
    </row>
    <row r="416" spans="1:13" x14ac:dyDescent="0.75">
      <c r="A416" t="s">
        <v>37</v>
      </c>
      <c r="B416" s="18">
        <v>2022</v>
      </c>
      <c r="C416" s="4">
        <v>7</v>
      </c>
      <c r="D416">
        <v>0</v>
      </c>
      <c r="E416" s="19">
        <v>51.3</v>
      </c>
      <c r="F416" s="19">
        <v>101.37</v>
      </c>
      <c r="G416" s="3"/>
      <c r="H416" s="3">
        <v>404.01</v>
      </c>
      <c r="I416" s="19">
        <v>1019.106</v>
      </c>
      <c r="J416" s="40">
        <v>3.5</v>
      </c>
      <c r="K416" s="41">
        <v>14984</v>
      </c>
      <c r="L416" s="24">
        <v>111.9</v>
      </c>
      <c r="M416" s="42">
        <v>97</v>
      </c>
    </row>
    <row r="417" spans="1:13" x14ac:dyDescent="0.75">
      <c r="A417" t="s">
        <v>37</v>
      </c>
      <c r="B417" s="18">
        <v>2022</v>
      </c>
      <c r="C417" s="4">
        <v>8</v>
      </c>
      <c r="D417" t="s">
        <v>58</v>
      </c>
      <c r="E417" s="19">
        <v>51.7</v>
      </c>
      <c r="F417" s="19">
        <v>101.53</v>
      </c>
      <c r="G417" s="3"/>
      <c r="H417" s="3">
        <v>29.34</v>
      </c>
      <c r="I417" s="19">
        <v>1039.539</v>
      </c>
      <c r="J417" s="40">
        <v>3.75</v>
      </c>
      <c r="K417" s="41">
        <v>14851</v>
      </c>
      <c r="L417" s="24">
        <v>100.4</v>
      </c>
      <c r="M417" s="42">
        <v>96.9</v>
      </c>
    </row>
    <row r="418" spans="1:13" x14ac:dyDescent="0.75">
      <c r="A418" t="s">
        <v>37</v>
      </c>
      <c r="B418" s="18">
        <v>2022</v>
      </c>
      <c r="C418" s="4">
        <v>9</v>
      </c>
      <c r="D418">
        <v>0</v>
      </c>
      <c r="E418" s="19">
        <v>53.7</v>
      </c>
      <c r="F418" s="19">
        <v>102.27</v>
      </c>
      <c r="G418" s="3"/>
      <c r="H418" s="3">
        <v>61.47</v>
      </c>
      <c r="I418" s="19">
        <v>953.548</v>
      </c>
      <c r="J418" s="40">
        <v>4.25</v>
      </c>
      <c r="K418" s="41">
        <v>14972</v>
      </c>
      <c r="L418" s="24">
        <v>89.8</v>
      </c>
      <c r="M418" s="42">
        <v>97.7</v>
      </c>
    </row>
    <row r="419" spans="1:13" x14ac:dyDescent="0.75">
      <c r="A419" t="s">
        <v>37</v>
      </c>
      <c r="B419" s="18">
        <v>2022</v>
      </c>
      <c r="C419" s="4">
        <v>10</v>
      </c>
      <c r="D419">
        <v>0</v>
      </c>
      <c r="E419" s="19">
        <v>51.8</v>
      </c>
      <c r="F419" s="19">
        <v>101.94</v>
      </c>
      <c r="G419" s="3"/>
      <c r="H419" s="3">
        <v>40.78</v>
      </c>
      <c r="I419" s="19">
        <v>971.404</v>
      </c>
      <c r="J419" s="40">
        <v>4.75</v>
      </c>
      <c r="K419" s="41">
        <v>15417</v>
      </c>
      <c r="L419" s="24">
        <v>93.3</v>
      </c>
      <c r="M419" s="42">
        <v>97.7</v>
      </c>
    </row>
    <row r="420" spans="1:13" x14ac:dyDescent="0.75">
      <c r="A420" t="s">
        <v>37</v>
      </c>
      <c r="B420" s="18">
        <v>2022</v>
      </c>
      <c r="C420" s="4">
        <v>11</v>
      </c>
      <c r="D420">
        <v>0</v>
      </c>
      <c r="E420" s="19">
        <v>50.3</v>
      </c>
      <c r="F420" s="19">
        <v>101.72</v>
      </c>
      <c r="G420" s="3"/>
      <c r="H420" s="3">
        <v>31.22</v>
      </c>
      <c r="I420" s="19">
        <v>958.7</v>
      </c>
      <c r="J420" s="40">
        <v>5.25</v>
      </c>
      <c r="K420" s="41">
        <v>15659</v>
      </c>
      <c r="L420" s="24">
        <v>91.4</v>
      </c>
      <c r="M420" s="42">
        <v>98</v>
      </c>
    </row>
    <row r="421" spans="1:13" x14ac:dyDescent="0.75">
      <c r="A421" t="s">
        <v>37</v>
      </c>
      <c r="B421" s="18">
        <v>2022</v>
      </c>
      <c r="C421" s="4">
        <v>12</v>
      </c>
      <c r="D421">
        <v>76</v>
      </c>
      <c r="E421" s="19">
        <v>50.9</v>
      </c>
      <c r="F421" s="19">
        <v>102.42</v>
      </c>
      <c r="G421" s="3"/>
      <c r="H421" s="3">
        <v>55.56</v>
      </c>
      <c r="I421" s="19">
        <v>862.64099999999996</v>
      </c>
      <c r="J421" s="40">
        <v>5.5</v>
      </c>
      <c r="K421" s="41">
        <v>15615</v>
      </c>
      <c r="L421" s="24">
        <v>80.900000000000006</v>
      </c>
      <c r="M421" s="42">
        <v>98.7</v>
      </c>
    </row>
    <row r="422" spans="1:13" x14ac:dyDescent="0.75">
      <c r="A422" t="s">
        <v>38</v>
      </c>
      <c r="B422" s="18">
        <v>2022</v>
      </c>
      <c r="C422" s="4">
        <v>1</v>
      </c>
      <c r="D422" t="s">
        <v>58</v>
      </c>
      <c r="E422" s="19">
        <v>53.7</v>
      </c>
      <c r="F422" s="26">
        <v>98.15</v>
      </c>
      <c r="G422" s="3"/>
      <c r="H422" s="3"/>
      <c r="I422" s="3"/>
      <c r="J422" s="40">
        <v>3.5</v>
      </c>
      <c r="K422" s="41">
        <v>14335</v>
      </c>
      <c r="L422" s="24">
        <v>86.5</v>
      </c>
      <c r="M422" s="42">
        <v>94</v>
      </c>
    </row>
    <row r="423" spans="1:13" x14ac:dyDescent="0.75">
      <c r="A423" t="s">
        <v>38</v>
      </c>
      <c r="B423" s="18">
        <v>2022</v>
      </c>
      <c r="C423" s="4">
        <v>2</v>
      </c>
      <c r="D423" t="s">
        <v>58</v>
      </c>
      <c r="E423" s="19">
        <v>51.2</v>
      </c>
      <c r="F423" s="26">
        <v>98.38</v>
      </c>
      <c r="G423" s="3"/>
      <c r="H423" s="3"/>
      <c r="I423" s="3"/>
      <c r="J423" s="40">
        <v>3.5</v>
      </c>
      <c r="K423" s="41">
        <v>14351</v>
      </c>
      <c r="L423" s="24">
        <v>97.1</v>
      </c>
      <c r="M423" s="42">
        <v>94</v>
      </c>
    </row>
    <row r="424" spans="1:13" x14ac:dyDescent="0.75">
      <c r="A424" t="s">
        <v>38</v>
      </c>
      <c r="B424" s="18">
        <v>2022</v>
      </c>
      <c r="C424" s="4">
        <v>3</v>
      </c>
      <c r="D424" t="s">
        <v>58</v>
      </c>
      <c r="E424" s="19">
        <v>51.3</v>
      </c>
      <c r="F424" s="26">
        <v>99.38</v>
      </c>
      <c r="G424" s="3"/>
      <c r="H424" s="3"/>
      <c r="I424" s="3"/>
      <c r="J424" s="40">
        <v>3.5</v>
      </c>
      <c r="K424" s="41">
        <v>14349</v>
      </c>
      <c r="L424" s="24">
        <v>117.2</v>
      </c>
      <c r="M424" s="42">
        <v>94.7</v>
      </c>
    </row>
    <row r="425" spans="1:13" x14ac:dyDescent="0.75">
      <c r="A425" t="s">
        <v>38</v>
      </c>
      <c r="B425" s="18">
        <v>2022</v>
      </c>
      <c r="C425" s="4">
        <v>4</v>
      </c>
      <c r="D425" t="s">
        <v>58</v>
      </c>
      <c r="E425" s="19">
        <v>51.9</v>
      </c>
      <c r="F425" s="26">
        <v>100.11</v>
      </c>
      <c r="G425" s="3"/>
      <c r="H425" s="3"/>
      <c r="I425" s="3"/>
      <c r="J425" s="40">
        <v>3.5</v>
      </c>
      <c r="K425" s="41">
        <v>14369</v>
      </c>
      <c r="L425" s="24">
        <v>104.6</v>
      </c>
      <c r="M425" s="42">
        <v>95.6</v>
      </c>
    </row>
    <row r="426" spans="1:13" x14ac:dyDescent="0.75">
      <c r="A426" t="s">
        <v>38</v>
      </c>
      <c r="B426" s="18">
        <v>2022</v>
      </c>
      <c r="C426" s="4">
        <v>5</v>
      </c>
      <c r="D426" t="s">
        <v>58</v>
      </c>
      <c r="E426" s="19">
        <v>50.8</v>
      </c>
      <c r="F426" s="26">
        <v>100.43</v>
      </c>
      <c r="G426" s="3"/>
      <c r="H426" s="3"/>
      <c r="I426" s="3"/>
      <c r="J426" s="40">
        <v>3.5</v>
      </c>
      <c r="K426" s="41">
        <v>14608</v>
      </c>
      <c r="L426" s="24">
        <v>113.3</v>
      </c>
      <c r="M426" s="42">
        <v>95.9</v>
      </c>
    </row>
    <row r="427" spans="1:13" x14ac:dyDescent="0.75">
      <c r="A427" t="s">
        <v>38</v>
      </c>
      <c r="B427" s="18">
        <v>2022</v>
      </c>
      <c r="C427" s="4">
        <v>6</v>
      </c>
      <c r="D427" t="s">
        <v>58</v>
      </c>
      <c r="E427" s="19">
        <v>50.2</v>
      </c>
      <c r="F427" s="26">
        <v>100.18</v>
      </c>
      <c r="G427" s="3"/>
      <c r="H427" s="3"/>
      <c r="I427" s="3"/>
      <c r="J427" s="40">
        <v>3.5</v>
      </c>
      <c r="K427" s="41">
        <v>14689</v>
      </c>
      <c r="L427" s="24">
        <v>122.7</v>
      </c>
      <c r="M427" s="42">
        <v>96.6</v>
      </c>
    </row>
    <row r="428" spans="1:13" x14ac:dyDescent="0.75">
      <c r="A428" t="s">
        <v>38</v>
      </c>
      <c r="B428" s="18">
        <v>2022</v>
      </c>
      <c r="C428" s="4">
        <v>7</v>
      </c>
      <c r="D428" t="s">
        <v>58</v>
      </c>
      <c r="E428" s="19">
        <v>51.3</v>
      </c>
      <c r="F428" s="26">
        <v>100.44</v>
      </c>
      <c r="G428" s="3"/>
      <c r="H428" s="3"/>
      <c r="I428" s="3"/>
      <c r="J428" s="40">
        <v>3.5</v>
      </c>
      <c r="K428" s="41">
        <v>14984</v>
      </c>
      <c r="L428" s="24">
        <v>111.9</v>
      </c>
      <c r="M428" s="42">
        <v>97</v>
      </c>
    </row>
    <row r="429" spans="1:13" x14ac:dyDescent="0.75">
      <c r="A429" t="s">
        <v>38</v>
      </c>
      <c r="B429" s="18">
        <v>2022</v>
      </c>
      <c r="C429" s="4">
        <v>8</v>
      </c>
      <c r="D429" t="s">
        <v>58</v>
      </c>
      <c r="E429" s="19">
        <v>51.7</v>
      </c>
      <c r="F429" s="26">
        <v>99.93</v>
      </c>
      <c r="G429" s="3"/>
      <c r="H429" s="3"/>
      <c r="I429" s="3"/>
      <c r="J429" s="40">
        <v>3.75</v>
      </c>
      <c r="K429" s="41">
        <v>14851</v>
      </c>
      <c r="L429" s="24">
        <v>100.4</v>
      </c>
      <c r="M429" s="42">
        <v>96.9</v>
      </c>
    </row>
    <row r="430" spans="1:13" x14ac:dyDescent="0.75">
      <c r="A430" t="s">
        <v>38</v>
      </c>
      <c r="B430" s="18">
        <v>2022</v>
      </c>
      <c r="C430" s="4">
        <v>9</v>
      </c>
      <c r="D430" t="s">
        <v>58</v>
      </c>
      <c r="E430" s="19">
        <v>53.7</v>
      </c>
      <c r="F430" s="26">
        <v>100.28</v>
      </c>
      <c r="G430" s="3"/>
      <c r="H430" s="3"/>
      <c r="I430" s="3"/>
      <c r="J430" s="40">
        <v>4.25</v>
      </c>
      <c r="K430" s="41">
        <v>14972</v>
      </c>
      <c r="L430" s="24">
        <v>89.8</v>
      </c>
      <c r="M430" s="42">
        <v>97.7</v>
      </c>
    </row>
    <row r="431" spans="1:13" x14ac:dyDescent="0.75">
      <c r="A431" t="s">
        <v>38</v>
      </c>
      <c r="B431" s="18">
        <v>2022</v>
      </c>
      <c r="C431" s="4">
        <v>10</v>
      </c>
      <c r="D431" t="s">
        <v>58</v>
      </c>
      <c r="E431" s="19">
        <v>51.8</v>
      </c>
      <c r="F431" s="26">
        <v>100.38</v>
      </c>
      <c r="G431" s="3"/>
      <c r="H431" s="3"/>
      <c r="I431" s="3"/>
      <c r="J431" s="40">
        <v>4.75</v>
      </c>
      <c r="K431" s="41">
        <v>15417</v>
      </c>
      <c r="L431" s="24">
        <v>93.3</v>
      </c>
      <c r="M431" s="42">
        <v>97.7</v>
      </c>
    </row>
    <row r="432" spans="1:13" x14ac:dyDescent="0.75">
      <c r="A432" t="s">
        <v>38</v>
      </c>
      <c r="B432" s="18">
        <v>2022</v>
      </c>
      <c r="C432" s="4">
        <v>11</v>
      </c>
      <c r="D432" t="s">
        <v>58</v>
      </c>
      <c r="E432" s="19">
        <v>50.3</v>
      </c>
      <c r="F432" s="26">
        <v>100.65</v>
      </c>
      <c r="G432" s="3"/>
      <c r="H432" s="3"/>
      <c r="I432" s="3"/>
      <c r="J432" s="40">
        <v>5.25</v>
      </c>
      <c r="K432" s="41">
        <v>15659</v>
      </c>
      <c r="L432" s="24">
        <v>91.4</v>
      </c>
      <c r="M432" s="42">
        <v>98</v>
      </c>
    </row>
    <row r="433" spans="1:13" x14ac:dyDescent="0.75">
      <c r="A433" t="s">
        <v>38</v>
      </c>
      <c r="B433" s="18">
        <v>2022</v>
      </c>
      <c r="C433" s="4">
        <v>12</v>
      </c>
      <c r="D433" t="s">
        <v>58</v>
      </c>
      <c r="E433" s="19">
        <v>50.9</v>
      </c>
      <c r="F433" s="26">
        <v>101.69</v>
      </c>
      <c r="G433" s="3"/>
      <c r="H433" s="3"/>
      <c r="I433" s="3"/>
      <c r="J433" s="40">
        <v>5.5</v>
      </c>
      <c r="K433" s="41">
        <v>15615</v>
      </c>
      <c r="L433" s="24">
        <v>80.900000000000006</v>
      </c>
      <c r="M433" s="42">
        <v>98.7</v>
      </c>
    </row>
    <row r="434" spans="1:13" x14ac:dyDescent="0.75">
      <c r="A434" t="s">
        <v>39</v>
      </c>
      <c r="B434" s="18">
        <v>2022</v>
      </c>
      <c r="C434" s="4">
        <v>1</v>
      </c>
      <c r="D434" t="s">
        <v>58</v>
      </c>
      <c r="E434" s="19">
        <v>53.7</v>
      </c>
      <c r="F434" s="19">
        <v>97.8</v>
      </c>
      <c r="G434" s="3"/>
      <c r="H434" s="3"/>
      <c r="I434" s="3"/>
      <c r="J434" s="40">
        <v>3.5</v>
      </c>
      <c r="K434" s="41">
        <v>14335</v>
      </c>
      <c r="L434" s="24">
        <v>86.5</v>
      </c>
      <c r="M434" s="42">
        <v>94</v>
      </c>
    </row>
    <row r="435" spans="1:13" x14ac:dyDescent="0.75">
      <c r="A435" t="s">
        <v>39</v>
      </c>
      <c r="B435" s="18">
        <v>2022</v>
      </c>
      <c r="C435" s="4">
        <v>2</v>
      </c>
      <c r="D435" t="s">
        <v>58</v>
      </c>
      <c r="E435" s="19">
        <v>51.2</v>
      </c>
      <c r="F435" s="19">
        <v>97.69</v>
      </c>
      <c r="G435" s="3"/>
      <c r="H435" s="3"/>
      <c r="I435" s="3"/>
      <c r="J435" s="40">
        <v>3.5</v>
      </c>
      <c r="K435" s="41">
        <v>14351</v>
      </c>
      <c r="L435" s="24">
        <v>97.1</v>
      </c>
      <c r="M435" s="42">
        <v>94</v>
      </c>
    </row>
    <row r="436" spans="1:13" x14ac:dyDescent="0.75">
      <c r="A436" t="s">
        <v>39</v>
      </c>
      <c r="B436" s="18">
        <v>2022</v>
      </c>
      <c r="C436" s="4">
        <v>3</v>
      </c>
      <c r="D436" t="s">
        <v>58</v>
      </c>
      <c r="E436" s="19">
        <v>51.3</v>
      </c>
      <c r="F436" s="19">
        <v>98.01</v>
      </c>
      <c r="G436" s="3"/>
      <c r="H436" s="3"/>
      <c r="I436" s="3"/>
      <c r="J436" s="40">
        <v>3.5</v>
      </c>
      <c r="K436" s="41">
        <v>14349</v>
      </c>
      <c r="L436" s="24">
        <v>117.2</v>
      </c>
      <c r="M436" s="42">
        <v>94.7</v>
      </c>
    </row>
    <row r="437" spans="1:13" x14ac:dyDescent="0.75">
      <c r="A437" t="s">
        <v>39</v>
      </c>
      <c r="B437" s="18">
        <v>2022</v>
      </c>
      <c r="C437" s="4">
        <v>4</v>
      </c>
      <c r="D437" t="s">
        <v>58</v>
      </c>
      <c r="E437" s="19">
        <v>51.9</v>
      </c>
      <c r="F437" s="19">
        <v>98.43</v>
      </c>
      <c r="G437" s="3"/>
      <c r="H437" s="3"/>
      <c r="I437" s="3"/>
      <c r="J437" s="40">
        <v>3.5</v>
      </c>
      <c r="K437" s="41">
        <v>14369</v>
      </c>
      <c r="L437" s="24">
        <v>104.6</v>
      </c>
      <c r="M437" s="42">
        <v>95.6</v>
      </c>
    </row>
    <row r="438" spans="1:13" x14ac:dyDescent="0.75">
      <c r="A438" t="s">
        <v>39</v>
      </c>
      <c r="B438" s="18">
        <v>2022</v>
      </c>
      <c r="C438" s="4">
        <v>5</v>
      </c>
      <c r="D438" t="s">
        <v>58</v>
      </c>
      <c r="E438" s="19">
        <v>50.8</v>
      </c>
      <c r="F438" s="19">
        <v>98.68</v>
      </c>
      <c r="G438" s="3"/>
      <c r="H438" s="3"/>
      <c r="I438" s="3"/>
      <c r="J438" s="40">
        <v>3.5</v>
      </c>
      <c r="K438" s="41">
        <v>14608</v>
      </c>
      <c r="L438" s="24">
        <v>113.3</v>
      </c>
      <c r="M438" s="42">
        <v>95.9</v>
      </c>
    </row>
    <row r="439" spans="1:13" x14ac:dyDescent="0.75">
      <c r="A439" t="s">
        <v>39</v>
      </c>
      <c r="B439" s="18">
        <v>2022</v>
      </c>
      <c r="C439" s="4">
        <v>6</v>
      </c>
      <c r="D439" t="s">
        <v>58</v>
      </c>
      <c r="E439" s="19">
        <v>50.2</v>
      </c>
      <c r="F439" s="19">
        <v>99.63</v>
      </c>
      <c r="G439" s="3"/>
      <c r="H439" s="3"/>
      <c r="I439" s="3"/>
      <c r="J439" s="40">
        <v>3.5</v>
      </c>
      <c r="K439" s="41">
        <v>14689</v>
      </c>
      <c r="L439" s="24">
        <v>122.7</v>
      </c>
      <c r="M439" s="42">
        <v>96.6</v>
      </c>
    </row>
    <row r="440" spans="1:13" x14ac:dyDescent="0.75">
      <c r="A440" t="s">
        <v>39</v>
      </c>
      <c r="B440" s="18">
        <v>2022</v>
      </c>
      <c r="C440" s="4">
        <v>7</v>
      </c>
      <c r="D440" t="s">
        <v>58</v>
      </c>
      <c r="E440" s="19">
        <v>51.3</v>
      </c>
      <c r="F440" s="19">
        <v>100.86</v>
      </c>
      <c r="G440" s="3"/>
      <c r="H440" s="3"/>
      <c r="I440" s="3"/>
      <c r="J440" s="40">
        <v>3.5</v>
      </c>
      <c r="K440" s="41">
        <v>14984</v>
      </c>
      <c r="L440" s="24">
        <v>111.9</v>
      </c>
      <c r="M440" s="42">
        <v>97</v>
      </c>
    </row>
    <row r="441" spans="1:13" x14ac:dyDescent="0.75">
      <c r="A441" t="s">
        <v>39</v>
      </c>
      <c r="B441" s="18">
        <v>2022</v>
      </c>
      <c r="C441" s="4">
        <v>8</v>
      </c>
      <c r="D441" t="s">
        <v>58</v>
      </c>
      <c r="E441" s="19">
        <v>51.7</v>
      </c>
      <c r="F441" s="19">
        <v>100.81</v>
      </c>
      <c r="G441" s="3"/>
      <c r="H441" s="3"/>
      <c r="I441" s="3"/>
      <c r="J441" s="40">
        <v>3.75</v>
      </c>
      <c r="K441" s="41">
        <v>14851</v>
      </c>
      <c r="L441" s="24">
        <v>100.4</v>
      </c>
      <c r="M441" s="42">
        <v>96.9</v>
      </c>
    </row>
    <row r="442" spans="1:13" x14ac:dyDescent="0.75">
      <c r="A442" t="s">
        <v>39</v>
      </c>
      <c r="B442" s="18">
        <v>2022</v>
      </c>
      <c r="C442" s="4">
        <v>9</v>
      </c>
      <c r="D442" t="s">
        <v>58</v>
      </c>
      <c r="E442" s="19">
        <v>53.7</v>
      </c>
      <c r="F442" s="19">
        <v>101.83</v>
      </c>
      <c r="G442" s="3"/>
      <c r="H442" s="3"/>
      <c r="I442" s="3"/>
      <c r="J442" s="40">
        <v>4.25</v>
      </c>
      <c r="K442" s="41">
        <v>14972</v>
      </c>
      <c r="L442" s="24">
        <v>89.8</v>
      </c>
      <c r="M442" s="42">
        <v>97.7</v>
      </c>
    </row>
    <row r="443" spans="1:13" x14ac:dyDescent="0.75">
      <c r="A443" t="s">
        <v>39</v>
      </c>
      <c r="B443" s="18">
        <v>2022</v>
      </c>
      <c r="C443" s="4">
        <v>10</v>
      </c>
      <c r="D443" t="s">
        <v>58</v>
      </c>
      <c r="E443" s="19">
        <v>51.8</v>
      </c>
      <c r="F443" s="19">
        <v>101.61</v>
      </c>
      <c r="G443" s="3"/>
      <c r="H443" s="3"/>
      <c r="I443" s="3"/>
      <c r="J443" s="40">
        <v>4.75</v>
      </c>
      <c r="K443" s="41">
        <v>15417</v>
      </c>
      <c r="L443" s="24">
        <v>93.3</v>
      </c>
      <c r="M443" s="42">
        <v>97.7</v>
      </c>
    </row>
    <row r="444" spans="1:13" x14ac:dyDescent="0.75">
      <c r="A444" t="s">
        <v>39</v>
      </c>
      <c r="B444" s="18">
        <v>2022</v>
      </c>
      <c r="C444" s="4">
        <v>11</v>
      </c>
      <c r="D444" t="s">
        <v>58</v>
      </c>
      <c r="E444" s="19">
        <v>50.3</v>
      </c>
      <c r="F444" s="19">
        <v>102.03</v>
      </c>
      <c r="G444" s="3"/>
      <c r="H444" s="3"/>
      <c r="I444" s="3"/>
      <c r="J444" s="40">
        <v>5.25</v>
      </c>
      <c r="K444" s="41">
        <v>15659</v>
      </c>
      <c r="L444" s="24">
        <v>91.4</v>
      </c>
      <c r="M444" s="42">
        <v>98</v>
      </c>
    </row>
    <row r="445" spans="1:13" x14ac:dyDescent="0.75">
      <c r="A445" t="s">
        <v>39</v>
      </c>
      <c r="B445" s="18">
        <v>2022</v>
      </c>
      <c r="C445" s="4">
        <v>12</v>
      </c>
      <c r="D445" t="s">
        <v>58</v>
      </c>
      <c r="E445" s="19">
        <v>50.9</v>
      </c>
      <c r="F445" s="19">
        <v>102.62</v>
      </c>
      <c r="G445" s="3"/>
      <c r="H445" s="3"/>
      <c r="I445" s="3"/>
      <c r="J445" s="40">
        <v>5.5</v>
      </c>
      <c r="K445" s="41">
        <v>15615</v>
      </c>
      <c r="L445" s="24">
        <v>80.900000000000006</v>
      </c>
      <c r="M445" s="42">
        <v>98.7</v>
      </c>
    </row>
    <row r="446" spans="1:13" x14ac:dyDescent="0.75">
      <c r="A446" t="s">
        <v>40</v>
      </c>
      <c r="B446" s="18">
        <v>2022</v>
      </c>
      <c r="C446" s="4">
        <v>1</v>
      </c>
      <c r="D446" t="s">
        <v>58</v>
      </c>
      <c r="E446" s="30">
        <v>53.7</v>
      </c>
      <c r="F446" s="19">
        <v>98.72</v>
      </c>
      <c r="G446" s="3"/>
      <c r="H446" s="3"/>
      <c r="I446" s="3"/>
      <c r="J446" s="40">
        <v>3.5</v>
      </c>
      <c r="K446" s="41">
        <v>14335</v>
      </c>
      <c r="L446" s="24">
        <v>86.5</v>
      </c>
      <c r="M446" s="42">
        <v>94</v>
      </c>
    </row>
    <row r="447" spans="1:13" x14ac:dyDescent="0.75">
      <c r="A447" t="s">
        <v>40</v>
      </c>
      <c r="B447" s="18">
        <v>2022</v>
      </c>
      <c r="C447" s="4">
        <v>2</v>
      </c>
      <c r="D447" t="s">
        <v>58</v>
      </c>
      <c r="E447" s="30">
        <v>51.2</v>
      </c>
      <c r="F447" s="19">
        <v>98.75</v>
      </c>
      <c r="G447" s="3"/>
      <c r="H447" s="3"/>
      <c r="I447" s="3"/>
      <c r="J447" s="40">
        <v>3.5</v>
      </c>
      <c r="K447" s="41">
        <v>14351</v>
      </c>
      <c r="L447" s="24">
        <v>97.1</v>
      </c>
      <c r="M447" s="42">
        <v>94</v>
      </c>
    </row>
    <row r="448" spans="1:13" x14ac:dyDescent="0.75">
      <c r="A448" t="s">
        <v>40</v>
      </c>
      <c r="B448" s="18">
        <v>2022</v>
      </c>
      <c r="C448" s="4">
        <v>3</v>
      </c>
      <c r="D448" t="s">
        <v>58</v>
      </c>
      <c r="E448" s="30">
        <v>51.3</v>
      </c>
      <c r="F448" s="19">
        <v>98.84</v>
      </c>
      <c r="G448" s="3"/>
      <c r="H448" s="3"/>
      <c r="I448" s="3"/>
      <c r="J448" s="40">
        <v>3.5</v>
      </c>
      <c r="K448" s="41">
        <v>14349</v>
      </c>
      <c r="L448" s="24">
        <v>117.2</v>
      </c>
      <c r="M448" s="42">
        <v>94.7</v>
      </c>
    </row>
    <row r="449" spans="1:13" x14ac:dyDescent="0.75">
      <c r="A449" t="s">
        <v>40</v>
      </c>
      <c r="B449" s="18">
        <v>2022</v>
      </c>
      <c r="C449" s="4">
        <v>4</v>
      </c>
      <c r="D449" t="s">
        <v>58</v>
      </c>
      <c r="E449" s="30">
        <v>51.9</v>
      </c>
      <c r="F449" s="19">
        <v>99.72</v>
      </c>
      <c r="G449" s="3"/>
      <c r="H449" s="3"/>
      <c r="I449" s="3"/>
      <c r="J449" s="40">
        <v>3.5</v>
      </c>
      <c r="K449" s="41">
        <v>14369</v>
      </c>
      <c r="L449" s="24">
        <v>104.6</v>
      </c>
      <c r="M449" s="42">
        <v>95.6</v>
      </c>
    </row>
    <row r="450" spans="1:13" x14ac:dyDescent="0.75">
      <c r="A450" t="s">
        <v>40</v>
      </c>
      <c r="B450" s="18">
        <v>2022</v>
      </c>
      <c r="C450" s="4">
        <v>5</v>
      </c>
      <c r="D450" t="s">
        <v>58</v>
      </c>
      <c r="E450" s="30">
        <v>50.8</v>
      </c>
      <c r="F450" s="19">
        <v>98.5</v>
      </c>
      <c r="G450" s="3"/>
      <c r="H450" s="3"/>
      <c r="I450" s="3"/>
      <c r="J450" s="40">
        <v>3.5</v>
      </c>
      <c r="K450" s="41">
        <v>14608</v>
      </c>
      <c r="L450" s="24">
        <v>113.3</v>
      </c>
      <c r="M450" s="42">
        <v>95.9</v>
      </c>
    </row>
    <row r="451" spans="1:13" x14ac:dyDescent="0.75">
      <c r="A451" t="s">
        <v>40</v>
      </c>
      <c r="B451" s="18">
        <v>2022</v>
      </c>
      <c r="C451" s="4">
        <v>6</v>
      </c>
      <c r="D451" t="s">
        <v>58</v>
      </c>
      <c r="E451" s="30">
        <v>50.2</v>
      </c>
      <c r="F451" s="19">
        <v>99.85</v>
      </c>
      <c r="G451" s="3"/>
      <c r="H451" s="3"/>
      <c r="I451" s="3"/>
      <c r="J451" s="40">
        <v>3.5</v>
      </c>
      <c r="K451" s="41">
        <v>14689</v>
      </c>
      <c r="L451" s="24">
        <v>122.7</v>
      </c>
      <c r="M451" s="42">
        <v>96.6</v>
      </c>
    </row>
    <row r="452" spans="1:13" x14ac:dyDescent="0.75">
      <c r="A452" t="s">
        <v>40</v>
      </c>
      <c r="B452" s="18">
        <v>2022</v>
      </c>
      <c r="C452" s="4">
        <v>7</v>
      </c>
      <c r="D452" t="s">
        <v>58</v>
      </c>
      <c r="E452" s="30">
        <v>51.3</v>
      </c>
      <c r="F452" s="19">
        <v>99.31</v>
      </c>
      <c r="G452" s="3"/>
      <c r="H452" s="3"/>
      <c r="I452" s="3"/>
      <c r="J452" s="40">
        <v>3.5</v>
      </c>
      <c r="K452" s="41">
        <v>14984</v>
      </c>
      <c r="L452" s="24">
        <v>111.9</v>
      </c>
      <c r="M452" s="42">
        <v>97</v>
      </c>
    </row>
    <row r="453" spans="1:13" x14ac:dyDescent="0.75">
      <c r="A453" t="s">
        <v>40</v>
      </c>
      <c r="B453" s="18">
        <v>2022</v>
      </c>
      <c r="C453" s="4">
        <v>8</v>
      </c>
      <c r="D453" t="s">
        <v>58</v>
      </c>
      <c r="E453" s="30">
        <v>51.7</v>
      </c>
      <c r="F453" s="19">
        <v>100.05</v>
      </c>
      <c r="G453" s="3"/>
      <c r="H453" s="3"/>
      <c r="I453" s="3"/>
      <c r="J453" s="40">
        <v>3.75</v>
      </c>
      <c r="K453" s="41">
        <v>14851</v>
      </c>
      <c r="L453" s="24">
        <v>100.4</v>
      </c>
      <c r="M453" s="42">
        <v>96.9</v>
      </c>
    </row>
    <row r="454" spans="1:13" x14ac:dyDescent="0.75">
      <c r="A454" t="s">
        <v>40</v>
      </c>
      <c r="B454" s="18">
        <v>2022</v>
      </c>
      <c r="C454" s="4">
        <v>9</v>
      </c>
      <c r="D454" t="s">
        <v>58</v>
      </c>
      <c r="E454" s="30">
        <v>53.7</v>
      </c>
      <c r="F454" s="19">
        <v>100.58</v>
      </c>
      <c r="G454" s="3"/>
      <c r="H454" s="3"/>
      <c r="I454" s="3"/>
      <c r="J454" s="40">
        <v>4.25</v>
      </c>
      <c r="K454" s="41">
        <v>14972</v>
      </c>
      <c r="L454" s="24">
        <v>89.8</v>
      </c>
      <c r="M454" s="42">
        <v>97.7</v>
      </c>
    </row>
    <row r="455" spans="1:13" x14ac:dyDescent="0.75">
      <c r="A455" t="s">
        <v>40</v>
      </c>
      <c r="B455" s="18">
        <v>2022</v>
      </c>
      <c r="C455" s="4">
        <v>10</v>
      </c>
      <c r="D455" t="s">
        <v>58</v>
      </c>
      <c r="E455" s="30">
        <v>51.8</v>
      </c>
      <c r="F455" s="19">
        <v>101.44</v>
      </c>
      <c r="G455" s="3"/>
      <c r="H455" s="3"/>
      <c r="I455" s="3"/>
      <c r="J455" s="40">
        <v>4.75</v>
      </c>
      <c r="K455" s="41">
        <v>15417</v>
      </c>
      <c r="L455" s="24">
        <v>93.3</v>
      </c>
      <c r="M455" s="42">
        <v>97.7</v>
      </c>
    </row>
    <row r="456" spans="1:13" x14ac:dyDescent="0.75">
      <c r="A456" t="s">
        <v>40</v>
      </c>
      <c r="B456" s="18">
        <v>2022</v>
      </c>
      <c r="C456" s="4">
        <v>11</v>
      </c>
      <c r="D456" t="s">
        <v>58</v>
      </c>
      <c r="E456" s="30">
        <v>50.3</v>
      </c>
      <c r="F456" s="19">
        <v>101.12</v>
      </c>
      <c r="G456" s="3"/>
      <c r="H456" s="3"/>
      <c r="I456" s="3"/>
      <c r="J456" s="40">
        <v>5.25</v>
      </c>
      <c r="K456" s="41">
        <v>15659</v>
      </c>
      <c r="L456" s="24">
        <v>91.4</v>
      </c>
      <c r="M456" s="42">
        <v>98</v>
      </c>
    </row>
    <row r="457" spans="1:13" x14ac:dyDescent="0.75">
      <c r="A457" t="s">
        <v>40</v>
      </c>
      <c r="B457" s="18">
        <v>2022</v>
      </c>
      <c r="C457" s="4">
        <v>12</v>
      </c>
      <c r="D457" t="s">
        <v>58</v>
      </c>
      <c r="E457" s="30">
        <v>50.9</v>
      </c>
      <c r="F457" s="19">
        <v>103.12</v>
      </c>
      <c r="G457" s="3"/>
      <c r="H457" s="3"/>
      <c r="I457" s="3"/>
      <c r="J457" s="40">
        <v>5.5</v>
      </c>
      <c r="K457" s="41">
        <v>15615</v>
      </c>
      <c r="L457" s="24">
        <v>80.900000000000006</v>
      </c>
      <c r="M457" s="42">
        <v>98.7</v>
      </c>
    </row>
    <row r="458" spans="1:13" x14ac:dyDescent="0.75">
      <c r="A458" t="s">
        <v>3</v>
      </c>
      <c r="B458" s="18">
        <v>2023</v>
      </c>
      <c r="C458" s="4">
        <v>1</v>
      </c>
      <c r="D458">
        <v>0</v>
      </c>
      <c r="E458" s="31">
        <v>51.3</v>
      </c>
      <c r="F458" s="19">
        <v>103.18</v>
      </c>
      <c r="G458" s="19">
        <v>69.77</v>
      </c>
      <c r="H458" s="19">
        <v>7.15</v>
      </c>
      <c r="I458" s="19">
        <v>569.66300000000001</v>
      </c>
      <c r="J458" s="40">
        <v>5.75</v>
      </c>
      <c r="K458" s="43">
        <v>15295</v>
      </c>
      <c r="L458" s="24">
        <v>82.5</v>
      </c>
      <c r="M458" s="42">
        <v>99.3</v>
      </c>
    </row>
    <row r="459" spans="1:13" x14ac:dyDescent="0.75">
      <c r="A459" t="s">
        <v>3</v>
      </c>
      <c r="B459" s="18">
        <v>2023</v>
      </c>
      <c r="C459" s="4">
        <v>2</v>
      </c>
      <c r="D459">
        <v>0</v>
      </c>
      <c r="E459" s="31">
        <v>51.2</v>
      </c>
      <c r="F459" s="19">
        <v>103.7</v>
      </c>
      <c r="G459" s="19">
        <v>66.819999999999993</v>
      </c>
      <c r="H459" s="19">
        <v>1.66</v>
      </c>
      <c r="I459" s="19">
        <v>600.70399999999995</v>
      </c>
      <c r="J459" s="40">
        <v>5.75</v>
      </c>
      <c r="K459" s="43">
        <v>15126</v>
      </c>
      <c r="L459" s="24">
        <v>82.6</v>
      </c>
      <c r="M459" s="42">
        <v>99.6</v>
      </c>
    </row>
    <row r="460" spans="1:13" x14ac:dyDescent="0.75">
      <c r="A460" t="s">
        <v>3</v>
      </c>
      <c r="B460" s="18">
        <v>2023</v>
      </c>
      <c r="C460" s="4">
        <v>3</v>
      </c>
      <c r="D460">
        <v>0</v>
      </c>
      <c r="E460" s="31">
        <v>51.9</v>
      </c>
      <c r="F460" s="19">
        <v>103.27</v>
      </c>
      <c r="G460" s="19">
        <v>72.040000000000006</v>
      </c>
      <c r="H460" s="19">
        <v>23.23</v>
      </c>
      <c r="I460" s="19">
        <v>644.33699999999999</v>
      </c>
      <c r="J460" s="40">
        <v>5.75</v>
      </c>
      <c r="K460" s="43">
        <v>15301</v>
      </c>
      <c r="L460" s="24">
        <v>78.400000000000006</v>
      </c>
      <c r="M460" s="42">
        <v>99.9</v>
      </c>
    </row>
    <row r="461" spans="1:13" x14ac:dyDescent="0.75">
      <c r="A461" t="s">
        <v>3</v>
      </c>
      <c r="B461" s="18">
        <v>2023</v>
      </c>
      <c r="C461" s="4">
        <v>4</v>
      </c>
      <c r="D461">
        <v>0</v>
      </c>
      <c r="E461" s="31">
        <v>52.7</v>
      </c>
      <c r="F461" s="19">
        <v>103.43</v>
      </c>
      <c r="G461" s="19">
        <v>55.41</v>
      </c>
      <c r="H461" s="19">
        <v>0.01</v>
      </c>
      <c r="I461" s="19">
        <v>649.10799999999995</v>
      </c>
      <c r="J461" s="40">
        <v>5.75</v>
      </c>
      <c r="K461" s="43">
        <v>14867</v>
      </c>
      <c r="L461" s="24">
        <v>84.6</v>
      </c>
      <c r="M461" s="42">
        <v>100</v>
      </c>
    </row>
    <row r="462" spans="1:13" x14ac:dyDescent="0.75">
      <c r="A462" t="s">
        <v>3</v>
      </c>
      <c r="B462" s="18">
        <v>2023</v>
      </c>
      <c r="C462" s="4">
        <v>5</v>
      </c>
      <c r="D462">
        <v>0</v>
      </c>
      <c r="E462" s="31">
        <v>50.3</v>
      </c>
      <c r="F462" s="19">
        <v>103.41</v>
      </c>
      <c r="G462" s="19">
        <v>51.11</v>
      </c>
      <c r="H462" s="19">
        <v>5.27</v>
      </c>
      <c r="I462" s="19">
        <v>683.73199999999997</v>
      </c>
      <c r="J462" s="40">
        <v>5.75</v>
      </c>
      <c r="K462" s="43">
        <v>14811</v>
      </c>
      <c r="L462" s="24">
        <v>75.5</v>
      </c>
      <c r="M462" s="42">
        <v>100.2</v>
      </c>
    </row>
    <row r="463" spans="1:13" x14ac:dyDescent="0.75">
      <c r="A463" t="s">
        <v>3</v>
      </c>
      <c r="B463" s="18">
        <v>2023</v>
      </c>
      <c r="C463" s="4">
        <v>6</v>
      </c>
      <c r="D463">
        <v>11</v>
      </c>
      <c r="E463" s="32">
        <v>52.5</v>
      </c>
      <c r="F463" s="19">
        <v>103.67</v>
      </c>
      <c r="G463" s="19">
        <v>63.16</v>
      </c>
      <c r="H463" s="19">
        <v>5.68</v>
      </c>
      <c r="I463" s="19">
        <v>708.68200000000002</v>
      </c>
      <c r="J463" s="40">
        <v>5.75</v>
      </c>
      <c r="K463" s="43">
        <v>14932</v>
      </c>
      <c r="L463" s="24">
        <v>74.8</v>
      </c>
      <c r="M463" s="42">
        <v>100.3</v>
      </c>
    </row>
    <row r="464" spans="1:13" x14ac:dyDescent="0.75">
      <c r="A464" t="s">
        <v>3</v>
      </c>
      <c r="B464" s="18">
        <v>2023</v>
      </c>
      <c r="C464" s="4">
        <v>7</v>
      </c>
      <c r="D464">
        <v>80</v>
      </c>
      <c r="E464" s="32">
        <v>53.3</v>
      </c>
      <c r="F464" s="19">
        <v>104.14</v>
      </c>
      <c r="G464" s="19">
        <v>44.72</v>
      </c>
      <c r="H464" s="19">
        <v>10.59</v>
      </c>
      <c r="I464" s="19">
        <v>709.29100000000005</v>
      </c>
      <c r="J464" s="40">
        <v>5.75</v>
      </c>
      <c r="K464" s="43">
        <v>15040</v>
      </c>
      <c r="L464" s="24">
        <v>80.099999999999994</v>
      </c>
      <c r="M464" s="42">
        <v>100.5</v>
      </c>
    </row>
    <row r="465" spans="1:13" x14ac:dyDescent="0.75">
      <c r="A465" t="s">
        <v>3</v>
      </c>
      <c r="B465" s="18">
        <v>2023</v>
      </c>
      <c r="C465" s="4">
        <v>8</v>
      </c>
      <c r="D465">
        <v>95</v>
      </c>
      <c r="E465" s="32">
        <v>53.9</v>
      </c>
      <c r="F465" s="19">
        <v>104.47</v>
      </c>
      <c r="G465" s="19">
        <v>47.24</v>
      </c>
      <c r="H465" s="19">
        <v>11.2</v>
      </c>
      <c r="I465" s="19">
        <v>703.10199999999998</v>
      </c>
      <c r="J465" s="40">
        <v>5.75</v>
      </c>
      <c r="K465" s="43">
        <v>15245</v>
      </c>
      <c r="L465" s="24">
        <v>86.1</v>
      </c>
      <c r="M465" s="42">
        <v>100.5</v>
      </c>
    </row>
    <row r="466" spans="1:13" x14ac:dyDescent="0.75">
      <c r="A466" t="s">
        <v>3</v>
      </c>
      <c r="B466" s="18">
        <v>2023</v>
      </c>
      <c r="C466" s="4">
        <v>9</v>
      </c>
      <c r="D466">
        <v>95</v>
      </c>
      <c r="E466" s="32">
        <v>52.3</v>
      </c>
      <c r="F466" s="19">
        <v>104.73</v>
      </c>
      <c r="G466" s="19">
        <v>31.78</v>
      </c>
      <c r="H466" s="19">
        <v>8.14</v>
      </c>
      <c r="I466" s="19">
        <v>673.80899999999997</v>
      </c>
      <c r="J466" s="40">
        <v>5.75</v>
      </c>
      <c r="K466" s="43">
        <v>15354</v>
      </c>
      <c r="L466" s="24" t="s">
        <v>64</v>
      </c>
      <c r="M466" s="42">
        <v>100.9</v>
      </c>
    </row>
    <row r="467" spans="1:13" x14ac:dyDescent="0.75">
      <c r="A467" t="s">
        <v>3</v>
      </c>
      <c r="B467" s="18">
        <v>2023</v>
      </c>
      <c r="C467" s="4">
        <v>10</v>
      </c>
      <c r="D467">
        <v>95</v>
      </c>
      <c r="E467" s="32">
        <v>51.5</v>
      </c>
      <c r="F467" s="19">
        <v>104.44</v>
      </c>
      <c r="G467" s="19">
        <v>40.880000000000003</v>
      </c>
      <c r="H467" s="19">
        <v>9.4700000000000006</v>
      </c>
      <c r="I467" s="19">
        <v>671.64400000000001</v>
      </c>
      <c r="J467" s="40">
        <v>6</v>
      </c>
      <c r="K467" s="43">
        <v>15741</v>
      </c>
      <c r="L467" s="24">
        <v>90.6</v>
      </c>
      <c r="M467" s="42">
        <v>101.2</v>
      </c>
    </row>
    <row r="468" spans="1:13" x14ac:dyDescent="0.75">
      <c r="A468" t="s">
        <v>3</v>
      </c>
      <c r="B468" s="18">
        <v>2023</v>
      </c>
      <c r="C468" s="4">
        <v>11</v>
      </c>
      <c r="D468">
        <v>95</v>
      </c>
      <c r="E468" s="32">
        <v>51.7</v>
      </c>
      <c r="F468" s="19">
        <v>104.97</v>
      </c>
      <c r="G468" s="19">
        <v>24.04</v>
      </c>
      <c r="H468" s="19">
        <v>26.3</v>
      </c>
      <c r="I468" s="19">
        <v>646.21799999999996</v>
      </c>
      <c r="J468" s="40">
        <v>6</v>
      </c>
      <c r="K468" s="43">
        <v>15617</v>
      </c>
      <c r="L468" s="24">
        <v>82.9</v>
      </c>
      <c r="M468" s="42">
        <v>101.4</v>
      </c>
    </row>
    <row r="469" spans="1:13" x14ac:dyDescent="0.75">
      <c r="A469" t="s">
        <v>3</v>
      </c>
      <c r="B469" s="18">
        <v>2023</v>
      </c>
      <c r="C469" s="4">
        <v>12</v>
      </c>
      <c r="D469">
        <v>195</v>
      </c>
      <c r="E469" s="32">
        <v>52.2</v>
      </c>
      <c r="F469" s="19">
        <v>104.93</v>
      </c>
      <c r="G469" s="19">
        <v>42.29</v>
      </c>
      <c r="H469" s="19">
        <v>39.33</v>
      </c>
      <c r="I469" s="19">
        <v>605.39700000000005</v>
      </c>
      <c r="J469" s="40">
        <v>6</v>
      </c>
      <c r="K469" s="43">
        <v>15513</v>
      </c>
      <c r="L469" s="24">
        <v>77.599999999999994</v>
      </c>
      <c r="M469" s="42">
        <v>101.8</v>
      </c>
    </row>
    <row r="470" spans="1:13" x14ac:dyDescent="0.75">
      <c r="A470" t="s">
        <v>4</v>
      </c>
      <c r="B470" s="18">
        <v>2023</v>
      </c>
      <c r="C470" s="4">
        <v>1</v>
      </c>
      <c r="D470">
        <v>0</v>
      </c>
      <c r="E470" s="19">
        <v>51.3</v>
      </c>
      <c r="F470" s="29">
        <v>103.21</v>
      </c>
      <c r="G470" s="19">
        <v>803.39</v>
      </c>
      <c r="H470" s="26">
        <v>486.34</v>
      </c>
      <c r="I470" s="19">
        <v>5286.8329999999996</v>
      </c>
      <c r="J470" s="40">
        <v>5.75</v>
      </c>
      <c r="K470" s="43">
        <v>15295</v>
      </c>
      <c r="L470" s="24">
        <v>82.5</v>
      </c>
      <c r="M470" s="42">
        <v>99.3</v>
      </c>
    </row>
    <row r="471" spans="1:13" x14ac:dyDescent="0.75">
      <c r="A471" t="s">
        <v>4</v>
      </c>
      <c r="B471" s="18">
        <v>2023</v>
      </c>
      <c r="C471" s="4">
        <v>2</v>
      </c>
      <c r="D471">
        <v>0</v>
      </c>
      <c r="E471" s="19">
        <v>51.2</v>
      </c>
      <c r="F471" s="29">
        <v>103.29</v>
      </c>
      <c r="G471" s="19">
        <v>910.63</v>
      </c>
      <c r="H471" s="26">
        <v>376.18</v>
      </c>
      <c r="I471" s="19">
        <v>5416.5439999999999</v>
      </c>
      <c r="J471" s="40">
        <v>5.75</v>
      </c>
      <c r="K471" s="43">
        <v>15126</v>
      </c>
      <c r="L471" s="24">
        <v>82.6</v>
      </c>
      <c r="M471" s="42">
        <v>99.6</v>
      </c>
    </row>
    <row r="472" spans="1:13" x14ac:dyDescent="0.75">
      <c r="A472" t="s">
        <v>4</v>
      </c>
      <c r="B472" s="18">
        <v>2023</v>
      </c>
      <c r="C472" s="4">
        <v>3</v>
      </c>
      <c r="D472">
        <v>0</v>
      </c>
      <c r="E472" s="19">
        <v>51.9</v>
      </c>
      <c r="F472" s="29">
        <v>102.86</v>
      </c>
      <c r="G472" s="19">
        <v>897.53</v>
      </c>
      <c r="H472" s="26">
        <v>516.57000000000005</v>
      </c>
      <c r="I472" s="19">
        <v>5152.0619999999999</v>
      </c>
      <c r="J472" s="40">
        <v>5.75</v>
      </c>
      <c r="K472" s="43">
        <v>15301</v>
      </c>
      <c r="L472" s="24">
        <v>78.400000000000006</v>
      </c>
      <c r="M472" s="42">
        <v>99.9</v>
      </c>
    </row>
    <row r="473" spans="1:13" x14ac:dyDescent="0.75">
      <c r="A473" t="s">
        <v>4</v>
      </c>
      <c r="B473" s="18">
        <v>2023</v>
      </c>
      <c r="C473" s="4">
        <v>4</v>
      </c>
      <c r="D473">
        <v>0</v>
      </c>
      <c r="E473" s="19">
        <v>52.7</v>
      </c>
      <c r="F473" s="29">
        <v>102.53</v>
      </c>
      <c r="G473" s="19">
        <v>684.42</v>
      </c>
      <c r="H473" s="26">
        <v>392.01</v>
      </c>
      <c r="I473" s="19">
        <v>5273.0159999999996</v>
      </c>
      <c r="J473" s="40">
        <v>5.75</v>
      </c>
      <c r="K473" s="43">
        <v>14867</v>
      </c>
      <c r="L473" s="24">
        <v>84.6</v>
      </c>
      <c r="M473" s="42">
        <v>100</v>
      </c>
    </row>
    <row r="474" spans="1:13" x14ac:dyDescent="0.75">
      <c r="A474" t="s">
        <v>4</v>
      </c>
      <c r="B474" s="18">
        <v>2023</v>
      </c>
      <c r="C474" s="4">
        <v>5</v>
      </c>
      <c r="D474">
        <v>0</v>
      </c>
      <c r="E474" s="19">
        <v>50.3</v>
      </c>
      <c r="F474" s="29">
        <v>102.72</v>
      </c>
      <c r="G474" s="19">
        <v>820.45</v>
      </c>
      <c r="H474" s="26">
        <v>534.19000000000005</v>
      </c>
      <c r="I474" s="19">
        <v>5249.11</v>
      </c>
      <c r="J474" s="40">
        <v>5.75</v>
      </c>
      <c r="K474" s="43">
        <v>14811</v>
      </c>
      <c r="L474" s="24">
        <v>75.5</v>
      </c>
      <c r="M474" s="42">
        <v>100.2</v>
      </c>
    </row>
    <row r="475" spans="1:13" x14ac:dyDescent="0.75">
      <c r="A475" t="s">
        <v>4</v>
      </c>
      <c r="B475" s="18">
        <v>2023</v>
      </c>
      <c r="C475" s="4">
        <v>6</v>
      </c>
      <c r="D475">
        <v>74</v>
      </c>
      <c r="E475" s="33">
        <v>52.5</v>
      </c>
      <c r="F475" s="29">
        <v>103.29</v>
      </c>
      <c r="G475" s="19">
        <v>905.68</v>
      </c>
      <c r="H475" s="26">
        <v>476.45</v>
      </c>
      <c r="I475" s="19">
        <v>4785.5659999999998</v>
      </c>
      <c r="J475" s="40">
        <v>5.75</v>
      </c>
      <c r="K475" s="43">
        <v>14932</v>
      </c>
      <c r="L475" s="24">
        <v>74.8</v>
      </c>
      <c r="M475" s="42">
        <v>100.3</v>
      </c>
    </row>
    <row r="476" spans="1:13" x14ac:dyDescent="0.75">
      <c r="A476" t="s">
        <v>4</v>
      </c>
      <c r="B476" s="18">
        <v>2023</v>
      </c>
      <c r="C476" s="4">
        <v>7</v>
      </c>
      <c r="D476">
        <v>76</v>
      </c>
      <c r="E476" s="33">
        <v>53.3</v>
      </c>
      <c r="F476" s="29">
        <v>103.73</v>
      </c>
      <c r="G476" s="19">
        <v>894.29</v>
      </c>
      <c r="H476" s="26">
        <v>566.55999999999995</v>
      </c>
      <c r="I476" s="19">
        <v>4974.8779999999997</v>
      </c>
      <c r="J476" s="40">
        <v>5.75</v>
      </c>
      <c r="K476" s="43">
        <v>15040</v>
      </c>
      <c r="L476" s="24">
        <v>80.099999999999994</v>
      </c>
      <c r="M476" s="42">
        <v>100.5</v>
      </c>
    </row>
    <row r="477" spans="1:13" x14ac:dyDescent="0.75">
      <c r="A477" t="s">
        <v>4</v>
      </c>
      <c r="B477" s="18">
        <v>2023</v>
      </c>
      <c r="C477" s="4">
        <v>8</v>
      </c>
      <c r="D477">
        <v>90</v>
      </c>
      <c r="E477" s="33">
        <v>53.9</v>
      </c>
      <c r="F477" s="29">
        <v>103.79</v>
      </c>
      <c r="G477" s="19">
        <v>904.77</v>
      </c>
      <c r="H477" s="26">
        <v>482.53</v>
      </c>
      <c r="I477" s="19">
        <v>4960.0889999999999</v>
      </c>
      <c r="J477" s="40">
        <v>5.75</v>
      </c>
      <c r="K477" s="43">
        <v>15245</v>
      </c>
      <c r="L477" s="24">
        <v>86.1</v>
      </c>
      <c r="M477" s="42">
        <v>100.5</v>
      </c>
    </row>
    <row r="478" spans="1:13" x14ac:dyDescent="0.75">
      <c r="A478" t="s">
        <v>4</v>
      </c>
      <c r="B478" s="18">
        <v>2023</v>
      </c>
      <c r="C478" s="4">
        <v>9</v>
      </c>
      <c r="D478">
        <v>90</v>
      </c>
      <c r="E478" s="33">
        <v>52.3</v>
      </c>
      <c r="F478" s="29">
        <v>104.04</v>
      </c>
      <c r="G478" s="19">
        <v>863.32</v>
      </c>
      <c r="H478" s="26">
        <v>462.76</v>
      </c>
      <c r="I478" s="19">
        <v>5001.1030000000001</v>
      </c>
      <c r="J478" s="40">
        <v>5.75</v>
      </c>
      <c r="K478" s="43">
        <v>15354</v>
      </c>
      <c r="L478" s="24" t="s">
        <v>64</v>
      </c>
      <c r="M478" s="42">
        <v>100.9</v>
      </c>
    </row>
    <row r="479" spans="1:13" x14ac:dyDescent="0.75">
      <c r="A479" t="s">
        <v>4</v>
      </c>
      <c r="B479" s="18">
        <v>2023</v>
      </c>
      <c r="C479" s="4">
        <v>10</v>
      </c>
      <c r="D479">
        <v>104</v>
      </c>
      <c r="E479" s="33">
        <v>51.5</v>
      </c>
      <c r="F479" s="29">
        <v>103.99</v>
      </c>
      <c r="G479" s="19">
        <v>940.71</v>
      </c>
      <c r="H479" s="26">
        <v>473.64</v>
      </c>
      <c r="I479" s="19">
        <v>4917.1440000000002</v>
      </c>
      <c r="J479" s="40">
        <v>6</v>
      </c>
      <c r="K479" s="43">
        <v>15741</v>
      </c>
      <c r="L479" s="24">
        <v>90.6</v>
      </c>
      <c r="M479" s="42">
        <v>101.2</v>
      </c>
    </row>
    <row r="480" spans="1:13" x14ac:dyDescent="0.75">
      <c r="A480" t="s">
        <v>4</v>
      </c>
      <c r="B480" s="18">
        <v>2023</v>
      </c>
      <c r="C480" s="4">
        <v>11</v>
      </c>
      <c r="D480">
        <v>1035</v>
      </c>
      <c r="E480" s="33">
        <v>51.7</v>
      </c>
      <c r="F480" s="29">
        <v>104.65</v>
      </c>
      <c r="G480" s="19">
        <v>863.91</v>
      </c>
      <c r="H480" s="26">
        <v>557.45000000000005</v>
      </c>
      <c r="I480" s="19">
        <v>4814.009</v>
      </c>
      <c r="J480" s="40">
        <v>6</v>
      </c>
      <c r="K480" s="43">
        <v>15617</v>
      </c>
      <c r="L480" s="24">
        <v>82.9</v>
      </c>
      <c r="M480" s="42">
        <v>101.4</v>
      </c>
    </row>
    <row r="481" spans="1:13" x14ac:dyDescent="0.75">
      <c r="A481" t="s">
        <v>4</v>
      </c>
      <c r="B481" s="18">
        <v>2023</v>
      </c>
      <c r="C481" s="4">
        <v>12</v>
      </c>
      <c r="D481">
        <v>1247</v>
      </c>
      <c r="E481" s="33">
        <v>52.2</v>
      </c>
      <c r="F481" s="29">
        <v>105.02</v>
      </c>
      <c r="G481" s="19">
        <v>749.76</v>
      </c>
      <c r="H481" s="26">
        <v>496.17</v>
      </c>
      <c r="I481" s="19">
        <v>4624.2340000000004</v>
      </c>
      <c r="J481" s="40">
        <v>6</v>
      </c>
      <c r="K481" s="43">
        <v>15513</v>
      </c>
      <c r="L481" s="24">
        <v>77.599999999999994</v>
      </c>
      <c r="M481" s="42">
        <v>101.8</v>
      </c>
    </row>
    <row r="482" spans="1:13" x14ac:dyDescent="0.75">
      <c r="A482" t="s">
        <v>5</v>
      </c>
      <c r="B482" s="18">
        <v>2023</v>
      </c>
      <c r="C482" s="4">
        <v>1</v>
      </c>
      <c r="D482">
        <v>0</v>
      </c>
      <c r="E482" s="19">
        <v>51.3</v>
      </c>
      <c r="F482" s="29">
        <v>102.97</v>
      </c>
      <c r="G482" s="26">
        <v>165.47</v>
      </c>
      <c r="H482" s="29">
        <v>22.23</v>
      </c>
      <c r="I482" s="19">
        <v>1172.4169999999999</v>
      </c>
      <c r="J482" s="40">
        <v>5.75</v>
      </c>
      <c r="K482" s="43">
        <v>15295</v>
      </c>
      <c r="L482" s="24">
        <v>82.5</v>
      </c>
      <c r="M482" s="42">
        <v>99.3</v>
      </c>
    </row>
    <row r="483" spans="1:13" x14ac:dyDescent="0.75">
      <c r="A483" t="s">
        <v>5</v>
      </c>
      <c r="B483" s="18">
        <v>2023</v>
      </c>
      <c r="C483" s="4">
        <v>2</v>
      </c>
      <c r="D483">
        <v>0</v>
      </c>
      <c r="E483" s="19">
        <v>51.2</v>
      </c>
      <c r="F483" s="29">
        <v>103.43</v>
      </c>
      <c r="G483" s="26">
        <v>222.44</v>
      </c>
      <c r="H483" s="29">
        <v>26.23</v>
      </c>
      <c r="I483" s="19">
        <v>1217.7940000000001</v>
      </c>
      <c r="J483" s="40">
        <v>5.75</v>
      </c>
      <c r="K483" s="43">
        <v>15126</v>
      </c>
      <c r="L483" s="24">
        <v>82.6</v>
      </c>
      <c r="M483" s="42">
        <v>99.6</v>
      </c>
    </row>
    <row r="484" spans="1:13" x14ac:dyDescent="0.75">
      <c r="A484" t="s">
        <v>5</v>
      </c>
      <c r="B484" s="18">
        <v>2023</v>
      </c>
      <c r="C484" s="4">
        <v>3</v>
      </c>
      <c r="D484">
        <v>0</v>
      </c>
      <c r="E484" s="19">
        <v>51.9</v>
      </c>
      <c r="F484" s="29">
        <v>103.47</v>
      </c>
      <c r="G484" s="26">
        <v>189.55</v>
      </c>
      <c r="H484" s="29">
        <v>49.24</v>
      </c>
      <c r="I484" s="19">
        <v>1199.07</v>
      </c>
      <c r="J484" s="40">
        <v>5.75</v>
      </c>
      <c r="K484" s="43">
        <v>15301</v>
      </c>
      <c r="L484" s="24">
        <v>78.400000000000006</v>
      </c>
      <c r="M484" s="42">
        <v>99.9</v>
      </c>
    </row>
    <row r="485" spans="1:13" x14ac:dyDescent="0.75">
      <c r="A485" t="s">
        <v>5</v>
      </c>
      <c r="B485" s="18">
        <v>2023</v>
      </c>
      <c r="C485" s="4">
        <v>4</v>
      </c>
      <c r="D485">
        <v>0</v>
      </c>
      <c r="E485" s="19">
        <v>52.7</v>
      </c>
      <c r="F485" s="29">
        <v>103.28</v>
      </c>
      <c r="G485" s="26">
        <v>157.79</v>
      </c>
      <c r="H485" s="29">
        <v>46.17</v>
      </c>
      <c r="I485" s="19">
        <v>1288.2639999999999</v>
      </c>
      <c r="J485" s="40">
        <v>5.75</v>
      </c>
      <c r="K485" s="43">
        <v>14867</v>
      </c>
      <c r="L485" s="24">
        <v>84.6</v>
      </c>
      <c r="M485" s="42">
        <v>100</v>
      </c>
    </row>
    <row r="486" spans="1:13" x14ac:dyDescent="0.75">
      <c r="A486" t="s">
        <v>5</v>
      </c>
      <c r="B486" s="18">
        <v>2023</v>
      </c>
      <c r="C486" s="4">
        <v>5</v>
      </c>
      <c r="D486">
        <v>0</v>
      </c>
      <c r="E486" s="19">
        <v>50.3</v>
      </c>
      <c r="F486" s="29">
        <v>103.46</v>
      </c>
      <c r="G486" s="26">
        <v>157.05000000000001</v>
      </c>
      <c r="H486" s="29">
        <v>28</v>
      </c>
      <c r="I486" s="19">
        <v>1295.7180000000001</v>
      </c>
      <c r="J486" s="40">
        <v>5.75</v>
      </c>
      <c r="K486" s="43">
        <v>14811</v>
      </c>
      <c r="L486" s="24">
        <v>75.5</v>
      </c>
      <c r="M486" s="42">
        <v>100.2</v>
      </c>
    </row>
    <row r="487" spans="1:13" x14ac:dyDescent="0.75">
      <c r="A487" t="s">
        <v>5</v>
      </c>
      <c r="B487" s="18">
        <v>2023</v>
      </c>
      <c r="C487" s="4">
        <v>6</v>
      </c>
      <c r="D487">
        <v>0</v>
      </c>
      <c r="E487" s="33">
        <v>52.5</v>
      </c>
      <c r="F487" s="29">
        <v>103.73</v>
      </c>
      <c r="G487" s="26">
        <v>248.81</v>
      </c>
      <c r="H487" s="29">
        <v>34.5</v>
      </c>
      <c r="I487" s="19">
        <v>1204.0340000000001</v>
      </c>
      <c r="J487" s="40">
        <v>5.75</v>
      </c>
      <c r="K487" s="43">
        <v>14932</v>
      </c>
      <c r="L487" s="24">
        <v>74.8</v>
      </c>
      <c r="M487" s="42">
        <v>100.3</v>
      </c>
    </row>
    <row r="488" spans="1:13" x14ac:dyDescent="0.75">
      <c r="A488" t="s">
        <v>5</v>
      </c>
      <c r="B488" s="18">
        <v>2023</v>
      </c>
      <c r="C488" s="4">
        <v>7</v>
      </c>
      <c r="D488">
        <v>0</v>
      </c>
      <c r="E488" s="33">
        <v>53.3</v>
      </c>
      <c r="F488" s="29">
        <v>104.22</v>
      </c>
      <c r="G488" s="26">
        <v>226.45</v>
      </c>
      <c r="H488" s="29">
        <v>27.02</v>
      </c>
      <c r="I488" s="19">
        <v>1308.27</v>
      </c>
      <c r="J488" s="40">
        <v>5.75</v>
      </c>
      <c r="K488" s="43">
        <v>15040</v>
      </c>
      <c r="L488" s="24">
        <v>80.099999999999994</v>
      </c>
      <c r="M488" s="42">
        <v>100.5</v>
      </c>
    </row>
    <row r="489" spans="1:13" x14ac:dyDescent="0.75">
      <c r="A489" t="s">
        <v>5</v>
      </c>
      <c r="B489" s="18">
        <v>2023</v>
      </c>
      <c r="C489" s="4">
        <v>8</v>
      </c>
      <c r="D489">
        <v>53</v>
      </c>
      <c r="E489" s="33">
        <v>53.9</v>
      </c>
      <c r="F489" s="29">
        <v>104.27</v>
      </c>
      <c r="G489" s="26">
        <v>223.21</v>
      </c>
      <c r="H489" s="29">
        <v>35.89</v>
      </c>
      <c r="I489" s="19">
        <v>1350.7860000000001</v>
      </c>
      <c r="J489" s="40">
        <v>5.75</v>
      </c>
      <c r="K489" s="43">
        <v>15245</v>
      </c>
      <c r="L489" s="24">
        <v>86.1</v>
      </c>
      <c r="M489" s="42">
        <v>100.5</v>
      </c>
    </row>
    <row r="490" spans="1:13" x14ac:dyDescent="0.75">
      <c r="A490" t="s">
        <v>5</v>
      </c>
      <c r="B490" s="18">
        <v>2023</v>
      </c>
      <c r="C490" s="4">
        <v>9</v>
      </c>
      <c r="D490">
        <v>53</v>
      </c>
      <c r="E490" s="33">
        <v>52.3</v>
      </c>
      <c r="F490" s="29">
        <v>104.53</v>
      </c>
      <c r="G490" s="26">
        <v>185.95</v>
      </c>
      <c r="H490" s="29">
        <v>18.54</v>
      </c>
      <c r="I490" s="19">
        <v>1273.7760000000001</v>
      </c>
      <c r="J490" s="40">
        <v>5.75</v>
      </c>
      <c r="K490" s="43">
        <v>15354</v>
      </c>
      <c r="L490" s="24" t="s">
        <v>64</v>
      </c>
      <c r="M490" s="42">
        <v>100.9</v>
      </c>
    </row>
    <row r="491" spans="1:13" x14ac:dyDescent="0.75">
      <c r="A491" t="s">
        <v>5</v>
      </c>
      <c r="B491" s="18">
        <v>2023</v>
      </c>
      <c r="C491" s="4">
        <v>10</v>
      </c>
      <c r="D491">
        <v>53</v>
      </c>
      <c r="E491" s="33">
        <v>51.5</v>
      </c>
      <c r="F491" s="29">
        <v>104.52</v>
      </c>
      <c r="G491" s="26">
        <v>193.53</v>
      </c>
      <c r="H491" s="29">
        <v>43.11</v>
      </c>
      <c r="I491" s="19">
        <v>1298.6600000000001</v>
      </c>
      <c r="J491" s="40">
        <v>6</v>
      </c>
      <c r="K491" s="43">
        <v>15741</v>
      </c>
      <c r="L491" s="24">
        <v>90.6</v>
      </c>
      <c r="M491" s="42">
        <v>101.2</v>
      </c>
    </row>
    <row r="492" spans="1:13" x14ac:dyDescent="0.75">
      <c r="A492" t="s">
        <v>5</v>
      </c>
      <c r="B492" s="18">
        <v>2023</v>
      </c>
      <c r="C492" s="4">
        <v>11</v>
      </c>
      <c r="D492">
        <v>68</v>
      </c>
      <c r="E492" s="33">
        <v>51.7</v>
      </c>
      <c r="F492" s="29">
        <v>105.68</v>
      </c>
      <c r="G492" s="26">
        <v>233.05</v>
      </c>
      <c r="H492" s="29">
        <v>38.01</v>
      </c>
      <c r="I492" s="19">
        <v>1295.04</v>
      </c>
      <c r="J492" s="40">
        <v>6</v>
      </c>
      <c r="K492" s="43">
        <v>15617</v>
      </c>
      <c r="L492" s="24">
        <v>82.9</v>
      </c>
      <c r="M492" s="42">
        <v>101.4</v>
      </c>
    </row>
    <row r="493" spans="1:13" x14ac:dyDescent="0.75">
      <c r="A493" t="s">
        <v>5</v>
      </c>
      <c r="B493" s="18">
        <v>2023</v>
      </c>
      <c r="C493" s="4">
        <v>12</v>
      </c>
      <c r="D493">
        <v>465</v>
      </c>
      <c r="E493" s="33">
        <v>52.2</v>
      </c>
      <c r="F493" s="29">
        <v>105.96</v>
      </c>
      <c r="G493" s="26">
        <v>163.35</v>
      </c>
      <c r="H493" s="29">
        <v>30.64</v>
      </c>
      <c r="I493" s="19">
        <v>1183.0350000000001</v>
      </c>
      <c r="J493" s="40">
        <v>6</v>
      </c>
      <c r="K493" s="43">
        <v>15513</v>
      </c>
      <c r="L493" s="24">
        <v>77.599999999999994</v>
      </c>
      <c r="M493" s="42">
        <v>101.8</v>
      </c>
    </row>
    <row r="494" spans="1:13" x14ac:dyDescent="0.75">
      <c r="A494" t="s">
        <v>6</v>
      </c>
      <c r="B494" s="18">
        <v>2023</v>
      </c>
      <c r="C494" s="4">
        <v>1</v>
      </c>
      <c r="D494">
        <v>0</v>
      </c>
      <c r="E494" s="19">
        <v>51.3</v>
      </c>
      <c r="F494" s="26">
        <v>103.35</v>
      </c>
      <c r="G494" s="29">
        <v>1684.29</v>
      </c>
      <c r="H494" s="29">
        <v>331.91</v>
      </c>
      <c r="I494" s="19">
        <v>1797.2439999999999</v>
      </c>
      <c r="J494" s="40">
        <v>5.75</v>
      </c>
      <c r="K494" s="43">
        <v>15295</v>
      </c>
      <c r="L494" s="24">
        <v>82.5</v>
      </c>
      <c r="M494" s="42">
        <v>99.3</v>
      </c>
    </row>
    <row r="495" spans="1:13" x14ac:dyDescent="0.75">
      <c r="A495" t="s">
        <v>6</v>
      </c>
      <c r="B495" s="18">
        <v>2023</v>
      </c>
      <c r="C495" s="4">
        <v>2</v>
      </c>
      <c r="D495">
        <v>0</v>
      </c>
      <c r="E495" s="19">
        <v>51.2</v>
      </c>
      <c r="F495" s="26">
        <v>103.44</v>
      </c>
      <c r="G495" s="29">
        <v>1587.63</v>
      </c>
      <c r="H495" s="29">
        <v>181.31</v>
      </c>
      <c r="I495" s="19">
        <v>1867.3689999999999</v>
      </c>
      <c r="J495" s="40">
        <v>5.75</v>
      </c>
      <c r="K495" s="43">
        <v>15126</v>
      </c>
      <c r="L495" s="24">
        <v>82.6</v>
      </c>
      <c r="M495" s="42">
        <v>99.6</v>
      </c>
    </row>
    <row r="496" spans="1:13" x14ac:dyDescent="0.75">
      <c r="A496" t="s">
        <v>6</v>
      </c>
      <c r="B496" s="18">
        <v>2023</v>
      </c>
      <c r="C496" s="4">
        <v>3</v>
      </c>
      <c r="D496">
        <v>109</v>
      </c>
      <c r="E496" s="19">
        <v>51.9</v>
      </c>
      <c r="F496" s="26">
        <v>103.48</v>
      </c>
      <c r="G496" s="29">
        <v>1463.09</v>
      </c>
      <c r="H496" s="29">
        <v>195.67</v>
      </c>
      <c r="I496" s="19">
        <v>1787.816</v>
      </c>
      <c r="J496" s="40">
        <v>5.75</v>
      </c>
      <c r="K496" s="43">
        <v>15301</v>
      </c>
      <c r="L496" s="24">
        <v>78.400000000000006</v>
      </c>
      <c r="M496" s="42">
        <v>99.9</v>
      </c>
    </row>
    <row r="497" spans="1:13" x14ac:dyDescent="0.75">
      <c r="A497" t="s">
        <v>6</v>
      </c>
      <c r="B497" s="18">
        <v>2023</v>
      </c>
      <c r="C497" s="4">
        <v>4</v>
      </c>
      <c r="D497">
        <v>109</v>
      </c>
      <c r="E497" s="19">
        <v>52.7</v>
      </c>
      <c r="F497" s="26">
        <v>103.11</v>
      </c>
      <c r="G497" s="29">
        <v>1288.1600000000001</v>
      </c>
      <c r="H497" s="29">
        <v>224.03</v>
      </c>
      <c r="I497" s="19">
        <v>1957.452</v>
      </c>
      <c r="J497" s="40">
        <v>5.75</v>
      </c>
      <c r="K497" s="43">
        <v>14867</v>
      </c>
      <c r="L497" s="24">
        <v>84.6</v>
      </c>
      <c r="M497" s="42">
        <v>100</v>
      </c>
    </row>
    <row r="498" spans="1:13" x14ac:dyDescent="0.75">
      <c r="A498" t="s">
        <v>6</v>
      </c>
      <c r="B498" s="18">
        <v>2023</v>
      </c>
      <c r="C498" s="4">
        <v>5</v>
      </c>
      <c r="D498">
        <v>278</v>
      </c>
      <c r="E498" s="19">
        <v>50.3</v>
      </c>
      <c r="F498" s="26">
        <v>103</v>
      </c>
      <c r="G498" s="29">
        <v>1424.23</v>
      </c>
      <c r="H498" s="29">
        <v>228.6</v>
      </c>
      <c r="I498" s="19">
        <v>2061.5700000000002</v>
      </c>
      <c r="J498" s="40">
        <v>5.75</v>
      </c>
      <c r="K498" s="43">
        <v>14811</v>
      </c>
      <c r="L498" s="24">
        <v>75.5</v>
      </c>
      <c r="M498" s="42">
        <v>100.2</v>
      </c>
    </row>
    <row r="499" spans="1:13" x14ac:dyDescent="0.75">
      <c r="A499" t="s">
        <v>6</v>
      </c>
      <c r="B499" s="18">
        <v>2023</v>
      </c>
      <c r="C499" s="4">
        <v>6</v>
      </c>
      <c r="D499">
        <v>294</v>
      </c>
      <c r="E499" s="33">
        <v>52.5</v>
      </c>
      <c r="F499" s="26">
        <v>103.61</v>
      </c>
      <c r="G499" s="29">
        <v>1703.79</v>
      </c>
      <c r="H499" s="29">
        <v>126.99</v>
      </c>
      <c r="I499" s="19">
        <v>2013.175</v>
      </c>
      <c r="J499" s="40">
        <v>5.75</v>
      </c>
      <c r="K499" s="43">
        <v>14932</v>
      </c>
      <c r="L499" s="24">
        <v>74.8</v>
      </c>
      <c r="M499" s="42">
        <v>100.3</v>
      </c>
    </row>
    <row r="500" spans="1:13" x14ac:dyDescent="0.75">
      <c r="A500" t="s">
        <v>6</v>
      </c>
      <c r="B500" s="18">
        <v>2023</v>
      </c>
      <c r="C500" s="4">
        <v>7</v>
      </c>
      <c r="D500">
        <v>460</v>
      </c>
      <c r="E500" s="33">
        <v>53.3</v>
      </c>
      <c r="F500" s="26">
        <v>104.13</v>
      </c>
      <c r="G500" s="29">
        <v>1631.49</v>
      </c>
      <c r="H500" s="29">
        <v>182.08</v>
      </c>
      <c r="I500" s="19">
        <v>2085.018</v>
      </c>
      <c r="J500" s="40">
        <v>5.75</v>
      </c>
      <c r="K500" s="43">
        <v>15040</v>
      </c>
      <c r="L500" s="24">
        <v>80.099999999999994</v>
      </c>
      <c r="M500" s="42">
        <v>100.5</v>
      </c>
    </row>
    <row r="501" spans="1:13" x14ac:dyDescent="0.75">
      <c r="A501" t="s">
        <v>6</v>
      </c>
      <c r="B501" s="18">
        <v>2023</v>
      </c>
      <c r="C501" s="4">
        <v>8</v>
      </c>
      <c r="D501">
        <v>495</v>
      </c>
      <c r="E501" s="33">
        <v>53.9</v>
      </c>
      <c r="F501" s="26">
        <v>104.08</v>
      </c>
      <c r="G501" s="29">
        <v>1714.33</v>
      </c>
      <c r="H501" s="29">
        <v>184.56</v>
      </c>
      <c r="I501" s="19">
        <v>2065.1779999999999</v>
      </c>
      <c r="J501" s="40">
        <v>5.75</v>
      </c>
      <c r="K501" s="43">
        <v>15245</v>
      </c>
      <c r="L501" s="24">
        <v>86.1</v>
      </c>
      <c r="M501" s="42">
        <v>100.5</v>
      </c>
    </row>
    <row r="502" spans="1:13" x14ac:dyDescent="0.75">
      <c r="A502" t="s">
        <v>6</v>
      </c>
      <c r="B502" s="18">
        <v>2023</v>
      </c>
      <c r="C502" s="4">
        <v>9</v>
      </c>
      <c r="D502">
        <v>530</v>
      </c>
      <c r="E502" s="33">
        <v>52.3</v>
      </c>
      <c r="F502" s="26">
        <v>104.36</v>
      </c>
      <c r="G502" s="29">
        <v>1625.16</v>
      </c>
      <c r="H502" s="29">
        <v>143.69999999999999</v>
      </c>
      <c r="I502" s="19">
        <v>2060.1640000000002</v>
      </c>
      <c r="J502" s="40">
        <v>5.75</v>
      </c>
      <c r="K502" s="43">
        <v>15354</v>
      </c>
      <c r="L502" s="24" t="s">
        <v>64</v>
      </c>
      <c r="M502" s="42">
        <v>100.9</v>
      </c>
    </row>
    <row r="503" spans="1:13" x14ac:dyDescent="0.75">
      <c r="A503" t="s">
        <v>6</v>
      </c>
      <c r="B503" s="18">
        <v>2023</v>
      </c>
      <c r="C503" s="4">
        <v>10</v>
      </c>
      <c r="D503">
        <v>886</v>
      </c>
      <c r="E503" s="33">
        <v>51.5</v>
      </c>
      <c r="F503" s="26">
        <v>104.29</v>
      </c>
      <c r="G503" s="29">
        <v>1622.91</v>
      </c>
      <c r="H503" s="29">
        <v>154.85</v>
      </c>
      <c r="I503" s="19">
        <v>2079.2530000000002</v>
      </c>
      <c r="J503" s="40">
        <v>6</v>
      </c>
      <c r="K503" s="43">
        <v>15741</v>
      </c>
      <c r="L503" s="24">
        <v>90.6</v>
      </c>
      <c r="M503" s="42">
        <v>101.2</v>
      </c>
    </row>
    <row r="504" spans="1:13" x14ac:dyDescent="0.75">
      <c r="A504" t="s">
        <v>6</v>
      </c>
      <c r="B504" s="18">
        <v>2023</v>
      </c>
      <c r="C504" s="4">
        <v>11</v>
      </c>
      <c r="D504">
        <v>4018</v>
      </c>
      <c r="E504" s="33">
        <v>51.7</v>
      </c>
      <c r="F504" s="26">
        <v>105.4</v>
      </c>
      <c r="G504" s="29">
        <v>1723.55</v>
      </c>
      <c r="H504" s="29">
        <v>217.86</v>
      </c>
      <c r="I504" s="19">
        <v>2074.0920000000001</v>
      </c>
      <c r="J504" s="40">
        <v>6</v>
      </c>
      <c r="K504" s="43">
        <v>15617</v>
      </c>
      <c r="L504" s="24">
        <v>82.9</v>
      </c>
      <c r="M504" s="42">
        <v>101.4</v>
      </c>
    </row>
    <row r="505" spans="1:13" x14ac:dyDescent="0.75">
      <c r="A505" t="s">
        <v>6</v>
      </c>
      <c r="B505" s="18">
        <v>2023</v>
      </c>
      <c r="C505" s="4">
        <v>12</v>
      </c>
      <c r="D505">
        <v>4063</v>
      </c>
      <c r="E505" s="33">
        <v>52.2</v>
      </c>
      <c r="F505" s="26">
        <v>105.66</v>
      </c>
      <c r="G505" s="29">
        <v>1488.14</v>
      </c>
      <c r="H505" s="29">
        <v>164.34</v>
      </c>
      <c r="I505" s="19">
        <v>2004.11</v>
      </c>
      <c r="J505" s="40">
        <v>6</v>
      </c>
      <c r="K505" s="43">
        <v>15513</v>
      </c>
      <c r="L505" s="24">
        <v>77.599999999999994</v>
      </c>
      <c r="M505" s="42">
        <v>101.8</v>
      </c>
    </row>
    <row r="506" spans="1:13" x14ac:dyDescent="0.75">
      <c r="A506" t="s">
        <v>7</v>
      </c>
      <c r="B506" s="18">
        <v>2023</v>
      </c>
      <c r="C506" s="4">
        <v>1</v>
      </c>
      <c r="D506">
        <v>0</v>
      </c>
      <c r="E506" s="19">
        <v>51.3</v>
      </c>
      <c r="F506" s="19">
        <v>102.24</v>
      </c>
      <c r="G506" s="29">
        <v>198.46</v>
      </c>
      <c r="H506" s="26">
        <v>4.83</v>
      </c>
      <c r="I506" s="19">
        <v>919.91200000000003</v>
      </c>
      <c r="J506" s="40">
        <v>5.75</v>
      </c>
      <c r="K506" s="43">
        <v>15295</v>
      </c>
      <c r="L506" s="24">
        <v>82.5</v>
      </c>
      <c r="M506" s="42">
        <v>99.3</v>
      </c>
    </row>
    <row r="507" spans="1:13" x14ac:dyDescent="0.75">
      <c r="A507" t="s">
        <v>7</v>
      </c>
      <c r="B507" s="18">
        <v>2023</v>
      </c>
      <c r="C507" s="4">
        <v>2</v>
      </c>
      <c r="D507">
        <v>0</v>
      </c>
      <c r="E507" s="19">
        <v>51.2</v>
      </c>
      <c r="F507" s="19">
        <v>102.44</v>
      </c>
      <c r="G507" s="29">
        <v>222.68</v>
      </c>
      <c r="H507" s="26">
        <v>4.7699999999999996</v>
      </c>
      <c r="I507" s="19">
        <v>962.12199999999996</v>
      </c>
      <c r="J507" s="40">
        <v>5.75</v>
      </c>
      <c r="K507" s="43">
        <v>15126</v>
      </c>
      <c r="L507" s="24">
        <v>82.6</v>
      </c>
      <c r="M507" s="42">
        <v>99.6</v>
      </c>
    </row>
    <row r="508" spans="1:13" x14ac:dyDescent="0.75">
      <c r="A508" t="s">
        <v>7</v>
      </c>
      <c r="B508" s="18">
        <v>2023</v>
      </c>
      <c r="C508" s="4">
        <v>3</v>
      </c>
      <c r="D508">
        <v>0</v>
      </c>
      <c r="E508" s="19">
        <v>51.9</v>
      </c>
      <c r="F508" s="19">
        <v>102.61</v>
      </c>
      <c r="G508" s="29">
        <v>200.51</v>
      </c>
      <c r="H508" s="26">
        <v>6.66</v>
      </c>
      <c r="I508" s="19">
        <v>962.279</v>
      </c>
      <c r="J508" s="40">
        <v>5.75</v>
      </c>
      <c r="K508" s="43">
        <v>15301</v>
      </c>
      <c r="L508" s="24">
        <v>78.400000000000006</v>
      </c>
      <c r="M508" s="42">
        <v>99.9</v>
      </c>
    </row>
    <row r="509" spans="1:13" x14ac:dyDescent="0.75">
      <c r="A509" t="s">
        <v>7</v>
      </c>
      <c r="B509" s="18">
        <v>2023</v>
      </c>
      <c r="C509" s="4">
        <v>4</v>
      </c>
      <c r="D509">
        <v>0</v>
      </c>
      <c r="E509" s="19">
        <v>52.7</v>
      </c>
      <c r="F509" s="19">
        <v>103.17</v>
      </c>
      <c r="G509" s="29">
        <v>138.37</v>
      </c>
      <c r="H509" s="26">
        <v>1.59</v>
      </c>
      <c r="I509" s="19">
        <v>1037.6310000000001</v>
      </c>
      <c r="J509" s="40">
        <v>5.75</v>
      </c>
      <c r="K509" s="43">
        <v>14867</v>
      </c>
      <c r="L509" s="24">
        <v>84.6</v>
      </c>
      <c r="M509" s="42">
        <v>100</v>
      </c>
    </row>
    <row r="510" spans="1:13" x14ac:dyDescent="0.75">
      <c r="A510" t="s">
        <v>7</v>
      </c>
      <c r="B510" s="18">
        <v>2023</v>
      </c>
      <c r="C510" s="4">
        <v>5</v>
      </c>
      <c r="D510">
        <v>0</v>
      </c>
      <c r="E510" s="19">
        <v>50.3</v>
      </c>
      <c r="F510" s="19">
        <v>103.37</v>
      </c>
      <c r="G510" s="29">
        <v>182.49</v>
      </c>
      <c r="H510" s="26">
        <v>9.11</v>
      </c>
      <c r="I510" s="19">
        <v>949.54200000000003</v>
      </c>
      <c r="J510" s="40">
        <v>5.75</v>
      </c>
      <c r="K510" s="43">
        <v>14811</v>
      </c>
      <c r="L510" s="24">
        <v>75.5</v>
      </c>
      <c r="M510" s="42">
        <v>100.2</v>
      </c>
    </row>
    <row r="511" spans="1:13" x14ac:dyDescent="0.75">
      <c r="A511" t="s">
        <v>7</v>
      </c>
      <c r="B511" s="18">
        <v>2023</v>
      </c>
      <c r="C511" s="4">
        <v>6</v>
      </c>
      <c r="D511">
        <v>258</v>
      </c>
      <c r="E511" s="33">
        <v>52.5</v>
      </c>
      <c r="F511" s="19">
        <v>103.84</v>
      </c>
      <c r="G511" s="29">
        <v>172.96</v>
      </c>
      <c r="H511" s="26">
        <v>9.16</v>
      </c>
      <c r="I511" s="19">
        <v>943.64400000000001</v>
      </c>
      <c r="J511" s="40">
        <v>5.75</v>
      </c>
      <c r="K511" s="43">
        <v>14932</v>
      </c>
      <c r="L511" s="24">
        <v>74.8</v>
      </c>
      <c r="M511" s="42">
        <v>100.3</v>
      </c>
    </row>
    <row r="512" spans="1:13" x14ac:dyDescent="0.75">
      <c r="A512" t="s">
        <v>7</v>
      </c>
      <c r="B512" s="18">
        <v>2023</v>
      </c>
      <c r="C512" s="4">
        <v>7</v>
      </c>
      <c r="D512">
        <v>279</v>
      </c>
      <c r="E512" s="33">
        <v>53.3</v>
      </c>
      <c r="F512" s="19">
        <v>104.16</v>
      </c>
      <c r="G512" s="29">
        <v>186.05</v>
      </c>
      <c r="H512" s="26">
        <v>10.8</v>
      </c>
      <c r="I512" s="19">
        <v>968.95100000000002</v>
      </c>
      <c r="J512" s="40">
        <v>5.75</v>
      </c>
      <c r="K512" s="43">
        <v>15040</v>
      </c>
      <c r="L512" s="24">
        <v>80.099999999999994</v>
      </c>
      <c r="M512" s="42">
        <v>100.5</v>
      </c>
    </row>
    <row r="513" spans="1:13" x14ac:dyDescent="0.75">
      <c r="A513" t="s">
        <v>7</v>
      </c>
      <c r="B513" s="18">
        <v>2023</v>
      </c>
      <c r="C513" s="4">
        <v>8</v>
      </c>
      <c r="D513">
        <v>285</v>
      </c>
      <c r="E513" s="33">
        <v>53.9</v>
      </c>
      <c r="F513" s="19">
        <v>104.04</v>
      </c>
      <c r="G513" s="29">
        <v>163.71</v>
      </c>
      <c r="H513" s="26">
        <v>6.12</v>
      </c>
      <c r="I513" s="19">
        <v>976.40200000000004</v>
      </c>
      <c r="J513" s="40">
        <v>5.75</v>
      </c>
      <c r="K513" s="43">
        <v>15245</v>
      </c>
      <c r="L513" s="24">
        <v>86.1</v>
      </c>
      <c r="M513" s="42">
        <v>100.5</v>
      </c>
    </row>
    <row r="514" spans="1:13" x14ac:dyDescent="0.75">
      <c r="A514" t="s">
        <v>7</v>
      </c>
      <c r="B514" s="18">
        <v>2023</v>
      </c>
      <c r="C514" s="4">
        <v>9</v>
      </c>
      <c r="D514">
        <v>287</v>
      </c>
      <c r="E514" s="33">
        <v>52.3</v>
      </c>
      <c r="F514" s="19">
        <v>104.32</v>
      </c>
      <c r="G514" s="29">
        <v>183.97</v>
      </c>
      <c r="H514" s="26">
        <v>7.05</v>
      </c>
      <c r="I514" s="19">
        <v>959.93200000000002</v>
      </c>
      <c r="J514" s="40">
        <v>5.75</v>
      </c>
      <c r="K514" s="43">
        <v>15354</v>
      </c>
      <c r="L514" s="24" t="s">
        <v>64</v>
      </c>
      <c r="M514" s="42">
        <v>100.9</v>
      </c>
    </row>
    <row r="515" spans="1:13" x14ac:dyDescent="0.75">
      <c r="A515" t="s">
        <v>7</v>
      </c>
      <c r="B515" s="18">
        <v>2023</v>
      </c>
      <c r="C515" s="4">
        <v>10</v>
      </c>
      <c r="D515">
        <v>295</v>
      </c>
      <c r="E515" s="33">
        <v>51.5</v>
      </c>
      <c r="F515" s="19">
        <v>104.73</v>
      </c>
      <c r="G515" s="29">
        <v>159.25</v>
      </c>
      <c r="H515" s="26">
        <v>6.17</v>
      </c>
      <c r="I515" s="19">
        <v>952.827</v>
      </c>
      <c r="J515" s="40">
        <v>6</v>
      </c>
      <c r="K515" s="43">
        <v>15741</v>
      </c>
      <c r="L515" s="24">
        <v>90.6</v>
      </c>
      <c r="M515" s="42">
        <v>101.2</v>
      </c>
    </row>
    <row r="516" spans="1:13" x14ac:dyDescent="0.75">
      <c r="A516" t="s">
        <v>7</v>
      </c>
      <c r="B516" s="18">
        <v>2023</v>
      </c>
      <c r="C516" s="4">
        <v>11</v>
      </c>
      <c r="D516">
        <v>319</v>
      </c>
      <c r="E516" s="33">
        <v>51.7</v>
      </c>
      <c r="F516" s="19">
        <v>105.71</v>
      </c>
      <c r="G516" s="29">
        <v>211.57</v>
      </c>
      <c r="H516" s="26">
        <v>8.8699999999999992</v>
      </c>
      <c r="I516" s="19">
        <v>943.37300000000005</v>
      </c>
      <c r="J516" s="40">
        <v>6</v>
      </c>
      <c r="K516" s="43">
        <v>15617</v>
      </c>
      <c r="L516" s="24">
        <v>82.9</v>
      </c>
      <c r="M516" s="42">
        <v>101.4</v>
      </c>
    </row>
    <row r="517" spans="1:13" x14ac:dyDescent="0.75">
      <c r="A517" t="s">
        <v>7</v>
      </c>
      <c r="B517" s="18">
        <v>2023</v>
      </c>
      <c r="C517" s="4">
        <v>12</v>
      </c>
      <c r="D517">
        <v>331</v>
      </c>
      <c r="E517" s="33">
        <v>52.2</v>
      </c>
      <c r="F517" s="19">
        <v>105.74</v>
      </c>
      <c r="G517" s="29">
        <v>172.77</v>
      </c>
      <c r="H517" s="26">
        <v>3.48</v>
      </c>
      <c r="I517" s="19">
        <v>910.39800000000002</v>
      </c>
      <c r="J517" s="40">
        <v>6</v>
      </c>
      <c r="K517" s="43">
        <v>15513</v>
      </c>
      <c r="L517" s="24">
        <v>77.599999999999994</v>
      </c>
      <c r="M517" s="42">
        <v>101.8</v>
      </c>
    </row>
    <row r="518" spans="1:13" x14ac:dyDescent="0.75">
      <c r="A518" t="s">
        <v>8</v>
      </c>
      <c r="B518" s="18">
        <v>2023</v>
      </c>
      <c r="C518" s="4">
        <v>1</v>
      </c>
      <c r="D518">
        <v>0</v>
      </c>
      <c r="E518" s="19">
        <v>51.3</v>
      </c>
      <c r="F518" s="29">
        <v>102.34</v>
      </c>
      <c r="G518" s="26">
        <v>579.04999999999995</v>
      </c>
      <c r="H518" s="19">
        <v>49.97</v>
      </c>
      <c r="I518" s="19">
        <v>2921.1190000000001</v>
      </c>
      <c r="J518" s="40">
        <v>5.75</v>
      </c>
      <c r="K518" s="43">
        <v>15295</v>
      </c>
      <c r="L518" s="24">
        <v>82.5</v>
      </c>
      <c r="M518" s="42">
        <v>99.3</v>
      </c>
    </row>
    <row r="519" spans="1:13" x14ac:dyDescent="0.75">
      <c r="A519" t="s">
        <v>8</v>
      </c>
      <c r="B519" s="18">
        <v>2023</v>
      </c>
      <c r="C519" s="4">
        <v>2</v>
      </c>
      <c r="D519">
        <v>0</v>
      </c>
      <c r="E519" s="19">
        <v>51.2</v>
      </c>
      <c r="F519" s="29">
        <v>102.31</v>
      </c>
      <c r="G519" s="26">
        <v>549.94000000000005</v>
      </c>
      <c r="H519" s="19">
        <v>45.64</v>
      </c>
      <c r="I519" s="19">
        <v>2996.9609999999998</v>
      </c>
      <c r="J519" s="40">
        <v>5.75</v>
      </c>
      <c r="K519" s="43">
        <v>15126</v>
      </c>
      <c r="L519" s="24">
        <v>82.6</v>
      </c>
      <c r="M519" s="42">
        <v>99.6</v>
      </c>
    </row>
    <row r="520" spans="1:13" x14ac:dyDescent="0.75">
      <c r="A520" t="s">
        <v>8</v>
      </c>
      <c r="B520" s="18">
        <v>2023</v>
      </c>
      <c r="C520" s="4">
        <v>3</v>
      </c>
      <c r="D520">
        <v>0</v>
      </c>
      <c r="E520" s="19">
        <v>51.9</v>
      </c>
      <c r="F520" s="29">
        <v>102.65</v>
      </c>
      <c r="G520" s="26">
        <v>641.19000000000005</v>
      </c>
      <c r="H520" s="19">
        <v>61.96</v>
      </c>
      <c r="I520" s="19">
        <v>2970.28</v>
      </c>
      <c r="J520" s="40">
        <v>5.75</v>
      </c>
      <c r="K520" s="43">
        <v>15301</v>
      </c>
      <c r="L520" s="24">
        <v>78.400000000000006</v>
      </c>
      <c r="M520" s="42">
        <v>99.9</v>
      </c>
    </row>
    <row r="521" spans="1:13" x14ac:dyDescent="0.75">
      <c r="A521" t="s">
        <v>8</v>
      </c>
      <c r="B521" s="18">
        <v>2023</v>
      </c>
      <c r="C521" s="4">
        <v>4</v>
      </c>
      <c r="D521">
        <v>0</v>
      </c>
      <c r="E521" s="19">
        <v>52.7</v>
      </c>
      <c r="F521" s="29">
        <v>102.72</v>
      </c>
      <c r="G521" s="26">
        <v>567.30999999999995</v>
      </c>
      <c r="H521" s="19">
        <v>57.88</v>
      </c>
      <c r="I521" s="19">
        <v>3058.0590000000002</v>
      </c>
      <c r="J521" s="40">
        <v>5.75</v>
      </c>
      <c r="K521" s="43">
        <v>14867</v>
      </c>
      <c r="L521" s="24">
        <v>84.6</v>
      </c>
      <c r="M521" s="42">
        <v>100</v>
      </c>
    </row>
    <row r="522" spans="1:13" x14ac:dyDescent="0.75">
      <c r="A522" t="s">
        <v>8</v>
      </c>
      <c r="B522" s="18">
        <v>2023</v>
      </c>
      <c r="C522" s="4">
        <v>5</v>
      </c>
      <c r="D522">
        <v>264</v>
      </c>
      <c r="E522" s="19">
        <v>50.3</v>
      </c>
      <c r="F522" s="29">
        <v>102.94</v>
      </c>
      <c r="G522" s="26">
        <v>580.41999999999996</v>
      </c>
      <c r="H522" s="19">
        <v>94.12</v>
      </c>
      <c r="I522" s="19">
        <v>3159.8960000000002</v>
      </c>
      <c r="J522" s="40">
        <v>5.75</v>
      </c>
      <c r="K522" s="43">
        <v>14811</v>
      </c>
      <c r="L522" s="24">
        <v>75.5</v>
      </c>
      <c r="M522" s="42">
        <v>100.2</v>
      </c>
    </row>
    <row r="523" spans="1:13" x14ac:dyDescent="0.75">
      <c r="A523" t="s">
        <v>8</v>
      </c>
      <c r="B523" s="18">
        <v>2023</v>
      </c>
      <c r="C523" s="4">
        <v>6</v>
      </c>
      <c r="D523">
        <v>264</v>
      </c>
      <c r="E523" s="33">
        <v>52.5</v>
      </c>
      <c r="F523" s="29">
        <v>102.97</v>
      </c>
      <c r="G523" s="26">
        <v>548.46</v>
      </c>
      <c r="H523" s="19">
        <v>45.98</v>
      </c>
      <c r="I523" s="19">
        <v>2970.25</v>
      </c>
      <c r="J523" s="40">
        <v>5.75</v>
      </c>
      <c r="K523" s="43">
        <v>14932</v>
      </c>
      <c r="L523" s="24">
        <v>74.8</v>
      </c>
      <c r="M523" s="42">
        <v>100.3</v>
      </c>
    </row>
    <row r="524" spans="1:13" x14ac:dyDescent="0.75">
      <c r="A524" t="s">
        <v>8</v>
      </c>
      <c r="B524" s="18">
        <v>2023</v>
      </c>
      <c r="C524" s="4">
        <v>7</v>
      </c>
      <c r="D524">
        <v>102</v>
      </c>
      <c r="E524" s="33">
        <v>53.3</v>
      </c>
      <c r="F524" s="29">
        <v>103.58</v>
      </c>
      <c r="G524" s="26">
        <v>544.87</v>
      </c>
      <c r="H524" s="19">
        <v>68.599999999999994</v>
      </c>
      <c r="I524" s="19">
        <v>3053.6019999999999</v>
      </c>
      <c r="J524" s="40">
        <v>5.75</v>
      </c>
      <c r="K524" s="43">
        <v>15040</v>
      </c>
      <c r="L524" s="24">
        <v>80.099999999999994</v>
      </c>
      <c r="M524" s="42">
        <v>100.5</v>
      </c>
    </row>
    <row r="525" spans="1:13" x14ac:dyDescent="0.75">
      <c r="A525" t="s">
        <v>8</v>
      </c>
      <c r="B525" s="18">
        <v>2023</v>
      </c>
      <c r="C525" s="4">
        <v>8</v>
      </c>
      <c r="D525">
        <v>104</v>
      </c>
      <c r="E525" s="33">
        <v>53.9</v>
      </c>
      <c r="F525" s="29">
        <v>103.36</v>
      </c>
      <c r="G525" s="26">
        <v>505.6</v>
      </c>
      <c r="H525" s="19">
        <v>142.79</v>
      </c>
      <c r="I525" s="19">
        <v>3220.0439999999999</v>
      </c>
      <c r="J525" s="40">
        <v>5.75</v>
      </c>
      <c r="K525" s="43">
        <v>15245</v>
      </c>
      <c r="L525" s="24">
        <v>86.1</v>
      </c>
      <c r="M525" s="42">
        <v>100.5</v>
      </c>
    </row>
    <row r="526" spans="1:13" x14ac:dyDescent="0.75">
      <c r="A526" t="s">
        <v>8</v>
      </c>
      <c r="B526" s="18">
        <v>2023</v>
      </c>
      <c r="C526" s="4">
        <v>9</v>
      </c>
      <c r="D526">
        <v>116</v>
      </c>
      <c r="E526" s="33">
        <v>52.3</v>
      </c>
      <c r="F526" s="29">
        <v>103.94</v>
      </c>
      <c r="G526" s="26">
        <v>462</v>
      </c>
      <c r="H526" s="19">
        <v>123.87</v>
      </c>
      <c r="I526" s="19">
        <v>3741.7640000000001</v>
      </c>
      <c r="J526" s="40">
        <v>5.75</v>
      </c>
      <c r="K526" s="43">
        <v>15354</v>
      </c>
      <c r="L526" s="24" t="s">
        <v>64</v>
      </c>
      <c r="M526" s="42">
        <v>100.9</v>
      </c>
    </row>
    <row r="527" spans="1:13" x14ac:dyDescent="0.75">
      <c r="A527" t="s">
        <v>8</v>
      </c>
      <c r="B527" s="18">
        <v>2023</v>
      </c>
      <c r="C527" s="4">
        <v>10</v>
      </c>
      <c r="D527">
        <v>132</v>
      </c>
      <c r="E527" s="33">
        <v>51.5</v>
      </c>
      <c r="F527" s="29">
        <v>104</v>
      </c>
      <c r="G527" s="26">
        <v>527.57000000000005</v>
      </c>
      <c r="H527" s="19">
        <v>145.13999999999999</v>
      </c>
      <c r="I527" s="19">
        <v>3755.9659999999999</v>
      </c>
      <c r="J527" s="40">
        <v>6</v>
      </c>
      <c r="K527" s="43">
        <v>15741</v>
      </c>
      <c r="L527" s="24">
        <v>90.6</v>
      </c>
      <c r="M527" s="42">
        <v>101.2</v>
      </c>
    </row>
    <row r="528" spans="1:13" x14ac:dyDescent="0.75">
      <c r="A528" t="s">
        <v>8</v>
      </c>
      <c r="B528" s="18">
        <v>2023</v>
      </c>
      <c r="C528" s="4">
        <v>11</v>
      </c>
      <c r="D528">
        <v>185</v>
      </c>
      <c r="E528" s="33">
        <v>51.7</v>
      </c>
      <c r="F528" s="29">
        <v>104.74</v>
      </c>
      <c r="G528" s="26">
        <v>464.65</v>
      </c>
      <c r="H528" s="19">
        <v>149.32</v>
      </c>
      <c r="I528" s="19">
        <v>3745.9720000000002</v>
      </c>
      <c r="J528" s="40">
        <v>6</v>
      </c>
      <c r="K528" s="43">
        <v>15617</v>
      </c>
      <c r="L528" s="24">
        <v>82.9</v>
      </c>
      <c r="M528" s="42">
        <v>101.4</v>
      </c>
    </row>
    <row r="529" spans="1:13" x14ac:dyDescent="0.75">
      <c r="A529" t="s">
        <v>8</v>
      </c>
      <c r="B529" s="18">
        <v>2023</v>
      </c>
      <c r="C529" s="4">
        <v>12</v>
      </c>
      <c r="D529">
        <v>188</v>
      </c>
      <c r="E529" s="33">
        <v>52.2</v>
      </c>
      <c r="F529" s="29">
        <v>105.08</v>
      </c>
      <c r="G529" s="26">
        <v>614.46</v>
      </c>
      <c r="H529" s="19">
        <v>179.13</v>
      </c>
      <c r="I529" s="19">
        <v>3523.0889999999999</v>
      </c>
      <c r="J529" s="40">
        <v>6</v>
      </c>
      <c r="K529" s="43">
        <v>15513</v>
      </c>
      <c r="L529" s="24">
        <v>77.599999999999994</v>
      </c>
      <c r="M529" s="42">
        <v>101.8</v>
      </c>
    </row>
    <row r="530" spans="1:13" x14ac:dyDescent="0.75">
      <c r="A530" t="s">
        <v>9</v>
      </c>
      <c r="B530" s="18">
        <v>2023</v>
      </c>
      <c r="C530" s="4">
        <v>1</v>
      </c>
      <c r="D530">
        <v>0</v>
      </c>
      <c r="E530" s="19">
        <v>51.3</v>
      </c>
      <c r="F530" s="19">
        <v>103.17</v>
      </c>
      <c r="G530" s="19">
        <v>6.75</v>
      </c>
      <c r="H530" s="3"/>
      <c r="I530" s="19">
        <v>466.16300000000001</v>
      </c>
      <c r="J530" s="40">
        <v>5.75</v>
      </c>
      <c r="K530" s="43">
        <v>15295</v>
      </c>
      <c r="L530" s="24">
        <v>82.5</v>
      </c>
      <c r="M530" s="42">
        <v>99.3</v>
      </c>
    </row>
    <row r="531" spans="1:13" x14ac:dyDescent="0.75">
      <c r="A531" t="s">
        <v>9</v>
      </c>
      <c r="B531" s="18">
        <v>2023</v>
      </c>
      <c r="C531" s="4">
        <v>2</v>
      </c>
      <c r="D531">
        <v>0</v>
      </c>
      <c r="E531" s="19">
        <v>51.2</v>
      </c>
      <c r="F531" s="19">
        <v>103.57</v>
      </c>
      <c r="G531" s="19">
        <v>21.93</v>
      </c>
      <c r="H531" s="3"/>
      <c r="I531" s="19">
        <v>501.77300000000002</v>
      </c>
      <c r="J531" s="40">
        <v>5.75</v>
      </c>
      <c r="K531" s="43">
        <v>15126</v>
      </c>
      <c r="L531" s="24">
        <v>82.6</v>
      </c>
      <c r="M531" s="42">
        <v>99.6</v>
      </c>
    </row>
    <row r="532" spans="1:13" x14ac:dyDescent="0.75">
      <c r="A532" t="s">
        <v>9</v>
      </c>
      <c r="B532" s="18">
        <v>2023</v>
      </c>
      <c r="C532" s="4">
        <v>3</v>
      </c>
      <c r="D532">
        <v>0</v>
      </c>
      <c r="E532" s="19">
        <v>51.9</v>
      </c>
      <c r="F532" s="19">
        <v>103.77</v>
      </c>
      <c r="G532" s="19">
        <v>25.26</v>
      </c>
      <c r="H532" s="3"/>
      <c r="I532" s="19">
        <v>478.505</v>
      </c>
      <c r="J532" s="40">
        <v>5.75</v>
      </c>
      <c r="K532" s="43">
        <v>15301</v>
      </c>
      <c r="L532" s="24">
        <v>78.400000000000006</v>
      </c>
      <c r="M532" s="42">
        <v>99.9</v>
      </c>
    </row>
    <row r="533" spans="1:13" x14ac:dyDescent="0.75">
      <c r="A533" t="s">
        <v>9</v>
      </c>
      <c r="B533" s="18">
        <v>2023</v>
      </c>
      <c r="C533" s="4">
        <v>4</v>
      </c>
      <c r="D533">
        <v>0</v>
      </c>
      <c r="E533" s="19">
        <v>52.7</v>
      </c>
      <c r="F533" s="19">
        <v>103.92</v>
      </c>
      <c r="G533" s="19">
        <v>32.6</v>
      </c>
      <c r="H533" s="3"/>
      <c r="I533" s="19">
        <v>548.06200000000001</v>
      </c>
      <c r="J533" s="40">
        <v>5.75</v>
      </c>
      <c r="K533" s="43">
        <v>14867</v>
      </c>
      <c r="L533" s="24">
        <v>84.6</v>
      </c>
      <c r="M533" s="42">
        <v>100</v>
      </c>
    </row>
    <row r="534" spans="1:13" x14ac:dyDescent="0.75">
      <c r="A534" t="s">
        <v>9</v>
      </c>
      <c r="B534" s="18">
        <v>2023</v>
      </c>
      <c r="C534" s="4">
        <v>5</v>
      </c>
      <c r="D534">
        <v>0</v>
      </c>
      <c r="E534" s="19">
        <v>50.3</v>
      </c>
      <c r="F534" s="19">
        <v>103.92</v>
      </c>
      <c r="G534" s="19">
        <v>34.880000000000003</v>
      </c>
      <c r="H534" s="3"/>
      <c r="I534" s="19">
        <v>543.19500000000005</v>
      </c>
      <c r="J534" s="40">
        <v>5.75</v>
      </c>
      <c r="K534" s="43">
        <v>14811</v>
      </c>
      <c r="L534" s="24">
        <v>75.5</v>
      </c>
      <c r="M534" s="42">
        <v>100.2</v>
      </c>
    </row>
    <row r="535" spans="1:13" x14ac:dyDescent="0.75">
      <c r="A535" t="s">
        <v>9</v>
      </c>
      <c r="B535" s="18">
        <v>2023</v>
      </c>
      <c r="C535" s="4">
        <v>6</v>
      </c>
      <c r="D535">
        <v>0</v>
      </c>
      <c r="E535" s="33">
        <v>52.5</v>
      </c>
      <c r="F535" s="19">
        <v>104.35</v>
      </c>
      <c r="G535" s="19">
        <v>22.82</v>
      </c>
      <c r="H535" s="3"/>
      <c r="I535" s="19">
        <v>531.27</v>
      </c>
      <c r="J535" s="40">
        <v>5.75</v>
      </c>
      <c r="K535" s="43">
        <v>14932</v>
      </c>
      <c r="L535" s="24">
        <v>74.8</v>
      </c>
      <c r="M535" s="42">
        <v>100.3</v>
      </c>
    </row>
    <row r="536" spans="1:13" x14ac:dyDescent="0.75">
      <c r="A536" t="s">
        <v>9</v>
      </c>
      <c r="B536" s="18">
        <v>2023</v>
      </c>
      <c r="C536" s="4">
        <v>7</v>
      </c>
      <c r="D536">
        <v>0</v>
      </c>
      <c r="E536" s="33">
        <v>53.3</v>
      </c>
      <c r="F536" s="19">
        <v>104.48</v>
      </c>
      <c r="G536" s="19">
        <v>12.55</v>
      </c>
      <c r="H536" s="3"/>
      <c r="I536" s="19">
        <v>577.55200000000002</v>
      </c>
      <c r="J536" s="40">
        <v>5.75</v>
      </c>
      <c r="K536" s="43">
        <v>15040</v>
      </c>
      <c r="L536" s="24">
        <v>80.099999999999994</v>
      </c>
      <c r="M536" s="42">
        <v>100.5</v>
      </c>
    </row>
    <row r="537" spans="1:13" x14ac:dyDescent="0.75">
      <c r="A537" t="s">
        <v>9</v>
      </c>
      <c r="B537" s="18">
        <v>2023</v>
      </c>
      <c r="C537" s="4">
        <v>8</v>
      </c>
      <c r="D537">
        <v>23</v>
      </c>
      <c r="E537" s="33">
        <v>53.9</v>
      </c>
      <c r="F537" s="19">
        <v>104.77</v>
      </c>
      <c r="G537" s="19">
        <v>15.13</v>
      </c>
      <c r="H537" s="3"/>
      <c r="I537" s="19">
        <v>595.32399999999996</v>
      </c>
      <c r="J537" s="40">
        <v>5.75</v>
      </c>
      <c r="K537" s="43">
        <v>15245</v>
      </c>
      <c r="L537" s="24">
        <v>86.1</v>
      </c>
      <c r="M537" s="42">
        <v>100.5</v>
      </c>
    </row>
    <row r="538" spans="1:13" x14ac:dyDescent="0.75">
      <c r="A538" t="s">
        <v>9</v>
      </c>
      <c r="B538" s="18">
        <v>2023</v>
      </c>
      <c r="C538" s="4">
        <v>9</v>
      </c>
      <c r="D538">
        <v>23</v>
      </c>
      <c r="E538" s="33">
        <v>52.3</v>
      </c>
      <c r="F538" s="19">
        <v>104.99</v>
      </c>
      <c r="G538" s="19">
        <v>10.58</v>
      </c>
      <c r="H538" s="3"/>
      <c r="I538" s="19">
        <v>544.21600000000001</v>
      </c>
      <c r="J538" s="40">
        <v>5.75</v>
      </c>
      <c r="K538" s="43">
        <v>15354</v>
      </c>
      <c r="L538" s="24" t="s">
        <v>64</v>
      </c>
      <c r="M538" s="42">
        <v>100.9</v>
      </c>
    </row>
    <row r="539" spans="1:13" x14ac:dyDescent="0.75">
      <c r="A539" t="s">
        <v>9</v>
      </c>
      <c r="B539" s="18">
        <v>2023</v>
      </c>
      <c r="C539" s="4">
        <v>10</v>
      </c>
      <c r="D539">
        <v>23</v>
      </c>
      <c r="E539" s="33">
        <v>51.5</v>
      </c>
      <c r="F539" s="19">
        <v>105.42</v>
      </c>
      <c r="G539" s="19">
        <v>25.38</v>
      </c>
      <c r="H539" s="3"/>
      <c r="I539" s="19">
        <v>560.83900000000006</v>
      </c>
      <c r="J539" s="40">
        <v>6</v>
      </c>
      <c r="K539" s="43">
        <v>15741</v>
      </c>
      <c r="L539" s="24">
        <v>90.6</v>
      </c>
      <c r="M539" s="42">
        <v>101.2</v>
      </c>
    </row>
    <row r="540" spans="1:13" x14ac:dyDescent="0.75">
      <c r="A540" t="s">
        <v>9</v>
      </c>
      <c r="B540" s="18">
        <v>2023</v>
      </c>
      <c r="C540" s="4">
        <v>11</v>
      </c>
      <c r="D540">
        <v>23</v>
      </c>
      <c r="E540" s="33">
        <v>51.7</v>
      </c>
      <c r="F540" s="19">
        <v>106.32</v>
      </c>
      <c r="G540" s="19">
        <v>11.51</v>
      </c>
      <c r="H540" s="3"/>
      <c r="I540" s="19">
        <v>579.32600000000002</v>
      </c>
      <c r="J540" s="40">
        <v>6</v>
      </c>
      <c r="K540" s="43">
        <v>15617</v>
      </c>
      <c r="L540" s="24">
        <v>82.9</v>
      </c>
      <c r="M540" s="42">
        <v>101.4</v>
      </c>
    </row>
    <row r="541" spans="1:13" x14ac:dyDescent="0.75">
      <c r="A541" t="s">
        <v>9</v>
      </c>
      <c r="B541" s="18">
        <v>2023</v>
      </c>
      <c r="C541" s="4">
        <v>12</v>
      </c>
      <c r="D541">
        <v>25</v>
      </c>
      <c r="E541" s="33">
        <v>52.2</v>
      </c>
      <c r="F541" s="19">
        <v>106.75</v>
      </c>
      <c r="G541" s="19">
        <v>26.95</v>
      </c>
      <c r="H541" s="3"/>
      <c r="I541" s="19">
        <v>537.37199999999996</v>
      </c>
      <c r="J541" s="40">
        <v>6</v>
      </c>
      <c r="K541" s="43">
        <v>15513</v>
      </c>
      <c r="L541" s="24">
        <v>77.599999999999994</v>
      </c>
      <c r="M541" s="42">
        <v>101.8</v>
      </c>
    </row>
    <row r="542" spans="1:13" x14ac:dyDescent="0.75">
      <c r="A542" t="s">
        <v>10</v>
      </c>
      <c r="B542" s="18">
        <v>2023</v>
      </c>
      <c r="C542" s="4">
        <v>1</v>
      </c>
      <c r="D542">
        <v>0</v>
      </c>
      <c r="E542" s="19">
        <v>51.3</v>
      </c>
      <c r="F542" s="19">
        <v>102.36</v>
      </c>
      <c r="G542" s="19">
        <v>433.96</v>
      </c>
      <c r="H542" s="19">
        <v>142.41999999999999</v>
      </c>
      <c r="I542" s="19">
        <v>3055.4650000000001</v>
      </c>
      <c r="J542" s="40">
        <v>5.75</v>
      </c>
      <c r="K542" s="43">
        <v>15295</v>
      </c>
      <c r="L542" s="24">
        <v>82.5</v>
      </c>
      <c r="M542" s="42">
        <v>99.3</v>
      </c>
    </row>
    <row r="543" spans="1:13" x14ac:dyDescent="0.75">
      <c r="A543" t="s">
        <v>10</v>
      </c>
      <c r="B543" s="18">
        <v>2023</v>
      </c>
      <c r="C543" s="4">
        <v>2</v>
      </c>
      <c r="D543">
        <v>0</v>
      </c>
      <c r="E543" s="19">
        <v>51.2</v>
      </c>
      <c r="F543" s="19">
        <v>102.1</v>
      </c>
      <c r="G543" s="19">
        <v>297.51</v>
      </c>
      <c r="H543" s="19">
        <v>179.19</v>
      </c>
      <c r="I543" s="19">
        <v>3041.3429999999998</v>
      </c>
      <c r="J543" s="40">
        <v>5.75</v>
      </c>
      <c r="K543" s="43">
        <v>15126</v>
      </c>
      <c r="L543" s="24">
        <v>82.6</v>
      </c>
      <c r="M543" s="42">
        <v>99.6</v>
      </c>
    </row>
    <row r="544" spans="1:13" x14ac:dyDescent="0.75">
      <c r="A544" t="s">
        <v>10</v>
      </c>
      <c r="B544" s="18">
        <v>2023</v>
      </c>
      <c r="C544" s="4">
        <v>3</v>
      </c>
      <c r="D544">
        <v>0</v>
      </c>
      <c r="E544" s="19">
        <v>51.9</v>
      </c>
      <c r="F544" s="19">
        <v>102.2</v>
      </c>
      <c r="G544" s="19">
        <v>458.05</v>
      </c>
      <c r="H544" s="19">
        <v>178.29</v>
      </c>
      <c r="I544" s="19">
        <v>1660.904</v>
      </c>
      <c r="J544" s="40">
        <v>5.75</v>
      </c>
      <c r="K544" s="43">
        <v>15301</v>
      </c>
      <c r="L544" s="24">
        <v>78.400000000000006</v>
      </c>
      <c r="M544" s="42">
        <v>99.9</v>
      </c>
    </row>
    <row r="545" spans="1:13" x14ac:dyDescent="0.75">
      <c r="A545" t="s">
        <v>10</v>
      </c>
      <c r="B545" s="18">
        <v>2023</v>
      </c>
      <c r="C545" s="4">
        <v>4</v>
      </c>
      <c r="D545">
        <v>0</v>
      </c>
      <c r="E545" s="19">
        <v>52.7</v>
      </c>
      <c r="F545" s="19">
        <v>102.62</v>
      </c>
      <c r="G545" s="19">
        <v>316.5</v>
      </c>
      <c r="H545" s="19">
        <v>128.99</v>
      </c>
      <c r="I545" s="19">
        <v>1735.0619999999999</v>
      </c>
      <c r="J545" s="40">
        <v>5.75</v>
      </c>
      <c r="K545" s="43">
        <v>14867</v>
      </c>
      <c r="L545" s="24">
        <v>84.6</v>
      </c>
      <c r="M545" s="42">
        <v>100</v>
      </c>
    </row>
    <row r="546" spans="1:13" x14ac:dyDescent="0.75">
      <c r="A546" t="s">
        <v>10</v>
      </c>
      <c r="B546" s="18">
        <v>2023</v>
      </c>
      <c r="C546" s="4">
        <v>5</v>
      </c>
      <c r="D546">
        <v>0</v>
      </c>
      <c r="E546" s="19">
        <v>50.3</v>
      </c>
      <c r="F546" s="19">
        <v>102.98</v>
      </c>
      <c r="G546" s="19">
        <v>288.08999999999997</v>
      </c>
      <c r="H546" s="19">
        <v>175.87</v>
      </c>
      <c r="I546" s="19">
        <v>1786.0609999999999</v>
      </c>
      <c r="J546" s="40">
        <v>5.75</v>
      </c>
      <c r="K546" s="43">
        <v>14811</v>
      </c>
      <c r="L546" s="24">
        <v>75.5</v>
      </c>
      <c r="M546" s="42">
        <v>100.2</v>
      </c>
    </row>
    <row r="547" spans="1:13" x14ac:dyDescent="0.75">
      <c r="A547" t="s">
        <v>10</v>
      </c>
      <c r="B547" s="18">
        <v>2023</v>
      </c>
      <c r="C547" s="4">
        <v>6</v>
      </c>
      <c r="D547">
        <v>37</v>
      </c>
      <c r="E547" s="33">
        <v>52.5</v>
      </c>
      <c r="F547" s="19">
        <v>102.84</v>
      </c>
      <c r="G547" s="19">
        <v>392.13</v>
      </c>
      <c r="H547" s="19">
        <v>172.97</v>
      </c>
      <c r="I547" s="19">
        <v>1543.096</v>
      </c>
      <c r="J547" s="40">
        <v>5.75</v>
      </c>
      <c r="K547" s="43">
        <v>14932</v>
      </c>
      <c r="L547" s="24">
        <v>74.8</v>
      </c>
      <c r="M547" s="42">
        <v>100.3</v>
      </c>
    </row>
    <row r="548" spans="1:13" x14ac:dyDescent="0.75">
      <c r="A548" t="s">
        <v>10</v>
      </c>
      <c r="B548" s="18">
        <v>2023</v>
      </c>
      <c r="C548" s="4">
        <v>7</v>
      </c>
      <c r="D548">
        <v>59</v>
      </c>
      <c r="E548" s="33">
        <v>53.3</v>
      </c>
      <c r="F548" s="19">
        <v>102.68</v>
      </c>
      <c r="G548" s="19">
        <v>428.91</v>
      </c>
      <c r="H548" s="19">
        <v>320.89999999999998</v>
      </c>
      <c r="I548" s="19">
        <v>1729.3309999999999</v>
      </c>
      <c r="J548" s="40">
        <v>5.75</v>
      </c>
      <c r="K548" s="43">
        <v>15040</v>
      </c>
      <c r="L548" s="24">
        <v>80.099999999999994</v>
      </c>
      <c r="M548" s="42">
        <v>100.5</v>
      </c>
    </row>
    <row r="549" spans="1:13" x14ac:dyDescent="0.75">
      <c r="A549" t="s">
        <v>10</v>
      </c>
      <c r="B549" s="18">
        <v>2023</v>
      </c>
      <c r="C549" s="4">
        <v>8</v>
      </c>
      <c r="D549">
        <v>59</v>
      </c>
      <c r="E549" s="33">
        <v>53.9</v>
      </c>
      <c r="F549" s="19">
        <v>102.73</v>
      </c>
      <c r="G549" s="19">
        <v>410.32</v>
      </c>
      <c r="H549" s="19">
        <v>94.55</v>
      </c>
      <c r="I549" s="19">
        <v>1760.114</v>
      </c>
      <c r="J549" s="40">
        <v>5.75</v>
      </c>
      <c r="K549" s="43">
        <v>15245</v>
      </c>
      <c r="L549" s="24">
        <v>86.1</v>
      </c>
      <c r="M549" s="42">
        <v>100.5</v>
      </c>
    </row>
    <row r="550" spans="1:13" x14ac:dyDescent="0.75">
      <c r="A550" t="s">
        <v>10</v>
      </c>
      <c r="B550" s="18">
        <v>2023</v>
      </c>
      <c r="C550" s="4">
        <v>9</v>
      </c>
      <c r="D550">
        <v>74</v>
      </c>
      <c r="E550" s="33">
        <v>52.3</v>
      </c>
      <c r="F550" s="19">
        <v>103.25</v>
      </c>
      <c r="G550" s="19">
        <v>382.73</v>
      </c>
      <c r="H550" s="19">
        <v>75.94</v>
      </c>
      <c r="I550" s="19">
        <v>1788.7</v>
      </c>
      <c r="J550" s="40">
        <v>5.75</v>
      </c>
      <c r="K550" s="43">
        <v>15354</v>
      </c>
      <c r="L550" s="24" t="s">
        <v>64</v>
      </c>
      <c r="M550" s="42">
        <v>100.9</v>
      </c>
    </row>
    <row r="551" spans="1:13" x14ac:dyDescent="0.75">
      <c r="A551" t="s">
        <v>10</v>
      </c>
      <c r="B551" s="18">
        <v>2023</v>
      </c>
      <c r="C551" s="4">
        <v>10</v>
      </c>
      <c r="D551">
        <v>75</v>
      </c>
      <c r="E551" s="33">
        <v>51.5</v>
      </c>
      <c r="F551" s="19">
        <v>103.34</v>
      </c>
      <c r="G551" s="19">
        <v>437.67</v>
      </c>
      <c r="H551" s="19">
        <v>270.05</v>
      </c>
      <c r="I551" s="19">
        <v>1774.0319999999999</v>
      </c>
      <c r="J551" s="40">
        <v>6</v>
      </c>
      <c r="K551" s="43">
        <v>15741</v>
      </c>
      <c r="L551" s="24">
        <v>90.6</v>
      </c>
      <c r="M551" s="42">
        <v>101.2</v>
      </c>
    </row>
    <row r="552" spans="1:13" x14ac:dyDescent="0.75">
      <c r="A552" t="s">
        <v>10</v>
      </c>
      <c r="B552" s="18">
        <v>2023</v>
      </c>
      <c r="C552" s="4">
        <v>11</v>
      </c>
      <c r="D552">
        <v>75</v>
      </c>
      <c r="E552" s="33">
        <v>51.7</v>
      </c>
      <c r="F552" s="19">
        <v>103.35</v>
      </c>
      <c r="G552" s="19">
        <v>429.64</v>
      </c>
      <c r="H552" s="19">
        <v>132.72999999999999</v>
      </c>
      <c r="I552" s="19">
        <v>1778.5820000000001</v>
      </c>
      <c r="J552" s="40">
        <v>6</v>
      </c>
      <c r="K552" s="43">
        <v>15617</v>
      </c>
      <c r="L552" s="24">
        <v>82.9</v>
      </c>
      <c r="M552" s="42">
        <v>101.4</v>
      </c>
    </row>
    <row r="553" spans="1:13" x14ac:dyDescent="0.75">
      <c r="A553" t="s">
        <v>10</v>
      </c>
      <c r="B553" s="18">
        <v>2023</v>
      </c>
      <c r="C553" s="4">
        <v>12</v>
      </c>
      <c r="D553">
        <v>75</v>
      </c>
      <c r="E553" s="33">
        <v>52.2</v>
      </c>
      <c r="F553" s="19">
        <v>103.47</v>
      </c>
      <c r="G553" s="19">
        <v>370.31</v>
      </c>
      <c r="H553" s="19">
        <v>281.97000000000003</v>
      </c>
      <c r="I553" s="19">
        <v>1572.644</v>
      </c>
      <c r="J553" s="40">
        <v>6</v>
      </c>
      <c r="K553" s="43">
        <v>15513</v>
      </c>
      <c r="L553" s="24">
        <v>77.599999999999994</v>
      </c>
      <c r="M553" s="42">
        <v>101.8</v>
      </c>
    </row>
    <row r="554" spans="1:13" x14ac:dyDescent="0.75">
      <c r="A554" t="s">
        <v>11</v>
      </c>
      <c r="B554" s="18">
        <v>2023</v>
      </c>
      <c r="C554" s="4">
        <v>1</v>
      </c>
      <c r="D554">
        <v>0</v>
      </c>
      <c r="E554" s="19">
        <v>51.3</v>
      </c>
      <c r="F554" s="19">
        <v>102.36</v>
      </c>
      <c r="G554" s="19">
        <v>62.32</v>
      </c>
      <c r="H554" s="26">
        <v>0.95</v>
      </c>
      <c r="I554" s="19">
        <v>503.23500000000001</v>
      </c>
      <c r="J554" s="40">
        <v>5.75</v>
      </c>
      <c r="K554" s="43">
        <v>15295</v>
      </c>
      <c r="L554" s="24">
        <v>82.5</v>
      </c>
      <c r="M554" s="42">
        <v>99.3</v>
      </c>
    </row>
    <row r="555" spans="1:13" x14ac:dyDescent="0.75">
      <c r="A555" t="s">
        <v>11</v>
      </c>
      <c r="B555" s="18">
        <v>2023</v>
      </c>
      <c r="C555" s="4">
        <v>2</v>
      </c>
      <c r="D555">
        <v>38</v>
      </c>
      <c r="E555" s="19">
        <v>51.2</v>
      </c>
      <c r="F555" s="19">
        <v>102.1</v>
      </c>
      <c r="G555" s="19">
        <v>112.57</v>
      </c>
      <c r="H555" s="26">
        <v>0.16</v>
      </c>
      <c r="I555" s="19">
        <v>525.21600000000001</v>
      </c>
      <c r="J555" s="40">
        <v>5.75</v>
      </c>
      <c r="K555" s="43">
        <v>15126</v>
      </c>
      <c r="L555" s="24">
        <v>82.6</v>
      </c>
      <c r="M555" s="42">
        <v>99.6</v>
      </c>
    </row>
    <row r="556" spans="1:13" x14ac:dyDescent="0.75">
      <c r="A556" t="s">
        <v>11</v>
      </c>
      <c r="B556" s="18">
        <v>2023</v>
      </c>
      <c r="C556" s="4">
        <v>3</v>
      </c>
      <c r="D556">
        <v>38</v>
      </c>
      <c r="E556" s="19">
        <v>51.9</v>
      </c>
      <c r="F556" s="19">
        <v>102.2</v>
      </c>
      <c r="G556" s="19">
        <v>137.28</v>
      </c>
      <c r="H556" s="26">
        <v>1.43</v>
      </c>
      <c r="I556" s="19">
        <v>515.01099999999997</v>
      </c>
      <c r="J556" s="40">
        <v>5.75</v>
      </c>
      <c r="K556" s="43">
        <v>15301</v>
      </c>
      <c r="L556" s="24">
        <v>78.400000000000006</v>
      </c>
      <c r="M556" s="42">
        <v>99.9</v>
      </c>
    </row>
    <row r="557" spans="1:13" x14ac:dyDescent="0.75">
      <c r="A557" t="s">
        <v>11</v>
      </c>
      <c r="B557" s="18">
        <v>2023</v>
      </c>
      <c r="C557" s="4">
        <v>4</v>
      </c>
      <c r="D557">
        <v>38</v>
      </c>
      <c r="E557" s="19">
        <v>52.7</v>
      </c>
      <c r="F557" s="19">
        <v>102.62</v>
      </c>
      <c r="G557" s="19">
        <v>188.97</v>
      </c>
      <c r="H557" s="26">
        <v>2.5099999999999998</v>
      </c>
      <c r="I557" s="19">
        <v>506.43099999999998</v>
      </c>
      <c r="J557" s="40">
        <v>5.75</v>
      </c>
      <c r="K557" s="43">
        <v>14867</v>
      </c>
      <c r="L557" s="24">
        <v>84.6</v>
      </c>
      <c r="M557" s="42">
        <v>100</v>
      </c>
    </row>
    <row r="558" spans="1:13" x14ac:dyDescent="0.75">
      <c r="A558" t="s">
        <v>11</v>
      </c>
      <c r="B558" s="18">
        <v>2023</v>
      </c>
      <c r="C558" s="4">
        <v>5</v>
      </c>
      <c r="D558">
        <v>38</v>
      </c>
      <c r="E558" s="19">
        <v>50.3</v>
      </c>
      <c r="F558" s="19">
        <v>102.98</v>
      </c>
      <c r="G558" s="19">
        <v>215.79</v>
      </c>
      <c r="H558" s="26">
        <v>1.21</v>
      </c>
      <c r="I558" s="19">
        <v>501.30200000000002</v>
      </c>
      <c r="J558" s="40">
        <v>5.75</v>
      </c>
      <c r="K558" s="43">
        <v>14811</v>
      </c>
      <c r="L558" s="24">
        <v>75.5</v>
      </c>
      <c r="M558" s="42">
        <v>100.2</v>
      </c>
    </row>
    <row r="559" spans="1:13" x14ac:dyDescent="0.75">
      <c r="A559" t="s">
        <v>11</v>
      </c>
      <c r="B559" s="18">
        <v>2023</v>
      </c>
      <c r="C559" s="4">
        <v>6</v>
      </c>
      <c r="D559">
        <v>38</v>
      </c>
      <c r="E559" s="33">
        <v>52.5</v>
      </c>
      <c r="F559" s="19">
        <v>102.84</v>
      </c>
      <c r="G559" s="19">
        <v>235.71</v>
      </c>
      <c r="H559" s="26">
        <v>2.2200000000000002</v>
      </c>
      <c r="I559" s="19">
        <v>470.29300000000001</v>
      </c>
      <c r="J559" s="40">
        <v>5.75</v>
      </c>
      <c r="K559" s="43">
        <v>14932</v>
      </c>
      <c r="L559" s="24">
        <v>74.8</v>
      </c>
      <c r="M559" s="42">
        <v>100.3</v>
      </c>
    </row>
    <row r="560" spans="1:13" x14ac:dyDescent="0.75">
      <c r="A560" t="s">
        <v>11</v>
      </c>
      <c r="B560" s="18">
        <v>2023</v>
      </c>
      <c r="C560" s="4">
        <v>7</v>
      </c>
      <c r="D560">
        <v>28</v>
      </c>
      <c r="E560" s="33">
        <v>53.3</v>
      </c>
      <c r="F560" s="19">
        <v>102.68</v>
      </c>
      <c r="G560" s="19">
        <v>228.74</v>
      </c>
      <c r="H560" s="26">
        <v>0.33</v>
      </c>
      <c r="I560" s="19">
        <v>490.13299999999998</v>
      </c>
      <c r="J560" s="40">
        <v>5.75</v>
      </c>
      <c r="K560" s="43">
        <v>15040</v>
      </c>
      <c r="L560" s="24">
        <v>80.099999999999994</v>
      </c>
      <c r="M560" s="42">
        <v>100.5</v>
      </c>
    </row>
    <row r="561" spans="1:13" x14ac:dyDescent="0.75">
      <c r="A561" t="s">
        <v>11</v>
      </c>
      <c r="B561" s="18">
        <v>2023</v>
      </c>
      <c r="C561" s="4">
        <v>8</v>
      </c>
      <c r="D561">
        <v>33</v>
      </c>
      <c r="E561" s="33">
        <v>53.9</v>
      </c>
      <c r="F561" s="19">
        <v>102.73</v>
      </c>
      <c r="G561" s="19">
        <v>155.93</v>
      </c>
      <c r="H561" s="26">
        <v>4.17</v>
      </c>
      <c r="I561" s="19">
        <v>478.76299999999998</v>
      </c>
      <c r="J561" s="40">
        <v>5.75</v>
      </c>
      <c r="K561" s="43">
        <v>15245</v>
      </c>
      <c r="L561" s="24">
        <v>86.1</v>
      </c>
      <c r="M561" s="42">
        <v>100.5</v>
      </c>
    </row>
    <row r="562" spans="1:13" x14ac:dyDescent="0.75">
      <c r="A562" t="s">
        <v>11</v>
      </c>
      <c r="B562" s="18">
        <v>2023</v>
      </c>
      <c r="C562" s="4">
        <v>9</v>
      </c>
      <c r="D562">
        <v>161</v>
      </c>
      <c r="E562" s="33">
        <v>52.3</v>
      </c>
      <c r="F562" s="19">
        <v>103.25</v>
      </c>
      <c r="G562" s="19">
        <v>159.74</v>
      </c>
      <c r="H562" s="26">
        <v>1.33</v>
      </c>
      <c r="I562" s="19">
        <v>465.27</v>
      </c>
      <c r="J562" s="40">
        <v>5.75</v>
      </c>
      <c r="K562" s="43">
        <v>15354</v>
      </c>
      <c r="L562" s="24" t="s">
        <v>64</v>
      </c>
      <c r="M562" s="42">
        <v>100.9</v>
      </c>
    </row>
    <row r="563" spans="1:13" x14ac:dyDescent="0.75">
      <c r="A563" t="s">
        <v>11</v>
      </c>
      <c r="B563" s="18">
        <v>2023</v>
      </c>
      <c r="C563" s="4">
        <v>10</v>
      </c>
      <c r="D563">
        <v>185</v>
      </c>
      <c r="E563" s="33">
        <v>51.5</v>
      </c>
      <c r="F563" s="19">
        <v>103.34</v>
      </c>
      <c r="G563" s="19">
        <v>156.76</v>
      </c>
      <c r="H563" s="26">
        <v>1.1200000000000001</v>
      </c>
      <c r="I563" s="19">
        <v>468.77100000000002</v>
      </c>
      <c r="J563" s="40">
        <v>6</v>
      </c>
      <c r="K563" s="43">
        <v>15741</v>
      </c>
      <c r="L563" s="24">
        <v>90.6</v>
      </c>
      <c r="M563" s="42">
        <v>101.2</v>
      </c>
    </row>
    <row r="564" spans="1:13" x14ac:dyDescent="0.75">
      <c r="A564" t="s">
        <v>11</v>
      </c>
      <c r="B564" s="18">
        <v>2023</v>
      </c>
      <c r="C564" s="4">
        <v>11</v>
      </c>
      <c r="D564">
        <v>188</v>
      </c>
      <c r="E564" s="33">
        <v>51.7</v>
      </c>
      <c r="F564" s="19">
        <v>103.35</v>
      </c>
      <c r="G564" s="19">
        <v>210.28</v>
      </c>
      <c r="H564" s="26">
        <v>2.86</v>
      </c>
      <c r="I564" s="19">
        <v>461.12900000000002</v>
      </c>
      <c r="J564" s="40">
        <v>6</v>
      </c>
      <c r="K564" s="43">
        <v>15617</v>
      </c>
      <c r="L564" s="24">
        <v>82.9</v>
      </c>
      <c r="M564" s="42">
        <v>101.4</v>
      </c>
    </row>
    <row r="565" spans="1:13" x14ac:dyDescent="0.75">
      <c r="A565" t="s">
        <v>11</v>
      </c>
      <c r="B565" s="18">
        <v>2023</v>
      </c>
      <c r="C565" s="4">
        <v>12</v>
      </c>
      <c r="D565">
        <v>207</v>
      </c>
      <c r="E565" s="33">
        <v>52.2</v>
      </c>
      <c r="F565" s="19">
        <v>103.47</v>
      </c>
      <c r="G565" s="19">
        <v>170.64</v>
      </c>
      <c r="H565" s="26">
        <v>1.25</v>
      </c>
      <c r="I565" s="19">
        <v>263.63400000000001</v>
      </c>
      <c r="J565" s="40">
        <v>6</v>
      </c>
      <c r="K565" s="43">
        <v>15513</v>
      </c>
      <c r="L565" s="24">
        <v>77.599999999999994</v>
      </c>
      <c r="M565" s="42">
        <v>101.8</v>
      </c>
    </row>
    <row r="566" spans="1:13" x14ac:dyDescent="0.75">
      <c r="A566" t="s">
        <v>12</v>
      </c>
      <c r="B566" s="18">
        <v>2023</v>
      </c>
      <c r="C566" s="4">
        <v>1</v>
      </c>
      <c r="D566">
        <v>0</v>
      </c>
      <c r="E566" s="19">
        <v>51.3</v>
      </c>
      <c r="F566" s="29">
        <v>102.23</v>
      </c>
      <c r="G566" s="26">
        <v>1586.8</v>
      </c>
      <c r="H566" s="29">
        <v>1722.37</v>
      </c>
      <c r="I566" s="19">
        <v>931.50400000000002</v>
      </c>
      <c r="J566" s="40">
        <v>5.75</v>
      </c>
      <c r="K566" s="43">
        <v>15295</v>
      </c>
      <c r="L566" s="24">
        <v>82.5</v>
      </c>
      <c r="M566" s="42">
        <v>99.3</v>
      </c>
    </row>
    <row r="567" spans="1:13" x14ac:dyDescent="0.75">
      <c r="A567" t="s">
        <v>12</v>
      </c>
      <c r="B567" s="18">
        <v>2023</v>
      </c>
      <c r="C567" s="4">
        <v>2</v>
      </c>
      <c r="D567">
        <v>0</v>
      </c>
      <c r="E567" s="19">
        <v>51.2</v>
      </c>
      <c r="F567" s="29">
        <v>102.74</v>
      </c>
      <c r="G567" s="26">
        <v>1571.71</v>
      </c>
      <c r="H567" s="29">
        <v>1571.84</v>
      </c>
      <c r="I567" s="19">
        <v>962.91499999999996</v>
      </c>
      <c r="J567" s="40">
        <v>5.75</v>
      </c>
      <c r="K567" s="43">
        <v>15126</v>
      </c>
      <c r="L567" s="24">
        <v>82.6</v>
      </c>
      <c r="M567" s="42">
        <v>99.6</v>
      </c>
    </row>
    <row r="568" spans="1:13" x14ac:dyDescent="0.75">
      <c r="A568" t="s">
        <v>12</v>
      </c>
      <c r="B568" s="18">
        <v>2023</v>
      </c>
      <c r="C568" s="4">
        <v>3</v>
      </c>
      <c r="D568">
        <v>14</v>
      </c>
      <c r="E568" s="19">
        <v>51.9</v>
      </c>
      <c r="F568" s="29">
        <v>102.49</v>
      </c>
      <c r="G568" s="26">
        <v>1510.97</v>
      </c>
      <c r="H568" s="29">
        <v>1635.96</v>
      </c>
      <c r="I568" s="19">
        <v>981.31899999999996</v>
      </c>
      <c r="J568" s="40">
        <v>5.75</v>
      </c>
      <c r="K568" s="43">
        <v>15301</v>
      </c>
      <c r="L568" s="24">
        <v>78.400000000000006</v>
      </c>
      <c r="M568" s="42">
        <v>99.9</v>
      </c>
    </row>
    <row r="569" spans="1:13" x14ac:dyDescent="0.75">
      <c r="A569" t="s">
        <v>12</v>
      </c>
      <c r="B569" s="18">
        <v>2023</v>
      </c>
      <c r="C569" s="4">
        <v>4</v>
      </c>
      <c r="D569">
        <v>14</v>
      </c>
      <c r="E569" s="19">
        <v>52.7</v>
      </c>
      <c r="F569" s="29">
        <v>102.87</v>
      </c>
      <c r="G569" s="26">
        <v>1462.7</v>
      </c>
      <c r="H569" s="29">
        <v>1426.38</v>
      </c>
      <c r="I569" s="19">
        <v>990.67</v>
      </c>
      <c r="J569" s="40">
        <v>5.75</v>
      </c>
      <c r="K569" s="43">
        <v>14867</v>
      </c>
      <c r="L569" s="24">
        <v>84.6</v>
      </c>
      <c r="M569" s="42">
        <v>100</v>
      </c>
    </row>
    <row r="570" spans="1:13" x14ac:dyDescent="0.75">
      <c r="A570" t="s">
        <v>12</v>
      </c>
      <c r="B570" s="18">
        <v>2023</v>
      </c>
      <c r="C570" s="4">
        <v>5</v>
      </c>
      <c r="D570">
        <v>157</v>
      </c>
      <c r="E570" s="19">
        <v>50.3</v>
      </c>
      <c r="F570" s="29">
        <v>102.62</v>
      </c>
      <c r="G570" s="26">
        <v>1517.81</v>
      </c>
      <c r="H570" s="29">
        <v>1617.99</v>
      </c>
      <c r="I570" s="19">
        <v>1002.567</v>
      </c>
      <c r="J570" s="40">
        <v>5.75</v>
      </c>
      <c r="K570" s="43">
        <v>14811</v>
      </c>
      <c r="L570" s="24">
        <v>75.5</v>
      </c>
      <c r="M570" s="42">
        <v>100.2</v>
      </c>
    </row>
    <row r="571" spans="1:13" x14ac:dyDescent="0.75">
      <c r="A571" t="s">
        <v>12</v>
      </c>
      <c r="B571" s="18">
        <v>2023</v>
      </c>
      <c r="C571" s="4">
        <v>6</v>
      </c>
      <c r="D571">
        <v>160</v>
      </c>
      <c r="E571" s="33">
        <v>52.5</v>
      </c>
      <c r="F571" s="29">
        <v>103.04</v>
      </c>
      <c r="G571" s="26">
        <v>1377.6</v>
      </c>
      <c r="H571" s="29">
        <v>1356.91</v>
      </c>
      <c r="I571" s="19">
        <v>1066.009</v>
      </c>
      <c r="J571" s="40">
        <v>5.75</v>
      </c>
      <c r="K571" s="43">
        <v>14932</v>
      </c>
      <c r="L571" s="24">
        <v>74.8</v>
      </c>
      <c r="M571" s="42">
        <v>100.3</v>
      </c>
    </row>
    <row r="572" spans="1:13" x14ac:dyDescent="0.75">
      <c r="A572" t="s">
        <v>12</v>
      </c>
      <c r="B572" s="18">
        <v>2023</v>
      </c>
      <c r="C572" s="4">
        <v>7</v>
      </c>
      <c r="D572">
        <v>244</v>
      </c>
      <c r="E572" s="33">
        <v>53.3</v>
      </c>
      <c r="F572" s="29">
        <v>103.31</v>
      </c>
      <c r="G572" s="26">
        <v>1546.31</v>
      </c>
      <c r="H572" s="29">
        <v>1598.6</v>
      </c>
      <c r="I572" s="19">
        <v>2106.444</v>
      </c>
      <c r="J572" s="40">
        <v>5.75</v>
      </c>
      <c r="K572" s="43">
        <v>15040</v>
      </c>
      <c r="L572" s="24">
        <v>80.099999999999994</v>
      </c>
      <c r="M572" s="42">
        <v>100.5</v>
      </c>
    </row>
    <row r="573" spans="1:13" x14ac:dyDescent="0.75">
      <c r="A573" t="s">
        <v>12</v>
      </c>
      <c r="B573" s="18">
        <v>2023</v>
      </c>
      <c r="C573" s="4">
        <v>8</v>
      </c>
      <c r="D573">
        <v>261</v>
      </c>
      <c r="E573" s="33">
        <v>53.9</v>
      </c>
      <c r="F573" s="29">
        <v>103.44</v>
      </c>
      <c r="G573" s="26">
        <v>1543.54</v>
      </c>
      <c r="H573" s="29">
        <v>1549.25</v>
      </c>
      <c r="I573" s="19">
        <v>2124.5520000000001</v>
      </c>
      <c r="J573" s="40">
        <v>5.75</v>
      </c>
      <c r="K573" s="43">
        <v>15245</v>
      </c>
      <c r="L573" s="24">
        <v>86.1</v>
      </c>
      <c r="M573" s="42">
        <v>100.5</v>
      </c>
    </row>
    <row r="574" spans="1:13" x14ac:dyDescent="0.75">
      <c r="A574" t="s">
        <v>12</v>
      </c>
      <c r="B574" s="18">
        <v>2023</v>
      </c>
      <c r="C574" s="4">
        <v>9</v>
      </c>
      <c r="D574">
        <v>291</v>
      </c>
      <c r="E574" s="33">
        <v>52.3</v>
      </c>
      <c r="F574" s="29">
        <v>103.7</v>
      </c>
      <c r="G574" s="26">
        <v>1444.48</v>
      </c>
      <c r="H574" s="29">
        <v>1391.77</v>
      </c>
      <c r="I574" s="19">
        <v>2069.62</v>
      </c>
      <c r="J574" s="40">
        <v>5.75</v>
      </c>
      <c r="K574" s="43">
        <v>15354</v>
      </c>
      <c r="L574" s="24" t="s">
        <v>64</v>
      </c>
      <c r="M574" s="42">
        <v>100.9</v>
      </c>
    </row>
    <row r="575" spans="1:13" x14ac:dyDescent="0.75">
      <c r="A575" t="s">
        <v>12</v>
      </c>
      <c r="B575" s="18">
        <v>2023</v>
      </c>
      <c r="C575" s="4">
        <v>10</v>
      </c>
      <c r="D575">
        <v>428</v>
      </c>
      <c r="E575" s="33">
        <v>51.5</v>
      </c>
      <c r="F575" s="29">
        <v>103.98</v>
      </c>
      <c r="G575" s="26">
        <v>1206.45</v>
      </c>
      <c r="H575" s="29">
        <v>1391.99</v>
      </c>
      <c r="I575" s="19">
        <v>2086.3670000000002</v>
      </c>
      <c r="J575" s="40">
        <v>6</v>
      </c>
      <c r="K575" s="43">
        <v>15741</v>
      </c>
      <c r="L575" s="24">
        <v>90.6</v>
      </c>
      <c r="M575" s="42">
        <v>101.2</v>
      </c>
    </row>
    <row r="576" spans="1:13" x14ac:dyDescent="0.75">
      <c r="A576" t="s">
        <v>12</v>
      </c>
      <c r="B576" s="18">
        <v>2023</v>
      </c>
      <c r="C576" s="4">
        <v>11</v>
      </c>
      <c r="D576">
        <v>462</v>
      </c>
      <c r="E576" s="33">
        <v>51.7</v>
      </c>
      <c r="F576" s="29">
        <v>104.65</v>
      </c>
      <c r="G576" s="26">
        <v>1223.8</v>
      </c>
      <c r="H576" s="29">
        <v>1320.32</v>
      </c>
      <c r="I576" s="19">
        <v>2007.615</v>
      </c>
      <c r="J576" s="40">
        <v>6</v>
      </c>
      <c r="K576" s="43">
        <v>15617</v>
      </c>
      <c r="L576" s="24">
        <v>82.9</v>
      </c>
      <c r="M576" s="42">
        <v>101.4</v>
      </c>
    </row>
    <row r="577" spans="1:13" x14ac:dyDescent="0.75">
      <c r="A577" t="s">
        <v>12</v>
      </c>
      <c r="B577" s="18">
        <v>2023</v>
      </c>
      <c r="C577" s="4">
        <v>12</v>
      </c>
      <c r="D577">
        <v>683</v>
      </c>
      <c r="E577" s="33">
        <v>52.2</v>
      </c>
      <c r="F577" s="29">
        <v>105.15</v>
      </c>
      <c r="G577" s="26">
        <v>1797.08</v>
      </c>
      <c r="H577" s="29">
        <v>1316.86</v>
      </c>
      <c r="I577" s="19">
        <v>1885.7049999999999</v>
      </c>
      <c r="J577" s="40">
        <v>6</v>
      </c>
      <c r="K577" s="43">
        <v>15513</v>
      </c>
      <c r="L577" s="24">
        <v>77.599999999999994</v>
      </c>
      <c r="M577" s="42">
        <v>101.8</v>
      </c>
    </row>
    <row r="578" spans="1:13" x14ac:dyDescent="0.75">
      <c r="A578" t="s">
        <v>13</v>
      </c>
      <c r="B578" s="18">
        <v>2023</v>
      </c>
      <c r="C578" s="4">
        <v>1</v>
      </c>
      <c r="D578">
        <v>127</v>
      </c>
      <c r="E578" s="19">
        <v>51.3</v>
      </c>
      <c r="F578" s="29">
        <v>102.08</v>
      </c>
      <c r="G578" s="29">
        <v>914.35</v>
      </c>
      <c r="H578" s="29">
        <v>8641.24</v>
      </c>
      <c r="I578" s="19">
        <v>69706.216</v>
      </c>
      <c r="J578" s="40">
        <v>5.75</v>
      </c>
      <c r="K578" s="43">
        <v>15295</v>
      </c>
      <c r="L578" s="24">
        <v>82.5</v>
      </c>
      <c r="M578" s="42">
        <v>99.3</v>
      </c>
    </row>
    <row r="579" spans="1:13" x14ac:dyDescent="0.75">
      <c r="A579" t="s">
        <v>13</v>
      </c>
      <c r="B579" s="18">
        <v>2023</v>
      </c>
      <c r="C579" s="4">
        <v>2</v>
      </c>
      <c r="D579">
        <v>127</v>
      </c>
      <c r="E579" s="19">
        <v>51.2</v>
      </c>
      <c r="F579" s="29">
        <v>102.25</v>
      </c>
      <c r="G579" s="29">
        <v>921.19</v>
      </c>
      <c r="H579" s="29">
        <v>7596.02</v>
      </c>
      <c r="I579" s="19">
        <v>68903.141000000003</v>
      </c>
      <c r="J579" s="40">
        <v>5.75</v>
      </c>
      <c r="K579" s="43">
        <v>15126</v>
      </c>
      <c r="L579" s="24">
        <v>82.6</v>
      </c>
      <c r="M579" s="42">
        <v>99.6</v>
      </c>
    </row>
    <row r="580" spans="1:13" x14ac:dyDescent="0.75">
      <c r="A580" t="s">
        <v>13</v>
      </c>
      <c r="B580" s="18">
        <v>2023</v>
      </c>
      <c r="C580" s="4">
        <v>3</v>
      </c>
      <c r="D580">
        <v>127</v>
      </c>
      <c r="E580" s="19">
        <v>51.9</v>
      </c>
      <c r="F580" s="29">
        <v>102.57</v>
      </c>
      <c r="G580" s="29">
        <v>986.06</v>
      </c>
      <c r="H580" s="29">
        <v>9810.11</v>
      </c>
      <c r="I580" s="19">
        <v>68106.663</v>
      </c>
      <c r="J580" s="40">
        <v>5.75</v>
      </c>
      <c r="K580" s="43">
        <v>15301</v>
      </c>
      <c r="L580" s="24">
        <v>78.400000000000006</v>
      </c>
      <c r="M580" s="42">
        <v>99.9</v>
      </c>
    </row>
    <row r="581" spans="1:13" x14ac:dyDescent="0.75">
      <c r="A581" t="s">
        <v>13</v>
      </c>
      <c r="B581" s="18">
        <v>2023</v>
      </c>
      <c r="C581" s="4">
        <v>4</v>
      </c>
      <c r="D581">
        <v>127</v>
      </c>
      <c r="E581" s="19">
        <v>52.7</v>
      </c>
      <c r="F581" s="29">
        <v>102.91</v>
      </c>
      <c r="G581" s="29">
        <v>665.05</v>
      </c>
      <c r="H581" s="29">
        <v>6448.02</v>
      </c>
      <c r="I581" s="19">
        <v>67253.842000000004</v>
      </c>
      <c r="J581" s="40">
        <v>5.75</v>
      </c>
      <c r="K581" s="43">
        <v>14867</v>
      </c>
      <c r="L581" s="24">
        <v>84.6</v>
      </c>
      <c r="M581" s="42">
        <v>100</v>
      </c>
    </row>
    <row r="582" spans="1:13" x14ac:dyDescent="0.75">
      <c r="A582" t="s">
        <v>13</v>
      </c>
      <c r="B582" s="18">
        <v>2023</v>
      </c>
      <c r="C582" s="4">
        <v>5</v>
      </c>
      <c r="D582">
        <v>127</v>
      </c>
      <c r="E582" s="19">
        <v>50.3</v>
      </c>
      <c r="F582" s="29">
        <v>102.83</v>
      </c>
      <c r="G582" s="29">
        <v>960.6</v>
      </c>
      <c r="H582" s="29">
        <v>9936.27</v>
      </c>
      <c r="I582" s="19">
        <v>69800.659</v>
      </c>
      <c r="J582" s="40">
        <v>5.75</v>
      </c>
      <c r="K582" s="43">
        <v>14811</v>
      </c>
      <c r="L582" s="24">
        <v>75.5</v>
      </c>
      <c r="M582" s="42">
        <v>100.2</v>
      </c>
    </row>
    <row r="583" spans="1:13" x14ac:dyDescent="0.75">
      <c r="A583" t="s">
        <v>13</v>
      </c>
      <c r="B583" s="18">
        <v>2023</v>
      </c>
      <c r="C583" s="4">
        <v>6</v>
      </c>
      <c r="D583">
        <v>683</v>
      </c>
      <c r="E583" s="33">
        <v>52.5</v>
      </c>
      <c r="F583" s="29">
        <v>102.81</v>
      </c>
      <c r="G583" s="29">
        <v>858.22</v>
      </c>
      <c r="H583" s="29">
        <v>8161.73</v>
      </c>
      <c r="I583" s="19">
        <v>71019.028000000006</v>
      </c>
      <c r="J583" s="40">
        <v>5.75</v>
      </c>
      <c r="K583" s="43">
        <v>14932</v>
      </c>
      <c r="L583" s="24">
        <v>74.8</v>
      </c>
      <c r="M583" s="42">
        <v>100.3</v>
      </c>
    </row>
    <row r="584" spans="1:13" x14ac:dyDescent="0.75">
      <c r="A584" t="s">
        <v>13</v>
      </c>
      <c r="B584" s="18">
        <v>2023</v>
      </c>
      <c r="C584" s="4">
        <v>7</v>
      </c>
      <c r="D584">
        <v>1105</v>
      </c>
      <c r="E584" s="33">
        <v>53.3</v>
      </c>
      <c r="F584" s="29">
        <v>103.01</v>
      </c>
      <c r="G584" s="29">
        <v>896.67</v>
      </c>
      <c r="H584" s="29">
        <v>8961.32</v>
      </c>
      <c r="I584" s="19">
        <v>72002.725000000006</v>
      </c>
      <c r="J584" s="40">
        <v>5.75</v>
      </c>
      <c r="K584" s="43">
        <v>15040</v>
      </c>
      <c r="L584" s="24">
        <v>80.099999999999994</v>
      </c>
      <c r="M584" s="42">
        <v>100.5</v>
      </c>
    </row>
    <row r="585" spans="1:13" x14ac:dyDescent="0.75">
      <c r="A585" t="s">
        <v>13</v>
      </c>
      <c r="B585" s="18">
        <v>2023</v>
      </c>
      <c r="C585" s="4">
        <v>8</v>
      </c>
      <c r="D585">
        <v>1105</v>
      </c>
      <c r="E585" s="33">
        <v>53.9</v>
      </c>
      <c r="F585" s="29">
        <v>103.04</v>
      </c>
      <c r="G585" s="29">
        <v>979.45</v>
      </c>
      <c r="H585" s="29">
        <v>8941.91</v>
      </c>
      <c r="I585" s="19">
        <v>71498.338000000003</v>
      </c>
      <c r="J585" s="40">
        <v>5.75</v>
      </c>
      <c r="K585" s="43">
        <v>15245</v>
      </c>
      <c r="L585" s="24">
        <v>86.1</v>
      </c>
      <c r="M585" s="42">
        <v>100.5</v>
      </c>
    </row>
    <row r="586" spans="1:13" x14ac:dyDescent="0.75">
      <c r="A586" t="s">
        <v>13</v>
      </c>
      <c r="B586" s="18">
        <v>2023</v>
      </c>
      <c r="C586" s="4">
        <v>9</v>
      </c>
      <c r="D586">
        <v>1259</v>
      </c>
      <c r="E586" s="33">
        <v>52.3</v>
      </c>
      <c r="F586" s="29">
        <v>103.22</v>
      </c>
      <c r="G586" s="29">
        <v>963.38</v>
      </c>
      <c r="H586" s="29">
        <v>7475.55</v>
      </c>
      <c r="I586" s="19">
        <v>71305.067999999999</v>
      </c>
      <c r="J586" s="40">
        <v>5.75</v>
      </c>
      <c r="K586" s="43">
        <v>15354</v>
      </c>
      <c r="L586" s="24" t="s">
        <v>64</v>
      </c>
      <c r="M586" s="42">
        <v>100.9</v>
      </c>
    </row>
    <row r="587" spans="1:13" x14ac:dyDescent="0.75">
      <c r="A587" t="s">
        <v>13</v>
      </c>
      <c r="B587" s="18">
        <v>2023</v>
      </c>
      <c r="C587" s="4">
        <v>10</v>
      </c>
      <c r="D587">
        <v>1259</v>
      </c>
      <c r="E587" s="33">
        <v>51.5</v>
      </c>
      <c r="F587" s="29">
        <v>103.37</v>
      </c>
      <c r="G587" s="29">
        <v>1003.39</v>
      </c>
      <c r="H587" s="29">
        <v>8478.2099999999991</v>
      </c>
      <c r="I587" s="19">
        <v>69522.553</v>
      </c>
      <c r="J587" s="40">
        <v>6</v>
      </c>
      <c r="K587" s="43">
        <v>15741</v>
      </c>
      <c r="L587" s="24">
        <v>90.6</v>
      </c>
      <c r="M587" s="42">
        <v>101.2</v>
      </c>
    </row>
    <row r="588" spans="1:13" x14ac:dyDescent="0.75">
      <c r="A588" t="s">
        <v>13</v>
      </c>
      <c r="B588" s="18">
        <v>2023</v>
      </c>
      <c r="C588" s="4">
        <v>11</v>
      </c>
      <c r="D588">
        <v>2156</v>
      </c>
      <c r="E588" s="33">
        <v>51.7</v>
      </c>
      <c r="F588" s="29">
        <v>103.66</v>
      </c>
      <c r="G588" s="29">
        <v>996.46</v>
      </c>
      <c r="H588" s="29">
        <v>8623.1299999999992</v>
      </c>
      <c r="I588" s="19">
        <v>68878.123999999996</v>
      </c>
      <c r="J588" s="40">
        <v>6</v>
      </c>
      <c r="K588" s="43">
        <v>15617</v>
      </c>
      <c r="L588" s="24">
        <v>82.9</v>
      </c>
      <c r="M588" s="42">
        <v>101.4</v>
      </c>
    </row>
    <row r="589" spans="1:13" x14ac:dyDescent="0.75">
      <c r="A589" t="s">
        <v>13</v>
      </c>
      <c r="B589" s="18">
        <v>2023</v>
      </c>
      <c r="C589" s="4">
        <v>12</v>
      </c>
      <c r="D589">
        <v>2413</v>
      </c>
      <c r="E589" s="33">
        <v>52.2</v>
      </c>
      <c r="F589" s="29">
        <v>104.15</v>
      </c>
      <c r="G589" s="29">
        <v>931.62</v>
      </c>
      <c r="H589" s="29">
        <v>7882.68</v>
      </c>
      <c r="I589" s="19">
        <v>65491.027999999998</v>
      </c>
      <c r="J589" s="40">
        <v>6</v>
      </c>
      <c r="K589" s="43">
        <v>15513</v>
      </c>
      <c r="L589" s="24">
        <v>77.599999999999994</v>
      </c>
      <c r="M589" s="42">
        <v>101.8</v>
      </c>
    </row>
    <row r="590" spans="1:13" x14ac:dyDescent="0.75">
      <c r="A590" t="s">
        <v>14</v>
      </c>
      <c r="B590" s="18">
        <v>2023</v>
      </c>
      <c r="C590" s="4">
        <v>1</v>
      </c>
      <c r="D590">
        <v>921</v>
      </c>
      <c r="E590" s="19">
        <v>51.3</v>
      </c>
      <c r="F590" s="26">
        <v>102.66</v>
      </c>
      <c r="G590" s="29">
        <v>3069</v>
      </c>
      <c r="H590" s="26">
        <v>477.42</v>
      </c>
      <c r="I590" s="19">
        <v>17497.356</v>
      </c>
      <c r="J590" s="40">
        <v>5.75</v>
      </c>
      <c r="K590" s="43">
        <v>15295</v>
      </c>
      <c r="L590" s="24">
        <v>82.5</v>
      </c>
      <c r="M590" s="42">
        <v>99.3</v>
      </c>
    </row>
    <row r="591" spans="1:13" x14ac:dyDescent="0.75">
      <c r="A591" t="s">
        <v>14</v>
      </c>
      <c r="B591" s="18">
        <v>2023</v>
      </c>
      <c r="C591" s="4">
        <v>2</v>
      </c>
      <c r="D591">
        <v>1794</v>
      </c>
      <c r="E591" s="19">
        <v>51.2</v>
      </c>
      <c r="F591" s="26">
        <v>103.06</v>
      </c>
      <c r="G591" s="29">
        <v>2928.68</v>
      </c>
      <c r="H591" s="26">
        <v>230.27</v>
      </c>
      <c r="I591" s="19">
        <v>17830.571</v>
      </c>
      <c r="J591" s="40">
        <v>5.75</v>
      </c>
      <c r="K591" s="43">
        <v>15126</v>
      </c>
      <c r="L591" s="24">
        <v>82.6</v>
      </c>
      <c r="M591" s="42">
        <v>99.6</v>
      </c>
    </row>
    <row r="592" spans="1:13" x14ac:dyDescent="0.75">
      <c r="A592" t="s">
        <v>14</v>
      </c>
      <c r="B592" s="18">
        <v>2023</v>
      </c>
      <c r="C592" s="4">
        <v>3</v>
      </c>
      <c r="D592">
        <v>5603</v>
      </c>
      <c r="E592" s="19">
        <v>51.9</v>
      </c>
      <c r="F592" s="26">
        <v>103.19</v>
      </c>
      <c r="G592" s="29">
        <v>3195.64</v>
      </c>
      <c r="H592" s="26">
        <v>384.96</v>
      </c>
      <c r="I592" s="19">
        <v>17657.937000000002</v>
      </c>
      <c r="J592" s="40">
        <v>5.75</v>
      </c>
      <c r="K592" s="43">
        <v>15301</v>
      </c>
      <c r="L592" s="24">
        <v>78.400000000000006</v>
      </c>
      <c r="M592" s="42">
        <v>99.9</v>
      </c>
    </row>
    <row r="593" spans="1:13" x14ac:dyDescent="0.75">
      <c r="A593" t="s">
        <v>14</v>
      </c>
      <c r="B593" s="18">
        <v>2023</v>
      </c>
      <c r="C593" s="4">
        <v>4</v>
      </c>
      <c r="D593">
        <v>5603</v>
      </c>
      <c r="E593" s="19">
        <v>52.7</v>
      </c>
      <c r="F593" s="26">
        <v>103.75</v>
      </c>
      <c r="G593" s="29">
        <v>2255.7800000000002</v>
      </c>
      <c r="H593" s="26">
        <v>331.6</v>
      </c>
      <c r="I593" s="19">
        <v>19414.79</v>
      </c>
      <c r="J593" s="40">
        <v>5.75</v>
      </c>
      <c r="K593" s="43">
        <v>14867</v>
      </c>
      <c r="L593" s="24">
        <v>84.6</v>
      </c>
      <c r="M593" s="42">
        <v>100</v>
      </c>
    </row>
    <row r="594" spans="1:13" x14ac:dyDescent="0.75">
      <c r="A594" t="s">
        <v>14</v>
      </c>
      <c r="B594" s="18">
        <v>2023</v>
      </c>
      <c r="C594" s="4">
        <v>5</v>
      </c>
      <c r="D594">
        <v>6350</v>
      </c>
      <c r="E594" s="19">
        <v>50.3</v>
      </c>
      <c r="F594" s="26">
        <v>103.92</v>
      </c>
      <c r="G594" s="29">
        <v>3349.51</v>
      </c>
      <c r="H594" s="26">
        <v>577.82000000000005</v>
      </c>
      <c r="I594" s="19">
        <v>18356.199000000001</v>
      </c>
      <c r="J594" s="40">
        <v>5.75</v>
      </c>
      <c r="K594" s="43">
        <v>14811</v>
      </c>
      <c r="L594" s="24">
        <v>75.5</v>
      </c>
      <c r="M594" s="42">
        <v>100.2</v>
      </c>
    </row>
    <row r="595" spans="1:13" x14ac:dyDescent="0.75">
      <c r="A595" t="s">
        <v>14</v>
      </c>
      <c r="B595" s="18">
        <v>2023</v>
      </c>
      <c r="C595" s="4">
        <v>6</v>
      </c>
      <c r="D595">
        <v>11595</v>
      </c>
      <c r="E595" s="33">
        <v>52.5</v>
      </c>
      <c r="F595" s="26">
        <v>104.29</v>
      </c>
      <c r="G595" s="29">
        <v>3094.3</v>
      </c>
      <c r="H595" s="26">
        <v>421.82</v>
      </c>
      <c r="I595" s="19">
        <v>17653.739000000001</v>
      </c>
      <c r="J595" s="40">
        <v>5.75</v>
      </c>
      <c r="K595" s="43">
        <v>14932</v>
      </c>
      <c r="L595" s="24">
        <v>74.8</v>
      </c>
      <c r="M595" s="42">
        <v>100.3</v>
      </c>
    </row>
    <row r="596" spans="1:13" x14ac:dyDescent="0.75">
      <c r="A596" t="s">
        <v>14</v>
      </c>
      <c r="B596" s="18">
        <v>2023</v>
      </c>
      <c r="C596" s="4">
        <v>7</v>
      </c>
      <c r="D596">
        <v>12498</v>
      </c>
      <c r="E596" s="33">
        <v>53.3</v>
      </c>
      <c r="F596" s="26">
        <v>104.48</v>
      </c>
      <c r="G596" s="29">
        <v>3232.51</v>
      </c>
      <c r="H596" s="26">
        <v>613.96</v>
      </c>
      <c r="I596" s="19">
        <v>18655.106</v>
      </c>
      <c r="J596" s="40">
        <v>5.75</v>
      </c>
      <c r="K596" s="43">
        <v>15040</v>
      </c>
      <c r="L596" s="24">
        <v>80.099999999999994</v>
      </c>
      <c r="M596" s="42">
        <v>100.5</v>
      </c>
    </row>
    <row r="597" spans="1:13" x14ac:dyDescent="0.75">
      <c r="A597" t="s">
        <v>14</v>
      </c>
      <c r="B597" s="18">
        <v>2023</v>
      </c>
      <c r="C597" s="4">
        <v>8</v>
      </c>
      <c r="D597">
        <v>14267</v>
      </c>
      <c r="E597" s="33">
        <v>53.9</v>
      </c>
      <c r="F597" s="26">
        <v>104.4</v>
      </c>
      <c r="G597" s="29">
        <v>3455.14</v>
      </c>
      <c r="H597" s="26">
        <v>479.02</v>
      </c>
      <c r="I597" s="19">
        <v>18843.284</v>
      </c>
      <c r="J597" s="40">
        <v>5.75</v>
      </c>
      <c r="K597" s="43">
        <v>15245</v>
      </c>
      <c r="L597" s="24">
        <v>86.1</v>
      </c>
      <c r="M597" s="42">
        <v>100.5</v>
      </c>
    </row>
    <row r="598" spans="1:13" x14ac:dyDescent="0.75">
      <c r="A598" t="s">
        <v>14</v>
      </c>
      <c r="B598" s="18">
        <v>2023</v>
      </c>
      <c r="C598" s="4">
        <v>9</v>
      </c>
      <c r="D598">
        <v>14601</v>
      </c>
      <c r="E598" s="33">
        <v>52.3</v>
      </c>
      <c r="F598" s="26">
        <v>104.5</v>
      </c>
      <c r="G598" s="29">
        <v>3050.89</v>
      </c>
      <c r="H598" s="26">
        <v>478.49</v>
      </c>
      <c r="I598" s="19">
        <v>18484.329000000002</v>
      </c>
      <c r="J598" s="40">
        <v>5.75</v>
      </c>
      <c r="K598" s="43">
        <v>15354</v>
      </c>
      <c r="L598" s="24" t="s">
        <v>64</v>
      </c>
      <c r="M598" s="42">
        <v>100.9</v>
      </c>
    </row>
    <row r="599" spans="1:13" x14ac:dyDescent="0.75">
      <c r="A599" t="s">
        <v>14</v>
      </c>
      <c r="B599" s="18">
        <v>2023</v>
      </c>
      <c r="C599" s="4">
        <v>10</v>
      </c>
      <c r="D599">
        <v>15749</v>
      </c>
      <c r="E599" s="33">
        <v>51.5</v>
      </c>
      <c r="F599" s="26">
        <v>104.69</v>
      </c>
      <c r="G599" s="29">
        <v>3124.91</v>
      </c>
      <c r="H599" s="26">
        <v>591.95000000000005</v>
      </c>
      <c r="I599" s="19">
        <v>19261.647000000001</v>
      </c>
      <c r="J599" s="40">
        <v>6</v>
      </c>
      <c r="K599" s="43">
        <v>15741</v>
      </c>
      <c r="L599" s="24">
        <v>90.6</v>
      </c>
      <c r="M599" s="42">
        <v>101.2</v>
      </c>
    </row>
    <row r="600" spans="1:13" x14ac:dyDescent="0.75">
      <c r="A600" t="s">
        <v>14</v>
      </c>
      <c r="B600" s="18">
        <v>2023</v>
      </c>
      <c r="C600" s="4">
        <v>11</v>
      </c>
      <c r="D600">
        <v>17545</v>
      </c>
      <c r="E600" s="33">
        <v>51.7</v>
      </c>
      <c r="F600" s="26">
        <v>105.2</v>
      </c>
      <c r="G600" s="29">
        <v>3003.91</v>
      </c>
      <c r="H600" s="26">
        <v>664.65</v>
      </c>
      <c r="I600" s="19">
        <v>18431.245999999999</v>
      </c>
      <c r="J600" s="40">
        <v>6</v>
      </c>
      <c r="K600" s="43">
        <v>15617</v>
      </c>
      <c r="L600" s="24">
        <v>82.9</v>
      </c>
      <c r="M600" s="42">
        <v>101.4</v>
      </c>
    </row>
    <row r="601" spans="1:13" x14ac:dyDescent="0.75">
      <c r="A601" t="s">
        <v>14</v>
      </c>
      <c r="B601" s="18">
        <v>2023</v>
      </c>
      <c r="C601" s="4">
        <v>12</v>
      </c>
      <c r="D601">
        <v>19217</v>
      </c>
      <c r="E601" s="33">
        <v>52.2</v>
      </c>
      <c r="F601" s="26">
        <v>105.6</v>
      </c>
      <c r="G601" s="29">
        <v>2872.13</v>
      </c>
      <c r="H601" s="26">
        <v>704.73</v>
      </c>
      <c r="I601" s="19">
        <v>17232.37</v>
      </c>
      <c r="J601" s="40">
        <v>6</v>
      </c>
      <c r="K601" s="43">
        <v>15513</v>
      </c>
      <c r="L601" s="24">
        <v>77.599999999999994</v>
      </c>
      <c r="M601" s="42">
        <v>101.8</v>
      </c>
    </row>
    <row r="602" spans="1:13" x14ac:dyDescent="0.75">
      <c r="A602" t="s">
        <v>15</v>
      </c>
      <c r="B602" s="18">
        <v>2023</v>
      </c>
      <c r="C602" s="4">
        <v>1</v>
      </c>
      <c r="D602">
        <v>1038</v>
      </c>
      <c r="E602" s="19">
        <v>51.3</v>
      </c>
      <c r="F602" s="19">
        <v>102.47</v>
      </c>
      <c r="G602" s="26">
        <v>850.8</v>
      </c>
      <c r="H602" s="19">
        <v>1362.16</v>
      </c>
      <c r="I602" s="19">
        <v>16023.911</v>
      </c>
      <c r="J602" s="40">
        <v>5.75</v>
      </c>
      <c r="K602" s="43">
        <v>15295</v>
      </c>
      <c r="L602" s="24">
        <v>82.5</v>
      </c>
      <c r="M602" s="42">
        <v>99.3</v>
      </c>
    </row>
    <row r="603" spans="1:13" x14ac:dyDescent="0.75">
      <c r="A603" t="s">
        <v>15</v>
      </c>
      <c r="B603" s="18">
        <v>2023</v>
      </c>
      <c r="C603" s="4">
        <v>2</v>
      </c>
      <c r="D603">
        <v>1121</v>
      </c>
      <c r="E603" s="19">
        <v>51.2</v>
      </c>
      <c r="F603" s="19">
        <v>102.77</v>
      </c>
      <c r="G603" s="26">
        <v>822.53</v>
      </c>
      <c r="H603" s="19">
        <v>839.09</v>
      </c>
      <c r="I603" s="19">
        <v>16256.313</v>
      </c>
      <c r="J603" s="40">
        <v>5.75</v>
      </c>
      <c r="K603" s="43">
        <v>15126</v>
      </c>
      <c r="L603" s="24">
        <v>82.6</v>
      </c>
      <c r="M603" s="42">
        <v>99.6</v>
      </c>
    </row>
    <row r="604" spans="1:13" x14ac:dyDescent="0.75">
      <c r="A604" t="s">
        <v>15</v>
      </c>
      <c r="B604" s="18">
        <v>2023</v>
      </c>
      <c r="C604" s="4">
        <v>3</v>
      </c>
      <c r="D604">
        <v>4887</v>
      </c>
      <c r="E604" s="19">
        <v>51.9</v>
      </c>
      <c r="F604" s="19">
        <v>102.96</v>
      </c>
      <c r="G604" s="26">
        <v>905.01</v>
      </c>
      <c r="H604" s="19">
        <v>1266.29</v>
      </c>
      <c r="I604" s="19">
        <v>16142.898999999999</v>
      </c>
      <c r="J604" s="40">
        <v>5.75</v>
      </c>
      <c r="K604" s="43">
        <v>15301</v>
      </c>
      <c r="L604" s="24">
        <v>78.400000000000006</v>
      </c>
      <c r="M604" s="42">
        <v>99.9</v>
      </c>
    </row>
    <row r="605" spans="1:13" x14ac:dyDescent="0.75">
      <c r="A605" t="s">
        <v>15</v>
      </c>
      <c r="B605" s="18">
        <v>2023</v>
      </c>
      <c r="C605" s="4">
        <v>4</v>
      </c>
      <c r="D605">
        <v>4887</v>
      </c>
      <c r="E605" s="19">
        <v>52.7</v>
      </c>
      <c r="F605" s="19">
        <v>103.29</v>
      </c>
      <c r="G605" s="26">
        <v>677.65</v>
      </c>
      <c r="H605" s="19">
        <v>982.15</v>
      </c>
      <c r="I605" s="19">
        <v>16382.706</v>
      </c>
      <c r="J605" s="40">
        <v>5.75</v>
      </c>
      <c r="K605" s="43">
        <v>14867</v>
      </c>
      <c r="L605" s="24">
        <v>84.6</v>
      </c>
      <c r="M605" s="42">
        <v>100</v>
      </c>
    </row>
    <row r="606" spans="1:13" x14ac:dyDescent="0.75">
      <c r="A606" t="s">
        <v>15</v>
      </c>
      <c r="B606" s="18">
        <v>2023</v>
      </c>
      <c r="C606" s="4">
        <v>5</v>
      </c>
      <c r="D606">
        <v>4887</v>
      </c>
      <c r="E606" s="19">
        <v>50.3</v>
      </c>
      <c r="F606" s="19">
        <v>103.68</v>
      </c>
      <c r="G606" s="26">
        <v>955.46</v>
      </c>
      <c r="H606" s="19">
        <v>1593.03</v>
      </c>
      <c r="I606" s="19">
        <v>16598.962</v>
      </c>
      <c r="J606" s="40">
        <v>5.75</v>
      </c>
      <c r="K606" s="43">
        <v>14811</v>
      </c>
      <c r="L606" s="24">
        <v>75.5</v>
      </c>
      <c r="M606" s="42">
        <v>100.2</v>
      </c>
    </row>
    <row r="607" spans="1:13" x14ac:dyDescent="0.75">
      <c r="A607" t="s">
        <v>15</v>
      </c>
      <c r="B607" s="18">
        <v>2023</v>
      </c>
      <c r="C607" s="4">
        <v>6</v>
      </c>
      <c r="D607">
        <v>4887</v>
      </c>
      <c r="E607" s="33">
        <v>52.5</v>
      </c>
      <c r="F607" s="19">
        <v>103.83</v>
      </c>
      <c r="G607" s="26">
        <v>860.63</v>
      </c>
      <c r="H607" s="19">
        <v>951.93</v>
      </c>
      <c r="I607" s="19">
        <v>15727.932000000001</v>
      </c>
      <c r="J607" s="40">
        <v>5.75</v>
      </c>
      <c r="K607" s="43">
        <v>14932</v>
      </c>
      <c r="L607" s="24">
        <v>74.8</v>
      </c>
      <c r="M607" s="42">
        <v>100.3</v>
      </c>
    </row>
    <row r="608" spans="1:13" x14ac:dyDescent="0.75">
      <c r="A608" t="s">
        <v>15</v>
      </c>
      <c r="B608" s="18">
        <v>2023</v>
      </c>
      <c r="C608" s="4">
        <v>7</v>
      </c>
      <c r="D608">
        <v>6223</v>
      </c>
      <c r="E608" s="33">
        <v>53.3</v>
      </c>
      <c r="F608" s="19">
        <v>104.06</v>
      </c>
      <c r="G608" s="26">
        <v>865.16</v>
      </c>
      <c r="H608" s="19">
        <v>1184.6400000000001</v>
      </c>
      <c r="I608" s="19">
        <v>15638.084000000001</v>
      </c>
      <c r="J608" s="40">
        <v>5.75</v>
      </c>
      <c r="K608" s="43">
        <v>15040</v>
      </c>
      <c r="L608" s="24">
        <v>80.099999999999994</v>
      </c>
      <c r="M608" s="42">
        <v>100.5</v>
      </c>
    </row>
    <row r="609" spans="1:13" x14ac:dyDescent="0.75">
      <c r="A609" t="s">
        <v>15</v>
      </c>
      <c r="B609" s="18">
        <v>2023</v>
      </c>
      <c r="C609" s="4">
        <v>8</v>
      </c>
      <c r="D609">
        <v>6430</v>
      </c>
      <c r="E609" s="33">
        <v>53.9</v>
      </c>
      <c r="F609" s="19">
        <v>104.09</v>
      </c>
      <c r="G609" s="26">
        <v>885.75</v>
      </c>
      <c r="H609" s="19">
        <v>1241.26</v>
      </c>
      <c r="I609" s="19">
        <v>15886.776</v>
      </c>
      <c r="J609" s="40">
        <v>5.75</v>
      </c>
      <c r="K609" s="43">
        <v>15245</v>
      </c>
      <c r="L609" s="24">
        <v>86.1</v>
      </c>
      <c r="M609" s="42">
        <v>100.5</v>
      </c>
    </row>
    <row r="610" spans="1:13" x14ac:dyDescent="0.75">
      <c r="A610" t="s">
        <v>15</v>
      </c>
      <c r="B610" s="18">
        <v>2023</v>
      </c>
      <c r="C610" s="4">
        <v>9</v>
      </c>
      <c r="D610">
        <v>7821</v>
      </c>
      <c r="E610" s="33">
        <v>52.3</v>
      </c>
      <c r="F610" s="19">
        <v>104.34</v>
      </c>
      <c r="G610" s="26">
        <v>787.03</v>
      </c>
      <c r="H610" s="19">
        <v>1414.29</v>
      </c>
      <c r="I610" s="19">
        <v>15911.942999999999</v>
      </c>
      <c r="J610" s="40">
        <v>5.75</v>
      </c>
      <c r="K610" s="43">
        <v>15354</v>
      </c>
      <c r="L610" s="24" t="s">
        <v>64</v>
      </c>
      <c r="M610" s="42">
        <v>100.9</v>
      </c>
    </row>
    <row r="611" spans="1:13" x14ac:dyDescent="0.75">
      <c r="A611" t="s">
        <v>15</v>
      </c>
      <c r="B611" s="18">
        <v>2023</v>
      </c>
      <c r="C611" s="4">
        <v>10</v>
      </c>
      <c r="D611">
        <v>8296</v>
      </c>
      <c r="E611" s="33">
        <v>51.5</v>
      </c>
      <c r="F611" s="19">
        <v>104.51</v>
      </c>
      <c r="G611" s="26">
        <v>858.27</v>
      </c>
      <c r="H611" s="19">
        <v>1003.07</v>
      </c>
      <c r="I611" s="19">
        <v>16484.105</v>
      </c>
      <c r="J611" s="40">
        <v>6</v>
      </c>
      <c r="K611" s="43">
        <v>15741</v>
      </c>
      <c r="L611" s="24">
        <v>90.6</v>
      </c>
      <c r="M611" s="42">
        <v>101.2</v>
      </c>
    </row>
    <row r="612" spans="1:13" x14ac:dyDescent="0.75">
      <c r="A612" t="s">
        <v>15</v>
      </c>
      <c r="B612" s="18">
        <v>2023</v>
      </c>
      <c r="C612" s="4">
        <v>11</v>
      </c>
      <c r="D612">
        <v>9374</v>
      </c>
      <c r="E612" s="33">
        <v>51.7</v>
      </c>
      <c r="F612" s="19">
        <v>105.06</v>
      </c>
      <c r="G612" s="26">
        <v>879.02</v>
      </c>
      <c r="H612" s="19">
        <v>1404.65</v>
      </c>
      <c r="I612" s="19">
        <v>16440.723000000002</v>
      </c>
      <c r="J612" s="40">
        <v>6</v>
      </c>
      <c r="K612" s="43">
        <v>15617</v>
      </c>
      <c r="L612" s="24">
        <v>82.9</v>
      </c>
      <c r="M612" s="42">
        <v>101.4</v>
      </c>
    </row>
    <row r="613" spans="1:13" x14ac:dyDescent="0.75">
      <c r="A613" t="s">
        <v>15</v>
      </c>
      <c r="B613" s="18">
        <v>2023</v>
      </c>
      <c r="C613" s="4">
        <v>12</v>
      </c>
      <c r="D613">
        <v>9435</v>
      </c>
      <c r="E613" s="33">
        <v>52.2</v>
      </c>
      <c r="F613" s="19">
        <v>105.31</v>
      </c>
      <c r="G613" s="26">
        <v>881.86</v>
      </c>
      <c r="H613" s="19">
        <v>1254.8599999999999</v>
      </c>
      <c r="I613" s="19">
        <v>15269.514999999999</v>
      </c>
      <c r="J613" s="40">
        <v>6</v>
      </c>
      <c r="K613" s="43">
        <v>15513</v>
      </c>
      <c r="L613" s="24">
        <v>77.599999999999994</v>
      </c>
      <c r="M613" s="42">
        <v>101.8</v>
      </c>
    </row>
    <row r="614" spans="1:13" x14ac:dyDescent="0.75">
      <c r="A614" t="s">
        <v>16</v>
      </c>
      <c r="B614" s="18">
        <v>2023</v>
      </c>
      <c r="C614" s="4">
        <v>1</v>
      </c>
      <c r="D614">
        <v>57</v>
      </c>
      <c r="E614" s="19">
        <v>51.3</v>
      </c>
      <c r="F614" s="29">
        <v>102.57</v>
      </c>
      <c r="G614" s="19">
        <v>36.82</v>
      </c>
      <c r="H614" s="19">
        <v>0.02</v>
      </c>
      <c r="I614" s="19">
        <v>1376.7750000000001</v>
      </c>
      <c r="J614" s="40">
        <v>5.75</v>
      </c>
      <c r="K614" s="43">
        <v>15295</v>
      </c>
      <c r="L614" s="24">
        <v>82.5</v>
      </c>
      <c r="M614" s="42">
        <v>99.3</v>
      </c>
    </row>
    <row r="615" spans="1:13" x14ac:dyDescent="0.75">
      <c r="A615" t="s">
        <v>16</v>
      </c>
      <c r="B615" s="18">
        <v>2023</v>
      </c>
      <c r="C615" s="4">
        <v>2</v>
      </c>
      <c r="D615">
        <v>57</v>
      </c>
      <c r="E615" s="19">
        <v>51.2</v>
      </c>
      <c r="F615" s="29">
        <v>102.82</v>
      </c>
      <c r="G615" s="19">
        <v>40.049999999999997</v>
      </c>
      <c r="H615" s="19">
        <v>0.3</v>
      </c>
      <c r="I615" s="19">
        <v>1424.0740000000001</v>
      </c>
      <c r="J615" s="40">
        <v>5.75</v>
      </c>
      <c r="K615" s="43">
        <v>15126</v>
      </c>
      <c r="L615" s="24">
        <v>82.6</v>
      </c>
      <c r="M615" s="42">
        <v>99.6</v>
      </c>
    </row>
    <row r="616" spans="1:13" x14ac:dyDescent="0.75">
      <c r="A616" t="s">
        <v>16</v>
      </c>
      <c r="B616" s="18">
        <v>2023</v>
      </c>
      <c r="C616" s="4">
        <v>3</v>
      </c>
      <c r="D616">
        <v>62</v>
      </c>
      <c r="E616" s="19">
        <v>51.9</v>
      </c>
      <c r="F616" s="29">
        <v>103.06</v>
      </c>
      <c r="G616" s="19">
        <v>41.63</v>
      </c>
      <c r="H616" s="19">
        <v>0.01</v>
      </c>
      <c r="I616" s="19">
        <v>1378.287</v>
      </c>
      <c r="J616" s="40">
        <v>5.75</v>
      </c>
      <c r="K616" s="43">
        <v>15301</v>
      </c>
      <c r="L616" s="24">
        <v>78.400000000000006</v>
      </c>
      <c r="M616" s="42">
        <v>99.9</v>
      </c>
    </row>
    <row r="617" spans="1:13" x14ac:dyDescent="0.75">
      <c r="A617" t="s">
        <v>16</v>
      </c>
      <c r="B617" s="18">
        <v>2023</v>
      </c>
      <c r="C617" s="4">
        <v>4</v>
      </c>
      <c r="D617">
        <v>62</v>
      </c>
      <c r="E617" s="19">
        <v>52.7</v>
      </c>
      <c r="F617" s="29">
        <v>103.24</v>
      </c>
      <c r="G617" s="19">
        <v>31.44</v>
      </c>
      <c r="H617" s="19">
        <v>0.02</v>
      </c>
      <c r="I617" s="19">
        <v>1444.9369999999999</v>
      </c>
      <c r="J617" s="40">
        <v>5.75</v>
      </c>
      <c r="K617" s="43">
        <v>14867</v>
      </c>
      <c r="L617" s="24">
        <v>84.6</v>
      </c>
      <c r="M617" s="42">
        <v>100</v>
      </c>
    </row>
    <row r="618" spans="1:13" x14ac:dyDescent="0.75">
      <c r="A618" t="s">
        <v>16</v>
      </c>
      <c r="B618" s="18">
        <v>2023</v>
      </c>
      <c r="C618" s="4">
        <v>5</v>
      </c>
      <c r="D618">
        <v>286</v>
      </c>
      <c r="E618" s="19">
        <v>50.3</v>
      </c>
      <c r="F618" s="29">
        <v>103.74</v>
      </c>
      <c r="G618" s="19">
        <v>41.42</v>
      </c>
      <c r="H618" s="19">
        <v>0.06</v>
      </c>
      <c r="I618" s="19">
        <v>1472.4449999999999</v>
      </c>
      <c r="J618" s="40">
        <v>5.75</v>
      </c>
      <c r="K618" s="43">
        <v>14811</v>
      </c>
      <c r="L618" s="24">
        <v>75.5</v>
      </c>
      <c r="M618" s="42">
        <v>100.2</v>
      </c>
    </row>
    <row r="619" spans="1:13" x14ac:dyDescent="0.75">
      <c r="A619" t="s">
        <v>16</v>
      </c>
      <c r="B619" s="18">
        <v>2023</v>
      </c>
      <c r="C619" s="4">
        <v>6</v>
      </c>
      <c r="D619">
        <v>338</v>
      </c>
      <c r="E619" s="33">
        <v>52.5</v>
      </c>
      <c r="F619" s="29">
        <v>103.42</v>
      </c>
      <c r="G619" s="19">
        <v>41.23</v>
      </c>
      <c r="H619" s="19">
        <v>0.25</v>
      </c>
      <c r="I619" s="19">
        <v>1492.076</v>
      </c>
      <c r="J619" s="40">
        <v>5.75</v>
      </c>
      <c r="K619" s="43">
        <v>14932</v>
      </c>
      <c r="L619" s="24">
        <v>74.8</v>
      </c>
      <c r="M619" s="42">
        <v>100.3</v>
      </c>
    </row>
    <row r="620" spans="1:13" x14ac:dyDescent="0.75">
      <c r="A620" t="s">
        <v>16</v>
      </c>
      <c r="B620" s="18">
        <v>2023</v>
      </c>
      <c r="C620" s="4">
        <v>7</v>
      </c>
      <c r="D620">
        <v>375</v>
      </c>
      <c r="E620" s="33">
        <v>53.3</v>
      </c>
      <c r="F620" s="29">
        <v>103.58</v>
      </c>
      <c r="G620" s="19">
        <v>37.36</v>
      </c>
      <c r="H620" s="19">
        <v>0.63</v>
      </c>
      <c r="I620" s="19">
        <v>1524.886</v>
      </c>
      <c r="J620" s="40">
        <v>5.75</v>
      </c>
      <c r="K620" s="43">
        <v>15040</v>
      </c>
      <c r="L620" s="24">
        <v>80.099999999999994</v>
      </c>
      <c r="M620" s="42">
        <v>100.5</v>
      </c>
    </row>
    <row r="621" spans="1:13" x14ac:dyDescent="0.75">
      <c r="A621" t="s">
        <v>16</v>
      </c>
      <c r="B621" s="18">
        <v>2023</v>
      </c>
      <c r="C621" s="4">
        <v>8</v>
      </c>
      <c r="D621">
        <v>698</v>
      </c>
      <c r="E621" s="33">
        <v>53.9</v>
      </c>
      <c r="F621" s="29">
        <v>103.46</v>
      </c>
      <c r="G621" s="19">
        <v>40.049999999999997</v>
      </c>
      <c r="H621" s="19">
        <v>0.92</v>
      </c>
      <c r="I621" s="19">
        <v>1570.193</v>
      </c>
      <c r="J621" s="40">
        <v>5.75</v>
      </c>
      <c r="K621" s="43">
        <v>15245</v>
      </c>
      <c r="L621" s="24">
        <v>86.1</v>
      </c>
      <c r="M621" s="42">
        <v>100.5</v>
      </c>
    </row>
    <row r="622" spans="1:13" x14ac:dyDescent="0.75">
      <c r="A622" t="s">
        <v>16</v>
      </c>
      <c r="B622" s="18">
        <v>2023</v>
      </c>
      <c r="C622" s="4">
        <v>9</v>
      </c>
      <c r="D622">
        <v>789</v>
      </c>
      <c r="E622" s="33">
        <v>52.3</v>
      </c>
      <c r="F622" s="29">
        <v>103.84</v>
      </c>
      <c r="G622" s="19">
        <v>37.130000000000003</v>
      </c>
      <c r="H622" s="19">
        <v>1.25</v>
      </c>
      <c r="I622" s="19">
        <v>1477.3109999999999</v>
      </c>
      <c r="J622" s="40">
        <v>5.75</v>
      </c>
      <c r="K622" s="43">
        <v>15354</v>
      </c>
      <c r="L622" s="24" t="s">
        <v>64</v>
      </c>
      <c r="M622" s="42">
        <v>100.9</v>
      </c>
    </row>
    <row r="623" spans="1:13" x14ac:dyDescent="0.75">
      <c r="A623" t="s">
        <v>16</v>
      </c>
      <c r="B623" s="18">
        <v>2023</v>
      </c>
      <c r="C623" s="4">
        <v>10</v>
      </c>
      <c r="D623">
        <v>808</v>
      </c>
      <c r="E623" s="33">
        <v>51.5</v>
      </c>
      <c r="F623" s="29">
        <v>104.22</v>
      </c>
      <c r="G623" s="19">
        <v>39.06</v>
      </c>
      <c r="H623" s="19">
        <v>1.59</v>
      </c>
      <c r="I623" s="19">
        <v>1522.421</v>
      </c>
      <c r="J623" s="40">
        <v>6</v>
      </c>
      <c r="K623" s="43">
        <v>15741</v>
      </c>
      <c r="L623" s="24">
        <v>90.6</v>
      </c>
      <c r="M623" s="42">
        <v>101.2</v>
      </c>
    </row>
    <row r="624" spans="1:13" x14ac:dyDescent="0.75">
      <c r="A624" t="s">
        <v>16</v>
      </c>
      <c r="B624" s="18">
        <v>2023</v>
      </c>
      <c r="C624" s="4">
        <v>11</v>
      </c>
      <c r="D624">
        <v>838</v>
      </c>
      <c r="E624" s="33">
        <v>51.7</v>
      </c>
      <c r="F624" s="29">
        <v>104.92</v>
      </c>
      <c r="G624" s="19">
        <v>39.11</v>
      </c>
      <c r="H624" s="19">
        <v>1.33</v>
      </c>
      <c r="I624" s="19">
        <v>1425.595</v>
      </c>
      <c r="J624" s="40">
        <v>6</v>
      </c>
      <c r="K624" s="43">
        <v>15617</v>
      </c>
      <c r="L624" s="24">
        <v>82.9</v>
      </c>
      <c r="M624" s="42">
        <v>101.4</v>
      </c>
    </row>
    <row r="625" spans="1:13" x14ac:dyDescent="0.75">
      <c r="A625" t="s">
        <v>16</v>
      </c>
      <c r="B625" s="18">
        <v>2023</v>
      </c>
      <c r="C625" s="4">
        <v>12</v>
      </c>
      <c r="D625">
        <v>928</v>
      </c>
      <c r="E625" s="33">
        <v>52.2</v>
      </c>
      <c r="F625" s="29">
        <v>105.26</v>
      </c>
      <c r="G625" s="19">
        <v>46.99</v>
      </c>
      <c r="H625" s="19">
        <v>1.67</v>
      </c>
      <c r="I625" s="19">
        <v>1330.34</v>
      </c>
      <c r="J625" s="40">
        <v>6</v>
      </c>
      <c r="K625" s="43">
        <v>15513</v>
      </c>
      <c r="L625" s="24">
        <v>77.599999999999994</v>
      </c>
      <c r="M625" s="42">
        <v>101.8</v>
      </c>
    </row>
    <row r="626" spans="1:13" x14ac:dyDescent="0.75">
      <c r="A626" t="s">
        <v>17</v>
      </c>
      <c r="B626" s="18">
        <v>2023</v>
      </c>
      <c r="C626" s="4">
        <v>1</v>
      </c>
      <c r="D626">
        <v>370</v>
      </c>
      <c r="E626" s="19">
        <v>51.3</v>
      </c>
      <c r="F626" s="19">
        <v>102.87</v>
      </c>
      <c r="G626" s="19">
        <v>1998.63</v>
      </c>
      <c r="H626" s="19">
        <v>2198.38</v>
      </c>
      <c r="I626" s="19">
        <v>18137.817999999999</v>
      </c>
      <c r="J626" s="40">
        <v>5.75</v>
      </c>
      <c r="K626" s="43">
        <v>15295</v>
      </c>
      <c r="L626" s="24">
        <v>82.5</v>
      </c>
      <c r="M626" s="42">
        <v>99.3</v>
      </c>
    </row>
    <row r="627" spans="1:13" x14ac:dyDescent="0.75">
      <c r="A627" t="s">
        <v>17</v>
      </c>
      <c r="B627" s="18">
        <v>2023</v>
      </c>
      <c r="C627" s="4">
        <v>2</v>
      </c>
      <c r="D627">
        <v>370</v>
      </c>
      <c r="E627" s="19">
        <v>51.2</v>
      </c>
      <c r="F627" s="19">
        <v>103.03</v>
      </c>
      <c r="G627" s="19">
        <v>1818.43</v>
      </c>
      <c r="H627" s="19">
        <v>1877.34</v>
      </c>
      <c r="I627" s="19">
        <v>18484.142</v>
      </c>
      <c r="J627" s="40">
        <v>5.75</v>
      </c>
      <c r="K627" s="43">
        <v>15126</v>
      </c>
      <c r="L627" s="24">
        <v>82.6</v>
      </c>
      <c r="M627" s="42">
        <v>99.6</v>
      </c>
    </row>
    <row r="628" spans="1:13" x14ac:dyDescent="0.75">
      <c r="A628" t="s">
        <v>17</v>
      </c>
      <c r="B628" s="18">
        <v>2023</v>
      </c>
      <c r="C628" s="4">
        <v>3</v>
      </c>
      <c r="D628">
        <v>370</v>
      </c>
      <c r="E628" s="19">
        <v>51.9</v>
      </c>
      <c r="F628" s="19">
        <v>103.46</v>
      </c>
      <c r="G628" s="19">
        <v>2491.29</v>
      </c>
      <c r="H628" s="19">
        <v>2612.16</v>
      </c>
      <c r="I628" s="19">
        <v>17993.516</v>
      </c>
      <c r="J628" s="40">
        <v>5.75</v>
      </c>
      <c r="K628" s="43">
        <v>15301</v>
      </c>
      <c r="L628" s="24">
        <v>78.400000000000006</v>
      </c>
      <c r="M628" s="42">
        <v>99.9</v>
      </c>
    </row>
    <row r="629" spans="1:13" x14ac:dyDescent="0.75">
      <c r="A629" t="s">
        <v>17</v>
      </c>
      <c r="B629" s="18">
        <v>2023</v>
      </c>
      <c r="C629" s="4">
        <v>4</v>
      </c>
      <c r="D629">
        <v>370</v>
      </c>
      <c r="E629" s="19">
        <v>52.7</v>
      </c>
      <c r="F629" s="19">
        <v>103.62</v>
      </c>
      <c r="G629" s="19">
        <v>1446.66</v>
      </c>
      <c r="H629" s="19">
        <v>2057.0300000000002</v>
      </c>
      <c r="I629" s="19">
        <v>18301.583999999999</v>
      </c>
      <c r="J629" s="40">
        <v>5.75</v>
      </c>
      <c r="K629" s="43">
        <v>14867</v>
      </c>
      <c r="L629" s="24">
        <v>84.6</v>
      </c>
      <c r="M629" s="42">
        <v>100</v>
      </c>
    </row>
    <row r="630" spans="1:13" x14ac:dyDescent="0.75">
      <c r="A630" t="s">
        <v>17</v>
      </c>
      <c r="B630" s="18">
        <v>2023</v>
      </c>
      <c r="C630" s="4">
        <v>5</v>
      </c>
      <c r="D630">
        <v>370</v>
      </c>
      <c r="E630" s="19">
        <v>50.3</v>
      </c>
      <c r="F630" s="19">
        <v>103.82</v>
      </c>
      <c r="G630" s="19">
        <v>1870.11</v>
      </c>
      <c r="H630" s="19">
        <v>2553.8200000000002</v>
      </c>
      <c r="I630" s="19">
        <v>18644.668000000001</v>
      </c>
      <c r="J630" s="40">
        <v>5.75</v>
      </c>
      <c r="K630" s="43">
        <v>14811</v>
      </c>
      <c r="L630" s="24">
        <v>75.5</v>
      </c>
      <c r="M630" s="42">
        <v>100.2</v>
      </c>
    </row>
    <row r="631" spans="1:13" x14ac:dyDescent="0.75">
      <c r="A631" t="s">
        <v>17</v>
      </c>
      <c r="B631" s="18">
        <v>2023</v>
      </c>
      <c r="C631" s="4">
        <v>6</v>
      </c>
      <c r="D631">
        <v>370</v>
      </c>
      <c r="E631" s="33">
        <v>52.5</v>
      </c>
      <c r="F631" s="19">
        <v>104.07</v>
      </c>
      <c r="G631" s="19">
        <v>1506.78</v>
      </c>
      <c r="H631" s="19">
        <v>2186.2800000000002</v>
      </c>
      <c r="I631" s="19">
        <v>17758.037</v>
      </c>
      <c r="J631" s="40">
        <v>5.75</v>
      </c>
      <c r="K631" s="43">
        <v>14932</v>
      </c>
      <c r="L631" s="24">
        <v>74.8</v>
      </c>
      <c r="M631" s="42">
        <v>100.3</v>
      </c>
    </row>
    <row r="632" spans="1:13" x14ac:dyDescent="0.75">
      <c r="A632" t="s">
        <v>17</v>
      </c>
      <c r="B632" s="18">
        <v>2023</v>
      </c>
      <c r="C632" s="4">
        <v>7</v>
      </c>
      <c r="D632">
        <v>504</v>
      </c>
      <c r="E632" s="33">
        <v>53.3</v>
      </c>
      <c r="F632" s="19">
        <v>104.19</v>
      </c>
      <c r="G632" s="19">
        <v>1543.41</v>
      </c>
      <c r="H632" s="19">
        <v>2553.1</v>
      </c>
      <c r="I632" s="19">
        <v>18619.419000000002</v>
      </c>
      <c r="J632" s="40">
        <v>5.75</v>
      </c>
      <c r="K632" s="43">
        <v>15040</v>
      </c>
      <c r="L632" s="24">
        <v>80.099999999999994</v>
      </c>
      <c r="M632" s="42">
        <v>100.5</v>
      </c>
    </row>
    <row r="633" spans="1:13" x14ac:dyDescent="0.75">
      <c r="A633" t="s">
        <v>17</v>
      </c>
      <c r="B633" s="18">
        <v>2023</v>
      </c>
      <c r="C633" s="4">
        <v>8</v>
      </c>
      <c r="D633">
        <v>661</v>
      </c>
      <c r="E633" s="33">
        <v>53.9</v>
      </c>
      <c r="F633" s="19">
        <v>104.2</v>
      </c>
      <c r="G633" s="19">
        <v>1681.68</v>
      </c>
      <c r="H633" s="19">
        <v>2355.04</v>
      </c>
      <c r="I633" s="19">
        <v>18848.916000000001</v>
      </c>
      <c r="J633" s="40">
        <v>5.75</v>
      </c>
      <c r="K633" s="43">
        <v>15245</v>
      </c>
      <c r="L633" s="24">
        <v>86.1</v>
      </c>
      <c r="M633" s="42">
        <v>100.5</v>
      </c>
    </row>
    <row r="634" spans="1:13" x14ac:dyDescent="0.75">
      <c r="A634" t="s">
        <v>17</v>
      </c>
      <c r="B634" s="18">
        <v>2023</v>
      </c>
      <c r="C634" s="4">
        <v>9</v>
      </c>
      <c r="D634">
        <v>1442</v>
      </c>
      <c r="E634" s="33">
        <v>52.3</v>
      </c>
      <c r="F634" s="19">
        <v>104.4</v>
      </c>
      <c r="G634" s="19">
        <v>1852.82</v>
      </c>
      <c r="H634" s="19">
        <v>2477.7399999999998</v>
      </c>
      <c r="I634" s="19">
        <v>18063.823</v>
      </c>
      <c r="J634" s="40">
        <v>5.75</v>
      </c>
      <c r="K634" s="43">
        <v>15354</v>
      </c>
      <c r="L634" s="24" t="s">
        <v>64</v>
      </c>
      <c r="M634" s="42">
        <v>100.9</v>
      </c>
    </row>
    <row r="635" spans="1:13" x14ac:dyDescent="0.75">
      <c r="A635" t="s">
        <v>17</v>
      </c>
      <c r="B635" s="18">
        <v>2023</v>
      </c>
      <c r="C635" s="4">
        <v>10</v>
      </c>
      <c r="D635">
        <v>1543</v>
      </c>
      <c r="E635" s="33">
        <v>51.5</v>
      </c>
      <c r="F635" s="19">
        <v>104.63</v>
      </c>
      <c r="G635" s="19">
        <v>2045.33</v>
      </c>
      <c r="H635" s="19">
        <v>2264.23</v>
      </c>
      <c r="I635" s="19">
        <v>18207.666000000001</v>
      </c>
      <c r="J635" s="40">
        <v>6</v>
      </c>
      <c r="K635" s="43">
        <v>15741</v>
      </c>
      <c r="L635" s="24">
        <v>90.6</v>
      </c>
      <c r="M635" s="42">
        <v>101.2</v>
      </c>
    </row>
    <row r="636" spans="1:13" x14ac:dyDescent="0.75">
      <c r="A636" t="s">
        <v>17</v>
      </c>
      <c r="B636" s="18">
        <v>2023</v>
      </c>
      <c r="C636" s="4">
        <v>11</v>
      </c>
      <c r="D636">
        <v>2174</v>
      </c>
      <c r="E636" s="33">
        <v>51.7</v>
      </c>
      <c r="F636" s="19">
        <v>105.14</v>
      </c>
      <c r="G636" s="19">
        <v>2073.36</v>
      </c>
      <c r="H636" s="19">
        <v>2698.35</v>
      </c>
      <c r="I636" s="19">
        <v>17866.809000000001</v>
      </c>
      <c r="J636" s="40">
        <v>6</v>
      </c>
      <c r="K636" s="43">
        <v>15617</v>
      </c>
      <c r="L636" s="24">
        <v>82.9</v>
      </c>
      <c r="M636" s="42">
        <v>101.4</v>
      </c>
    </row>
    <row r="637" spans="1:13" x14ac:dyDescent="0.75">
      <c r="A637" t="s">
        <v>17</v>
      </c>
      <c r="B637" s="18">
        <v>2023</v>
      </c>
      <c r="C637" s="4">
        <v>12</v>
      </c>
      <c r="D637">
        <v>2498</v>
      </c>
      <c r="E637" s="33">
        <v>52.2</v>
      </c>
      <c r="F637" s="19">
        <v>105.52</v>
      </c>
      <c r="G637" s="19">
        <v>2096.9</v>
      </c>
      <c r="H637" s="19">
        <v>2652.11</v>
      </c>
      <c r="I637" s="19">
        <v>16565.583999999999</v>
      </c>
      <c r="J637" s="40">
        <v>6</v>
      </c>
      <c r="K637" s="43">
        <v>15513</v>
      </c>
      <c r="L637" s="24">
        <v>77.599999999999994</v>
      </c>
      <c r="M637" s="42">
        <v>101.8</v>
      </c>
    </row>
    <row r="638" spans="1:13" x14ac:dyDescent="0.75">
      <c r="A638" t="s">
        <v>18</v>
      </c>
      <c r="B638" s="18">
        <v>2023</v>
      </c>
      <c r="C638" s="4">
        <v>1</v>
      </c>
      <c r="D638">
        <v>323</v>
      </c>
      <c r="E638" s="19">
        <v>51.3</v>
      </c>
      <c r="F638" s="26">
        <v>101.96</v>
      </c>
      <c r="G638" s="19">
        <v>972.58</v>
      </c>
      <c r="H638" s="19">
        <v>1436.13</v>
      </c>
      <c r="I638" s="19">
        <v>3879.3980000000001</v>
      </c>
      <c r="J638" s="40">
        <v>5.75</v>
      </c>
      <c r="K638" s="43">
        <v>15295</v>
      </c>
      <c r="L638" s="24">
        <v>82.5</v>
      </c>
      <c r="M638" s="42">
        <v>99.3</v>
      </c>
    </row>
    <row r="639" spans="1:13" x14ac:dyDescent="0.75">
      <c r="A639" t="s">
        <v>18</v>
      </c>
      <c r="B639" s="18">
        <v>2023</v>
      </c>
      <c r="C639" s="4">
        <v>2</v>
      </c>
      <c r="D639">
        <v>323</v>
      </c>
      <c r="E639" s="19">
        <v>51.2</v>
      </c>
      <c r="F639" s="26">
        <v>102.27</v>
      </c>
      <c r="G639" s="19">
        <v>933.1</v>
      </c>
      <c r="H639" s="19">
        <v>1155.99</v>
      </c>
      <c r="I639" s="19">
        <v>3931.9580000000001</v>
      </c>
      <c r="J639" s="40">
        <v>5.75</v>
      </c>
      <c r="K639" s="43">
        <v>15126</v>
      </c>
      <c r="L639" s="24">
        <v>82.6</v>
      </c>
      <c r="M639" s="42">
        <v>99.6</v>
      </c>
    </row>
    <row r="640" spans="1:13" x14ac:dyDescent="0.75">
      <c r="A640" t="s">
        <v>18</v>
      </c>
      <c r="B640" s="18">
        <v>2023</v>
      </c>
      <c r="C640" s="4">
        <v>3</v>
      </c>
      <c r="D640">
        <v>2342</v>
      </c>
      <c r="E640" s="19">
        <v>51.9</v>
      </c>
      <c r="F640" s="26">
        <v>102.66</v>
      </c>
      <c r="G640" s="19">
        <v>1165.5</v>
      </c>
      <c r="H640" s="19">
        <v>1692.04</v>
      </c>
      <c r="I640" s="19">
        <v>3710.3270000000002</v>
      </c>
      <c r="J640" s="40">
        <v>5.75</v>
      </c>
      <c r="K640" s="43">
        <v>15301</v>
      </c>
      <c r="L640" s="24">
        <v>78.400000000000006</v>
      </c>
      <c r="M640" s="42">
        <v>99.9</v>
      </c>
    </row>
    <row r="641" spans="1:13" x14ac:dyDescent="0.75">
      <c r="A641" t="s">
        <v>18</v>
      </c>
      <c r="B641" s="18">
        <v>2023</v>
      </c>
      <c r="C641" s="4">
        <v>4</v>
      </c>
      <c r="D641">
        <v>3885</v>
      </c>
      <c r="E641" s="19">
        <v>52.7</v>
      </c>
      <c r="F641" s="26">
        <v>103.07</v>
      </c>
      <c r="G641" s="19">
        <v>878.74</v>
      </c>
      <c r="H641" s="19">
        <v>1403.48</v>
      </c>
      <c r="I641" s="19">
        <v>3857.2919999999999</v>
      </c>
      <c r="J641" s="40">
        <v>5.75</v>
      </c>
      <c r="K641" s="43">
        <v>14867</v>
      </c>
      <c r="L641" s="24">
        <v>84.6</v>
      </c>
      <c r="M641" s="42">
        <v>100</v>
      </c>
    </row>
    <row r="642" spans="1:13" x14ac:dyDescent="0.75">
      <c r="A642" t="s">
        <v>18</v>
      </c>
      <c r="B642" s="18">
        <v>2023</v>
      </c>
      <c r="C642" s="4">
        <v>5</v>
      </c>
      <c r="D642">
        <v>4995</v>
      </c>
      <c r="E642" s="19">
        <v>50.3</v>
      </c>
      <c r="F642" s="26">
        <v>103.1</v>
      </c>
      <c r="G642" s="19">
        <v>1121.3699999999999</v>
      </c>
      <c r="H642" s="19">
        <v>1439.43</v>
      </c>
      <c r="I642" s="19">
        <v>4007.4760000000001</v>
      </c>
      <c r="J642" s="40">
        <v>5.75</v>
      </c>
      <c r="K642" s="43">
        <v>14811</v>
      </c>
      <c r="L642" s="24">
        <v>75.5</v>
      </c>
      <c r="M642" s="42">
        <v>100.2</v>
      </c>
    </row>
    <row r="643" spans="1:13" x14ac:dyDescent="0.75">
      <c r="A643" t="s">
        <v>18</v>
      </c>
      <c r="B643" s="18">
        <v>2023</v>
      </c>
      <c r="C643" s="4">
        <v>6</v>
      </c>
      <c r="D643">
        <v>5141</v>
      </c>
      <c r="E643" s="33">
        <v>52.5</v>
      </c>
      <c r="F643" s="26">
        <v>103.4</v>
      </c>
      <c r="G643" s="19">
        <v>962.16</v>
      </c>
      <c r="H643" s="19">
        <v>1191.56</v>
      </c>
      <c r="I643" s="19">
        <v>3794.904</v>
      </c>
      <c r="J643" s="40">
        <v>5.75</v>
      </c>
      <c r="K643" s="43">
        <v>14932</v>
      </c>
      <c r="L643" s="24">
        <v>74.8</v>
      </c>
      <c r="M643" s="42">
        <v>100.3</v>
      </c>
    </row>
    <row r="644" spans="1:13" x14ac:dyDescent="0.75">
      <c r="A644" t="s">
        <v>18</v>
      </c>
      <c r="B644" s="18">
        <v>2023</v>
      </c>
      <c r="C644" s="4">
        <v>7</v>
      </c>
      <c r="D644">
        <v>5863</v>
      </c>
      <c r="E644" s="33">
        <v>53.3</v>
      </c>
      <c r="F644" s="26">
        <v>103.34</v>
      </c>
      <c r="G644" s="19">
        <v>1021.4</v>
      </c>
      <c r="H644" s="19">
        <v>1321.38</v>
      </c>
      <c r="I644" s="19">
        <v>3647.6370000000002</v>
      </c>
      <c r="J644" s="40">
        <v>5.75</v>
      </c>
      <c r="K644" s="43">
        <v>15040</v>
      </c>
      <c r="L644" s="24">
        <v>80.099999999999994</v>
      </c>
      <c r="M644" s="42">
        <v>100.5</v>
      </c>
    </row>
    <row r="645" spans="1:13" x14ac:dyDescent="0.75">
      <c r="A645" t="s">
        <v>18</v>
      </c>
      <c r="B645" s="18">
        <v>2023</v>
      </c>
      <c r="C645" s="4">
        <v>8</v>
      </c>
      <c r="D645">
        <v>6047</v>
      </c>
      <c r="E645" s="33">
        <v>53.9</v>
      </c>
      <c r="F645" s="26">
        <v>103.2</v>
      </c>
      <c r="G645" s="19">
        <v>1071.5899999999999</v>
      </c>
      <c r="H645" s="19">
        <v>1365.02</v>
      </c>
      <c r="I645" s="19">
        <v>3653.2139999999999</v>
      </c>
      <c r="J645" s="40">
        <v>5.75</v>
      </c>
      <c r="K645" s="43">
        <v>15245</v>
      </c>
      <c r="L645" s="24">
        <v>86.1</v>
      </c>
      <c r="M645" s="42">
        <v>100.5</v>
      </c>
    </row>
    <row r="646" spans="1:13" x14ac:dyDescent="0.75">
      <c r="A646" t="s">
        <v>18</v>
      </c>
      <c r="B646" s="18">
        <v>2023</v>
      </c>
      <c r="C646" s="4">
        <v>9</v>
      </c>
      <c r="D646">
        <v>6059</v>
      </c>
      <c r="E646" s="33">
        <v>52.3</v>
      </c>
      <c r="F646" s="26">
        <v>103.36</v>
      </c>
      <c r="G646" s="19">
        <v>934.75</v>
      </c>
      <c r="H646" s="19">
        <v>1267.6400000000001</v>
      </c>
      <c r="I646" s="19">
        <v>3369.7849999999999</v>
      </c>
      <c r="J646" s="40">
        <v>5.75</v>
      </c>
      <c r="K646" s="43">
        <v>15354</v>
      </c>
      <c r="L646" s="24" t="s">
        <v>64</v>
      </c>
      <c r="M646" s="42">
        <v>100.9</v>
      </c>
    </row>
    <row r="647" spans="1:13" x14ac:dyDescent="0.75">
      <c r="A647" t="s">
        <v>18</v>
      </c>
      <c r="B647" s="18">
        <v>2023</v>
      </c>
      <c r="C647" s="4">
        <v>10</v>
      </c>
      <c r="D647">
        <v>6267</v>
      </c>
      <c r="E647" s="33">
        <v>51.5</v>
      </c>
      <c r="F647" s="26">
        <v>103.6</v>
      </c>
      <c r="G647" s="19">
        <v>1026.93</v>
      </c>
      <c r="H647" s="19">
        <v>1412.75</v>
      </c>
      <c r="I647" s="19">
        <v>3477.2869999999998</v>
      </c>
      <c r="J647" s="40">
        <v>6</v>
      </c>
      <c r="K647" s="43">
        <v>15741</v>
      </c>
      <c r="L647" s="24">
        <v>90.6</v>
      </c>
      <c r="M647" s="42">
        <v>101.2</v>
      </c>
    </row>
    <row r="648" spans="1:13" x14ac:dyDescent="0.75">
      <c r="A648" t="s">
        <v>18</v>
      </c>
      <c r="B648" s="18">
        <v>2023</v>
      </c>
      <c r="C648" s="4">
        <v>11</v>
      </c>
      <c r="D648">
        <v>8776</v>
      </c>
      <c r="E648" s="33">
        <v>51.7</v>
      </c>
      <c r="F648" s="26">
        <v>104.1</v>
      </c>
      <c r="G648" s="19">
        <v>1053.27</v>
      </c>
      <c r="H648" s="19">
        <v>1294.17</v>
      </c>
      <c r="I648" s="19">
        <v>3514.9760000000001</v>
      </c>
      <c r="J648" s="40">
        <v>6</v>
      </c>
      <c r="K648" s="43">
        <v>15617</v>
      </c>
      <c r="L648" s="24">
        <v>82.9</v>
      </c>
      <c r="M648" s="42">
        <v>101.4</v>
      </c>
    </row>
    <row r="649" spans="1:13" x14ac:dyDescent="0.75">
      <c r="A649" t="s">
        <v>18</v>
      </c>
      <c r="B649" s="18">
        <v>2023</v>
      </c>
      <c r="C649" s="4">
        <v>12</v>
      </c>
      <c r="D649">
        <v>11140</v>
      </c>
      <c r="E649" s="33">
        <v>52.2</v>
      </c>
      <c r="F649" s="26">
        <v>104.64</v>
      </c>
      <c r="G649" s="19">
        <v>1000.51</v>
      </c>
      <c r="H649" s="19">
        <v>1514.07</v>
      </c>
      <c r="I649" s="19">
        <v>3384.366</v>
      </c>
      <c r="J649" s="40">
        <v>6</v>
      </c>
      <c r="K649" s="43">
        <v>15513</v>
      </c>
      <c r="L649" s="24">
        <v>77.599999999999994</v>
      </c>
      <c r="M649" s="42">
        <v>101.8</v>
      </c>
    </row>
    <row r="650" spans="1:13" x14ac:dyDescent="0.75">
      <c r="A650" t="s">
        <v>19</v>
      </c>
      <c r="B650" s="18">
        <v>2023</v>
      </c>
      <c r="C650" s="4">
        <v>1</v>
      </c>
      <c r="D650">
        <v>0</v>
      </c>
      <c r="E650" s="19">
        <v>51.3</v>
      </c>
      <c r="F650" s="19">
        <v>102.63</v>
      </c>
      <c r="G650" s="19">
        <v>41.95</v>
      </c>
      <c r="H650" s="26">
        <v>6.6</v>
      </c>
      <c r="I650" s="19">
        <v>2195.4940000000001</v>
      </c>
      <c r="J650" s="40">
        <v>5.75</v>
      </c>
      <c r="K650" s="43">
        <v>15295</v>
      </c>
      <c r="L650" s="24">
        <v>82.5</v>
      </c>
      <c r="M650" s="42">
        <v>99.3</v>
      </c>
    </row>
    <row r="651" spans="1:13" x14ac:dyDescent="0.75">
      <c r="A651" t="s">
        <v>19</v>
      </c>
      <c r="B651" s="18">
        <v>2023</v>
      </c>
      <c r="C651" s="4">
        <v>2</v>
      </c>
      <c r="D651">
        <v>0</v>
      </c>
      <c r="E651" s="19">
        <v>51.2</v>
      </c>
      <c r="F651" s="19">
        <v>102.88</v>
      </c>
      <c r="G651" s="19">
        <v>49.6</v>
      </c>
      <c r="H651" s="26">
        <v>7.39</v>
      </c>
      <c r="I651" s="19">
        <v>2083.5410000000002</v>
      </c>
      <c r="J651" s="40">
        <v>5.75</v>
      </c>
      <c r="K651" s="43">
        <v>15126</v>
      </c>
      <c r="L651" s="24">
        <v>82.6</v>
      </c>
      <c r="M651" s="42">
        <v>99.6</v>
      </c>
    </row>
    <row r="652" spans="1:13" x14ac:dyDescent="0.75">
      <c r="A652" t="s">
        <v>19</v>
      </c>
      <c r="B652" s="18">
        <v>2023</v>
      </c>
      <c r="C652" s="4">
        <v>3</v>
      </c>
      <c r="D652">
        <v>0</v>
      </c>
      <c r="E652" s="19">
        <v>51.9</v>
      </c>
      <c r="F652" s="19">
        <v>103.15</v>
      </c>
      <c r="G652" s="19">
        <v>51.88</v>
      </c>
      <c r="H652" s="26">
        <v>10.06</v>
      </c>
      <c r="I652" s="19">
        <v>2057.5169999999998</v>
      </c>
      <c r="J652" s="40">
        <v>5.75</v>
      </c>
      <c r="K652" s="43">
        <v>15301</v>
      </c>
      <c r="L652" s="24">
        <v>78.400000000000006</v>
      </c>
      <c r="M652" s="42">
        <v>99.9</v>
      </c>
    </row>
    <row r="653" spans="1:13" x14ac:dyDescent="0.75">
      <c r="A653" t="s">
        <v>19</v>
      </c>
      <c r="B653" s="18">
        <v>2023</v>
      </c>
      <c r="C653" s="4">
        <v>4</v>
      </c>
      <c r="D653">
        <v>0</v>
      </c>
      <c r="E653" s="19">
        <v>52.7</v>
      </c>
      <c r="F653" s="19">
        <v>103.13</v>
      </c>
      <c r="G653" s="19">
        <v>43.84</v>
      </c>
      <c r="H653" s="26">
        <v>9.35</v>
      </c>
      <c r="I653" s="19">
        <v>2083.2829999999999</v>
      </c>
      <c r="J653" s="40">
        <v>5.75</v>
      </c>
      <c r="K653" s="43">
        <v>14867</v>
      </c>
      <c r="L653" s="24">
        <v>84.6</v>
      </c>
      <c r="M653" s="42">
        <v>100</v>
      </c>
    </row>
    <row r="654" spans="1:13" x14ac:dyDescent="0.75">
      <c r="A654" t="s">
        <v>19</v>
      </c>
      <c r="B654" s="18">
        <v>2023</v>
      </c>
      <c r="C654" s="4">
        <v>5</v>
      </c>
      <c r="D654">
        <v>0</v>
      </c>
      <c r="E654" s="19">
        <v>50.3</v>
      </c>
      <c r="F654" s="19">
        <v>103.51</v>
      </c>
      <c r="G654" s="19">
        <v>49.67</v>
      </c>
      <c r="H654" s="26">
        <v>11.07</v>
      </c>
      <c r="I654" s="19">
        <v>2034.268</v>
      </c>
      <c r="J654" s="40">
        <v>5.75</v>
      </c>
      <c r="K654" s="43">
        <v>14811</v>
      </c>
      <c r="L654" s="24">
        <v>75.5</v>
      </c>
      <c r="M654" s="42">
        <v>100.2</v>
      </c>
    </row>
    <row r="655" spans="1:13" x14ac:dyDescent="0.75">
      <c r="A655" t="s">
        <v>19</v>
      </c>
      <c r="B655" s="18">
        <v>2023</v>
      </c>
      <c r="C655" s="4">
        <v>6</v>
      </c>
      <c r="D655">
        <v>62</v>
      </c>
      <c r="E655" s="33">
        <v>52.5</v>
      </c>
      <c r="F655" s="19">
        <v>103.77</v>
      </c>
      <c r="G655" s="19">
        <v>47.58</v>
      </c>
      <c r="H655" s="26">
        <v>8.77</v>
      </c>
      <c r="I655" s="19">
        <v>1726.3779999999999</v>
      </c>
      <c r="J655" s="40">
        <v>5.75</v>
      </c>
      <c r="K655" s="43">
        <v>14932</v>
      </c>
      <c r="L655" s="24">
        <v>74.8</v>
      </c>
      <c r="M655" s="42">
        <v>100.3</v>
      </c>
    </row>
    <row r="656" spans="1:13" x14ac:dyDescent="0.75">
      <c r="A656" t="s">
        <v>19</v>
      </c>
      <c r="B656" s="18">
        <v>2023</v>
      </c>
      <c r="C656" s="4">
        <v>7</v>
      </c>
      <c r="D656">
        <v>79</v>
      </c>
      <c r="E656" s="33">
        <v>53.3</v>
      </c>
      <c r="F656" s="19">
        <v>104.06</v>
      </c>
      <c r="G656" s="19">
        <v>47.8</v>
      </c>
      <c r="H656" s="26">
        <v>9.18</v>
      </c>
      <c r="I656" s="19">
        <v>1812.7660000000001</v>
      </c>
      <c r="J656" s="40">
        <v>5.75</v>
      </c>
      <c r="K656" s="43">
        <v>15040</v>
      </c>
      <c r="L656" s="24">
        <v>80.099999999999994</v>
      </c>
      <c r="M656" s="42">
        <v>100.5</v>
      </c>
    </row>
    <row r="657" spans="1:13" x14ac:dyDescent="0.75">
      <c r="A657" t="s">
        <v>19</v>
      </c>
      <c r="B657" s="18">
        <v>2023</v>
      </c>
      <c r="C657" s="4">
        <v>8</v>
      </c>
      <c r="D657">
        <v>79</v>
      </c>
      <c r="E657" s="33">
        <v>53.9</v>
      </c>
      <c r="F657" s="19">
        <v>104.38</v>
      </c>
      <c r="G657" s="19">
        <v>44.35</v>
      </c>
      <c r="H657" s="26">
        <v>9.84</v>
      </c>
      <c r="I657" s="19">
        <v>1773.2809999999999</v>
      </c>
      <c r="J657" s="40">
        <v>5.75</v>
      </c>
      <c r="K657" s="43">
        <v>15245</v>
      </c>
      <c r="L657" s="24">
        <v>86.1</v>
      </c>
      <c r="M657" s="42">
        <v>100.5</v>
      </c>
    </row>
    <row r="658" spans="1:13" x14ac:dyDescent="0.75">
      <c r="A658" t="s">
        <v>19</v>
      </c>
      <c r="B658" s="18">
        <v>2023</v>
      </c>
      <c r="C658" s="4">
        <v>9</v>
      </c>
      <c r="D658">
        <v>80</v>
      </c>
      <c r="E658" s="33">
        <v>52.3</v>
      </c>
      <c r="F658" s="19">
        <v>104.16</v>
      </c>
      <c r="G658" s="19">
        <v>46.55</v>
      </c>
      <c r="H658" s="26">
        <v>9.4499999999999993</v>
      </c>
      <c r="I658" s="19">
        <v>1699.3409999999999</v>
      </c>
      <c r="J658" s="40">
        <v>5.75</v>
      </c>
      <c r="K658" s="43">
        <v>15354</v>
      </c>
      <c r="L658" s="24" t="s">
        <v>64</v>
      </c>
      <c r="M658" s="42">
        <v>100.9</v>
      </c>
    </row>
    <row r="659" spans="1:13" x14ac:dyDescent="0.75">
      <c r="A659" t="s">
        <v>19</v>
      </c>
      <c r="B659" s="18">
        <v>2023</v>
      </c>
      <c r="C659" s="4">
        <v>10</v>
      </c>
      <c r="D659">
        <v>90</v>
      </c>
      <c r="E659" s="33">
        <v>51.5</v>
      </c>
      <c r="F659" s="19">
        <v>104.39</v>
      </c>
      <c r="G659" s="19">
        <v>54.43</v>
      </c>
      <c r="H659" s="26">
        <v>11.49</v>
      </c>
      <c r="I659" s="19">
        <v>1698.2070000000001</v>
      </c>
      <c r="J659" s="40">
        <v>6</v>
      </c>
      <c r="K659" s="43">
        <v>15741</v>
      </c>
      <c r="L659" s="24">
        <v>90.6</v>
      </c>
      <c r="M659" s="42">
        <v>101.2</v>
      </c>
    </row>
    <row r="660" spans="1:13" x14ac:dyDescent="0.75">
      <c r="A660" t="s">
        <v>19</v>
      </c>
      <c r="B660" s="18">
        <v>2023</v>
      </c>
      <c r="C660" s="4">
        <v>11</v>
      </c>
      <c r="D660">
        <v>92</v>
      </c>
      <c r="E660" s="33">
        <v>51.7</v>
      </c>
      <c r="F660" s="19">
        <v>104.92</v>
      </c>
      <c r="G660" s="19">
        <v>55.93</v>
      </c>
      <c r="H660" s="26">
        <v>10.38</v>
      </c>
      <c r="I660" s="19">
        <v>1660.1410000000001</v>
      </c>
      <c r="J660" s="40">
        <v>6</v>
      </c>
      <c r="K660" s="43">
        <v>15617</v>
      </c>
      <c r="L660" s="24">
        <v>82.9</v>
      </c>
      <c r="M660" s="42">
        <v>101.4</v>
      </c>
    </row>
    <row r="661" spans="1:13" x14ac:dyDescent="0.75">
      <c r="A661" t="s">
        <v>19</v>
      </c>
      <c r="B661" s="18">
        <v>2023</v>
      </c>
      <c r="C661" s="4">
        <v>12</v>
      </c>
      <c r="D661">
        <v>145</v>
      </c>
      <c r="E661" s="33">
        <v>52.2</v>
      </c>
      <c r="F661" s="19">
        <v>105.4</v>
      </c>
      <c r="G661" s="19">
        <v>47.43</v>
      </c>
      <c r="H661" s="26">
        <v>9.64</v>
      </c>
      <c r="I661" s="19">
        <v>1466.3989999999999</v>
      </c>
      <c r="J661" s="40">
        <v>6</v>
      </c>
      <c r="K661" s="43">
        <v>15513</v>
      </c>
      <c r="L661" s="24">
        <v>77.599999999999994</v>
      </c>
      <c r="M661" s="42">
        <v>101.8</v>
      </c>
    </row>
    <row r="662" spans="1:13" x14ac:dyDescent="0.75">
      <c r="A662" t="s">
        <v>20</v>
      </c>
      <c r="B662" s="18">
        <v>2023</v>
      </c>
      <c r="C662" s="4">
        <v>1</v>
      </c>
      <c r="D662">
        <v>0</v>
      </c>
      <c r="E662" s="19">
        <v>51.3</v>
      </c>
      <c r="F662" s="29">
        <v>102.78</v>
      </c>
      <c r="G662" s="26">
        <v>258.12</v>
      </c>
      <c r="H662" s="29">
        <v>15</v>
      </c>
      <c r="I662" s="19">
        <v>909.22500000000002</v>
      </c>
      <c r="J662" s="40">
        <v>5.75</v>
      </c>
      <c r="K662" s="43">
        <v>15295</v>
      </c>
      <c r="L662" s="24">
        <v>82.5</v>
      </c>
      <c r="M662" s="42">
        <v>99.3</v>
      </c>
    </row>
    <row r="663" spans="1:13" x14ac:dyDescent="0.75">
      <c r="A663" t="s">
        <v>20</v>
      </c>
      <c r="B663" s="18">
        <v>2023</v>
      </c>
      <c r="C663" s="4">
        <v>2</v>
      </c>
      <c r="D663">
        <v>0</v>
      </c>
      <c r="E663" s="19">
        <v>51.2</v>
      </c>
      <c r="F663" s="29">
        <v>102.74</v>
      </c>
      <c r="G663" s="26">
        <v>167.54</v>
      </c>
      <c r="H663" s="29">
        <v>18.86</v>
      </c>
      <c r="I663" s="19">
        <v>914.827</v>
      </c>
      <c r="J663" s="40">
        <v>5.75</v>
      </c>
      <c r="K663" s="43">
        <v>15126</v>
      </c>
      <c r="L663" s="24">
        <v>82.6</v>
      </c>
      <c r="M663" s="42">
        <v>99.6</v>
      </c>
    </row>
    <row r="664" spans="1:13" x14ac:dyDescent="0.75">
      <c r="A664" t="s">
        <v>20</v>
      </c>
      <c r="B664" s="18">
        <v>2023</v>
      </c>
      <c r="C664" s="4">
        <v>3</v>
      </c>
      <c r="D664">
        <v>0</v>
      </c>
      <c r="E664" s="19">
        <v>51.9</v>
      </c>
      <c r="F664" s="29">
        <v>103</v>
      </c>
      <c r="G664" s="26">
        <v>149.44</v>
      </c>
      <c r="H664" s="29">
        <v>25.98</v>
      </c>
      <c r="I664" s="19">
        <v>905.26</v>
      </c>
      <c r="J664" s="40">
        <v>5.75</v>
      </c>
      <c r="K664" s="43">
        <v>15301</v>
      </c>
      <c r="L664" s="24">
        <v>78.400000000000006</v>
      </c>
      <c r="M664" s="42">
        <v>99.9</v>
      </c>
    </row>
    <row r="665" spans="1:13" x14ac:dyDescent="0.75">
      <c r="A665" t="s">
        <v>20</v>
      </c>
      <c r="B665" s="18">
        <v>2023</v>
      </c>
      <c r="C665" s="4">
        <v>4</v>
      </c>
      <c r="D665">
        <v>0</v>
      </c>
      <c r="E665" s="19">
        <v>52.7</v>
      </c>
      <c r="F665" s="29">
        <v>103.38</v>
      </c>
      <c r="G665" s="26">
        <v>6.65</v>
      </c>
      <c r="H665" s="29">
        <v>9.81</v>
      </c>
      <c r="I665" s="19">
        <v>880.20899999999995</v>
      </c>
      <c r="J665" s="40">
        <v>5.75</v>
      </c>
      <c r="K665" s="43">
        <v>14867</v>
      </c>
      <c r="L665" s="24">
        <v>84.6</v>
      </c>
      <c r="M665" s="42">
        <v>100</v>
      </c>
    </row>
    <row r="666" spans="1:13" x14ac:dyDescent="0.75">
      <c r="A666" t="s">
        <v>20</v>
      </c>
      <c r="B666" s="18">
        <v>2023</v>
      </c>
      <c r="C666" s="4">
        <v>5</v>
      </c>
      <c r="D666">
        <v>0</v>
      </c>
      <c r="E666" s="19">
        <v>50.3</v>
      </c>
      <c r="F666" s="29">
        <v>103.49</v>
      </c>
      <c r="G666" s="26">
        <v>3.92</v>
      </c>
      <c r="H666" s="29">
        <v>28.99</v>
      </c>
      <c r="I666" s="19">
        <v>801.202</v>
      </c>
      <c r="J666" s="40">
        <v>5.75</v>
      </c>
      <c r="K666" s="43">
        <v>14811</v>
      </c>
      <c r="L666" s="24">
        <v>75.5</v>
      </c>
      <c r="M666" s="42">
        <v>100.2</v>
      </c>
    </row>
    <row r="667" spans="1:13" x14ac:dyDescent="0.75">
      <c r="A667" t="s">
        <v>20</v>
      </c>
      <c r="B667" s="18">
        <v>2023</v>
      </c>
      <c r="C667" s="4">
        <v>6</v>
      </c>
      <c r="D667">
        <v>90</v>
      </c>
      <c r="E667" s="33">
        <v>52.5</v>
      </c>
      <c r="F667" s="29">
        <v>103.88</v>
      </c>
      <c r="G667" s="26">
        <v>2.72</v>
      </c>
      <c r="H667" s="29">
        <v>38.25</v>
      </c>
      <c r="I667" s="19">
        <v>740.36</v>
      </c>
      <c r="J667" s="40">
        <v>5.75</v>
      </c>
      <c r="K667" s="43">
        <v>14932</v>
      </c>
      <c r="L667" s="24">
        <v>74.8</v>
      </c>
      <c r="M667" s="42">
        <v>100.3</v>
      </c>
    </row>
    <row r="668" spans="1:13" x14ac:dyDescent="0.75">
      <c r="A668" t="s">
        <v>20</v>
      </c>
      <c r="B668" s="18">
        <v>2023</v>
      </c>
      <c r="C668" s="4">
        <v>7</v>
      </c>
      <c r="D668">
        <v>90</v>
      </c>
      <c r="E668" s="33">
        <v>53.3</v>
      </c>
      <c r="F668" s="29">
        <v>103.73</v>
      </c>
      <c r="G668" s="26">
        <v>84.12</v>
      </c>
      <c r="H668" s="29">
        <v>92.55</v>
      </c>
      <c r="I668" s="19">
        <v>765.15</v>
      </c>
      <c r="J668" s="40">
        <v>5.75</v>
      </c>
      <c r="K668" s="43">
        <v>15040</v>
      </c>
      <c r="L668" s="24">
        <v>80.099999999999994</v>
      </c>
      <c r="M668" s="42">
        <v>100.5</v>
      </c>
    </row>
    <row r="669" spans="1:13" x14ac:dyDescent="0.75">
      <c r="A669" t="s">
        <v>20</v>
      </c>
      <c r="B669" s="18">
        <v>2023</v>
      </c>
      <c r="C669" s="4">
        <v>8</v>
      </c>
      <c r="D669">
        <v>90</v>
      </c>
      <c r="E669" s="33">
        <v>53.9</v>
      </c>
      <c r="F669" s="29">
        <v>103.69</v>
      </c>
      <c r="G669" s="26">
        <v>405.52</v>
      </c>
      <c r="H669" s="29">
        <v>56.38</v>
      </c>
      <c r="I669" s="19">
        <v>735.72</v>
      </c>
      <c r="J669" s="40">
        <v>5.75</v>
      </c>
      <c r="K669" s="43">
        <v>15245</v>
      </c>
      <c r="L669" s="24">
        <v>86.1</v>
      </c>
      <c r="M669" s="42">
        <v>100.5</v>
      </c>
    </row>
    <row r="670" spans="1:13" x14ac:dyDescent="0.75">
      <c r="A670" t="s">
        <v>20</v>
      </c>
      <c r="B670" s="18">
        <v>2023</v>
      </c>
      <c r="C670" s="4">
        <v>9</v>
      </c>
      <c r="D670">
        <v>90</v>
      </c>
      <c r="E670" s="33">
        <v>52.3</v>
      </c>
      <c r="F670" s="29">
        <v>104.03</v>
      </c>
      <c r="G670" s="26">
        <v>85.29</v>
      </c>
      <c r="H670" s="29">
        <v>33.090000000000003</v>
      </c>
      <c r="I670" s="19">
        <v>752.09699999999998</v>
      </c>
      <c r="J670" s="40">
        <v>5.75</v>
      </c>
      <c r="K670" s="43">
        <v>15354</v>
      </c>
      <c r="L670" s="24" t="s">
        <v>64</v>
      </c>
      <c r="M670" s="42">
        <v>100.9</v>
      </c>
    </row>
    <row r="671" spans="1:13" x14ac:dyDescent="0.75">
      <c r="A671" t="s">
        <v>20</v>
      </c>
      <c r="B671" s="18">
        <v>2023</v>
      </c>
      <c r="C671" s="4">
        <v>10</v>
      </c>
      <c r="D671">
        <v>90</v>
      </c>
      <c r="E671" s="33">
        <v>51.5</v>
      </c>
      <c r="F671" s="29">
        <v>104.46</v>
      </c>
      <c r="G671" s="26">
        <v>261.24</v>
      </c>
      <c r="H671" s="29">
        <v>80.52</v>
      </c>
      <c r="I671" s="19">
        <v>759.97299999999996</v>
      </c>
      <c r="J671" s="40">
        <v>6</v>
      </c>
      <c r="K671" s="43">
        <v>15741</v>
      </c>
      <c r="L671" s="24">
        <v>90.6</v>
      </c>
      <c r="M671" s="42">
        <v>101.2</v>
      </c>
    </row>
    <row r="672" spans="1:13" x14ac:dyDescent="0.75">
      <c r="A672" t="s">
        <v>20</v>
      </c>
      <c r="B672" s="18">
        <v>2023</v>
      </c>
      <c r="C672" s="4">
        <v>11</v>
      </c>
      <c r="D672">
        <v>90</v>
      </c>
      <c r="E672" s="33">
        <v>51.7</v>
      </c>
      <c r="F672" s="29">
        <v>105.02</v>
      </c>
      <c r="G672" s="26">
        <v>250.45</v>
      </c>
      <c r="H672" s="29">
        <v>95.36</v>
      </c>
      <c r="I672" s="19">
        <v>746.99800000000005</v>
      </c>
      <c r="J672" s="40">
        <v>6</v>
      </c>
      <c r="K672" s="43">
        <v>15617</v>
      </c>
      <c r="L672" s="24">
        <v>82.9</v>
      </c>
      <c r="M672" s="42">
        <v>101.4</v>
      </c>
    </row>
    <row r="673" spans="1:13" x14ac:dyDescent="0.75">
      <c r="A673" t="s">
        <v>20</v>
      </c>
      <c r="B673" s="18">
        <v>2023</v>
      </c>
      <c r="C673" s="4">
        <v>12</v>
      </c>
      <c r="D673">
        <v>90</v>
      </c>
      <c r="E673" s="33">
        <v>52.2</v>
      </c>
      <c r="F673" s="29">
        <v>105.69</v>
      </c>
      <c r="G673" s="26">
        <v>375.55</v>
      </c>
      <c r="H673" s="29">
        <v>103.02</v>
      </c>
      <c r="I673" s="19">
        <v>719.27599999999995</v>
      </c>
      <c r="J673" s="40">
        <v>6</v>
      </c>
      <c r="K673" s="43">
        <v>15513</v>
      </c>
      <c r="L673" s="24">
        <v>77.599999999999994</v>
      </c>
      <c r="M673" s="42">
        <v>101.8</v>
      </c>
    </row>
    <row r="674" spans="1:13" x14ac:dyDescent="0.75">
      <c r="A674" t="s">
        <v>21</v>
      </c>
      <c r="B674" s="18">
        <v>2023</v>
      </c>
      <c r="C674" s="4">
        <v>1</v>
      </c>
      <c r="D674">
        <v>0</v>
      </c>
      <c r="E674" s="19">
        <v>51.3</v>
      </c>
      <c r="F674" s="29">
        <v>103.38</v>
      </c>
      <c r="G674" s="29">
        <v>4.3499999999999996</v>
      </c>
      <c r="H674" s="29">
        <v>2.48</v>
      </c>
      <c r="I674" s="19">
        <v>642.62699999999995</v>
      </c>
      <c r="J674" s="40">
        <v>5.75</v>
      </c>
      <c r="K674" s="43">
        <v>15295</v>
      </c>
      <c r="L674" s="24">
        <v>82.5</v>
      </c>
      <c r="M674" s="42">
        <v>99.3</v>
      </c>
    </row>
    <row r="675" spans="1:13" x14ac:dyDescent="0.75">
      <c r="A675" t="s">
        <v>21</v>
      </c>
      <c r="B675" s="18">
        <v>2023</v>
      </c>
      <c r="C675" s="4">
        <v>2</v>
      </c>
      <c r="D675">
        <v>0</v>
      </c>
      <c r="E675" s="19">
        <v>51.2</v>
      </c>
      <c r="F675" s="29">
        <v>102.9</v>
      </c>
      <c r="G675" s="29">
        <v>6.26</v>
      </c>
      <c r="H675" s="29">
        <v>0.16</v>
      </c>
      <c r="I675" s="19">
        <v>782.39099999999996</v>
      </c>
      <c r="J675" s="40">
        <v>5.75</v>
      </c>
      <c r="K675" s="43">
        <v>15126</v>
      </c>
      <c r="L675" s="24">
        <v>82.6</v>
      </c>
      <c r="M675" s="42">
        <v>99.6</v>
      </c>
    </row>
    <row r="676" spans="1:13" x14ac:dyDescent="0.75">
      <c r="A676" t="s">
        <v>21</v>
      </c>
      <c r="B676" s="18">
        <v>2023</v>
      </c>
      <c r="C676" s="4">
        <v>3</v>
      </c>
      <c r="D676">
        <v>0</v>
      </c>
      <c r="E676" s="19">
        <v>51.9</v>
      </c>
      <c r="F676" s="29">
        <v>103.86</v>
      </c>
      <c r="G676" s="29">
        <v>7.38</v>
      </c>
      <c r="H676" s="29">
        <v>5.13</v>
      </c>
      <c r="I676" s="19">
        <v>819.08600000000001</v>
      </c>
      <c r="J676" s="40">
        <v>5.75</v>
      </c>
      <c r="K676" s="43">
        <v>15301</v>
      </c>
      <c r="L676" s="24">
        <v>78.400000000000006</v>
      </c>
      <c r="M676" s="42">
        <v>99.9</v>
      </c>
    </row>
    <row r="677" spans="1:13" x14ac:dyDescent="0.75">
      <c r="A677" t="s">
        <v>21</v>
      </c>
      <c r="B677" s="18">
        <v>2023</v>
      </c>
      <c r="C677" s="4">
        <v>4</v>
      </c>
      <c r="D677">
        <v>0</v>
      </c>
      <c r="E677" s="19">
        <v>52.7</v>
      </c>
      <c r="F677" s="29">
        <v>103.74</v>
      </c>
      <c r="G677" s="29">
        <v>4.5199999999999996</v>
      </c>
      <c r="H677" s="29">
        <v>1.95</v>
      </c>
      <c r="I677" s="19">
        <v>836.99699999999996</v>
      </c>
      <c r="J677" s="40">
        <v>5.75</v>
      </c>
      <c r="K677" s="43">
        <v>14867</v>
      </c>
      <c r="L677" s="24">
        <v>84.6</v>
      </c>
      <c r="M677" s="42">
        <v>100</v>
      </c>
    </row>
    <row r="678" spans="1:13" x14ac:dyDescent="0.75">
      <c r="A678" t="s">
        <v>21</v>
      </c>
      <c r="B678" s="18">
        <v>2023</v>
      </c>
      <c r="C678" s="4">
        <v>5</v>
      </c>
      <c r="D678">
        <v>0</v>
      </c>
      <c r="E678" s="19">
        <v>50.3</v>
      </c>
      <c r="F678" s="29">
        <v>103.44</v>
      </c>
      <c r="G678" s="29">
        <v>5.54</v>
      </c>
      <c r="H678" s="29">
        <v>21.53</v>
      </c>
      <c r="I678" s="19">
        <v>843.48599999999999</v>
      </c>
      <c r="J678" s="40">
        <v>5.75</v>
      </c>
      <c r="K678" s="43">
        <v>14811</v>
      </c>
      <c r="L678" s="24">
        <v>75.5</v>
      </c>
      <c r="M678" s="42">
        <v>100.2</v>
      </c>
    </row>
    <row r="679" spans="1:13" x14ac:dyDescent="0.75">
      <c r="A679" t="s">
        <v>21</v>
      </c>
      <c r="B679" s="18">
        <v>2023</v>
      </c>
      <c r="C679" s="4">
        <v>6</v>
      </c>
      <c r="D679">
        <v>0</v>
      </c>
      <c r="E679" s="33">
        <v>52.5</v>
      </c>
      <c r="F679" s="29">
        <v>104.09</v>
      </c>
      <c r="G679" s="29">
        <v>5.19</v>
      </c>
      <c r="H679" s="29">
        <v>1.97</v>
      </c>
      <c r="I679" s="19">
        <v>828.25300000000004</v>
      </c>
      <c r="J679" s="40">
        <v>5.75</v>
      </c>
      <c r="K679" s="43">
        <v>14932</v>
      </c>
      <c r="L679" s="24">
        <v>74.8</v>
      </c>
      <c r="M679" s="42">
        <v>100.3</v>
      </c>
    </row>
    <row r="680" spans="1:13" x14ac:dyDescent="0.75">
      <c r="A680" t="s">
        <v>21</v>
      </c>
      <c r="B680" s="18">
        <v>2023</v>
      </c>
      <c r="C680" s="4">
        <v>7</v>
      </c>
      <c r="D680">
        <v>0</v>
      </c>
      <c r="E680" s="33">
        <v>53.3</v>
      </c>
      <c r="F680" s="29">
        <v>104.46</v>
      </c>
      <c r="G680" s="29">
        <v>5.36</v>
      </c>
      <c r="H680" s="29">
        <v>6.18</v>
      </c>
      <c r="I680" s="19">
        <v>881.06</v>
      </c>
      <c r="J680" s="40">
        <v>5.75</v>
      </c>
      <c r="K680" s="43">
        <v>15040</v>
      </c>
      <c r="L680" s="24">
        <v>80.099999999999994</v>
      </c>
      <c r="M680" s="42">
        <v>100.5</v>
      </c>
    </row>
    <row r="681" spans="1:13" x14ac:dyDescent="0.75">
      <c r="A681" t="s">
        <v>21</v>
      </c>
      <c r="B681" s="18">
        <v>2023</v>
      </c>
      <c r="C681" s="4">
        <v>8</v>
      </c>
      <c r="D681">
        <v>10</v>
      </c>
      <c r="E681" s="33">
        <v>53.9</v>
      </c>
      <c r="F681" s="29">
        <v>103.82</v>
      </c>
      <c r="G681" s="29">
        <v>5.04</v>
      </c>
      <c r="H681" s="29">
        <v>0.86</v>
      </c>
      <c r="I681" s="19">
        <v>884.31899999999996</v>
      </c>
      <c r="J681" s="40">
        <v>5.75</v>
      </c>
      <c r="K681" s="43">
        <v>15245</v>
      </c>
      <c r="L681" s="24">
        <v>86.1</v>
      </c>
      <c r="M681" s="42">
        <v>100.5</v>
      </c>
    </row>
    <row r="682" spans="1:13" x14ac:dyDescent="0.75">
      <c r="A682" t="s">
        <v>21</v>
      </c>
      <c r="B682" s="18">
        <v>2023</v>
      </c>
      <c r="C682" s="4">
        <v>9</v>
      </c>
      <c r="D682">
        <v>10</v>
      </c>
      <c r="E682" s="33">
        <v>52.3</v>
      </c>
      <c r="F682" s="29">
        <v>103.95</v>
      </c>
      <c r="G682" s="29">
        <v>6.35</v>
      </c>
      <c r="H682" s="29">
        <v>3.94</v>
      </c>
      <c r="I682" s="19">
        <v>800.63800000000003</v>
      </c>
      <c r="J682" s="40">
        <v>5.75</v>
      </c>
      <c r="K682" s="43">
        <v>15354</v>
      </c>
      <c r="L682" s="24" t="s">
        <v>64</v>
      </c>
      <c r="M682" s="42">
        <v>100.9</v>
      </c>
    </row>
    <row r="683" spans="1:13" x14ac:dyDescent="0.75">
      <c r="A683" t="s">
        <v>21</v>
      </c>
      <c r="B683" s="18">
        <v>2023</v>
      </c>
      <c r="C683" s="4">
        <v>10</v>
      </c>
      <c r="D683">
        <v>10</v>
      </c>
      <c r="E683" s="33">
        <v>51.5</v>
      </c>
      <c r="F683" s="29">
        <v>104.15</v>
      </c>
      <c r="G683" s="29">
        <v>8.07</v>
      </c>
      <c r="H683" s="29">
        <v>3.39</v>
      </c>
      <c r="I683" s="19">
        <v>812.16200000000003</v>
      </c>
      <c r="J683" s="40">
        <v>6</v>
      </c>
      <c r="K683" s="43">
        <v>15741</v>
      </c>
      <c r="L683" s="24">
        <v>90.6</v>
      </c>
      <c r="M683" s="42">
        <v>101.2</v>
      </c>
    </row>
    <row r="684" spans="1:13" x14ac:dyDescent="0.75">
      <c r="A684" t="s">
        <v>21</v>
      </c>
      <c r="B684" s="18">
        <v>2023</v>
      </c>
      <c r="C684" s="4">
        <v>11</v>
      </c>
      <c r="D684">
        <v>10</v>
      </c>
      <c r="E684" s="33">
        <v>51.7</v>
      </c>
      <c r="F684" s="29">
        <v>104.66</v>
      </c>
      <c r="G684" s="29">
        <v>8.8000000000000007</v>
      </c>
      <c r="H684" s="29">
        <v>19.48</v>
      </c>
      <c r="I684" s="19">
        <v>810.2</v>
      </c>
      <c r="J684" s="40">
        <v>6</v>
      </c>
      <c r="K684" s="43">
        <v>15617</v>
      </c>
      <c r="L684" s="24">
        <v>82.9</v>
      </c>
      <c r="M684" s="42">
        <v>101.4</v>
      </c>
    </row>
    <row r="685" spans="1:13" x14ac:dyDescent="0.75">
      <c r="A685" t="s">
        <v>21</v>
      </c>
      <c r="B685" s="18">
        <v>2023</v>
      </c>
      <c r="C685" s="4">
        <v>12</v>
      </c>
      <c r="D685">
        <v>108</v>
      </c>
      <c r="E685" s="33">
        <v>52.2</v>
      </c>
      <c r="F685" s="29">
        <v>105.15</v>
      </c>
      <c r="G685" s="29">
        <v>7.23</v>
      </c>
      <c r="H685" s="29">
        <v>3.25</v>
      </c>
      <c r="I685" s="19">
        <v>728.01800000000003</v>
      </c>
      <c r="J685" s="40">
        <v>6</v>
      </c>
      <c r="K685" s="43">
        <v>15513</v>
      </c>
      <c r="L685" s="24">
        <v>77.599999999999994</v>
      </c>
      <c r="M685" s="42">
        <v>101.8</v>
      </c>
    </row>
    <row r="686" spans="1:13" x14ac:dyDescent="0.75">
      <c r="A686" t="s">
        <v>22</v>
      </c>
      <c r="B686" s="18">
        <v>2023</v>
      </c>
      <c r="C686" s="4">
        <v>1</v>
      </c>
      <c r="D686">
        <v>0</v>
      </c>
      <c r="E686" s="19">
        <v>51.3</v>
      </c>
      <c r="F686" s="26">
        <v>102.59</v>
      </c>
      <c r="G686" s="29">
        <v>239.66</v>
      </c>
      <c r="H686" s="26">
        <v>30.96</v>
      </c>
      <c r="I686" s="19">
        <v>1247.865</v>
      </c>
      <c r="J686" s="40">
        <v>5.75</v>
      </c>
      <c r="K686" s="43">
        <v>15295</v>
      </c>
      <c r="L686" s="24">
        <v>82.5</v>
      </c>
      <c r="M686" s="42">
        <v>99.3</v>
      </c>
    </row>
    <row r="687" spans="1:13" x14ac:dyDescent="0.75">
      <c r="A687" t="s">
        <v>22</v>
      </c>
      <c r="B687" s="18">
        <v>2023</v>
      </c>
      <c r="C687" s="4">
        <v>2</v>
      </c>
      <c r="D687">
        <v>0</v>
      </c>
      <c r="E687" s="19">
        <v>51.2</v>
      </c>
      <c r="F687" s="26">
        <v>102.86</v>
      </c>
      <c r="G687" s="29">
        <v>237.61</v>
      </c>
      <c r="H687" s="26">
        <v>14.96</v>
      </c>
      <c r="I687" s="19">
        <v>1314.3989999999999</v>
      </c>
      <c r="J687" s="40">
        <v>5.75</v>
      </c>
      <c r="K687" s="43">
        <v>15126</v>
      </c>
      <c r="L687" s="24">
        <v>82.6</v>
      </c>
      <c r="M687" s="42">
        <v>99.6</v>
      </c>
    </row>
    <row r="688" spans="1:13" x14ac:dyDescent="0.75">
      <c r="A688" t="s">
        <v>22</v>
      </c>
      <c r="B688" s="18">
        <v>2023</v>
      </c>
      <c r="C688" s="4">
        <v>3</v>
      </c>
      <c r="D688">
        <v>2</v>
      </c>
      <c r="E688" s="19">
        <v>51.9</v>
      </c>
      <c r="F688" s="26">
        <v>103.25</v>
      </c>
      <c r="G688" s="29">
        <v>134.97</v>
      </c>
      <c r="H688" s="26">
        <v>44.32</v>
      </c>
      <c r="I688" s="19">
        <v>1285.73</v>
      </c>
      <c r="J688" s="40">
        <v>5.75</v>
      </c>
      <c r="K688" s="43">
        <v>15301</v>
      </c>
      <c r="L688" s="24">
        <v>78.400000000000006</v>
      </c>
      <c r="M688" s="42">
        <v>99.9</v>
      </c>
    </row>
    <row r="689" spans="1:13" x14ac:dyDescent="0.75">
      <c r="A689" t="s">
        <v>22</v>
      </c>
      <c r="B689" s="18">
        <v>2023</v>
      </c>
      <c r="C689" s="4">
        <v>4</v>
      </c>
      <c r="D689">
        <v>2</v>
      </c>
      <c r="E689" s="19">
        <v>52.7</v>
      </c>
      <c r="F689" s="26">
        <v>103.75</v>
      </c>
      <c r="G689" s="29">
        <v>168.3</v>
      </c>
      <c r="H689" s="26">
        <v>43.11</v>
      </c>
      <c r="I689" s="19">
        <v>1264.336</v>
      </c>
      <c r="J689" s="40">
        <v>5.75</v>
      </c>
      <c r="K689" s="43">
        <v>14867</v>
      </c>
      <c r="L689" s="24">
        <v>84.6</v>
      </c>
      <c r="M689" s="42">
        <v>100</v>
      </c>
    </row>
    <row r="690" spans="1:13" x14ac:dyDescent="0.75">
      <c r="A690" t="s">
        <v>22</v>
      </c>
      <c r="B690" s="18">
        <v>2023</v>
      </c>
      <c r="C690" s="4">
        <v>5</v>
      </c>
      <c r="D690">
        <v>414</v>
      </c>
      <c r="E690" s="19">
        <v>50.3</v>
      </c>
      <c r="F690" s="26">
        <v>103.79</v>
      </c>
      <c r="G690" s="29">
        <v>121.02</v>
      </c>
      <c r="H690" s="26">
        <v>34.07</v>
      </c>
      <c r="I690" s="19">
        <v>1269.7170000000001</v>
      </c>
      <c r="J690" s="40">
        <v>5.75</v>
      </c>
      <c r="K690" s="43">
        <v>14811</v>
      </c>
      <c r="L690" s="24">
        <v>75.5</v>
      </c>
      <c r="M690" s="42">
        <v>100.2</v>
      </c>
    </row>
    <row r="691" spans="1:13" x14ac:dyDescent="0.75">
      <c r="A691" t="s">
        <v>22</v>
      </c>
      <c r="B691" s="18">
        <v>2023</v>
      </c>
      <c r="C691" s="4">
        <v>6</v>
      </c>
      <c r="D691">
        <v>414</v>
      </c>
      <c r="E691" s="33">
        <v>52.5</v>
      </c>
      <c r="F691" s="26">
        <v>104.06</v>
      </c>
      <c r="G691" s="29">
        <v>199.92</v>
      </c>
      <c r="H691" s="26">
        <v>34.44</v>
      </c>
      <c r="I691" s="19">
        <v>1209.4110000000001</v>
      </c>
      <c r="J691" s="40">
        <v>5.75</v>
      </c>
      <c r="K691" s="43">
        <v>14932</v>
      </c>
      <c r="L691" s="24">
        <v>74.8</v>
      </c>
      <c r="M691" s="42">
        <v>100.3</v>
      </c>
    </row>
    <row r="692" spans="1:13" x14ac:dyDescent="0.75">
      <c r="A692" t="s">
        <v>22</v>
      </c>
      <c r="B692" s="18">
        <v>2023</v>
      </c>
      <c r="C692" s="4">
        <v>7</v>
      </c>
      <c r="D692">
        <v>414</v>
      </c>
      <c r="E692" s="33">
        <v>53.3</v>
      </c>
      <c r="F692" s="26">
        <v>104.3</v>
      </c>
      <c r="G692" s="29">
        <v>160.47</v>
      </c>
      <c r="H692" s="26">
        <v>34.08</v>
      </c>
      <c r="I692" s="19">
        <v>1329.816</v>
      </c>
      <c r="J692" s="40">
        <v>5.75</v>
      </c>
      <c r="K692" s="43">
        <v>15040</v>
      </c>
      <c r="L692" s="24">
        <v>80.099999999999994</v>
      </c>
      <c r="M692" s="42">
        <v>100.5</v>
      </c>
    </row>
    <row r="693" spans="1:13" x14ac:dyDescent="0.75">
      <c r="A693" t="s">
        <v>22</v>
      </c>
      <c r="B693" s="18">
        <v>2023</v>
      </c>
      <c r="C693" s="4">
        <v>8</v>
      </c>
      <c r="D693">
        <v>414</v>
      </c>
      <c r="E693" s="33">
        <v>53.9</v>
      </c>
      <c r="F693" s="26">
        <v>104.16</v>
      </c>
      <c r="G693" s="29">
        <v>176</v>
      </c>
      <c r="H693" s="26">
        <v>51.41</v>
      </c>
      <c r="I693" s="19">
        <v>1373.0450000000001</v>
      </c>
      <c r="J693" s="40">
        <v>5.75</v>
      </c>
      <c r="K693" s="43">
        <v>15245</v>
      </c>
      <c r="L693" s="24">
        <v>86.1</v>
      </c>
      <c r="M693" s="42">
        <v>100.5</v>
      </c>
    </row>
    <row r="694" spans="1:13" x14ac:dyDescent="0.75">
      <c r="A694" t="s">
        <v>22</v>
      </c>
      <c r="B694" s="18">
        <v>2023</v>
      </c>
      <c r="C694" s="4">
        <v>9</v>
      </c>
      <c r="D694">
        <v>414</v>
      </c>
      <c r="E694" s="33">
        <v>52.3</v>
      </c>
      <c r="F694" s="26">
        <v>104.14</v>
      </c>
      <c r="G694" s="29">
        <v>160.93</v>
      </c>
      <c r="H694" s="26">
        <v>42.91</v>
      </c>
      <c r="I694" s="19">
        <v>1359.2090000000001</v>
      </c>
      <c r="J694" s="40">
        <v>5.75</v>
      </c>
      <c r="K694" s="43">
        <v>15354</v>
      </c>
      <c r="L694" s="24" t="s">
        <v>64</v>
      </c>
      <c r="M694" s="42">
        <v>100.9</v>
      </c>
    </row>
    <row r="695" spans="1:13" x14ac:dyDescent="0.75">
      <c r="A695" t="s">
        <v>22</v>
      </c>
      <c r="B695" s="18">
        <v>2023</v>
      </c>
      <c r="C695" s="4">
        <v>10</v>
      </c>
      <c r="D695">
        <v>414</v>
      </c>
      <c r="E695" s="33">
        <v>51.5</v>
      </c>
      <c r="F695" s="26">
        <v>104.39</v>
      </c>
      <c r="G695" s="29">
        <v>208.73</v>
      </c>
      <c r="H695" s="26">
        <v>62.8</v>
      </c>
      <c r="I695" s="19">
        <v>1371.364</v>
      </c>
      <c r="J695" s="40">
        <v>6</v>
      </c>
      <c r="K695" s="43">
        <v>15741</v>
      </c>
      <c r="L695" s="24">
        <v>90.6</v>
      </c>
      <c r="M695" s="42">
        <v>101.2</v>
      </c>
    </row>
    <row r="696" spans="1:13" x14ac:dyDescent="0.75">
      <c r="A696" t="s">
        <v>22</v>
      </c>
      <c r="B696" s="18">
        <v>2023</v>
      </c>
      <c r="C696" s="4">
        <v>11</v>
      </c>
      <c r="D696">
        <v>459</v>
      </c>
      <c r="E696" s="33">
        <v>51.7</v>
      </c>
      <c r="F696" s="26">
        <v>104.65</v>
      </c>
      <c r="G696" s="29">
        <v>161.46</v>
      </c>
      <c r="H696" s="26">
        <v>41.78</v>
      </c>
      <c r="I696" s="19">
        <v>1325.6489999999999</v>
      </c>
      <c r="J696" s="40">
        <v>6</v>
      </c>
      <c r="K696" s="43">
        <v>15617</v>
      </c>
      <c r="L696" s="24">
        <v>82.9</v>
      </c>
      <c r="M696" s="42">
        <v>101.4</v>
      </c>
    </row>
    <row r="697" spans="1:13" x14ac:dyDescent="0.75">
      <c r="A697" t="s">
        <v>22</v>
      </c>
      <c r="B697" s="18">
        <v>2023</v>
      </c>
      <c r="C697" s="4">
        <v>12</v>
      </c>
      <c r="D697">
        <v>459</v>
      </c>
      <c r="E697" s="33">
        <v>52.2</v>
      </c>
      <c r="F697" s="26">
        <v>105.02</v>
      </c>
      <c r="G697" s="29">
        <v>155.16</v>
      </c>
      <c r="H697" s="26">
        <v>22.34</v>
      </c>
      <c r="I697" s="19">
        <v>1257.4490000000001</v>
      </c>
      <c r="J697" s="40">
        <v>6</v>
      </c>
      <c r="K697" s="43">
        <v>15513</v>
      </c>
      <c r="L697" s="24">
        <v>77.599999999999994</v>
      </c>
      <c r="M697" s="42">
        <v>101.8</v>
      </c>
    </row>
    <row r="698" spans="1:13" x14ac:dyDescent="0.75">
      <c r="A698" t="s">
        <v>23</v>
      </c>
      <c r="B698" s="18">
        <v>2023</v>
      </c>
      <c r="C698" s="4">
        <v>1</v>
      </c>
      <c r="D698">
        <v>0</v>
      </c>
      <c r="E698" s="19">
        <v>51.3</v>
      </c>
      <c r="F698" s="19">
        <v>102.28</v>
      </c>
      <c r="G698" s="26">
        <v>498.38</v>
      </c>
      <c r="H698" s="19">
        <v>3.79</v>
      </c>
      <c r="I698" s="19">
        <v>527.86099999999999</v>
      </c>
      <c r="J698" s="40">
        <v>5.75</v>
      </c>
      <c r="K698" s="43">
        <v>15295</v>
      </c>
      <c r="L698" s="24">
        <v>82.5</v>
      </c>
      <c r="M698" s="42">
        <v>99.3</v>
      </c>
    </row>
    <row r="699" spans="1:13" x14ac:dyDescent="0.75">
      <c r="A699" t="s">
        <v>23</v>
      </c>
      <c r="B699" s="18">
        <v>2023</v>
      </c>
      <c r="C699" s="4">
        <v>2</v>
      </c>
      <c r="D699">
        <v>0</v>
      </c>
      <c r="E699" s="19">
        <v>51.2</v>
      </c>
      <c r="F699" s="19">
        <v>102.74</v>
      </c>
      <c r="G699" s="26">
        <v>502.82</v>
      </c>
      <c r="H699" s="19">
        <v>1.69</v>
      </c>
      <c r="I699" s="19">
        <v>594.99800000000005</v>
      </c>
      <c r="J699" s="40">
        <v>5.75</v>
      </c>
      <c r="K699" s="43">
        <v>15126</v>
      </c>
      <c r="L699" s="24">
        <v>82.6</v>
      </c>
      <c r="M699" s="42">
        <v>99.6</v>
      </c>
    </row>
    <row r="700" spans="1:13" x14ac:dyDescent="0.75">
      <c r="A700" t="s">
        <v>23</v>
      </c>
      <c r="B700" s="18">
        <v>2023</v>
      </c>
      <c r="C700" s="4">
        <v>3</v>
      </c>
      <c r="D700">
        <v>0</v>
      </c>
      <c r="E700" s="19">
        <v>51.9</v>
      </c>
      <c r="F700" s="19">
        <v>103.15</v>
      </c>
      <c r="G700" s="26">
        <v>468.29</v>
      </c>
      <c r="H700" s="19">
        <v>2.94</v>
      </c>
      <c r="I700" s="19">
        <v>569.61500000000001</v>
      </c>
      <c r="J700" s="40">
        <v>5.75</v>
      </c>
      <c r="K700" s="43">
        <v>15301</v>
      </c>
      <c r="L700" s="24">
        <v>78.400000000000006</v>
      </c>
      <c r="M700" s="42">
        <v>99.9</v>
      </c>
    </row>
    <row r="701" spans="1:13" x14ac:dyDescent="0.75">
      <c r="A701" t="s">
        <v>23</v>
      </c>
      <c r="B701" s="18">
        <v>2023</v>
      </c>
      <c r="C701" s="4">
        <v>4</v>
      </c>
      <c r="D701">
        <v>0</v>
      </c>
      <c r="E701" s="19">
        <v>52.7</v>
      </c>
      <c r="F701" s="19">
        <v>103.63</v>
      </c>
      <c r="G701" s="26">
        <v>560.80999999999995</v>
      </c>
      <c r="H701" s="19">
        <v>5.85</v>
      </c>
      <c r="I701" s="19">
        <v>605.70500000000004</v>
      </c>
      <c r="J701" s="40">
        <v>5.75</v>
      </c>
      <c r="K701" s="43">
        <v>14867</v>
      </c>
      <c r="L701" s="24">
        <v>84.6</v>
      </c>
      <c r="M701" s="42">
        <v>100</v>
      </c>
    </row>
    <row r="702" spans="1:13" x14ac:dyDescent="0.75">
      <c r="A702" t="s">
        <v>23</v>
      </c>
      <c r="B702" s="18">
        <v>2023</v>
      </c>
      <c r="C702" s="4">
        <v>5</v>
      </c>
      <c r="D702">
        <v>0</v>
      </c>
      <c r="E702" s="19">
        <v>50.3</v>
      </c>
      <c r="F702" s="19">
        <v>104.13</v>
      </c>
      <c r="G702" s="26">
        <v>397.43</v>
      </c>
      <c r="H702" s="19">
        <v>14.58</v>
      </c>
      <c r="I702" s="19">
        <v>620.02599999999995</v>
      </c>
      <c r="J702" s="40">
        <v>5.75</v>
      </c>
      <c r="K702" s="43">
        <v>14811</v>
      </c>
      <c r="L702" s="24">
        <v>75.5</v>
      </c>
      <c r="M702" s="42">
        <v>100.2</v>
      </c>
    </row>
    <row r="703" spans="1:13" x14ac:dyDescent="0.75">
      <c r="A703" t="s">
        <v>23</v>
      </c>
      <c r="B703" s="18">
        <v>2023</v>
      </c>
      <c r="C703" s="4">
        <v>6</v>
      </c>
      <c r="D703">
        <v>0</v>
      </c>
      <c r="E703" s="33">
        <v>52.5</v>
      </c>
      <c r="F703" s="19">
        <v>104.34</v>
      </c>
      <c r="G703" s="26">
        <v>431.28</v>
      </c>
      <c r="H703" s="19">
        <v>2.2799999999999998</v>
      </c>
      <c r="I703" s="19">
        <v>570.05499999999995</v>
      </c>
      <c r="J703" s="40">
        <v>5.75</v>
      </c>
      <c r="K703" s="43">
        <v>14932</v>
      </c>
      <c r="L703" s="24">
        <v>74.8</v>
      </c>
      <c r="M703" s="42">
        <v>100.3</v>
      </c>
    </row>
    <row r="704" spans="1:13" x14ac:dyDescent="0.75">
      <c r="A704" t="s">
        <v>23</v>
      </c>
      <c r="B704" s="18">
        <v>2023</v>
      </c>
      <c r="C704" s="4">
        <v>7</v>
      </c>
      <c r="D704">
        <v>0</v>
      </c>
      <c r="E704" s="33">
        <v>53.3</v>
      </c>
      <c r="F704" s="19">
        <v>104.6</v>
      </c>
      <c r="G704" s="26">
        <v>340.28</v>
      </c>
      <c r="H704" s="19">
        <v>10.29</v>
      </c>
      <c r="I704" s="19">
        <v>606.44799999999998</v>
      </c>
      <c r="J704" s="40">
        <v>5.75</v>
      </c>
      <c r="K704" s="43">
        <v>15040</v>
      </c>
      <c r="L704" s="24">
        <v>80.099999999999994</v>
      </c>
      <c r="M704" s="42">
        <v>100.5</v>
      </c>
    </row>
    <row r="705" spans="1:13" x14ac:dyDescent="0.75">
      <c r="A705" t="s">
        <v>23</v>
      </c>
      <c r="B705" s="18">
        <v>2023</v>
      </c>
      <c r="C705" s="4">
        <v>8</v>
      </c>
      <c r="D705">
        <v>0</v>
      </c>
      <c r="E705" s="33">
        <v>53.9</v>
      </c>
      <c r="F705" s="19">
        <v>104.19</v>
      </c>
      <c r="G705" s="26">
        <v>334.32</v>
      </c>
      <c r="H705" s="19">
        <v>12.23</v>
      </c>
      <c r="I705" s="19">
        <v>607.45500000000004</v>
      </c>
      <c r="J705" s="40">
        <v>5.75</v>
      </c>
      <c r="K705" s="43">
        <v>15245</v>
      </c>
      <c r="L705" s="24">
        <v>86.1</v>
      </c>
      <c r="M705" s="42">
        <v>100.5</v>
      </c>
    </row>
    <row r="706" spans="1:13" x14ac:dyDescent="0.75">
      <c r="A706" t="s">
        <v>23</v>
      </c>
      <c r="B706" s="18">
        <v>2023</v>
      </c>
      <c r="C706" s="4">
        <v>9</v>
      </c>
      <c r="D706">
        <v>289</v>
      </c>
      <c r="E706" s="33">
        <v>52.3</v>
      </c>
      <c r="F706" s="19">
        <v>104.09</v>
      </c>
      <c r="G706" s="26">
        <v>212.35</v>
      </c>
      <c r="H706" s="19">
        <v>3.31</v>
      </c>
      <c r="I706" s="19">
        <v>607.52700000000004</v>
      </c>
      <c r="J706" s="40">
        <v>5.75</v>
      </c>
      <c r="K706" s="43">
        <v>15354</v>
      </c>
      <c r="L706" s="24" t="s">
        <v>64</v>
      </c>
      <c r="M706" s="42">
        <v>100.9</v>
      </c>
    </row>
    <row r="707" spans="1:13" x14ac:dyDescent="0.75">
      <c r="A707" t="s">
        <v>23</v>
      </c>
      <c r="B707" s="18">
        <v>2023</v>
      </c>
      <c r="C707" s="4">
        <v>10</v>
      </c>
      <c r="D707">
        <v>387</v>
      </c>
      <c r="E707" s="33">
        <v>51.5</v>
      </c>
      <c r="F707" s="19">
        <v>104.67</v>
      </c>
      <c r="G707" s="26">
        <v>337.64</v>
      </c>
      <c r="H707" s="19">
        <v>2.37</v>
      </c>
      <c r="I707" s="19">
        <v>650.41600000000005</v>
      </c>
      <c r="J707" s="40">
        <v>6</v>
      </c>
      <c r="K707" s="43">
        <v>15741</v>
      </c>
      <c r="L707" s="24">
        <v>90.6</v>
      </c>
      <c r="M707" s="42">
        <v>101.2</v>
      </c>
    </row>
    <row r="708" spans="1:13" x14ac:dyDescent="0.75">
      <c r="A708" t="s">
        <v>23</v>
      </c>
      <c r="B708" s="18">
        <v>2023</v>
      </c>
      <c r="C708" s="4">
        <v>11</v>
      </c>
      <c r="D708">
        <v>388</v>
      </c>
      <c r="E708" s="33">
        <v>51.7</v>
      </c>
      <c r="F708" s="19">
        <v>105.06</v>
      </c>
      <c r="G708" s="26">
        <v>357.31</v>
      </c>
      <c r="H708" s="19">
        <v>8.64</v>
      </c>
      <c r="I708" s="19">
        <v>674.43499999999995</v>
      </c>
      <c r="J708" s="40">
        <v>6</v>
      </c>
      <c r="K708" s="43">
        <v>15617</v>
      </c>
      <c r="L708" s="24">
        <v>82.9</v>
      </c>
      <c r="M708" s="42">
        <v>101.4</v>
      </c>
    </row>
    <row r="709" spans="1:13" x14ac:dyDescent="0.75">
      <c r="A709" t="s">
        <v>23</v>
      </c>
      <c r="B709" s="18">
        <v>2023</v>
      </c>
      <c r="C709" s="4">
        <v>12</v>
      </c>
      <c r="D709">
        <v>405</v>
      </c>
      <c r="E709" s="33">
        <v>52.2</v>
      </c>
      <c r="F709" s="19">
        <v>105.55</v>
      </c>
      <c r="G709" s="26">
        <v>551.16999999999996</v>
      </c>
      <c r="H709" s="19">
        <v>4.76</v>
      </c>
      <c r="I709" s="19">
        <v>633.35900000000004</v>
      </c>
      <c r="J709" s="40">
        <v>6</v>
      </c>
      <c r="K709" s="43">
        <v>15513</v>
      </c>
      <c r="L709" s="24">
        <v>77.599999999999994</v>
      </c>
      <c r="M709" s="42">
        <v>101.8</v>
      </c>
    </row>
    <row r="710" spans="1:13" x14ac:dyDescent="0.75">
      <c r="A710" t="s">
        <v>24</v>
      </c>
      <c r="B710" s="18">
        <v>2023</v>
      </c>
      <c r="C710" s="4">
        <v>1</v>
      </c>
      <c r="D710">
        <v>0</v>
      </c>
      <c r="E710" s="19">
        <v>51.3</v>
      </c>
      <c r="F710" s="29">
        <v>102.8</v>
      </c>
      <c r="G710" s="19">
        <v>1365.9</v>
      </c>
      <c r="H710" s="19">
        <v>91.2</v>
      </c>
      <c r="I710" s="19">
        <v>1547.2940000000001</v>
      </c>
      <c r="J710" s="40">
        <v>5.75</v>
      </c>
      <c r="K710" s="43">
        <v>15295</v>
      </c>
      <c r="L710" s="24">
        <v>82.5</v>
      </c>
      <c r="M710" s="42">
        <v>99.3</v>
      </c>
    </row>
    <row r="711" spans="1:13" x14ac:dyDescent="0.75">
      <c r="A711" t="s">
        <v>24</v>
      </c>
      <c r="B711" s="18">
        <v>2023</v>
      </c>
      <c r="C711" s="4">
        <v>2</v>
      </c>
      <c r="D711">
        <v>0</v>
      </c>
      <c r="E711" s="19">
        <v>51.2</v>
      </c>
      <c r="F711" s="29">
        <v>103.31</v>
      </c>
      <c r="G711" s="19">
        <v>1110.06</v>
      </c>
      <c r="H711" s="19">
        <v>103.32</v>
      </c>
      <c r="I711" s="19">
        <v>1571.74</v>
      </c>
      <c r="J711" s="40">
        <v>5.75</v>
      </c>
      <c r="K711" s="43">
        <v>15126</v>
      </c>
      <c r="L711" s="24">
        <v>82.6</v>
      </c>
      <c r="M711" s="42">
        <v>99.6</v>
      </c>
    </row>
    <row r="712" spans="1:13" x14ac:dyDescent="0.75">
      <c r="A712" t="s">
        <v>24</v>
      </c>
      <c r="B712" s="18">
        <v>2023</v>
      </c>
      <c r="C712" s="4">
        <v>3</v>
      </c>
      <c r="D712">
        <v>0</v>
      </c>
      <c r="E712" s="19">
        <v>51.9</v>
      </c>
      <c r="F712" s="29">
        <v>103.65</v>
      </c>
      <c r="G712" s="19">
        <v>1331.23</v>
      </c>
      <c r="H712" s="19">
        <v>82.31</v>
      </c>
      <c r="I712" s="19">
        <v>1448.865</v>
      </c>
      <c r="J712" s="40">
        <v>5.75</v>
      </c>
      <c r="K712" s="43">
        <v>15301</v>
      </c>
      <c r="L712" s="24">
        <v>78.400000000000006</v>
      </c>
      <c r="M712" s="42">
        <v>99.9</v>
      </c>
    </row>
    <row r="713" spans="1:13" x14ac:dyDescent="0.75">
      <c r="A713" t="s">
        <v>24</v>
      </c>
      <c r="B713" s="18">
        <v>2023</v>
      </c>
      <c r="C713" s="4">
        <v>4</v>
      </c>
      <c r="D713">
        <v>0</v>
      </c>
      <c r="E713" s="19">
        <v>52.7</v>
      </c>
      <c r="F713" s="29">
        <v>103.96</v>
      </c>
      <c r="G713" s="19">
        <v>1122.92</v>
      </c>
      <c r="H713" s="19">
        <v>89.56</v>
      </c>
      <c r="I713" s="19">
        <v>1500.502</v>
      </c>
      <c r="J713" s="40">
        <v>5.75</v>
      </c>
      <c r="K713" s="43">
        <v>14867</v>
      </c>
      <c r="L713" s="24">
        <v>84.6</v>
      </c>
      <c r="M713" s="42">
        <v>100</v>
      </c>
    </row>
    <row r="714" spans="1:13" x14ac:dyDescent="0.75">
      <c r="A714" t="s">
        <v>24</v>
      </c>
      <c r="B714" s="18">
        <v>2023</v>
      </c>
      <c r="C714" s="4">
        <v>5</v>
      </c>
      <c r="D714">
        <v>0</v>
      </c>
      <c r="E714" s="19">
        <v>50.3</v>
      </c>
      <c r="F714" s="29">
        <v>104.33</v>
      </c>
      <c r="G714" s="19">
        <v>1123.27</v>
      </c>
      <c r="H714" s="19">
        <v>126.13</v>
      </c>
      <c r="I714" s="19">
        <v>1567.077</v>
      </c>
      <c r="J714" s="40">
        <v>5.75</v>
      </c>
      <c r="K714" s="43">
        <v>14811</v>
      </c>
      <c r="L714" s="24">
        <v>75.5</v>
      </c>
      <c r="M714" s="42">
        <v>100.2</v>
      </c>
    </row>
    <row r="715" spans="1:13" x14ac:dyDescent="0.75">
      <c r="A715" t="s">
        <v>24</v>
      </c>
      <c r="B715" s="18">
        <v>2023</v>
      </c>
      <c r="C715" s="4">
        <v>6</v>
      </c>
      <c r="D715">
        <v>727</v>
      </c>
      <c r="E715" s="33">
        <v>52.5</v>
      </c>
      <c r="F715" s="29">
        <v>104.29</v>
      </c>
      <c r="G715" s="19">
        <v>1051.6600000000001</v>
      </c>
      <c r="H715" s="19">
        <v>81.93</v>
      </c>
      <c r="I715" s="19">
        <v>1518.5160000000001</v>
      </c>
      <c r="J715" s="40">
        <v>5.75</v>
      </c>
      <c r="K715" s="43">
        <v>14932</v>
      </c>
      <c r="L715" s="24">
        <v>74.8</v>
      </c>
      <c r="M715" s="42">
        <v>100.3</v>
      </c>
    </row>
    <row r="716" spans="1:13" x14ac:dyDescent="0.75">
      <c r="A716" t="s">
        <v>24</v>
      </c>
      <c r="B716" s="18">
        <v>2023</v>
      </c>
      <c r="C716" s="4">
        <v>7</v>
      </c>
      <c r="D716">
        <v>1883</v>
      </c>
      <c r="E716" s="33">
        <v>53.3</v>
      </c>
      <c r="F716" s="29">
        <v>104.33</v>
      </c>
      <c r="G716" s="19">
        <v>970.42</v>
      </c>
      <c r="H716" s="19">
        <v>83.74</v>
      </c>
      <c r="I716" s="19">
        <v>1619.924</v>
      </c>
      <c r="J716" s="40">
        <v>5.75</v>
      </c>
      <c r="K716" s="43">
        <v>15040</v>
      </c>
      <c r="L716" s="24">
        <v>80.099999999999994</v>
      </c>
      <c r="M716" s="42">
        <v>100.5</v>
      </c>
    </row>
    <row r="717" spans="1:13" x14ac:dyDescent="0.75">
      <c r="A717" t="s">
        <v>24</v>
      </c>
      <c r="B717" s="18">
        <v>2023</v>
      </c>
      <c r="C717" s="4">
        <v>8</v>
      </c>
      <c r="D717">
        <v>1911</v>
      </c>
      <c r="E717" s="33">
        <v>53.9</v>
      </c>
      <c r="F717" s="29">
        <v>104.1</v>
      </c>
      <c r="G717" s="19">
        <v>878.68</v>
      </c>
      <c r="H717" s="19">
        <v>93.41</v>
      </c>
      <c r="I717" s="19">
        <v>1595.259</v>
      </c>
      <c r="J717" s="40">
        <v>5.75</v>
      </c>
      <c r="K717" s="43">
        <v>15245</v>
      </c>
      <c r="L717" s="24">
        <v>86.1</v>
      </c>
      <c r="M717" s="42">
        <v>100.5</v>
      </c>
    </row>
    <row r="718" spans="1:13" x14ac:dyDescent="0.75">
      <c r="A718" t="s">
        <v>24</v>
      </c>
      <c r="B718" s="18">
        <v>2023</v>
      </c>
      <c r="C718" s="4">
        <v>9</v>
      </c>
      <c r="D718">
        <v>1987</v>
      </c>
      <c r="E718" s="33">
        <v>52.3</v>
      </c>
      <c r="F718" s="29">
        <v>103.89</v>
      </c>
      <c r="G718" s="19">
        <v>852.69</v>
      </c>
      <c r="H718" s="19">
        <v>151.56</v>
      </c>
      <c r="I718" s="19">
        <v>1562.9870000000001</v>
      </c>
      <c r="J718" s="40">
        <v>5.75</v>
      </c>
      <c r="K718" s="43">
        <v>15354</v>
      </c>
      <c r="L718" s="24" t="s">
        <v>64</v>
      </c>
      <c r="M718" s="42">
        <v>100.9</v>
      </c>
    </row>
    <row r="719" spans="1:13" x14ac:dyDescent="0.75">
      <c r="A719" t="s">
        <v>24</v>
      </c>
      <c r="B719" s="18">
        <v>2023</v>
      </c>
      <c r="C719" s="4">
        <v>10</v>
      </c>
      <c r="D719">
        <v>2176</v>
      </c>
      <c r="E719" s="33">
        <v>51.5</v>
      </c>
      <c r="F719" s="29">
        <v>104.23</v>
      </c>
      <c r="G719" s="19">
        <v>1119.6099999999999</v>
      </c>
      <c r="H719" s="19">
        <v>188.18</v>
      </c>
      <c r="I719" s="19">
        <v>1562.954</v>
      </c>
      <c r="J719" s="40">
        <v>6</v>
      </c>
      <c r="K719" s="43">
        <v>15741</v>
      </c>
      <c r="L719" s="24">
        <v>90.6</v>
      </c>
      <c r="M719" s="42">
        <v>101.2</v>
      </c>
    </row>
    <row r="720" spans="1:13" x14ac:dyDescent="0.75">
      <c r="A720" t="s">
        <v>24</v>
      </c>
      <c r="B720" s="18">
        <v>2023</v>
      </c>
      <c r="C720" s="4">
        <v>11</v>
      </c>
      <c r="D720">
        <v>2201</v>
      </c>
      <c r="E720" s="33">
        <v>51.7</v>
      </c>
      <c r="F720" s="29">
        <v>104.55</v>
      </c>
      <c r="G720" s="19">
        <v>1243.08</v>
      </c>
      <c r="H720" s="19">
        <v>148.49</v>
      </c>
      <c r="I720" s="19">
        <v>1532.171</v>
      </c>
      <c r="J720" s="40">
        <v>6</v>
      </c>
      <c r="K720" s="43">
        <v>15617</v>
      </c>
      <c r="L720" s="24">
        <v>82.9</v>
      </c>
      <c r="M720" s="42">
        <v>101.4</v>
      </c>
    </row>
    <row r="721" spans="1:13" x14ac:dyDescent="0.75">
      <c r="A721" t="s">
        <v>24</v>
      </c>
      <c r="B721" s="18">
        <v>2023</v>
      </c>
      <c r="C721" s="4">
        <v>12</v>
      </c>
      <c r="D721">
        <v>2284</v>
      </c>
      <c r="E721" s="33">
        <v>52.2</v>
      </c>
      <c r="F721" s="29">
        <v>105.09</v>
      </c>
      <c r="G721" s="19">
        <v>1080.3399999999999</v>
      </c>
      <c r="H721" s="19">
        <v>179.75</v>
      </c>
      <c r="I721" s="19">
        <v>1421.4939999999999</v>
      </c>
      <c r="J721" s="40">
        <v>6</v>
      </c>
      <c r="K721" s="43">
        <v>15513</v>
      </c>
      <c r="L721" s="24">
        <v>77.599999999999994</v>
      </c>
      <c r="M721" s="42">
        <v>101.8</v>
      </c>
    </row>
    <row r="722" spans="1:13" x14ac:dyDescent="0.75">
      <c r="A722" t="s">
        <v>25</v>
      </c>
      <c r="B722" s="18">
        <v>2023</v>
      </c>
      <c r="C722" s="4">
        <v>1</v>
      </c>
      <c r="D722">
        <v>0</v>
      </c>
      <c r="E722" s="19">
        <v>51.3</v>
      </c>
      <c r="F722" s="19">
        <v>102.61</v>
      </c>
      <c r="G722" s="19">
        <v>2462.36</v>
      </c>
      <c r="H722" s="19">
        <v>446.64</v>
      </c>
      <c r="I722" s="19">
        <v>2417.509</v>
      </c>
      <c r="J722" s="40">
        <v>5.75</v>
      </c>
      <c r="K722" s="43">
        <v>15295</v>
      </c>
      <c r="L722" s="24">
        <v>82.5</v>
      </c>
      <c r="M722" s="42">
        <v>99.3</v>
      </c>
    </row>
    <row r="723" spans="1:13" x14ac:dyDescent="0.75">
      <c r="A723" t="s">
        <v>25</v>
      </c>
      <c r="B723" s="18">
        <v>2023</v>
      </c>
      <c r="C723" s="4">
        <v>2</v>
      </c>
      <c r="D723">
        <v>0</v>
      </c>
      <c r="E723" s="19">
        <v>51.2</v>
      </c>
      <c r="F723" s="19">
        <v>102.56</v>
      </c>
      <c r="G723" s="19">
        <v>2638.92</v>
      </c>
      <c r="H723" s="19">
        <v>351.67</v>
      </c>
      <c r="I723" s="19">
        <v>2404.0059999999999</v>
      </c>
      <c r="J723" s="40">
        <v>5.75</v>
      </c>
      <c r="K723" s="43">
        <v>15126</v>
      </c>
      <c r="L723" s="24">
        <v>82.6</v>
      </c>
      <c r="M723" s="42">
        <v>99.6</v>
      </c>
    </row>
    <row r="724" spans="1:13" x14ac:dyDescent="0.75">
      <c r="A724" t="s">
        <v>25</v>
      </c>
      <c r="B724" s="18">
        <v>2023</v>
      </c>
      <c r="C724" s="4">
        <v>3</v>
      </c>
      <c r="D724">
        <v>0</v>
      </c>
      <c r="E724" s="19">
        <v>51.9</v>
      </c>
      <c r="F724" s="19">
        <v>103.15</v>
      </c>
      <c r="G724" s="19">
        <v>2847.99</v>
      </c>
      <c r="H724" s="19">
        <v>451.22</v>
      </c>
      <c r="I724" s="19">
        <v>2387.2220000000002</v>
      </c>
      <c r="J724" s="40">
        <v>5.75</v>
      </c>
      <c r="K724" s="43">
        <v>15301</v>
      </c>
      <c r="L724" s="24">
        <v>78.400000000000006</v>
      </c>
      <c r="M724" s="42">
        <v>99.9</v>
      </c>
    </row>
    <row r="725" spans="1:13" x14ac:dyDescent="0.75">
      <c r="A725" t="s">
        <v>25</v>
      </c>
      <c r="B725" s="18">
        <v>2023</v>
      </c>
      <c r="C725" s="4">
        <v>4</v>
      </c>
      <c r="D725">
        <v>0</v>
      </c>
      <c r="E725" s="19">
        <v>52.7</v>
      </c>
      <c r="F725" s="19">
        <v>103.69</v>
      </c>
      <c r="G725" s="19">
        <v>2404.36</v>
      </c>
      <c r="H725" s="19">
        <v>472.18</v>
      </c>
      <c r="I725" s="19">
        <v>2435.5920000000001</v>
      </c>
      <c r="J725" s="40">
        <v>5.75</v>
      </c>
      <c r="K725" s="43">
        <v>14867</v>
      </c>
      <c r="L725" s="24">
        <v>84.6</v>
      </c>
      <c r="M725" s="42">
        <v>100</v>
      </c>
    </row>
    <row r="726" spans="1:13" x14ac:dyDescent="0.75">
      <c r="A726" t="s">
        <v>25</v>
      </c>
      <c r="B726" s="18">
        <v>2023</v>
      </c>
      <c r="C726" s="4">
        <v>5</v>
      </c>
      <c r="D726">
        <v>30</v>
      </c>
      <c r="E726" s="19">
        <v>50.3</v>
      </c>
      <c r="F726" s="19">
        <v>103.8</v>
      </c>
      <c r="G726" s="19">
        <v>2476</v>
      </c>
      <c r="H726" s="19">
        <v>525.49</v>
      </c>
      <c r="I726" s="19">
        <v>2437.5500000000002</v>
      </c>
      <c r="J726" s="40">
        <v>5.75</v>
      </c>
      <c r="K726" s="43">
        <v>14811</v>
      </c>
      <c r="L726" s="24">
        <v>75.5</v>
      </c>
      <c r="M726" s="42">
        <v>100.2</v>
      </c>
    </row>
    <row r="727" spans="1:13" x14ac:dyDescent="0.75">
      <c r="A727" t="s">
        <v>25</v>
      </c>
      <c r="B727" s="18">
        <v>2023</v>
      </c>
      <c r="C727" s="4">
        <v>6</v>
      </c>
      <c r="D727">
        <v>276</v>
      </c>
      <c r="E727" s="33">
        <v>52.5</v>
      </c>
      <c r="F727" s="19">
        <v>104.06</v>
      </c>
      <c r="G727" s="19">
        <v>2170.64</v>
      </c>
      <c r="H727" s="19">
        <v>381.98</v>
      </c>
      <c r="I727" s="19">
        <v>2354.2249999999999</v>
      </c>
      <c r="J727" s="40">
        <v>5.75</v>
      </c>
      <c r="K727" s="43">
        <v>14932</v>
      </c>
      <c r="L727" s="24">
        <v>74.8</v>
      </c>
      <c r="M727" s="42">
        <v>100.3</v>
      </c>
    </row>
    <row r="728" spans="1:13" x14ac:dyDescent="0.75">
      <c r="A728" t="s">
        <v>25</v>
      </c>
      <c r="B728" s="18">
        <v>2023</v>
      </c>
      <c r="C728" s="4">
        <v>7</v>
      </c>
      <c r="D728">
        <v>390</v>
      </c>
      <c r="E728" s="33">
        <v>53.3</v>
      </c>
      <c r="F728" s="19">
        <v>104.48</v>
      </c>
      <c r="G728" s="19">
        <v>2123.2199999999998</v>
      </c>
      <c r="H728" s="19">
        <v>457.02</v>
      </c>
      <c r="I728" s="19">
        <v>2434.5659999999998</v>
      </c>
      <c r="J728" s="40">
        <v>5.75</v>
      </c>
      <c r="K728" s="43">
        <v>15040</v>
      </c>
      <c r="L728" s="24">
        <v>80.099999999999994</v>
      </c>
      <c r="M728" s="42">
        <v>100.5</v>
      </c>
    </row>
    <row r="729" spans="1:13" x14ac:dyDescent="0.75">
      <c r="A729" t="s">
        <v>25</v>
      </c>
      <c r="B729" s="18">
        <v>2023</v>
      </c>
      <c r="C729" s="4">
        <v>8</v>
      </c>
      <c r="D729">
        <v>1043</v>
      </c>
      <c r="E729" s="33">
        <v>53.9</v>
      </c>
      <c r="F729" s="19">
        <v>104.41</v>
      </c>
      <c r="G729" s="19">
        <v>2131.23</v>
      </c>
      <c r="H729" s="19">
        <v>406.38</v>
      </c>
      <c r="I729" s="19">
        <v>2135.8710000000001</v>
      </c>
      <c r="J729" s="40">
        <v>5.75</v>
      </c>
      <c r="K729" s="43">
        <v>15245</v>
      </c>
      <c r="L729" s="24">
        <v>86.1</v>
      </c>
      <c r="M729" s="42">
        <v>100.5</v>
      </c>
    </row>
    <row r="730" spans="1:13" x14ac:dyDescent="0.75">
      <c r="A730" t="s">
        <v>25</v>
      </c>
      <c r="B730" s="18">
        <v>2023</v>
      </c>
      <c r="C730" s="4">
        <v>9</v>
      </c>
      <c r="D730">
        <v>1108</v>
      </c>
      <c r="E730" s="33">
        <v>52.3</v>
      </c>
      <c r="F730" s="19">
        <v>104.43</v>
      </c>
      <c r="G730" s="19">
        <v>1909.59</v>
      </c>
      <c r="H730" s="19">
        <v>466.59</v>
      </c>
      <c r="I730" s="19">
        <v>2038.7180000000001</v>
      </c>
      <c r="J730" s="40">
        <v>5.75</v>
      </c>
      <c r="K730" s="43">
        <v>15354</v>
      </c>
      <c r="L730" s="24" t="s">
        <v>64</v>
      </c>
      <c r="M730" s="42">
        <v>100.9</v>
      </c>
    </row>
    <row r="731" spans="1:13" x14ac:dyDescent="0.75">
      <c r="A731" t="s">
        <v>25</v>
      </c>
      <c r="B731" s="18">
        <v>2023</v>
      </c>
      <c r="C731" s="4">
        <v>10</v>
      </c>
      <c r="D731">
        <v>1496</v>
      </c>
      <c r="E731" s="33">
        <v>51.5</v>
      </c>
      <c r="F731" s="19">
        <v>104.69</v>
      </c>
      <c r="G731" s="19">
        <v>2317.85</v>
      </c>
      <c r="H731" s="19">
        <v>687.3</v>
      </c>
      <c r="I731" s="19">
        <v>2105.6039999999998</v>
      </c>
      <c r="J731" s="40">
        <v>6</v>
      </c>
      <c r="K731" s="43">
        <v>15741</v>
      </c>
      <c r="L731" s="24">
        <v>90.6</v>
      </c>
      <c r="M731" s="42">
        <v>101.2</v>
      </c>
    </row>
    <row r="732" spans="1:13" x14ac:dyDescent="0.75">
      <c r="A732" t="s">
        <v>25</v>
      </c>
      <c r="B732" s="18">
        <v>2023</v>
      </c>
      <c r="C732" s="4">
        <v>11</v>
      </c>
      <c r="D732">
        <v>1643</v>
      </c>
      <c r="E732" s="33">
        <v>51.7</v>
      </c>
      <c r="F732" s="19">
        <v>104.98</v>
      </c>
      <c r="G732" s="19">
        <v>2298.29</v>
      </c>
      <c r="H732" s="19">
        <v>504.29</v>
      </c>
      <c r="I732" s="19">
        <v>2103.8020000000001</v>
      </c>
      <c r="J732" s="40">
        <v>6</v>
      </c>
      <c r="K732" s="43">
        <v>15617</v>
      </c>
      <c r="L732" s="24">
        <v>82.9</v>
      </c>
      <c r="M732" s="42">
        <v>101.4</v>
      </c>
    </row>
    <row r="733" spans="1:13" x14ac:dyDescent="0.75">
      <c r="A733" t="s">
        <v>25</v>
      </c>
      <c r="B733" s="18">
        <v>2023</v>
      </c>
      <c r="C733" s="4">
        <v>12</v>
      </c>
      <c r="D733">
        <v>2010</v>
      </c>
      <c r="E733" s="33">
        <v>52.2</v>
      </c>
      <c r="F733" s="19">
        <v>105.38</v>
      </c>
      <c r="G733" s="19">
        <v>2157.21</v>
      </c>
      <c r="H733" s="19">
        <v>420.06</v>
      </c>
      <c r="I733" s="19">
        <v>1907.5250000000001</v>
      </c>
      <c r="J733" s="40">
        <v>6</v>
      </c>
      <c r="K733" s="43">
        <v>15513</v>
      </c>
      <c r="L733" s="24">
        <v>77.599999999999994</v>
      </c>
      <c r="M733" s="42">
        <v>101.8</v>
      </c>
    </row>
    <row r="734" spans="1:13" x14ac:dyDescent="0.75">
      <c r="A734" t="s">
        <v>26</v>
      </c>
      <c r="B734" s="18">
        <v>2023</v>
      </c>
      <c r="C734" s="4">
        <v>1</v>
      </c>
      <c r="D734">
        <v>0</v>
      </c>
      <c r="E734" s="19">
        <v>51.3</v>
      </c>
      <c r="F734" s="26">
        <v>102.38</v>
      </c>
      <c r="G734" s="19">
        <v>258.83999999999997</v>
      </c>
      <c r="H734" s="19">
        <v>14.71</v>
      </c>
      <c r="I734" s="3"/>
      <c r="J734" s="40">
        <v>5.75</v>
      </c>
      <c r="K734" s="43">
        <v>15295</v>
      </c>
      <c r="L734" s="24">
        <v>82.5</v>
      </c>
      <c r="M734" s="42">
        <v>99.3</v>
      </c>
    </row>
    <row r="735" spans="1:13" x14ac:dyDescent="0.75">
      <c r="A735" t="s">
        <v>26</v>
      </c>
      <c r="B735" s="18">
        <v>2023</v>
      </c>
      <c r="C735" s="4">
        <v>2</v>
      </c>
      <c r="D735">
        <v>0</v>
      </c>
      <c r="E735" s="19">
        <v>51.2</v>
      </c>
      <c r="F735" s="26">
        <v>102.24</v>
      </c>
      <c r="G735" s="19">
        <v>132.74</v>
      </c>
      <c r="H735" s="19">
        <v>29.04</v>
      </c>
      <c r="I735" s="3"/>
      <c r="J735" s="40">
        <v>5.75</v>
      </c>
      <c r="K735" s="43">
        <v>15126</v>
      </c>
      <c r="L735" s="24">
        <v>82.6</v>
      </c>
      <c r="M735" s="42">
        <v>99.6</v>
      </c>
    </row>
    <row r="736" spans="1:13" x14ac:dyDescent="0.75">
      <c r="A736" t="s">
        <v>26</v>
      </c>
      <c r="B736" s="18">
        <v>2023</v>
      </c>
      <c r="C736" s="4">
        <v>3</v>
      </c>
      <c r="D736">
        <v>0</v>
      </c>
      <c r="E736" s="19">
        <v>51.9</v>
      </c>
      <c r="F736" s="26">
        <v>102.38</v>
      </c>
      <c r="G736" s="19">
        <v>216.78</v>
      </c>
      <c r="H736" s="19">
        <v>10.85</v>
      </c>
      <c r="I736" s="3"/>
      <c r="J736" s="40">
        <v>5.75</v>
      </c>
      <c r="K736" s="43">
        <v>15301</v>
      </c>
      <c r="L736" s="24">
        <v>78.400000000000006</v>
      </c>
      <c r="M736" s="42">
        <v>99.9</v>
      </c>
    </row>
    <row r="737" spans="1:13" x14ac:dyDescent="0.75">
      <c r="A737" t="s">
        <v>26</v>
      </c>
      <c r="B737" s="18">
        <v>2023</v>
      </c>
      <c r="C737" s="4">
        <v>4</v>
      </c>
      <c r="D737">
        <v>0</v>
      </c>
      <c r="E737" s="19">
        <v>52.7</v>
      </c>
      <c r="F737" s="26">
        <v>102.93</v>
      </c>
      <c r="G737" s="19">
        <v>167.32</v>
      </c>
      <c r="H737" s="19">
        <v>47.07</v>
      </c>
      <c r="I737" s="3"/>
      <c r="J737" s="40">
        <v>5.75</v>
      </c>
      <c r="K737" s="43">
        <v>14867</v>
      </c>
      <c r="L737" s="24">
        <v>84.6</v>
      </c>
      <c r="M737" s="42">
        <v>100</v>
      </c>
    </row>
    <row r="738" spans="1:13" x14ac:dyDescent="0.75">
      <c r="A738" t="s">
        <v>26</v>
      </c>
      <c r="B738" s="18">
        <v>2023</v>
      </c>
      <c r="C738" s="4">
        <v>5</v>
      </c>
      <c r="D738">
        <v>0</v>
      </c>
      <c r="E738" s="19">
        <v>50.3</v>
      </c>
      <c r="F738" s="26">
        <v>103.1</v>
      </c>
      <c r="G738" s="19">
        <v>196.33</v>
      </c>
      <c r="H738" s="19">
        <v>37.82</v>
      </c>
      <c r="I738" s="3"/>
      <c r="J738" s="40">
        <v>5.75</v>
      </c>
      <c r="K738" s="43">
        <v>14811</v>
      </c>
      <c r="L738" s="24">
        <v>75.5</v>
      </c>
      <c r="M738" s="42">
        <v>100.2</v>
      </c>
    </row>
    <row r="739" spans="1:13" x14ac:dyDescent="0.75">
      <c r="A739" t="s">
        <v>26</v>
      </c>
      <c r="B739" s="18">
        <v>2023</v>
      </c>
      <c r="C739" s="4">
        <v>6</v>
      </c>
      <c r="D739">
        <v>0</v>
      </c>
      <c r="E739" s="33">
        <v>52.5</v>
      </c>
      <c r="F739" s="26">
        <v>103.05</v>
      </c>
      <c r="G739" s="19">
        <v>126.79</v>
      </c>
      <c r="H739" s="19">
        <v>58.79</v>
      </c>
      <c r="I739" s="3"/>
      <c r="J739" s="40">
        <v>5.75</v>
      </c>
      <c r="K739" s="43">
        <v>14932</v>
      </c>
      <c r="L739" s="24">
        <v>74.8</v>
      </c>
      <c r="M739" s="42">
        <v>100.3</v>
      </c>
    </row>
    <row r="740" spans="1:13" x14ac:dyDescent="0.75">
      <c r="A740" t="s">
        <v>26</v>
      </c>
      <c r="B740" s="18">
        <v>2023</v>
      </c>
      <c r="C740" s="4">
        <v>7</v>
      </c>
      <c r="D740">
        <v>0</v>
      </c>
      <c r="E740" s="33">
        <v>53.3</v>
      </c>
      <c r="F740" s="26">
        <v>103.45</v>
      </c>
      <c r="G740" s="19">
        <v>110.9</v>
      </c>
      <c r="H740" s="19">
        <v>47.06</v>
      </c>
      <c r="I740" s="3"/>
      <c r="J740" s="40">
        <v>5.75</v>
      </c>
      <c r="K740" s="43">
        <v>15040</v>
      </c>
      <c r="L740" s="24">
        <v>80.099999999999994</v>
      </c>
      <c r="M740" s="42">
        <v>100.5</v>
      </c>
    </row>
    <row r="741" spans="1:13" x14ac:dyDescent="0.75">
      <c r="A741" t="s">
        <v>26</v>
      </c>
      <c r="B741" s="18">
        <v>2023</v>
      </c>
      <c r="C741" s="4">
        <v>8</v>
      </c>
      <c r="D741">
        <v>343</v>
      </c>
      <c r="E741" s="33">
        <v>53.9</v>
      </c>
      <c r="F741" s="26">
        <v>103.65</v>
      </c>
      <c r="G741" s="19">
        <v>141.03</v>
      </c>
      <c r="H741" s="19">
        <v>107.56</v>
      </c>
      <c r="I741" s="3"/>
      <c r="J741" s="40">
        <v>5.75</v>
      </c>
      <c r="K741" s="43">
        <v>15245</v>
      </c>
      <c r="L741" s="24">
        <v>86.1</v>
      </c>
      <c r="M741" s="42">
        <v>100.5</v>
      </c>
    </row>
    <row r="742" spans="1:13" x14ac:dyDescent="0.75">
      <c r="A742" t="s">
        <v>26</v>
      </c>
      <c r="B742" s="18">
        <v>2023</v>
      </c>
      <c r="C742" s="4">
        <v>9</v>
      </c>
      <c r="D742">
        <v>1766</v>
      </c>
      <c r="E742" s="33">
        <v>52.3</v>
      </c>
      <c r="F742" s="26">
        <v>103.41</v>
      </c>
      <c r="G742" s="19">
        <v>130.85</v>
      </c>
      <c r="H742" s="19">
        <v>45.48</v>
      </c>
      <c r="I742" s="3"/>
      <c r="J742" s="40">
        <v>5.75</v>
      </c>
      <c r="K742" s="43">
        <v>15354</v>
      </c>
      <c r="L742" s="24" t="s">
        <v>64</v>
      </c>
      <c r="M742" s="42">
        <v>100.9</v>
      </c>
    </row>
    <row r="743" spans="1:13" x14ac:dyDescent="0.75">
      <c r="A743" t="s">
        <v>26</v>
      </c>
      <c r="B743" s="18">
        <v>2023</v>
      </c>
      <c r="C743" s="4">
        <v>10</v>
      </c>
      <c r="D743">
        <v>1766</v>
      </c>
      <c r="E743" s="33">
        <v>51.5</v>
      </c>
      <c r="F743" s="26">
        <v>103.12</v>
      </c>
      <c r="G743" s="19">
        <v>131.77000000000001</v>
      </c>
      <c r="H743" s="19">
        <v>98.64</v>
      </c>
      <c r="I743" s="3"/>
      <c r="J743" s="40">
        <v>6</v>
      </c>
      <c r="K743" s="43">
        <v>15741</v>
      </c>
      <c r="L743" s="24">
        <v>90.6</v>
      </c>
      <c r="M743" s="42">
        <v>101.2</v>
      </c>
    </row>
    <row r="744" spans="1:13" x14ac:dyDescent="0.75">
      <c r="A744" t="s">
        <v>26</v>
      </c>
      <c r="B744" s="18">
        <v>2023</v>
      </c>
      <c r="C744" s="4">
        <v>11</v>
      </c>
      <c r="D744">
        <v>1766</v>
      </c>
      <c r="E744" s="33">
        <v>51.7</v>
      </c>
      <c r="F744" s="26">
        <v>103.52</v>
      </c>
      <c r="G744" s="19">
        <v>144.41</v>
      </c>
      <c r="H744" s="19">
        <v>93.15</v>
      </c>
      <c r="I744" s="3"/>
      <c r="J744" s="40">
        <v>6</v>
      </c>
      <c r="K744" s="43">
        <v>15617</v>
      </c>
      <c r="L744" s="24">
        <v>82.9</v>
      </c>
      <c r="M744" s="42">
        <v>101.4</v>
      </c>
    </row>
    <row r="745" spans="1:13" x14ac:dyDescent="0.75">
      <c r="A745" t="s">
        <v>26</v>
      </c>
      <c r="B745" s="18">
        <v>2023</v>
      </c>
      <c r="C745" s="4">
        <v>12</v>
      </c>
      <c r="D745">
        <v>1937</v>
      </c>
      <c r="E745" s="33">
        <v>52.2</v>
      </c>
      <c r="F745" s="26">
        <v>104.37</v>
      </c>
      <c r="G745" s="19">
        <v>196.74</v>
      </c>
      <c r="H745" s="19">
        <v>91.97</v>
      </c>
      <c r="I745" s="3"/>
      <c r="J745" s="40">
        <v>6</v>
      </c>
      <c r="K745" s="43">
        <v>15513</v>
      </c>
      <c r="L745" s="24">
        <v>77.599999999999994</v>
      </c>
      <c r="M745" s="42">
        <v>101.8</v>
      </c>
    </row>
    <row r="746" spans="1:13" x14ac:dyDescent="0.75">
      <c r="A746" t="s">
        <v>27</v>
      </c>
      <c r="B746" s="18">
        <v>2023</v>
      </c>
      <c r="C746" s="4">
        <v>1</v>
      </c>
      <c r="D746">
        <v>0</v>
      </c>
      <c r="E746" s="19">
        <v>51.3</v>
      </c>
      <c r="F746" s="19">
        <v>102.47</v>
      </c>
      <c r="G746" s="19">
        <v>77.86</v>
      </c>
      <c r="H746">
        <v>11.51</v>
      </c>
      <c r="I746" s="19">
        <v>1313.5619999999999</v>
      </c>
      <c r="J746" s="40">
        <v>5.75</v>
      </c>
      <c r="K746" s="43">
        <v>15295</v>
      </c>
      <c r="L746" s="24">
        <v>82.5</v>
      </c>
      <c r="M746" s="42">
        <v>99.3</v>
      </c>
    </row>
    <row r="747" spans="1:13" x14ac:dyDescent="0.75">
      <c r="A747" t="s">
        <v>27</v>
      </c>
      <c r="B747" s="18">
        <v>2023</v>
      </c>
      <c r="C747" s="4">
        <v>2</v>
      </c>
      <c r="D747">
        <v>0</v>
      </c>
      <c r="E747" s="19">
        <v>51.2</v>
      </c>
      <c r="F747" s="19">
        <v>102.08</v>
      </c>
      <c r="G747" s="19">
        <v>89.08</v>
      </c>
      <c r="H747">
        <v>11.68</v>
      </c>
      <c r="I747" s="19">
        <v>1346.35</v>
      </c>
      <c r="J747" s="40">
        <v>5.75</v>
      </c>
      <c r="K747" s="43">
        <v>15126</v>
      </c>
      <c r="L747" s="24">
        <v>82.6</v>
      </c>
      <c r="M747" s="42">
        <v>99.6</v>
      </c>
    </row>
    <row r="748" spans="1:13" x14ac:dyDescent="0.75">
      <c r="A748" t="s">
        <v>27</v>
      </c>
      <c r="B748" s="18">
        <v>2023</v>
      </c>
      <c r="C748" s="4">
        <v>3</v>
      </c>
      <c r="D748">
        <v>0</v>
      </c>
      <c r="E748" s="19">
        <v>51.9</v>
      </c>
      <c r="F748" s="19">
        <v>102.9</v>
      </c>
      <c r="G748" s="19">
        <v>67.92</v>
      </c>
      <c r="H748">
        <v>18.079999999999998</v>
      </c>
      <c r="I748" s="19">
        <v>1251.7349999999999</v>
      </c>
      <c r="J748" s="40">
        <v>5.75</v>
      </c>
      <c r="K748" s="43">
        <v>15301</v>
      </c>
      <c r="L748" s="24">
        <v>78.400000000000006</v>
      </c>
      <c r="M748" s="42">
        <v>99.9</v>
      </c>
    </row>
    <row r="749" spans="1:13" x14ac:dyDescent="0.75">
      <c r="A749" t="s">
        <v>27</v>
      </c>
      <c r="B749" s="18">
        <v>2023</v>
      </c>
      <c r="C749" s="4">
        <v>4</v>
      </c>
      <c r="D749">
        <v>0</v>
      </c>
      <c r="E749" s="19">
        <v>52.7</v>
      </c>
      <c r="F749" s="19">
        <v>102.66</v>
      </c>
      <c r="G749" s="19">
        <v>79.430000000000007</v>
      </c>
      <c r="H749">
        <v>8.61</v>
      </c>
      <c r="I749" s="19">
        <v>1286.702</v>
      </c>
      <c r="J749" s="40">
        <v>5.75</v>
      </c>
      <c r="K749" s="43">
        <v>14867</v>
      </c>
      <c r="L749" s="24">
        <v>84.6</v>
      </c>
      <c r="M749" s="42">
        <v>100</v>
      </c>
    </row>
    <row r="750" spans="1:13" x14ac:dyDescent="0.75">
      <c r="A750" t="s">
        <v>27</v>
      </c>
      <c r="B750" s="18">
        <v>2023</v>
      </c>
      <c r="C750" s="4">
        <v>5</v>
      </c>
      <c r="D750">
        <v>0</v>
      </c>
      <c r="E750" s="19">
        <v>50.3</v>
      </c>
      <c r="F750" s="19">
        <v>102.67</v>
      </c>
      <c r="G750" s="19">
        <v>58.27</v>
      </c>
      <c r="H750">
        <v>17.52</v>
      </c>
      <c r="I750" s="19">
        <v>1327.3879999999999</v>
      </c>
      <c r="J750" s="40">
        <v>5.75</v>
      </c>
      <c r="K750" s="43">
        <v>14811</v>
      </c>
      <c r="L750" s="24">
        <v>75.5</v>
      </c>
      <c r="M750" s="42">
        <v>100.2</v>
      </c>
    </row>
    <row r="751" spans="1:13" x14ac:dyDescent="0.75">
      <c r="A751" t="s">
        <v>27</v>
      </c>
      <c r="B751" s="18">
        <v>2023</v>
      </c>
      <c r="C751" s="4">
        <v>6</v>
      </c>
      <c r="D751">
        <v>10</v>
      </c>
      <c r="E751" s="33">
        <v>52.5</v>
      </c>
      <c r="F751" s="19">
        <v>102.88</v>
      </c>
      <c r="G751" s="19">
        <v>81.239999999999995</v>
      </c>
      <c r="H751">
        <v>8.6199999999999992</v>
      </c>
      <c r="I751" s="19">
        <v>1201.915</v>
      </c>
      <c r="J751" s="40">
        <v>5.75</v>
      </c>
      <c r="K751" s="43">
        <v>14932</v>
      </c>
      <c r="L751" s="24">
        <v>74.8</v>
      </c>
      <c r="M751" s="42">
        <v>100.3</v>
      </c>
    </row>
    <row r="752" spans="1:13" x14ac:dyDescent="0.75">
      <c r="A752" t="s">
        <v>27</v>
      </c>
      <c r="B752" s="18">
        <v>2023</v>
      </c>
      <c r="C752" s="4">
        <v>7</v>
      </c>
      <c r="D752">
        <v>23</v>
      </c>
      <c r="E752" s="33">
        <v>53.3</v>
      </c>
      <c r="F752" s="19">
        <v>103.15</v>
      </c>
      <c r="G752" s="19">
        <v>76.06</v>
      </c>
      <c r="H752">
        <v>10.48</v>
      </c>
      <c r="I752" s="19">
        <v>1207.9179999999999</v>
      </c>
      <c r="J752" s="40">
        <v>5.75</v>
      </c>
      <c r="K752" s="43">
        <v>15040</v>
      </c>
      <c r="L752" s="24">
        <v>80.099999999999994</v>
      </c>
      <c r="M752" s="42">
        <v>100.5</v>
      </c>
    </row>
    <row r="753" spans="1:13" x14ac:dyDescent="0.75">
      <c r="A753" t="s">
        <v>27</v>
      </c>
      <c r="B753" s="18">
        <v>2023</v>
      </c>
      <c r="C753" s="4">
        <v>8</v>
      </c>
      <c r="D753">
        <v>32</v>
      </c>
      <c r="E753" s="33">
        <v>53.9</v>
      </c>
      <c r="F753" s="19">
        <v>102.86</v>
      </c>
      <c r="G753" s="19">
        <v>64.430000000000007</v>
      </c>
      <c r="H753">
        <v>25.49</v>
      </c>
      <c r="I753" s="19">
        <v>1178.271</v>
      </c>
      <c r="J753" s="40">
        <v>5.75</v>
      </c>
      <c r="K753" s="43">
        <v>15245</v>
      </c>
      <c r="L753" s="24">
        <v>86.1</v>
      </c>
      <c r="M753" s="42">
        <v>100.5</v>
      </c>
    </row>
    <row r="754" spans="1:13" x14ac:dyDescent="0.75">
      <c r="A754" t="s">
        <v>27</v>
      </c>
      <c r="B754" s="18">
        <v>2023</v>
      </c>
      <c r="C754" s="4">
        <v>9</v>
      </c>
      <c r="D754">
        <v>32</v>
      </c>
      <c r="E754" s="33">
        <v>52.3</v>
      </c>
      <c r="F754" s="19">
        <v>102.92</v>
      </c>
      <c r="G754" s="19">
        <v>68.930000000000007</v>
      </c>
      <c r="H754">
        <v>16.28</v>
      </c>
      <c r="I754" s="19">
        <v>1144.0730000000001</v>
      </c>
      <c r="J754" s="40">
        <v>5.75</v>
      </c>
      <c r="K754" s="43">
        <v>15354</v>
      </c>
      <c r="L754" s="24" t="s">
        <v>64</v>
      </c>
      <c r="M754" s="42">
        <v>100.9</v>
      </c>
    </row>
    <row r="755" spans="1:13" x14ac:dyDescent="0.75">
      <c r="A755" t="s">
        <v>27</v>
      </c>
      <c r="B755" s="18">
        <v>2023</v>
      </c>
      <c r="C755" s="4">
        <v>10</v>
      </c>
      <c r="D755">
        <v>32</v>
      </c>
      <c r="E755" s="33">
        <v>51.5</v>
      </c>
      <c r="F755" s="19">
        <v>104.22</v>
      </c>
      <c r="G755" s="19">
        <v>79.56</v>
      </c>
      <c r="H755">
        <v>20.62</v>
      </c>
      <c r="I755" s="19">
        <v>1190.1510000000001</v>
      </c>
      <c r="J755" s="40">
        <v>6</v>
      </c>
      <c r="K755" s="43">
        <v>15741</v>
      </c>
      <c r="L755" s="24">
        <v>90.6</v>
      </c>
      <c r="M755" s="42">
        <v>101.2</v>
      </c>
    </row>
    <row r="756" spans="1:13" x14ac:dyDescent="0.75">
      <c r="A756" t="s">
        <v>27</v>
      </c>
      <c r="B756" s="18">
        <v>2023</v>
      </c>
      <c r="C756" s="4">
        <v>11</v>
      </c>
      <c r="D756">
        <v>34</v>
      </c>
      <c r="E756" s="33">
        <v>51.7</v>
      </c>
      <c r="F756" s="19">
        <v>105.12</v>
      </c>
      <c r="G756" s="19">
        <v>66.05</v>
      </c>
      <c r="H756">
        <v>25.56</v>
      </c>
      <c r="I756" s="19">
        <v>1220.97</v>
      </c>
      <c r="J756" s="40">
        <v>6</v>
      </c>
      <c r="K756" s="43">
        <v>15617</v>
      </c>
      <c r="L756" s="24">
        <v>82.9</v>
      </c>
      <c r="M756" s="42">
        <v>101.4</v>
      </c>
    </row>
    <row r="757" spans="1:13" x14ac:dyDescent="0.75">
      <c r="A757" t="s">
        <v>27</v>
      </c>
      <c r="B757" s="18">
        <v>2023</v>
      </c>
      <c r="C757" s="4">
        <v>12</v>
      </c>
      <c r="D757">
        <v>38</v>
      </c>
      <c r="E757" s="33">
        <v>52.2</v>
      </c>
      <c r="F757" s="19">
        <v>106.81</v>
      </c>
      <c r="G757" s="19">
        <v>79.8</v>
      </c>
      <c r="H757">
        <v>19.91</v>
      </c>
      <c r="I757" s="19">
        <v>1207.1559999999999</v>
      </c>
      <c r="J757" s="40">
        <v>6</v>
      </c>
      <c r="K757" s="43">
        <v>15513</v>
      </c>
      <c r="L757" s="24">
        <v>77.599999999999994</v>
      </c>
      <c r="M757" s="42">
        <v>101.8</v>
      </c>
    </row>
    <row r="758" spans="1:13" x14ac:dyDescent="0.75">
      <c r="A758" t="s">
        <v>28</v>
      </c>
      <c r="B758" s="18">
        <v>2023</v>
      </c>
      <c r="C758" s="4">
        <v>1</v>
      </c>
      <c r="D758">
        <v>0</v>
      </c>
      <c r="E758" s="19">
        <v>51.3</v>
      </c>
      <c r="F758" s="29">
        <v>102.83</v>
      </c>
      <c r="G758" s="26">
        <v>1524.83</v>
      </c>
      <c r="H758" s="18">
        <v>369.89</v>
      </c>
      <c r="I758" s="19">
        <v>823.97</v>
      </c>
      <c r="J758" s="40">
        <v>5.75</v>
      </c>
      <c r="K758" s="43">
        <v>15295</v>
      </c>
      <c r="L758" s="24">
        <v>82.5</v>
      </c>
      <c r="M758" s="42">
        <v>99.3</v>
      </c>
    </row>
    <row r="759" spans="1:13" x14ac:dyDescent="0.75">
      <c r="A759" t="s">
        <v>28</v>
      </c>
      <c r="B759" s="18">
        <v>2023</v>
      </c>
      <c r="C759" s="4">
        <v>2</v>
      </c>
      <c r="D759">
        <v>0</v>
      </c>
      <c r="E759" s="19">
        <v>51.2</v>
      </c>
      <c r="F759" s="29">
        <v>102.89</v>
      </c>
      <c r="G759" s="26">
        <v>1545.72</v>
      </c>
      <c r="H759" s="18">
        <v>707.29</v>
      </c>
      <c r="I759" s="19">
        <v>820.33199999999999</v>
      </c>
      <c r="J759" s="40">
        <v>5.75</v>
      </c>
      <c r="K759" s="43">
        <v>15126</v>
      </c>
      <c r="L759" s="24">
        <v>82.6</v>
      </c>
      <c r="M759" s="42">
        <v>99.6</v>
      </c>
    </row>
    <row r="760" spans="1:13" x14ac:dyDescent="0.75">
      <c r="A760" t="s">
        <v>28</v>
      </c>
      <c r="B760" s="18">
        <v>2023</v>
      </c>
      <c r="C760" s="4">
        <v>3</v>
      </c>
      <c r="D760">
        <v>0</v>
      </c>
      <c r="E760" s="19">
        <v>51.9</v>
      </c>
      <c r="F760" s="29">
        <v>103.44</v>
      </c>
      <c r="G760" s="26">
        <v>1608.39</v>
      </c>
      <c r="H760" s="18">
        <v>727.3</v>
      </c>
      <c r="I760" s="19">
        <v>773.13599999999997</v>
      </c>
      <c r="J760" s="40">
        <v>5.75</v>
      </c>
      <c r="K760" s="43">
        <v>15301</v>
      </c>
      <c r="L760" s="24">
        <v>78.400000000000006</v>
      </c>
      <c r="M760" s="42">
        <v>99.9</v>
      </c>
    </row>
    <row r="761" spans="1:13" x14ac:dyDescent="0.75">
      <c r="A761" t="s">
        <v>28</v>
      </c>
      <c r="B761" s="18">
        <v>2023</v>
      </c>
      <c r="C761" s="4">
        <v>4</v>
      </c>
      <c r="D761">
        <v>0</v>
      </c>
      <c r="E761" s="19">
        <v>52.7</v>
      </c>
      <c r="F761" s="29">
        <v>103.47</v>
      </c>
      <c r="G761" s="26">
        <v>1653.46</v>
      </c>
      <c r="H761" s="18">
        <v>717.53</v>
      </c>
      <c r="I761" s="19">
        <v>798.06899999999996</v>
      </c>
      <c r="J761" s="40">
        <v>5.75</v>
      </c>
      <c r="K761" s="43">
        <v>14867</v>
      </c>
      <c r="L761" s="24">
        <v>84.6</v>
      </c>
      <c r="M761" s="42">
        <v>100</v>
      </c>
    </row>
    <row r="762" spans="1:13" x14ac:dyDescent="0.75">
      <c r="A762" t="s">
        <v>28</v>
      </c>
      <c r="B762" s="18">
        <v>2023</v>
      </c>
      <c r="C762" s="4">
        <v>5</v>
      </c>
      <c r="D762">
        <v>0</v>
      </c>
      <c r="E762" s="19">
        <v>50.3</v>
      </c>
      <c r="F762" s="29">
        <v>103.85</v>
      </c>
      <c r="G762" s="26">
        <v>1512.21</v>
      </c>
      <c r="H762" s="21">
        <v>1026.08</v>
      </c>
      <c r="I762" s="19">
        <v>815.28399999999999</v>
      </c>
      <c r="J762" s="40">
        <v>5.75</v>
      </c>
      <c r="K762" s="43">
        <v>14811</v>
      </c>
      <c r="L762" s="24">
        <v>75.5</v>
      </c>
      <c r="M762" s="42">
        <v>100.2</v>
      </c>
    </row>
    <row r="763" spans="1:13" x14ac:dyDescent="0.75">
      <c r="A763" t="s">
        <v>28</v>
      </c>
      <c r="B763" s="18">
        <v>2023</v>
      </c>
      <c r="C763" s="4">
        <v>6</v>
      </c>
      <c r="D763">
        <v>0</v>
      </c>
      <c r="E763" s="33">
        <v>52.5</v>
      </c>
      <c r="F763" s="29">
        <v>104.32</v>
      </c>
      <c r="G763" s="26">
        <v>1589.42</v>
      </c>
      <c r="H763" s="18">
        <v>830.2</v>
      </c>
      <c r="I763" s="19">
        <v>792.53099999999995</v>
      </c>
      <c r="J763" s="40">
        <v>5.75</v>
      </c>
      <c r="K763" s="43">
        <v>14932</v>
      </c>
      <c r="L763" s="24">
        <v>74.8</v>
      </c>
      <c r="M763" s="42">
        <v>100.3</v>
      </c>
    </row>
    <row r="764" spans="1:13" x14ac:dyDescent="0.75">
      <c r="A764" t="s">
        <v>28</v>
      </c>
      <c r="B764" s="18">
        <v>2023</v>
      </c>
      <c r="C764" s="4">
        <v>7</v>
      </c>
      <c r="D764">
        <v>0</v>
      </c>
      <c r="E764" s="33">
        <v>53.3</v>
      </c>
      <c r="F764" s="29">
        <v>104.46</v>
      </c>
      <c r="G764" s="26">
        <v>1695.34</v>
      </c>
      <c r="H764" s="18">
        <v>777.89</v>
      </c>
      <c r="I764" s="19">
        <v>833.61800000000005</v>
      </c>
      <c r="J764" s="40">
        <v>5.75</v>
      </c>
      <c r="K764" s="43">
        <v>15040</v>
      </c>
      <c r="L764" s="24">
        <v>80.099999999999994</v>
      </c>
      <c r="M764" s="42">
        <v>100.5</v>
      </c>
    </row>
    <row r="765" spans="1:13" x14ac:dyDescent="0.75">
      <c r="A765" t="s">
        <v>28</v>
      </c>
      <c r="B765" s="18">
        <v>2023</v>
      </c>
      <c r="C765" s="4">
        <v>8</v>
      </c>
      <c r="D765">
        <v>1548</v>
      </c>
      <c r="E765" s="33">
        <v>53.9</v>
      </c>
      <c r="F765" s="29">
        <v>104.51</v>
      </c>
      <c r="G765" s="26">
        <v>1639.98</v>
      </c>
      <c r="H765" s="18">
        <v>741.94</v>
      </c>
      <c r="I765" s="19">
        <v>873.37099999999998</v>
      </c>
      <c r="J765" s="40">
        <v>5.75</v>
      </c>
      <c r="K765" s="43">
        <v>15245</v>
      </c>
      <c r="L765" s="24">
        <v>86.1</v>
      </c>
      <c r="M765" s="42">
        <v>100.5</v>
      </c>
    </row>
    <row r="766" spans="1:13" x14ac:dyDescent="0.75">
      <c r="A766" t="s">
        <v>28</v>
      </c>
      <c r="B766" s="18">
        <v>2023</v>
      </c>
      <c r="C766" s="4">
        <v>9</v>
      </c>
      <c r="D766">
        <v>1550</v>
      </c>
      <c r="E766" s="33">
        <v>52.3</v>
      </c>
      <c r="F766" s="29">
        <v>104.57</v>
      </c>
      <c r="G766" s="26">
        <v>1823.86</v>
      </c>
      <c r="H766" s="18">
        <v>636.16999999999996</v>
      </c>
      <c r="I766" s="19">
        <v>850.22699999999998</v>
      </c>
      <c r="J766" s="40">
        <v>5.75</v>
      </c>
      <c r="K766" s="43">
        <v>15354</v>
      </c>
      <c r="L766" s="24" t="s">
        <v>64</v>
      </c>
      <c r="M766" s="42">
        <v>100.9</v>
      </c>
    </row>
    <row r="767" spans="1:13" x14ac:dyDescent="0.75">
      <c r="A767" t="s">
        <v>28</v>
      </c>
      <c r="B767" s="18">
        <v>2023</v>
      </c>
      <c r="C767" s="4">
        <v>10</v>
      </c>
      <c r="D767">
        <v>1550</v>
      </c>
      <c r="E767" s="33">
        <v>51.5</v>
      </c>
      <c r="F767" s="29">
        <v>104.83</v>
      </c>
      <c r="G767" s="26">
        <v>1529.27</v>
      </c>
      <c r="H767" s="18">
        <v>646.08000000000004</v>
      </c>
      <c r="I767" s="19">
        <v>869.04399999999998</v>
      </c>
      <c r="J767" s="40">
        <v>6</v>
      </c>
      <c r="K767" s="43">
        <v>15741</v>
      </c>
      <c r="L767" s="24">
        <v>90.6</v>
      </c>
      <c r="M767" s="42">
        <v>101.2</v>
      </c>
    </row>
    <row r="768" spans="1:13" x14ac:dyDescent="0.75">
      <c r="A768" t="s">
        <v>28</v>
      </c>
      <c r="B768" s="18">
        <v>2023</v>
      </c>
      <c r="C768" s="4">
        <v>11</v>
      </c>
      <c r="D768">
        <v>2411</v>
      </c>
      <c r="E768" s="33">
        <v>51.7</v>
      </c>
      <c r="F768" s="29">
        <v>105.02</v>
      </c>
      <c r="G768" s="26">
        <v>1607.53</v>
      </c>
      <c r="H768" s="18">
        <v>934.64</v>
      </c>
      <c r="I768" s="19">
        <v>910.42200000000003</v>
      </c>
      <c r="J768" s="40">
        <v>6</v>
      </c>
      <c r="K768" s="43">
        <v>15617</v>
      </c>
      <c r="L768" s="24">
        <v>82.9</v>
      </c>
      <c r="M768" s="42">
        <v>101.4</v>
      </c>
    </row>
    <row r="769" spans="1:13" x14ac:dyDescent="0.75">
      <c r="A769" t="s">
        <v>28</v>
      </c>
      <c r="B769" s="18">
        <v>2023</v>
      </c>
      <c r="C769" s="4">
        <v>12</v>
      </c>
      <c r="D769">
        <v>2610</v>
      </c>
      <c r="E769" s="33">
        <v>52.2</v>
      </c>
      <c r="F769" s="29">
        <v>105.8</v>
      </c>
      <c r="G769" s="26">
        <v>1655.92</v>
      </c>
      <c r="H769" s="21">
        <v>1048.7</v>
      </c>
      <c r="I769" s="19">
        <v>840.20500000000004</v>
      </c>
      <c r="J769" s="40">
        <v>6</v>
      </c>
      <c r="K769" s="43">
        <v>15513</v>
      </c>
      <c r="L769" s="24">
        <v>77.599999999999994</v>
      </c>
      <c r="M769" s="42">
        <v>101.8</v>
      </c>
    </row>
    <row r="770" spans="1:13" x14ac:dyDescent="0.75">
      <c r="A770" t="s">
        <v>29</v>
      </c>
      <c r="B770" s="18">
        <v>2023</v>
      </c>
      <c r="C770" s="4">
        <v>1</v>
      </c>
      <c r="D770">
        <v>0</v>
      </c>
      <c r="E770" s="19">
        <v>51.3</v>
      </c>
      <c r="F770" s="29">
        <v>102.9</v>
      </c>
      <c r="G770" s="29">
        <v>230.64</v>
      </c>
      <c r="H770" s="4">
        <v>113.12</v>
      </c>
      <c r="I770" s="19">
        <v>3687.6559999999999</v>
      </c>
      <c r="J770" s="40">
        <v>5.75</v>
      </c>
      <c r="K770" s="43">
        <v>15295</v>
      </c>
      <c r="L770" s="24">
        <v>82.5</v>
      </c>
      <c r="M770" s="42">
        <v>99.3</v>
      </c>
    </row>
    <row r="771" spans="1:13" x14ac:dyDescent="0.75">
      <c r="A771" t="s">
        <v>29</v>
      </c>
      <c r="B771" s="18">
        <v>2023</v>
      </c>
      <c r="C771" s="4">
        <v>2</v>
      </c>
      <c r="D771">
        <v>0</v>
      </c>
      <c r="E771" s="19">
        <v>51.2</v>
      </c>
      <c r="F771" s="29">
        <v>102.66</v>
      </c>
      <c r="G771" s="29">
        <v>215.37</v>
      </c>
      <c r="H771" s="4">
        <v>92.59</v>
      </c>
      <c r="I771" s="19">
        <v>3778.3910000000001</v>
      </c>
      <c r="J771" s="40">
        <v>5.75</v>
      </c>
      <c r="K771" s="43">
        <v>15126</v>
      </c>
      <c r="L771" s="24">
        <v>82.6</v>
      </c>
      <c r="M771" s="42">
        <v>99.6</v>
      </c>
    </row>
    <row r="772" spans="1:13" x14ac:dyDescent="0.75">
      <c r="A772" t="s">
        <v>29</v>
      </c>
      <c r="B772" s="18">
        <v>2023</v>
      </c>
      <c r="C772" s="4">
        <v>3</v>
      </c>
      <c r="D772">
        <v>0</v>
      </c>
      <c r="E772" s="19">
        <v>51.9</v>
      </c>
      <c r="F772" s="29">
        <v>103.23</v>
      </c>
      <c r="G772" s="29">
        <v>214.8</v>
      </c>
      <c r="H772" s="4">
        <v>79.81</v>
      </c>
      <c r="I772" s="19">
        <v>3751.3020000000001</v>
      </c>
      <c r="J772" s="40">
        <v>5.75</v>
      </c>
      <c r="K772" s="43">
        <v>15301</v>
      </c>
      <c r="L772" s="24">
        <v>78.400000000000006</v>
      </c>
      <c r="M772" s="42">
        <v>99.9</v>
      </c>
    </row>
    <row r="773" spans="1:13" x14ac:dyDescent="0.75">
      <c r="A773" t="s">
        <v>29</v>
      </c>
      <c r="B773" s="18">
        <v>2023</v>
      </c>
      <c r="C773" s="4">
        <v>4</v>
      </c>
      <c r="D773">
        <v>0</v>
      </c>
      <c r="E773" s="19">
        <v>52.7</v>
      </c>
      <c r="F773" s="29">
        <v>103.53</v>
      </c>
      <c r="G773" s="29">
        <v>179.86</v>
      </c>
      <c r="H773" s="4">
        <v>103.77</v>
      </c>
      <c r="I773" s="19">
        <v>3888.3629999999998</v>
      </c>
      <c r="J773" s="40">
        <v>5.75</v>
      </c>
      <c r="K773" s="43">
        <v>14867</v>
      </c>
      <c r="L773" s="24">
        <v>84.6</v>
      </c>
      <c r="M773" s="42">
        <v>100</v>
      </c>
    </row>
    <row r="774" spans="1:13" x14ac:dyDescent="0.75">
      <c r="A774" t="s">
        <v>29</v>
      </c>
      <c r="B774" s="18">
        <v>2023</v>
      </c>
      <c r="C774" s="4">
        <v>5</v>
      </c>
      <c r="D774">
        <v>23</v>
      </c>
      <c r="E774" s="19">
        <v>50.3</v>
      </c>
      <c r="F774" s="29">
        <v>103.61</v>
      </c>
      <c r="G774" s="29">
        <v>211.59</v>
      </c>
      <c r="H774" s="4">
        <v>79.38</v>
      </c>
      <c r="I774" s="19">
        <v>3903.7840000000001</v>
      </c>
      <c r="J774" s="40">
        <v>5.75</v>
      </c>
      <c r="K774" s="43">
        <v>14811</v>
      </c>
      <c r="L774" s="24">
        <v>75.5</v>
      </c>
      <c r="M774" s="42">
        <v>100.2</v>
      </c>
    </row>
    <row r="775" spans="1:13" x14ac:dyDescent="0.75">
      <c r="A775" t="s">
        <v>29</v>
      </c>
      <c r="B775" s="18">
        <v>2023</v>
      </c>
      <c r="C775" s="4">
        <v>6</v>
      </c>
      <c r="D775">
        <v>478</v>
      </c>
      <c r="E775" s="33">
        <v>52.5</v>
      </c>
      <c r="F775" s="29">
        <v>103.73</v>
      </c>
      <c r="G775" s="29">
        <v>167.57</v>
      </c>
      <c r="H775" s="4">
        <v>108.76</v>
      </c>
      <c r="I775" s="19">
        <v>3697.4389999999999</v>
      </c>
      <c r="J775" s="40">
        <v>5.75</v>
      </c>
      <c r="K775" s="43">
        <v>14932</v>
      </c>
      <c r="L775" s="24">
        <v>74.8</v>
      </c>
      <c r="M775" s="42">
        <v>100.3</v>
      </c>
    </row>
    <row r="776" spans="1:13" x14ac:dyDescent="0.75">
      <c r="A776" t="s">
        <v>29</v>
      </c>
      <c r="B776" s="18">
        <v>2023</v>
      </c>
      <c r="C776" s="4">
        <v>7</v>
      </c>
      <c r="D776">
        <v>569</v>
      </c>
      <c r="E776" s="33">
        <v>53.3</v>
      </c>
      <c r="F776" s="29">
        <v>103.84</v>
      </c>
      <c r="G776" s="29">
        <v>186.23</v>
      </c>
      <c r="H776" s="4">
        <v>114.88</v>
      </c>
      <c r="I776" s="19">
        <v>4289.5690000000004</v>
      </c>
      <c r="J776" s="40">
        <v>5.75</v>
      </c>
      <c r="K776" s="43">
        <v>15040</v>
      </c>
      <c r="L776" s="24">
        <v>80.099999999999994</v>
      </c>
      <c r="M776" s="42">
        <v>100.5</v>
      </c>
    </row>
    <row r="777" spans="1:13" x14ac:dyDescent="0.75">
      <c r="A777" t="s">
        <v>29</v>
      </c>
      <c r="B777" s="18">
        <v>2023</v>
      </c>
      <c r="C777" s="4">
        <v>8</v>
      </c>
      <c r="D777">
        <v>569</v>
      </c>
      <c r="E777" s="33">
        <v>53.9</v>
      </c>
      <c r="F777" s="29">
        <v>103.77</v>
      </c>
      <c r="G777" s="29">
        <v>192.17</v>
      </c>
      <c r="H777" s="4">
        <v>82.93</v>
      </c>
      <c r="I777" s="19">
        <v>4286.8100000000004</v>
      </c>
      <c r="J777" s="40">
        <v>5.75</v>
      </c>
      <c r="K777" s="43">
        <v>15245</v>
      </c>
      <c r="L777" s="24">
        <v>86.1</v>
      </c>
      <c r="M777" s="42">
        <v>100.5</v>
      </c>
    </row>
    <row r="778" spans="1:13" x14ac:dyDescent="0.75">
      <c r="A778" t="s">
        <v>29</v>
      </c>
      <c r="B778" s="18">
        <v>2023</v>
      </c>
      <c r="C778" s="4">
        <v>9</v>
      </c>
      <c r="D778">
        <v>624</v>
      </c>
      <c r="E778" s="33">
        <v>52.3</v>
      </c>
      <c r="F778" s="29">
        <v>103.79</v>
      </c>
      <c r="G778" s="29">
        <v>206.88</v>
      </c>
      <c r="H778" s="4">
        <v>95.5</v>
      </c>
      <c r="I778" s="19">
        <v>4282.2719999999999</v>
      </c>
      <c r="J778" s="40">
        <v>5.75</v>
      </c>
      <c r="K778" s="43">
        <v>15354</v>
      </c>
      <c r="L778" s="24" t="s">
        <v>64</v>
      </c>
      <c r="M778" s="42">
        <v>100.9</v>
      </c>
    </row>
    <row r="779" spans="1:13" x14ac:dyDescent="0.75">
      <c r="A779" t="s">
        <v>29</v>
      </c>
      <c r="B779" s="18">
        <v>2023</v>
      </c>
      <c r="C779" s="4">
        <v>10</v>
      </c>
      <c r="D779">
        <v>678</v>
      </c>
      <c r="E779" s="33">
        <v>51.5</v>
      </c>
      <c r="F779" s="29">
        <v>104.09</v>
      </c>
      <c r="G779" s="29">
        <v>212.17</v>
      </c>
      <c r="H779" s="4">
        <v>45.87</v>
      </c>
      <c r="I779" s="19">
        <v>4405</v>
      </c>
      <c r="J779" s="40">
        <v>6</v>
      </c>
      <c r="K779" s="43">
        <v>15741</v>
      </c>
      <c r="L779" s="24">
        <v>90.6</v>
      </c>
      <c r="M779" s="42">
        <v>101.2</v>
      </c>
    </row>
    <row r="780" spans="1:13" x14ac:dyDescent="0.75">
      <c r="A780" t="s">
        <v>29</v>
      </c>
      <c r="B780" s="18">
        <v>2023</v>
      </c>
      <c r="C780" s="4">
        <v>11</v>
      </c>
      <c r="D780">
        <v>753</v>
      </c>
      <c r="E780" s="33">
        <v>51.7</v>
      </c>
      <c r="F780" s="29">
        <v>104.27</v>
      </c>
      <c r="G780" s="29">
        <v>159.74</v>
      </c>
      <c r="H780" s="4">
        <v>89.93</v>
      </c>
      <c r="I780" s="19">
        <v>4479.0150000000003</v>
      </c>
      <c r="J780" s="40">
        <v>6</v>
      </c>
      <c r="K780" s="43">
        <v>15617</v>
      </c>
      <c r="L780" s="24">
        <v>82.9</v>
      </c>
      <c r="M780" s="42">
        <v>101.4</v>
      </c>
    </row>
    <row r="781" spans="1:13" x14ac:dyDescent="0.75">
      <c r="A781" t="s">
        <v>29</v>
      </c>
      <c r="B781" s="18">
        <v>2023</v>
      </c>
      <c r="C781" s="4">
        <v>12</v>
      </c>
      <c r="D781">
        <v>766</v>
      </c>
      <c r="E781" s="33">
        <v>52.2</v>
      </c>
      <c r="F781" s="29">
        <v>104.97</v>
      </c>
      <c r="G781" s="29">
        <v>164.48</v>
      </c>
      <c r="H781" s="4">
        <v>78.66</v>
      </c>
      <c r="I781" s="19">
        <v>4346.4070000000002</v>
      </c>
      <c r="J781" s="40">
        <v>6</v>
      </c>
      <c r="K781" s="43">
        <v>15513</v>
      </c>
      <c r="L781" s="24">
        <v>77.599999999999994</v>
      </c>
      <c r="M781" s="42">
        <v>101.8</v>
      </c>
    </row>
    <row r="782" spans="1:13" x14ac:dyDescent="0.75">
      <c r="A782" t="s">
        <v>30</v>
      </c>
      <c r="B782" s="18">
        <v>2023</v>
      </c>
      <c r="C782" s="4">
        <v>1</v>
      </c>
      <c r="D782">
        <v>15</v>
      </c>
      <c r="E782" s="19">
        <v>51.3</v>
      </c>
      <c r="F782" s="26">
        <v>102.89</v>
      </c>
      <c r="G782" s="29">
        <v>369.37</v>
      </c>
      <c r="H782">
        <v>249.26</v>
      </c>
      <c r="I782" s="19">
        <v>598.69200000000001</v>
      </c>
      <c r="J782" s="40">
        <v>5.75</v>
      </c>
      <c r="K782" s="43">
        <v>15295</v>
      </c>
      <c r="L782" s="24">
        <v>82.5</v>
      </c>
      <c r="M782" s="42">
        <v>99.3</v>
      </c>
    </row>
    <row r="783" spans="1:13" x14ac:dyDescent="0.75">
      <c r="A783" t="s">
        <v>30</v>
      </c>
      <c r="B783" s="18">
        <v>2023</v>
      </c>
      <c r="C783" s="4">
        <v>2</v>
      </c>
      <c r="D783">
        <v>46</v>
      </c>
      <c r="E783" s="19">
        <v>51.2</v>
      </c>
      <c r="F783" s="26">
        <v>102.64</v>
      </c>
      <c r="G783" s="29">
        <v>340.36</v>
      </c>
      <c r="H783">
        <v>152.24</v>
      </c>
      <c r="I783" s="19">
        <v>633.85900000000004</v>
      </c>
      <c r="J783" s="40">
        <v>5.75</v>
      </c>
      <c r="K783" s="43">
        <v>15126</v>
      </c>
      <c r="L783" s="24">
        <v>82.6</v>
      </c>
      <c r="M783" s="42">
        <v>99.6</v>
      </c>
    </row>
    <row r="784" spans="1:13" x14ac:dyDescent="0.75">
      <c r="A784" t="s">
        <v>30</v>
      </c>
      <c r="B784" s="18">
        <v>2023</v>
      </c>
      <c r="C784" s="4">
        <v>3</v>
      </c>
      <c r="D784">
        <v>64</v>
      </c>
      <c r="E784" s="19">
        <v>51.9</v>
      </c>
      <c r="F784" s="26">
        <v>103.25</v>
      </c>
      <c r="G784" s="29">
        <v>431.76</v>
      </c>
      <c r="H784">
        <v>255.36</v>
      </c>
      <c r="I784" s="19">
        <v>624.904</v>
      </c>
      <c r="J784" s="40">
        <v>5.75</v>
      </c>
      <c r="K784" s="43">
        <v>15301</v>
      </c>
      <c r="L784" s="24">
        <v>78.400000000000006</v>
      </c>
      <c r="M784" s="42">
        <v>99.9</v>
      </c>
    </row>
    <row r="785" spans="1:13" x14ac:dyDescent="0.75">
      <c r="A785" t="s">
        <v>30</v>
      </c>
      <c r="B785" s="18">
        <v>2023</v>
      </c>
      <c r="C785" s="4">
        <v>4</v>
      </c>
      <c r="D785">
        <v>64</v>
      </c>
      <c r="E785" s="19">
        <v>52.7</v>
      </c>
      <c r="F785" s="26">
        <v>103.74</v>
      </c>
      <c r="G785" s="29">
        <v>183.32</v>
      </c>
      <c r="H785">
        <v>130.02000000000001</v>
      </c>
      <c r="I785" s="19">
        <v>653.35699999999997</v>
      </c>
      <c r="J785" s="40">
        <v>5.75</v>
      </c>
      <c r="K785" s="43">
        <v>14867</v>
      </c>
      <c r="L785" s="24">
        <v>84.6</v>
      </c>
      <c r="M785" s="42">
        <v>100</v>
      </c>
    </row>
    <row r="786" spans="1:13" x14ac:dyDescent="0.75">
      <c r="A786" t="s">
        <v>30</v>
      </c>
      <c r="B786" s="18">
        <v>2023</v>
      </c>
      <c r="C786" s="4">
        <v>5</v>
      </c>
      <c r="D786">
        <v>70</v>
      </c>
      <c r="E786" s="19">
        <v>50.3</v>
      </c>
      <c r="F786" s="26">
        <v>104.21</v>
      </c>
      <c r="G786" s="29">
        <v>298.24</v>
      </c>
      <c r="H786">
        <v>151.05000000000001</v>
      </c>
      <c r="I786" s="19">
        <v>682.4</v>
      </c>
      <c r="J786" s="40">
        <v>5.75</v>
      </c>
      <c r="K786" s="43">
        <v>14811</v>
      </c>
      <c r="L786" s="24">
        <v>75.5</v>
      </c>
      <c r="M786" s="42">
        <v>100.2</v>
      </c>
    </row>
    <row r="787" spans="1:13" x14ac:dyDescent="0.75">
      <c r="A787" t="s">
        <v>30</v>
      </c>
      <c r="B787" s="18">
        <v>2023</v>
      </c>
      <c r="C787" s="4">
        <v>6</v>
      </c>
      <c r="D787">
        <v>112</v>
      </c>
      <c r="E787" s="33">
        <v>52.5</v>
      </c>
      <c r="F787" s="26">
        <v>104.34</v>
      </c>
      <c r="G787" s="29">
        <v>234.54</v>
      </c>
      <c r="H787">
        <v>89.58</v>
      </c>
      <c r="I787" s="19">
        <v>641.78700000000003</v>
      </c>
      <c r="J787" s="40">
        <v>5.75</v>
      </c>
      <c r="K787" s="43">
        <v>14932</v>
      </c>
      <c r="L787" s="24">
        <v>74.8</v>
      </c>
      <c r="M787" s="42">
        <v>100.3</v>
      </c>
    </row>
    <row r="788" spans="1:13" x14ac:dyDescent="0.75">
      <c r="A788" t="s">
        <v>30</v>
      </c>
      <c r="B788" s="18">
        <v>2023</v>
      </c>
      <c r="C788" s="4">
        <v>7</v>
      </c>
      <c r="D788">
        <v>112</v>
      </c>
      <c r="E788" s="33">
        <v>53.3</v>
      </c>
      <c r="F788" s="26">
        <v>104.81</v>
      </c>
      <c r="G788" s="29">
        <v>290.77999999999997</v>
      </c>
      <c r="H788">
        <v>124.23</v>
      </c>
      <c r="I788" s="19">
        <v>667.68299999999999</v>
      </c>
      <c r="J788" s="40">
        <v>5.75</v>
      </c>
      <c r="K788" s="43">
        <v>15040</v>
      </c>
      <c r="L788" s="24">
        <v>80.099999999999994</v>
      </c>
      <c r="M788" s="42">
        <v>100.5</v>
      </c>
    </row>
    <row r="789" spans="1:13" x14ac:dyDescent="0.75">
      <c r="A789" t="s">
        <v>30</v>
      </c>
      <c r="B789" s="18">
        <v>2023</v>
      </c>
      <c r="C789" s="4">
        <v>8</v>
      </c>
      <c r="D789">
        <v>120</v>
      </c>
      <c r="E789" s="33">
        <v>53.9</v>
      </c>
      <c r="F789" s="26">
        <v>104.64</v>
      </c>
      <c r="G789" s="29">
        <v>396.89</v>
      </c>
      <c r="H789">
        <v>129.03</v>
      </c>
      <c r="I789" s="19">
        <v>666.726</v>
      </c>
      <c r="J789" s="40">
        <v>5.75</v>
      </c>
      <c r="K789" s="43">
        <v>15245</v>
      </c>
      <c r="L789" s="24">
        <v>86.1</v>
      </c>
      <c r="M789" s="42">
        <v>100.5</v>
      </c>
    </row>
    <row r="790" spans="1:13" x14ac:dyDescent="0.75">
      <c r="A790" t="s">
        <v>30</v>
      </c>
      <c r="B790" s="18">
        <v>2023</v>
      </c>
      <c r="C790" s="4">
        <v>9</v>
      </c>
      <c r="D790">
        <v>126</v>
      </c>
      <c r="E790" s="33">
        <v>52.3</v>
      </c>
      <c r="F790" s="26">
        <v>105.01</v>
      </c>
      <c r="G790" s="29">
        <v>369.22</v>
      </c>
      <c r="H790">
        <v>87.94</v>
      </c>
      <c r="I790" s="19">
        <v>645.50099999999998</v>
      </c>
      <c r="J790" s="40">
        <v>5.75</v>
      </c>
      <c r="K790" s="43">
        <v>15354</v>
      </c>
      <c r="L790" s="24" t="s">
        <v>64</v>
      </c>
      <c r="M790" s="42">
        <v>100.9</v>
      </c>
    </row>
    <row r="791" spans="1:13" x14ac:dyDescent="0.75">
      <c r="A791" t="s">
        <v>30</v>
      </c>
      <c r="B791" s="18">
        <v>2023</v>
      </c>
      <c r="C791" s="4">
        <v>10</v>
      </c>
      <c r="D791">
        <v>134</v>
      </c>
      <c r="E791" s="33">
        <v>51.5</v>
      </c>
      <c r="F791" s="26">
        <v>105.19</v>
      </c>
      <c r="G791" s="29">
        <v>491.31</v>
      </c>
      <c r="H791">
        <v>125.74</v>
      </c>
      <c r="I791" s="19">
        <v>641.68200000000002</v>
      </c>
      <c r="J791" s="40">
        <v>6</v>
      </c>
      <c r="K791" s="43">
        <v>15741</v>
      </c>
      <c r="L791" s="24">
        <v>90.6</v>
      </c>
      <c r="M791" s="42">
        <v>101.2</v>
      </c>
    </row>
    <row r="792" spans="1:13" x14ac:dyDescent="0.75">
      <c r="A792" t="s">
        <v>30</v>
      </c>
      <c r="B792" s="18">
        <v>2023</v>
      </c>
      <c r="C792" s="4">
        <v>11</v>
      </c>
      <c r="D792">
        <v>138</v>
      </c>
      <c r="E792" s="33">
        <v>51.7</v>
      </c>
      <c r="F792" s="26">
        <v>105.15</v>
      </c>
      <c r="G792" s="29">
        <v>434.9</v>
      </c>
      <c r="H792">
        <v>169.7</v>
      </c>
      <c r="I792" s="19">
        <v>612.56299999999999</v>
      </c>
      <c r="J792" s="40">
        <v>6</v>
      </c>
      <c r="K792" s="43">
        <v>15617</v>
      </c>
      <c r="L792" s="24">
        <v>82.9</v>
      </c>
      <c r="M792" s="42">
        <v>101.4</v>
      </c>
    </row>
    <row r="793" spans="1:13" x14ac:dyDescent="0.75">
      <c r="A793" t="s">
        <v>30</v>
      </c>
      <c r="B793" s="18">
        <v>2023</v>
      </c>
      <c r="C793" s="4">
        <v>12</v>
      </c>
      <c r="D793">
        <v>146</v>
      </c>
      <c r="E793" s="33">
        <v>52.2</v>
      </c>
      <c r="F793" s="26">
        <v>105.45</v>
      </c>
      <c r="G793" s="29">
        <v>458.84</v>
      </c>
      <c r="H793">
        <v>183.51</v>
      </c>
      <c r="I793" s="19">
        <v>580.74599999999998</v>
      </c>
      <c r="J793" s="40">
        <v>6</v>
      </c>
      <c r="K793" s="43">
        <v>15513</v>
      </c>
      <c r="L793" s="24">
        <v>77.599999999999994</v>
      </c>
      <c r="M793" s="42">
        <v>101.8</v>
      </c>
    </row>
    <row r="794" spans="1:13" x14ac:dyDescent="0.75">
      <c r="A794" t="s">
        <v>31</v>
      </c>
      <c r="B794" s="18">
        <v>2023</v>
      </c>
      <c r="C794" s="4">
        <v>1</v>
      </c>
      <c r="D794">
        <v>0</v>
      </c>
      <c r="E794" s="19">
        <v>51.3</v>
      </c>
      <c r="F794" s="19">
        <v>101.98</v>
      </c>
      <c r="G794" s="26">
        <v>6.88</v>
      </c>
      <c r="H794" s="3">
        <v>16.75</v>
      </c>
      <c r="I794" s="19">
        <v>633.82899999999995</v>
      </c>
      <c r="J794" s="40">
        <v>5.75</v>
      </c>
      <c r="K794" s="43">
        <v>15295</v>
      </c>
      <c r="L794" s="24">
        <v>82.5</v>
      </c>
      <c r="M794" s="42">
        <v>99.3</v>
      </c>
    </row>
    <row r="795" spans="1:13" x14ac:dyDescent="0.75">
      <c r="A795" t="s">
        <v>31</v>
      </c>
      <c r="B795" s="18">
        <v>2023</v>
      </c>
      <c r="C795" s="4">
        <v>2</v>
      </c>
      <c r="D795">
        <v>0</v>
      </c>
      <c r="E795" s="19">
        <v>51.2</v>
      </c>
      <c r="F795" s="19">
        <v>101.47</v>
      </c>
      <c r="G795" s="26">
        <v>12.68</v>
      </c>
      <c r="H795" s="3">
        <v>0.91</v>
      </c>
      <c r="I795" s="19">
        <v>638.82000000000005</v>
      </c>
      <c r="J795" s="40">
        <v>5.75</v>
      </c>
      <c r="K795" s="43">
        <v>15126</v>
      </c>
      <c r="L795" s="24">
        <v>82.6</v>
      </c>
      <c r="M795" s="42">
        <v>99.6</v>
      </c>
    </row>
    <row r="796" spans="1:13" x14ac:dyDescent="0.75">
      <c r="A796" t="s">
        <v>31</v>
      </c>
      <c r="B796" s="18">
        <v>2023</v>
      </c>
      <c r="C796" s="4">
        <v>3</v>
      </c>
      <c r="D796">
        <v>0</v>
      </c>
      <c r="E796" s="19">
        <v>51.9</v>
      </c>
      <c r="F796" s="19">
        <v>101.89</v>
      </c>
      <c r="G796" s="26">
        <v>4.1100000000000003</v>
      </c>
      <c r="H796" s="3">
        <v>0.9</v>
      </c>
      <c r="I796" s="19">
        <v>619.80399999999997</v>
      </c>
      <c r="J796" s="40">
        <v>5.75</v>
      </c>
      <c r="K796" s="43">
        <v>15301</v>
      </c>
      <c r="L796" s="24">
        <v>78.400000000000006</v>
      </c>
      <c r="M796" s="42">
        <v>99.9</v>
      </c>
    </row>
    <row r="797" spans="1:13" x14ac:dyDescent="0.75">
      <c r="A797" t="s">
        <v>31</v>
      </c>
      <c r="B797" s="18">
        <v>2023</v>
      </c>
      <c r="C797" s="4">
        <v>4</v>
      </c>
      <c r="D797">
        <v>0</v>
      </c>
      <c r="E797" s="19">
        <v>52.7</v>
      </c>
      <c r="F797" s="19">
        <v>101.96</v>
      </c>
      <c r="G797" s="26">
        <v>6.09</v>
      </c>
      <c r="H797" s="3">
        <v>1.34</v>
      </c>
      <c r="I797" s="19">
        <v>651.57000000000005</v>
      </c>
      <c r="J797" s="40">
        <v>5.75</v>
      </c>
      <c r="K797" s="43">
        <v>14867</v>
      </c>
      <c r="L797" s="24">
        <v>84.6</v>
      </c>
      <c r="M797" s="42">
        <v>100</v>
      </c>
    </row>
    <row r="798" spans="1:13" x14ac:dyDescent="0.75">
      <c r="A798" t="s">
        <v>31</v>
      </c>
      <c r="B798" s="18">
        <v>2023</v>
      </c>
      <c r="C798" s="4">
        <v>5</v>
      </c>
      <c r="D798">
        <v>0</v>
      </c>
      <c r="E798" s="19">
        <v>50.3</v>
      </c>
      <c r="F798" s="19">
        <v>102.01</v>
      </c>
      <c r="G798" s="26">
        <v>1.29</v>
      </c>
      <c r="H798" s="3">
        <v>5.48</v>
      </c>
      <c r="I798" s="19">
        <v>688.73299999999995</v>
      </c>
      <c r="J798" s="40">
        <v>5.75</v>
      </c>
      <c r="K798" s="43">
        <v>14811</v>
      </c>
      <c r="L798" s="24">
        <v>75.5</v>
      </c>
      <c r="M798" s="42">
        <v>100.2</v>
      </c>
    </row>
    <row r="799" spans="1:13" x14ac:dyDescent="0.75">
      <c r="A799" t="s">
        <v>31</v>
      </c>
      <c r="B799" s="18">
        <v>2023</v>
      </c>
      <c r="C799" s="4">
        <v>6</v>
      </c>
      <c r="D799">
        <v>37</v>
      </c>
      <c r="E799" s="33">
        <v>52.5</v>
      </c>
      <c r="F799" s="19">
        <v>102.83</v>
      </c>
      <c r="G799" s="26">
        <v>3.46</v>
      </c>
      <c r="H799" s="3">
        <v>0.83</v>
      </c>
      <c r="I799" s="19">
        <v>717.40099999999995</v>
      </c>
      <c r="J799" s="40">
        <v>5.75</v>
      </c>
      <c r="K799" s="43">
        <v>14932</v>
      </c>
      <c r="L799" s="24">
        <v>74.8</v>
      </c>
      <c r="M799" s="42">
        <v>100.3</v>
      </c>
    </row>
    <row r="800" spans="1:13" x14ac:dyDescent="0.75">
      <c r="A800" t="s">
        <v>31</v>
      </c>
      <c r="B800" s="18">
        <v>2023</v>
      </c>
      <c r="C800" s="4">
        <v>7</v>
      </c>
      <c r="D800">
        <v>46</v>
      </c>
      <c r="E800" s="33">
        <v>53.3</v>
      </c>
      <c r="F800" s="19">
        <v>102.71</v>
      </c>
      <c r="G800" s="26">
        <v>3.31</v>
      </c>
      <c r="H800" s="3">
        <v>1.34</v>
      </c>
      <c r="I800" s="19">
        <v>804.85900000000004</v>
      </c>
      <c r="J800" s="40">
        <v>5.75</v>
      </c>
      <c r="K800" s="43">
        <v>15040</v>
      </c>
      <c r="L800" s="24">
        <v>80.099999999999994</v>
      </c>
      <c r="M800" s="42">
        <v>100.5</v>
      </c>
    </row>
    <row r="801" spans="1:13" x14ac:dyDescent="0.75">
      <c r="A801" t="s">
        <v>31</v>
      </c>
      <c r="B801" s="18">
        <v>2023</v>
      </c>
      <c r="C801" s="4">
        <v>8</v>
      </c>
      <c r="D801">
        <v>348</v>
      </c>
      <c r="E801" s="33">
        <v>53.9</v>
      </c>
      <c r="F801" s="19">
        <v>102.98</v>
      </c>
      <c r="G801" s="26">
        <v>5.9</v>
      </c>
      <c r="H801" s="3">
        <v>3.96</v>
      </c>
      <c r="I801" s="19">
        <v>871.33100000000002</v>
      </c>
      <c r="J801" s="40">
        <v>5.75</v>
      </c>
      <c r="K801" s="43">
        <v>15245</v>
      </c>
      <c r="L801" s="24">
        <v>86.1</v>
      </c>
      <c r="M801" s="42">
        <v>100.5</v>
      </c>
    </row>
    <row r="802" spans="1:13" x14ac:dyDescent="0.75">
      <c r="A802" t="s">
        <v>31</v>
      </c>
      <c r="B802" s="18">
        <v>2023</v>
      </c>
      <c r="C802" s="4">
        <v>9</v>
      </c>
      <c r="D802">
        <v>348</v>
      </c>
      <c r="E802" s="33">
        <v>52.3</v>
      </c>
      <c r="F802" s="19">
        <v>103.25</v>
      </c>
      <c r="G802" s="26">
        <v>3.22</v>
      </c>
      <c r="H802" s="3">
        <v>1.98</v>
      </c>
      <c r="I802" s="19">
        <v>909.22199999999998</v>
      </c>
      <c r="J802" s="40">
        <v>5.75</v>
      </c>
      <c r="K802" s="43">
        <v>15354</v>
      </c>
      <c r="L802" s="24" t="s">
        <v>64</v>
      </c>
      <c r="M802" s="42">
        <v>100.9</v>
      </c>
    </row>
    <row r="803" spans="1:13" x14ac:dyDescent="0.75">
      <c r="A803" t="s">
        <v>31</v>
      </c>
      <c r="B803" s="18">
        <v>2023</v>
      </c>
      <c r="C803" s="4">
        <v>10</v>
      </c>
      <c r="D803">
        <v>348</v>
      </c>
      <c r="E803" s="33">
        <v>51.5</v>
      </c>
      <c r="F803" s="19">
        <v>104.66</v>
      </c>
      <c r="G803" s="26">
        <v>2.84</v>
      </c>
      <c r="H803" s="3"/>
      <c r="I803" s="19">
        <v>958.00800000000004</v>
      </c>
      <c r="J803" s="40">
        <v>6</v>
      </c>
      <c r="K803" s="43">
        <v>15741</v>
      </c>
      <c r="L803" s="24">
        <v>90.6</v>
      </c>
      <c r="M803" s="42">
        <v>101.2</v>
      </c>
    </row>
    <row r="804" spans="1:13" x14ac:dyDescent="0.75">
      <c r="A804" t="s">
        <v>31</v>
      </c>
      <c r="B804" s="18">
        <v>2023</v>
      </c>
      <c r="C804" s="4">
        <v>11</v>
      </c>
      <c r="D804">
        <v>348</v>
      </c>
      <c r="E804" s="33">
        <v>51.7</v>
      </c>
      <c r="F804" s="19">
        <v>105.71</v>
      </c>
      <c r="G804" s="26">
        <v>1.38</v>
      </c>
      <c r="H804" s="3">
        <v>1.1100000000000001</v>
      </c>
      <c r="I804" s="19">
        <v>969.54700000000003</v>
      </c>
      <c r="J804" s="40">
        <v>6</v>
      </c>
      <c r="K804" s="43">
        <v>15617</v>
      </c>
      <c r="L804" s="24">
        <v>82.9</v>
      </c>
      <c r="M804" s="42">
        <v>101.4</v>
      </c>
    </row>
    <row r="805" spans="1:13" x14ac:dyDescent="0.75">
      <c r="A805" t="s">
        <v>31</v>
      </c>
      <c r="B805" s="18">
        <v>2023</v>
      </c>
      <c r="C805" s="4">
        <v>12</v>
      </c>
      <c r="D805">
        <v>483</v>
      </c>
      <c r="E805" s="33">
        <v>52.2</v>
      </c>
      <c r="F805" s="19">
        <v>107.45</v>
      </c>
      <c r="G805" s="26">
        <v>4.01</v>
      </c>
      <c r="H805" s="3">
        <v>1.38</v>
      </c>
      <c r="I805" s="19">
        <v>943.27200000000005</v>
      </c>
      <c r="J805" s="40">
        <v>6</v>
      </c>
      <c r="K805" s="43">
        <v>15513</v>
      </c>
      <c r="L805" s="24">
        <v>77.599999999999994</v>
      </c>
      <c r="M805" s="42">
        <v>101.8</v>
      </c>
    </row>
    <row r="806" spans="1:13" x14ac:dyDescent="0.75">
      <c r="A806" t="s">
        <v>32</v>
      </c>
      <c r="B806" s="18">
        <v>2023</v>
      </c>
      <c r="C806" s="4">
        <v>1</v>
      </c>
      <c r="D806">
        <v>0</v>
      </c>
      <c r="E806" s="19">
        <v>51.3</v>
      </c>
      <c r="F806" s="29">
        <v>102.97</v>
      </c>
      <c r="G806" s="19">
        <v>28.43</v>
      </c>
      <c r="H806" s="3">
        <v>0.59</v>
      </c>
      <c r="I806" s="19">
        <v>227.00800000000001</v>
      </c>
      <c r="J806" s="40">
        <v>5.75</v>
      </c>
      <c r="K806" s="43">
        <v>15295</v>
      </c>
      <c r="L806" s="24">
        <v>82.5</v>
      </c>
      <c r="M806" s="42">
        <v>99.3</v>
      </c>
    </row>
    <row r="807" spans="1:13" x14ac:dyDescent="0.75">
      <c r="A807" t="s">
        <v>32</v>
      </c>
      <c r="B807" s="18">
        <v>2023</v>
      </c>
      <c r="C807" s="4">
        <v>2</v>
      </c>
      <c r="D807">
        <v>0</v>
      </c>
      <c r="E807" s="19">
        <v>51.2</v>
      </c>
      <c r="F807" s="29">
        <v>103.08</v>
      </c>
      <c r="G807" s="19">
        <v>23.8</v>
      </c>
      <c r="H807" s="3"/>
      <c r="I807" s="19">
        <v>247.35599999999999</v>
      </c>
      <c r="J807" s="40">
        <v>5.75</v>
      </c>
      <c r="K807" s="43">
        <v>15126</v>
      </c>
      <c r="L807" s="24">
        <v>82.6</v>
      </c>
      <c r="M807" s="42">
        <v>99.6</v>
      </c>
    </row>
    <row r="808" spans="1:13" x14ac:dyDescent="0.75">
      <c r="A808" t="s">
        <v>32</v>
      </c>
      <c r="B808" s="18">
        <v>2023</v>
      </c>
      <c r="C808" s="4">
        <v>3</v>
      </c>
      <c r="D808">
        <v>0</v>
      </c>
      <c r="E808" s="19">
        <v>51.9</v>
      </c>
      <c r="F808" s="29">
        <v>102.98</v>
      </c>
      <c r="G808" s="19">
        <v>49.76</v>
      </c>
      <c r="H808" s="3">
        <v>1.21</v>
      </c>
      <c r="I808" s="19">
        <v>256.42899999999997</v>
      </c>
      <c r="J808" s="40">
        <v>5.75</v>
      </c>
      <c r="K808" s="43">
        <v>15301</v>
      </c>
      <c r="L808" s="24">
        <v>78.400000000000006</v>
      </c>
      <c r="M808" s="42">
        <v>99.9</v>
      </c>
    </row>
    <row r="809" spans="1:13" x14ac:dyDescent="0.75">
      <c r="A809" t="s">
        <v>32</v>
      </c>
      <c r="B809" s="18">
        <v>2023</v>
      </c>
      <c r="C809" s="4">
        <v>4</v>
      </c>
      <c r="D809">
        <v>0</v>
      </c>
      <c r="E809" s="19">
        <v>52.7</v>
      </c>
      <c r="F809" s="29">
        <v>103.44</v>
      </c>
      <c r="G809" s="19">
        <v>27.51</v>
      </c>
      <c r="H809" s="3"/>
      <c r="I809" s="19">
        <v>255.30600000000001</v>
      </c>
      <c r="J809" s="40">
        <v>5.75</v>
      </c>
      <c r="K809" s="43">
        <v>14867</v>
      </c>
      <c r="L809" s="24">
        <v>84.6</v>
      </c>
      <c r="M809" s="42">
        <v>100</v>
      </c>
    </row>
    <row r="810" spans="1:13" x14ac:dyDescent="0.75">
      <c r="A810" t="s">
        <v>32</v>
      </c>
      <c r="B810" s="18">
        <v>2023</v>
      </c>
      <c r="C810" s="4">
        <v>5</v>
      </c>
      <c r="D810">
        <v>0</v>
      </c>
      <c r="E810" s="19">
        <v>50.3</v>
      </c>
      <c r="F810" s="29">
        <v>104.16</v>
      </c>
      <c r="G810" s="19">
        <v>13.53</v>
      </c>
      <c r="H810" s="3"/>
      <c r="I810" s="19">
        <v>263.464</v>
      </c>
      <c r="J810" s="40">
        <v>5.75</v>
      </c>
      <c r="K810" s="43">
        <v>14811</v>
      </c>
      <c r="L810" s="24">
        <v>75.5</v>
      </c>
      <c r="M810" s="42">
        <v>100.2</v>
      </c>
    </row>
    <row r="811" spans="1:13" x14ac:dyDescent="0.75">
      <c r="A811" t="s">
        <v>32</v>
      </c>
      <c r="B811" s="18">
        <v>2023</v>
      </c>
      <c r="C811" s="4">
        <v>6</v>
      </c>
      <c r="D811">
        <v>0</v>
      </c>
      <c r="E811" s="33">
        <v>52.5</v>
      </c>
      <c r="F811" s="29">
        <v>103.9</v>
      </c>
      <c r="G811" s="19">
        <v>63.37</v>
      </c>
      <c r="H811" s="3"/>
      <c r="I811" s="19">
        <v>254.78899999999999</v>
      </c>
      <c r="J811" s="40">
        <v>5.75</v>
      </c>
      <c r="K811" s="43">
        <v>14932</v>
      </c>
      <c r="L811" s="24">
        <v>74.8</v>
      </c>
      <c r="M811" s="42">
        <v>100.3</v>
      </c>
    </row>
    <row r="812" spans="1:13" x14ac:dyDescent="0.75">
      <c r="A812" t="s">
        <v>32</v>
      </c>
      <c r="B812" s="18">
        <v>2023</v>
      </c>
      <c r="C812" s="4">
        <v>7</v>
      </c>
      <c r="D812">
        <v>4</v>
      </c>
      <c r="E812" s="33">
        <v>53.3</v>
      </c>
      <c r="F812" s="29">
        <v>103.67</v>
      </c>
      <c r="G812" s="19">
        <v>40.68</v>
      </c>
      <c r="H812" s="3">
        <v>8.76</v>
      </c>
      <c r="I812" s="19">
        <v>279.56900000000002</v>
      </c>
      <c r="J812" s="40">
        <v>5.75</v>
      </c>
      <c r="K812" s="43">
        <v>15040</v>
      </c>
      <c r="L812" s="24">
        <v>80.099999999999994</v>
      </c>
      <c r="M812" s="42">
        <v>100.5</v>
      </c>
    </row>
    <row r="813" spans="1:13" x14ac:dyDescent="0.75">
      <c r="A813" t="s">
        <v>32</v>
      </c>
      <c r="B813" s="18">
        <v>2023</v>
      </c>
      <c r="C813" s="4">
        <v>8</v>
      </c>
      <c r="D813">
        <v>4</v>
      </c>
      <c r="E813" s="33">
        <v>53.9</v>
      </c>
      <c r="F813" s="29">
        <v>104.04</v>
      </c>
      <c r="G813" s="19">
        <v>50.07</v>
      </c>
      <c r="H813" s="3"/>
      <c r="I813" s="19">
        <v>284.19900000000001</v>
      </c>
      <c r="J813" s="40">
        <v>5.75</v>
      </c>
      <c r="K813" s="43">
        <v>15245</v>
      </c>
      <c r="L813" s="24">
        <v>86.1</v>
      </c>
      <c r="M813" s="42">
        <v>100.5</v>
      </c>
    </row>
    <row r="814" spans="1:13" x14ac:dyDescent="0.75">
      <c r="A814" t="s">
        <v>32</v>
      </c>
      <c r="B814" s="18">
        <v>2023</v>
      </c>
      <c r="C814" s="4">
        <v>9</v>
      </c>
      <c r="D814">
        <v>4</v>
      </c>
      <c r="E814" s="33">
        <v>52.3</v>
      </c>
      <c r="F814" s="29">
        <v>103.91</v>
      </c>
      <c r="G814" s="19">
        <v>44.02</v>
      </c>
      <c r="H814" s="3">
        <v>0.77</v>
      </c>
      <c r="I814" s="19">
        <v>277.55900000000003</v>
      </c>
      <c r="J814" s="40">
        <v>5.75</v>
      </c>
      <c r="K814" s="43">
        <v>15354</v>
      </c>
      <c r="L814" s="24" t="s">
        <v>64</v>
      </c>
      <c r="M814" s="42">
        <v>100.9</v>
      </c>
    </row>
    <row r="815" spans="1:13" x14ac:dyDescent="0.75">
      <c r="A815" t="s">
        <v>32</v>
      </c>
      <c r="B815" s="18">
        <v>2023</v>
      </c>
      <c r="C815" s="4">
        <v>10</v>
      </c>
      <c r="D815">
        <v>4</v>
      </c>
      <c r="E815" s="33">
        <v>51.5</v>
      </c>
      <c r="F815" s="29">
        <v>104.56</v>
      </c>
      <c r="G815" s="19">
        <v>35.53</v>
      </c>
      <c r="H815" s="3">
        <v>0.7</v>
      </c>
      <c r="I815" s="19">
        <v>276.76</v>
      </c>
      <c r="J815" s="40">
        <v>6</v>
      </c>
      <c r="K815" s="43">
        <v>15741</v>
      </c>
      <c r="L815" s="24">
        <v>90.6</v>
      </c>
      <c r="M815" s="42">
        <v>101.2</v>
      </c>
    </row>
    <row r="816" spans="1:13" x14ac:dyDescent="0.75">
      <c r="A816" t="s">
        <v>32</v>
      </c>
      <c r="B816" s="18">
        <v>2023</v>
      </c>
      <c r="C816" s="4">
        <v>11</v>
      </c>
      <c r="D816">
        <v>4</v>
      </c>
      <c r="E816" s="33">
        <v>51.7</v>
      </c>
      <c r="F816" s="29">
        <v>104.84</v>
      </c>
      <c r="G816" s="19">
        <v>34.090000000000003</v>
      </c>
      <c r="H816" s="3">
        <v>0.82</v>
      </c>
      <c r="I816" s="19">
        <v>276.01</v>
      </c>
      <c r="J816" s="40">
        <v>6</v>
      </c>
      <c r="K816" s="43">
        <v>15617</v>
      </c>
      <c r="L816" s="24">
        <v>82.9</v>
      </c>
      <c r="M816" s="42">
        <v>101.4</v>
      </c>
    </row>
    <row r="817" spans="1:13" x14ac:dyDescent="0.75">
      <c r="A817" t="s">
        <v>32</v>
      </c>
      <c r="B817" s="18">
        <v>2023</v>
      </c>
      <c r="C817" s="4">
        <v>12</v>
      </c>
      <c r="D817">
        <v>9</v>
      </c>
      <c r="E817" s="33">
        <v>52.2</v>
      </c>
      <c r="F817" s="29">
        <v>105.21</v>
      </c>
      <c r="G817" s="19">
        <v>61.93</v>
      </c>
      <c r="H817" s="3">
        <v>0.27</v>
      </c>
      <c r="I817" s="19">
        <v>259.589</v>
      </c>
      <c r="J817" s="40">
        <v>6</v>
      </c>
      <c r="K817" s="43">
        <v>15513</v>
      </c>
      <c r="L817" s="24">
        <v>77.599999999999994</v>
      </c>
      <c r="M817" s="42">
        <v>101.8</v>
      </c>
    </row>
    <row r="818" spans="1:13" x14ac:dyDescent="0.75">
      <c r="A818" t="s">
        <v>33</v>
      </c>
      <c r="B818" s="18">
        <v>2023</v>
      </c>
      <c r="C818" s="4">
        <v>1</v>
      </c>
      <c r="D818">
        <v>16</v>
      </c>
      <c r="E818" s="19">
        <v>51.3</v>
      </c>
      <c r="F818" s="19">
        <v>101.65</v>
      </c>
      <c r="G818" s="19">
        <v>12.92</v>
      </c>
      <c r="H818" s="3">
        <v>18.350000000000001</v>
      </c>
      <c r="I818" s="19">
        <v>284.72199999999998</v>
      </c>
      <c r="J818" s="40">
        <v>5.75</v>
      </c>
      <c r="K818" s="43">
        <v>15295</v>
      </c>
      <c r="L818" s="24">
        <v>82.5</v>
      </c>
      <c r="M818" s="42">
        <v>99.3</v>
      </c>
    </row>
    <row r="819" spans="1:13" x14ac:dyDescent="0.75">
      <c r="A819" t="s">
        <v>33</v>
      </c>
      <c r="B819" s="18">
        <v>2023</v>
      </c>
      <c r="C819" s="4">
        <v>2</v>
      </c>
      <c r="D819">
        <v>16</v>
      </c>
      <c r="E819" s="19">
        <v>51.2</v>
      </c>
      <c r="F819" s="19">
        <v>101.51</v>
      </c>
      <c r="G819" s="19">
        <v>3</v>
      </c>
      <c r="H819" s="3">
        <v>4.47</v>
      </c>
      <c r="I819" s="19">
        <v>303.99900000000002</v>
      </c>
      <c r="J819" s="40">
        <v>5.75</v>
      </c>
      <c r="K819" s="43">
        <v>15126</v>
      </c>
      <c r="L819" s="24">
        <v>82.6</v>
      </c>
      <c r="M819" s="42">
        <v>99.6</v>
      </c>
    </row>
    <row r="820" spans="1:13" x14ac:dyDescent="0.75">
      <c r="A820" t="s">
        <v>33</v>
      </c>
      <c r="B820" s="18">
        <v>2023</v>
      </c>
      <c r="C820" s="4">
        <v>3</v>
      </c>
      <c r="D820">
        <v>16</v>
      </c>
      <c r="E820" s="19">
        <v>51.9</v>
      </c>
      <c r="F820" s="19">
        <v>101.31</v>
      </c>
      <c r="G820" s="19">
        <v>7.75</v>
      </c>
      <c r="H820" s="3">
        <v>28.48</v>
      </c>
      <c r="I820" s="19">
        <v>297.47199999999998</v>
      </c>
      <c r="J820" s="40">
        <v>5.75</v>
      </c>
      <c r="K820" s="43">
        <v>15301</v>
      </c>
      <c r="L820" s="24">
        <v>78.400000000000006</v>
      </c>
      <c r="M820" s="42">
        <v>99.9</v>
      </c>
    </row>
    <row r="821" spans="1:13" x14ac:dyDescent="0.75">
      <c r="A821" t="s">
        <v>33</v>
      </c>
      <c r="B821" s="18">
        <v>2023</v>
      </c>
      <c r="C821" s="4">
        <v>4</v>
      </c>
      <c r="D821">
        <v>16</v>
      </c>
      <c r="E821" s="19">
        <v>52.7</v>
      </c>
      <c r="F821" s="19">
        <v>101.92</v>
      </c>
      <c r="G821" s="19">
        <v>7.1</v>
      </c>
      <c r="H821" s="3">
        <v>10.6</v>
      </c>
      <c r="I821" s="19">
        <v>320.92099999999999</v>
      </c>
      <c r="J821" s="40">
        <v>5.75</v>
      </c>
      <c r="K821" s="43">
        <v>14867</v>
      </c>
      <c r="L821" s="24">
        <v>84.6</v>
      </c>
      <c r="M821" s="42">
        <v>100</v>
      </c>
    </row>
    <row r="822" spans="1:13" x14ac:dyDescent="0.75">
      <c r="A822" t="s">
        <v>33</v>
      </c>
      <c r="B822" s="18">
        <v>2023</v>
      </c>
      <c r="C822" s="4">
        <v>5</v>
      </c>
      <c r="D822">
        <v>16</v>
      </c>
      <c r="E822" s="19">
        <v>50.3</v>
      </c>
      <c r="F822" s="19">
        <v>103.06</v>
      </c>
      <c r="G822" s="19">
        <v>15.54</v>
      </c>
      <c r="H822" s="3">
        <v>27.2</v>
      </c>
      <c r="I822" s="19">
        <v>351.52600000000001</v>
      </c>
      <c r="J822" s="40">
        <v>5.75</v>
      </c>
      <c r="K822" s="43">
        <v>14811</v>
      </c>
      <c r="L822" s="24">
        <v>75.5</v>
      </c>
      <c r="M822" s="42">
        <v>100.2</v>
      </c>
    </row>
    <row r="823" spans="1:13" x14ac:dyDescent="0.75">
      <c r="A823" t="s">
        <v>33</v>
      </c>
      <c r="B823" s="18">
        <v>2023</v>
      </c>
      <c r="C823" s="4">
        <v>6</v>
      </c>
      <c r="D823">
        <v>16</v>
      </c>
      <c r="E823" s="33">
        <v>52.5</v>
      </c>
      <c r="F823" s="19">
        <v>104</v>
      </c>
      <c r="G823" s="19">
        <v>17.829999999999998</v>
      </c>
      <c r="H823" s="3">
        <v>16.62</v>
      </c>
      <c r="I823" s="19">
        <v>334.714</v>
      </c>
      <c r="J823" s="40">
        <v>5.75</v>
      </c>
      <c r="K823" s="43">
        <v>14932</v>
      </c>
      <c r="L823" s="24">
        <v>74.8</v>
      </c>
      <c r="M823" s="42">
        <v>100.3</v>
      </c>
    </row>
    <row r="824" spans="1:13" x14ac:dyDescent="0.75">
      <c r="A824" t="s">
        <v>33</v>
      </c>
      <c r="B824" s="18">
        <v>2023</v>
      </c>
      <c r="C824" s="4">
        <v>7</v>
      </c>
      <c r="D824">
        <v>21</v>
      </c>
      <c r="E824" s="33">
        <v>53.3</v>
      </c>
      <c r="F824" s="19">
        <v>104.08</v>
      </c>
      <c r="G824" s="19">
        <v>12.08</v>
      </c>
      <c r="H824" s="3">
        <v>17.38</v>
      </c>
      <c r="I824" s="19">
        <v>353.26100000000002</v>
      </c>
      <c r="J824" s="40">
        <v>5.75</v>
      </c>
      <c r="K824" s="43">
        <v>15040</v>
      </c>
      <c r="L824" s="24">
        <v>80.099999999999994</v>
      </c>
      <c r="M824" s="42">
        <v>100.5</v>
      </c>
    </row>
    <row r="825" spans="1:13" x14ac:dyDescent="0.75">
      <c r="A825" t="s">
        <v>33</v>
      </c>
      <c r="B825" s="18">
        <v>2023</v>
      </c>
      <c r="C825" s="4">
        <v>8</v>
      </c>
      <c r="D825">
        <v>34</v>
      </c>
      <c r="E825" s="33">
        <v>53.9</v>
      </c>
      <c r="F825" s="19">
        <v>103.86</v>
      </c>
      <c r="G825" s="19">
        <v>2.66</v>
      </c>
      <c r="H825" s="3">
        <v>27.64</v>
      </c>
      <c r="I825" s="19">
        <v>357.32100000000003</v>
      </c>
      <c r="J825" s="40">
        <v>5.75</v>
      </c>
      <c r="K825" s="43">
        <v>15245</v>
      </c>
      <c r="L825" s="24">
        <v>86.1</v>
      </c>
      <c r="M825" s="42">
        <v>100.5</v>
      </c>
    </row>
    <row r="826" spans="1:13" x14ac:dyDescent="0.75">
      <c r="A826" t="s">
        <v>33</v>
      </c>
      <c r="B826" s="18">
        <v>2023</v>
      </c>
      <c r="C826" s="4">
        <v>9</v>
      </c>
      <c r="D826">
        <v>34</v>
      </c>
      <c r="E826" s="33">
        <v>52.3</v>
      </c>
      <c r="F826" s="19">
        <v>104.6</v>
      </c>
      <c r="G826" s="19">
        <v>11.43</v>
      </c>
      <c r="H826" s="3">
        <v>28.7</v>
      </c>
      <c r="I826" s="19">
        <v>351.315</v>
      </c>
      <c r="J826" s="40">
        <v>5.75</v>
      </c>
      <c r="K826" s="43">
        <v>15354</v>
      </c>
      <c r="L826" s="24" t="s">
        <v>64</v>
      </c>
      <c r="M826" s="42">
        <v>100.9</v>
      </c>
    </row>
    <row r="827" spans="1:13" x14ac:dyDescent="0.75">
      <c r="A827" t="s">
        <v>33</v>
      </c>
      <c r="B827" s="18">
        <v>2023</v>
      </c>
      <c r="C827" s="4">
        <v>10</v>
      </c>
      <c r="D827">
        <v>73</v>
      </c>
      <c r="E827" s="33">
        <v>51.5</v>
      </c>
      <c r="F827" s="19">
        <v>104.92</v>
      </c>
      <c r="G827" s="19">
        <v>1.93</v>
      </c>
      <c r="H827" s="3">
        <v>39.11</v>
      </c>
      <c r="I827" s="19">
        <v>357.858</v>
      </c>
      <c r="J827" s="40">
        <v>6</v>
      </c>
      <c r="K827" s="43">
        <v>15741</v>
      </c>
      <c r="L827" s="24">
        <v>90.6</v>
      </c>
      <c r="M827" s="42">
        <v>101.2</v>
      </c>
    </row>
    <row r="828" spans="1:13" x14ac:dyDescent="0.75">
      <c r="A828" t="s">
        <v>33</v>
      </c>
      <c r="B828" s="18">
        <v>2023</v>
      </c>
      <c r="C828" s="4">
        <v>11</v>
      </c>
      <c r="D828">
        <v>73</v>
      </c>
      <c r="E828" s="33">
        <v>51.7</v>
      </c>
      <c r="F828" s="19">
        <v>105.09</v>
      </c>
      <c r="G828" s="19">
        <v>8.49</v>
      </c>
      <c r="H828" s="3">
        <v>41.71</v>
      </c>
      <c r="I828" s="19">
        <v>362.48700000000002</v>
      </c>
      <c r="J828" s="40">
        <v>6</v>
      </c>
      <c r="K828" s="43">
        <v>15617</v>
      </c>
      <c r="L828" s="24">
        <v>82.9</v>
      </c>
      <c r="M828" s="42">
        <v>101.4</v>
      </c>
    </row>
    <row r="829" spans="1:13" x14ac:dyDescent="0.75">
      <c r="A829" t="s">
        <v>33</v>
      </c>
      <c r="B829" s="18">
        <v>2023</v>
      </c>
      <c r="C829" s="4">
        <v>12</v>
      </c>
      <c r="D829">
        <v>73</v>
      </c>
      <c r="E829" s="33">
        <v>52.2</v>
      </c>
      <c r="F829" s="19">
        <v>105.64</v>
      </c>
      <c r="G829" s="19">
        <v>21.01</v>
      </c>
      <c r="H829" s="3">
        <v>43.01</v>
      </c>
      <c r="I829" s="19">
        <v>358.88600000000002</v>
      </c>
      <c r="J829" s="40">
        <v>6</v>
      </c>
      <c r="K829" s="43">
        <v>15513</v>
      </c>
      <c r="L829" s="24">
        <v>77.599999999999994</v>
      </c>
      <c r="M829" s="42">
        <v>101.8</v>
      </c>
    </row>
    <row r="830" spans="1:13" x14ac:dyDescent="0.75">
      <c r="A830" t="s">
        <v>34</v>
      </c>
      <c r="B830" s="18">
        <v>2023</v>
      </c>
      <c r="C830" s="4">
        <v>1</v>
      </c>
      <c r="D830">
        <v>0</v>
      </c>
      <c r="E830" s="19">
        <v>51.3</v>
      </c>
      <c r="F830" s="26">
        <v>102.26</v>
      </c>
      <c r="G830" s="19">
        <v>853.48</v>
      </c>
      <c r="H830" s="3">
        <v>132.72999999999999</v>
      </c>
      <c r="I830" s="19">
        <v>221.286</v>
      </c>
      <c r="J830" s="40">
        <v>5.75</v>
      </c>
      <c r="K830" s="43">
        <v>15295</v>
      </c>
      <c r="L830" s="24">
        <v>82.5</v>
      </c>
      <c r="M830" s="42">
        <v>99.3</v>
      </c>
    </row>
    <row r="831" spans="1:13" x14ac:dyDescent="0.75">
      <c r="A831" t="s">
        <v>34</v>
      </c>
      <c r="B831" s="18">
        <v>2023</v>
      </c>
      <c r="C831" s="4">
        <v>2</v>
      </c>
      <c r="D831">
        <v>0</v>
      </c>
      <c r="E831" s="19">
        <v>51.2</v>
      </c>
      <c r="F831" s="26">
        <v>103.44</v>
      </c>
      <c r="G831" s="19">
        <v>837.94</v>
      </c>
      <c r="H831" s="3">
        <v>292.79000000000002</v>
      </c>
      <c r="I831" s="19">
        <v>231.572</v>
      </c>
      <c r="J831" s="40">
        <v>5.75</v>
      </c>
      <c r="K831" s="43">
        <v>15126</v>
      </c>
      <c r="L831" s="24">
        <v>82.6</v>
      </c>
      <c r="M831" s="42">
        <v>99.6</v>
      </c>
    </row>
    <row r="832" spans="1:13" x14ac:dyDescent="0.75">
      <c r="A832" t="s">
        <v>34</v>
      </c>
      <c r="B832" s="18">
        <v>2023</v>
      </c>
      <c r="C832" s="4">
        <v>3</v>
      </c>
      <c r="D832">
        <v>0</v>
      </c>
      <c r="E832" s="19">
        <v>51.9</v>
      </c>
      <c r="F832" s="26">
        <v>103.07</v>
      </c>
      <c r="G832" s="19">
        <v>715.95</v>
      </c>
      <c r="H832" s="3">
        <v>350.48</v>
      </c>
      <c r="I832" s="19">
        <v>219.37899999999999</v>
      </c>
      <c r="J832" s="40">
        <v>5.75</v>
      </c>
      <c r="K832" s="43">
        <v>15301</v>
      </c>
      <c r="L832" s="24">
        <v>78.400000000000006</v>
      </c>
      <c r="M832" s="42">
        <v>99.9</v>
      </c>
    </row>
    <row r="833" spans="1:13" x14ac:dyDescent="0.75">
      <c r="A833" t="s">
        <v>34</v>
      </c>
      <c r="B833" s="18">
        <v>2023</v>
      </c>
      <c r="C833" s="4">
        <v>4</v>
      </c>
      <c r="D833">
        <v>0</v>
      </c>
      <c r="E833" s="19">
        <v>52.7</v>
      </c>
      <c r="F833" s="26">
        <v>104.17</v>
      </c>
      <c r="G833" s="19">
        <v>813.23</v>
      </c>
      <c r="H833" s="3">
        <v>164.41</v>
      </c>
      <c r="I833" s="19">
        <v>227.37799999999999</v>
      </c>
      <c r="J833" s="40">
        <v>5.75</v>
      </c>
      <c r="K833" s="43">
        <v>14867</v>
      </c>
      <c r="L833" s="24">
        <v>84.6</v>
      </c>
      <c r="M833" s="42">
        <v>100</v>
      </c>
    </row>
    <row r="834" spans="1:13" x14ac:dyDescent="0.75">
      <c r="A834" t="s">
        <v>34</v>
      </c>
      <c r="B834" s="18">
        <v>2023</v>
      </c>
      <c r="C834" s="4">
        <v>5</v>
      </c>
      <c r="D834">
        <v>0</v>
      </c>
      <c r="E834" s="19">
        <v>50.3</v>
      </c>
      <c r="F834" s="26">
        <v>104.43</v>
      </c>
      <c r="G834" s="19">
        <v>841.98</v>
      </c>
      <c r="H834" s="3">
        <v>348.75</v>
      </c>
      <c r="I834" s="19">
        <v>224.874</v>
      </c>
      <c r="J834" s="40">
        <v>5.75</v>
      </c>
      <c r="K834" s="43">
        <v>14811</v>
      </c>
      <c r="L834" s="24">
        <v>75.5</v>
      </c>
      <c r="M834" s="42">
        <v>100.2</v>
      </c>
    </row>
    <row r="835" spans="1:13" x14ac:dyDescent="0.75">
      <c r="A835" t="s">
        <v>34</v>
      </c>
      <c r="B835" s="18">
        <v>2023</v>
      </c>
      <c r="C835" s="4">
        <v>6</v>
      </c>
      <c r="D835">
        <v>0</v>
      </c>
      <c r="E835" s="33">
        <v>52.5</v>
      </c>
      <c r="F835" s="26">
        <v>104.66</v>
      </c>
      <c r="G835" s="19">
        <v>776.43</v>
      </c>
      <c r="H835" s="3">
        <v>312.92</v>
      </c>
      <c r="I835" s="19">
        <v>208.08600000000001</v>
      </c>
      <c r="J835" s="40">
        <v>5.75</v>
      </c>
      <c r="K835" s="43">
        <v>14932</v>
      </c>
      <c r="L835" s="24">
        <v>74.8</v>
      </c>
      <c r="M835" s="42">
        <v>100.3</v>
      </c>
    </row>
    <row r="836" spans="1:13" x14ac:dyDescent="0.75">
      <c r="A836" t="s">
        <v>34</v>
      </c>
      <c r="B836" s="18">
        <v>2023</v>
      </c>
      <c r="C836" s="4">
        <v>7</v>
      </c>
      <c r="D836">
        <v>0</v>
      </c>
      <c r="E836" s="33">
        <v>53.3</v>
      </c>
      <c r="F836" s="26">
        <v>104.86</v>
      </c>
      <c r="G836" s="19">
        <v>846.97</v>
      </c>
      <c r="H836" s="3">
        <v>307.91000000000003</v>
      </c>
      <c r="I836" s="19">
        <v>216.08500000000001</v>
      </c>
      <c r="J836" s="40">
        <v>5.75</v>
      </c>
      <c r="K836" s="43">
        <v>15040</v>
      </c>
      <c r="L836" s="24">
        <v>80.099999999999994</v>
      </c>
      <c r="M836" s="42">
        <v>100.5</v>
      </c>
    </row>
    <row r="837" spans="1:13" x14ac:dyDescent="0.75">
      <c r="A837" t="s">
        <v>34</v>
      </c>
      <c r="B837" s="18">
        <v>2023</v>
      </c>
      <c r="C837" s="4">
        <v>8</v>
      </c>
      <c r="D837">
        <v>102</v>
      </c>
      <c r="E837" s="33">
        <v>53.9</v>
      </c>
      <c r="F837" s="26">
        <v>105.02</v>
      </c>
      <c r="G837" s="19">
        <v>756.74</v>
      </c>
      <c r="H837" s="3">
        <v>205.41</v>
      </c>
      <c r="I837" s="19">
        <v>215.929</v>
      </c>
      <c r="J837" s="40">
        <v>5.75</v>
      </c>
      <c r="K837" s="43">
        <v>15245</v>
      </c>
      <c r="L837" s="24">
        <v>86.1</v>
      </c>
      <c r="M837" s="42">
        <v>100.5</v>
      </c>
    </row>
    <row r="838" spans="1:13" x14ac:dyDescent="0.75">
      <c r="A838" t="s">
        <v>34</v>
      </c>
      <c r="B838" s="18">
        <v>2023</v>
      </c>
      <c r="C838" s="4">
        <v>9</v>
      </c>
      <c r="D838">
        <v>102</v>
      </c>
      <c r="E838" s="33">
        <v>52.3</v>
      </c>
      <c r="F838" s="26">
        <v>104.92</v>
      </c>
      <c r="G838" s="19">
        <v>813.16</v>
      </c>
      <c r="H838" s="3">
        <v>212.78</v>
      </c>
      <c r="I838" s="19">
        <v>213.47200000000001</v>
      </c>
      <c r="J838" s="40">
        <v>5.75</v>
      </c>
      <c r="K838" s="43">
        <v>15354</v>
      </c>
      <c r="L838" s="24" t="s">
        <v>64</v>
      </c>
      <c r="M838" s="42">
        <v>100.9</v>
      </c>
    </row>
    <row r="839" spans="1:13" x14ac:dyDescent="0.75">
      <c r="A839" t="s">
        <v>34</v>
      </c>
      <c r="B839" s="18">
        <v>2023</v>
      </c>
      <c r="C839" s="4">
        <v>10</v>
      </c>
      <c r="D839">
        <v>108</v>
      </c>
      <c r="E839" s="33">
        <v>51.5</v>
      </c>
      <c r="F839" s="26">
        <v>105.21</v>
      </c>
      <c r="G839" s="19">
        <v>1096.75</v>
      </c>
      <c r="H839" s="3">
        <v>364.97</v>
      </c>
      <c r="I839" s="19">
        <v>215.744</v>
      </c>
      <c r="J839" s="40">
        <v>6</v>
      </c>
      <c r="K839" s="43">
        <v>15741</v>
      </c>
      <c r="L839" s="24">
        <v>90.6</v>
      </c>
      <c r="M839" s="42">
        <v>101.2</v>
      </c>
    </row>
    <row r="840" spans="1:13" x14ac:dyDescent="0.75">
      <c r="A840" t="s">
        <v>34</v>
      </c>
      <c r="B840" s="18">
        <v>2023</v>
      </c>
      <c r="C840" s="4">
        <v>11</v>
      </c>
      <c r="D840">
        <v>160</v>
      </c>
      <c r="E840" s="33">
        <v>51.7</v>
      </c>
      <c r="F840" s="26">
        <v>105.06</v>
      </c>
      <c r="G840" s="19">
        <v>946.52</v>
      </c>
      <c r="H840" s="3">
        <v>236.45</v>
      </c>
      <c r="I840" s="19">
        <v>225.28200000000001</v>
      </c>
      <c r="J840" s="40">
        <v>6</v>
      </c>
      <c r="K840" s="43">
        <v>15617</v>
      </c>
      <c r="L840" s="24">
        <v>82.9</v>
      </c>
      <c r="M840" s="42">
        <v>101.4</v>
      </c>
    </row>
    <row r="841" spans="1:13" x14ac:dyDescent="0.75">
      <c r="A841" t="s">
        <v>34</v>
      </c>
      <c r="B841" s="18">
        <v>2023</v>
      </c>
      <c r="C841" s="4">
        <v>12</v>
      </c>
      <c r="D841">
        <v>160</v>
      </c>
      <c r="E841" s="33">
        <v>52.2</v>
      </c>
      <c r="F841" s="26">
        <v>106.71</v>
      </c>
      <c r="G841" s="19">
        <v>900.99</v>
      </c>
      <c r="H841" s="3">
        <v>229.17</v>
      </c>
      <c r="I841" s="19">
        <v>226.416</v>
      </c>
      <c r="J841" s="40">
        <v>6</v>
      </c>
      <c r="K841" s="43">
        <v>15513</v>
      </c>
      <c r="L841" s="24">
        <v>77.599999999999994</v>
      </c>
      <c r="M841" s="42">
        <v>101.8</v>
      </c>
    </row>
    <row r="842" spans="1:13" x14ac:dyDescent="0.75">
      <c r="A842" t="s">
        <v>35</v>
      </c>
      <c r="B842" s="18">
        <v>2023</v>
      </c>
      <c r="C842" s="4">
        <v>1</v>
      </c>
      <c r="D842">
        <v>0</v>
      </c>
      <c r="E842" s="19">
        <v>51.3</v>
      </c>
      <c r="F842" s="19">
        <v>102.8</v>
      </c>
      <c r="G842" s="3"/>
      <c r="H842" s="36"/>
      <c r="I842" s="19">
        <v>595.81700000000001</v>
      </c>
      <c r="J842" s="40">
        <v>5.75</v>
      </c>
      <c r="K842" s="43">
        <v>15295</v>
      </c>
      <c r="L842" s="24">
        <v>82.5</v>
      </c>
      <c r="M842" s="42">
        <v>99.3</v>
      </c>
    </row>
    <row r="843" spans="1:13" x14ac:dyDescent="0.75">
      <c r="A843" t="s">
        <v>35</v>
      </c>
      <c r="B843" s="18">
        <v>2023</v>
      </c>
      <c r="C843" s="4">
        <v>2</v>
      </c>
      <c r="D843">
        <v>0</v>
      </c>
      <c r="E843" s="19">
        <v>51.2</v>
      </c>
      <c r="F843" s="19">
        <v>102.38</v>
      </c>
      <c r="G843" s="3"/>
      <c r="H843">
        <v>1.66</v>
      </c>
      <c r="I843" s="19">
        <v>598.13800000000003</v>
      </c>
      <c r="J843" s="40">
        <v>5.75</v>
      </c>
      <c r="K843" s="43">
        <v>15126</v>
      </c>
      <c r="L843" s="24">
        <v>82.6</v>
      </c>
      <c r="M843" s="42">
        <v>99.6</v>
      </c>
    </row>
    <row r="844" spans="1:13" x14ac:dyDescent="0.75">
      <c r="A844" t="s">
        <v>35</v>
      </c>
      <c r="B844" s="18">
        <v>2023</v>
      </c>
      <c r="C844" s="4">
        <v>3</v>
      </c>
      <c r="D844">
        <v>0</v>
      </c>
      <c r="E844" s="19">
        <v>51.9</v>
      </c>
      <c r="F844" s="19">
        <v>101.75</v>
      </c>
      <c r="G844" s="3"/>
      <c r="H844">
        <v>0.9</v>
      </c>
      <c r="I844" s="19">
        <v>555.08299999999997</v>
      </c>
      <c r="J844" s="40">
        <v>5.75</v>
      </c>
      <c r="K844" s="43">
        <v>15301</v>
      </c>
      <c r="L844" s="24">
        <v>78.400000000000006</v>
      </c>
      <c r="M844" s="42">
        <v>99.9</v>
      </c>
    </row>
    <row r="845" spans="1:13" x14ac:dyDescent="0.75">
      <c r="A845" t="s">
        <v>35</v>
      </c>
      <c r="B845" s="18">
        <v>2023</v>
      </c>
      <c r="C845" s="4">
        <v>4</v>
      </c>
      <c r="D845">
        <v>0</v>
      </c>
      <c r="E845" s="19">
        <v>52.7</v>
      </c>
      <c r="F845" s="19">
        <v>103.09</v>
      </c>
      <c r="G845" s="3"/>
      <c r="H845">
        <v>8.39</v>
      </c>
      <c r="I845" s="19">
        <v>562.85900000000004</v>
      </c>
      <c r="J845" s="40">
        <v>5.75</v>
      </c>
      <c r="K845" s="43">
        <v>14867</v>
      </c>
      <c r="L845" s="24">
        <v>84.6</v>
      </c>
      <c r="M845" s="42">
        <v>100</v>
      </c>
    </row>
    <row r="846" spans="1:13" x14ac:dyDescent="0.75">
      <c r="A846" t="s">
        <v>35</v>
      </c>
      <c r="B846" s="18">
        <v>2023</v>
      </c>
      <c r="C846" s="4">
        <v>5</v>
      </c>
      <c r="D846">
        <v>21</v>
      </c>
      <c r="E846" s="19">
        <v>50.3</v>
      </c>
      <c r="F846" s="19">
        <v>103.51</v>
      </c>
      <c r="G846" s="3"/>
      <c r="H846" s="36"/>
      <c r="I846" s="19">
        <v>589.22500000000002</v>
      </c>
      <c r="J846" s="40">
        <v>5.75</v>
      </c>
      <c r="K846" s="43">
        <v>14811</v>
      </c>
      <c r="L846" s="24">
        <v>75.5</v>
      </c>
      <c r="M846" s="42">
        <v>100.2</v>
      </c>
    </row>
    <row r="847" spans="1:13" x14ac:dyDescent="0.75">
      <c r="A847" t="s">
        <v>35</v>
      </c>
      <c r="B847" s="18">
        <v>2023</v>
      </c>
      <c r="C847" s="4">
        <v>6</v>
      </c>
      <c r="D847">
        <v>21</v>
      </c>
      <c r="E847" s="33">
        <v>52.5</v>
      </c>
      <c r="F847" s="19">
        <v>104.06</v>
      </c>
      <c r="G847" s="3"/>
      <c r="H847">
        <v>0.06</v>
      </c>
      <c r="I847" s="19">
        <v>518.67200000000003</v>
      </c>
      <c r="J847" s="40">
        <v>5.75</v>
      </c>
      <c r="K847" s="43">
        <v>14932</v>
      </c>
      <c r="L847" s="24">
        <v>74.8</v>
      </c>
      <c r="M847" s="42">
        <v>100.3</v>
      </c>
    </row>
    <row r="848" spans="1:13" x14ac:dyDescent="0.75">
      <c r="A848" t="s">
        <v>35</v>
      </c>
      <c r="B848" s="18">
        <v>2023</v>
      </c>
      <c r="C848" s="4">
        <v>7</v>
      </c>
      <c r="D848">
        <v>15</v>
      </c>
      <c r="E848" s="33">
        <v>53.3</v>
      </c>
      <c r="F848" s="19">
        <v>105.11</v>
      </c>
      <c r="G848" s="3"/>
      <c r="H848" s="36"/>
      <c r="I848" s="19">
        <v>517.35699999999997</v>
      </c>
      <c r="J848" s="40">
        <v>5.75</v>
      </c>
      <c r="K848" s="43">
        <v>15040</v>
      </c>
      <c r="L848" s="24">
        <v>80.099999999999994</v>
      </c>
      <c r="M848" s="42">
        <v>100.5</v>
      </c>
    </row>
    <row r="849" spans="1:13" x14ac:dyDescent="0.75">
      <c r="A849" t="s">
        <v>35</v>
      </c>
      <c r="B849" s="18">
        <v>2023</v>
      </c>
      <c r="C849" s="4">
        <v>8</v>
      </c>
      <c r="D849">
        <v>15</v>
      </c>
      <c r="E849" s="33">
        <v>53.9</v>
      </c>
      <c r="F849" s="19">
        <v>105.46</v>
      </c>
      <c r="G849" s="3"/>
      <c r="H849" s="36"/>
      <c r="I849" s="19">
        <v>511.59899999999999</v>
      </c>
      <c r="J849" s="40">
        <v>5.75</v>
      </c>
      <c r="K849" s="43">
        <v>15245</v>
      </c>
      <c r="L849" s="24">
        <v>86.1</v>
      </c>
      <c r="M849" s="42">
        <v>100.5</v>
      </c>
    </row>
    <row r="850" spans="1:13" x14ac:dyDescent="0.75">
      <c r="A850" t="s">
        <v>35</v>
      </c>
      <c r="B850" s="18">
        <v>2023</v>
      </c>
      <c r="C850" s="4">
        <v>9</v>
      </c>
      <c r="D850">
        <v>15</v>
      </c>
      <c r="E850" s="33">
        <v>52.3</v>
      </c>
      <c r="F850" s="19">
        <v>104.37</v>
      </c>
      <c r="G850" s="3"/>
      <c r="H850" s="36"/>
      <c r="I850" s="19">
        <v>477.55</v>
      </c>
      <c r="J850" s="40">
        <v>5.75</v>
      </c>
      <c r="K850" s="43">
        <v>15354</v>
      </c>
      <c r="L850" s="24" t="s">
        <v>64</v>
      </c>
      <c r="M850" s="42">
        <v>100.9</v>
      </c>
    </row>
    <row r="851" spans="1:13" x14ac:dyDescent="0.75">
      <c r="A851" t="s">
        <v>35</v>
      </c>
      <c r="B851" s="18">
        <v>2023</v>
      </c>
      <c r="C851" s="4">
        <v>10</v>
      </c>
      <c r="D851">
        <v>15</v>
      </c>
      <c r="E851" s="33">
        <v>51.5</v>
      </c>
      <c r="F851" s="19">
        <v>104.63</v>
      </c>
      <c r="G851" s="3"/>
      <c r="H851">
        <v>10.79</v>
      </c>
      <c r="I851" s="19">
        <v>509.68</v>
      </c>
      <c r="J851" s="40">
        <v>6</v>
      </c>
      <c r="K851" s="43">
        <v>15741</v>
      </c>
      <c r="L851" s="24">
        <v>90.6</v>
      </c>
      <c r="M851" s="42">
        <v>101.2</v>
      </c>
    </row>
    <row r="852" spans="1:13" x14ac:dyDescent="0.75">
      <c r="A852" t="s">
        <v>35</v>
      </c>
      <c r="B852" s="18">
        <v>2023</v>
      </c>
      <c r="C852" s="4">
        <v>11</v>
      </c>
      <c r="D852">
        <v>15</v>
      </c>
      <c r="E852" s="33">
        <v>51.7</v>
      </c>
      <c r="F852" s="19">
        <v>104.6</v>
      </c>
      <c r="G852" s="3"/>
      <c r="H852" s="37"/>
      <c r="I852" s="19">
        <v>499.05399999999997</v>
      </c>
      <c r="J852" s="40">
        <v>6</v>
      </c>
      <c r="K852" s="43">
        <v>15617</v>
      </c>
      <c r="L852" s="24">
        <v>82.9</v>
      </c>
      <c r="M852" s="42">
        <v>101.4</v>
      </c>
    </row>
    <row r="853" spans="1:13" x14ac:dyDescent="0.75">
      <c r="A853" t="s">
        <v>35</v>
      </c>
      <c r="B853" s="18">
        <v>2023</v>
      </c>
      <c r="C853" s="4">
        <v>12</v>
      </c>
      <c r="D853">
        <v>15</v>
      </c>
      <c r="E853" s="33">
        <v>52.2</v>
      </c>
      <c r="F853" s="19">
        <v>105.28</v>
      </c>
      <c r="G853" s="3"/>
      <c r="H853" s="37"/>
      <c r="I853" s="19">
        <v>414.71800000000002</v>
      </c>
      <c r="J853" s="40">
        <v>6</v>
      </c>
      <c r="K853" s="43">
        <v>15513</v>
      </c>
      <c r="L853" s="24">
        <v>77.599999999999994</v>
      </c>
      <c r="M853" s="42">
        <v>101.8</v>
      </c>
    </row>
    <row r="854" spans="1:13" x14ac:dyDescent="0.75">
      <c r="A854" t="s">
        <v>36</v>
      </c>
      <c r="B854" s="18">
        <v>2023</v>
      </c>
      <c r="C854" s="4">
        <v>1</v>
      </c>
      <c r="D854" t="s">
        <v>58</v>
      </c>
      <c r="E854" s="19">
        <v>51.3</v>
      </c>
      <c r="F854" s="29">
        <v>102.03</v>
      </c>
      <c r="G854" s="3"/>
      <c r="H854" s="3"/>
      <c r="I854" s="3"/>
      <c r="J854" s="40">
        <v>5.75</v>
      </c>
      <c r="K854" s="43">
        <v>15295</v>
      </c>
      <c r="L854" s="24">
        <v>82.5</v>
      </c>
      <c r="M854" s="42">
        <v>99.3</v>
      </c>
    </row>
    <row r="855" spans="1:13" x14ac:dyDescent="0.75">
      <c r="A855" t="s">
        <v>36</v>
      </c>
      <c r="B855" s="18">
        <v>2023</v>
      </c>
      <c r="C855" s="4">
        <v>2</v>
      </c>
      <c r="D855" t="s">
        <v>58</v>
      </c>
      <c r="E855" s="19">
        <v>51.2</v>
      </c>
      <c r="F855" s="29">
        <v>101.6</v>
      </c>
      <c r="G855" s="3"/>
      <c r="H855" s="3"/>
      <c r="I855" s="3"/>
      <c r="J855" s="40">
        <v>5.75</v>
      </c>
      <c r="K855" s="43">
        <v>15126</v>
      </c>
      <c r="L855" s="24">
        <v>82.6</v>
      </c>
      <c r="M855" s="42">
        <v>99.6</v>
      </c>
    </row>
    <row r="856" spans="1:13" x14ac:dyDescent="0.75">
      <c r="A856" t="s">
        <v>36</v>
      </c>
      <c r="B856" s="18">
        <v>2023</v>
      </c>
      <c r="C856" s="4">
        <v>3</v>
      </c>
      <c r="D856" t="s">
        <v>58</v>
      </c>
      <c r="E856" s="19">
        <v>51.9</v>
      </c>
      <c r="F856" s="29">
        <v>102.37</v>
      </c>
      <c r="G856" s="3"/>
      <c r="H856" s="3"/>
      <c r="I856" s="3"/>
      <c r="J856" s="40">
        <v>5.75</v>
      </c>
      <c r="K856" s="43">
        <v>15301</v>
      </c>
      <c r="L856" s="24">
        <v>78.400000000000006</v>
      </c>
      <c r="M856" s="42">
        <v>99.9</v>
      </c>
    </row>
    <row r="857" spans="1:13" x14ac:dyDescent="0.75">
      <c r="A857" t="s">
        <v>36</v>
      </c>
      <c r="B857" s="18">
        <v>2023</v>
      </c>
      <c r="C857" s="4">
        <v>4</v>
      </c>
      <c r="D857" t="s">
        <v>58</v>
      </c>
      <c r="E857" s="19">
        <v>52.7</v>
      </c>
      <c r="F857" s="29">
        <v>102.08</v>
      </c>
      <c r="G857" s="3"/>
      <c r="H857" s="3"/>
      <c r="I857" s="3"/>
      <c r="J857" s="40">
        <v>5.75</v>
      </c>
      <c r="K857" s="43">
        <v>14867</v>
      </c>
      <c r="L857" s="24">
        <v>84.6</v>
      </c>
      <c r="M857" s="42">
        <v>100</v>
      </c>
    </row>
    <row r="858" spans="1:13" x14ac:dyDescent="0.75">
      <c r="A858" t="s">
        <v>36</v>
      </c>
      <c r="B858" s="18">
        <v>2023</v>
      </c>
      <c r="C858" s="4">
        <v>5</v>
      </c>
      <c r="D858" t="s">
        <v>58</v>
      </c>
      <c r="E858" s="19">
        <v>50.3</v>
      </c>
      <c r="F858" s="29">
        <v>102.75</v>
      </c>
      <c r="G858" s="3"/>
      <c r="H858" s="3"/>
      <c r="I858" s="3"/>
      <c r="J858" s="40">
        <v>5.75</v>
      </c>
      <c r="K858" s="43">
        <v>14811</v>
      </c>
      <c r="L858" s="24">
        <v>75.5</v>
      </c>
      <c r="M858" s="42">
        <v>100.2</v>
      </c>
    </row>
    <row r="859" spans="1:13" x14ac:dyDescent="0.75">
      <c r="A859" t="s">
        <v>36</v>
      </c>
      <c r="B859" s="18">
        <v>2023</v>
      </c>
      <c r="C859" s="4">
        <v>6</v>
      </c>
      <c r="D859" t="s">
        <v>58</v>
      </c>
      <c r="E859" s="33">
        <v>52.5</v>
      </c>
      <c r="F859" s="29">
        <v>103.64</v>
      </c>
      <c r="G859" s="3"/>
      <c r="H859" s="3"/>
      <c r="I859" s="3"/>
      <c r="J859" s="40">
        <v>5.75</v>
      </c>
      <c r="K859" s="43">
        <v>14932</v>
      </c>
      <c r="L859" s="24">
        <v>74.8</v>
      </c>
      <c r="M859" s="42">
        <v>100.3</v>
      </c>
    </row>
    <row r="860" spans="1:13" x14ac:dyDescent="0.75">
      <c r="A860" t="s">
        <v>36</v>
      </c>
      <c r="B860" s="18">
        <v>2023</v>
      </c>
      <c r="C860" s="4">
        <v>7</v>
      </c>
      <c r="D860" t="s">
        <v>58</v>
      </c>
      <c r="E860" s="33">
        <v>53.3</v>
      </c>
      <c r="F860" s="29">
        <v>103.4</v>
      </c>
      <c r="G860" s="3"/>
      <c r="H860" s="3"/>
      <c r="I860" s="3"/>
      <c r="J860" s="40">
        <v>5.75</v>
      </c>
      <c r="K860" s="43">
        <v>15040</v>
      </c>
      <c r="L860" s="24">
        <v>80.099999999999994</v>
      </c>
      <c r="M860" s="42">
        <v>100.5</v>
      </c>
    </row>
    <row r="861" spans="1:13" x14ac:dyDescent="0.75">
      <c r="A861" t="s">
        <v>36</v>
      </c>
      <c r="B861" s="18">
        <v>2023</v>
      </c>
      <c r="C861" s="4">
        <v>8</v>
      </c>
      <c r="D861" t="s">
        <v>58</v>
      </c>
      <c r="E861" s="33">
        <v>53.9</v>
      </c>
      <c r="F861" s="29">
        <v>103.46</v>
      </c>
      <c r="G861" s="3"/>
      <c r="H861" s="3"/>
      <c r="I861" s="3"/>
      <c r="J861" s="40">
        <v>5.75</v>
      </c>
      <c r="K861" s="43">
        <v>15245</v>
      </c>
      <c r="L861" s="24">
        <v>86.1</v>
      </c>
      <c r="M861" s="42">
        <v>100.5</v>
      </c>
    </row>
    <row r="862" spans="1:13" x14ac:dyDescent="0.75">
      <c r="A862" t="s">
        <v>36</v>
      </c>
      <c r="B862" s="18">
        <v>2023</v>
      </c>
      <c r="C862" s="4">
        <v>9</v>
      </c>
      <c r="D862" t="s">
        <v>58</v>
      </c>
      <c r="E862" s="33">
        <v>52.3</v>
      </c>
      <c r="F862" s="29">
        <v>103</v>
      </c>
      <c r="G862" s="3"/>
      <c r="H862" s="3"/>
      <c r="I862" s="3"/>
      <c r="J862" s="40">
        <v>5.75</v>
      </c>
      <c r="K862" s="43">
        <v>15354</v>
      </c>
      <c r="L862" s="24" t="s">
        <v>64</v>
      </c>
      <c r="M862" s="42">
        <v>100.9</v>
      </c>
    </row>
    <row r="863" spans="1:13" x14ac:dyDescent="0.75">
      <c r="A863" t="s">
        <v>36</v>
      </c>
      <c r="B863" s="18">
        <v>2023</v>
      </c>
      <c r="C863" s="4">
        <v>10</v>
      </c>
      <c r="D863" t="s">
        <v>58</v>
      </c>
      <c r="E863" s="33">
        <v>51.5</v>
      </c>
      <c r="F863" s="29">
        <v>103.44</v>
      </c>
      <c r="G863" s="3"/>
      <c r="H863" s="3"/>
      <c r="I863" s="3"/>
      <c r="J863" s="40">
        <v>6</v>
      </c>
      <c r="K863" s="43">
        <v>15741</v>
      </c>
      <c r="L863" s="24">
        <v>90.6</v>
      </c>
      <c r="M863" s="42">
        <v>101.2</v>
      </c>
    </row>
    <row r="864" spans="1:13" x14ac:dyDescent="0.75">
      <c r="A864" t="s">
        <v>36</v>
      </c>
      <c r="B864" s="18">
        <v>2023</v>
      </c>
      <c r="C864" s="4">
        <v>11</v>
      </c>
      <c r="D864" t="s">
        <v>58</v>
      </c>
      <c r="E864" s="33">
        <v>51.7</v>
      </c>
      <c r="F864" s="29">
        <v>103.07</v>
      </c>
      <c r="G864" s="3"/>
      <c r="H864" s="3"/>
      <c r="I864" s="3"/>
      <c r="J864" s="40">
        <v>6</v>
      </c>
      <c r="K864" s="43">
        <v>15617</v>
      </c>
      <c r="L864" s="24">
        <v>82.9</v>
      </c>
      <c r="M864" s="42">
        <v>101.4</v>
      </c>
    </row>
    <row r="865" spans="1:13" x14ac:dyDescent="0.75">
      <c r="A865" t="s">
        <v>36</v>
      </c>
      <c r="B865" s="18">
        <v>2023</v>
      </c>
      <c r="C865" s="4">
        <v>12</v>
      </c>
      <c r="D865" t="s">
        <v>58</v>
      </c>
      <c r="E865" s="33">
        <v>52.2</v>
      </c>
      <c r="F865" s="29">
        <v>103.42</v>
      </c>
      <c r="G865" s="3"/>
      <c r="H865" s="3"/>
      <c r="I865" s="3"/>
      <c r="J865" s="40">
        <v>6</v>
      </c>
      <c r="K865" s="43">
        <v>15513</v>
      </c>
      <c r="L865" s="24">
        <v>77.599999999999994</v>
      </c>
      <c r="M865" s="42">
        <v>101.8</v>
      </c>
    </row>
    <row r="866" spans="1:13" x14ac:dyDescent="0.75">
      <c r="A866" t="s">
        <v>37</v>
      </c>
      <c r="B866" s="18">
        <v>2023</v>
      </c>
      <c r="C866" s="4">
        <v>1</v>
      </c>
      <c r="D866">
        <v>0</v>
      </c>
      <c r="E866" s="19">
        <v>51.3</v>
      </c>
      <c r="F866" s="29">
        <v>102.3</v>
      </c>
      <c r="G866" s="3"/>
      <c r="H866" s="3">
        <v>35.83</v>
      </c>
      <c r="I866" s="19">
        <v>914.94200000000001</v>
      </c>
      <c r="J866" s="40">
        <v>5.75</v>
      </c>
      <c r="K866" s="43">
        <v>15295</v>
      </c>
      <c r="L866" s="24">
        <v>82.5</v>
      </c>
      <c r="M866" s="42">
        <v>99.3</v>
      </c>
    </row>
    <row r="867" spans="1:13" x14ac:dyDescent="0.75">
      <c r="A867" t="s">
        <v>37</v>
      </c>
      <c r="B867" s="18">
        <v>2023</v>
      </c>
      <c r="C867" s="4">
        <v>2</v>
      </c>
      <c r="D867">
        <v>0</v>
      </c>
      <c r="E867" s="19">
        <v>51.2</v>
      </c>
      <c r="F867" s="29">
        <v>101.05</v>
      </c>
      <c r="G867" s="3"/>
      <c r="H867" s="3">
        <v>42.46</v>
      </c>
      <c r="I867" s="19">
        <v>959.77800000000002</v>
      </c>
      <c r="J867" s="40">
        <v>5.75</v>
      </c>
      <c r="K867" s="43">
        <v>15126</v>
      </c>
      <c r="L867" s="24">
        <v>82.6</v>
      </c>
      <c r="M867" s="42">
        <v>99.6</v>
      </c>
    </row>
    <row r="868" spans="1:13" x14ac:dyDescent="0.75">
      <c r="A868" t="s">
        <v>37</v>
      </c>
      <c r="B868" s="18">
        <v>2023</v>
      </c>
      <c r="C868" s="4">
        <v>3</v>
      </c>
      <c r="D868">
        <v>0</v>
      </c>
      <c r="E868" s="19">
        <v>51.9</v>
      </c>
      <c r="F868" s="29">
        <v>100.89</v>
      </c>
      <c r="G868" s="3"/>
      <c r="H868" s="3">
        <v>58.16</v>
      </c>
      <c r="I868" s="19">
        <v>935.96100000000001</v>
      </c>
      <c r="J868" s="40">
        <v>5.75</v>
      </c>
      <c r="K868" s="43">
        <v>15301</v>
      </c>
      <c r="L868" s="24">
        <v>78.400000000000006</v>
      </c>
      <c r="M868" s="42">
        <v>99.9</v>
      </c>
    </row>
    <row r="869" spans="1:13" x14ac:dyDescent="0.75">
      <c r="A869" t="s">
        <v>37</v>
      </c>
      <c r="B869" s="18">
        <v>2023</v>
      </c>
      <c r="C869" s="4">
        <v>4</v>
      </c>
      <c r="D869">
        <v>0</v>
      </c>
      <c r="E869" s="19">
        <v>52.7</v>
      </c>
      <c r="F869" s="29">
        <v>102.3</v>
      </c>
      <c r="G869" s="3"/>
      <c r="H869" s="3">
        <v>22.22</v>
      </c>
      <c r="I869" s="19">
        <v>1039.4110000000001</v>
      </c>
      <c r="J869" s="40">
        <v>5.75</v>
      </c>
      <c r="K869" s="43">
        <v>14867</v>
      </c>
      <c r="L869" s="24">
        <v>84.6</v>
      </c>
      <c r="M869" s="42">
        <v>100</v>
      </c>
    </row>
    <row r="870" spans="1:13" x14ac:dyDescent="0.75">
      <c r="A870" t="s">
        <v>37</v>
      </c>
      <c r="B870" s="18">
        <v>2023</v>
      </c>
      <c r="C870" s="4">
        <v>5</v>
      </c>
      <c r="D870">
        <v>7</v>
      </c>
      <c r="E870" s="19">
        <v>50.3</v>
      </c>
      <c r="F870" s="29">
        <v>102.52</v>
      </c>
      <c r="G870" s="3"/>
      <c r="H870" s="3">
        <v>29.65</v>
      </c>
      <c r="I870" s="19">
        <v>1088.538</v>
      </c>
      <c r="J870" s="40">
        <v>5.75</v>
      </c>
      <c r="K870" s="43">
        <v>14811</v>
      </c>
      <c r="L870" s="24">
        <v>75.5</v>
      </c>
      <c r="M870" s="42">
        <v>100.2</v>
      </c>
    </row>
    <row r="871" spans="1:13" x14ac:dyDescent="0.75">
      <c r="A871" t="s">
        <v>37</v>
      </c>
      <c r="B871" s="18">
        <v>2023</v>
      </c>
      <c r="C871" s="4">
        <v>6</v>
      </c>
      <c r="D871">
        <v>7</v>
      </c>
      <c r="E871" s="33">
        <v>52.5</v>
      </c>
      <c r="F871" s="29">
        <v>103.6</v>
      </c>
      <c r="G871" s="3"/>
      <c r="H871" s="3">
        <v>30.07</v>
      </c>
      <c r="I871" s="19">
        <v>981.524</v>
      </c>
      <c r="J871" s="40">
        <v>5.75</v>
      </c>
      <c r="K871" s="43">
        <v>14932</v>
      </c>
      <c r="L871" s="24">
        <v>74.8</v>
      </c>
      <c r="M871" s="42">
        <v>100.3</v>
      </c>
    </row>
    <row r="872" spans="1:13" x14ac:dyDescent="0.75">
      <c r="A872" t="s">
        <v>37</v>
      </c>
      <c r="B872" s="18">
        <v>2023</v>
      </c>
      <c r="C872" s="4">
        <v>7</v>
      </c>
      <c r="D872">
        <v>7</v>
      </c>
      <c r="E872" s="33">
        <v>53.3</v>
      </c>
      <c r="F872" s="29">
        <v>103.48</v>
      </c>
      <c r="G872" s="3"/>
      <c r="H872" s="3">
        <v>46.87</v>
      </c>
      <c r="I872" s="19">
        <v>977.25900000000001</v>
      </c>
      <c r="J872" s="40">
        <v>5.75</v>
      </c>
      <c r="K872" s="43">
        <v>15040</v>
      </c>
      <c r="L872" s="24">
        <v>80.099999999999994</v>
      </c>
      <c r="M872" s="42">
        <v>100.5</v>
      </c>
    </row>
    <row r="873" spans="1:13" x14ac:dyDescent="0.75">
      <c r="A873" t="s">
        <v>37</v>
      </c>
      <c r="B873" s="18">
        <v>2023</v>
      </c>
      <c r="C873" s="4">
        <v>8</v>
      </c>
      <c r="D873">
        <v>7</v>
      </c>
      <c r="E873" s="33">
        <v>53.9</v>
      </c>
      <c r="F873" s="29">
        <v>103.28</v>
      </c>
      <c r="G873" s="3"/>
      <c r="H873" s="3">
        <v>31.13</v>
      </c>
      <c r="I873" s="19">
        <v>1001.522</v>
      </c>
      <c r="J873" s="40">
        <v>5.75</v>
      </c>
      <c r="K873" s="43">
        <v>15245</v>
      </c>
      <c r="L873" s="24">
        <v>86.1</v>
      </c>
      <c r="M873" s="42">
        <v>100.5</v>
      </c>
    </row>
    <row r="874" spans="1:13" x14ac:dyDescent="0.75">
      <c r="A874" t="s">
        <v>37</v>
      </c>
      <c r="B874" s="18">
        <v>2023</v>
      </c>
      <c r="C874" s="4">
        <v>9</v>
      </c>
      <c r="D874">
        <v>7</v>
      </c>
      <c r="E874" s="33">
        <v>52.3</v>
      </c>
      <c r="F874" s="29">
        <v>103.06</v>
      </c>
      <c r="G874" s="3"/>
      <c r="H874" s="3">
        <v>157.07</v>
      </c>
      <c r="I874" s="19">
        <v>987.10699999999997</v>
      </c>
      <c r="J874" s="40">
        <v>5.75</v>
      </c>
      <c r="K874" s="43">
        <v>15354</v>
      </c>
      <c r="L874" s="24" t="s">
        <v>64</v>
      </c>
      <c r="M874" s="42">
        <v>100.9</v>
      </c>
    </row>
    <row r="875" spans="1:13" x14ac:dyDescent="0.75">
      <c r="A875" t="s">
        <v>37</v>
      </c>
      <c r="B875" s="18">
        <v>2023</v>
      </c>
      <c r="C875" s="4">
        <v>10</v>
      </c>
      <c r="D875">
        <v>7</v>
      </c>
      <c r="E875" s="33">
        <v>51.5</v>
      </c>
      <c r="F875" s="29">
        <v>103.01</v>
      </c>
      <c r="G875" s="3"/>
      <c r="H875" s="3">
        <v>37.020000000000003</v>
      </c>
      <c r="I875" s="19">
        <v>1013.696</v>
      </c>
      <c r="J875" s="40">
        <v>6</v>
      </c>
      <c r="K875" s="43">
        <v>15741</v>
      </c>
      <c r="L875" s="24">
        <v>90.6</v>
      </c>
      <c r="M875" s="42">
        <v>101.2</v>
      </c>
    </row>
    <row r="876" spans="1:13" x14ac:dyDescent="0.75">
      <c r="A876" t="s">
        <v>37</v>
      </c>
      <c r="B876" s="18">
        <v>2023</v>
      </c>
      <c r="C876" s="4">
        <v>11</v>
      </c>
      <c r="D876">
        <v>7</v>
      </c>
      <c r="E876" s="33">
        <v>51.7</v>
      </c>
      <c r="F876" s="29">
        <v>103.07</v>
      </c>
      <c r="G876" s="3"/>
      <c r="H876" s="3">
        <v>25.08</v>
      </c>
      <c r="I876" s="19">
        <v>995.82500000000005</v>
      </c>
      <c r="J876" s="40">
        <v>6</v>
      </c>
      <c r="K876" s="43">
        <v>15617</v>
      </c>
      <c r="L876" s="24">
        <v>82.9</v>
      </c>
      <c r="M876" s="42">
        <v>101.4</v>
      </c>
    </row>
    <row r="877" spans="1:13" x14ac:dyDescent="0.75">
      <c r="A877" t="s">
        <v>37</v>
      </c>
      <c r="B877" s="18">
        <v>2023</v>
      </c>
      <c r="C877" s="4">
        <v>12</v>
      </c>
      <c r="D877">
        <v>7</v>
      </c>
      <c r="E877" s="33">
        <v>52.2</v>
      </c>
      <c r="F877" s="29">
        <v>103.84</v>
      </c>
      <c r="G877" s="3"/>
      <c r="H877" s="3">
        <v>144.44</v>
      </c>
      <c r="I877" s="19">
        <v>957.27499999999998</v>
      </c>
      <c r="J877" s="40">
        <v>6</v>
      </c>
      <c r="K877" s="43">
        <v>15513</v>
      </c>
      <c r="L877" s="24">
        <v>77.599999999999994</v>
      </c>
      <c r="M877" s="42">
        <v>101.8</v>
      </c>
    </row>
    <row r="878" spans="1:13" x14ac:dyDescent="0.75">
      <c r="A878" t="s">
        <v>38</v>
      </c>
      <c r="B878" s="18">
        <v>2023</v>
      </c>
      <c r="C878" s="4">
        <v>1</v>
      </c>
      <c r="D878" t="s">
        <v>58</v>
      </c>
      <c r="E878" s="19">
        <v>51.3</v>
      </c>
      <c r="F878" s="26">
        <v>102.01</v>
      </c>
      <c r="G878" s="3"/>
      <c r="H878" s="3"/>
      <c r="I878" s="3"/>
      <c r="J878" s="40">
        <v>5.75</v>
      </c>
      <c r="K878" s="43">
        <v>15295</v>
      </c>
      <c r="L878" s="24">
        <v>82.5</v>
      </c>
      <c r="M878" s="42">
        <v>99.3</v>
      </c>
    </row>
    <row r="879" spans="1:13" x14ac:dyDescent="0.75">
      <c r="A879" t="s">
        <v>38</v>
      </c>
      <c r="B879" s="18">
        <v>2023</v>
      </c>
      <c r="C879" s="4">
        <v>2</v>
      </c>
      <c r="D879" t="s">
        <v>58</v>
      </c>
      <c r="E879" s="19">
        <v>51.2</v>
      </c>
      <c r="F879" s="26">
        <v>102</v>
      </c>
      <c r="G879" s="3"/>
      <c r="H879" s="3"/>
      <c r="I879" s="3"/>
      <c r="J879" s="40">
        <v>5.75</v>
      </c>
      <c r="K879" s="43">
        <v>15126</v>
      </c>
      <c r="L879" s="24">
        <v>82.6</v>
      </c>
      <c r="M879" s="42">
        <v>99.6</v>
      </c>
    </row>
    <row r="880" spans="1:13" x14ac:dyDescent="0.75">
      <c r="A880" t="s">
        <v>38</v>
      </c>
      <c r="B880" s="18">
        <v>2023</v>
      </c>
      <c r="C880" s="4">
        <v>3</v>
      </c>
      <c r="D880" t="s">
        <v>58</v>
      </c>
      <c r="E880" s="19">
        <v>51.9</v>
      </c>
      <c r="F880" s="26">
        <v>102.72</v>
      </c>
      <c r="G880" s="3"/>
      <c r="H880" s="3"/>
      <c r="I880" s="3"/>
      <c r="J880" s="40">
        <v>5.75</v>
      </c>
      <c r="K880" s="43">
        <v>15301</v>
      </c>
      <c r="L880" s="24">
        <v>78.400000000000006</v>
      </c>
      <c r="M880" s="42">
        <v>99.9</v>
      </c>
    </row>
    <row r="881" spans="1:13" x14ac:dyDescent="0.75">
      <c r="A881" t="s">
        <v>38</v>
      </c>
      <c r="B881" s="18">
        <v>2023</v>
      </c>
      <c r="C881" s="4">
        <v>4</v>
      </c>
      <c r="D881" t="s">
        <v>58</v>
      </c>
      <c r="E881" s="19">
        <v>52.7</v>
      </c>
      <c r="F881" s="26">
        <v>103.72</v>
      </c>
      <c r="G881" s="3"/>
      <c r="H881" s="3"/>
      <c r="I881" s="3"/>
      <c r="J881" s="40">
        <v>5.75</v>
      </c>
      <c r="K881" s="43">
        <v>14867</v>
      </c>
      <c r="L881" s="24">
        <v>84.6</v>
      </c>
      <c r="M881" s="42">
        <v>100</v>
      </c>
    </row>
    <row r="882" spans="1:13" x14ac:dyDescent="0.75">
      <c r="A882" t="s">
        <v>38</v>
      </c>
      <c r="B882" s="18">
        <v>2023</v>
      </c>
      <c r="C882" s="4">
        <v>5</v>
      </c>
      <c r="D882" t="s">
        <v>58</v>
      </c>
      <c r="E882" s="19">
        <v>50.3</v>
      </c>
      <c r="F882" s="26">
        <v>104.63</v>
      </c>
      <c r="G882" s="3"/>
      <c r="H882" s="3"/>
      <c r="I882" s="3"/>
      <c r="J882" s="40">
        <v>5.75</v>
      </c>
      <c r="K882" s="43">
        <v>14811</v>
      </c>
      <c r="L882" s="24">
        <v>75.5</v>
      </c>
      <c r="M882" s="42">
        <v>100.2</v>
      </c>
    </row>
    <row r="883" spans="1:13" x14ac:dyDescent="0.75">
      <c r="A883" t="s">
        <v>38</v>
      </c>
      <c r="B883" s="18">
        <v>2023</v>
      </c>
      <c r="C883" s="4">
        <v>6</v>
      </c>
      <c r="D883" t="s">
        <v>58</v>
      </c>
      <c r="E883" s="33">
        <v>52.5</v>
      </c>
      <c r="F883" s="26">
        <v>105.65</v>
      </c>
      <c r="G883" s="3"/>
      <c r="H883" s="3"/>
      <c r="I883" s="3"/>
      <c r="J883" s="40">
        <v>5.75</v>
      </c>
      <c r="K883" s="43">
        <v>14932</v>
      </c>
      <c r="L883" s="24">
        <v>74.8</v>
      </c>
      <c r="M883" s="42">
        <v>100.3</v>
      </c>
    </row>
    <row r="884" spans="1:13" x14ac:dyDescent="0.75">
      <c r="A884" t="s">
        <v>38</v>
      </c>
      <c r="B884" s="18">
        <v>2023</v>
      </c>
      <c r="C884" s="4">
        <v>7</v>
      </c>
      <c r="D884" t="s">
        <v>58</v>
      </c>
      <c r="E884" s="33">
        <v>53.3</v>
      </c>
      <c r="F884" s="26">
        <v>105.54</v>
      </c>
      <c r="G884" s="3"/>
      <c r="H884" s="3"/>
      <c r="I884" s="3"/>
      <c r="J884" s="40">
        <v>5.75</v>
      </c>
      <c r="K884" s="43">
        <v>15040</v>
      </c>
      <c r="L884" s="24">
        <v>80.099999999999994</v>
      </c>
      <c r="M884" s="42">
        <v>100.5</v>
      </c>
    </row>
    <row r="885" spans="1:13" x14ac:dyDescent="0.75">
      <c r="A885" t="s">
        <v>38</v>
      </c>
      <c r="B885" s="18">
        <v>2023</v>
      </c>
      <c r="C885" s="4">
        <v>8</v>
      </c>
      <c r="D885" t="s">
        <v>58</v>
      </c>
      <c r="E885" s="33">
        <v>53.9</v>
      </c>
      <c r="F885" s="26">
        <v>105.19</v>
      </c>
      <c r="G885" s="3"/>
      <c r="H885" s="3"/>
      <c r="I885" s="3"/>
      <c r="J885" s="40">
        <v>5.75</v>
      </c>
      <c r="K885" s="43">
        <v>15245</v>
      </c>
      <c r="L885" s="24">
        <v>86.1</v>
      </c>
      <c r="M885" s="42">
        <v>100.5</v>
      </c>
    </row>
    <row r="886" spans="1:13" x14ac:dyDescent="0.75">
      <c r="A886" t="s">
        <v>38</v>
      </c>
      <c r="B886" s="18">
        <v>2023</v>
      </c>
      <c r="C886" s="4">
        <v>9</v>
      </c>
      <c r="D886" t="s">
        <v>58</v>
      </c>
      <c r="E886" s="33">
        <v>52.3</v>
      </c>
      <c r="F886" s="26">
        <v>104.62</v>
      </c>
      <c r="G886" s="3"/>
      <c r="H886" s="3"/>
      <c r="I886" s="3"/>
      <c r="J886" s="40">
        <v>5.75</v>
      </c>
      <c r="K886" s="43">
        <v>15354</v>
      </c>
      <c r="L886" s="24" t="s">
        <v>64</v>
      </c>
      <c r="M886" s="42">
        <v>100.9</v>
      </c>
    </row>
    <row r="887" spans="1:13" x14ac:dyDescent="0.75">
      <c r="A887" t="s">
        <v>38</v>
      </c>
      <c r="B887" s="18">
        <v>2023</v>
      </c>
      <c r="C887" s="4">
        <v>10</v>
      </c>
      <c r="D887" t="s">
        <v>58</v>
      </c>
      <c r="E887" s="33">
        <v>51.5</v>
      </c>
      <c r="F887" s="26">
        <v>104.96</v>
      </c>
      <c r="G887" s="3"/>
      <c r="H887" s="3"/>
      <c r="I887" s="3"/>
      <c r="J887" s="40">
        <v>6</v>
      </c>
      <c r="K887" s="43">
        <v>15741</v>
      </c>
      <c r="L887" s="24">
        <v>90.6</v>
      </c>
      <c r="M887" s="42">
        <v>101.2</v>
      </c>
    </row>
    <row r="888" spans="1:13" x14ac:dyDescent="0.75">
      <c r="A888" t="s">
        <v>38</v>
      </c>
      <c r="B888" s="18">
        <v>2023</v>
      </c>
      <c r="C888" s="4">
        <v>11</v>
      </c>
      <c r="D888" t="s">
        <v>58</v>
      </c>
      <c r="E888" s="33">
        <v>51.7</v>
      </c>
      <c r="F888" s="26">
        <v>105.29</v>
      </c>
      <c r="G888" s="3"/>
      <c r="H888" s="3"/>
      <c r="I888" s="3"/>
      <c r="J888" s="40">
        <v>6</v>
      </c>
      <c r="K888" s="43">
        <v>15617</v>
      </c>
      <c r="L888" s="24">
        <v>82.9</v>
      </c>
      <c r="M888" s="42">
        <v>101.4</v>
      </c>
    </row>
    <row r="889" spans="1:13" x14ac:dyDescent="0.75">
      <c r="A889" t="s">
        <v>38</v>
      </c>
      <c r="B889" s="18">
        <v>2023</v>
      </c>
      <c r="C889" s="4">
        <v>12</v>
      </c>
      <c r="D889" t="s">
        <v>58</v>
      </c>
      <c r="E889" s="33">
        <v>52.2</v>
      </c>
      <c r="F889" s="26">
        <v>106.01</v>
      </c>
      <c r="G889" s="3"/>
      <c r="H889" s="3"/>
      <c r="I889" s="3"/>
      <c r="J889" s="40">
        <v>6</v>
      </c>
      <c r="K889" s="43">
        <v>15513</v>
      </c>
      <c r="L889" s="24">
        <v>77.599999999999994</v>
      </c>
      <c r="M889" s="42">
        <v>101.8</v>
      </c>
    </row>
    <row r="890" spans="1:13" x14ac:dyDescent="0.75">
      <c r="A890" t="s">
        <v>39</v>
      </c>
      <c r="B890" s="18">
        <v>2023</v>
      </c>
      <c r="C890" s="4">
        <v>1</v>
      </c>
      <c r="D890" t="s">
        <v>58</v>
      </c>
      <c r="E890" s="19">
        <v>51.3</v>
      </c>
      <c r="F890" s="19">
        <v>102.71</v>
      </c>
      <c r="G890" s="3"/>
      <c r="H890" s="3"/>
      <c r="I890" s="3"/>
      <c r="J890" s="40">
        <v>5.75</v>
      </c>
      <c r="K890" s="43">
        <v>15295</v>
      </c>
      <c r="L890" s="24">
        <v>82.5</v>
      </c>
      <c r="M890" s="42">
        <v>99.3</v>
      </c>
    </row>
    <row r="891" spans="1:13" x14ac:dyDescent="0.75">
      <c r="A891" t="s">
        <v>39</v>
      </c>
      <c r="B891" s="18">
        <v>2023</v>
      </c>
      <c r="C891" s="4">
        <v>2</v>
      </c>
      <c r="D891" t="s">
        <v>58</v>
      </c>
      <c r="E891" s="19">
        <v>51.2</v>
      </c>
      <c r="F891" s="19">
        <v>102.53</v>
      </c>
      <c r="G891" s="3"/>
      <c r="H891" s="3"/>
      <c r="I891" s="3"/>
      <c r="J891" s="40">
        <v>5.75</v>
      </c>
      <c r="K891" s="43">
        <v>15126</v>
      </c>
      <c r="L891" s="24">
        <v>82.6</v>
      </c>
      <c r="M891" s="42">
        <v>99.6</v>
      </c>
    </row>
    <row r="892" spans="1:13" x14ac:dyDescent="0.75">
      <c r="A892" t="s">
        <v>39</v>
      </c>
      <c r="B892" s="18">
        <v>2023</v>
      </c>
      <c r="C892" s="4">
        <v>3</v>
      </c>
      <c r="D892" t="s">
        <v>58</v>
      </c>
      <c r="E892" s="19">
        <v>51.9</v>
      </c>
      <c r="F892" s="19">
        <v>103.18</v>
      </c>
      <c r="G892" s="3"/>
      <c r="H892" s="3"/>
      <c r="I892" s="3"/>
      <c r="J892" s="40">
        <v>5.75</v>
      </c>
      <c r="K892" s="43">
        <v>15301</v>
      </c>
      <c r="L892" s="24">
        <v>78.400000000000006</v>
      </c>
      <c r="M892" s="42">
        <v>99.9</v>
      </c>
    </row>
    <row r="893" spans="1:13" x14ac:dyDescent="0.75">
      <c r="A893" t="s">
        <v>39</v>
      </c>
      <c r="B893" s="18">
        <v>2023</v>
      </c>
      <c r="C893" s="4">
        <v>4</v>
      </c>
      <c r="D893" t="s">
        <v>58</v>
      </c>
      <c r="E893" s="19">
        <v>52.7</v>
      </c>
      <c r="F893" s="19">
        <v>104.15</v>
      </c>
      <c r="G893" s="3"/>
      <c r="H893" s="3"/>
      <c r="I893" s="3"/>
      <c r="J893" s="40">
        <v>5.75</v>
      </c>
      <c r="K893" s="43">
        <v>14867</v>
      </c>
      <c r="L893" s="24">
        <v>84.6</v>
      </c>
      <c r="M893" s="42">
        <v>100</v>
      </c>
    </row>
    <row r="894" spans="1:13" x14ac:dyDescent="0.75">
      <c r="A894" t="s">
        <v>39</v>
      </c>
      <c r="B894" s="18">
        <v>2023</v>
      </c>
      <c r="C894" s="4">
        <v>5</v>
      </c>
      <c r="D894" t="s">
        <v>58</v>
      </c>
      <c r="E894" s="19">
        <v>50.3</v>
      </c>
      <c r="F894" s="19">
        <v>104.61</v>
      </c>
      <c r="G894" s="3"/>
      <c r="H894" s="3"/>
      <c r="I894" s="3"/>
      <c r="J894" s="40">
        <v>5.75</v>
      </c>
      <c r="K894" s="43">
        <v>14811</v>
      </c>
      <c r="L894" s="24">
        <v>75.5</v>
      </c>
      <c r="M894" s="42">
        <v>100.2</v>
      </c>
    </row>
    <row r="895" spans="1:13" x14ac:dyDescent="0.75">
      <c r="A895" t="s">
        <v>39</v>
      </c>
      <c r="B895" s="18">
        <v>2023</v>
      </c>
      <c r="C895" s="4">
        <v>6</v>
      </c>
      <c r="D895" t="s">
        <v>58</v>
      </c>
      <c r="E895" s="33">
        <v>52.5</v>
      </c>
      <c r="F895" s="19">
        <v>105.43</v>
      </c>
      <c r="G895" s="3"/>
      <c r="H895" s="3"/>
      <c r="I895" s="3"/>
      <c r="J895" s="40">
        <v>5.75</v>
      </c>
      <c r="K895" s="43">
        <v>14932</v>
      </c>
      <c r="L895" s="24">
        <v>74.8</v>
      </c>
      <c r="M895" s="42">
        <v>100.3</v>
      </c>
    </row>
    <row r="896" spans="1:13" x14ac:dyDescent="0.75">
      <c r="A896" t="s">
        <v>39</v>
      </c>
      <c r="B896" s="18">
        <v>2023</v>
      </c>
      <c r="C896" s="4">
        <v>7</v>
      </c>
      <c r="D896" t="s">
        <v>58</v>
      </c>
      <c r="E896" s="33">
        <v>53.3</v>
      </c>
      <c r="F896" s="19">
        <v>105.79</v>
      </c>
      <c r="G896" s="3"/>
      <c r="H896" s="3"/>
      <c r="I896" s="3"/>
      <c r="J896" s="40">
        <v>5.75</v>
      </c>
      <c r="K896" s="43">
        <v>15040</v>
      </c>
      <c r="L896" s="24">
        <v>80.099999999999994</v>
      </c>
      <c r="M896" s="42">
        <v>100.5</v>
      </c>
    </row>
    <row r="897" spans="1:13" x14ac:dyDescent="0.75">
      <c r="A897" t="s">
        <v>39</v>
      </c>
      <c r="B897" s="18">
        <v>2023</v>
      </c>
      <c r="C897" s="4">
        <v>8</v>
      </c>
      <c r="D897" t="s">
        <v>58</v>
      </c>
      <c r="E897" s="33">
        <v>53.9</v>
      </c>
      <c r="F897" s="19">
        <v>105.97</v>
      </c>
      <c r="G897" s="3"/>
      <c r="H897" s="3"/>
      <c r="I897" s="3"/>
      <c r="J897" s="40">
        <v>5.75</v>
      </c>
      <c r="K897" s="43">
        <v>15245</v>
      </c>
      <c r="L897" s="24">
        <v>86.1</v>
      </c>
      <c r="M897" s="42">
        <v>100.5</v>
      </c>
    </row>
    <row r="898" spans="1:13" x14ac:dyDescent="0.75">
      <c r="A898" t="s">
        <v>39</v>
      </c>
      <c r="B898" s="18">
        <v>2023</v>
      </c>
      <c r="C898" s="4">
        <v>9</v>
      </c>
      <c r="D898" t="s">
        <v>58</v>
      </c>
      <c r="E898" s="33">
        <v>52.3</v>
      </c>
      <c r="F898" s="19">
        <v>105.41</v>
      </c>
      <c r="G898" s="3"/>
      <c r="H898" s="3"/>
      <c r="I898" s="3"/>
      <c r="J898" s="40">
        <v>5.75</v>
      </c>
      <c r="K898" s="43">
        <v>15354</v>
      </c>
      <c r="L898" s="24" t="s">
        <v>64</v>
      </c>
      <c r="M898" s="42">
        <v>100.9</v>
      </c>
    </row>
    <row r="899" spans="1:13" x14ac:dyDescent="0.75">
      <c r="A899" t="s">
        <v>39</v>
      </c>
      <c r="B899" s="18">
        <v>2023</v>
      </c>
      <c r="C899" s="4">
        <v>10</v>
      </c>
      <c r="D899" t="s">
        <v>58</v>
      </c>
      <c r="E899" s="33">
        <v>51.5</v>
      </c>
      <c r="F899" s="19">
        <v>105.56</v>
      </c>
      <c r="G899" s="3"/>
      <c r="H899" s="3"/>
      <c r="I899" s="3"/>
      <c r="J899" s="40">
        <v>6</v>
      </c>
      <c r="K899" s="43">
        <v>15741</v>
      </c>
      <c r="L899" s="24">
        <v>90.6</v>
      </c>
      <c r="M899" s="42">
        <v>101.2</v>
      </c>
    </row>
    <row r="900" spans="1:13" x14ac:dyDescent="0.75">
      <c r="A900" t="s">
        <v>39</v>
      </c>
      <c r="B900" s="18">
        <v>2023</v>
      </c>
      <c r="C900" s="4">
        <v>11</v>
      </c>
      <c r="D900" t="s">
        <v>58</v>
      </c>
      <c r="E900" s="33">
        <v>51.7</v>
      </c>
      <c r="F900" s="19">
        <v>105.79</v>
      </c>
      <c r="G900" s="3"/>
      <c r="H900" s="3"/>
      <c r="I900" s="3"/>
      <c r="J900" s="40">
        <v>6</v>
      </c>
      <c r="K900" s="43">
        <v>15617</v>
      </c>
      <c r="L900" s="24">
        <v>82.9</v>
      </c>
      <c r="M900" s="42">
        <v>101.4</v>
      </c>
    </row>
    <row r="901" spans="1:13" x14ac:dyDescent="0.75">
      <c r="A901" t="s">
        <v>39</v>
      </c>
      <c r="B901" s="18">
        <v>2023</v>
      </c>
      <c r="C901" s="4">
        <v>12</v>
      </c>
      <c r="D901" t="s">
        <v>58</v>
      </c>
      <c r="E901" s="33">
        <v>52.2</v>
      </c>
      <c r="F901" s="19">
        <v>107.14</v>
      </c>
      <c r="G901" s="3"/>
      <c r="H901" s="3"/>
      <c r="I901" s="3"/>
      <c r="J901" s="40">
        <v>6</v>
      </c>
      <c r="K901" s="43">
        <v>15513</v>
      </c>
      <c r="L901" s="24">
        <v>77.599999999999994</v>
      </c>
      <c r="M901" s="42">
        <v>101.8</v>
      </c>
    </row>
    <row r="902" spans="1:13" x14ac:dyDescent="0.75">
      <c r="A902" t="s">
        <v>40</v>
      </c>
      <c r="B902" s="18">
        <v>2023</v>
      </c>
      <c r="C902" s="4">
        <v>1</v>
      </c>
      <c r="D902" t="s">
        <v>58</v>
      </c>
      <c r="E902" s="19">
        <v>51.3</v>
      </c>
      <c r="F902" s="19">
        <v>103.13</v>
      </c>
      <c r="G902" s="3"/>
      <c r="H902" s="3"/>
      <c r="I902" s="3"/>
      <c r="J902" s="40">
        <v>5.75</v>
      </c>
      <c r="K902" s="43">
        <v>15295</v>
      </c>
      <c r="L902" s="24">
        <v>82.5</v>
      </c>
      <c r="M902" s="42">
        <v>99.3</v>
      </c>
    </row>
    <row r="903" spans="1:13" x14ac:dyDescent="0.75">
      <c r="A903" t="s">
        <v>40</v>
      </c>
      <c r="B903" s="18">
        <v>2023</v>
      </c>
      <c r="C903" s="4">
        <v>2</v>
      </c>
      <c r="D903" t="s">
        <v>58</v>
      </c>
      <c r="E903" s="19">
        <v>51.2</v>
      </c>
      <c r="F903" s="19">
        <v>103.67</v>
      </c>
      <c r="G903" s="3"/>
      <c r="H903" s="3"/>
      <c r="I903" s="3"/>
      <c r="J903" s="40">
        <v>5.75</v>
      </c>
      <c r="K903" s="43">
        <v>15126</v>
      </c>
      <c r="L903" s="24">
        <v>82.6</v>
      </c>
      <c r="M903" s="42">
        <v>99.6</v>
      </c>
    </row>
    <row r="904" spans="1:13" x14ac:dyDescent="0.75">
      <c r="A904" t="s">
        <v>40</v>
      </c>
      <c r="B904" s="18">
        <v>2023</v>
      </c>
      <c r="C904" s="4">
        <v>3</v>
      </c>
      <c r="D904" t="s">
        <v>58</v>
      </c>
      <c r="E904" s="19">
        <v>51.9</v>
      </c>
      <c r="F904" s="19">
        <v>104.2</v>
      </c>
      <c r="G904" s="3"/>
      <c r="H904" s="3"/>
      <c r="I904" s="3"/>
      <c r="J904" s="40">
        <v>5.75</v>
      </c>
      <c r="K904" s="43">
        <v>15301</v>
      </c>
      <c r="L904" s="24">
        <v>78.400000000000006</v>
      </c>
      <c r="M904" s="42">
        <v>99.9</v>
      </c>
    </row>
    <row r="905" spans="1:13" x14ac:dyDescent="0.75">
      <c r="A905" t="s">
        <v>40</v>
      </c>
      <c r="B905" s="18">
        <v>2023</v>
      </c>
      <c r="C905" s="4">
        <v>4</v>
      </c>
      <c r="D905" t="s">
        <v>58</v>
      </c>
      <c r="E905" s="19">
        <v>52.7</v>
      </c>
      <c r="F905" s="19">
        <v>104.96</v>
      </c>
      <c r="G905" s="3"/>
      <c r="H905" s="3"/>
      <c r="I905" s="3"/>
      <c r="J905" s="40">
        <v>5.75</v>
      </c>
      <c r="K905" s="43">
        <v>14867</v>
      </c>
      <c r="L905" s="24">
        <v>84.6</v>
      </c>
      <c r="M905" s="42">
        <v>100</v>
      </c>
    </row>
    <row r="906" spans="1:13" x14ac:dyDescent="0.75">
      <c r="A906" t="s">
        <v>40</v>
      </c>
      <c r="B906" s="18">
        <v>2023</v>
      </c>
      <c r="C906" s="4">
        <v>5</v>
      </c>
      <c r="D906" t="s">
        <v>58</v>
      </c>
      <c r="E906" s="19">
        <v>50.3</v>
      </c>
      <c r="F906" s="19">
        <v>105.23</v>
      </c>
      <c r="G906" s="3"/>
      <c r="H906" s="3"/>
      <c r="I906" s="3"/>
      <c r="J906" s="40">
        <v>5.75</v>
      </c>
      <c r="K906" s="43">
        <v>14811</v>
      </c>
      <c r="L906" s="24">
        <v>75.5</v>
      </c>
      <c r="M906" s="42">
        <v>100.2</v>
      </c>
    </row>
    <row r="907" spans="1:13" x14ac:dyDescent="0.75">
      <c r="A907" t="s">
        <v>40</v>
      </c>
      <c r="B907" s="18">
        <v>2023</v>
      </c>
      <c r="C907" s="4">
        <v>6</v>
      </c>
      <c r="D907" t="s">
        <v>58</v>
      </c>
      <c r="E907" s="33">
        <v>52.5</v>
      </c>
      <c r="F907" s="19">
        <v>105.34</v>
      </c>
      <c r="G907" s="3"/>
      <c r="H907" s="3"/>
      <c r="I907" s="3"/>
      <c r="J907" s="40">
        <v>5.75</v>
      </c>
      <c r="K907" s="43">
        <v>14932</v>
      </c>
      <c r="L907" s="24">
        <v>74.8</v>
      </c>
      <c r="M907" s="42">
        <v>100.3</v>
      </c>
    </row>
    <row r="908" spans="1:13" x14ac:dyDescent="0.75">
      <c r="A908" t="s">
        <v>40</v>
      </c>
      <c r="B908" s="18">
        <v>2023</v>
      </c>
      <c r="C908" s="4">
        <v>7</v>
      </c>
      <c r="D908" t="s">
        <v>58</v>
      </c>
      <c r="E908" s="33">
        <v>53.3</v>
      </c>
      <c r="F908" s="19">
        <v>105.43</v>
      </c>
      <c r="G908" s="3"/>
      <c r="H908" s="3"/>
      <c r="I908" s="3"/>
      <c r="J908" s="40">
        <v>5.75</v>
      </c>
      <c r="K908" s="43">
        <v>15040</v>
      </c>
      <c r="L908" s="24">
        <v>80.099999999999994</v>
      </c>
      <c r="M908" s="42">
        <v>100.5</v>
      </c>
    </row>
    <row r="909" spans="1:13" x14ac:dyDescent="0.75">
      <c r="A909" t="s">
        <v>40</v>
      </c>
      <c r="B909" s="18">
        <v>2023</v>
      </c>
      <c r="C909" s="4">
        <v>8</v>
      </c>
      <c r="D909" t="s">
        <v>58</v>
      </c>
      <c r="E909" s="33">
        <v>53.9</v>
      </c>
      <c r="F909" s="19">
        <v>105.45</v>
      </c>
      <c r="G909" s="3"/>
      <c r="H909" s="3"/>
      <c r="I909" s="3"/>
      <c r="J909" s="40">
        <v>5.75</v>
      </c>
      <c r="K909" s="43">
        <v>15245</v>
      </c>
      <c r="L909" s="24">
        <v>86.1</v>
      </c>
      <c r="M909" s="42">
        <v>100.5</v>
      </c>
    </row>
    <row r="910" spans="1:13" x14ac:dyDescent="0.75">
      <c r="A910" t="s">
        <v>40</v>
      </c>
      <c r="B910" s="18">
        <v>2023</v>
      </c>
      <c r="C910" s="4">
        <v>9</v>
      </c>
      <c r="D910" t="s">
        <v>58</v>
      </c>
      <c r="E910" s="33">
        <v>52.3</v>
      </c>
      <c r="F910" s="19">
        <v>105.74</v>
      </c>
      <c r="G910" s="3"/>
      <c r="H910" s="3"/>
      <c r="I910" s="3"/>
      <c r="J910" s="40">
        <v>5.75</v>
      </c>
      <c r="K910" s="43">
        <v>15354</v>
      </c>
      <c r="L910" s="24" t="s">
        <v>64</v>
      </c>
      <c r="M910" s="42">
        <v>100.9</v>
      </c>
    </row>
    <row r="911" spans="1:13" x14ac:dyDescent="0.75">
      <c r="A911" t="s">
        <v>40</v>
      </c>
      <c r="B911" s="18">
        <v>2023</v>
      </c>
      <c r="C911" s="4">
        <v>10</v>
      </c>
      <c r="D911" t="s">
        <v>58</v>
      </c>
      <c r="E911" s="33">
        <v>51.5</v>
      </c>
      <c r="F911" s="19">
        <v>106.32</v>
      </c>
      <c r="G911" s="3"/>
      <c r="H911" s="3"/>
      <c r="I911" s="3"/>
      <c r="J911" s="40">
        <v>6</v>
      </c>
      <c r="K911" s="43">
        <v>15741</v>
      </c>
      <c r="L911" s="24">
        <v>90.6</v>
      </c>
      <c r="M911" s="42">
        <v>101.2</v>
      </c>
    </row>
    <row r="912" spans="1:13" x14ac:dyDescent="0.75">
      <c r="A912" t="s">
        <v>40</v>
      </c>
      <c r="B912" s="18">
        <v>2023</v>
      </c>
      <c r="C912" s="4">
        <v>11</v>
      </c>
      <c r="D912" t="s">
        <v>58</v>
      </c>
      <c r="E912" s="33">
        <v>51.7</v>
      </c>
      <c r="F912" s="19">
        <v>105.42</v>
      </c>
      <c r="G912" s="3"/>
      <c r="H912" s="3"/>
      <c r="I912" s="3"/>
      <c r="J912" s="40">
        <v>6</v>
      </c>
      <c r="K912" s="43">
        <v>15617</v>
      </c>
      <c r="L912" s="24">
        <v>82.9</v>
      </c>
      <c r="M912" s="42">
        <v>101.4</v>
      </c>
    </row>
    <row r="913" spans="1:13" x14ac:dyDescent="0.75">
      <c r="A913" t="s">
        <v>40</v>
      </c>
      <c r="B913" s="18">
        <v>2023</v>
      </c>
      <c r="C913" s="4">
        <v>12</v>
      </c>
      <c r="D913" t="s">
        <v>58</v>
      </c>
      <c r="E913" s="33">
        <v>52.2</v>
      </c>
      <c r="F913" s="19">
        <v>106.11</v>
      </c>
      <c r="G913" s="3"/>
      <c r="H913" s="3"/>
      <c r="I913" s="3"/>
      <c r="J913" s="40">
        <v>6</v>
      </c>
      <c r="K913" s="43">
        <v>15513</v>
      </c>
      <c r="L913" s="24">
        <v>77.599999999999994</v>
      </c>
      <c r="M913" s="42">
        <v>101.8</v>
      </c>
    </row>
    <row r="914" spans="1:13" x14ac:dyDescent="0.75">
      <c r="A914" t="s">
        <v>3</v>
      </c>
      <c r="B914" s="18">
        <v>2024</v>
      </c>
      <c r="C914" s="4">
        <v>1</v>
      </c>
      <c r="D914">
        <v>0</v>
      </c>
      <c r="E914" s="33">
        <v>52.9</v>
      </c>
      <c r="F914" s="19">
        <v>105.37</v>
      </c>
      <c r="G914" s="19">
        <v>35.15</v>
      </c>
      <c r="H914">
        <v>7.43</v>
      </c>
      <c r="I914" s="19">
        <v>627.62699999999995</v>
      </c>
      <c r="J914" s="40">
        <v>6</v>
      </c>
      <c r="K914" s="41">
        <v>15611</v>
      </c>
      <c r="L914" s="24">
        <v>80.099999999999994</v>
      </c>
      <c r="M914" s="33">
        <v>102.1</v>
      </c>
    </row>
    <row r="915" spans="1:13" x14ac:dyDescent="0.75">
      <c r="A915" t="s">
        <v>3</v>
      </c>
      <c r="B915" s="18">
        <v>2024</v>
      </c>
      <c r="C915" s="4">
        <v>2</v>
      </c>
      <c r="D915">
        <v>0</v>
      </c>
      <c r="E915" s="33">
        <v>52.7</v>
      </c>
      <c r="F915" s="19">
        <v>106.12</v>
      </c>
      <c r="G915" s="19">
        <v>57.77</v>
      </c>
      <c r="H915">
        <v>34.07</v>
      </c>
      <c r="I915" s="19">
        <v>635.61699999999996</v>
      </c>
      <c r="J915" s="40">
        <v>6</v>
      </c>
      <c r="K915" s="41">
        <v>15665</v>
      </c>
      <c r="L915" s="24">
        <v>83.5</v>
      </c>
      <c r="M915" s="33">
        <v>103</v>
      </c>
    </row>
    <row r="916" spans="1:13" x14ac:dyDescent="0.75">
      <c r="A916" t="s">
        <v>3</v>
      </c>
      <c r="B916" s="18">
        <v>2024</v>
      </c>
      <c r="C916" s="4">
        <v>3</v>
      </c>
      <c r="D916">
        <v>133</v>
      </c>
      <c r="E916" s="33">
        <v>54.2</v>
      </c>
      <c r="F916" s="19">
        <v>106.63</v>
      </c>
      <c r="G916" s="19">
        <v>51.74</v>
      </c>
      <c r="H916">
        <v>16.47</v>
      </c>
      <c r="I916" s="19">
        <v>656.37199999999996</v>
      </c>
      <c r="J916" s="40">
        <v>6</v>
      </c>
      <c r="K916" s="41">
        <v>15703</v>
      </c>
      <c r="L916" s="24">
        <v>85.4</v>
      </c>
      <c r="M916" s="33">
        <v>103.5</v>
      </c>
    </row>
    <row r="917" spans="1:13" x14ac:dyDescent="0.75">
      <c r="A917" t="s">
        <v>3</v>
      </c>
      <c r="B917" s="18">
        <v>2024</v>
      </c>
      <c r="C917" s="4">
        <v>4</v>
      </c>
      <c r="D917">
        <v>181</v>
      </c>
      <c r="E917" s="33">
        <v>52.9</v>
      </c>
      <c r="F917" s="19">
        <v>106.68</v>
      </c>
      <c r="G917" s="19">
        <v>58.31</v>
      </c>
      <c r="H917">
        <v>49.81</v>
      </c>
      <c r="I917" s="19">
        <v>689.76599999999996</v>
      </c>
      <c r="J917" s="40">
        <v>6.25</v>
      </c>
      <c r="K917" s="41">
        <v>16100</v>
      </c>
      <c r="L917" s="24">
        <v>89.9</v>
      </c>
      <c r="M917" s="33">
        <v>103.4</v>
      </c>
    </row>
    <row r="918" spans="1:13" x14ac:dyDescent="0.75">
      <c r="A918" t="s">
        <v>3</v>
      </c>
      <c r="B918" s="18">
        <v>2024</v>
      </c>
      <c r="C918" s="4">
        <v>5</v>
      </c>
      <c r="D918">
        <v>198</v>
      </c>
      <c r="E918" s="33">
        <v>52.1</v>
      </c>
      <c r="F918" s="19">
        <v>106.84</v>
      </c>
      <c r="G918" s="19">
        <v>41.02</v>
      </c>
      <c r="H918">
        <v>37.82</v>
      </c>
      <c r="I918" s="19">
        <v>678.92</v>
      </c>
      <c r="J918" s="40">
        <v>6.25</v>
      </c>
      <c r="K918" s="41">
        <v>16084</v>
      </c>
      <c r="L918" s="24">
        <v>81.7</v>
      </c>
      <c r="M918" s="19">
        <v>103.3</v>
      </c>
    </row>
    <row r="919" spans="1:13" x14ac:dyDescent="0.75">
      <c r="A919" t="s">
        <v>3</v>
      </c>
      <c r="B919" s="18">
        <v>2024</v>
      </c>
      <c r="C919" s="4">
        <v>6</v>
      </c>
      <c r="D919">
        <v>203</v>
      </c>
      <c r="E919" s="33">
        <v>50.7</v>
      </c>
      <c r="F919" s="19">
        <v>106.87</v>
      </c>
      <c r="G919" s="19">
        <v>71.7</v>
      </c>
      <c r="H919">
        <v>41.59</v>
      </c>
      <c r="I919" s="19">
        <v>657.75300000000004</v>
      </c>
      <c r="J919" s="40">
        <v>6.25</v>
      </c>
      <c r="K919" s="41">
        <v>16329</v>
      </c>
      <c r="L919" s="24">
        <v>82.2</v>
      </c>
      <c r="M919" s="19">
        <v>103.3</v>
      </c>
    </row>
    <row r="920" spans="1:13" x14ac:dyDescent="0.75">
      <c r="A920" t="s">
        <v>3</v>
      </c>
      <c r="B920" s="18">
        <v>2024</v>
      </c>
      <c r="C920" s="4">
        <v>7</v>
      </c>
      <c r="D920">
        <v>225</v>
      </c>
      <c r="E920" s="33">
        <v>49.3</v>
      </c>
      <c r="F920" s="19">
        <v>106.75</v>
      </c>
      <c r="G920" s="19">
        <v>70.290000000000006</v>
      </c>
      <c r="H920">
        <v>55.11</v>
      </c>
      <c r="I920" s="19">
        <v>670.63800000000003</v>
      </c>
      <c r="J920" s="40">
        <v>6.25</v>
      </c>
      <c r="K920" s="41">
        <v>16262</v>
      </c>
      <c r="L920" s="24">
        <v>85.2</v>
      </c>
      <c r="M920" s="19">
        <v>103.2</v>
      </c>
    </row>
    <row r="921" spans="1:13" x14ac:dyDescent="0.75">
      <c r="A921" t="s">
        <v>3</v>
      </c>
      <c r="B921" s="18">
        <v>2024</v>
      </c>
      <c r="C921" s="4">
        <v>8</v>
      </c>
      <c r="D921">
        <v>228</v>
      </c>
      <c r="E921" s="33">
        <v>48.9</v>
      </c>
      <c r="F921" s="19">
        <v>106.86</v>
      </c>
      <c r="G921" s="19">
        <v>59.29</v>
      </c>
      <c r="H921">
        <v>23.14</v>
      </c>
      <c r="I921" s="19">
        <v>696.88499999999999</v>
      </c>
      <c r="J921" s="40">
        <v>6.25</v>
      </c>
      <c r="K921" s="41">
        <v>15793</v>
      </c>
      <c r="L921" s="24">
        <v>80.400000000000006</v>
      </c>
      <c r="M921" s="19">
        <v>103.1</v>
      </c>
    </row>
    <row r="922" spans="1:13" x14ac:dyDescent="0.75">
      <c r="A922" t="s">
        <v>3</v>
      </c>
      <c r="B922" s="18">
        <v>2024</v>
      </c>
      <c r="C922" s="4">
        <v>9</v>
      </c>
      <c r="D922">
        <v>311</v>
      </c>
      <c r="E922" s="33">
        <v>49.2</v>
      </c>
      <c r="F922" s="19">
        <v>106.3</v>
      </c>
      <c r="G922" s="19">
        <v>58.25</v>
      </c>
      <c r="H922">
        <v>46.09</v>
      </c>
      <c r="I922" s="19">
        <v>697.43799999999999</v>
      </c>
      <c r="J922" s="40">
        <v>6</v>
      </c>
      <c r="K922" s="41">
        <v>15341</v>
      </c>
      <c r="L922" s="24">
        <v>74</v>
      </c>
      <c r="M922" s="19">
        <v>102.9</v>
      </c>
    </row>
    <row r="923" spans="1:13" x14ac:dyDescent="0.75">
      <c r="A923" t="s">
        <v>3</v>
      </c>
      <c r="B923" s="18">
        <v>2024</v>
      </c>
      <c r="C923" s="4">
        <v>10</v>
      </c>
      <c r="D923">
        <v>465</v>
      </c>
      <c r="E923" s="33">
        <v>49.2</v>
      </c>
      <c r="F923" s="19">
        <v>106.21</v>
      </c>
      <c r="G923" s="19">
        <v>61.14</v>
      </c>
      <c r="H923">
        <v>63.18</v>
      </c>
      <c r="I923" s="19">
        <v>750.51099999999997</v>
      </c>
      <c r="J923" s="40">
        <v>6</v>
      </c>
      <c r="K923" s="41">
        <v>15541</v>
      </c>
      <c r="L923" s="24">
        <v>75.599999999999994</v>
      </c>
      <c r="M923" s="19">
        <v>102.8</v>
      </c>
    </row>
    <row r="924" spans="1:13" x14ac:dyDescent="0.75">
      <c r="A924" t="s">
        <v>3</v>
      </c>
      <c r="B924" s="18">
        <v>2024</v>
      </c>
      <c r="C924" s="4">
        <v>11</v>
      </c>
      <c r="D924">
        <v>481</v>
      </c>
      <c r="E924" s="33">
        <v>49.6</v>
      </c>
      <c r="F924" s="19">
        <v>106.6</v>
      </c>
      <c r="G924" s="19">
        <v>56.41</v>
      </c>
      <c r="H924">
        <v>80.89</v>
      </c>
      <c r="I924" s="19">
        <v>776.93799999999999</v>
      </c>
      <c r="J924" s="40">
        <v>6</v>
      </c>
      <c r="K924" s="41">
        <v>15812</v>
      </c>
      <c r="L924" s="24">
        <v>74.3</v>
      </c>
      <c r="M924" s="19">
        <v>103</v>
      </c>
    </row>
    <row r="925" spans="1:13" x14ac:dyDescent="0.75">
      <c r="A925" t="s">
        <v>3</v>
      </c>
      <c r="B925" s="18">
        <v>2024</v>
      </c>
      <c r="C925" s="4">
        <v>12</v>
      </c>
      <c r="D925">
        <v>486</v>
      </c>
      <c r="E925" s="33">
        <v>51.2</v>
      </c>
      <c r="F925" s="19">
        <v>107.21</v>
      </c>
      <c r="G925" s="19">
        <v>71.19</v>
      </c>
      <c r="H925">
        <v>14.16</v>
      </c>
      <c r="I925" s="19">
        <v>787.20899999999995</v>
      </c>
      <c r="J925" s="40">
        <v>6</v>
      </c>
      <c r="K925" s="41">
        <v>16024</v>
      </c>
      <c r="L925" s="24">
        <v>73.900000000000006</v>
      </c>
      <c r="M925" s="19">
        <v>103.4</v>
      </c>
    </row>
    <row r="926" spans="1:13" x14ac:dyDescent="0.75">
      <c r="A926" t="s">
        <v>4</v>
      </c>
      <c r="B926" s="18">
        <v>2024</v>
      </c>
      <c r="C926" s="4">
        <v>1</v>
      </c>
      <c r="D926">
        <v>0</v>
      </c>
      <c r="E926" s="33">
        <v>52.9</v>
      </c>
      <c r="F926" s="29">
        <v>105.44</v>
      </c>
      <c r="G926" s="19">
        <v>718.1</v>
      </c>
      <c r="H926" s="18">
        <v>449.4</v>
      </c>
      <c r="I926" s="19">
        <v>5014.1109999999999</v>
      </c>
      <c r="J926" s="40">
        <v>6</v>
      </c>
      <c r="K926" s="41">
        <v>15611</v>
      </c>
      <c r="L926" s="24">
        <v>80.099999999999994</v>
      </c>
      <c r="M926" s="33">
        <v>102.1</v>
      </c>
    </row>
    <row r="927" spans="1:13" x14ac:dyDescent="0.75">
      <c r="A927" t="s">
        <v>4</v>
      </c>
      <c r="B927" s="18">
        <v>2024</v>
      </c>
      <c r="C927" s="4">
        <v>2</v>
      </c>
      <c r="D927">
        <v>0</v>
      </c>
      <c r="E927" s="33">
        <v>52.7</v>
      </c>
      <c r="F927" s="29">
        <v>105.87</v>
      </c>
      <c r="G927" s="19">
        <v>731.28</v>
      </c>
      <c r="H927" s="18">
        <v>454.39</v>
      </c>
      <c r="I927" s="19">
        <v>5115.0950000000003</v>
      </c>
      <c r="J927" s="40">
        <v>6</v>
      </c>
      <c r="K927" s="41">
        <v>15665</v>
      </c>
      <c r="L927" s="24">
        <v>83.5</v>
      </c>
      <c r="M927" s="33">
        <v>103</v>
      </c>
    </row>
    <row r="928" spans="1:13" x14ac:dyDescent="0.75">
      <c r="A928" t="s">
        <v>4</v>
      </c>
      <c r="B928" s="18">
        <v>2024</v>
      </c>
      <c r="C928" s="4">
        <v>3</v>
      </c>
      <c r="D928">
        <v>508</v>
      </c>
      <c r="E928" s="33">
        <v>54.2</v>
      </c>
      <c r="F928" s="29">
        <v>106.63</v>
      </c>
      <c r="G928" s="19">
        <v>861.44</v>
      </c>
      <c r="H928" s="18">
        <v>456.8</v>
      </c>
      <c r="I928" s="19">
        <v>5143.8040000000001</v>
      </c>
      <c r="J928" s="40">
        <v>6</v>
      </c>
      <c r="K928" s="41">
        <v>15703</v>
      </c>
      <c r="L928" s="24">
        <v>85.4</v>
      </c>
      <c r="M928" s="33">
        <v>103.5</v>
      </c>
    </row>
    <row r="929" spans="1:13" x14ac:dyDescent="0.75">
      <c r="A929" t="s">
        <v>4</v>
      </c>
      <c r="B929" s="18">
        <v>2024</v>
      </c>
      <c r="C929" s="4">
        <v>4</v>
      </c>
      <c r="D929">
        <v>508</v>
      </c>
      <c r="E929" s="33">
        <v>52.9</v>
      </c>
      <c r="F929" s="29">
        <v>106.59</v>
      </c>
      <c r="G929" s="19">
        <v>714.65</v>
      </c>
      <c r="H929" s="18">
        <v>434.26</v>
      </c>
      <c r="I929" s="19">
        <v>5394.2950000000001</v>
      </c>
      <c r="J929" s="40">
        <v>6.25</v>
      </c>
      <c r="K929" s="41">
        <v>16100</v>
      </c>
      <c r="L929" s="24">
        <v>89.9</v>
      </c>
      <c r="M929" s="33">
        <v>103.4</v>
      </c>
    </row>
    <row r="930" spans="1:13" x14ac:dyDescent="0.75">
      <c r="A930" t="s">
        <v>4</v>
      </c>
      <c r="B930" s="18">
        <v>2024</v>
      </c>
      <c r="C930" s="4">
        <v>5</v>
      </c>
      <c r="D930">
        <v>535</v>
      </c>
      <c r="E930" s="33">
        <v>52.1</v>
      </c>
      <c r="F930" s="29">
        <v>107.1</v>
      </c>
      <c r="G930" s="19">
        <v>858.23</v>
      </c>
      <c r="H930" s="18">
        <v>501.66</v>
      </c>
      <c r="I930" s="19">
        <v>5456.6540000000005</v>
      </c>
      <c r="J930" s="40">
        <v>6.25</v>
      </c>
      <c r="K930" s="41">
        <v>16084</v>
      </c>
      <c r="L930" s="24">
        <v>81.7</v>
      </c>
      <c r="M930" s="19">
        <v>103.3</v>
      </c>
    </row>
    <row r="931" spans="1:13" x14ac:dyDescent="0.75">
      <c r="A931" t="s">
        <v>4</v>
      </c>
      <c r="B931" s="18">
        <v>2024</v>
      </c>
      <c r="C931" s="4">
        <v>6</v>
      </c>
      <c r="D931">
        <v>539</v>
      </c>
      <c r="E931" s="33">
        <v>50.7</v>
      </c>
      <c r="F931" s="29">
        <v>106.75</v>
      </c>
      <c r="G931" s="19">
        <v>881.9</v>
      </c>
      <c r="H931" s="18">
        <v>456.2</v>
      </c>
      <c r="I931" s="19">
        <v>5299.2</v>
      </c>
      <c r="J931" s="40">
        <v>6.25</v>
      </c>
      <c r="K931" s="41">
        <v>16329</v>
      </c>
      <c r="L931" s="24">
        <v>82.2</v>
      </c>
      <c r="M931" s="19">
        <v>103.3</v>
      </c>
    </row>
    <row r="932" spans="1:13" x14ac:dyDescent="0.75">
      <c r="A932" t="s">
        <v>4</v>
      </c>
      <c r="B932" s="18">
        <v>2024</v>
      </c>
      <c r="C932" s="4">
        <v>7</v>
      </c>
      <c r="D932">
        <v>539</v>
      </c>
      <c r="E932" s="33">
        <v>49.3</v>
      </c>
      <c r="F932" s="29">
        <v>105.87</v>
      </c>
      <c r="G932" s="19">
        <v>959.31</v>
      </c>
      <c r="H932" s="18">
        <v>565.79</v>
      </c>
      <c r="I932" s="19">
        <v>5363.3580000000002</v>
      </c>
      <c r="J932" s="40">
        <v>6.25</v>
      </c>
      <c r="K932" s="41">
        <v>16262</v>
      </c>
      <c r="L932" s="24">
        <v>85.2</v>
      </c>
      <c r="M932" s="19">
        <v>103.2</v>
      </c>
    </row>
    <row r="933" spans="1:13" x14ac:dyDescent="0.75">
      <c r="A933" t="s">
        <v>4</v>
      </c>
      <c r="B933" s="18">
        <v>2024</v>
      </c>
      <c r="C933" s="4">
        <v>8</v>
      </c>
      <c r="D933">
        <v>539</v>
      </c>
      <c r="E933" s="33">
        <v>48.9</v>
      </c>
      <c r="F933" s="29">
        <v>105.72</v>
      </c>
      <c r="G933" s="19">
        <v>1014.26</v>
      </c>
      <c r="H933" s="18">
        <v>501.62</v>
      </c>
      <c r="I933" s="19">
        <v>5128.7780000000002</v>
      </c>
      <c r="J933" s="40">
        <v>6.25</v>
      </c>
      <c r="K933" s="41">
        <v>15793</v>
      </c>
      <c r="L933" s="24">
        <v>80.400000000000006</v>
      </c>
      <c r="M933" s="19">
        <v>103.1</v>
      </c>
    </row>
    <row r="934" spans="1:13" x14ac:dyDescent="0.75">
      <c r="A934" t="s">
        <v>4</v>
      </c>
      <c r="B934" s="18">
        <v>2024</v>
      </c>
      <c r="C934" s="4">
        <v>9</v>
      </c>
      <c r="D934">
        <v>539</v>
      </c>
      <c r="E934" s="33">
        <v>49.2</v>
      </c>
      <c r="F934" s="29">
        <v>105.5</v>
      </c>
      <c r="G934" s="19">
        <v>972.7</v>
      </c>
      <c r="H934" s="18">
        <v>456.45</v>
      </c>
      <c r="I934" s="19">
        <v>5048.9660000000003</v>
      </c>
      <c r="J934" s="40">
        <v>6</v>
      </c>
      <c r="K934" s="41">
        <v>15341</v>
      </c>
      <c r="L934" s="24">
        <v>74</v>
      </c>
      <c r="M934" s="19">
        <v>102.9</v>
      </c>
    </row>
    <row r="935" spans="1:13" x14ac:dyDescent="0.75">
      <c r="A935" t="s">
        <v>4</v>
      </c>
      <c r="B935" s="18">
        <v>2024</v>
      </c>
      <c r="C935" s="4">
        <v>10</v>
      </c>
      <c r="D935">
        <v>638</v>
      </c>
      <c r="E935" s="33">
        <v>49.2</v>
      </c>
      <c r="F935" s="29">
        <v>105.64</v>
      </c>
      <c r="G935" s="19">
        <v>1024.46</v>
      </c>
      <c r="H935" s="18">
        <v>523.87</v>
      </c>
      <c r="I935" s="19">
        <v>5069.3540000000003</v>
      </c>
      <c r="J935" s="40">
        <v>6</v>
      </c>
      <c r="K935" s="41">
        <v>15541</v>
      </c>
      <c r="L935" s="24">
        <v>75.599999999999994</v>
      </c>
      <c r="M935" s="19">
        <v>102.8</v>
      </c>
    </row>
    <row r="936" spans="1:13" x14ac:dyDescent="0.75">
      <c r="A936" t="s">
        <v>4</v>
      </c>
      <c r="B936" s="18">
        <v>2024</v>
      </c>
      <c r="C936" s="4">
        <v>11</v>
      </c>
      <c r="D936">
        <v>638</v>
      </c>
      <c r="E936" s="33">
        <v>49.6</v>
      </c>
      <c r="F936" s="29">
        <v>106.21</v>
      </c>
      <c r="G936" s="19">
        <v>939.87</v>
      </c>
      <c r="H936" s="18">
        <v>437.09</v>
      </c>
      <c r="I936" s="19">
        <v>5051.0889999999999</v>
      </c>
      <c r="J936" s="40">
        <v>6</v>
      </c>
      <c r="K936" s="41">
        <v>15812</v>
      </c>
      <c r="L936" s="24">
        <v>74.3</v>
      </c>
      <c r="M936" s="19">
        <v>103</v>
      </c>
    </row>
    <row r="937" spans="1:13" x14ac:dyDescent="0.75">
      <c r="A937" t="s">
        <v>4</v>
      </c>
      <c r="B937" s="18">
        <v>2024</v>
      </c>
      <c r="C937" s="4">
        <v>12</v>
      </c>
      <c r="D937">
        <v>761</v>
      </c>
      <c r="E937" s="33">
        <v>51.2</v>
      </c>
      <c r="F937" s="29">
        <v>107.25</v>
      </c>
      <c r="G937" s="19">
        <v>984.41</v>
      </c>
      <c r="H937" s="18">
        <v>557.67999999999995</v>
      </c>
      <c r="I937" s="19">
        <v>4579.0240000000003</v>
      </c>
      <c r="J937" s="40">
        <v>6</v>
      </c>
      <c r="K937" s="41">
        <v>16024</v>
      </c>
      <c r="L937" s="24">
        <v>73.900000000000006</v>
      </c>
      <c r="M937" s="19">
        <v>103.4</v>
      </c>
    </row>
    <row r="938" spans="1:13" x14ac:dyDescent="0.75">
      <c r="A938" t="s">
        <v>5</v>
      </c>
      <c r="B938" s="18">
        <v>2024</v>
      </c>
      <c r="C938" s="4">
        <v>1</v>
      </c>
      <c r="D938">
        <v>0</v>
      </c>
      <c r="E938" s="33">
        <v>52.9</v>
      </c>
      <c r="F938" s="29">
        <v>105.62</v>
      </c>
      <c r="G938" s="29">
        <v>133.79</v>
      </c>
      <c r="H938" s="4">
        <v>37.04</v>
      </c>
      <c r="I938" s="19">
        <v>1408.106</v>
      </c>
      <c r="J938" s="40">
        <v>6</v>
      </c>
      <c r="K938" s="41">
        <v>15611</v>
      </c>
      <c r="L938" s="24">
        <v>80.099999999999994</v>
      </c>
      <c r="M938" s="33">
        <v>102.1</v>
      </c>
    </row>
    <row r="939" spans="1:13" x14ac:dyDescent="0.75">
      <c r="A939" t="s">
        <v>5</v>
      </c>
      <c r="B939" s="18">
        <v>2024</v>
      </c>
      <c r="C939" s="4">
        <v>2</v>
      </c>
      <c r="D939">
        <v>1</v>
      </c>
      <c r="E939" s="33">
        <v>52.7</v>
      </c>
      <c r="F939" s="29">
        <v>106.86</v>
      </c>
      <c r="G939" s="29">
        <v>159.43</v>
      </c>
      <c r="H939" s="4">
        <v>56.03</v>
      </c>
      <c r="I939" s="19">
        <v>1489.655</v>
      </c>
      <c r="J939" s="40">
        <v>6</v>
      </c>
      <c r="K939" s="41">
        <v>15665</v>
      </c>
      <c r="L939" s="24">
        <v>83.5</v>
      </c>
      <c r="M939" s="33">
        <v>103</v>
      </c>
    </row>
    <row r="940" spans="1:13" x14ac:dyDescent="0.75">
      <c r="A940" t="s">
        <v>5</v>
      </c>
      <c r="B940" s="18">
        <v>2024</v>
      </c>
      <c r="C940" s="4">
        <v>3</v>
      </c>
      <c r="D940">
        <v>1</v>
      </c>
      <c r="E940" s="33">
        <v>54.2</v>
      </c>
      <c r="F940" s="29">
        <v>107.54</v>
      </c>
      <c r="G940" s="29">
        <v>170.11</v>
      </c>
      <c r="H940" s="4">
        <v>41.24</v>
      </c>
      <c r="I940" s="19">
        <v>1498.4680000000001</v>
      </c>
      <c r="J940" s="40">
        <v>6</v>
      </c>
      <c r="K940" s="41">
        <v>15703</v>
      </c>
      <c r="L940" s="24">
        <v>85.4</v>
      </c>
      <c r="M940" s="33">
        <v>103.5</v>
      </c>
    </row>
    <row r="941" spans="1:13" x14ac:dyDescent="0.75">
      <c r="A941" t="s">
        <v>5</v>
      </c>
      <c r="B941" s="18">
        <v>2024</v>
      </c>
      <c r="C941" s="4">
        <v>4</v>
      </c>
      <c r="D941">
        <v>1</v>
      </c>
      <c r="E941" s="33">
        <v>52.9</v>
      </c>
      <c r="F941" s="29">
        <v>107.22</v>
      </c>
      <c r="G941" s="29">
        <v>167.99</v>
      </c>
      <c r="H941" s="4">
        <v>38.81</v>
      </c>
      <c r="I941" s="19">
        <v>1643.45</v>
      </c>
      <c r="J941" s="40">
        <v>6.25</v>
      </c>
      <c r="K941" s="41">
        <v>16100</v>
      </c>
      <c r="L941" s="24">
        <v>89.9</v>
      </c>
      <c r="M941" s="33">
        <v>103.4</v>
      </c>
    </row>
    <row r="942" spans="1:13" x14ac:dyDescent="0.75">
      <c r="A942" t="s">
        <v>5</v>
      </c>
      <c r="B942" s="18">
        <v>2024</v>
      </c>
      <c r="C942" s="4">
        <v>5</v>
      </c>
      <c r="D942">
        <v>5</v>
      </c>
      <c r="E942" s="33">
        <v>52.1</v>
      </c>
      <c r="F942" s="29">
        <v>107.77</v>
      </c>
      <c r="G942" s="29">
        <v>101.39</v>
      </c>
      <c r="H942" s="4">
        <v>33.770000000000003</v>
      </c>
      <c r="I942" s="19">
        <v>1676.049</v>
      </c>
      <c r="J942" s="40">
        <v>6.25</v>
      </c>
      <c r="K942" s="41">
        <v>16084</v>
      </c>
      <c r="L942" s="24">
        <v>81.7</v>
      </c>
      <c r="M942" s="19">
        <v>103.3</v>
      </c>
    </row>
    <row r="943" spans="1:13" x14ac:dyDescent="0.75">
      <c r="A943" t="s">
        <v>5</v>
      </c>
      <c r="B943" s="18">
        <v>2024</v>
      </c>
      <c r="C943" s="4">
        <v>6</v>
      </c>
      <c r="D943">
        <v>327</v>
      </c>
      <c r="E943" s="33">
        <v>50.7</v>
      </c>
      <c r="F943" s="29">
        <v>107.92</v>
      </c>
      <c r="G943" s="29">
        <v>284.18</v>
      </c>
      <c r="H943" s="4">
        <v>26.93</v>
      </c>
      <c r="I943" s="19">
        <v>1589.19</v>
      </c>
      <c r="J943" s="40">
        <v>6.25</v>
      </c>
      <c r="K943" s="41">
        <v>16329</v>
      </c>
      <c r="L943" s="24">
        <v>82.2</v>
      </c>
      <c r="M943" s="19">
        <v>103.3</v>
      </c>
    </row>
    <row r="944" spans="1:13" x14ac:dyDescent="0.75">
      <c r="A944" t="s">
        <v>5</v>
      </c>
      <c r="B944" s="18">
        <v>2024</v>
      </c>
      <c r="C944" s="4">
        <v>7</v>
      </c>
      <c r="D944">
        <v>342</v>
      </c>
      <c r="E944" s="33">
        <v>49.3</v>
      </c>
      <c r="F944" s="29">
        <v>106.76</v>
      </c>
      <c r="G944" s="29">
        <v>146.55000000000001</v>
      </c>
      <c r="H944" s="4">
        <v>41.44</v>
      </c>
      <c r="I944" s="19">
        <v>1574.643</v>
      </c>
      <c r="J944" s="40">
        <v>6.25</v>
      </c>
      <c r="K944" s="41">
        <v>16262</v>
      </c>
      <c r="L944" s="24">
        <v>85.2</v>
      </c>
      <c r="M944" s="19">
        <v>103.2</v>
      </c>
    </row>
    <row r="945" spans="1:13" x14ac:dyDescent="0.75">
      <c r="A945" t="s">
        <v>5</v>
      </c>
      <c r="B945" s="18">
        <v>2024</v>
      </c>
      <c r="C945" s="4">
        <v>8</v>
      </c>
      <c r="D945">
        <v>363</v>
      </c>
      <c r="E945" s="33">
        <v>48.9</v>
      </c>
      <c r="F945" s="29">
        <v>106.59</v>
      </c>
      <c r="G945" s="29">
        <v>240.93</v>
      </c>
      <c r="H945" s="4">
        <v>41.88</v>
      </c>
      <c r="I945" s="19">
        <v>1548.107</v>
      </c>
      <c r="J945" s="40">
        <v>6.25</v>
      </c>
      <c r="K945" s="41">
        <v>15793</v>
      </c>
      <c r="L945" s="24">
        <v>80.400000000000006</v>
      </c>
      <c r="M945" s="19">
        <v>103.1</v>
      </c>
    </row>
    <row r="946" spans="1:13" x14ac:dyDescent="0.75">
      <c r="A946" t="s">
        <v>5</v>
      </c>
      <c r="B946" s="18">
        <v>2024</v>
      </c>
      <c r="C946" s="4">
        <v>9</v>
      </c>
      <c r="D946">
        <v>419</v>
      </c>
      <c r="E946" s="33">
        <v>49.2</v>
      </c>
      <c r="F946" s="29">
        <v>106.12</v>
      </c>
      <c r="G946" s="29">
        <v>135.59</v>
      </c>
      <c r="H946" s="4">
        <v>39.33</v>
      </c>
      <c r="I946" s="19">
        <v>1487.931</v>
      </c>
      <c r="J946" s="40">
        <v>6</v>
      </c>
      <c r="K946" s="41">
        <v>15341</v>
      </c>
      <c r="L946" s="24">
        <v>74</v>
      </c>
      <c r="M946" s="19">
        <v>102.9</v>
      </c>
    </row>
    <row r="947" spans="1:13" x14ac:dyDescent="0.75">
      <c r="A947" t="s">
        <v>5</v>
      </c>
      <c r="B947" s="18">
        <v>2024</v>
      </c>
      <c r="C947" s="4">
        <v>10</v>
      </c>
      <c r="D947">
        <v>498</v>
      </c>
      <c r="E947" s="33">
        <v>49.2</v>
      </c>
      <c r="F947" s="29">
        <v>106.24</v>
      </c>
      <c r="G947" s="29">
        <v>243.82</v>
      </c>
      <c r="H947" s="4">
        <v>43.12</v>
      </c>
      <c r="I947" s="19">
        <v>1485.6659999999999</v>
      </c>
      <c r="J947" s="40">
        <v>6</v>
      </c>
      <c r="K947" s="41">
        <v>15541</v>
      </c>
      <c r="L947" s="24">
        <v>75.599999999999994</v>
      </c>
      <c r="M947" s="19">
        <v>102.8</v>
      </c>
    </row>
    <row r="948" spans="1:13" x14ac:dyDescent="0.75">
      <c r="A948" t="s">
        <v>5</v>
      </c>
      <c r="B948" s="18">
        <v>2024</v>
      </c>
      <c r="C948" s="4">
        <v>11</v>
      </c>
      <c r="D948">
        <v>525</v>
      </c>
      <c r="E948" s="33">
        <v>49.6</v>
      </c>
      <c r="F948" s="29">
        <v>106.53</v>
      </c>
      <c r="G948" s="29">
        <v>220.26</v>
      </c>
      <c r="H948" s="4">
        <v>47.07</v>
      </c>
      <c r="I948" s="19">
        <v>1467.4190000000001</v>
      </c>
      <c r="J948" s="40">
        <v>6</v>
      </c>
      <c r="K948" s="41">
        <v>15812</v>
      </c>
      <c r="L948" s="24">
        <v>74.3</v>
      </c>
      <c r="M948" s="19">
        <v>103</v>
      </c>
    </row>
    <row r="949" spans="1:13" x14ac:dyDescent="0.75">
      <c r="A949" t="s">
        <v>5</v>
      </c>
      <c r="B949" s="18">
        <v>2024</v>
      </c>
      <c r="C949" s="4">
        <v>12</v>
      </c>
      <c r="D949">
        <v>671</v>
      </c>
      <c r="E949" s="33">
        <v>51.2</v>
      </c>
      <c r="F949" s="29">
        <v>106.9</v>
      </c>
      <c r="G949" s="29">
        <v>173.56</v>
      </c>
      <c r="H949" s="4">
        <v>28.94</v>
      </c>
      <c r="I949" s="19">
        <v>1349.576</v>
      </c>
      <c r="J949" s="40">
        <v>6</v>
      </c>
      <c r="K949" s="41">
        <v>16024</v>
      </c>
      <c r="L949" s="24">
        <v>73.900000000000006</v>
      </c>
      <c r="M949" s="19">
        <v>103.4</v>
      </c>
    </row>
    <row r="950" spans="1:13" x14ac:dyDescent="0.75">
      <c r="A950" t="s">
        <v>6</v>
      </c>
      <c r="B950" s="18">
        <v>2024</v>
      </c>
      <c r="C950" s="4">
        <v>1</v>
      </c>
      <c r="D950">
        <v>87</v>
      </c>
      <c r="E950" s="33">
        <v>52.9</v>
      </c>
      <c r="F950" s="26">
        <v>105.78</v>
      </c>
      <c r="G950" s="29">
        <v>1505.6</v>
      </c>
      <c r="H950">
        <v>201.72</v>
      </c>
      <c r="I950" s="19">
        <v>2190.6779999999999</v>
      </c>
      <c r="J950" s="40">
        <v>6</v>
      </c>
      <c r="K950" s="41">
        <v>15611</v>
      </c>
      <c r="L950" s="24">
        <v>80.099999999999994</v>
      </c>
      <c r="M950" s="33">
        <v>102.1</v>
      </c>
    </row>
    <row r="951" spans="1:13" x14ac:dyDescent="0.75">
      <c r="A951" t="s">
        <v>6</v>
      </c>
      <c r="B951" s="18">
        <v>2024</v>
      </c>
      <c r="C951" s="4">
        <v>2</v>
      </c>
      <c r="D951">
        <v>173</v>
      </c>
      <c r="E951" s="33">
        <v>52.7</v>
      </c>
      <c r="F951" s="26">
        <v>106.4</v>
      </c>
      <c r="G951" s="29">
        <v>1234.46</v>
      </c>
      <c r="H951">
        <v>136.74</v>
      </c>
      <c r="I951" s="19">
        <v>2246.1579999999999</v>
      </c>
      <c r="J951" s="40">
        <v>6</v>
      </c>
      <c r="K951" s="41">
        <v>15665</v>
      </c>
      <c r="L951" s="24">
        <v>83.5</v>
      </c>
      <c r="M951" s="33">
        <v>103</v>
      </c>
    </row>
    <row r="952" spans="1:13" x14ac:dyDescent="0.75">
      <c r="A952" t="s">
        <v>6</v>
      </c>
      <c r="B952" s="18">
        <v>2024</v>
      </c>
      <c r="C952" s="4">
        <v>3</v>
      </c>
      <c r="D952">
        <v>406</v>
      </c>
      <c r="E952" s="33">
        <v>54.2</v>
      </c>
      <c r="F952" s="26">
        <v>107.17</v>
      </c>
      <c r="G952" s="29">
        <v>1393.8</v>
      </c>
      <c r="H952">
        <v>179.08</v>
      </c>
      <c r="I952" s="19">
        <v>2243.65</v>
      </c>
      <c r="J952" s="40">
        <v>6</v>
      </c>
      <c r="K952" s="41">
        <v>15703</v>
      </c>
      <c r="L952" s="24">
        <v>85.4</v>
      </c>
      <c r="M952" s="33">
        <v>103.5</v>
      </c>
    </row>
    <row r="953" spans="1:13" x14ac:dyDescent="0.75">
      <c r="A953" t="s">
        <v>6</v>
      </c>
      <c r="B953" s="18">
        <v>2024</v>
      </c>
      <c r="C953" s="4">
        <v>4</v>
      </c>
      <c r="D953">
        <v>786</v>
      </c>
      <c r="E953" s="33">
        <v>52.9</v>
      </c>
      <c r="F953" s="26">
        <v>107.22</v>
      </c>
      <c r="G953" s="29">
        <v>1311.76</v>
      </c>
      <c r="H953">
        <v>139.13999999999999</v>
      </c>
      <c r="I953" s="19">
        <v>2319.3040000000001</v>
      </c>
      <c r="J953" s="40">
        <v>6.25</v>
      </c>
      <c r="K953" s="41">
        <v>16100</v>
      </c>
      <c r="L953" s="24">
        <v>89.9</v>
      </c>
      <c r="M953" s="33">
        <v>103.4</v>
      </c>
    </row>
    <row r="954" spans="1:13" x14ac:dyDescent="0.75">
      <c r="A954" t="s">
        <v>6</v>
      </c>
      <c r="B954" s="18">
        <v>2024</v>
      </c>
      <c r="C954" s="4">
        <v>5</v>
      </c>
      <c r="D954">
        <v>807</v>
      </c>
      <c r="E954" s="33">
        <v>52.1</v>
      </c>
      <c r="F954" s="26">
        <v>107.54</v>
      </c>
      <c r="G954" s="29">
        <v>1320.37</v>
      </c>
      <c r="H954">
        <v>153.18</v>
      </c>
      <c r="I954" s="19">
        <v>2425.4740000000002</v>
      </c>
      <c r="J954" s="40">
        <v>6.25</v>
      </c>
      <c r="K954" s="41">
        <v>16084</v>
      </c>
      <c r="L954" s="24">
        <v>81.7</v>
      </c>
      <c r="M954" s="19">
        <v>103.3</v>
      </c>
    </row>
    <row r="955" spans="1:13" x14ac:dyDescent="0.75">
      <c r="A955" t="s">
        <v>6</v>
      </c>
      <c r="B955" s="18">
        <v>2024</v>
      </c>
      <c r="C955" s="4">
        <v>6</v>
      </c>
      <c r="D955">
        <v>833</v>
      </c>
      <c r="E955" s="33">
        <v>50.7</v>
      </c>
      <c r="F955" s="26">
        <v>107.3</v>
      </c>
      <c r="G955" s="29">
        <v>1683.18</v>
      </c>
      <c r="H955">
        <v>130.38</v>
      </c>
      <c r="I955" s="19">
        <v>2288.2060000000001</v>
      </c>
      <c r="J955" s="40">
        <v>6.25</v>
      </c>
      <c r="K955" s="41">
        <v>16329</v>
      </c>
      <c r="L955" s="24">
        <v>82.2</v>
      </c>
      <c r="M955" s="19">
        <v>103.3</v>
      </c>
    </row>
    <row r="956" spans="1:13" x14ac:dyDescent="0.75">
      <c r="A956" t="s">
        <v>6</v>
      </c>
      <c r="B956" s="18">
        <v>2024</v>
      </c>
      <c r="C956" s="4">
        <v>7</v>
      </c>
      <c r="D956">
        <v>873</v>
      </c>
      <c r="E956" s="33">
        <v>49.3</v>
      </c>
      <c r="F956" s="26">
        <v>106.44</v>
      </c>
      <c r="G956" s="29">
        <v>1373.64</v>
      </c>
      <c r="H956">
        <v>198.03</v>
      </c>
      <c r="I956" s="19">
        <v>2321.9140000000002</v>
      </c>
      <c r="J956" s="40">
        <v>6.25</v>
      </c>
      <c r="K956" s="41">
        <v>16262</v>
      </c>
      <c r="L956" s="24">
        <v>85.2</v>
      </c>
      <c r="M956" s="19">
        <v>103.2</v>
      </c>
    </row>
    <row r="957" spans="1:13" x14ac:dyDescent="0.75">
      <c r="A957" t="s">
        <v>6</v>
      </c>
      <c r="B957" s="18">
        <v>2024</v>
      </c>
      <c r="C957" s="4">
        <v>8</v>
      </c>
      <c r="D957">
        <v>939</v>
      </c>
      <c r="E957" s="33">
        <v>48.9</v>
      </c>
      <c r="F957" s="26">
        <v>106.15</v>
      </c>
      <c r="G957" s="29">
        <v>1643.8</v>
      </c>
      <c r="H957">
        <v>193.06</v>
      </c>
      <c r="I957" s="19">
        <v>2336.5349999999999</v>
      </c>
      <c r="J957" s="40">
        <v>6.25</v>
      </c>
      <c r="K957" s="41">
        <v>15793</v>
      </c>
      <c r="L957" s="24">
        <v>80.400000000000006</v>
      </c>
      <c r="M957" s="19">
        <v>103.1</v>
      </c>
    </row>
    <row r="958" spans="1:13" x14ac:dyDescent="0.75">
      <c r="A958" t="s">
        <v>6</v>
      </c>
      <c r="B958" s="18">
        <v>2024</v>
      </c>
      <c r="C958" s="4">
        <v>9</v>
      </c>
      <c r="D958">
        <v>1051</v>
      </c>
      <c r="E958" s="33">
        <v>49.2</v>
      </c>
      <c r="F958" s="26">
        <v>105.8</v>
      </c>
      <c r="G958" s="29">
        <v>1426.41</v>
      </c>
      <c r="H958">
        <v>154.18</v>
      </c>
      <c r="I958" s="19">
        <v>2324.375</v>
      </c>
      <c r="J958" s="40">
        <v>6</v>
      </c>
      <c r="K958" s="41">
        <v>15341</v>
      </c>
      <c r="L958" s="24">
        <v>74</v>
      </c>
      <c r="M958" s="19">
        <v>102.9</v>
      </c>
    </row>
    <row r="959" spans="1:13" x14ac:dyDescent="0.75">
      <c r="A959" t="s">
        <v>6</v>
      </c>
      <c r="B959" s="18">
        <v>2024</v>
      </c>
      <c r="C959" s="4">
        <v>10</v>
      </c>
      <c r="D959">
        <v>1068</v>
      </c>
      <c r="E959" s="33">
        <v>49.2</v>
      </c>
      <c r="F959" s="26">
        <v>105.86</v>
      </c>
      <c r="G959" s="29">
        <v>1934.14</v>
      </c>
      <c r="H959">
        <v>142.19999999999999</v>
      </c>
      <c r="I959" s="19">
        <v>2383.509</v>
      </c>
      <c r="J959" s="40">
        <v>6</v>
      </c>
      <c r="K959" s="41">
        <v>15541</v>
      </c>
      <c r="L959" s="24">
        <v>75.599999999999994</v>
      </c>
      <c r="M959" s="19">
        <v>102.8</v>
      </c>
    </row>
    <row r="960" spans="1:13" x14ac:dyDescent="0.75">
      <c r="A960" t="s">
        <v>6</v>
      </c>
      <c r="B960" s="18">
        <v>2024</v>
      </c>
      <c r="C960" s="4">
        <v>11</v>
      </c>
      <c r="D960">
        <v>1109</v>
      </c>
      <c r="E960" s="33">
        <v>49.6</v>
      </c>
      <c r="F960" s="26">
        <v>106.32</v>
      </c>
      <c r="G960" s="29">
        <v>1714.33</v>
      </c>
      <c r="H960">
        <v>166.46</v>
      </c>
      <c r="I960" s="19">
        <v>2387.2860000000001</v>
      </c>
      <c r="J960" s="40">
        <v>6</v>
      </c>
      <c r="K960" s="41">
        <v>15812</v>
      </c>
      <c r="L960" s="24">
        <v>74.3</v>
      </c>
      <c r="M960" s="19">
        <v>103</v>
      </c>
    </row>
    <row r="961" spans="1:13" x14ac:dyDescent="0.75">
      <c r="A961" t="s">
        <v>6</v>
      </c>
      <c r="B961" s="18">
        <v>2024</v>
      </c>
      <c r="C961" s="4">
        <v>12</v>
      </c>
      <c r="D961">
        <v>1153</v>
      </c>
      <c r="E961" s="33">
        <v>51.2</v>
      </c>
      <c r="F961" s="26">
        <v>106.98</v>
      </c>
      <c r="G961" s="29">
        <v>1639.45</v>
      </c>
      <c r="H961">
        <v>164.84</v>
      </c>
      <c r="I961" s="19">
        <v>2108.2060000000001</v>
      </c>
      <c r="J961" s="40">
        <v>6</v>
      </c>
      <c r="K961" s="41">
        <v>16024</v>
      </c>
      <c r="L961" s="24">
        <v>73.900000000000006</v>
      </c>
      <c r="M961" s="19">
        <v>103.4</v>
      </c>
    </row>
    <row r="962" spans="1:13" x14ac:dyDescent="0.75">
      <c r="A962" t="s">
        <v>7</v>
      </c>
      <c r="B962" s="18">
        <v>2024</v>
      </c>
      <c r="C962" s="4">
        <v>1</v>
      </c>
      <c r="D962">
        <v>0</v>
      </c>
      <c r="E962" s="33">
        <v>52.9</v>
      </c>
      <c r="F962" s="19">
        <v>105.92</v>
      </c>
      <c r="G962" s="26">
        <v>181.78</v>
      </c>
      <c r="H962" s="3">
        <v>1.58</v>
      </c>
      <c r="I962" s="19">
        <v>981.92499999999995</v>
      </c>
      <c r="J962" s="40">
        <v>6</v>
      </c>
      <c r="K962" s="41">
        <v>15611</v>
      </c>
      <c r="L962" s="24">
        <v>80.099999999999994</v>
      </c>
      <c r="M962" s="33">
        <v>102.1</v>
      </c>
    </row>
    <row r="963" spans="1:13" x14ac:dyDescent="0.75">
      <c r="A963" t="s">
        <v>7</v>
      </c>
      <c r="B963" s="18">
        <v>2024</v>
      </c>
      <c r="C963" s="4">
        <v>2</v>
      </c>
      <c r="D963">
        <v>0</v>
      </c>
      <c r="E963" s="33">
        <v>52.7</v>
      </c>
      <c r="F963" s="19">
        <v>106.06</v>
      </c>
      <c r="G963" s="26">
        <v>189.02</v>
      </c>
      <c r="H963" s="3">
        <v>3.95</v>
      </c>
      <c r="I963" s="19">
        <v>1022.648</v>
      </c>
      <c r="J963" s="40">
        <v>6</v>
      </c>
      <c r="K963" s="41">
        <v>15665</v>
      </c>
      <c r="L963" s="24">
        <v>83.5</v>
      </c>
      <c r="M963" s="33">
        <v>103</v>
      </c>
    </row>
    <row r="964" spans="1:13" x14ac:dyDescent="0.75">
      <c r="A964" t="s">
        <v>7</v>
      </c>
      <c r="B964" s="18">
        <v>2024</v>
      </c>
      <c r="C964" s="4">
        <v>3</v>
      </c>
      <c r="D964">
        <v>0</v>
      </c>
      <c r="E964" s="33">
        <v>54.2</v>
      </c>
      <c r="F964" s="19">
        <v>106.63</v>
      </c>
      <c r="G964" s="26">
        <v>193.4</v>
      </c>
      <c r="H964" s="3">
        <v>1.9</v>
      </c>
      <c r="I964" s="19">
        <v>990.38</v>
      </c>
      <c r="J964" s="40">
        <v>6</v>
      </c>
      <c r="K964" s="41">
        <v>15703</v>
      </c>
      <c r="L964" s="24">
        <v>85.4</v>
      </c>
      <c r="M964" s="33">
        <v>103.5</v>
      </c>
    </row>
    <row r="965" spans="1:13" x14ac:dyDescent="0.75">
      <c r="A965" t="s">
        <v>7</v>
      </c>
      <c r="B965" s="18">
        <v>2024</v>
      </c>
      <c r="C965" s="4">
        <v>4</v>
      </c>
      <c r="D965">
        <v>82</v>
      </c>
      <c r="E965" s="33">
        <v>52.9</v>
      </c>
      <c r="F965" s="19">
        <v>106.82</v>
      </c>
      <c r="G965" s="26">
        <v>187.97</v>
      </c>
      <c r="H965" s="3">
        <v>3.48</v>
      </c>
      <c r="I965" s="19">
        <v>1036.5229999999999</v>
      </c>
      <c r="J965" s="40">
        <v>6.25</v>
      </c>
      <c r="K965" s="41">
        <v>16100</v>
      </c>
      <c r="L965" s="24">
        <v>89.9</v>
      </c>
      <c r="M965" s="33">
        <v>103.4</v>
      </c>
    </row>
    <row r="966" spans="1:13" x14ac:dyDescent="0.75">
      <c r="A966" t="s">
        <v>7</v>
      </c>
      <c r="B966" s="18">
        <v>2024</v>
      </c>
      <c r="C966" s="4">
        <v>5</v>
      </c>
      <c r="D966">
        <v>82</v>
      </c>
      <c r="E966" s="33">
        <v>52.1</v>
      </c>
      <c r="F966" s="19">
        <v>107.02</v>
      </c>
      <c r="G966" s="26">
        <v>211.85</v>
      </c>
      <c r="H966" s="3">
        <v>3.96</v>
      </c>
      <c r="I966" s="19">
        <v>1045.9190000000001</v>
      </c>
      <c r="J966" s="40">
        <v>6.25</v>
      </c>
      <c r="K966" s="41">
        <v>16084</v>
      </c>
      <c r="L966" s="24">
        <v>81.7</v>
      </c>
      <c r="M966" s="19">
        <v>103.3</v>
      </c>
    </row>
    <row r="967" spans="1:13" x14ac:dyDescent="0.75">
      <c r="A967" t="s">
        <v>7</v>
      </c>
      <c r="B967" s="18">
        <v>2024</v>
      </c>
      <c r="C967" s="4">
        <v>6</v>
      </c>
      <c r="D967">
        <v>100</v>
      </c>
      <c r="E967" s="33">
        <v>50.7</v>
      </c>
      <c r="F967" s="19">
        <v>106.88</v>
      </c>
      <c r="G967" s="26">
        <v>179.89</v>
      </c>
      <c r="H967" s="3">
        <v>2.87</v>
      </c>
      <c r="I967" s="19">
        <v>1016.284</v>
      </c>
      <c r="J967" s="40">
        <v>6.25</v>
      </c>
      <c r="K967" s="41">
        <v>16329</v>
      </c>
      <c r="L967" s="24">
        <v>82.2</v>
      </c>
      <c r="M967" s="19">
        <v>103.3</v>
      </c>
    </row>
    <row r="968" spans="1:13" x14ac:dyDescent="0.75">
      <c r="A968" t="s">
        <v>7</v>
      </c>
      <c r="B968" s="18">
        <v>2024</v>
      </c>
      <c r="C968" s="4">
        <v>7</v>
      </c>
      <c r="D968">
        <v>159</v>
      </c>
      <c r="E968" s="33">
        <v>49.3</v>
      </c>
      <c r="F968" s="19">
        <v>106</v>
      </c>
      <c r="G968" s="26">
        <v>186.32</v>
      </c>
      <c r="H968" s="3">
        <v>5.93</v>
      </c>
      <c r="I968" s="19">
        <v>1018.664</v>
      </c>
      <c r="J968" s="40">
        <v>6.25</v>
      </c>
      <c r="K968" s="41">
        <v>16262</v>
      </c>
      <c r="L968" s="24">
        <v>85.2</v>
      </c>
      <c r="M968" s="19">
        <v>103.2</v>
      </c>
    </row>
    <row r="969" spans="1:13" x14ac:dyDescent="0.75">
      <c r="A969" t="s">
        <v>7</v>
      </c>
      <c r="B969" s="18">
        <v>2024</v>
      </c>
      <c r="C969" s="4">
        <v>8</v>
      </c>
      <c r="D969">
        <v>211</v>
      </c>
      <c r="E969" s="33">
        <v>48.9</v>
      </c>
      <c r="F969" s="19">
        <v>105.99</v>
      </c>
      <c r="G969" s="26">
        <v>189.51</v>
      </c>
      <c r="H969" s="3">
        <v>4.51</v>
      </c>
      <c r="I969" s="19">
        <v>1011.727</v>
      </c>
      <c r="J969" s="40">
        <v>6.25</v>
      </c>
      <c r="K969" s="41">
        <v>15793</v>
      </c>
      <c r="L969" s="24">
        <v>80.400000000000006</v>
      </c>
      <c r="M969" s="19">
        <v>103.1</v>
      </c>
    </row>
    <row r="970" spans="1:13" x14ac:dyDescent="0.75">
      <c r="A970" t="s">
        <v>7</v>
      </c>
      <c r="B970" s="18">
        <v>2024</v>
      </c>
      <c r="C970" s="4">
        <v>9</v>
      </c>
      <c r="D970">
        <v>211</v>
      </c>
      <c r="E970" s="33">
        <v>49.2</v>
      </c>
      <c r="F970" s="19">
        <v>105.81</v>
      </c>
      <c r="G970" s="26">
        <v>188.01</v>
      </c>
      <c r="H970" s="3">
        <v>4.4400000000000004</v>
      </c>
      <c r="I970" s="19">
        <v>991.29600000000005</v>
      </c>
      <c r="J970" s="40">
        <v>6</v>
      </c>
      <c r="K970" s="41">
        <v>15341</v>
      </c>
      <c r="L970" s="24">
        <v>74</v>
      </c>
      <c r="M970" s="19">
        <v>102.9</v>
      </c>
    </row>
    <row r="971" spans="1:13" x14ac:dyDescent="0.75">
      <c r="A971" t="s">
        <v>7</v>
      </c>
      <c r="B971" s="18">
        <v>2024</v>
      </c>
      <c r="C971" s="4">
        <v>10</v>
      </c>
      <c r="D971">
        <v>211</v>
      </c>
      <c r="E971" s="33">
        <v>49.2</v>
      </c>
      <c r="F971" s="19">
        <v>105.84</v>
      </c>
      <c r="G971" s="26">
        <v>212.8</v>
      </c>
      <c r="H971" s="3">
        <v>8.4499999999999993</v>
      </c>
      <c r="I971" s="19">
        <v>991.68200000000002</v>
      </c>
      <c r="J971" s="40">
        <v>6</v>
      </c>
      <c r="K971" s="41">
        <v>15541</v>
      </c>
      <c r="L971" s="24">
        <v>75.599999999999994</v>
      </c>
      <c r="M971" s="19">
        <v>102.8</v>
      </c>
    </row>
    <row r="972" spans="1:13" x14ac:dyDescent="0.75">
      <c r="A972" t="s">
        <v>7</v>
      </c>
      <c r="B972" s="18">
        <v>2024</v>
      </c>
      <c r="C972" s="4">
        <v>11</v>
      </c>
      <c r="D972">
        <v>211</v>
      </c>
      <c r="E972" s="33">
        <v>49.6</v>
      </c>
      <c r="F972" s="19">
        <v>106.06</v>
      </c>
      <c r="G972" s="26">
        <v>203.13</v>
      </c>
      <c r="H972" s="3">
        <v>4.68</v>
      </c>
      <c r="I972" s="19">
        <v>981.41800000000001</v>
      </c>
      <c r="J972" s="40">
        <v>6</v>
      </c>
      <c r="K972" s="41">
        <v>15812</v>
      </c>
      <c r="L972" s="24">
        <v>74.3</v>
      </c>
      <c r="M972" s="19">
        <v>103</v>
      </c>
    </row>
    <row r="973" spans="1:13" x14ac:dyDescent="0.75">
      <c r="A973" t="s">
        <v>7</v>
      </c>
      <c r="B973" s="18">
        <v>2024</v>
      </c>
      <c r="C973" s="4">
        <v>12</v>
      </c>
      <c r="D973">
        <v>323</v>
      </c>
      <c r="E973" s="33">
        <v>51.2</v>
      </c>
      <c r="F973" s="19">
        <v>106.55</v>
      </c>
      <c r="G973" s="26">
        <v>216.99</v>
      </c>
      <c r="H973" s="3">
        <v>5.64</v>
      </c>
      <c r="I973" s="19">
        <v>927.07899999999995</v>
      </c>
      <c r="J973" s="40">
        <v>6</v>
      </c>
      <c r="K973" s="41">
        <v>16024</v>
      </c>
      <c r="L973" s="24">
        <v>73.900000000000006</v>
      </c>
      <c r="M973" s="19">
        <v>103.4</v>
      </c>
    </row>
    <row r="974" spans="1:13" x14ac:dyDescent="0.75">
      <c r="A974" t="s">
        <v>8</v>
      </c>
      <c r="B974" s="18">
        <v>2024</v>
      </c>
      <c r="C974" s="4">
        <v>1</v>
      </c>
      <c r="D974">
        <v>0</v>
      </c>
      <c r="E974" s="33">
        <v>52.9</v>
      </c>
      <c r="F974" s="19">
        <v>105.66</v>
      </c>
      <c r="G974" s="19">
        <v>441.35</v>
      </c>
      <c r="H974" s="3">
        <v>221.43</v>
      </c>
      <c r="I974" s="19">
        <v>3650.4870000000001</v>
      </c>
      <c r="J974" s="40">
        <v>6</v>
      </c>
      <c r="K974" s="41">
        <v>15611</v>
      </c>
      <c r="L974" s="24">
        <v>80.099999999999994</v>
      </c>
      <c r="M974" s="33">
        <v>102.1</v>
      </c>
    </row>
    <row r="975" spans="1:13" x14ac:dyDescent="0.75">
      <c r="A975" t="s">
        <v>8</v>
      </c>
      <c r="B975" s="18">
        <v>2024</v>
      </c>
      <c r="C975" s="4">
        <v>2</v>
      </c>
      <c r="D975">
        <v>0</v>
      </c>
      <c r="E975" s="33">
        <v>52.7</v>
      </c>
      <c r="F975" s="19">
        <v>105.67</v>
      </c>
      <c r="G975" s="19">
        <v>445.47</v>
      </c>
      <c r="H975" s="3">
        <v>228.53</v>
      </c>
      <c r="I975" s="19">
        <v>3692.4929999999999</v>
      </c>
      <c r="J975" s="40">
        <v>6</v>
      </c>
      <c r="K975" s="41">
        <v>15665</v>
      </c>
      <c r="L975" s="24">
        <v>83.5</v>
      </c>
      <c r="M975" s="33">
        <v>103</v>
      </c>
    </row>
    <row r="976" spans="1:13" x14ac:dyDescent="0.75">
      <c r="A976" t="s">
        <v>8</v>
      </c>
      <c r="B976" s="18">
        <v>2024</v>
      </c>
      <c r="C976" s="4">
        <v>3</v>
      </c>
      <c r="D976">
        <v>0</v>
      </c>
      <c r="E976" s="33">
        <v>54.2</v>
      </c>
      <c r="F976" s="19">
        <v>105.93</v>
      </c>
      <c r="G976" s="19">
        <v>503.09</v>
      </c>
      <c r="H976" s="3">
        <v>194.22</v>
      </c>
      <c r="I976" s="19">
        <v>3696.0010000000002</v>
      </c>
      <c r="J976" s="40">
        <v>6</v>
      </c>
      <c r="K976" s="41">
        <v>15703</v>
      </c>
      <c r="L976" s="24">
        <v>85.4</v>
      </c>
      <c r="M976" s="33">
        <v>103.5</v>
      </c>
    </row>
    <row r="977" spans="1:13" x14ac:dyDescent="0.75">
      <c r="A977" t="s">
        <v>8</v>
      </c>
      <c r="B977" s="18">
        <v>2024</v>
      </c>
      <c r="C977" s="4">
        <v>4</v>
      </c>
      <c r="D977">
        <v>0</v>
      </c>
      <c r="E977" s="33">
        <v>52.9</v>
      </c>
      <c r="F977" s="19">
        <v>106.39</v>
      </c>
      <c r="G977" s="19">
        <v>426.33</v>
      </c>
      <c r="H977" s="3">
        <v>167.85</v>
      </c>
      <c r="I977" s="19">
        <v>3700.5050000000001</v>
      </c>
      <c r="J977" s="40">
        <v>6.25</v>
      </c>
      <c r="K977" s="41">
        <v>16100</v>
      </c>
      <c r="L977" s="24">
        <v>89.9</v>
      </c>
      <c r="M977" s="33">
        <v>103.4</v>
      </c>
    </row>
    <row r="978" spans="1:13" x14ac:dyDescent="0.75">
      <c r="A978" t="s">
        <v>8</v>
      </c>
      <c r="B978" s="18">
        <v>2024</v>
      </c>
      <c r="C978" s="4">
        <v>5</v>
      </c>
      <c r="D978">
        <v>0</v>
      </c>
      <c r="E978" s="33">
        <v>52.1</v>
      </c>
      <c r="F978" s="19">
        <v>106.45</v>
      </c>
      <c r="G978" s="19">
        <v>504.52</v>
      </c>
      <c r="H978" s="3">
        <v>157.78</v>
      </c>
      <c r="I978" s="19">
        <v>3848.2330000000002</v>
      </c>
      <c r="J978" s="40">
        <v>6.25</v>
      </c>
      <c r="K978" s="41">
        <v>16084</v>
      </c>
      <c r="L978" s="24">
        <v>81.7</v>
      </c>
      <c r="M978" s="19">
        <v>103.3</v>
      </c>
    </row>
    <row r="979" spans="1:13" x14ac:dyDescent="0.75">
      <c r="A979" t="s">
        <v>8</v>
      </c>
      <c r="B979" s="18">
        <v>2024</v>
      </c>
      <c r="C979" s="4">
        <v>6</v>
      </c>
      <c r="D979">
        <v>0</v>
      </c>
      <c r="E979" s="33">
        <v>50.7</v>
      </c>
      <c r="F979" s="19">
        <v>106.42</v>
      </c>
      <c r="G979" s="19">
        <v>625.86</v>
      </c>
      <c r="H979" s="3">
        <v>139.84</v>
      </c>
      <c r="I979" s="19">
        <v>2501.15</v>
      </c>
      <c r="J979" s="40">
        <v>6.25</v>
      </c>
      <c r="K979" s="41">
        <v>16329</v>
      </c>
      <c r="L979" s="24">
        <v>82.2</v>
      </c>
      <c r="M979" s="19">
        <v>103.3</v>
      </c>
    </row>
    <row r="980" spans="1:13" x14ac:dyDescent="0.75">
      <c r="A980" t="s">
        <v>8</v>
      </c>
      <c r="B980" s="18">
        <v>2024</v>
      </c>
      <c r="C980" s="4">
        <v>7</v>
      </c>
      <c r="D980">
        <v>0</v>
      </c>
      <c r="E980" s="33">
        <v>49.3</v>
      </c>
      <c r="F980" s="19">
        <v>106.11</v>
      </c>
      <c r="G980" s="19">
        <v>623.02</v>
      </c>
      <c r="H980" s="3">
        <v>237.1</v>
      </c>
      <c r="I980" s="19">
        <v>2512.5369999999998</v>
      </c>
      <c r="J980" s="40">
        <v>6.25</v>
      </c>
      <c r="K980" s="41">
        <v>16262</v>
      </c>
      <c r="L980" s="24">
        <v>85.2</v>
      </c>
      <c r="M980" s="19">
        <v>103.2</v>
      </c>
    </row>
    <row r="981" spans="1:13" x14ac:dyDescent="0.75">
      <c r="A981" t="s">
        <v>8</v>
      </c>
      <c r="B981" s="18">
        <v>2024</v>
      </c>
      <c r="C981" s="4">
        <v>8</v>
      </c>
      <c r="D981">
        <v>0</v>
      </c>
      <c r="E981" s="33">
        <v>48.9</v>
      </c>
      <c r="F981" s="19">
        <v>105.91</v>
      </c>
      <c r="G981" s="19">
        <v>586.39</v>
      </c>
      <c r="H981" s="3">
        <v>191.84</v>
      </c>
      <c r="I981" s="19">
        <v>2502.982</v>
      </c>
      <c r="J981" s="40">
        <v>6.25</v>
      </c>
      <c r="K981" s="41">
        <v>15793</v>
      </c>
      <c r="L981" s="24">
        <v>80.400000000000006</v>
      </c>
      <c r="M981" s="19">
        <v>103.1</v>
      </c>
    </row>
    <row r="982" spans="1:13" x14ac:dyDescent="0.75">
      <c r="A982" t="s">
        <v>8</v>
      </c>
      <c r="B982" s="18">
        <v>2024</v>
      </c>
      <c r="C982" s="4">
        <v>9</v>
      </c>
      <c r="D982">
        <v>273</v>
      </c>
      <c r="E982" s="33">
        <v>49.2</v>
      </c>
      <c r="F982" s="19">
        <v>105.78</v>
      </c>
      <c r="G982" s="19">
        <v>611.20000000000005</v>
      </c>
      <c r="H982" s="3">
        <v>165.57</v>
      </c>
      <c r="I982" s="19">
        <v>2470.1590000000001</v>
      </c>
      <c r="J982" s="40">
        <v>6</v>
      </c>
      <c r="K982" s="41">
        <v>15341</v>
      </c>
      <c r="L982" s="24">
        <v>74</v>
      </c>
      <c r="M982" s="19">
        <v>102.9</v>
      </c>
    </row>
    <row r="983" spans="1:13" x14ac:dyDescent="0.75">
      <c r="A983" t="s">
        <v>8</v>
      </c>
      <c r="B983" s="18">
        <v>2024</v>
      </c>
      <c r="C983" s="4">
        <v>10</v>
      </c>
      <c r="D983">
        <v>277</v>
      </c>
      <c r="E983" s="33">
        <v>49.2</v>
      </c>
      <c r="F983" s="19">
        <v>105.87</v>
      </c>
      <c r="G983" s="19">
        <v>646.05999999999995</v>
      </c>
      <c r="H983" s="3">
        <v>110.62</v>
      </c>
      <c r="I983" s="19">
        <v>2537.6030000000001</v>
      </c>
      <c r="J983" s="40">
        <v>6</v>
      </c>
      <c r="K983" s="41">
        <v>15541</v>
      </c>
      <c r="L983" s="24">
        <v>75.599999999999994</v>
      </c>
      <c r="M983" s="19">
        <v>102.8</v>
      </c>
    </row>
    <row r="984" spans="1:13" x14ac:dyDescent="0.75">
      <c r="A984" t="s">
        <v>8</v>
      </c>
      <c r="B984" s="18">
        <v>2024</v>
      </c>
      <c r="C984" s="4">
        <v>11</v>
      </c>
      <c r="D984">
        <v>557</v>
      </c>
      <c r="E984" s="33">
        <v>49.6</v>
      </c>
      <c r="F984" s="19">
        <v>106.48</v>
      </c>
      <c r="G984" s="19">
        <v>642.88</v>
      </c>
      <c r="H984" s="3">
        <v>176.84</v>
      </c>
      <c r="I984" s="19">
        <v>2580.7629999999999</v>
      </c>
      <c r="J984" s="40">
        <v>6</v>
      </c>
      <c r="K984" s="41">
        <v>15812</v>
      </c>
      <c r="L984" s="24">
        <v>74.3</v>
      </c>
      <c r="M984" s="19">
        <v>103</v>
      </c>
    </row>
    <row r="985" spans="1:13" x14ac:dyDescent="0.75">
      <c r="A985" t="s">
        <v>8</v>
      </c>
      <c r="B985" s="18">
        <v>2024</v>
      </c>
      <c r="C985" s="4">
        <v>12</v>
      </c>
      <c r="D985">
        <v>715</v>
      </c>
      <c r="E985" s="33">
        <v>51.2</v>
      </c>
      <c r="F985" s="19">
        <v>107.01</v>
      </c>
      <c r="G985" s="19">
        <v>666.88</v>
      </c>
      <c r="H985" s="3">
        <v>105.51</v>
      </c>
      <c r="I985" s="19">
        <v>2619.39</v>
      </c>
      <c r="J985" s="40">
        <v>6</v>
      </c>
      <c r="K985" s="41">
        <v>16024</v>
      </c>
      <c r="L985" s="24">
        <v>73.900000000000006</v>
      </c>
      <c r="M985" s="19">
        <v>103.4</v>
      </c>
    </row>
    <row r="986" spans="1:13" x14ac:dyDescent="0.75">
      <c r="A986" t="s">
        <v>9</v>
      </c>
      <c r="B986" s="18">
        <v>2024</v>
      </c>
      <c r="C986" s="4">
        <v>1</v>
      </c>
      <c r="D986">
        <v>0</v>
      </c>
      <c r="E986" s="33">
        <v>52.9</v>
      </c>
      <c r="F986" s="19">
        <v>105.24</v>
      </c>
      <c r="G986" s="19">
        <v>12.64</v>
      </c>
      <c r="H986" s="3"/>
      <c r="I986" s="19">
        <v>594.14300000000003</v>
      </c>
      <c r="J986" s="40">
        <v>6</v>
      </c>
      <c r="K986" s="41">
        <v>15611</v>
      </c>
      <c r="L986" s="24">
        <v>80.099999999999994</v>
      </c>
      <c r="M986" s="33">
        <v>102.1</v>
      </c>
    </row>
    <row r="987" spans="1:13" x14ac:dyDescent="0.75">
      <c r="A987" t="s">
        <v>9</v>
      </c>
      <c r="B987" s="18">
        <v>2024</v>
      </c>
      <c r="C987" s="4">
        <v>2</v>
      </c>
      <c r="D987">
        <v>0</v>
      </c>
      <c r="E987" s="33">
        <v>52.7</v>
      </c>
      <c r="F987" s="19">
        <v>106.07</v>
      </c>
      <c r="G987" s="19">
        <v>23.23</v>
      </c>
      <c r="H987" s="3"/>
      <c r="I987" s="19">
        <v>590.96400000000006</v>
      </c>
      <c r="J987" s="40">
        <v>6</v>
      </c>
      <c r="K987" s="41">
        <v>15665</v>
      </c>
      <c r="L987" s="24">
        <v>83.5</v>
      </c>
      <c r="M987" s="33">
        <v>103</v>
      </c>
    </row>
    <row r="988" spans="1:13" x14ac:dyDescent="0.75">
      <c r="A988" t="s">
        <v>9</v>
      </c>
      <c r="B988" s="18">
        <v>2024</v>
      </c>
      <c r="C988" s="4">
        <v>3</v>
      </c>
      <c r="D988">
        <v>0</v>
      </c>
      <c r="E988" s="33">
        <v>54.2</v>
      </c>
      <c r="F988" s="19">
        <v>106.3</v>
      </c>
      <c r="G988" s="19">
        <v>22.89</v>
      </c>
      <c r="H988" s="3"/>
      <c r="I988" s="19">
        <v>544.56299999999999</v>
      </c>
      <c r="J988" s="40">
        <v>6</v>
      </c>
      <c r="K988" s="41">
        <v>15703</v>
      </c>
      <c r="L988" s="24">
        <v>85.4</v>
      </c>
      <c r="M988" s="33">
        <v>103.5</v>
      </c>
    </row>
    <row r="989" spans="1:13" x14ac:dyDescent="0.75">
      <c r="A989" t="s">
        <v>9</v>
      </c>
      <c r="B989" s="18">
        <v>2024</v>
      </c>
      <c r="C989" s="4">
        <v>4</v>
      </c>
      <c r="D989">
        <v>0</v>
      </c>
      <c r="E989" s="33">
        <v>52.9</v>
      </c>
      <c r="F989" s="19">
        <v>106.44</v>
      </c>
      <c r="G989" s="19">
        <v>15.58</v>
      </c>
      <c r="H989" s="3"/>
      <c r="I989" s="19">
        <v>589.16700000000003</v>
      </c>
      <c r="J989" s="40">
        <v>6.25</v>
      </c>
      <c r="K989" s="41">
        <v>16100</v>
      </c>
      <c r="L989" s="24">
        <v>89.9</v>
      </c>
      <c r="M989" s="33">
        <v>103.4</v>
      </c>
    </row>
    <row r="990" spans="1:13" x14ac:dyDescent="0.75">
      <c r="A990" t="s">
        <v>9</v>
      </c>
      <c r="B990" s="18">
        <v>2024</v>
      </c>
      <c r="C990" s="4">
        <v>5</v>
      </c>
      <c r="D990">
        <v>0</v>
      </c>
      <c r="E990" s="33">
        <v>52.1</v>
      </c>
      <c r="F990" s="19">
        <v>106.76</v>
      </c>
      <c r="G990" s="19">
        <v>9.31</v>
      </c>
      <c r="H990" s="3"/>
      <c r="I990" s="19">
        <v>569.30600000000004</v>
      </c>
      <c r="J990" s="40">
        <v>6.25</v>
      </c>
      <c r="K990" s="41">
        <v>16084</v>
      </c>
      <c r="L990" s="24">
        <v>81.7</v>
      </c>
      <c r="M990" s="19">
        <v>103.3</v>
      </c>
    </row>
    <row r="991" spans="1:13" x14ac:dyDescent="0.75">
      <c r="A991" t="s">
        <v>9</v>
      </c>
      <c r="B991" s="18">
        <v>2024</v>
      </c>
      <c r="C991" s="4">
        <v>6</v>
      </c>
      <c r="D991">
        <v>0</v>
      </c>
      <c r="E991" s="33">
        <v>50.7</v>
      </c>
      <c r="F991" s="19">
        <v>106.72</v>
      </c>
      <c r="G991" s="19">
        <v>9.9600000000000009</v>
      </c>
      <c r="H991" s="3"/>
      <c r="I991" s="19">
        <v>547.29700000000003</v>
      </c>
      <c r="J991" s="40">
        <v>6.25</v>
      </c>
      <c r="K991" s="41">
        <v>16329</v>
      </c>
      <c r="L991" s="24">
        <v>82.2</v>
      </c>
      <c r="M991" s="19">
        <v>103.3</v>
      </c>
    </row>
    <row r="992" spans="1:13" x14ac:dyDescent="0.75">
      <c r="A992" t="s">
        <v>9</v>
      </c>
      <c r="B992" s="18">
        <v>2024</v>
      </c>
      <c r="C992" s="4">
        <v>7</v>
      </c>
      <c r="D992">
        <v>0</v>
      </c>
      <c r="E992" s="33">
        <v>49.3</v>
      </c>
      <c r="F992" s="19">
        <v>105.97</v>
      </c>
      <c r="G992" s="19">
        <v>13.94</v>
      </c>
      <c r="H992" s="3"/>
      <c r="I992" s="19">
        <v>516.38099999999997</v>
      </c>
      <c r="J992" s="40">
        <v>6.25</v>
      </c>
      <c r="K992" s="41">
        <v>16262</v>
      </c>
      <c r="L992" s="24">
        <v>85.2</v>
      </c>
      <c r="M992" s="19">
        <v>103.2</v>
      </c>
    </row>
    <row r="993" spans="1:13" x14ac:dyDescent="0.75">
      <c r="A993" t="s">
        <v>9</v>
      </c>
      <c r="B993" s="18">
        <v>2024</v>
      </c>
      <c r="C993" s="4">
        <v>8</v>
      </c>
      <c r="D993">
        <v>0</v>
      </c>
      <c r="E993" s="33">
        <v>48.9</v>
      </c>
      <c r="F993" s="19">
        <v>105.78</v>
      </c>
      <c r="G993" s="19">
        <v>14.05</v>
      </c>
      <c r="H993" s="3"/>
      <c r="I993" s="19">
        <v>500.53800000000001</v>
      </c>
      <c r="J993" s="40">
        <v>6.25</v>
      </c>
      <c r="K993" s="41">
        <v>15793</v>
      </c>
      <c r="L993" s="24">
        <v>80.400000000000006</v>
      </c>
      <c r="M993" s="19">
        <v>103.1</v>
      </c>
    </row>
    <row r="994" spans="1:13" x14ac:dyDescent="0.75">
      <c r="A994" t="s">
        <v>9</v>
      </c>
      <c r="B994" s="18">
        <v>2024</v>
      </c>
      <c r="C994" s="4">
        <v>9</v>
      </c>
      <c r="D994">
        <v>46</v>
      </c>
      <c r="E994" s="33">
        <v>49.2</v>
      </c>
      <c r="F994" s="19">
        <v>105.48</v>
      </c>
      <c r="G994" s="19">
        <v>12.64</v>
      </c>
      <c r="H994" s="3"/>
      <c r="I994" s="19">
        <v>480.65600000000001</v>
      </c>
      <c r="J994" s="40">
        <v>6</v>
      </c>
      <c r="K994" s="41">
        <v>15341</v>
      </c>
      <c r="L994" s="24">
        <v>74</v>
      </c>
      <c r="M994" s="19">
        <v>102.9</v>
      </c>
    </row>
    <row r="995" spans="1:13" x14ac:dyDescent="0.75">
      <c r="A995" t="s">
        <v>9</v>
      </c>
      <c r="B995" s="18">
        <v>2024</v>
      </c>
      <c r="C995" s="4">
        <v>10</v>
      </c>
      <c r="D995">
        <v>46</v>
      </c>
      <c r="E995" s="33">
        <v>49.2</v>
      </c>
      <c r="F995" s="19">
        <v>105.39</v>
      </c>
      <c r="G995" s="19">
        <v>20.420000000000002</v>
      </c>
      <c r="H995" s="3"/>
      <c r="I995" s="19">
        <v>487.64800000000002</v>
      </c>
      <c r="J995" s="40">
        <v>6</v>
      </c>
      <c r="K995" s="41">
        <v>15541</v>
      </c>
      <c r="L995" s="24">
        <v>75.599999999999994</v>
      </c>
      <c r="M995" s="19">
        <v>102.8</v>
      </c>
    </row>
    <row r="996" spans="1:13" x14ac:dyDescent="0.75">
      <c r="A996" t="s">
        <v>9</v>
      </c>
      <c r="B996" s="18">
        <v>2024</v>
      </c>
      <c r="C996" s="4">
        <v>11</v>
      </c>
      <c r="D996">
        <v>46</v>
      </c>
      <c r="E996" s="33">
        <v>49.6</v>
      </c>
      <c r="F996" s="19">
        <v>105.6</v>
      </c>
      <c r="G996" s="19">
        <v>22.63</v>
      </c>
      <c r="H996" s="3"/>
      <c r="I996" s="19">
        <v>483.52800000000002</v>
      </c>
      <c r="J996" s="40">
        <v>6</v>
      </c>
      <c r="K996" s="41">
        <v>15812</v>
      </c>
      <c r="L996" s="24">
        <v>74.3</v>
      </c>
      <c r="M996" s="19">
        <v>103</v>
      </c>
    </row>
    <row r="997" spans="1:13" x14ac:dyDescent="0.75">
      <c r="A997" t="s">
        <v>9</v>
      </c>
      <c r="B997" s="18">
        <v>2024</v>
      </c>
      <c r="C997" s="4">
        <v>12</v>
      </c>
      <c r="D997">
        <v>109</v>
      </c>
      <c r="E997" s="33">
        <v>51.2</v>
      </c>
      <c r="F997" s="19">
        <v>105.96</v>
      </c>
      <c r="G997" s="19">
        <v>17.14</v>
      </c>
      <c r="H997" s="3">
        <v>2.09</v>
      </c>
      <c r="I997" s="19">
        <v>431.733</v>
      </c>
      <c r="J997" s="40">
        <v>6</v>
      </c>
      <c r="K997" s="41">
        <v>16024</v>
      </c>
      <c r="L997" s="24">
        <v>73.900000000000006</v>
      </c>
      <c r="M997" s="19">
        <v>103.4</v>
      </c>
    </row>
    <row r="998" spans="1:13" x14ac:dyDescent="0.75">
      <c r="A998" t="s">
        <v>10</v>
      </c>
      <c r="B998" s="18">
        <v>2024</v>
      </c>
      <c r="C998" s="4">
        <v>1</v>
      </c>
      <c r="D998">
        <v>0</v>
      </c>
      <c r="E998" s="33">
        <v>52.9</v>
      </c>
      <c r="F998" s="19">
        <v>106.55</v>
      </c>
      <c r="G998" s="19">
        <v>337.92</v>
      </c>
      <c r="H998" s="3">
        <v>82.66</v>
      </c>
      <c r="I998" s="19">
        <v>1696.56</v>
      </c>
      <c r="J998" s="40">
        <v>6</v>
      </c>
      <c r="K998" s="41">
        <v>15611</v>
      </c>
      <c r="L998" s="24">
        <v>80.099999999999994</v>
      </c>
      <c r="M998" s="33">
        <v>102.1</v>
      </c>
    </row>
    <row r="999" spans="1:13" x14ac:dyDescent="0.75">
      <c r="A999" t="s">
        <v>10</v>
      </c>
      <c r="B999" s="18">
        <v>2024</v>
      </c>
      <c r="C999" s="4">
        <v>2</v>
      </c>
      <c r="D999">
        <v>0</v>
      </c>
      <c r="E999" s="33">
        <v>52.7</v>
      </c>
      <c r="F999" s="19">
        <v>106.97</v>
      </c>
      <c r="G999" s="19">
        <v>434.45</v>
      </c>
      <c r="H999" s="3">
        <v>122.51</v>
      </c>
      <c r="I999" s="19">
        <v>1718.5630000000001</v>
      </c>
      <c r="J999" s="40">
        <v>6</v>
      </c>
      <c r="K999" s="41">
        <v>15665</v>
      </c>
      <c r="L999" s="24">
        <v>83.5</v>
      </c>
      <c r="M999" s="33">
        <v>103</v>
      </c>
    </row>
    <row r="1000" spans="1:13" x14ac:dyDescent="0.75">
      <c r="A1000" t="s">
        <v>10</v>
      </c>
      <c r="B1000" s="18">
        <v>2024</v>
      </c>
      <c r="C1000" s="4">
        <v>3</v>
      </c>
      <c r="D1000">
        <v>0</v>
      </c>
      <c r="E1000" s="33">
        <v>54.2</v>
      </c>
      <c r="F1000" s="19">
        <v>107.35</v>
      </c>
      <c r="G1000" s="19">
        <v>391.13</v>
      </c>
      <c r="H1000" s="3">
        <v>331.11</v>
      </c>
      <c r="I1000" s="19">
        <v>1661.75</v>
      </c>
      <c r="J1000" s="40">
        <v>6</v>
      </c>
      <c r="K1000" s="41">
        <v>15703</v>
      </c>
      <c r="L1000" s="24">
        <v>85.4</v>
      </c>
      <c r="M1000" s="33">
        <v>103.5</v>
      </c>
    </row>
    <row r="1001" spans="1:13" x14ac:dyDescent="0.75">
      <c r="A1001" t="s">
        <v>10</v>
      </c>
      <c r="B1001" s="18">
        <v>2024</v>
      </c>
      <c r="C1001" s="4">
        <v>4</v>
      </c>
      <c r="D1001">
        <v>18</v>
      </c>
      <c r="E1001" s="33">
        <v>52.9</v>
      </c>
      <c r="F1001" s="19">
        <v>107.34</v>
      </c>
      <c r="G1001" s="19">
        <v>331.76</v>
      </c>
      <c r="H1001" s="3">
        <v>237.37</v>
      </c>
      <c r="I1001" s="19">
        <v>1676.2809999999999</v>
      </c>
      <c r="J1001" s="40">
        <v>6.25</v>
      </c>
      <c r="K1001" s="41">
        <v>16100</v>
      </c>
      <c r="L1001" s="24">
        <v>89.9</v>
      </c>
      <c r="M1001" s="33">
        <v>103.4</v>
      </c>
    </row>
    <row r="1002" spans="1:13" x14ac:dyDescent="0.75">
      <c r="A1002" t="s">
        <v>10</v>
      </c>
      <c r="B1002" s="18">
        <v>2024</v>
      </c>
      <c r="C1002" s="4">
        <v>5</v>
      </c>
      <c r="D1002">
        <v>18</v>
      </c>
      <c r="E1002" s="33">
        <v>52.1</v>
      </c>
      <c r="F1002" s="19">
        <v>107.43</v>
      </c>
      <c r="G1002" s="19">
        <v>323.25</v>
      </c>
      <c r="H1002" s="3">
        <v>148.75</v>
      </c>
      <c r="I1002" s="19">
        <v>1668.3520000000001</v>
      </c>
      <c r="J1002" s="40">
        <v>6.25</v>
      </c>
      <c r="K1002" s="41">
        <v>16084</v>
      </c>
      <c r="L1002" s="24">
        <v>81.7</v>
      </c>
      <c r="M1002" s="19">
        <v>103.3</v>
      </c>
    </row>
    <row r="1003" spans="1:13" x14ac:dyDescent="0.75">
      <c r="A1003" t="s">
        <v>10</v>
      </c>
      <c r="B1003" s="18">
        <v>2024</v>
      </c>
      <c r="C1003" s="4">
        <v>6</v>
      </c>
      <c r="D1003">
        <v>23</v>
      </c>
      <c r="E1003" s="33">
        <v>50.7</v>
      </c>
      <c r="F1003" s="19">
        <v>107.31</v>
      </c>
      <c r="G1003" s="19">
        <v>447.87</v>
      </c>
      <c r="H1003" s="3">
        <v>234.1</v>
      </c>
      <c r="I1003" s="19">
        <v>1630.8309999999999</v>
      </c>
      <c r="J1003" s="40">
        <v>6.25</v>
      </c>
      <c r="K1003" s="41">
        <v>16329</v>
      </c>
      <c r="L1003" s="24">
        <v>82.2</v>
      </c>
      <c r="M1003" s="19">
        <v>103.3</v>
      </c>
    </row>
    <row r="1004" spans="1:13" x14ac:dyDescent="0.75">
      <c r="A1004" t="s">
        <v>10</v>
      </c>
      <c r="B1004" s="18">
        <v>2024</v>
      </c>
      <c r="C1004" s="4">
        <v>7</v>
      </c>
      <c r="D1004">
        <v>28</v>
      </c>
      <c r="E1004" s="33">
        <v>49.3</v>
      </c>
      <c r="F1004" s="19">
        <v>107.14</v>
      </c>
      <c r="G1004" s="19">
        <v>447.17</v>
      </c>
      <c r="H1004" s="3">
        <v>249.25</v>
      </c>
      <c r="I1004" s="19">
        <v>1607.5930000000001</v>
      </c>
      <c r="J1004" s="40">
        <v>6.25</v>
      </c>
      <c r="K1004" s="41">
        <v>16262</v>
      </c>
      <c r="L1004" s="24">
        <v>85.2</v>
      </c>
      <c r="M1004" s="19">
        <v>103.2</v>
      </c>
    </row>
    <row r="1005" spans="1:13" x14ac:dyDescent="0.75">
      <c r="A1005" t="s">
        <v>10</v>
      </c>
      <c r="B1005" s="18">
        <v>2024</v>
      </c>
      <c r="C1005" s="4">
        <v>8</v>
      </c>
      <c r="D1005">
        <v>29</v>
      </c>
      <c r="E1005" s="33">
        <v>48.9</v>
      </c>
      <c r="F1005" s="19">
        <v>107.21</v>
      </c>
      <c r="G1005" s="19">
        <v>589.23</v>
      </c>
      <c r="H1005" s="3">
        <v>94.34</v>
      </c>
      <c r="I1005" s="19">
        <v>1745.633</v>
      </c>
      <c r="J1005" s="40">
        <v>6.25</v>
      </c>
      <c r="K1005" s="41">
        <v>15793</v>
      </c>
      <c r="L1005" s="24">
        <v>80.400000000000006</v>
      </c>
      <c r="M1005" s="19">
        <v>103.1</v>
      </c>
    </row>
    <row r="1006" spans="1:13" x14ac:dyDescent="0.75">
      <c r="A1006" t="s">
        <v>10</v>
      </c>
      <c r="B1006" s="18">
        <v>2024</v>
      </c>
      <c r="C1006" s="4">
        <v>9</v>
      </c>
      <c r="D1006">
        <v>60</v>
      </c>
      <c r="E1006" s="33">
        <v>49.2</v>
      </c>
      <c r="F1006" s="19">
        <v>107.26</v>
      </c>
      <c r="G1006" s="19">
        <v>497.02</v>
      </c>
      <c r="H1006" s="3">
        <v>67.8</v>
      </c>
      <c r="I1006" s="19">
        <v>1695.075</v>
      </c>
      <c r="J1006" s="40">
        <v>6</v>
      </c>
      <c r="K1006" s="41">
        <v>15341</v>
      </c>
      <c r="L1006" s="24">
        <v>74</v>
      </c>
      <c r="M1006" s="19">
        <v>102.9</v>
      </c>
    </row>
    <row r="1007" spans="1:13" x14ac:dyDescent="0.75">
      <c r="A1007" t="s">
        <v>10</v>
      </c>
      <c r="B1007" s="18">
        <v>2024</v>
      </c>
      <c r="C1007" s="4">
        <v>10</v>
      </c>
      <c r="D1007">
        <v>101</v>
      </c>
      <c r="E1007" s="33">
        <v>49.2</v>
      </c>
      <c r="F1007" s="19">
        <v>107.47</v>
      </c>
      <c r="G1007" s="19">
        <v>723.22</v>
      </c>
      <c r="H1007" s="3">
        <v>232.41</v>
      </c>
      <c r="I1007" s="19">
        <v>1706.3330000000001</v>
      </c>
      <c r="J1007" s="40">
        <v>6</v>
      </c>
      <c r="K1007" s="41">
        <v>15541</v>
      </c>
      <c r="L1007" s="24">
        <v>75.599999999999994</v>
      </c>
      <c r="M1007" s="19">
        <v>102.8</v>
      </c>
    </row>
    <row r="1008" spans="1:13" x14ac:dyDescent="0.75">
      <c r="A1008" t="s">
        <v>10</v>
      </c>
      <c r="B1008" s="18">
        <v>2024</v>
      </c>
      <c r="C1008" s="4">
        <v>11</v>
      </c>
      <c r="D1008">
        <v>103</v>
      </c>
      <c r="E1008" s="33">
        <v>49.6</v>
      </c>
      <c r="F1008" s="19">
        <v>107.92</v>
      </c>
      <c r="G1008" s="19">
        <v>495.49</v>
      </c>
      <c r="H1008" s="3">
        <v>115.29</v>
      </c>
      <c r="I1008" s="19">
        <v>1682.396</v>
      </c>
      <c r="J1008" s="40">
        <v>6</v>
      </c>
      <c r="K1008" s="41">
        <v>15812</v>
      </c>
      <c r="L1008" s="24">
        <v>74.3</v>
      </c>
      <c r="M1008" s="19">
        <v>103</v>
      </c>
    </row>
    <row r="1009" spans="1:13" x14ac:dyDescent="0.75">
      <c r="A1009" t="s">
        <v>10</v>
      </c>
      <c r="B1009" s="18">
        <v>2024</v>
      </c>
      <c r="C1009" s="4">
        <v>12</v>
      </c>
      <c r="D1009">
        <v>143</v>
      </c>
      <c r="E1009" s="33">
        <v>51.2</v>
      </c>
      <c r="F1009" s="19">
        <v>108.43</v>
      </c>
      <c r="G1009" s="19">
        <v>569.76</v>
      </c>
      <c r="H1009" s="3">
        <v>188.37</v>
      </c>
      <c r="I1009" s="19">
        <v>1805.86</v>
      </c>
      <c r="J1009" s="40">
        <v>6</v>
      </c>
      <c r="K1009" s="41">
        <v>16024</v>
      </c>
      <c r="L1009" s="24">
        <v>73.900000000000006</v>
      </c>
      <c r="M1009" s="19">
        <v>103.4</v>
      </c>
    </row>
    <row r="1010" spans="1:13" x14ac:dyDescent="0.75">
      <c r="A1010" t="s">
        <v>11</v>
      </c>
      <c r="B1010" s="18">
        <v>2024</v>
      </c>
      <c r="C1010" s="4">
        <v>1</v>
      </c>
      <c r="D1010">
        <v>1</v>
      </c>
      <c r="E1010" s="33">
        <v>52.9</v>
      </c>
      <c r="F1010" s="29">
        <v>103.6</v>
      </c>
      <c r="G1010" s="19">
        <v>29.79</v>
      </c>
      <c r="H1010" s="26">
        <v>0.3</v>
      </c>
      <c r="I1010" s="19">
        <v>288.84800000000001</v>
      </c>
      <c r="J1010" s="40">
        <v>6</v>
      </c>
      <c r="K1010" s="41">
        <v>15611</v>
      </c>
      <c r="L1010" s="24">
        <v>80.099999999999994</v>
      </c>
      <c r="M1010" s="33">
        <v>102.1</v>
      </c>
    </row>
    <row r="1011" spans="1:13" x14ac:dyDescent="0.75">
      <c r="A1011" t="s">
        <v>11</v>
      </c>
      <c r="B1011" s="18">
        <v>2024</v>
      </c>
      <c r="C1011" s="4">
        <v>2</v>
      </c>
      <c r="D1011">
        <v>9</v>
      </c>
      <c r="E1011" s="33">
        <v>52.7</v>
      </c>
      <c r="F1011" s="29">
        <v>104</v>
      </c>
      <c r="G1011" s="19">
        <v>18.760000000000002</v>
      </c>
      <c r="H1011" s="26">
        <v>0.69</v>
      </c>
      <c r="I1011" s="19">
        <v>294.63099999999997</v>
      </c>
      <c r="J1011" s="40">
        <v>6</v>
      </c>
      <c r="K1011" s="41">
        <v>15665</v>
      </c>
      <c r="L1011" s="24">
        <v>83.5</v>
      </c>
      <c r="M1011" s="33">
        <v>103</v>
      </c>
    </row>
    <row r="1012" spans="1:13" x14ac:dyDescent="0.75">
      <c r="A1012" t="s">
        <v>11</v>
      </c>
      <c r="B1012" s="18">
        <v>2024</v>
      </c>
      <c r="C1012" s="4">
        <v>3</v>
      </c>
      <c r="D1012">
        <v>25</v>
      </c>
      <c r="E1012" s="33">
        <v>54.2</v>
      </c>
      <c r="F1012" s="29">
        <v>104.04</v>
      </c>
      <c r="G1012" s="19">
        <v>127.99</v>
      </c>
      <c r="H1012" s="26">
        <v>0.06</v>
      </c>
      <c r="I1012" s="19">
        <v>289.322</v>
      </c>
      <c r="J1012" s="40">
        <v>6</v>
      </c>
      <c r="K1012" s="41">
        <v>15703</v>
      </c>
      <c r="L1012" s="24">
        <v>85.4</v>
      </c>
      <c r="M1012" s="33">
        <v>103.5</v>
      </c>
    </row>
    <row r="1013" spans="1:13" x14ac:dyDescent="0.75">
      <c r="A1013" t="s">
        <v>11</v>
      </c>
      <c r="B1013" s="18">
        <v>2024</v>
      </c>
      <c r="C1013" s="4">
        <v>4</v>
      </c>
      <c r="D1013">
        <v>50</v>
      </c>
      <c r="E1013" s="33">
        <v>52.9</v>
      </c>
      <c r="F1013" s="29">
        <v>104.6</v>
      </c>
      <c r="G1013" s="19">
        <v>120.35</v>
      </c>
      <c r="H1013" s="26">
        <v>0.09</v>
      </c>
      <c r="I1013" s="19">
        <v>305.12200000000001</v>
      </c>
      <c r="J1013" s="40">
        <v>6.25</v>
      </c>
      <c r="K1013" s="41">
        <v>16100</v>
      </c>
      <c r="L1013" s="24">
        <v>89.9</v>
      </c>
      <c r="M1013" s="33">
        <v>103.4</v>
      </c>
    </row>
    <row r="1014" spans="1:13" x14ac:dyDescent="0.75">
      <c r="A1014" t="s">
        <v>11</v>
      </c>
      <c r="B1014" s="18">
        <v>2024</v>
      </c>
      <c r="C1014" s="4">
        <v>5</v>
      </c>
      <c r="D1014">
        <v>1423</v>
      </c>
      <c r="E1014" s="33">
        <v>52.1</v>
      </c>
      <c r="F1014" s="29">
        <v>104.27</v>
      </c>
      <c r="G1014" s="19">
        <v>130.63999999999999</v>
      </c>
      <c r="H1014" s="26">
        <v>0.48</v>
      </c>
      <c r="I1014" s="19">
        <v>299.58100000000002</v>
      </c>
      <c r="J1014" s="40">
        <v>6.25</v>
      </c>
      <c r="K1014" s="41">
        <v>16084</v>
      </c>
      <c r="L1014" s="24">
        <v>81.7</v>
      </c>
      <c r="M1014" s="19">
        <v>103.3</v>
      </c>
    </row>
    <row r="1015" spans="1:13" x14ac:dyDescent="0.75">
      <c r="A1015" t="s">
        <v>11</v>
      </c>
      <c r="B1015" s="18">
        <v>2024</v>
      </c>
      <c r="C1015" s="4">
        <v>6</v>
      </c>
      <c r="D1015">
        <v>1527</v>
      </c>
      <c r="E1015" s="33">
        <v>50.7</v>
      </c>
      <c r="F1015" s="29">
        <v>103.95</v>
      </c>
      <c r="G1015" s="19">
        <v>163.83000000000001</v>
      </c>
      <c r="H1015" s="26">
        <v>0.88</v>
      </c>
      <c r="I1015" s="19">
        <v>291.44299999999998</v>
      </c>
      <c r="J1015" s="40">
        <v>6.25</v>
      </c>
      <c r="K1015" s="41">
        <v>16329</v>
      </c>
      <c r="L1015" s="24">
        <v>82.2</v>
      </c>
      <c r="M1015" s="19">
        <v>103.3</v>
      </c>
    </row>
    <row r="1016" spans="1:13" x14ac:dyDescent="0.75">
      <c r="A1016" t="s">
        <v>11</v>
      </c>
      <c r="B1016" s="18">
        <v>2024</v>
      </c>
      <c r="C1016" s="4">
        <v>7</v>
      </c>
      <c r="D1016">
        <v>1560</v>
      </c>
      <c r="E1016" s="33">
        <v>49.3</v>
      </c>
      <c r="F1016" s="29">
        <v>103.54</v>
      </c>
      <c r="G1016" s="19">
        <v>133.84</v>
      </c>
      <c r="H1016" s="26">
        <v>2.38</v>
      </c>
      <c r="I1016" s="19">
        <v>327.50700000000001</v>
      </c>
      <c r="J1016" s="40">
        <v>6.25</v>
      </c>
      <c r="K1016" s="41">
        <v>16262</v>
      </c>
      <c r="L1016" s="24">
        <v>85.2</v>
      </c>
      <c r="M1016" s="19">
        <v>103.2</v>
      </c>
    </row>
    <row r="1017" spans="1:13" x14ac:dyDescent="0.75">
      <c r="A1017" t="s">
        <v>11</v>
      </c>
      <c r="B1017" s="18">
        <v>2024</v>
      </c>
      <c r="C1017" s="4">
        <v>8</v>
      </c>
      <c r="D1017">
        <v>1807</v>
      </c>
      <c r="E1017" s="33">
        <v>48.9</v>
      </c>
      <c r="F1017" s="29">
        <v>103.78</v>
      </c>
      <c r="G1017" s="19">
        <v>220.92</v>
      </c>
      <c r="H1017" s="26">
        <v>0.77</v>
      </c>
      <c r="I1017" s="19">
        <v>312.55200000000002</v>
      </c>
      <c r="J1017" s="40">
        <v>6.25</v>
      </c>
      <c r="K1017" s="41">
        <v>15793</v>
      </c>
      <c r="L1017" s="24">
        <v>80.400000000000006</v>
      </c>
      <c r="M1017" s="19">
        <v>103.1</v>
      </c>
    </row>
    <row r="1018" spans="1:13" x14ac:dyDescent="0.75">
      <c r="A1018" t="s">
        <v>11</v>
      </c>
      <c r="B1018" s="18">
        <v>2024</v>
      </c>
      <c r="C1018" s="4">
        <v>9</v>
      </c>
      <c r="D1018">
        <v>1843</v>
      </c>
      <c r="E1018" s="33">
        <v>49.2</v>
      </c>
      <c r="F1018" s="29">
        <v>103.76</v>
      </c>
      <c r="G1018" s="19">
        <v>180.19</v>
      </c>
      <c r="H1018" s="26">
        <v>3.74</v>
      </c>
      <c r="I1018" s="19">
        <v>296.452</v>
      </c>
      <c r="J1018" s="40">
        <v>6</v>
      </c>
      <c r="K1018" s="41">
        <v>15341</v>
      </c>
      <c r="L1018" s="24">
        <v>74</v>
      </c>
      <c r="M1018" s="19">
        <v>102.9</v>
      </c>
    </row>
    <row r="1019" spans="1:13" x14ac:dyDescent="0.75">
      <c r="A1019" t="s">
        <v>11</v>
      </c>
      <c r="B1019" s="18">
        <v>2024</v>
      </c>
      <c r="C1019" s="4">
        <v>10</v>
      </c>
      <c r="D1019">
        <v>1894</v>
      </c>
      <c r="E1019" s="33">
        <v>49.2</v>
      </c>
      <c r="F1019" s="29">
        <v>103.57</v>
      </c>
      <c r="G1019" s="19">
        <v>201.28</v>
      </c>
      <c r="H1019" s="26">
        <v>1.69</v>
      </c>
      <c r="I1019" s="19">
        <v>302.76900000000001</v>
      </c>
      <c r="J1019" s="40">
        <v>6</v>
      </c>
      <c r="K1019" s="41">
        <v>15541</v>
      </c>
      <c r="L1019" s="24">
        <v>75.599999999999994</v>
      </c>
      <c r="M1019" s="19">
        <v>102.8</v>
      </c>
    </row>
    <row r="1020" spans="1:13" x14ac:dyDescent="0.75">
      <c r="A1020" t="s">
        <v>11</v>
      </c>
      <c r="B1020" s="18">
        <v>2024</v>
      </c>
      <c r="C1020" s="4">
        <v>11</v>
      </c>
      <c r="D1020">
        <v>1902</v>
      </c>
      <c r="E1020" s="33">
        <v>49.6</v>
      </c>
      <c r="F1020" s="29">
        <v>103.58</v>
      </c>
      <c r="G1020" s="19">
        <v>227.88</v>
      </c>
      <c r="H1020" s="26"/>
      <c r="I1020" s="19">
        <v>309.14499999999998</v>
      </c>
      <c r="J1020" s="40">
        <v>6</v>
      </c>
      <c r="K1020" s="41">
        <v>15812</v>
      </c>
      <c r="L1020" s="24">
        <v>74.3</v>
      </c>
      <c r="M1020" s="19">
        <v>103</v>
      </c>
    </row>
    <row r="1021" spans="1:13" x14ac:dyDescent="0.75">
      <c r="A1021" t="s">
        <v>11</v>
      </c>
      <c r="B1021" s="18">
        <v>2024</v>
      </c>
      <c r="C1021" s="4">
        <v>12</v>
      </c>
      <c r="D1021">
        <v>1908</v>
      </c>
      <c r="E1021" s="33">
        <v>51.2</v>
      </c>
      <c r="F1021" s="29">
        <v>104.25</v>
      </c>
      <c r="G1021" s="19">
        <v>145.69</v>
      </c>
      <c r="H1021" s="26">
        <v>1.84</v>
      </c>
      <c r="I1021" s="19">
        <v>293.517</v>
      </c>
      <c r="J1021" s="40">
        <v>6</v>
      </c>
      <c r="K1021" s="41">
        <v>16024</v>
      </c>
      <c r="L1021" s="24">
        <v>73.900000000000006</v>
      </c>
      <c r="M1021" s="19">
        <v>103.4</v>
      </c>
    </row>
    <row r="1022" spans="1:13" x14ac:dyDescent="0.75">
      <c r="A1022" t="s">
        <v>12</v>
      </c>
      <c r="B1022" s="18">
        <v>2024</v>
      </c>
      <c r="C1022" s="4">
        <v>1</v>
      </c>
      <c r="D1022">
        <v>34</v>
      </c>
      <c r="E1022" s="33">
        <v>52.9</v>
      </c>
      <c r="F1022" s="19">
        <v>105.69</v>
      </c>
      <c r="G1022" s="26">
        <v>1291.4100000000001</v>
      </c>
      <c r="H1022" s="29">
        <v>1280.3800000000001</v>
      </c>
      <c r="I1022" s="19">
        <v>1944.8820000000001</v>
      </c>
      <c r="J1022" s="40">
        <v>6</v>
      </c>
      <c r="K1022" s="41">
        <v>15611</v>
      </c>
      <c r="L1022" s="24">
        <v>80.099999999999994</v>
      </c>
      <c r="M1022" s="33">
        <v>102.1</v>
      </c>
    </row>
    <row r="1023" spans="1:13" x14ac:dyDescent="0.75">
      <c r="A1023" t="s">
        <v>12</v>
      </c>
      <c r="B1023" s="18">
        <v>2024</v>
      </c>
      <c r="C1023" s="4">
        <v>2</v>
      </c>
      <c r="D1023">
        <v>62</v>
      </c>
      <c r="E1023" s="33">
        <v>52.7</v>
      </c>
      <c r="F1023" s="19">
        <v>105.46</v>
      </c>
      <c r="G1023" s="26">
        <v>1353.99</v>
      </c>
      <c r="H1023" s="29">
        <v>1431.16</v>
      </c>
      <c r="I1023" s="19">
        <v>1941.8589999999999</v>
      </c>
      <c r="J1023" s="40">
        <v>6</v>
      </c>
      <c r="K1023" s="41">
        <v>15665</v>
      </c>
      <c r="L1023" s="24">
        <v>83.5</v>
      </c>
      <c r="M1023" s="33">
        <v>103</v>
      </c>
    </row>
    <row r="1024" spans="1:13" x14ac:dyDescent="0.75">
      <c r="A1024" t="s">
        <v>12</v>
      </c>
      <c r="B1024" s="18">
        <v>2024</v>
      </c>
      <c r="C1024" s="4">
        <v>3</v>
      </c>
      <c r="D1024">
        <v>82</v>
      </c>
      <c r="E1024" s="33">
        <v>54.2</v>
      </c>
      <c r="F1024" s="19">
        <v>105.94</v>
      </c>
      <c r="G1024" s="26">
        <v>1784.29</v>
      </c>
      <c r="H1024" s="29">
        <v>1019.35</v>
      </c>
      <c r="I1024" s="19">
        <v>1891.981</v>
      </c>
      <c r="J1024" s="40">
        <v>6</v>
      </c>
      <c r="K1024" s="41">
        <v>15703</v>
      </c>
      <c r="L1024" s="24">
        <v>85.4</v>
      </c>
      <c r="M1024" s="33">
        <v>103.5</v>
      </c>
    </row>
    <row r="1025" spans="1:13" x14ac:dyDescent="0.75">
      <c r="A1025" t="s">
        <v>12</v>
      </c>
      <c r="B1025" s="18">
        <v>2024</v>
      </c>
      <c r="C1025" s="4">
        <v>4</v>
      </c>
      <c r="D1025">
        <v>98</v>
      </c>
      <c r="E1025" s="33">
        <v>52.9</v>
      </c>
      <c r="F1025" s="19">
        <v>106</v>
      </c>
      <c r="G1025" s="26">
        <v>1456.3</v>
      </c>
      <c r="H1025" s="29">
        <v>1517.8</v>
      </c>
      <c r="I1025" s="19">
        <v>2075.846</v>
      </c>
      <c r="J1025" s="40">
        <v>6.25</v>
      </c>
      <c r="K1025" s="41">
        <v>16100</v>
      </c>
      <c r="L1025" s="24">
        <v>89.9</v>
      </c>
      <c r="M1025" s="33">
        <v>103.4</v>
      </c>
    </row>
    <row r="1026" spans="1:13" x14ac:dyDescent="0.75">
      <c r="A1026" t="s">
        <v>12</v>
      </c>
      <c r="B1026" s="18">
        <v>2024</v>
      </c>
      <c r="C1026" s="4">
        <v>5</v>
      </c>
      <c r="D1026">
        <v>316</v>
      </c>
      <c r="E1026" s="33">
        <v>52.1</v>
      </c>
      <c r="F1026" s="19">
        <v>106.39</v>
      </c>
      <c r="G1026" s="26">
        <v>1659.59</v>
      </c>
      <c r="H1026" s="29">
        <v>1359.22</v>
      </c>
      <c r="I1026" s="19">
        <v>2028.3530000000001</v>
      </c>
      <c r="J1026" s="40">
        <v>6.25</v>
      </c>
      <c r="K1026" s="41">
        <v>16084</v>
      </c>
      <c r="L1026" s="24">
        <v>81.7</v>
      </c>
      <c r="M1026" s="19">
        <v>103.3</v>
      </c>
    </row>
    <row r="1027" spans="1:13" x14ac:dyDescent="0.75">
      <c r="A1027" t="s">
        <v>12</v>
      </c>
      <c r="B1027" s="18">
        <v>2024</v>
      </c>
      <c r="C1027" s="4">
        <v>6</v>
      </c>
      <c r="D1027">
        <v>341</v>
      </c>
      <c r="E1027" s="33">
        <v>50.7</v>
      </c>
      <c r="F1027" s="19">
        <v>106.69</v>
      </c>
      <c r="G1027" s="26">
        <v>1547.06</v>
      </c>
      <c r="H1027" s="29">
        <v>1378.88</v>
      </c>
      <c r="I1027" s="19">
        <v>1971.5909999999999</v>
      </c>
      <c r="J1027" s="40">
        <v>6.25</v>
      </c>
      <c r="K1027" s="41">
        <v>16329</v>
      </c>
      <c r="L1027" s="24">
        <v>82.2</v>
      </c>
      <c r="M1027" s="19">
        <v>103.3</v>
      </c>
    </row>
    <row r="1028" spans="1:13" x14ac:dyDescent="0.75">
      <c r="A1028" t="s">
        <v>12</v>
      </c>
      <c r="B1028" s="18">
        <v>2024</v>
      </c>
      <c r="C1028" s="4">
        <v>7</v>
      </c>
      <c r="D1028">
        <v>533</v>
      </c>
      <c r="E1028" s="33">
        <v>49.3</v>
      </c>
      <c r="F1028" s="19">
        <v>106.21</v>
      </c>
      <c r="G1028" s="26">
        <v>1644.97</v>
      </c>
      <c r="H1028" s="29">
        <v>1520.88</v>
      </c>
      <c r="I1028" s="19">
        <v>1988.029</v>
      </c>
      <c r="J1028" s="40">
        <v>6.25</v>
      </c>
      <c r="K1028" s="41">
        <v>16262</v>
      </c>
      <c r="L1028" s="24">
        <v>85.2</v>
      </c>
      <c r="M1028" s="19">
        <v>103.2</v>
      </c>
    </row>
    <row r="1029" spans="1:13" x14ac:dyDescent="0.75">
      <c r="A1029" t="s">
        <v>12</v>
      </c>
      <c r="B1029" s="18">
        <v>2024</v>
      </c>
      <c r="C1029" s="4">
        <v>8</v>
      </c>
      <c r="D1029">
        <v>540</v>
      </c>
      <c r="E1029" s="33">
        <v>48.9</v>
      </c>
      <c r="F1029" s="19">
        <v>106.17</v>
      </c>
      <c r="G1029" s="26">
        <v>1703.52</v>
      </c>
      <c r="H1029" s="29">
        <v>1469.72</v>
      </c>
      <c r="I1029" s="19">
        <v>1989.76</v>
      </c>
      <c r="J1029" s="40">
        <v>6.25</v>
      </c>
      <c r="K1029" s="41">
        <v>15793</v>
      </c>
      <c r="L1029" s="24">
        <v>80.400000000000006</v>
      </c>
      <c r="M1029" s="19">
        <v>103.1</v>
      </c>
    </row>
    <row r="1030" spans="1:13" x14ac:dyDescent="0.75">
      <c r="A1030" t="s">
        <v>12</v>
      </c>
      <c r="B1030" s="18">
        <v>2024</v>
      </c>
      <c r="C1030" s="4">
        <v>9</v>
      </c>
      <c r="D1030">
        <v>573</v>
      </c>
      <c r="E1030" s="33">
        <v>49.2</v>
      </c>
      <c r="F1030" s="19">
        <v>106.32</v>
      </c>
      <c r="G1030" s="26">
        <v>1431.33</v>
      </c>
      <c r="H1030" s="29">
        <v>1387.52</v>
      </c>
      <c r="I1030" s="19">
        <v>2000.2719999999999</v>
      </c>
      <c r="J1030" s="40">
        <v>6</v>
      </c>
      <c r="K1030" s="41">
        <v>15341</v>
      </c>
      <c r="L1030" s="24">
        <v>74</v>
      </c>
      <c r="M1030" s="19">
        <v>102.9</v>
      </c>
    </row>
    <row r="1031" spans="1:13" x14ac:dyDescent="0.75">
      <c r="A1031" t="s">
        <v>12</v>
      </c>
      <c r="B1031" s="18">
        <v>2024</v>
      </c>
      <c r="C1031" s="4">
        <v>10</v>
      </c>
      <c r="D1031">
        <v>578</v>
      </c>
      <c r="E1031" s="33">
        <v>49.2</v>
      </c>
      <c r="F1031" s="19">
        <v>106.38</v>
      </c>
      <c r="G1031" s="26">
        <v>1685.14</v>
      </c>
      <c r="H1031" s="29">
        <v>1703.91</v>
      </c>
      <c r="I1031" s="19">
        <v>2041.308</v>
      </c>
      <c r="J1031" s="40">
        <v>6</v>
      </c>
      <c r="K1031" s="41">
        <v>15541</v>
      </c>
      <c r="L1031" s="24">
        <v>75.599999999999994</v>
      </c>
      <c r="M1031" s="19">
        <v>102.8</v>
      </c>
    </row>
    <row r="1032" spans="1:13" x14ac:dyDescent="0.75">
      <c r="A1032" t="s">
        <v>12</v>
      </c>
      <c r="B1032" s="18">
        <v>2024</v>
      </c>
      <c r="C1032" s="4">
        <v>11</v>
      </c>
      <c r="D1032">
        <v>615</v>
      </c>
      <c r="E1032" s="33">
        <v>49.6</v>
      </c>
      <c r="F1032" s="19">
        <v>106.63</v>
      </c>
      <c r="G1032" s="26">
        <v>1846.47</v>
      </c>
      <c r="H1032" s="29">
        <v>1665.7</v>
      </c>
      <c r="I1032" s="19">
        <v>1942.6010000000001</v>
      </c>
      <c r="J1032" s="40">
        <v>6</v>
      </c>
      <c r="K1032" s="41">
        <v>15812</v>
      </c>
      <c r="L1032" s="24">
        <v>74.3</v>
      </c>
      <c r="M1032" s="19">
        <v>103</v>
      </c>
    </row>
    <row r="1033" spans="1:13" x14ac:dyDescent="0.75">
      <c r="A1033" t="s">
        <v>12</v>
      </c>
      <c r="B1033" s="18">
        <v>2024</v>
      </c>
      <c r="C1033" s="4">
        <v>12</v>
      </c>
      <c r="D1033">
        <v>654</v>
      </c>
      <c r="E1033" s="33">
        <v>51.2</v>
      </c>
      <c r="F1033" s="19">
        <v>107.35</v>
      </c>
      <c r="G1033" s="26">
        <v>1600.38</v>
      </c>
      <c r="H1033" s="29">
        <v>1607.57</v>
      </c>
      <c r="I1033" s="19">
        <v>1923.82</v>
      </c>
      <c r="J1033" s="40">
        <v>6</v>
      </c>
      <c r="K1033" s="41">
        <v>16024</v>
      </c>
      <c r="L1033" s="24">
        <v>73.900000000000006</v>
      </c>
      <c r="M1033" s="19">
        <v>103.4</v>
      </c>
    </row>
    <row r="1034" spans="1:13" x14ac:dyDescent="0.75">
      <c r="A1034" t="s">
        <v>13</v>
      </c>
      <c r="B1034" s="18">
        <v>2024</v>
      </c>
      <c r="C1034" s="4">
        <v>1</v>
      </c>
      <c r="D1034">
        <v>0</v>
      </c>
      <c r="E1034" s="33">
        <v>52.9</v>
      </c>
      <c r="F1034" s="29">
        <v>103.95</v>
      </c>
      <c r="G1034" s="29">
        <v>833.17</v>
      </c>
      <c r="H1034" s="29">
        <v>8076.79</v>
      </c>
      <c r="I1034" s="19">
        <v>69608.520999999993</v>
      </c>
      <c r="J1034" s="40">
        <v>6</v>
      </c>
      <c r="K1034" s="41">
        <v>15611</v>
      </c>
      <c r="L1034" s="24">
        <v>80.099999999999994</v>
      </c>
      <c r="M1034" s="33">
        <v>102.1</v>
      </c>
    </row>
    <row r="1035" spans="1:13" x14ac:dyDescent="0.75">
      <c r="A1035" t="s">
        <v>13</v>
      </c>
      <c r="B1035" s="18">
        <v>2024</v>
      </c>
      <c r="C1035" s="4">
        <v>2</v>
      </c>
      <c r="D1035">
        <v>3651</v>
      </c>
      <c r="E1035" s="33">
        <v>52.7</v>
      </c>
      <c r="F1035" s="29">
        <v>104.42</v>
      </c>
      <c r="G1035" s="29">
        <v>772.85</v>
      </c>
      <c r="H1035" s="29">
        <v>7716.83</v>
      </c>
      <c r="I1035" s="19">
        <v>69804.45</v>
      </c>
      <c r="J1035" s="40">
        <v>6</v>
      </c>
      <c r="K1035" s="41">
        <v>15665</v>
      </c>
      <c r="L1035" s="24">
        <v>83.5</v>
      </c>
      <c r="M1035" s="33">
        <v>103</v>
      </c>
    </row>
    <row r="1036" spans="1:13" x14ac:dyDescent="0.75">
      <c r="A1036" t="s">
        <v>13</v>
      </c>
      <c r="B1036" s="18">
        <v>2024</v>
      </c>
      <c r="C1036" s="4">
        <v>3</v>
      </c>
      <c r="D1036">
        <v>5225</v>
      </c>
      <c r="E1036" s="33">
        <v>54.2</v>
      </c>
      <c r="F1036" s="29">
        <v>104.81</v>
      </c>
      <c r="G1036" s="29">
        <v>1140.3</v>
      </c>
      <c r="H1036" s="29">
        <v>8200.81</v>
      </c>
      <c r="I1036" s="19">
        <v>67623.024000000005</v>
      </c>
      <c r="J1036" s="40">
        <v>6</v>
      </c>
      <c r="K1036" s="41">
        <v>15703</v>
      </c>
      <c r="L1036" s="24">
        <v>85.4</v>
      </c>
      <c r="M1036" s="33">
        <v>103.5</v>
      </c>
    </row>
    <row r="1037" spans="1:13" x14ac:dyDescent="0.75">
      <c r="A1037" t="s">
        <v>13</v>
      </c>
      <c r="B1037" s="18">
        <v>2024</v>
      </c>
      <c r="C1037" s="4">
        <v>4</v>
      </c>
      <c r="D1037">
        <v>4807</v>
      </c>
      <c r="E1037" s="33">
        <v>52.9</v>
      </c>
      <c r="F1037" s="29">
        <v>105.08</v>
      </c>
      <c r="G1037" s="29">
        <v>805.11</v>
      </c>
      <c r="H1037" s="29">
        <v>7165.46</v>
      </c>
      <c r="I1037" s="19">
        <v>69111.856</v>
      </c>
      <c r="J1037" s="40">
        <v>6.25</v>
      </c>
      <c r="K1037" s="41">
        <v>16100</v>
      </c>
      <c r="L1037" s="24">
        <v>89.9</v>
      </c>
      <c r="M1037" s="33">
        <v>103.4</v>
      </c>
    </row>
    <row r="1038" spans="1:13" x14ac:dyDescent="0.75">
      <c r="A1038" t="s">
        <v>13</v>
      </c>
      <c r="B1038" s="18">
        <v>2024</v>
      </c>
      <c r="C1038" s="4">
        <v>5</v>
      </c>
      <c r="D1038">
        <v>5574</v>
      </c>
      <c r="E1038" s="33">
        <v>52.1</v>
      </c>
      <c r="F1038" s="29">
        <v>104.97</v>
      </c>
      <c r="G1038" s="29">
        <v>1029.4000000000001</v>
      </c>
      <c r="H1038" s="29">
        <v>9065.81</v>
      </c>
      <c r="I1038" s="19">
        <v>71972.502999999997</v>
      </c>
      <c r="J1038" s="40">
        <v>6.25</v>
      </c>
      <c r="K1038" s="41">
        <v>16084</v>
      </c>
      <c r="L1038" s="24">
        <v>81.7</v>
      </c>
      <c r="M1038" s="19">
        <v>103.3</v>
      </c>
    </row>
    <row r="1039" spans="1:13" x14ac:dyDescent="0.75">
      <c r="A1039" t="s">
        <v>13</v>
      </c>
      <c r="B1039" s="18">
        <v>2024</v>
      </c>
      <c r="C1039" s="4">
        <v>6</v>
      </c>
      <c r="D1039">
        <v>7469</v>
      </c>
      <c r="E1039" s="33">
        <v>50.7</v>
      </c>
      <c r="F1039" s="29">
        <v>105.1</v>
      </c>
      <c r="G1039" s="29">
        <v>1171.49</v>
      </c>
      <c r="H1039" s="29">
        <v>8685.35</v>
      </c>
      <c r="I1039" s="19">
        <v>71633.585999999996</v>
      </c>
      <c r="J1039" s="40">
        <v>6.25</v>
      </c>
      <c r="K1039" s="41">
        <v>16329</v>
      </c>
      <c r="L1039" s="24">
        <v>82.2</v>
      </c>
      <c r="M1039" s="19">
        <v>103.3</v>
      </c>
    </row>
    <row r="1040" spans="1:13" x14ac:dyDescent="0.75">
      <c r="A1040" t="s">
        <v>13</v>
      </c>
      <c r="B1040" s="18">
        <v>2024</v>
      </c>
      <c r="C1040" s="4">
        <v>7</v>
      </c>
      <c r="D1040">
        <v>7469</v>
      </c>
      <c r="E1040" s="33">
        <v>49.3</v>
      </c>
      <c r="F1040" s="29">
        <v>105.04</v>
      </c>
      <c r="G1040" s="29">
        <v>1299.7</v>
      </c>
      <c r="H1040" s="29">
        <v>10465.36</v>
      </c>
      <c r="I1040" s="19">
        <v>71542.013000000006</v>
      </c>
      <c r="J1040" s="40">
        <v>6.25</v>
      </c>
      <c r="K1040" s="41">
        <v>16262</v>
      </c>
      <c r="L1040" s="24">
        <v>85.2</v>
      </c>
      <c r="M1040" s="19">
        <v>103.2</v>
      </c>
    </row>
    <row r="1041" spans="1:13" x14ac:dyDescent="0.75">
      <c r="A1041" t="s">
        <v>13</v>
      </c>
      <c r="B1041" s="18">
        <v>2024</v>
      </c>
      <c r="C1041" s="4">
        <v>8</v>
      </c>
      <c r="D1041">
        <v>7469</v>
      </c>
      <c r="E1041" s="33">
        <v>48.9</v>
      </c>
      <c r="F1041" s="29">
        <v>105.08</v>
      </c>
      <c r="G1041" s="29">
        <v>1289.1099999999999</v>
      </c>
      <c r="H1041" s="29">
        <v>10496.99</v>
      </c>
      <c r="I1041" s="19">
        <v>71051.554000000004</v>
      </c>
      <c r="J1041" s="40">
        <v>6.25</v>
      </c>
      <c r="K1041" s="41">
        <v>15793</v>
      </c>
      <c r="L1041" s="24">
        <v>80.400000000000006</v>
      </c>
      <c r="M1041" s="19">
        <v>103.1</v>
      </c>
    </row>
    <row r="1042" spans="1:13" x14ac:dyDescent="0.75">
      <c r="A1042" t="s">
        <v>13</v>
      </c>
      <c r="B1042" s="18">
        <v>2024</v>
      </c>
      <c r="C1042" s="4">
        <v>9</v>
      </c>
      <c r="D1042">
        <v>11210</v>
      </c>
      <c r="E1042" s="33">
        <v>49.2</v>
      </c>
      <c r="F1042" s="29">
        <v>104.97</v>
      </c>
      <c r="G1042" s="29">
        <v>1243.8900000000001</v>
      </c>
      <c r="H1042" s="29">
        <v>9541.9500000000007</v>
      </c>
      <c r="I1042" s="19">
        <v>69125.25</v>
      </c>
      <c r="J1042" s="40">
        <v>6</v>
      </c>
      <c r="K1042" s="41">
        <v>15341</v>
      </c>
      <c r="L1042" s="24">
        <v>74</v>
      </c>
      <c r="M1042" s="19">
        <v>102.9</v>
      </c>
    </row>
    <row r="1043" spans="1:13" x14ac:dyDescent="0.75">
      <c r="A1043" t="s">
        <v>13</v>
      </c>
      <c r="B1043" s="18">
        <v>2024</v>
      </c>
      <c r="C1043" s="4">
        <v>10</v>
      </c>
      <c r="D1043">
        <v>14501</v>
      </c>
      <c r="E1043" s="33">
        <v>49.2</v>
      </c>
      <c r="F1043" s="29">
        <v>105</v>
      </c>
      <c r="G1043" s="29">
        <v>1443.3</v>
      </c>
      <c r="H1043" s="29">
        <v>10540.49</v>
      </c>
      <c r="I1043" s="19">
        <v>69112.077999999994</v>
      </c>
      <c r="J1043" s="40">
        <v>6</v>
      </c>
      <c r="K1043" s="41">
        <v>15541</v>
      </c>
      <c r="L1043" s="24">
        <v>75.599999999999994</v>
      </c>
      <c r="M1043" s="19">
        <v>102.8</v>
      </c>
    </row>
    <row r="1044" spans="1:13" x14ac:dyDescent="0.75">
      <c r="A1044" t="s">
        <v>13</v>
      </c>
      <c r="B1044" s="18">
        <v>2024</v>
      </c>
      <c r="C1044" s="4">
        <v>11</v>
      </c>
      <c r="D1044">
        <v>14501</v>
      </c>
      <c r="E1044" s="33">
        <v>49.6</v>
      </c>
      <c r="F1044" s="29">
        <v>105.3</v>
      </c>
      <c r="G1044" s="29">
        <v>1342.17</v>
      </c>
      <c r="H1044" s="29">
        <v>9935.59</v>
      </c>
      <c r="I1044" s="19">
        <v>69162.324999999997</v>
      </c>
      <c r="J1044" s="40">
        <v>6</v>
      </c>
      <c r="K1044" s="41">
        <v>15812</v>
      </c>
      <c r="L1044" s="24">
        <v>74.3</v>
      </c>
      <c r="M1044" s="19">
        <v>103</v>
      </c>
    </row>
    <row r="1045" spans="1:13" x14ac:dyDescent="0.75">
      <c r="A1045" t="s">
        <v>13</v>
      </c>
      <c r="B1045" s="18">
        <v>2024</v>
      </c>
      <c r="C1045" s="4">
        <v>12</v>
      </c>
      <c r="D1045">
        <v>17085</v>
      </c>
      <c r="E1045" s="33">
        <v>51.2</v>
      </c>
      <c r="F1045" s="29">
        <v>105.69</v>
      </c>
      <c r="G1045" s="29">
        <v>1399.14</v>
      </c>
      <c r="H1045" s="29">
        <v>10107.36</v>
      </c>
      <c r="I1045" s="19">
        <v>68140.743000000002</v>
      </c>
      <c r="J1045" s="40">
        <v>6</v>
      </c>
      <c r="K1045" s="41">
        <v>16024</v>
      </c>
      <c r="L1045" s="24">
        <v>73.900000000000006</v>
      </c>
      <c r="M1045" s="19">
        <v>103.4</v>
      </c>
    </row>
    <row r="1046" spans="1:13" x14ac:dyDescent="0.75">
      <c r="A1046" t="s">
        <v>14</v>
      </c>
      <c r="B1046" s="18">
        <v>2024</v>
      </c>
      <c r="C1046" s="4">
        <v>1</v>
      </c>
      <c r="D1046">
        <v>306</v>
      </c>
      <c r="E1046" s="33">
        <v>52.9</v>
      </c>
      <c r="F1046" s="29">
        <v>105.76</v>
      </c>
      <c r="G1046" s="29">
        <v>2942.89</v>
      </c>
      <c r="H1046" s="26">
        <v>580.02</v>
      </c>
      <c r="I1046" s="19">
        <v>17906.401000000002</v>
      </c>
      <c r="J1046" s="40">
        <v>6</v>
      </c>
      <c r="K1046" s="41">
        <v>15611</v>
      </c>
      <c r="L1046" s="24">
        <v>80.099999999999994</v>
      </c>
      <c r="M1046" s="33">
        <v>102.1</v>
      </c>
    </row>
    <row r="1047" spans="1:13" x14ac:dyDescent="0.75">
      <c r="A1047" t="s">
        <v>14</v>
      </c>
      <c r="B1047" s="18">
        <v>2024</v>
      </c>
      <c r="C1047" s="4">
        <v>2</v>
      </c>
      <c r="D1047">
        <v>654</v>
      </c>
      <c r="E1047" s="33">
        <v>52.7</v>
      </c>
      <c r="F1047" s="29">
        <v>106.24</v>
      </c>
      <c r="G1047" s="29">
        <v>3004.31</v>
      </c>
      <c r="H1047" s="26">
        <v>652.69000000000005</v>
      </c>
      <c r="I1047" s="19">
        <v>17800.696</v>
      </c>
      <c r="J1047" s="40">
        <v>6</v>
      </c>
      <c r="K1047" s="41">
        <v>15665</v>
      </c>
      <c r="L1047" s="24">
        <v>83.5</v>
      </c>
      <c r="M1047" s="33">
        <v>103</v>
      </c>
    </row>
    <row r="1048" spans="1:13" x14ac:dyDescent="0.75">
      <c r="A1048" t="s">
        <v>14</v>
      </c>
      <c r="B1048" s="18">
        <v>2024</v>
      </c>
      <c r="C1048" s="4">
        <v>3</v>
      </c>
      <c r="D1048">
        <v>1690</v>
      </c>
      <c r="E1048" s="33">
        <v>54.2</v>
      </c>
      <c r="F1048" s="29">
        <v>106.78</v>
      </c>
      <c r="G1048" s="29">
        <v>3196.56</v>
      </c>
      <c r="H1048" s="26">
        <v>456.03</v>
      </c>
      <c r="I1048" s="19">
        <v>17391.478999999999</v>
      </c>
      <c r="J1048" s="40">
        <v>6</v>
      </c>
      <c r="K1048" s="41">
        <v>15703</v>
      </c>
      <c r="L1048" s="24">
        <v>85.4</v>
      </c>
      <c r="M1048" s="33">
        <v>103.5</v>
      </c>
    </row>
    <row r="1049" spans="1:13" x14ac:dyDescent="0.75">
      <c r="A1049" t="s">
        <v>14</v>
      </c>
      <c r="B1049" s="18">
        <v>2024</v>
      </c>
      <c r="C1049" s="4">
        <v>4</v>
      </c>
      <c r="D1049">
        <v>2756</v>
      </c>
      <c r="E1049" s="33">
        <v>52.9</v>
      </c>
      <c r="F1049" s="29">
        <v>106.94</v>
      </c>
      <c r="G1049" s="29">
        <v>2500</v>
      </c>
      <c r="H1049" s="26">
        <v>315.42</v>
      </c>
      <c r="I1049" s="19">
        <v>18254.001</v>
      </c>
      <c r="J1049" s="40">
        <v>6.25</v>
      </c>
      <c r="K1049" s="41">
        <v>16100</v>
      </c>
      <c r="L1049" s="24">
        <v>89.9</v>
      </c>
      <c r="M1049" s="33">
        <v>103.4</v>
      </c>
    </row>
    <row r="1050" spans="1:13" x14ac:dyDescent="0.75">
      <c r="A1050" t="s">
        <v>14</v>
      </c>
      <c r="B1050" s="18">
        <v>2024</v>
      </c>
      <c r="C1050" s="4">
        <v>5</v>
      </c>
      <c r="D1050">
        <v>4327</v>
      </c>
      <c r="E1050" s="33">
        <v>52.1</v>
      </c>
      <c r="F1050" s="29">
        <v>106.81</v>
      </c>
      <c r="G1050" s="29">
        <v>3339.31</v>
      </c>
      <c r="H1050" s="26">
        <v>418.52</v>
      </c>
      <c r="I1050" s="19">
        <v>18153.945</v>
      </c>
      <c r="J1050" s="40">
        <v>6.25</v>
      </c>
      <c r="K1050" s="41">
        <v>16084</v>
      </c>
      <c r="L1050" s="24">
        <v>81.7</v>
      </c>
      <c r="M1050" s="19">
        <v>103.3</v>
      </c>
    </row>
    <row r="1051" spans="1:13" x14ac:dyDescent="0.75">
      <c r="A1051" t="s">
        <v>14</v>
      </c>
      <c r="B1051" s="18">
        <v>2024</v>
      </c>
      <c r="C1051" s="4">
        <v>6</v>
      </c>
      <c r="D1051">
        <v>5155</v>
      </c>
      <c r="E1051" s="33">
        <v>50.7</v>
      </c>
      <c r="F1051" s="29">
        <v>106.77</v>
      </c>
      <c r="G1051" s="29">
        <v>3000.69</v>
      </c>
      <c r="H1051" s="26">
        <v>421.83</v>
      </c>
      <c r="I1051" s="19">
        <v>17288.269</v>
      </c>
      <c r="J1051" s="40">
        <v>6.25</v>
      </c>
      <c r="K1051" s="41">
        <v>16329</v>
      </c>
      <c r="L1051" s="24">
        <v>82.2</v>
      </c>
      <c r="M1051" s="19">
        <v>103.3</v>
      </c>
    </row>
    <row r="1052" spans="1:13" x14ac:dyDescent="0.75">
      <c r="A1052" t="s">
        <v>14</v>
      </c>
      <c r="B1052" s="18">
        <v>2024</v>
      </c>
      <c r="C1052" s="4">
        <v>7</v>
      </c>
      <c r="D1052">
        <v>5567</v>
      </c>
      <c r="E1052" s="33">
        <v>49.3</v>
      </c>
      <c r="F1052" s="29">
        <v>106.83</v>
      </c>
      <c r="G1052" s="29">
        <v>3336.81</v>
      </c>
      <c r="H1052" s="26">
        <v>425.98</v>
      </c>
      <c r="I1052" s="19">
        <v>18177.169000000002</v>
      </c>
      <c r="J1052" s="40">
        <v>6.25</v>
      </c>
      <c r="K1052" s="41">
        <v>16262</v>
      </c>
      <c r="L1052" s="24">
        <v>85.2</v>
      </c>
      <c r="M1052" s="19">
        <v>103.2</v>
      </c>
    </row>
    <row r="1053" spans="1:13" x14ac:dyDescent="0.75">
      <c r="A1053" t="s">
        <v>14</v>
      </c>
      <c r="B1053" s="18">
        <v>2024</v>
      </c>
      <c r="C1053" s="4">
        <v>8</v>
      </c>
      <c r="D1053">
        <v>6210</v>
      </c>
      <c r="E1053" s="33">
        <v>48.9</v>
      </c>
      <c r="F1053" s="29">
        <v>106.9</v>
      </c>
      <c r="G1053" s="29">
        <v>3535.89</v>
      </c>
      <c r="H1053" s="26">
        <v>402.96</v>
      </c>
      <c r="I1053" s="19">
        <v>18410.627</v>
      </c>
      <c r="J1053" s="40">
        <v>6.25</v>
      </c>
      <c r="K1053" s="41">
        <v>15793</v>
      </c>
      <c r="L1053" s="24">
        <v>80.400000000000006</v>
      </c>
      <c r="M1053" s="19">
        <v>103.1</v>
      </c>
    </row>
    <row r="1054" spans="1:13" x14ac:dyDescent="0.75">
      <c r="A1054" t="s">
        <v>14</v>
      </c>
      <c r="B1054" s="18">
        <v>2024</v>
      </c>
      <c r="C1054" s="4">
        <v>9</v>
      </c>
      <c r="D1054">
        <v>7401</v>
      </c>
      <c r="E1054" s="33">
        <v>49.2</v>
      </c>
      <c r="F1054" s="29">
        <v>106.68</v>
      </c>
      <c r="G1054" s="29">
        <v>3242.85</v>
      </c>
      <c r="H1054" s="26">
        <v>281.04000000000002</v>
      </c>
      <c r="I1054" s="19">
        <v>18613.126</v>
      </c>
      <c r="J1054" s="40">
        <v>6</v>
      </c>
      <c r="K1054" s="41">
        <v>15341</v>
      </c>
      <c r="L1054" s="24">
        <v>74</v>
      </c>
      <c r="M1054" s="19">
        <v>102.9</v>
      </c>
    </row>
    <row r="1055" spans="1:13" x14ac:dyDescent="0.75">
      <c r="A1055" t="s">
        <v>14</v>
      </c>
      <c r="B1055" s="18">
        <v>2024</v>
      </c>
      <c r="C1055" s="4">
        <v>10</v>
      </c>
      <c r="D1055">
        <v>8508</v>
      </c>
      <c r="E1055" s="33">
        <v>49.2</v>
      </c>
      <c r="F1055" s="29">
        <v>106.7</v>
      </c>
      <c r="G1055" s="29">
        <v>3428.98</v>
      </c>
      <c r="H1055" s="26">
        <v>466.82</v>
      </c>
      <c r="I1055" s="19">
        <v>19068.288</v>
      </c>
      <c r="J1055" s="40">
        <v>6</v>
      </c>
      <c r="K1055" s="41">
        <v>15541</v>
      </c>
      <c r="L1055" s="24">
        <v>75.599999999999994</v>
      </c>
      <c r="M1055" s="19">
        <v>102.8</v>
      </c>
    </row>
    <row r="1056" spans="1:13" x14ac:dyDescent="0.75">
      <c r="A1056" t="s">
        <v>14</v>
      </c>
      <c r="B1056" s="18">
        <v>2024</v>
      </c>
      <c r="C1056" s="4">
        <v>11</v>
      </c>
      <c r="D1056">
        <v>9510</v>
      </c>
      <c r="E1056" s="33">
        <v>49.6</v>
      </c>
      <c r="F1056" s="29">
        <v>106.96</v>
      </c>
      <c r="G1056" s="29">
        <v>3209.7</v>
      </c>
      <c r="H1056" s="26">
        <v>388.91</v>
      </c>
      <c r="I1056" s="19">
        <v>19605.546999999999</v>
      </c>
      <c r="J1056" s="40">
        <v>6</v>
      </c>
      <c r="K1056" s="41">
        <v>15812</v>
      </c>
      <c r="L1056" s="24">
        <v>74.3</v>
      </c>
      <c r="M1056" s="19">
        <v>103</v>
      </c>
    </row>
    <row r="1057" spans="1:13" x14ac:dyDescent="0.75">
      <c r="A1057" t="s">
        <v>14</v>
      </c>
      <c r="B1057" s="18">
        <v>2024</v>
      </c>
      <c r="C1057" s="4">
        <v>12</v>
      </c>
      <c r="D1057">
        <v>10661</v>
      </c>
      <c r="E1057" s="33">
        <v>51.2</v>
      </c>
      <c r="F1057" s="29">
        <v>107.33</v>
      </c>
      <c r="G1057" s="29">
        <v>3146.82</v>
      </c>
      <c r="H1057" s="26">
        <v>426.66</v>
      </c>
      <c r="I1057" s="19">
        <v>19291.357</v>
      </c>
      <c r="J1057" s="40">
        <v>6</v>
      </c>
      <c r="K1057" s="41">
        <v>16024</v>
      </c>
      <c r="L1057" s="24">
        <v>73.900000000000006</v>
      </c>
      <c r="M1057" s="19">
        <v>103.4</v>
      </c>
    </row>
    <row r="1058" spans="1:13" x14ac:dyDescent="0.75">
      <c r="A1058" t="s">
        <v>15</v>
      </c>
      <c r="B1058" s="18">
        <v>2024</v>
      </c>
      <c r="C1058" s="4">
        <v>1</v>
      </c>
      <c r="D1058">
        <v>2807</v>
      </c>
      <c r="E1058" s="33">
        <v>52.9</v>
      </c>
      <c r="F1058" s="26">
        <v>105.23</v>
      </c>
      <c r="G1058" s="26">
        <v>947.89</v>
      </c>
      <c r="H1058" s="19">
        <v>1309.76</v>
      </c>
      <c r="I1058" s="19">
        <v>16801.348000000002</v>
      </c>
      <c r="J1058" s="40">
        <v>6</v>
      </c>
      <c r="K1058" s="41">
        <v>15611</v>
      </c>
      <c r="L1058" s="24">
        <v>80.099999999999994</v>
      </c>
      <c r="M1058" s="33">
        <v>102.1</v>
      </c>
    </row>
    <row r="1059" spans="1:13" x14ac:dyDescent="0.75">
      <c r="A1059" t="s">
        <v>15</v>
      </c>
      <c r="B1059" s="18">
        <v>2024</v>
      </c>
      <c r="C1059" s="4">
        <v>2</v>
      </c>
      <c r="D1059">
        <v>2886</v>
      </c>
      <c r="E1059" s="33">
        <v>52.7</v>
      </c>
      <c r="F1059" s="26">
        <v>105.83</v>
      </c>
      <c r="G1059" s="26">
        <v>933.1</v>
      </c>
      <c r="H1059" s="19">
        <v>1399.83</v>
      </c>
      <c r="I1059" s="19">
        <v>16963.365000000002</v>
      </c>
      <c r="J1059" s="40">
        <v>6</v>
      </c>
      <c r="K1059" s="41">
        <v>15665</v>
      </c>
      <c r="L1059" s="24">
        <v>83.5</v>
      </c>
      <c r="M1059" s="33">
        <v>103</v>
      </c>
    </row>
    <row r="1060" spans="1:13" x14ac:dyDescent="0.75">
      <c r="A1060" t="s">
        <v>15</v>
      </c>
      <c r="B1060" s="18">
        <v>2024</v>
      </c>
      <c r="C1060" s="4">
        <v>3</v>
      </c>
      <c r="D1060">
        <v>2955</v>
      </c>
      <c r="E1060" s="33">
        <v>54.2</v>
      </c>
      <c r="F1060" s="26">
        <v>106.46</v>
      </c>
      <c r="G1060" s="26">
        <v>966.34</v>
      </c>
      <c r="H1060" s="19">
        <v>1058.73</v>
      </c>
      <c r="I1060" s="19">
        <v>16945.911</v>
      </c>
      <c r="J1060" s="40">
        <v>6</v>
      </c>
      <c r="K1060" s="41">
        <v>15703</v>
      </c>
      <c r="L1060" s="24">
        <v>85.4</v>
      </c>
      <c r="M1060" s="33">
        <v>103.5</v>
      </c>
    </row>
    <row r="1061" spans="1:13" x14ac:dyDescent="0.75">
      <c r="A1061" t="s">
        <v>15</v>
      </c>
      <c r="B1061" s="18">
        <v>2024</v>
      </c>
      <c r="C1061" s="4">
        <v>4</v>
      </c>
      <c r="D1061">
        <v>3648</v>
      </c>
      <c r="E1061" s="33">
        <v>52.9</v>
      </c>
      <c r="F1061" s="26">
        <v>106.67</v>
      </c>
      <c r="G1061" s="26">
        <v>759.75</v>
      </c>
      <c r="H1061" s="19">
        <v>1084.97</v>
      </c>
      <c r="I1061" s="19">
        <v>17756.724999999999</v>
      </c>
      <c r="J1061" s="40">
        <v>6.25</v>
      </c>
      <c r="K1061" s="41">
        <v>16100</v>
      </c>
      <c r="L1061" s="24">
        <v>89.9</v>
      </c>
      <c r="M1061" s="33">
        <v>103.4</v>
      </c>
    </row>
    <row r="1062" spans="1:13" x14ac:dyDescent="0.75">
      <c r="A1062" t="s">
        <v>15</v>
      </c>
      <c r="B1062" s="18">
        <v>2024</v>
      </c>
      <c r="C1062" s="4">
        <v>5</v>
      </c>
      <c r="D1062">
        <v>3795</v>
      </c>
      <c r="E1062" s="33">
        <v>52.1</v>
      </c>
      <c r="F1062" s="26">
        <v>106.44</v>
      </c>
      <c r="G1062" s="26">
        <v>1013.42</v>
      </c>
      <c r="H1062" s="19">
        <v>1342.14</v>
      </c>
      <c r="I1062" s="19">
        <v>16351.07</v>
      </c>
      <c r="J1062" s="40">
        <v>6.25</v>
      </c>
      <c r="K1062" s="41">
        <v>16084</v>
      </c>
      <c r="L1062" s="24">
        <v>81.7</v>
      </c>
      <c r="M1062" s="19">
        <v>103.3</v>
      </c>
    </row>
    <row r="1063" spans="1:13" x14ac:dyDescent="0.75">
      <c r="A1063" t="s">
        <v>15</v>
      </c>
      <c r="B1063" s="18">
        <v>2024</v>
      </c>
      <c r="C1063" s="4">
        <v>6</v>
      </c>
      <c r="D1063">
        <v>4275</v>
      </c>
      <c r="E1063" s="33">
        <v>50.7</v>
      </c>
      <c r="F1063" s="26">
        <v>106.14</v>
      </c>
      <c r="G1063" s="26">
        <v>885.82</v>
      </c>
      <c r="H1063" s="19">
        <v>1377.62</v>
      </c>
      <c r="I1063" s="19">
        <v>18555.726999999999</v>
      </c>
      <c r="J1063" s="40">
        <v>6.25</v>
      </c>
      <c r="K1063" s="41">
        <v>16329</v>
      </c>
      <c r="L1063" s="24">
        <v>82.2</v>
      </c>
      <c r="M1063" s="19">
        <v>103.3</v>
      </c>
    </row>
    <row r="1064" spans="1:13" x14ac:dyDescent="0.75">
      <c r="A1064" t="s">
        <v>15</v>
      </c>
      <c r="B1064" s="18">
        <v>2024</v>
      </c>
      <c r="C1064" s="4">
        <v>7</v>
      </c>
      <c r="D1064">
        <v>13722</v>
      </c>
      <c r="E1064" s="33">
        <v>49.3</v>
      </c>
      <c r="F1064" s="26">
        <v>106</v>
      </c>
      <c r="G1064" s="26">
        <v>960.01</v>
      </c>
      <c r="H1064" s="19">
        <v>1464</v>
      </c>
      <c r="I1064" s="19">
        <v>19183.444</v>
      </c>
      <c r="J1064" s="40">
        <v>6.25</v>
      </c>
      <c r="K1064" s="41">
        <v>16262</v>
      </c>
      <c r="L1064" s="24">
        <v>85.2</v>
      </c>
      <c r="M1064" s="19">
        <v>103.2</v>
      </c>
    </row>
    <row r="1065" spans="1:13" x14ac:dyDescent="0.75">
      <c r="A1065" t="s">
        <v>15</v>
      </c>
      <c r="B1065" s="18">
        <v>2024</v>
      </c>
      <c r="C1065" s="4">
        <v>8</v>
      </c>
      <c r="D1065">
        <v>14712</v>
      </c>
      <c r="E1065" s="33">
        <v>48.9</v>
      </c>
      <c r="F1065" s="26">
        <v>105.93</v>
      </c>
      <c r="G1065" s="26">
        <v>1060.71</v>
      </c>
      <c r="H1065" s="19">
        <v>1039.7</v>
      </c>
      <c r="I1065" s="19">
        <v>18375.337</v>
      </c>
      <c r="J1065" s="40">
        <v>6.25</v>
      </c>
      <c r="K1065" s="41">
        <v>15793</v>
      </c>
      <c r="L1065" s="24">
        <v>80.400000000000006</v>
      </c>
      <c r="M1065" s="19">
        <v>103.1</v>
      </c>
    </row>
    <row r="1066" spans="1:13" x14ac:dyDescent="0.75">
      <c r="A1066" t="s">
        <v>15</v>
      </c>
      <c r="B1066" s="18">
        <v>2024</v>
      </c>
      <c r="C1066" s="4">
        <v>9</v>
      </c>
      <c r="D1066">
        <v>11229</v>
      </c>
      <c r="E1066" s="33">
        <v>49.2</v>
      </c>
      <c r="F1066" s="26">
        <v>105.98</v>
      </c>
      <c r="G1066" s="26">
        <v>910.64</v>
      </c>
      <c r="H1066" s="19">
        <v>1273.25</v>
      </c>
      <c r="I1066" s="19">
        <v>18088.237000000001</v>
      </c>
      <c r="J1066" s="40">
        <v>6</v>
      </c>
      <c r="K1066" s="41">
        <v>15341</v>
      </c>
      <c r="L1066" s="24">
        <v>74</v>
      </c>
      <c r="M1066" s="19">
        <v>102.9</v>
      </c>
    </row>
    <row r="1067" spans="1:13" x14ac:dyDescent="0.75">
      <c r="A1067" t="s">
        <v>15</v>
      </c>
      <c r="B1067" s="18">
        <v>2024</v>
      </c>
      <c r="C1067" s="4">
        <v>10</v>
      </c>
      <c r="D1067">
        <v>12489</v>
      </c>
      <c r="E1067" s="33">
        <v>49.2</v>
      </c>
      <c r="F1067" s="26">
        <v>106.18</v>
      </c>
      <c r="G1067" s="26">
        <v>985.07</v>
      </c>
      <c r="H1067" s="19">
        <v>1279.28</v>
      </c>
      <c r="I1067" s="19">
        <v>17887.955000000002</v>
      </c>
      <c r="J1067" s="40">
        <v>6</v>
      </c>
      <c r="K1067" s="41">
        <v>15541</v>
      </c>
      <c r="L1067" s="24">
        <v>75.599999999999994</v>
      </c>
      <c r="M1067" s="19">
        <v>102.8</v>
      </c>
    </row>
    <row r="1068" spans="1:13" x14ac:dyDescent="0.75">
      <c r="A1068" t="s">
        <v>15</v>
      </c>
      <c r="B1068" s="18">
        <v>2024</v>
      </c>
      <c r="C1068" s="4">
        <v>11</v>
      </c>
      <c r="D1068">
        <v>13012</v>
      </c>
      <c r="E1068" s="33">
        <v>49.6</v>
      </c>
      <c r="F1068" s="26">
        <v>106.46</v>
      </c>
      <c r="G1068" s="26">
        <v>961.97</v>
      </c>
      <c r="H1068" s="19">
        <v>1025.18</v>
      </c>
      <c r="I1068" s="19">
        <v>17877.685000000001</v>
      </c>
      <c r="J1068" s="40">
        <v>6</v>
      </c>
      <c r="K1068" s="41">
        <v>15812</v>
      </c>
      <c r="L1068" s="24">
        <v>74.3</v>
      </c>
      <c r="M1068" s="19">
        <v>103</v>
      </c>
    </row>
    <row r="1069" spans="1:13" x14ac:dyDescent="0.75">
      <c r="A1069" t="s">
        <v>15</v>
      </c>
      <c r="B1069" s="18">
        <v>2024</v>
      </c>
      <c r="C1069" s="4">
        <v>12</v>
      </c>
      <c r="D1069">
        <v>13130</v>
      </c>
      <c r="E1069" s="33">
        <v>51.2</v>
      </c>
      <c r="F1069" s="26">
        <v>107.07</v>
      </c>
      <c r="G1069" s="26">
        <v>980.45</v>
      </c>
      <c r="H1069" s="19">
        <v>1553.61</v>
      </c>
      <c r="I1069" s="19">
        <v>15837.562</v>
      </c>
      <c r="J1069" s="40">
        <v>6</v>
      </c>
      <c r="K1069" s="41">
        <v>16024</v>
      </c>
      <c r="L1069" s="24">
        <v>73.900000000000006</v>
      </c>
      <c r="M1069" s="19">
        <v>103.4</v>
      </c>
    </row>
    <row r="1070" spans="1:13" x14ac:dyDescent="0.75">
      <c r="A1070" t="s">
        <v>16</v>
      </c>
      <c r="B1070" s="18">
        <v>2024</v>
      </c>
      <c r="C1070" s="4">
        <v>1</v>
      </c>
      <c r="D1070">
        <v>0</v>
      </c>
      <c r="E1070" s="33">
        <v>52.9</v>
      </c>
      <c r="F1070" s="19">
        <v>105.24</v>
      </c>
      <c r="G1070" s="19">
        <v>40.15</v>
      </c>
      <c r="H1070" s="19">
        <v>13.86</v>
      </c>
      <c r="I1070" s="19">
        <v>1463.0530000000001</v>
      </c>
      <c r="J1070" s="40">
        <v>6</v>
      </c>
      <c r="K1070" s="41">
        <v>15611</v>
      </c>
      <c r="L1070" s="24">
        <v>80.099999999999994</v>
      </c>
      <c r="M1070" s="33">
        <v>102.1</v>
      </c>
    </row>
    <row r="1071" spans="1:13" x14ac:dyDescent="0.75">
      <c r="A1071" t="s">
        <v>16</v>
      </c>
      <c r="B1071" s="18">
        <v>2024</v>
      </c>
      <c r="C1071" s="4">
        <v>2</v>
      </c>
      <c r="D1071">
        <v>0</v>
      </c>
      <c r="E1071" s="33">
        <v>52.7</v>
      </c>
      <c r="F1071" s="19">
        <v>105.65</v>
      </c>
      <c r="G1071" s="19">
        <v>40.31</v>
      </c>
      <c r="H1071" s="19">
        <v>9.9600000000000009</v>
      </c>
      <c r="I1071" s="19">
        <v>1483.537</v>
      </c>
      <c r="J1071" s="40">
        <v>6</v>
      </c>
      <c r="K1071" s="41">
        <v>15665</v>
      </c>
      <c r="L1071" s="24">
        <v>83.5</v>
      </c>
      <c r="M1071" s="33">
        <v>103</v>
      </c>
    </row>
    <row r="1072" spans="1:13" x14ac:dyDescent="0.75">
      <c r="A1072" t="s">
        <v>16</v>
      </c>
      <c r="B1072" s="18">
        <v>2024</v>
      </c>
      <c r="C1072" s="4">
        <v>3</v>
      </c>
      <c r="D1072">
        <v>0</v>
      </c>
      <c r="E1072" s="33">
        <v>54.2</v>
      </c>
      <c r="F1072" s="19">
        <v>106.1</v>
      </c>
      <c r="G1072" s="19">
        <v>43.23</v>
      </c>
      <c r="H1072" s="19">
        <v>0</v>
      </c>
      <c r="I1072" s="19">
        <v>1470.019</v>
      </c>
      <c r="J1072" s="40">
        <v>6</v>
      </c>
      <c r="K1072" s="41">
        <v>15703</v>
      </c>
      <c r="L1072" s="24">
        <v>85.4</v>
      </c>
      <c r="M1072" s="33">
        <v>103.5</v>
      </c>
    </row>
    <row r="1073" spans="1:13" x14ac:dyDescent="0.75">
      <c r="A1073" t="s">
        <v>16</v>
      </c>
      <c r="B1073" s="18">
        <v>2024</v>
      </c>
      <c r="C1073" s="4">
        <v>4</v>
      </c>
      <c r="D1073">
        <v>68</v>
      </c>
      <c r="E1073" s="33">
        <v>52.9</v>
      </c>
      <c r="F1073" s="19">
        <v>106.2</v>
      </c>
      <c r="G1073" s="19">
        <v>34.31</v>
      </c>
      <c r="H1073" s="19">
        <v>0.01</v>
      </c>
      <c r="I1073" s="19">
        <v>1736.1369999999999</v>
      </c>
      <c r="J1073" s="40">
        <v>6.25</v>
      </c>
      <c r="K1073" s="41">
        <v>16100</v>
      </c>
      <c r="L1073" s="24">
        <v>89.9</v>
      </c>
      <c r="M1073" s="33">
        <v>103.4</v>
      </c>
    </row>
    <row r="1074" spans="1:13" x14ac:dyDescent="0.75">
      <c r="A1074" t="s">
        <v>16</v>
      </c>
      <c r="B1074" s="18">
        <v>2024</v>
      </c>
      <c r="C1074" s="4">
        <v>5</v>
      </c>
      <c r="D1074">
        <v>137</v>
      </c>
      <c r="E1074" s="33">
        <v>52.1</v>
      </c>
      <c r="F1074" s="19">
        <v>106.11</v>
      </c>
      <c r="G1074" s="19">
        <v>43.47</v>
      </c>
      <c r="H1074" s="19">
        <v>0</v>
      </c>
      <c r="I1074" s="19">
        <v>1749.9929999999999</v>
      </c>
      <c r="J1074" s="40">
        <v>6.25</v>
      </c>
      <c r="K1074" s="41">
        <v>16084</v>
      </c>
      <c r="L1074" s="24">
        <v>81.7</v>
      </c>
      <c r="M1074" s="19">
        <v>103.3</v>
      </c>
    </row>
    <row r="1075" spans="1:13" x14ac:dyDescent="0.75">
      <c r="A1075" t="s">
        <v>16</v>
      </c>
      <c r="B1075" s="18">
        <v>2024</v>
      </c>
      <c r="C1075" s="4">
        <v>6</v>
      </c>
      <c r="D1075">
        <v>292</v>
      </c>
      <c r="E1075" s="33">
        <v>50.7</v>
      </c>
      <c r="F1075" s="19">
        <v>105.85</v>
      </c>
      <c r="G1075" s="19">
        <v>44.45</v>
      </c>
      <c r="H1075" s="19">
        <v>0</v>
      </c>
      <c r="I1075" s="19">
        <v>1648.1849999999999</v>
      </c>
      <c r="J1075" s="40">
        <v>6.25</v>
      </c>
      <c r="K1075" s="41">
        <v>16329</v>
      </c>
      <c r="L1075" s="24">
        <v>82.2</v>
      </c>
      <c r="M1075" s="19">
        <v>103.3</v>
      </c>
    </row>
    <row r="1076" spans="1:13" x14ac:dyDescent="0.75">
      <c r="A1076" t="s">
        <v>16</v>
      </c>
      <c r="B1076" s="18">
        <v>2024</v>
      </c>
      <c r="C1076" s="4">
        <v>7</v>
      </c>
      <c r="D1076">
        <v>292</v>
      </c>
      <c r="E1076" s="33">
        <v>49.3</v>
      </c>
      <c r="F1076" s="19">
        <v>105.82</v>
      </c>
      <c r="G1076" s="19">
        <v>47.94</v>
      </c>
      <c r="H1076" s="19">
        <v>0</v>
      </c>
      <c r="I1076" s="19">
        <v>1697.0940000000001</v>
      </c>
      <c r="J1076" s="40">
        <v>6.25</v>
      </c>
      <c r="K1076" s="41">
        <v>16262</v>
      </c>
      <c r="L1076" s="24">
        <v>85.2</v>
      </c>
      <c r="M1076" s="19">
        <v>103.2</v>
      </c>
    </row>
    <row r="1077" spans="1:13" x14ac:dyDescent="0.75">
      <c r="A1077" t="s">
        <v>16</v>
      </c>
      <c r="B1077" s="18">
        <v>2024</v>
      </c>
      <c r="C1077" s="4">
        <v>8</v>
      </c>
      <c r="D1077">
        <v>467</v>
      </c>
      <c r="E1077" s="33">
        <v>48.9</v>
      </c>
      <c r="F1077" s="19">
        <v>105.87</v>
      </c>
      <c r="G1077" s="19">
        <v>46.74</v>
      </c>
      <c r="H1077" s="19"/>
      <c r="I1077" s="19">
        <v>1680.626</v>
      </c>
      <c r="J1077" s="40">
        <v>6.25</v>
      </c>
      <c r="K1077" s="41">
        <v>15793</v>
      </c>
      <c r="L1077" s="24">
        <v>80.400000000000006</v>
      </c>
      <c r="M1077" s="19">
        <v>103.1</v>
      </c>
    </row>
    <row r="1078" spans="1:13" x14ac:dyDescent="0.75">
      <c r="A1078" t="s">
        <v>16</v>
      </c>
      <c r="B1078" s="18">
        <v>2024</v>
      </c>
      <c r="C1078" s="4">
        <v>9</v>
      </c>
      <c r="D1078">
        <v>1052</v>
      </c>
      <c r="E1078" s="33">
        <v>49.2</v>
      </c>
      <c r="F1078" s="19">
        <v>105.76</v>
      </c>
      <c r="G1078" s="19">
        <v>46.18</v>
      </c>
      <c r="H1078" s="19">
        <v>0.01</v>
      </c>
      <c r="I1078" s="19">
        <v>1700.1510000000001</v>
      </c>
      <c r="J1078" s="40">
        <v>6</v>
      </c>
      <c r="K1078" s="41">
        <v>15341</v>
      </c>
      <c r="L1078" s="24">
        <v>74</v>
      </c>
      <c r="M1078" s="19">
        <v>102.9</v>
      </c>
    </row>
    <row r="1079" spans="1:13" x14ac:dyDescent="0.75">
      <c r="A1079" t="s">
        <v>16</v>
      </c>
      <c r="B1079" s="18">
        <v>2024</v>
      </c>
      <c r="C1079" s="4">
        <v>10</v>
      </c>
      <c r="D1079">
        <v>1245</v>
      </c>
      <c r="E1079" s="33">
        <v>49.2</v>
      </c>
      <c r="F1079" s="19">
        <v>105.86</v>
      </c>
      <c r="G1079" s="19">
        <v>48.81</v>
      </c>
      <c r="H1079" s="19">
        <v>0.02</v>
      </c>
      <c r="I1079" s="19">
        <v>1714.078</v>
      </c>
      <c r="J1079" s="40">
        <v>6</v>
      </c>
      <c r="K1079" s="41">
        <v>15541</v>
      </c>
      <c r="L1079" s="24">
        <v>75.599999999999994</v>
      </c>
      <c r="M1079" s="19">
        <v>102.8</v>
      </c>
    </row>
    <row r="1080" spans="1:13" x14ac:dyDescent="0.75">
      <c r="A1080" t="s">
        <v>16</v>
      </c>
      <c r="B1080" s="18">
        <v>2024</v>
      </c>
      <c r="C1080" s="4">
        <v>11</v>
      </c>
      <c r="D1080">
        <v>2295</v>
      </c>
      <c r="E1080" s="33">
        <v>49.6</v>
      </c>
      <c r="F1080" s="19">
        <v>106.12</v>
      </c>
      <c r="G1080" s="19">
        <v>51.95</v>
      </c>
      <c r="H1080" s="19">
        <v>0.04</v>
      </c>
      <c r="I1080" s="19">
        <v>1712.933</v>
      </c>
      <c r="J1080" s="40">
        <v>6</v>
      </c>
      <c r="K1080" s="41">
        <v>15812</v>
      </c>
      <c r="L1080" s="24">
        <v>74.3</v>
      </c>
      <c r="M1080" s="19">
        <v>103</v>
      </c>
    </row>
    <row r="1081" spans="1:13" x14ac:dyDescent="0.75">
      <c r="A1081" t="s">
        <v>16</v>
      </c>
      <c r="B1081" s="18">
        <v>2024</v>
      </c>
      <c r="C1081" s="4">
        <v>12</v>
      </c>
      <c r="D1081">
        <v>2699</v>
      </c>
      <c r="E1081" s="33">
        <v>51.2</v>
      </c>
      <c r="F1081" s="19">
        <v>106.61</v>
      </c>
      <c r="G1081" s="19">
        <v>59.35</v>
      </c>
      <c r="H1081" s="19">
        <v>0.03</v>
      </c>
      <c r="I1081" s="19">
        <v>1573.2560000000001</v>
      </c>
      <c r="J1081" s="40">
        <v>6</v>
      </c>
      <c r="K1081" s="41">
        <v>16024</v>
      </c>
      <c r="L1081" s="24">
        <v>73.900000000000006</v>
      </c>
      <c r="M1081" s="19">
        <v>103.4</v>
      </c>
    </row>
    <row r="1082" spans="1:13" x14ac:dyDescent="0.75">
      <c r="A1082" t="s">
        <v>17</v>
      </c>
      <c r="B1082" s="18">
        <v>2024</v>
      </c>
      <c r="C1082" s="4">
        <v>1</v>
      </c>
      <c r="D1082">
        <v>0</v>
      </c>
      <c r="E1082" s="33">
        <v>52.9</v>
      </c>
      <c r="F1082" s="19">
        <v>105.41</v>
      </c>
      <c r="G1082" s="19">
        <v>1983.2</v>
      </c>
      <c r="H1082" s="19">
        <v>2462.73</v>
      </c>
      <c r="I1082" s="19">
        <v>17333.351999999999</v>
      </c>
      <c r="J1082" s="40">
        <v>6</v>
      </c>
      <c r="K1082" s="41">
        <v>15611</v>
      </c>
      <c r="L1082" s="24">
        <v>80.099999999999994</v>
      </c>
      <c r="M1082" s="33">
        <v>102.1</v>
      </c>
    </row>
    <row r="1083" spans="1:13" x14ac:dyDescent="0.75">
      <c r="A1083" t="s">
        <v>17</v>
      </c>
      <c r="B1083" s="18">
        <v>2024</v>
      </c>
      <c r="C1083" s="4">
        <v>2</v>
      </c>
      <c r="D1083">
        <v>119</v>
      </c>
      <c r="E1083" s="33">
        <v>52.7</v>
      </c>
      <c r="F1083" s="19">
        <v>105.93</v>
      </c>
      <c r="G1083" s="19">
        <v>1811.9</v>
      </c>
      <c r="H1083" s="19">
        <v>2422.63</v>
      </c>
      <c r="I1083" s="19">
        <v>16979.735000000001</v>
      </c>
      <c r="J1083" s="40">
        <v>6</v>
      </c>
      <c r="K1083" s="41">
        <v>15665</v>
      </c>
      <c r="L1083" s="24">
        <v>83.5</v>
      </c>
      <c r="M1083" s="33">
        <v>103</v>
      </c>
    </row>
    <row r="1084" spans="1:13" x14ac:dyDescent="0.75">
      <c r="A1084" t="s">
        <v>17</v>
      </c>
      <c r="B1084" s="18">
        <v>2024</v>
      </c>
      <c r="C1084" s="4">
        <v>3</v>
      </c>
      <c r="D1084">
        <v>186</v>
      </c>
      <c r="E1084" s="33">
        <v>54.2</v>
      </c>
      <c r="F1084" s="19">
        <v>106.61</v>
      </c>
      <c r="G1084" s="19">
        <v>2644.37</v>
      </c>
      <c r="H1084" s="19">
        <v>2523.0100000000002</v>
      </c>
      <c r="I1084" s="19">
        <v>16946.012999999999</v>
      </c>
      <c r="J1084" s="40">
        <v>6</v>
      </c>
      <c r="K1084" s="41">
        <v>15703</v>
      </c>
      <c r="L1084" s="24">
        <v>85.4</v>
      </c>
      <c r="M1084" s="33">
        <v>103.5</v>
      </c>
    </row>
    <row r="1085" spans="1:13" x14ac:dyDescent="0.75">
      <c r="A1085" t="s">
        <v>17</v>
      </c>
      <c r="B1085" s="18">
        <v>2024</v>
      </c>
      <c r="C1085" s="4">
        <v>4</v>
      </c>
      <c r="D1085">
        <v>191</v>
      </c>
      <c r="E1085" s="33">
        <v>52.9</v>
      </c>
      <c r="F1085" s="19">
        <v>106.99</v>
      </c>
      <c r="G1085" s="19">
        <v>1785.01</v>
      </c>
      <c r="H1085" s="19">
        <v>2256.4299999999998</v>
      </c>
      <c r="I1085" s="19">
        <v>17760.855</v>
      </c>
      <c r="J1085" s="40">
        <v>6.25</v>
      </c>
      <c r="K1085" s="41">
        <v>16100</v>
      </c>
      <c r="L1085" s="24">
        <v>89.9</v>
      </c>
      <c r="M1085" s="33">
        <v>103.4</v>
      </c>
    </row>
    <row r="1086" spans="1:13" x14ac:dyDescent="0.75">
      <c r="A1086" t="s">
        <v>17</v>
      </c>
      <c r="B1086" s="18">
        <v>2024</v>
      </c>
      <c r="C1086" s="4">
        <v>5</v>
      </c>
      <c r="D1086">
        <v>754</v>
      </c>
      <c r="E1086" s="33">
        <v>52.1</v>
      </c>
      <c r="F1086" s="19">
        <v>106.76</v>
      </c>
      <c r="G1086" s="19">
        <v>2122.73</v>
      </c>
      <c r="H1086" s="19">
        <v>2659.25</v>
      </c>
      <c r="I1086" s="19">
        <v>17735.871999999999</v>
      </c>
      <c r="J1086" s="40">
        <v>6.25</v>
      </c>
      <c r="K1086" s="41">
        <v>16084</v>
      </c>
      <c r="L1086" s="24">
        <v>81.7</v>
      </c>
      <c r="M1086" s="19">
        <v>103.3</v>
      </c>
    </row>
    <row r="1087" spans="1:13" x14ac:dyDescent="0.75">
      <c r="A1087" t="s">
        <v>17</v>
      </c>
      <c r="B1087" s="18">
        <v>2024</v>
      </c>
      <c r="C1087" s="4">
        <v>6</v>
      </c>
      <c r="D1087">
        <v>819</v>
      </c>
      <c r="E1087" s="33">
        <v>50.7</v>
      </c>
      <c r="F1087" s="19">
        <v>106.37</v>
      </c>
      <c r="G1087" s="19">
        <v>1858.23</v>
      </c>
      <c r="H1087" s="19">
        <v>2257.37</v>
      </c>
      <c r="I1087" s="19">
        <v>16812.683000000001</v>
      </c>
      <c r="J1087" s="40">
        <v>6.25</v>
      </c>
      <c r="K1087" s="41">
        <v>16329</v>
      </c>
      <c r="L1087" s="24">
        <v>82.2</v>
      </c>
      <c r="M1087" s="19">
        <v>103.3</v>
      </c>
    </row>
    <row r="1088" spans="1:13" x14ac:dyDescent="0.75">
      <c r="A1088" t="s">
        <v>17</v>
      </c>
      <c r="B1088" s="18">
        <v>2024</v>
      </c>
      <c r="C1088" s="4">
        <v>7</v>
      </c>
      <c r="D1088">
        <v>971</v>
      </c>
      <c r="E1088" s="33">
        <v>49.3</v>
      </c>
      <c r="F1088" s="19">
        <v>106.41</v>
      </c>
      <c r="G1088" s="19">
        <v>2385.63</v>
      </c>
      <c r="H1088" s="19">
        <v>2727.18</v>
      </c>
      <c r="I1088" s="19">
        <v>16510.190999999999</v>
      </c>
      <c r="J1088" s="40">
        <v>6.25</v>
      </c>
      <c r="K1088" s="41">
        <v>16262</v>
      </c>
      <c r="L1088" s="24">
        <v>85.2</v>
      </c>
      <c r="M1088" s="19">
        <v>103.2</v>
      </c>
    </row>
    <row r="1089" spans="1:13" x14ac:dyDescent="0.75">
      <c r="A1089" t="s">
        <v>17</v>
      </c>
      <c r="B1089" s="18">
        <v>2024</v>
      </c>
      <c r="C1089" s="4">
        <v>8</v>
      </c>
      <c r="D1089">
        <v>1052</v>
      </c>
      <c r="E1089" s="33">
        <v>48.9</v>
      </c>
      <c r="F1089" s="19">
        <v>106.34</v>
      </c>
      <c r="G1089" s="19">
        <v>2307.44</v>
      </c>
      <c r="H1089" s="19">
        <v>2713.5</v>
      </c>
      <c r="I1089" s="19">
        <v>16453.159</v>
      </c>
      <c r="J1089" s="40">
        <v>6.25</v>
      </c>
      <c r="K1089" s="41">
        <v>15793</v>
      </c>
      <c r="L1089" s="24">
        <v>80.400000000000006</v>
      </c>
      <c r="M1089" s="19">
        <v>103.1</v>
      </c>
    </row>
    <row r="1090" spans="1:13" x14ac:dyDescent="0.75">
      <c r="A1090" t="s">
        <v>17</v>
      </c>
      <c r="B1090" s="18">
        <v>2024</v>
      </c>
      <c r="C1090" s="4">
        <v>9</v>
      </c>
      <c r="D1090">
        <v>1553</v>
      </c>
      <c r="E1090" s="33">
        <v>49.2</v>
      </c>
      <c r="F1090" s="19">
        <v>106.21</v>
      </c>
      <c r="G1090" s="19">
        <v>2165.48</v>
      </c>
      <c r="H1090" s="19">
        <v>2349.3200000000002</v>
      </c>
      <c r="I1090" s="19">
        <v>16194.09</v>
      </c>
      <c r="J1090" s="40">
        <v>6</v>
      </c>
      <c r="K1090" s="41">
        <v>15341</v>
      </c>
      <c r="L1090" s="24">
        <v>74</v>
      </c>
      <c r="M1090" s="19">
        <v>102.9</v>
      </c>
    </row>
    <row r="1091" spans="1:13" x14ac:dyDescent="0.75">
      <c r="A1091" t="s">
        <v>17</v>
      </c>
      <c r="B1091" s="18">
        <v>2024</v>
      </c>
      <c r="C1091" s="4">
        <v>10</v>
      </c>
      <c r="D1091">
        <v>3694</v>
      </c>
      <c r="E1091" s="33">
        <v>49.2</v>
      </c>
      <c r="F1091" s="19">
        <v>106.37</v>
      </c>
      <c r="G1091" s="19">
        <v>2375.4699999999998</v>
      </c>
      <c r="H1091" s="19">
        <v>2770.65</v>
      </c>
      <c r="I1091" s="19">
        <v>16433.968000000001</v>
      </c>
      <c r="J1091" s="40">
        <v>6</v>
      </c>
      <c r="K1091" s="41">
        <v>15541</v>
      </c>
      <c r="L1091" s="24">
        <v>75.599999999999994</v>
      </c>
      <c r="M1091" s="19">
        <v>102.8</v>
      </c>
    </row>
    <row r="1092" spans="1:13" x14ac:dyDescent="0.75">
      <c r="A1092" t="s">
        <v>17</v>
      </c>
      <c r="B1092" s="18">
        <v>2024</v>
      </c>
      <c r="C1092" s="4">
        <v>11</v>
      </c>
      <c r="D1092">
        <v>3757</v>
      </c>
      <c r="E1092" s="33">
        <v>49.6</v>
      </c>
      <c r="F1092" s="19">
        <v>106.62</v>
      </c>
      <c r="G1092" s="19">
        <v>2185.9299999999998</v>
      </c>
      <c r="H1092" s="19">
        <v>2481.19</v>
      </c>
      <c r="I1092" s="19">
        <v>16432.238000000001</v>
      </c>
      <c r="J1092" s="40">
        <v>6</v>
      </c>
      <c r="K1092" s="41">
        <v>15812</v>
      </c>
      <c r="L1092" s="24">
        <v>74.3</v>
      </c>
      <c r="M1092" s="19">
        <v>103</v>
      </c>
    </row>
    <row r="1093" spans="1:13" x14ac:dyDescent="0.75">
      <c r="A1093" t="s">
        <v>17</v>
      </c>
      <c r="B1093" s="18">
        <v>2024</v>
      </c>
      <c r="C1093" s="4">
        <v>12</v>
      </c>
      <c r="D1093">
        <v>5327</v>
      </c>
      <c r="E1093" s="33">
        <v>51.2</v>
      </c>
      <c r="F1093" s="19">
        <v>107.11</v>
      </c>
      <c r="G1093" s="19">
        <v>2093.58</v>
      </c>
      <c r="H1093" s="19">
        <v>2803.53</v>
      </c>
      <c r="I1093" s="19">
        <v>15521.056</v>
      </c>
      <c r="J1093" s="40">
        <v>6</v>
      </c>
      <c r="K1093" s="41">
        <v>16024</v>
      </c>
      <c r="L1093" s="24">
        <v>73.900000000000006</v>
      </c>
      <c r="M1093" s="19">
        <v>103.4</v>
      </c>
    </row>
    <row r="1094" spans="1:13" x14ac:dyDescent="0.75">
      <c r="A1094" t="s">
        <v>18</v>
      </c>
      <c r="B1094" s="18">
        <v>2024</v>
      </c>
      <c r="C1094" s="4">
        <v>1</v>
      </c>
      <c r="D1094">
        <v>6</v>
      </c>
      <c r="E1094" s="33">
        <v>52.9</v>
      </c>
      <c r="F1094" s="26">
        <v>104.6</v>
      </c>
      <c r="G1094" s="19">
        <v>1050.93</v>
      </c>
      <c r="H1094" s="25">
        <v>1394.23</v>
      </c>
      <c r="I1094" s="19">
        <v>3754.8870000000002</v>
      </c>
      <c r="J1094" s="40">
        <v>6</v>
      </c>
      <c r="K1094" s="41">
        <v>15611</v>
      </c>
      <c r="L1094" s="24">
        <v>80.099999999999994</v>
      </c>
      <c r="M1094" s="33">
        <v>102.1</v>
      </c>
    </row>
    <row r="1095" spans="1:13" x14ac:dyDescent="0.75">
      <c r="A1095" t="s">
        <v>18</v>
      </c>
      <c r="B1095" s="18">
        <v>2024</v>
      </c>
      <c r="C1095" s="4">
        <v>2</v>
      </c>
      <c r="D1095">
        <v>8</v>
      </c>
      <c r="E1095" s="33">
        <v>52.7</v>
      </c>
      <c r="F1095" s="26">
        <v>105.14</v>
      </c>
      <c r="G1095" s="19">
        <v>950.31</v>
      </c>
      <c r="H1095" s="25">
        <v>1301.04</v>
      </c>
      <c r="I1095" s="19">
        <v>3854.3890000000001</v>
      </c>
      <c r="J1095" s="40">
        <v>6</v>
      </c>
      <c r="K1095" s="41">
        <v>15665</v>
      </c>
      <c r="L1095" s="24">
        <v>83.5</v>
      </c>
      <c r="M1095" s="33">
        <v>103</v>
      </c>
    </row>
    <row r="1096" spans="1:13" x14ac:dyDescent="0.75">
      <c r="A1096" t="s">
        <v>18</v>
      </c>
      <c r="B1096" s="18">
        <v>2024</v>
      </c>
      <c r="C1096" s="4">
        <v>3</v>
      </c>
      <c r="D1096">
        <v>927</v>
      </c>
      <c r="E1096" s="33">
        <v>54.2</v>
      </c>
      <c r="F1096" s="26">
        <v>106.17</v>
      </c>
      <c r="G1096" s="19">
        <v>1111.48</v>
      </c>
      <c r="H1096" s="25">
        <v>1397.91</v>
      </c>
      <c r="I1096" s="19">
        <v>3703.165</v>
      </c>
      <c r="J1096" s="40">
        <v>6</v>
      </c>
      <c r="K1096" s="41">
        <v>15703</v>
      </c>
      <c r="L1096" s="24">
        <v>85.4</v>
      </c>
      <c r="M1096" s="33">
        <v>103.5</v>
      </c>
    </row>
    <row r="1097" spans="1:13" x14ac:dyDescent="0.75">
      <c r="A1097" t="s">
        <v>18</v>
      </c>
      <c r="B1097" s="18">
        <v>2024</v>
      </c>
      <c r="C1097" s="4">
        <v>4</v>
      </c>
      <c r="D1097">
        <v>5078</v>
      </c>
      <c r="E1097" s="33">
        <v>52.9</v>
      </c>
      <c r="F1097" s="26">
        <v>106.6</v>
      </c>
      <c r="G1097" s="19">
        <v>874.13</v>
      </c>
      <c r="H1097" s="25">
        <v>1428.79</v>
      </c>
      <c r="I1097" s="19">
        <v>3923.125</v>
      </c>
      <c r="J1097" s="40">
        <v>6.25</v>
      </c>
      <c r="K1097" s="41">
        <v>16100</v>
      </c>
      <c r="L1097" s="24">
        <v>89.9</v>
      </c>
      <c r="M1097" s="33">
        <v>103.4</v>
      </c>
    </row>
    <row r="1098" spans="1:13" x14ac:dyDescent="0.75">
      <c r="A1098" t="s">
        <v>18</v>
      </c>
      <c r="B1098" s="18">
        <v>2024</v>
      </c>
      <c r="C1098" s="4">
        <v>5</v>
      </c>
      <c r="D1098">
        <v>5859</v>
      </c>
      <c r="E1098" s="33">
        <v>52.1</v>
      </c>
      <c r="F1098" s="26">
        <v>106.05</v>
      </c>
      <c r="G1098" s="19">
        <v>1083.3499999999999</v>
      </c>
      <c r="H1098" s="25">
        <v>1043.47</v>
      </c>
      <c r="I1098" s="19">
        <v>4206.4440000000004</v>
      </c>
      <c r="J1098" s="40">
        <v>6.25</v>
      </c>
      <c r="K1098" s="41">
        <v>16084</v>
      </c>
      <c r="L1098" s="24">
        <v>81.7</v>
      </c>
      <c r="M1098" s="19">
        <v>103.3</v>
      </c>
    </row>
    <row r="1099" spans="1:13" x14ac:dyDescent="0.75">
      <c r="A1099" t="s">
        <v>18</v>
      </c>
      <c r="B1099" s="18">
        <v>2024</v>
      </c>
      <c r="C1099" s="4">
        <v>6</v>
      </c>
      <c r="D1099">
        <v>6135</v>
      </c>
      <c r="E1099" s="33">
        <v>50.7</v>
      </c>
      <c r="F1099" s="26">
        <v>105.97</v>
      </c>
      <c r="G1099" s="19">
        <v>861.69</v>
      </c>
      <c r="H1099" s="25">
        <v>1077.1199999999999</v>
      </c>
      <c r="I1099" s="19">
        <v>4112.0029999999997</v>
      </c>
      <c r="J1099" s="40">
        <v>6.25</v>
      </c>
      <c r="K1099" s="41">
        <v>16329</v>
      </c>
      <c r="L1099" s="24">
        <v>82.2</v>
      </c>
      <c r="M1099" s="19">
        <v>103.3</v>
      </c>
    </row>
    <row r="1100" spans="1:13" x14ac:dyDescent="0.75">
      <c r="A1100" t="s">
        <v>18</v>
      </c>
      <c r="B1100" s="18">
        <v>2024</v>
      </c>
      <c r="C1100" s="4">
        <v>7</v>
      </c>
      <c r="D1100">
        <v>6359</v>
      </c>
      <c r="E1100" s="33">
        <v>49.3</v>
      </c>
      <c r="F1100" s="26">
        <v>105.72</v>
      </c>
      <c r="G1100" s="19">
        <v>991.54</v>
      </c>
      <c r="H1100" s="25">
        <v>1303.4100000000001</v>
      </c>
      <c r="I1100" s="19">
        <v>4270.0039999999999</v>
      </c>
      <c r="J1100" s="40">
        <v>6.25</v>
      </c>
      <c r="K1100" s="41">
        <v>16262</v>
      </c>
      <c r="L1100" s="24">
        <v>85.2</v>
      </c>
      <c r="M1100" s="19">
        <v>103.2</v>
      </c>
    </row>
    <row r="1101" spans="1:13" x14ac:dyDescent="0.75">
      <c r="A1101" t="s">
        <v>18</v>
      </c>
      <c r="B1101" s="18">
        <v>2024</v>
      </c>
      <c r="C1101" s="4">
        <v>8</v>
      </c>
      <c r="D1101">
        <v>6359</v>
      </c>
      <c r="E1101" s="33">
        <v>48.9</v>
      </c>
      <c r="F1101" s="26">
        <v>105.73</v>
      </c>
      <c r="G1101" s="19">
        <v>1040.56</v>
      </c>
      <c r="H1101" s="25">
        <v>1225.6400000000001</v>
      </c>
      <c r="I1101" s="19">
        <v>4307.55</v>
      </c>
      <c r="J1101" s="40">
        <v>6.25</v>
      </c>
      <c r="K1101" s="41">
        <v>15793</v>
      </c>
      <c r="L1101" s="24">
        <v>80.400000000000006</v>
      </c>
      <c r="M1101" s="19">
        <v>103.1</v>
      </c>
    </row>
    <row r="1102" spans="1:13" x14ac:dyDescent="0.75">
      <c r="A1102" t="s">
        <v>18</v>
      </c>
      <c r="B1102" s="18">
        <v>2024</v>
      </c>
      <c r="C1102" s="4">
        <v>9</v>
      </c>
      <c r="D1102">
        <v>10266</v>
      </c>
      <c r="E1102" s="33">
        <v>49.2</v>
      </c>
      <c r="F1102" s="26">
        <v>105.46</v>
      </c>
      <c r="G1102" s="19">
        <v>956.99</v>
      </c>
      <c r="H1102" s="25">
        <v>1024.7</v>
      </c>
      <c r="I1102" s="19">
        <v>4250.2030000000004</v>
      </c>
      <c r="J1102" s="40">
        <v>6</v>
      </c>
      <c r="K1102" s="41">
        <v>15341</v>
      </c>
      <c r="L1102" s="24">
        <v>74</v>
      </c>
      <c r="M1102" s="19">
        <v>102.9</v>
      </c>
    </row>
    <row r="1103" spans="1:13" x14ac:dyDescent="0.75">
      <c r="A1103" t="s">
        <v>18</v>
      </c>
      <c r="B1103" s="18">
        <v>2024</v>
      </c>
      <c r="C1103" s="4">
        <v>10</v>
      </c>
      <c r="D1103">
        <v>10702</v>
      </c>
      <c r="E1103" s="33">
        <v>49.2</v>
      </c>
      <c r="F1103" s="26">
        <v>105.61</v>
      </c>
      <c r="G1103" s="19">
        <v>1143.42</v>
      </c>
      <c r="H1103" s="25">
        <v>1368.4</v>
      </c>
      <c r="I1103" s="19">
        <v>4292.24</v>
      </c>
      <c r="J1103" s="40">
        <v>6</v>
      </c>
      <c r="K1103" s="41">
        <v>15541</v>
      </c>
      <c r="L1103" s="24">
        <v>75.599999999999994</v>
      </c>
      <c r="M1103" s="19">
        <v>102.8</v>
      </c>
    </row>
    <row r="1104" spans="1:13" x14ac:dyDescent="0.75">
      <c r="A1104" t="s">
        <v>18</v>
      </c>
      <c r="B1104" s="18">
        <v>2024</v>
      </c>
      <c r="C1104" s="4">
        <v>11</v>
      </c>
      <c r="D1104">
        <v>10727</v>
      </c>
      <c r="E1104" s="33">
        <v>49.6</v>
      </c>
      <c r="F1104" s="26">
        <v>106.08</v>
      </c>
      <c r="G1104" s="19">
        <v>1117.07</v>
      </c>
      <c r="H1104" s="25">
        <v>1131.81</v>
      </c>
      <c r="I1104" s="19">
        <v>4310.1840000000002</v>
      </c>
      <c r="J1104" s="40">
        <v>6</v>
      </c>
      <c r="K1104" s="41">
        <v>15812</v>
      </c>
      <c r="L1104" s="24">
        <v>74.3</v>
      </c>
      <c r="M1104" s="19">
        <v>103</v>
      </c>
    </row>
    <row r="1105" spans="1:13" x14ac:dyDescent="0.75">
      <c r="A1105" t="s">
        <v>18</v>
      </c>
      <c r="B1105" s="18">
        <v>2024</v>
      </c>
      <c r="C1105" s="4">
        <v>12</v>
      </c>
      <c r="D1105">
        <v>13042</v>
      </c>
      <c r="E1105" s="33">
        <v>51.2</v>
      </c>
      <c r="F1105" s="26">
        <v>106.61</v>
      </c>
      <c r="G1105" s="19">
        <v>1047.92</v>
      </c>
      <c r="H1105" s="25">
        <v>1317.57</v>
      </c>
      <c r="I1105" s="19">
        <v>4941.0910000000003</v>
      </c>
      <c r="J1105" s="40">
        <v>6</v>
      </c>
      <c r="K1105" s="41">
        <v>16024</v>
      </c>
      <c r="L1105" s="24">
        <v>73.900000000000006</v>
      </c>
      <c r="M1105" s="19">
        <v>103.4</v>
      </c>
    </row>
    <row r="1106" spans="1:13" x14ac:dyDescent="0.75">
      <c r="A1106" t="s">
        <v>19</v>
      </c>
      <c r="B1106" s="18">
        <v>2024</v>
      </c>
      <c r="C1106" s="4">
        <v>1</v>
      </c>
      <c r="D1106">
        <v>1</v>
      </c>
      <c r="E1106" s="33">
        <v>52.9</v>
      </c>
      <c r="F1106" s="29">
        <v>105.31</v>
      </c>
      <c r="G1106" s="38">
        <v>65.260000000000005</v>
      </c>
      <c r="H1106" s="26">
        <v>10.97</v>
      </c>
      <c r="I1106" s="19">
        <v>1528.4880000000001</v>
      </c>
      <c r="J1106" s="40">
        <v>6</v>
      </c>
      <c r="K1106" s="41">
        <v>15611</v>
      </c>
      <c r="L1106" s="24">
        <v>80.099999999999994</v>
      </c>
      <c r="M1106" s="33">
        <v>102.1</v>
      </c>
    </row>
    <row r="1107" spans="1:13" x14ac:dyDescent="0.75">
      <c r="A1107" t="s">
        <v>19</v>
      </c>
      <c r="B1107" s="18">
        <v>2024</v>
      </c>
      <c r="C1107" s="4">
        <v>2</v>
      </c>
      <c r="D1107">
        <v>1</v>
      </c>
      <c r="E1107" s="33">
        <v>52.7</v>
      </c>
      <c r="F1107" s="29">
        <v>105.95</v>
      </c>
      <c r="G1107" s="38">
        <v>49.1</v>
      </c>
      <c r="H1107" s="26">
        <v>19.760000000000002</v>
      </c>
      <c r="I1107" s="19">
        <v>1550.8050000000001</v>
      </c>
      <c r="J1107" s="40">
        <v>6</v>
      </c>
      <c r="K1107" s="41">
        <v>15665</v>
      </c>
      <c r="L1107" s="24">
        <v>83.5</v>
      </c>
      <c r="M1107" s="33">
        <v>103</v>
      </c>
    </row>
    <row r="1108" spans="1:13" x14ac:dyDescent="0.75">
      <c r="A1108" t="s">
        <v>19</v>
      </c>
      <c r="B1108" s="18">
        <v>2024</v>
      </c>
      <c r="C1108" s="4">
        <v>3</v>
      </c>
      <c r="D1108">
        <v>1</v>
      </c>
      <c r="E1108" s="33">
        <v>54.2</v>
      </c>
      <c r="F1108" s="29">
        <v>106.94</v>
      </c>
      <c r="G1108" s="38">
        <v>54.84</v>
      </c>
      <c r="H1108" s="26">
        <v>9</v>
      </c>
      <c r="I1108" s="19">
        <v>1484.1859999999999</v>
      </c>
      <c r="J1108" s="40">
        <v>6</v>
      </c>
      <c r="K1108" s="41">
        <v>15703</v>
      </c>
      <c r="L1108" s="24">
        <v>85.4</v>
      </c>
      <c r="M1108" s="33">
        <v>103.5</v>
      </c>
    </row>
    <row r="1109" spans="1:13" x14ac:dyDescent="0.75">
      <c r="A1109" t="s">
        <v>19</v>
      </c>
      <c r="B1109" s="18">
        <v>2024</v>
      </c>
      <c r="C1109" s="4">
        <v>4</v>
      </c>
      <c r="D1109">
        <v>2</v>
      </c>
      <c r="E1109" s="33">
        <v>52.9</v>
      </c>
      <c r="F1109" s="29">
        <v>107.28</v>
      </c>
      <c r="G1109" s="38">
        <v>47.19</v>
      </c>
      <c r="H1109" s="26">
        <v>12.38</v>
      </c>
      <c r="I1109" s="19">
        <v>1611.9870000000001</v>
      </c>
      <c r="J1109" s="40">
        <v>6.25</v>
      </c>
      <c r="K1109" s="41">
        <v>16100</v>
      </c>
      <c r="L1109" s="24">
        <v>89.9</v>
      </c>
      <c r="M1109" s="33">
        <v>103.4</v>
      </c>
    </row>
    <row r="1110" spans="1:13" x14ac:dyDescent="0.75">
      <c r="A1110" t="s">
        <v>19</v>
      </c>
      <c r="B1110" s="18">
        <v>2024</v>
      </c>
      <c r="C1110" s="4">
        <v>5</v>
      </c>
      <c r="D1110">
        <v>2</v>
      </c>
      <c r="E1110" s="33">
        <v>52.1</v>
      </c>
      <c r="F1110" s="29">
        <v>107.17</v>
      </c>
      <c r="G1110" s="38">
        <v>59.07</v>
      </c>
      <c r="H1110" s="26">
        <v>14.1</v>
      </c>
      <c r="I1110" s="19">
        <v>1640.537</v>
      </c>
      <c r="J1110" s="40">
        <v>6.25</v>
      </c>
      <c r="K1110" s="41">
        <v>16084</v>
      </c>
      <c r="L1110" s="24">
        <v>81.7</v>
      </c>
      <c r="M1110" s="19">
        <v>103.3</v>
      </c>
    </row>
    <row r="1111" spans="1:13" x14ac:dyDescent="0.75">
      <c r="A1111" t="s">
        <v>19</v>
      </c>
      <c r="B1111" s="18">
        <v>2024</v>
      </c>
      <c r="C1111" s="4">
        <v>6</v>
      </c>
      <c r="D1111">
        <v>19</v>
      </c>
      <c r="E1111" s="33">
        <v>50.7</v>
      </c>
      <c r="F1111" s="29">
        <v>106.58</v>
      </c>
      <c r="G1111" s="38">
        <v>47.31</v>
      </c>
      <c r="H1111" s="26">
        <v>9.59</v>
      </c>
      <c r="I1111" s="19">
        <v>1640.424</v>
      </c>
      <c r="J1111" s="40">
        <v>6.25</v>
      </c>
      <c r="K1111" s="41">
        <v>16329</v>
      </c>
      <c r="L1111" s="24">
        <v>82.2</v>
      </c>
      <c r="M1111" s="19">
        <v>103.3</v>
      </c>
    </row>
    <row r="1112" spans="1:13" x14ac:dyDescent="0.75">
      <c r="A1112" t="s">
        <v>19</v>
      </c>
      <c r="B1112" s="18">
        <v>2024</v>
      </c>
      <c r="C1112" s="4">
        <v>7</v>
      </c>
      <c r="D1112">
        <v>19</v>
      </c>
      <c r="E1112" s="33">
        <v>49.3</v>
      </c>
      <c r="F1112" s="29">
        <v>106.69</v>
      </c>
      <c r="G1112" s="38">
        <v>50.74</v>
      </c>
      <c r="H1112" s="26">
        <v>11.08</v>
      </c>
      <c r="I1112" s="19">
        <v>1612.1690000000001</v>
      </c>
      <c r="J1112" s="40">
        <v>6.25</v>
      </c>
      <c r="K1112" s="41">
        <v>16262</v>
      </c>
      <c r="L1112" s="24">
        <v>85.2</v>
      </c>
      <c r="M1112" s="19">
        <v>103.2</v>
      </c>
    </row>
    <row r="1113" spans="1:13" x14ac:dyDescent="0.75">
      <c r="A1113" t="s">
        <v>19</v>
      </c>
      <c r="B1113" s="18">
        <v>2024</v>
      </c>
      <c r="C1113" s="4">
        <v>8</v>
      </c>
      <c r="D1113">
        <v>19</v>
      </c>
      <c r="E1113" s="33">
        <v>48.9</v>
      </c>
      <c r="F1113" s="29">
        <v>106.8</v>
      </c>
      <c r="G1113" s="38">
        <v>56.85</v>
      </c>
      <c r="H1113" s="26">
        <v>19.059999999999999</v>
      </c>
      <c r="I1113" s="19">
        <v>1648.68</v>
      </c>
      <c r="J1113" s="40">
        <v>6.25</v>
      </c>
      <c r="K1113" s="41">
        <v>15793</v>
      </c>
      <c r="L1113" s="24">
        <v>80.400000000000006</v>
      </c>
      <c r="M1113" s="19">
        <v>103.1</v>
      </c>
    </row>
    <row r="1114" spans="1:13" x14ac:dyDescent="0.75">
      <c r="A1114" t="s">
        <v>19</v>
      </c>
      <c r="B1114" s="18">
        <v>2024</v>
      </c>
      <c r="C1114" s="4">
        <v>9</v>
      </c>
      <c r="D1114">
        <v>30</v>
      </c>
      <c r="E1114" s="33">
        <v>49.2</v>
      </c>
      <c r="F1114" s="29">
        <v>106.94</v>
      </c>
      <c r="G1114" s="38">
        <v>50.56</v>
      </c>
      <c r="H1114" s="26">
        <v>8.16</v>
      </c>
      <c r="I1114" s="19">
        <v>1590.0309999999999</v>
      </c>
      <c r="J1114" s="40">
        <v>6</v>
      </c>
      <c r="K1114" s="41">
        <v>15341</v>
      </c>
      <c r="L1114" s="24">
        <v>74</v>
      </c>
      <c r="M1114" s="19">
        <v>102.9</v>
      </c>
    </row>
    <row r="1115" spans="1:13" x14ac:dyDescent="0.75">
      <c r="A1115" t="s">
        <v>19</v>
      </c>
      <c r="B1115" s="18">
        <v>2024</v>
      </c>
      <c r="C1115" s="4">
        <v>10</v>
      </c>
      <c r="D1115">
        <v>30</v>
      </c>
      <c r="E1115" s="33">
        <v>49.2</v>
      </c>
      <c r="F1115" s="29">
        <v>107.01</v>
      </c>
      <c r="G1115" s="38">
        <v>49.34</v>
      </c>
      <c r="H1115" s="26">
        <v>9.94</v>
      </c>
      <c r="I1115" s="19">
        <v>1535.9280000000001</v>
      </c>
      <c r="J1115" s="40">
        <v>6</v>
      </c>
      <c r="K1115" s="41">
        <v>15541</v>
      </c>
      <c r="L1115" s="24">
        <v>75.599999999999994</v>
      </c>
      <c r="M1115" s="19">
        <v>102.8</v>
      </c>
    </row>
    <row r="1116" spans="1:13" x14ac:dyDescent="0.75">
      <c r="A1116" t="s">
        <v>19</v>
      </c>
      <c r="B1116" s="18">
        <v>2024</v>
      </c>
      <c r="C1116" s="4">
        <v>11</v>
      </c>
      <c r="D1116">
        <v>32</v>
      </c>
      <c r="E1116" s="33">
        <v>49.6</v>
      </c>
      <c r="F1116" s="29">
        <v>107.54</v>
      </c>
      <c r="G1116" s="38">
        <v>50.73</v>
      </c>
      <c r="H1116" s="26">
        <v>12.67</v>
      </c>
      <c r="I1116" s="19">
        <v>1453.731</v>
      </c>
      <c r="J1116" s="40">
        <v>6</v>
      </c>
      <c r="K1116" s="41">
        <v>15812</v>
      </c>
      <c r="L1116" s="24">
        <v>74.3</v>
      </c>
      <c r="M1116" s="19">
        <v>103</v>
      </c>
    </row>
    <row r="1117" spans="1:13" x14ac:dyDescent="0.75">
      <c r="A1117" t="s">
        <v>19</v>
      </c>
      <c r="B1117" s="18">
        <v>2024</v>
      </c>
      <c r="C1117" s="4">
        <v>12</v>
      </c>
      <c r="D1117">
        <v>73</v>
      </c>
      <c r="E1117" s="33">
        <v>51.2</v>
      </c>
      <c r="F1117" s="29">
        <v>107.87</v>
      </c>
      <c r="G1117" s="38">
        <v>51.94</v>
      </c>
      <c r="H1117" s="26">
        <v>20.09</v>
      </c>
      <c r="I1117" s="19">
        <v>1301.723</v>
      </c>
      <c r="J1117" s="40">
        <v>6</v>
      </c>
      <c r="K1117" s="41">
        <v>16024</v>
      </c>
      <c r="L1117" s="24">
        <v>73.900000000000006</v>
      </c>
      <c r="M1117" s="19">
        <v>103.4</v>
      </c>
    </row>
    <row r="1118" spans="1:13" x14ac:dyDescent="0.75">
      <c r="A1118" t="s">
        <v>20</v>
      </c>
      <c r="B1118" s="18">
        <v>2024</v>
      </c>
      <c r="C1118" s="4">
        <v>1</v>
      </c>
      <c r="D1118">
        <v>0</v>
      </c>
      <c r="E1118" s="33">
        <v>52.9</v>
      </c>
      <c r="F1118" s="19">
        <v>105.73</v>
      </c>
      <c r="G1118" s="38">
        <v>184.73</v>
      </c>
      <c r="H1118" s="29">
        <v>171.42</v>
      </c>
      <c r="I1118" s="19">
        <v>833.68200000000002</v>
      </c>
      <c r="J1118" s="40">
        <v>6</v>
      </c>
      <c r="K1118" s="41">
        <v>15611</v>
      </c>
      <c r="L1118" s="24">
        <v>80.099999999999994</v>
      </c>
      <c r="M1118" s="33">
        <v>102.1</v>
      </c>
    </row>
    <row r="1119" spans="1:13" x14ac:dyDescent="0.75">
      <c r="A1119" t="s">
        <v>20</v>
      </c>
      <c r="B1119" s="18">
        <v>2024</v>
      </c>
      <c r="C1119" s="4">
        <v>2</v>
      </c>
      <c r="D1119">
        <v>0</v>
      </c>
      <c r="E1119" s="33">
        <v>52.7</v>
      </c>
      <c r="F1119" s="19">
        <v>105.82</v>
      </c>
      <c r="G1119" s="38">
        <v>232.23</v>
      </c>
      <c r="H1119" s="29">
        <v>144.27000000000001</v>
      </c>
      <c r="I1119" s="19">
        <v>917.40499999999997</v>
      </c>
      <c r="J1119" s="40">
        <v>6</v>
      </c>
      <c r="K1119" s="41">
        <v>15665</v>
      </c>
      <c r="L1119" s="24">
        <v>83.5</v>
      </c>
      <c r="M1119" s="33">
        <v>103</v>
      </c>
    </row>
    <row r="1120" spans="1:13" x14ac:dyDescent="0.75">
      <c r="A1120" t="s">
        <v>20</v>
      </c>
      <c r="B1120" s="18">
        <v>2024</v>
      </c>
      <c r="C1120" s="4">
        <v>3</v>
      </c>
      <c r="D1120">
        <v>0</v>
      </c>
      <c r="E1120" s="33">
        <v>54.2</v>
      </c>
      <c r="F1120" s="19">
        <v>106.74</v>
      </c>
      <c r="G1120" s="38">
        <v>157.88999999999999</v>
      </c>
      <c r="H1120" s="29">
        <v>46.56</v>
      </c>
      <c r="I1120" s="19">
        <v>924.25800000000004</v>
      </c>
      <c r="J1120" s="40">
        <v>6</v>
      </c>
      <c r="K1120" s="41">
        <v>15703</v>
      </c>
      <c r="L1120" s="24">
        <v>85.4</v>
      </c>
      <c r="M1120" s="33">
        <v>103.5</v>
      </c>
    </row>
    <row r="1121" spans="1:13" x14ac:dyDescent="0.75">
      <c r="A1121" t="s">
        <v>20</v>
      </c>
      <c r="B1121" s="18">
        <v>2024</v>
      </c>
      <c r="C1121" s="4">
        <v>4</v>
      </c>
      <c r="D1121">
        <v>0</v>
      </c>
      <c r="E1121" s="33">
        <v>52.9</v>
      </c>
      <c r="F1121" s="19">
        <v>106.8</v>
      </c>
      <c r="G1121" s="38">
        <v>335.86</v>
      </c>
      <c r="H1121" s="29">
        <v>152.96</v>
      </c>
      <c r="I1121" s="19">
        <v>1010.888</v>
      </c>
      <c r="J1121" s="40">
        <v>6.25</v>
      </c>
      <c r="K1121" s="41">
        <v>16100</v>
      </c>
      <c r="L1121" s="24">
        <v>89.9</v>
      </c>
      <c r="M1121" s="33">
        <v>103.4</v>
      </c>
    </row>
    <row r="1122" spans="1:13" x14ac:dyDescent="0.75">
      <c r="A1122" t="s">
        <v>20</v>
      </c>
      <c r="B1122" s="18">
        <v>2024</v>
      </c>
      <c r="C1122" s="4">
        <v>5</v>
      </c>
      <c r="D1122">
        <v>0</v>
      </c>
      <c r="E1122" s="33">
        <v>52.1</v>
      </c>
      <c r="F1122" s="19">
        <v>106.36</v>
      </c>
      <c r="G1122" s="38">
        <v>503.02</v>
      </c>
      <c r="H1122" s="29">
        <v>98.88</v>
      </c>
      <c r="I1122" s="19">
        <v>1049.2170000000001</v>
      </c>
      <c r="J1122" s="40">
        <v>6.25</v>
      </c>
      <c r="K1122" s="41">
        <v>16084</v>
      </c>
      <c r="L1122" s="24">
        <v>81.7</v>
      </c>
      <c r="M1122" s="19">
        <v>103.3</v>
      </c>
    </row>
    <row r="1123" spans="1:13" x14ac:dyDescent="0.75">
      <c r="A1123" t="s">
        <v>20</v>
      </c>
      <c r="B1123" s="18">
        <v>2024</v>
      </c>
      <c r="C1123" s="4">
        <v>6</v>
      </c>
      <c r="D1123">
        <v>0</v>
      </c>
      <c r="E1123" s="33">
        <v>50.7</v>
      </c>
      <c r="F1123" s="19">
        <v>106.08</v>
      </c>
      <c r="G1123" s="38">
        <v>1.83</v>
      </c>
      <c r="H1123" s="29">
        <v>40.369999999999997</v>
      </c>
      <c r="I1123" s="19">
        <v>1113.546</v>
      </c>
      <c r="J1123" s="40">
        <v>6.25</v>
      </c>
      <c r="K1123" s="41">
        <v>16329</v>
      </c>
      <c r="L1123" s="24">
        <v>82.2</v>
      </c>
      <c r="M1123" s="19">
        <v>103.3</v>
      </c>
    </row>
    <row r="1124" spans="1:13" x14ac:dyDescent="0.75">
      <c r="A1124" t="s">
        <v>20</v>
      </c>
      <c r="B1124" s="18">
        <v>2024</v>
      </c>
      <c r="C1124" s="4">
        <v>7</v>
      </c>
      <c r="D1124">
        <v>0</v>
      </c>
      <c r="E1124" s="33">
        <v>49.3</v>
      </c>
      <c r="F1124" s="19">
        <v>105.71</v>
      </c>
      <c r="G1124" s="38">
        <v>208.88</v>
      </c>
      <c r="H1124" s="29">
        <v>49.26</v>
      </c>
      <c r="I1124" s="19">
        <v>1188.1510000000001</v>
      </c>
      <c r="J1124" s="40">
        <v>6.25</v>
      </c>
      <c r="K1124" s="41">
        <v>16262</v>
      </c>
      <c r="L1124" s="24">
        <v>85.2</v>
      </c>
      <c r="M1124" s="19">
        <v>103.2</v>
      </c>
    </row>
    <row r="1125" spans="1:13" x14ac:dyDescent="0.75">
      <c r="A1125" t="s">
        <v>20</v>
      </c>
      <c r="B1125" s="18">
        <v>2024</v>
      </c>
      <c r="C1125" s="4">
        <v>8</v>
      </c>
      <c r="D1125">
        <v>0</v>
      </c>
      <c r="E1125" s="33">
        <v>48.9</v>
      </c>
      <c r="F1125" s="19">
        <v>105.77</v>
      </c>
      <c r="G1125" s="38">
        <v>449.2</v>
      </c>
      <c r="H1125" s="29">
        <v>78.45</v>
      </c>
      <c r="I1125" s="19">
        <v>1141.71</v>
      </c>
      <c r="J1125" s="40">
        <v>6.25</v>
      </c>
      <c r="K1125" s="41">
        <v>15793</v>
      </c>
      <c r="L1125" s="24">
        <v>80.400000000000006</v>
      </c>
      <c r="M1125" s="19">
        <v>103.1</v>
      </c>
    </row>
    <row r="1126" spans="1:13" x14ac:dyDescent="0.75">
      <c r="A1126" t="s">
        <v>20</v>
      </c>
      <c r="B1126" s="18">
        <v>2024</v>
      </c>
      <c r="C1126" s="4">
        <v>9</v>
      </c>
      <c r="D1126">
        <v>105</v>
      </c>
      <c r="E1126" s="33">
        <v>49.2</v>
      </c>
      <c r="F1126" s="19">
        <v>105.87</v>
      </c>
      <c r="G1126" s="38">
        <v>244.15</v>
      </c>
      <c r="H1126" s="29">
        <v>15.25</v>
      </c>
      <c r="I1126" s="19">
        <v>1241.9369999999999</v>
      </c>
      <c r="J1126" s="40">
        <v>6</v>
      </c>
      <c r="K1126" s="41">
        <v>15341</v>
      </c>
      <c r="L1126" s="24">
        <v>74</v>
      </c>
      <c r="M1126" s="19">
        <v>102.9</v>
      </c>
    </row>
    <row r="1127" spans="1:13" x14ac:dyDescent="0.75">
      <c r="A1127" t="s">
        <v>20</v>
      </c>
      <c r="B1127" s="18">
        <v>2024</v>
      </c>
      <c r="C1127" s="4">
        <v>10</v>
      </c>
      <c r="D1127">
        <v>105</v>
      </c>
      <c r="E1127" s="33">
        <v>49.2</v>
      </c>
      <c r="F1127" s="19">
        <v>105.96</v>
      </c>
      <c r="G1127" s="38">
        <v>105.11</v>
      </c>
      <c r="H1127" s="29">
        <v>30.19</v>
      </c>
      <c r="I1127" s="19">
        <v>1324.9639999999999</v>
      </c>
      <c r="J1127" s="40">
        <v>6</v>
      </c>
      <c r="K1127" s="41">
        <v>15541</v>
      </c>
      <c r="L1127" s="24">
        <v>75.599999999999994</v>
      </c>
      <c r="M1127" s="19">
        <v>102.8</v>
      </c>
    </row>
    <row r="1128" spans="1:13" x14ac:dyDescent="0.75">
      <c r="A1128" t="s">
        <v>20</v>
      </c>
      <c r="B1128" s="18">
        <v>2024</v>
      </c>
      <c r="C1128" s="4">
        <v>11</v>
      </c>
      <c r="D1128">
        <v>106</v>
      </c>
      <c r="E1128" s="33">
        <v>49.6</v>
      </c>
      <c r="F1128" s="19">
        <v>106.55</v>
      </c>
      <c r="G1128" s="38">
        <v>5.56</v>
      </c>
      <c r="H1128" s="29">
        <v>12.56</v>
      </c>
      <c r="I1128" s="19">
        <v>1453.4069999999999</v>
      </c>
      <c r="J1128" s="40">
        <v>6</v>
      </c>
      <c r="K1128" s="41">
        <v>15812</v>
      </c>
      <c r="L1128" s="24">
        <v>74.3</v>
      </c>
      <c r="M1128" s="19">
        <v>103</v>
      </c>
    </row>
    <row r="1129" spans="1:13" x14ac:dyDescent="0.75">
      <c r="A1129" t="s">
        <v>20</v>
      </c>
      <c r="B1129" s="18">
        <v>2024</v>
      </c>
      <c r="C1129" s="4">
        <v>12</v>
      </c>
      <c r="D1129">
        <v>205</v>
      </c>
      <c r="E1129" s="33">
        <v>51.2</v>
      </c>
      <c r="F1129" s="19">
        <v>107.04</v>
      </c>
      <c r="G1129" s="38">
        <v>135.25</v>
      </c>
      <c r="H1129" s="29">
        <v>78.989999999999995</v>
      </c>
      <c r="I1129" s="19">
        <v>1386.2280000000001</v>
      </c>
      <c r="J1129" s="40">
        <v>6</v>
      </c>
      <c r="K1129" s="41">
        <v>16024</v>
      </c>
      <c r="L1129" s="24">
        <v>73.900000000000006</v>
      </c>
      <c r="M1129" s="19">
        <v>103.4</v>
      </c>
    </row>
    <row r="1130" spans="1:13" x14ac:dyDescent="0.75">
      <c r="A1130" t="s">
        <v>21</v>
      </c>
      <c r="B1130" s="18">
        <v>2024</v>
      </c>
      <c r="C1130" s="4">
        <v>1</v>
      </c>
      <c r="D1130">
        <v>0</v>
      </c>
      <c r="E1130" s="33">
        <v>52.9</v>
      </c>
      <c r="F1130" s="29">
        <v>106.17</v>
      </c>
      <c r="G1130" s="29">
        <v>6.21</v>
      </c>
      <c r="H1130" s="29">
        <v>4.43</v>
      </c>
      <c r="I1130" s="19">
        <v>873.47699999999998</v>
      </c>
      <c r="J1130" s="40">
        <v>6</v>
      </c>
      <c r="K1130" s="41">
        <v>15611</v>
      </c>
      <c r="L1130" s="24">
        <v>80.099999999999994</v>
      </c>
      <c r="M1130" s="33">
        <v>102.1</v>
      </c>
    </row>
    <row r="1131" spans="1:13" x14ac:dyDescent="0.75">
      <c r="A1131" t="s">
        <v>21</v>
      </c>
      <c r="B1131" s="18">
        <v>2024</v>
      </c>
      <c r="C1131" s="4">
        <v>2</v>
      </c>
      <c r="D1131">
        <v>27</v>
      </c>
      <c r="E1131" s="33">
        <v>52.7</v>
      </c>
      <c r="F1131" s="29">
        <v>106</v>
      </c>
      <c r="G1131" s="29">
        <v>5.93</v>
      </c>
      <c r="H1131" s="29">
        <v>0.25</v>
      </c>
      <c r="I1131" s="19">
        <v>927.58799999999997</v>
      </c>
      <c r="J1131" s="40">
        <v>6</v>
      </c>
      <c r="K1131" s="41">
        <v>15665</v>
      </c>
      <c r="L1131" s="24">
        <v>83.5</v>
      </c>
      <c r="M1131" s="33">
        <v>103</v>
      </c>
    </row>
    <row r="1132" spans="1:13" x14ac:dyDescent="0.75">
      <c r="A1132" t="s">
        <v>21</v>
      </c>
      <c r="B1132" s="18">
        <v>2024</v>
      </c>
      <c r="C1132" s="4">
        <v>3</v>
      </c>
      <c r="D1132">
        <v>27</v>
      </c>
      <c r="E1132" s="33">
        <v>54.2</v>
      </c>
      <c r="F1132" s="29">
        <v>105.85</v>
      </c>
      <c r="G1132" s="29">
        <v>5.74</v>
      </c>
      <c r="H1132" s="29">
        <v>4.28</v>
      </c>
      <c r="I1132" s="19">
        <v>944.32399999999996</v>
      </c>
      <c r="J1132" s="40">
        <v>6</v>
      </c>
      <c r="K1132" s="41">
        <v>15703</v>
      </c>
      <c r="L1132" s="24">
        <v>85.4</v>
      </c>
      <c r="M1132" s="33">
        <v>103.5</v>
      </c>
    </row>
    <row r="1133" spans="1:13" x14ac:dyDescent="0.75">
      <c r="A1133" t="s">
        <v>21</v>
      </c>
      <c r="B1133" s="18">
        <v>2024</v>
      </c>
      <c r="C1133" s="4">
        <v>4</v>
      </c>
      <c r="D1133">
        <v>27</v>
      </c>
      <c r="E1133" s="33">
        <v>52.9</v>
      </c>
      <c r="F1133" s="29">
        <v>106.18</v>
      </c>
      <c r="G1133" s="29">
        <v>4.8099999999999996</v>
      </c>
      <c r="H1133" s="29">
        <v>4.9800000000000004</v>
      </c>
      <c r="I1133" s="19">
        <v>1130.9680000000001</v>
      </c>
      <c r="J1133" s="40">
        <v>6.25</v>
      </c>
      <c r="K1133" s="41">
        <v>16100</v>
      </c>
      <c r="L1133" s="24">
        <v>89.9</v>
      </c>
      <c r="M1133" s="33">
        <v>103.4</v>
      </c>
    </row>
    <row r="1134" spans="1:13" x14ac:dyDescent="0.75">
      <c r="A1134" t="s">
        <v>21</v>
      </c>
      <c r="B1134" s="18">
        <v>2024</v>
      </c>
      <c r="C1134" s="4">
        <v>5</v>
      </c>
      <c r="D1134">
        <v>27</v>
      </c>
      <c r="E1134" s="33">
        <v>52.1</v>
      </c>
      <c r="F1134" s="29">
        <v>105.93</v>
      </c>
      <c r="G1134" s="29">
        <v>7.65</v>
      </c>
      <c r="H1134" s="29">
        <v>9.49</v>
      </c>
      <c r="I1134" s="19">
        <v>1164.213</v>
      </c>
      <c r="J1134" s="40">
        <v>6.25</v>
      </c>
      <c r="K1134" s="41">
        <v>16084</v>
      </c>
      <c r="L1134" s="24">
        <v>81.7</v>
      </c>
      <c r="M1134" s="19">
        <v>103.3</v>
      </c>
    </row>
    <row r="1135" spans="1:13" x14ac:dyDescent="0.75">
      <c r="A1135" t="s">
        <v>21</v>
      </c>
      <c r="B1135" s="18">
        <v>2024</v>
      </c>
      <c r="C1135" s="4">
        <v>6</v>
      </c>
      <c r="D1135">
        <v>27</v>
      </c>
      <c r="E1135" s="33">
        <v>50.7</v>
      </c>
      <c r="F1135" s="29">
        <v>105.69</v>
      </c>
      <c r="G1135" s="29">
        <v>5.87</v>
      </c>
      <c r="H1135" s="29">
        <v>3.18</v>
      </c>
      <c r="I1135" s="19">
        <v>1311.51</v>
      </c>
      <c r="J1135" s="40">
        <v>6.25</v>
      </c>
      <c r="K1135" s="41">
        <v>16329</v>
      </c>
      <c r="L1135" s="24">
        <v>82.2</v>
      </c>
      <c r="M1135" s="19">
        <v>103.3</v>
      </c>
    </row>
    <row r="1136" spans="1:13" x14ac:dyDescent="0.75">
      <c r="A1136" t="s">
        <v>21</v>
      </c>
      <c r="B1136" s="18">
        <v>2024</v>
      </c>
      <c r="C1136" s="4">
        <v>7</v>
      </c>
      <c r="D1136">
        <v>27</v>
      </c>
      <c r="E1136" s="33">
        <v>49.3</v>
      </c>
      <c r="F1136" s="29">
        <v>105.35</v>
      </c>
      <c r="G1136" s="29">
        <v>5.85</v>
      </c>
      <c r="H1136" s="29">
        <v>0.19</v>
      </c>
      <c r="I1136" s="19">
        <v>1387.9169999999999</v>
      </c>
      <c r="J1136" s="40">
        <v>6.25</v>
      </c>
      <c r="K1136" s="41">
        <v>16262</v>
      </c>
      <c r="L1136" s="24">
        <v>85.2</v>
      </c>
      <c r="M1136" s="19">
        <v>103.2</v>
      </c>
    </row>
    <row r="1137" spans="1:13" x14ac:dyDescent="0.75">
      <c r="A1137" t="s">
        <v>21</v>
      </c>
      <c r="B1137" s="18">
        <v>2024</v>
      </c>
      <c r="C1137" s="4">
        <v>8</v>
      </c>
      <c r="D1137">
        <v>27</v>
      </c>
      <c r="E1137" s="33">
        <v>48.9</v>
      </c>
      <c r="F1137" s="29">
        <v>105.09</v>
      </c>
      <c r="G1137" s="29">
        <v>7.25</v>
      </c>
      <c r="H1137" s="29">
        <v>6.76</v>
      </c>
      <c r="I1137" s="19">
        <v>1422.78</v>
      </c>
      <c r="J1137" s="40">
        <v>6.25</v>
      </c>
      <c r="K1137" s="41">
        <v>15793</v>
      </c>
      <c r="L1137" s="24">
        <v>80.400000000000006</v>
      </c>
      <c r="M1137" s="19">
        <v>103.1</v>
      </c>
    </row>
    <row r="1138" spans="1:13" x14ac:dyDescent="0.75">
      <c r="A1138" t="s">
        <v>21</v>
      </c>
      <c r="B1138" s="18">
        <v>2024</v>
      </c>
      <c r="C1138" s="4">
        <v>9</v>
      </c>
      <c r="D1138">
        <v>27</v>
      </c>
      <c r="E1138" s="33">
        <v>49.2</v>
      </c>
      <c r="F1138" s="29">
        <v>105.06</v>
      </c>
      <c r="G1138" s="29">
        <v>5.32</v>
      </c>
      <c r="H1138" s="29">
        <v>3.02</v>
      </c>
      <c r="I1138" s="19">
        <v>1522.4870000000001</v>
      </c>
      <c r="J1138" s="40">
        <v>6</v>
      </c>
      <c r="K1138" s="41">
        <v>15341</v>
      </c>
      <c r="L1138" s="24">
        <v>74</v>
      </c>
      <c r="M1138" s="19">
        <v>102.9</v>
      </c>
    </row>
    <row r="1139" spans="1:13" x14ac:dyDescent="0.75">
      <c r="A1139" t="s">
        <v>21</v>
      </c>
      <c r="B1139" s="18">
        <v>2024</v>
      </c>
      <c r="C1139" s="4">
        <v>10</v>
      </c>
      <c r="D1139">
        <v>27</v>
      </c>
      <c r="E1139" s="33">
        <v>49.2</v>
      </c>
      <c r="F1139" s="29">
        <v>105.33</v>
      </c>
      <c r="G1139" s="29">
        <v>10.01</v>
      </c>
      <c r="H1139" s="29">
        <v>0.48</v>
      </c>
      <c r="I1139" s="19">
        <v>1591.729</v>
      </c>
      <c r="J1139" s="40">
        <v>6</v>
      </c>
      <c r="K1139" s="41">
        <v>15541</v>
      </c>
      <c r="L1139" s="24">
        <v>75.599999999999994</v>
      </c>
      <c r="M1139" s="19">
        <v>102.8</v>
      </c>
    </row>
    <row r="1140" spans="1:13" x14ac:dyDescent="0.75">
      <c r="A1140" t="s">
        <v>21</v>
      </c>
      <c r="B1140" s="18">
        <v>2024</v>
      </c>
      <c r="C1140" s="4">
        <v>11</v>
      </c>
      <c r="D1140">
        <v>27</v>
      </c>
      <c r="E1140" s="33">
        <v>49.6</v>
      </c>
      <c r="F1140" s="29">
        <v>105.53</v>
      </c>
      <c r="G1140" s="29">
        <v>9.25</v>
      </c>
      <c r="H1140" s="29">
        <v>16.54</v>
      </c>
      <c r="I1140" s="19">
        <v>1654.1569999999999</v>
      </c>
      <c r="J1140" s="40">
        <v>6</v>
      </c>
      <c r="K1140" s="41">
        <v>15812</v>
      </c>
      <c r="L1140" s="24">
        <v>74.3</v>
      </c>
      <c r="M1140" s="19">
        <v>103</v>
      </c>
    </row>
    <row r="1141" spans="1:13" x14ac:dyDescent="0.75">
      <c r="A1141" t="s">
        <v>21</v>
      </c>
      <c r="B1141" s="18">
        <v>2024</v>
      </c>
      <c r="C1141" s="4">
        <v>12</v>
      </c>
      <c r="D1141">
        <v>27</v>
      </c>
      <c r="E1141" s="33">
        <v>51.2</v>
      </c>
      <c r="F1141" s="29">
        <v>106.4</v>
      </c>
      <c r="G1141" s="29">
        <v>10.92</v>
      </c>
      <c r="H1141" s="29">
        <v>28.69</v>
      </c>
      <c r="I1141" s="19">
        <v>1477.0029999999999</v>
      </c>
      <c r="J1141" s="40">
        <v>6</v>
      </c>
      <c r="K1141" s="41">
        <v>16024</v>
      </c>
      <c r="L1141" s="24">
        <v>73.900000000000006</v>
      </c>
      <c r="M1141" s="19">
        <v>103.4</v>
      </c>
    </row>
    <row r="1142" spans="1:13" x14ac:dyDescent="0.75">
      <c r="A1142" t="s">
        <v>22</v>
      </c>
      <c r="B1142" s="18">
        <v>2024</v>
      </c>
      <c r="C1142" s="4">
        <v>1</v>
      </c>
      <c r="D1142">
        <v>0</v>
      </c>
      <c r="E1142" s="33">
        <v>52.9</v>
      </c>
      <c r="F1142" s="29">
        <v>105.41</v>
      </c>
      <c r="G1142" s="29">
        <v>164.44</v>
      </c>
      <c r="H1142" s="26">
        <v>31.71</v>
      </c>
      <c r="I1142" s="19">
        <v>1454.7639999999999</v>
      </c>
      <c r="J1142" s="40">
        <v>6</v>
      </c>
      <c r="K1142" s="41">
        <v>15611</v>
      </c>
      <c r="L1142" s="24">
        <v>80.099999999999994</v>
      </c>
      <c r="M1142" s="33">
        <v>102.1</v>
      </c>
    </row>
    <row r="1143" spans="1:13" x14ac:dyDescent="0.75">
      <c r="A1143" t="s">
        <v>22</v>
      </c>
      <c r="B1143" s="18">
        <v>2024</v>
      </c>
      <c r="C1143" s="4">
        <v>2</v>
      </c>
      <c r="D1143">
        <v>0</v>
      </c>
      <c r="E1143" s="33">
        <v>52.7</v>
      </c>
      <c r="F1143" s="29">
        <v>105.49</v>
      </c>
      <c r="G1143" s="29">
        <v>137.79</v>
      </c>
      <c r="H1143" s="26">
        <v>51.42</v>
      </c>
      <c r="I1143" s="19">
        <v>1409.962</v>
      </c>
      <c r="J1143" s="40">
        <v>6</v>
      </c>
      <c r="K1143" s="41">
        <v>15665</v>
      </c>
      <c r="L1143" s="24">
        <v>83.5</v>
      </c>
      <c r="M1143" s="33">
        <v>103</v>
      </c>
    </row>
    <row r="1144" spans="1:13" x14ac:dyDescent="0.75">
      <c r="A1144" t="s">
        <v>22</v>
      </c>
      <c r="B1144" s="18">
        <v>2024</v>
      </c>
      <c r="C1144" s="4">
        <v>3</v>
      </c>
      <c r="D1144">
        <v>0</v>
      </c>
      <c r="E1144" s="33">
        <v>54.2</v>
      </c>
      <c r="F1144" s="29">
        <v>105.84</v>
      </c>
      <c r="G1144" s="29">
        <v>155.29</v>
      </c>
      <c r="H1144" s="26">
        <v>101.59</v>
      </c>
      <c r="I1144" s="19">
        <v>1361.5920000000001</v>
      </c>
      <c r="J1144" s="40">
        <v>6</v>
      </c>
      <c r="K1144" s="41">
        <v>15703</v>
      </c>
      <c r="L1144" s="24">
        <v>85.4</v>
      </c>
      <c r="M1144" s="33">
        <v>103.5</v>
      </c>
    </row>
    <row r="1145" spans="1:13" x14ac:dyDescent="0.75">
      <c r="A1145" t="s">
        <v>22</v>
      </c>
      <c r="B1145" s="18">
        <v>2024</v>
      </c>
      <c r="C1145" s="4">
        <v>4</v>
      </c>
      <c r="D1145">
        <v>0</v>
      </c>
      <c r="E1145" s="33">
        <v>52.9</v>
      </c>
      <c r="F1145" s="29">
        <v>106.57</v>
      </c>
      <c r="G1145" s="29">
        <v>134.74</v>
      </c>
      <c r="H1145" s="26">
        <v>33.74</v>
      </c>
      <c r="I1145" s="19">
        <v>1511.6569999999999</v>
      </c>
      <c r="J1145" s="40">
        <v>6.25</v>
      </c>
      <c r="K1145" s="41">
        <v>16100</v>
      </c>
      <c r="L1145" s="24">
        <v>89.9</v>
      </c>
      <c r="M1145" s="33">
        <v>103.4</v>
      </c>
    </row>
    <row r="1146" spans="1:13" x14ac:dyDescent="0.75">
      <c r="A1146" t="s">
        <v>22</v>
      </c>
      <c r="B1146" s="18">
        <v>2024</v>
      </c>
      <c r="C1146" s="4">
        <v>5</v>
      </c>
      <c r="D1146">
        <v>785</v>
      </c>
      <c r="E1146" s="33">
        <v>52.1</v>
      </c>
      <c r="F1146" s="29">
        <v>106.74</v>
      </c>
      <c r="G1146" s="29">
        <v>154.54</v>
      </c>
      <c r="H1146" s="26">
        <v>73.650000000000006</v>
      </c>
      <c r="I1146" s="19">
        <v>1667.8430000000001</v>
      </c>
      <c r="J1146" s="40">
        <v>6.25</v>
      </c>
      <c r="K1146" s="41">
        <v>16084</v>
      </c>
      <c r="L1146" s="24">
        <v>81.7</v>
      </c>
      <c r="M1146" s="19">
        <v>103.3</v>
      </c>
    </row>
    <row r="1147" spans="1:13" x14ac:dyDescent="0.75">
      <c r="A1147" t="s">
        <v>22</v>
      </c>
      <c r="B1147" s="18">
        <v>2024</v>
      </c>
      <c r="C1147" s="4">
        <v>6</v>
      </c>
      <c r="D1147">
        <v>785</v>
      </c>
      <c r="E1147" s="33">
        <v>50.7</v>
      </c>
      <c r="F1147" s="29">
        <v>106.43</v>
      </c>
      <c r="G1147" s="29">
        <v>185.32</v>
      </c>
      <c r="H1147" s="26">
        <v>25.19</v>
      </c>
      <c r="I1147" s="19">
        <v>1674.7270000000001</v>
      </c>
      <c r="J1147" s="40">
        <v>6.25</v>
      </c>
      <c r="K1147" s="41">
        <v>16329</v>
      </c>
      <c r="L1147" s="24">
        <v>82.2</v>
      </c>
      <c r="M1147" s="19">
        <v>103.3</v>
      </c>
    </row>
    <row r="1148" spans="1:13" x14ac:dyDescent="0.75">
      <c r="A1148" t="s">
        <v>22</v>
      </c>
      <c r="B1148" s="18">
        <v>2024</v>
      </c>
      <c r="C1148" s="4">
        <v>7</v>
      </c>
      <c r="D1148">
        <v>786</v>
      </c>
      <c r="E1148" s="33">
        <v>49.3</v>
      </c>
      <c r="F1148" s="29">
        <v>105.95</v>
      </c>
      <c r="G1148" s="29">
        <v>178.23</v>
      </c>
      <c r="H1148" s="26">
        <v>76.41</v>
      </c>
      <c r="I1148" s="19">
        <v>1716.201</v>
      </c>
      <c r="J1148" s="40">
        <v>6.25</v>
      </c>
      <c r="K1148" s="41">
        <v>16262</v>
      </c>
      <c r="L1148" s="24">
        <v>85.2</v>
      </c>
      <c r="M1148" s="19">
        <v>103.2</v>
      </c>
    </row>
    <row r="1149" spans="1:13" x14ac:dyDescent="0.75">
      <c r="A1149" t="s">
        <v>22</v>
      </c>
      <c r="B1149" s="18">
        <v>2024</v>
      </c>
      <c r="C1149" s="4">
        <v>8</v>
      </c>
      <c r="D1149">
        <v>786</v>
      </c>
      <c r="E1149" s="33">
        <v>48.9</v>
      </c>
      <c r="F1149" s="29">
        <v>105.69</v>
      </c>
      <c r="G1149" s="29">
        <v>166.39</v>
      </c>
      <c r="H1149" s="26">
        <v>61.34</v>
      </c>
      <c r="I1149" s="19">
        <v>1675.713</v>
      </c>
      <c r="J1149" s="40">
        <v>6.25</v>
      </c>
      <c r="K1149" s="41">
        <v>15793</v>
      </c>
      <c r="L1149" s="24">
        <v>80.400000000000006</v>
      </c>
      <c r="M1149" s="19">
        <v>103.1</v>
      </c>
    </row>
    <row r="1150" spans="1:13" x14ac:dyDescent="0.75">
      <c r="A1150" t="s">
        <v>22</v>
      </c>
      <c r="B1150" s="18">
        <v>2024</v>
      </c>
      <c r="C1150" s="4">
        <v>9</v>
      </c>
      <c r="D1150">
        <v>786</v>
      </c>
      <c r="E1150" s="33">
        <v>49.2</v>
      </c>
      <c r="F1150" s="29">
        <v>106</v>
      </c>
      <c r="G1150" s="29">
        <v>223.81</v>
      </c>
      <c r="H1150" s="26">
        <v>63.22</v>
      </c>
      <c r="I1150" s="19">
        <v>1680.4559999999999</v>
      </c>
      <c r="J1150" s="40">
        <v>6</v>
      </c>
      <c r="K1150" s="41">
        <v>15341</v>
      </c>
      <c r="L1150" s="24">
        <v>74</v>
      </c>
      <c r="M1150" s="19">
        <v>102.9</v>
      </c>
    </row>
    <row r="1151" spans="1:13" x14ac:dyDescent="0.75">
      <c r="A1151" t="s">
        <v>22</v>
      </c>
      <c r="B1151" s="18">
        <v>2024</v>
      </c>
      <c r="C1151" s="4">
        <v>10</v>
      </c>
      <c r="D1151">
        <v>786</v>
      </c>
      <c r="E1151" s="33">
        <v>49.2</v>
      </c>
      <c r="F1151" s="29">
        <v>106.04</v>
      </c>
      <c r="G1151" s="29">
        <v>193.81</v>
      </c>
      <c r="H1151" s="26">
        <v>68.72</v>
      </c>
      <c r="I1151" s="19">
        <v>1709.838</v>
      </c>
      <c r="J1151" s="40">
        <v>6</v>
      </c>
      <c r="K1151" s="41">
        <v>15541</v>
      </c>
      <c r="L1151" s="24">
        <v>75.599999999999994</v>
      </c>
      <c r="M1151" s="19">
        <v>102.8</v>
      </c>
    </row>
    <row r="1152" spans="1:13" x14ac:dyDescent="0.75">
      <c r="A1152" t="s">
        <v>22</v>
      </c>
      <c r="B1152" s="18">
        <v>2024</v>
      </c>
      <c r="C1152" s="4">
        <v>11</v>
      </c>
      <c r="D1152">
        <v>786</v>
      </c>
      <c r="E1152" s="33">
        <v>49.6</v>
      </c>
      <c r="F1152" s="29">
        <v>106.33</v>
      </c>
      <c r="G1152" s="29">
        <v>188.77</v>
      </c>
      <c r="H1152" s="26">
        <v>50.6</v>
      </c>
      <c r="I1152" s="19">
        <v>1691.559</v>
      </c>
      <c r="J1152" s="40">
        <v>6</v>
      </c>
      <c r="K1152" s="41">
        <v>15812</v>
      </c>
      <c r="L1152" s="24">
        <v>74.3</v>
      </c>
      <c r="M1152" s="19">
        <v>103</v>
      </c>
    </row>
    <row r="1153" spans="1:13" x14ac:dyDescent="0.75">
      <c r="A1153" t="s">
        <v>22</v>
      </c>
      <c r="B1153" s="18">
        <v>2024</v>
      </c>
      <c r="C1153" s="4">
        <v>12</v>
      </c>
      <c r="D1153">
        <v>786</v>
      </c>
      <c r="E1153" s="33">
        <v>51.2</v>
      </c>
      <c r="F1153" s="29">
        <v>106.82</v>
      </c>
      <c r="G1153" s="29">
        <v>229.14</v>
      </c>
      <c r="H1153" s="26">
        <v>69</v>
      </c>
      <c r="I1153" s="19">
        <v>1621.15</v>
      </c>
      <c r="J1153" s="40">
        <v>6</v>
      </c>
      <c r="K1153" s="41">
        <v>16024</v>
      </c>
      <c r="L1153" s="24">
        <v>73.900000000000006</v>
      </c>
      <c r="M1153" s="19">
        <v>103.4</v>
      </c>
    </row>
    <row r="1154" spans="1:13" x14ac:dyDescent="0.75">
      <c r="A1154" t="s">
        <v>23</v>
      </c>
      <c r="B1154" s="18">
        <v>2024</v>
      </c>
      <c r="C1154" s="4">
        <v>1</v>
      </c>
      <c r="D1154">
        <v>0</v>
      </c>
      <c r="E1154" s="33">
        <v>52.9</v>
      </c>
      <c r="F1154" s="26">
        <v>105.76</v>
      </c>
      <c r="G1154" s="26">
        <v>392.5</v>
      </c>
      <c r="H1154" s="19">
        <v>12.29</v>
      </c>
      <c r="I1154" s="19">
        <v>705.98599999999999</v>
      </c>
      <c r="J1154" s="40">
        <v>6</v>
      </c>
      <c r="K1154" s="41">
        <v>15611</v>
      </c>
      <c r="L1154" s="24">
        <v>80.099999999999994</v>
      </c>
      <c r="M1154" s="33">
        <v>102.1</v>
      </c>
    </row>
    <row r="1155" spans="1:13" x14ac:dyDescent="0.75">
      <c r="A1155" t="s">
        <v>23</v>
      </c>
      <c r="B1155" s="18">
        <v>2024</v>
      </c>
      <c r="C1155" s="4">
        <v>2</v>
      </c>
      <c r="D1155">
        <v>0</v>
      </c>
      <c r="E1155" s="33">
        <v>52.7</v>
      </c>
      <c r="F1155" s="26">
        <v>105.27</v>
      </c>
      <c r="G1155" s="26">
        <v>416.68</v>
      </c>
      <c r="H1155" s="19">
        <v>6.2</v>
      </c>
      <c r="I1155" s="19">
        <v>767.803</v>
      </c>
      <c r="J1155" s="40">
        <v>6</v>
      </c>
      <c r="K1155" s="41">
        <v>15665</v>
      </c>
      <c r="L1155" s="24">
        <v>83.5</v>
      </c>
      <c r="M1155" s="33">
        <v>103</v>
      </c>
    </row>
    <row r="1156" spans="1:13" x14ac:dyDescent="0.75">
      <c r="A1156" t="s">
        <v>23</v>
      </c>
      <c r="B1156" s="18">
        <v>2024</v>
      </c>
      <c r="C1156" s="4">
        <v>3</v>
      </c>
      <c r="D1156">
        <v>61</v>
      </c>
      <c r="E1156" s="33">
        <v>54.2</v>
      </c>
      <c r="F1156" s="26">
        <v>105.96</v>
      </c>
      <c r="G1156" s="26">
        <v>333.98</v>
      </c>
      <c r="H1156" s="19">
        <v>7.77</v>
      </c>
      <c r="I1156" s="19">
        <v>779.41499999999996</v>
      </c>
      <c r="J1156" s="40">
        <v>6</v>
      </c>
      <c r="K1156" s="41">
        <v>15703</v>
      </c>
      <c r="L1156" s="24">
        <v>85.4</v>
      </c>
      <c r="M1156" s="33">
        <v>103.5</v>
      </c>
    </row>
    <row r="1157" spans="1:13" x14ac:dyDescent="0.75">
      <c r="A1157" t="s">
        <v>23</v>
      </c>
      <c r="B1157" s="18">
        <v>2024</v>
      </c>
      <c r="C1157" s="4">
        <v>4</v>
      </c>
      <c r="D1157">
        <v>167</v>
      </c>
      <c r="E1157" s="33">
        <v>52.9</v>
      </c>
      <c r="F1157" s="26">
        <v>106.73</v>
      </c>
      <c r="G1157" s="26">
        <v>331.52</v>
      </c>
      <c r="H1157" s="19">
        <v>1.74</v>
      </c>
      <c r="I1157" s="19">
        <v>809.81200000000001</v>
      </c>
      <c r="J1157" s="40">
        <v>6.25</v>
      </c>
      <c r="K1157" s="41">
        <v>16100</v>
      </c>
      <c r="L1157" s="24">
        <v>89.9</v>
      </c>
      <c r="M1157" s="33">
        <v>103.4</v>
      </c>
    </row>
    <row r="1158" spans="1:13" x14ac:dyDescent="0.75">
      <c r="A1158" t="s">
        <v>23</v>
      </c>
      <c r="B1158" s="18">
        <v>2024</v>
      </c>
      <c r="C1158" s="4">
        <v>5</v>
      </c>
      <c r="D1158">
        <v>167</v>
      </c>
      <c r="E1158" s="33">
        <v>52.1</v>
      </c>
      <c r="F1158" s="26">
        <v>106.96</v>
      </c>
      <c r="G1158" s="26">
        <v>328.96</v>
      </c>
      <c r="H1158" s="19">
        <v>1.73</v>
      </c>
      <c r="I1158" s="19">
        <v>841.54</v>
      </c>
      <c r="J1158" s="40">
        <v>6.25</v>
      </c>
      <c r="K1158" s="41">
        <v>16084</v>
      </c>
      <c r="L1158" s="24">
        <v>81.7</v>
      </c>
      <c r="M1158" s="19">
        <v>103.3</v>
      </c>
    </row>
    <row r="1159" spans="1:13" x14ac:dyDescent="0.75">
      <c r="A1159" t="s">
        <v>23</v>
      </c>
      <c r="B1159" s="18">
        <v>2024</v>
      </c>
      <c r="C1159" s="4">
        <v>6</v>
      </c>
      <c r="D1159">
        <v>298</v>
      </c>
      <c r="E1159" s="33">
        <v>50.7</v>
      </c>
      <c r="F1159" s="26">
        <v>106.66</v>
      </c>
      <c r="G1159" s="26">
        <v>351.07</v>
      </c>
      <c r="H1159" s="19">
        <v>2.85</v>
      </c>
      <c r="I1159" s="19">
        <v>803.78300000000002</v>
      </c>
      <c r="J1159" s="40">
        <v>6.25</v>
      </c>
      <c r="K1159" s="41">
        <v>16329</v>
      </c>
      <c r="L1159" s="24">
        <v>82.2</v>
      </c>
      <c r="M1159" s="19">
        <v>103.3</v>
      </c>
    </row>
    <row r="1160" spans="1:13" x14ac:dyDescent="0.75">
      <c r="A1160" t="s">
        <v>23</v>
      </c>
      <c r="B1160" s="18">
        <v>2024</v>
      </c>
      <c r="C1160" s="4">
        <v>7</v>
      </c>
      <c r="D1160">
        <v>339</v>
      </c>
      <c r="E1160" s="33">
        <v>49.3</v>
      </c>
      <c r="F1160" s="26">
        <v>105.94</v>
      </c>
      <c r="G1160" s="26">
        <v>270.89</v>
      </c>
      <c r="H1160" s="19">
        <v>3.68</v>
      </c>
      <c r="I1160" s="19">
        <v>813.16499999999996</v>
      </c>
      <c r="J1160" s="40">
        <v>6.25</v>
      </c>
      <c r="K1160" s="41">
        <v>16262</v>
      </c>
      <c r="L1160" s="24">
        <v>85.2</v>
      </c>
      <c r="M1160" s="19">
        <v>103.2</v>
      </c>
    </row>
    <row r="1161" spans="1:13" x14ac:dyDescent="0.75">
      <c r="A1161" t="s">
        <v>23</v>
      </c>
      <c r="B1161" s="18">
        <v>2024</v>
      </c>
      <c r="C1161" s="4">
        <v>8</v>
      </c>
      <c r="D1161">
        <v>678</v>
      </c>
      <c r="E1161" s="33">
        <v>48.9</v>
      </c>
      <c r="F1161" s="26">
        <v>105.53</v>
      </c>
      <c r="G1161" s="26">
        <v>233.61</v>
      </c>
      <c r="H1161" s="19">
        <v>2.39</v>
      </c>
      <c r="I1161" s="19">
        <v>803.02800000000002</v>
      </c>
      <c r="J1161" s="40">
        <v>6.25</v>
      </c>
      <c r="K1161" s="41">
        <v>15793</v>
      </c>
      <c r="L1161" s="24">
        <v>80.400000000000006</v>
      </c>
      <c r="M1161" s="19">
        <v>103.1</v>
      </c>
    </row>
    <row r="1162" spans="1:13" x14ac:dyDescent="0.75">
      <c r="A1162" t="s">
        <v>23</v>
      </c>
      <c r="B1162" s="18">
        <v>2024</v>
      </c>
      <c r="C1162" s="4">
        <v>9</v>
      </c>
      <c r="D1162">
        <v>709</v>
      </c>
      <c r="E1162" s="33">
        <v>49.2</v>
      </c>
      <c r="F1162" s="26">
        <v>105.6</v>
      </c>
      <c r="G1162" s="26">
        <v>318.08</v>
      </c>
      <c r="H1162" s="19">
        <v>7.16</v>
      </c>
      <c r="I1162" s="19">
        <v>786.41700000000003</v>
      </c>
      <c r="J1162" s="40">
        <v>6</v>
      </c>
      <c r="K1162" s="41">
        <v>15341</v>
      </c>
      <c r="L1162" s="24">
        <v>74</v>
      </c>
      <c r="M1162" s="19">
        <v>102.9</v>
      </c>
    </row>
    <row r="1163" spans="1:13" x14ac:dyDescent="0.75">
      <c r="A1163" t="s">
        <v>23</v>
      </c>
      <c r="B1163" s="18">
        <v>2024</v>
      </c>
      <c r="C1163" s="4">
        <v>10</v>
      </c>
      <c r="D1163">
        <v>785</v>
      </c>
      <c r="E1163" s="33">
        <v>49.2</v>
      </c>
      <c r="F1163" s="26">
        <v>105.75</v>
      </c>
      <c r="G1163" s="26">
        <v>272.58999999999997</v>
      </c>
      <c r="H1163" s="19">
        <v>3.65</v>
      </c>
      <c r="I1163" s="19">
        <v>801.93200000000002</v>
      </c>
      <c r="J1163" s="40">
        <v>6</v>
      </c>
      <c r="K1163" s="41">
        <v>15541</v>
      </c>
      <c r="L1163" s="24">
        <v>75.599999999999994</v>
      </c>
      <c r="M1163" s="19">
        <v>102.8</v>
      </c>
    </row>
    <row r="1164" spans="1:13" x14ac:dyDescent="0.75">
      <c r="A1164" t="s">
        <v>23</v>
      </c>
      <c r="B1164" s="18">
        <v>2024</v>
      </c>
      <c r="C1164" s="4">
        <v>11</v>
      </c>
      <c r="D1164">
        <v>801</v>
      </c>
      <c r="E1164" s="33">
        <v>49.6</v>
      </c>
      <c r="F1164" s="26">
        <v>106.13</v>
      </c>
      <c r="G1164" s="26">
        <v>356.39</v>
      </c>
      <c r="H1164" s="19">
        <v>3.97</v>
      </c>
      <c r="I1164" s="19">
        <v>815.13199999999995</v>
      </c>
      <c r="J1164" s="40">
        <v>6</v>
      </c>
      <c r="K1164" s="41">
        <v>15812</v>
      </c>
      <c r="L1164" s="24">
        <v>74.3</v>
      </c>
      <c r="M1164" s="19">
        <v>103</v>
      </c>
    </row>
    <row r="1165" spans="1:13" x14ac:dyDescent="0.75">
      <c r="A1165" t="s">
        <v>23</v>
      </c>
      <c r="B1165" s="18">
        <v>2024</v>
      </c>
      <c r="C1165" s="4">
        <v>12</v>
      </c>
      <c r="D1165">
        <v>825</v>
      </c>
      <c r="E1165" s="33">
        <v>51.2</v>
      </c>
      <c r="F1165" s="26">
        <v>106.64</v>
      </c>
      <c r="G1165" s="26">
        <v>417.22</v>
      </c>
      <c r="H1165" s="19">
        <v>3.1</v>
      </c>
      <c r="I1165" s="19">
        <v>806.49900000000002</v>
      </c>
      <c r="J1165" s="40">
        <v>6</v>
      </c>
      <c r="K1165" s="41">
        <v>16024</v>
      </c>
      <c r="L1165" s="24">
        <v>73.900000000000006</v>
      </c>
      <c r="M1165" s="19">
        <v>103.4</v>
      </c>
    </row>
    <row r="1166" spans="1:13" x14ac:dyDescent="0.75">
      <c r="A1166" t="s">
        <v>24</v>
      </c>
      <c r="B1166" s="18">
        <v>2024</v>
      </c>
      <c r="C1166" s="4">
        <v>1</v>
      </c>
      <c r="D1166">
        <v>0</v>
      </c>
      <c r="E1166" s="33">
        <v>52.9</v>
      </c>
      <c r="F1166" s="19">
        <v>105.67</v>
      </c>
      <c r="G1166" s="19">
        <v>1003.43</v>
      </c>
      <c r="H1166" s="19">
        <v>172.13</v>
      </c>
      <c r="I1166" s="19">
        <v>1458.65</v>
      </c>
      <c r="J1166" s="40">
        <v>6</v>
      </c>
      <c r="K1166" s="41">
        <v>15611</v>
      </c>
      <c r="L1166" s="24">
        <v>80.099999999999994</v>
      </c>
      <c r="M1166" s="33">
        <v>102.1</v>
      </c>
    </row>
    <row r="1167" spans="1:13" x14ac:dyDescent="0.75">
      <c r="A1167" t="s">
        <v>24</v>
      </c>
      <c r="B1167" s="18">
        <v>2024</v>
      </c>
      <c r="C1167" s="4">
        <v>2</v>
      </c>
      <c r="D1167">
        <v>0</v>
      </c>
      <c r="E1167" s="33">
        <v>52.7</v>
      </c>
      <c r="F1167" s="19">
        <v>105.66</v>
      </c>
      <c r="G1167" s="19">
        <v>908.8</v>
      </c>
      <c r="H1167" s="19">
        <v>192.14</v>
      </c>
      <c r="I1167" s="19">
        <v>1530.4929999999999</v>
      </c>
      <c r="J1167" s="40">
        <v>6</v>
      </c>
      <c r="K1167" s="41">
        <v>15665</v>
      </c>
      <c r="L1167" s="24">
        <v>83.5</v>
      </c>
      <c r="M1167" s="33">
        <v>103</v>
      </c>
    </row>
    <row r="1168" spans="1:13" x14ac:dyDescent="0.75">
      <c r="A1168" t="s">
        <v>24</v>
      </c>
      <c r="B1168" s="18">
        <v>2024</v>
      </c>
      <c r="C1168" s="4">
        <v>3</v>
      </c>
      <c r="D1168">
        <v>0</v>
      </c>
      <c r="E1168" s="33">
        <v>54.2</v>
      </c>
      <c r="F1168" s="19">
        <v>106.32</v>
      </c>
      <c r="G1168" s="19">
        <v>1083.6500000000001</v>
      </c>
      <c r="H1168" s="19">
        <v>266.83999999999997</v>
      </c>
      <c r="I1168" s="19">
        <v>1571.163</v>
      </c>
      <c r="J1168" s="40">
        <v>6</v>
      </c>
      <c r="K1168" s="41">
        <v>15703</v>
      </c>
      <c r="L1168" s="24">
        <v>85.4</v>
      </c>
      <c r="M1168" s="33">
        <v>103.5</v>
      </c>
    </row>
    <row r="1169" spans="1:13" x14ac:dyDescent="0.75">
      <c r="A1169" t="s">
        <v>24</v>
      </c>
      <c r="B1169" s="18">
        <v>2024</v>
      </c>
      <c r="C1169" s="4">
        <v>4</v>
      </c>
      <c r="D1169">
        <v>159</v>
      </c>
      <c r="E1169" s="33">
        <v>52.9</v>
      </c>
      <c r="F1169" s="19">
        <v>107.08</v>
      </c>
      <c r="G1169" s="19">
        <v>971.77</v>
      </c>
      <c r="H1169" s="19">
        <v>151.11000000000001</v>
      </c>
      <c r="I1169" s="19">
        <v>1561.271</v>
      </c>
      <c r="J1169" s="40">
        <v>6.25</v>
      </c>
      <c r="K1169" s="41">
        <v>16100</v>
      </c>
      <c r="L1169" s="24">
        <v>89.9</v>
      </c>
      <c r="M1169" s="33">
        <v>103.4</v>
      </c>
    </row>
    <row r="1170" spans="1:13" x14ac:dyDescent="0.75">
      <c r="A1170" t="s">
        <v>24</v>
      </c>
      <c r="B1170" s="18">
        <v>2024</v>
      </c>
      <c r="C1170" s="4">
        <v>5</v>
      </c>
      <c r="D1170">
        <v>159</v>
      </c>
      <c r="E1170" s="33">
        <v>52.1</v>
      </c>
      <c r="F1170" s="19">
        <v>107.08</v>
      </c>
      <c r="G1170" s="19">
        <v>915.53</v>
      </c>
      <c r="H1170" s="19">
        <v>134.4</v>
      </c>
      <c r="I1170" s="19">
        <v>1604.345</v>
      </c>
      <c r="J1170" s="40">
        <v>6.25</v>
      </c>
      <c r="K1170" s="41">
        <v>16084</v>
      </c>
      <c r="L1170" s="24">
        <v>81.7</v>
      </c>
      <c r="M1170" s="19">
        <v>103.3</v>
      </c>
    </row>
    <row r="1171" spans="1:13" x14ac:dyDescent="0.75">
      <c r="A1171" t="s">
        <v>24</v>
      </c>
      <c r="B1171" s="18">
        <v>2024</v>
      </c>
      <c r="C1171" s="4">
        <v>6</v>
      </c>
      <c r="D1171">
        <v>246</v>
      </c>
      <c r="E1171" s="33">
        <v>50.7</v>
      </c>
      <c r="F1171" s="19">
        <v>106.73</v>
      </c>
      <c r="G1171" s="19">
        <v>893.14</v>
      </c>
      <c r="H1171" s="19">
        <v>190.19</v>
      </c>
      <c r="I1171" s="19">
        <v>1514.5840000000001</v>
      </c>
      <c r="J1171" s="40">
        <v>6.25</v>
      </c>
      <c r="K1171" s="41">
        <v>16329</v>
      </c>
      <c r="L1171" s="24">
        <v>82.2</v>
      </c>
      <c r="M1171" s="19">
        <v>103.3</v>
      </c>
    </row>
    <row r="1172" spans="1:13" x14ac:dyDescent="0.75">
      <c r="A1172" t="s">
        <v>24</v>
      </c>
      <c r="B1172" s="18">
        <v>2024</v>
      </c>
      <c r="C1172" s="4">
        <v>7</v>
      </c>
      <c r="D1172">
        <v>246</v>
      </c>
      <c r="E1172" s="33">
        <v>49.3</v>
      </c>
      <c r="F1172" s="19">
        <v>106.26</v>
      </c>
      <c r="G1172" s="19">
        <v>741.66</v>
      </c>
      <c r="H1172" s="19">
        <v>258.52</v>
      </c>
      <c r="I1172" s="19">
        <v>1552.1679999999999</v>
      </c>
      <c r="J1172" s="40">
        <v>6.25</v>
      </c>
      <c r="K1172" s="41">
        <v>16262</v>
      </c>
      <c r="L1172" s="24">
        <v>85.2</v>
      </c>
      <c r="M1172" s="19">
        <v>103.2</v>
      </c>
    </row>
    <row r="1173" spans="1:13" x14ac:dyDescent="0.75">
      <c r="A1173" t="s">
        <v>24</v>
      </c>
      <c r="B1173" s="18">
        <v>2024</v>
      </c>
      <c r="C1173" s="4">
        <v>8</v>
      </c>
      <c r="D1173">
        <v>246</v>
      </c>
      <c r="E1173" s="33">
        <v>48.9</v>
      </c>
      <c r="F1173" s="19">
        <v>105.88</v>
      </c>
      <c r="G1173" s="19">
        <v>947.76</v>
      </c>
      <c r="H1173" s="19">
        <v>145.62</v>
      </c>
      <c r="I1173" s="19">
        <v>1533.1489999999999</v>
      </c>
      <c r="J1173" s="40">
        <v>6.25</v>
      </c>
      <c r="K1173" s="41">
        <v>15793</v>
      </c>
      <c r="L1173" s="24">
        <v>80.400000000000006</v>
      </c>
      <c r="M1173" s="19">
        <v>103.1</v>
      </c>
    </row>
    <row r="1174" spans="1:13" x14ac:dyDescent="0.75">
      <c r="A1174" t="s">
        <v>24</v>
      </c>
      <c r="B1174" s="18">
        <v>2024</v>
      </c>
      <c r="C1174" s="4">
        <v>9</v>
      </c>
      <c r="D1174">
        <v>246</v>
      </c>
      <c r="E1174" s="33">
        <v>49.2</v>
      </c>
      <c r="F1174" s="19">
        <v>105.95</v>
      </c>
      <c r="G1174" s="19">
        <v>1046.71</v>
      </c>
      <c r="H1174" s="19">
        <v>102.76</v>
      </c>
      <c r="I1174" s="19">
        <v>1573.75</v>
      </c>
      <c r="J1174" s="40">
        <v>6</v>
      </c>
      <c r="K1174" s="41">
        <v>15341</v>
      </c>
      <c r="L1174" s="24">
        <v>74</v>
      </c>
      <c r="M1174" s="19">
        <v>102.9</v>
      </c>
    </row>
    <row r="1175" spans="1:13" x14ac:dyDescent="0.75">
      <c r="A1175" t="s">
        <v>24</v>
      </c>
      <c r="B1175" s="18">
        <v>2024</v>
      </c>
      <c r="C1175" s="4">
        <v>10</v>
      </c>
      <c r="D1175">
        <v>657</v>
      </c>
      <c r="E1175" s="33">
        <v>49.2</v>
      </c>
      <c r="F1175" s="19">
        <v>106.12</v>
      </c>
      <c r="G1175" s="19">
        <v>1108.68</v>
      </c>
      <c r="H1175" s="19">
        <v>165.64</v>
      </c>
      <c r="I1175" s="19">
        <v>1646.6890000000001</v>
      </c>
      <c r="J1175" s="40">
        <v>6</v>
      </c>
      <c r="K1175" s="41">
        <v>15541</v>
      </c>
      <c r="L1175" s="24">
        <v>75.599999999999994</v>
      </c>
      <c r="M1175" s="19">
        <v>102.8</v>
      </c>
    </row>
    <row r="1176" spans="1:13" x14ac:dyDescent="0.75">
      <c r="A1176" t="s">
        <v>24</v>
      </c>
      <c r="B1176" s="18">
        <v>2024</v>
      </c>
      <c r="C1176" s="4">
        <v>11</v>
      </c>
      <c r="D1176">
        <v>790</v>
      </c>
      <c r="E1176" s="33">
        <v>49.6</v>
      </c>
      <c r="F1176" s="19">
        <v>106.65</v>
      </c>
      <c r="G1176" s="19">
        <v>1118.55</v>
      </c>
      <c r="H1176" s="19">
        <v>135.55000000000001</v>
      </c>
      <c r="I1176" s="19">
        <v>1661.261</v>
      </c>
      <c r="J1176" s="40">
        <v>6</v>
      </c>
      <c r="K1176" s="41">
        <v>15812</v>
      </c>
      <c r="L1176" s="24">
        <v>74.3</v>
      </c>
      <c r="M1176" s="19">
        <v>103</v>
      </c>
    </row>
    <row r="1177" spans="1:13" x14ac:dyDescent="0.75">
      <c r="A1177" t="s">
        <v>24</v>
      </c>
      <c r="B1177" s="18">
        <v>2024</v>
      </c>
      <c r="C1177" s="4">
        <v>12</v>
      </c>
      <c r="D1177">
        <v>864</v>
      </c>
      <c r="E1177" s="33">
        <v>51.2</v>
      </c>
      <c r="F1177" s="19">
        <v>107.14</v>
      </c>
      <c r="G1177" s="19">
        <v>921.32</v>
      </c>
      <c r="H1177" s="19">
        <v>145.25</v>
      </c>
      <c r="I1177" s="19">
        <v>1678.174</v>
      </c>
      <c r="J1177" s="40">
        <v>6</v>
      </c>
      <c r="K1177" s="41">
        <v>16024</v>
      </c>
      <c r="L1177" s="24">
        <v>73.900000000000006</v>
      </c>
      <c r="M1177" s="19">
        <v>103.4</v>
      </c>
    </row>
    <row r="1178" spans="1:13" x14ac:dyDescent="0.75">
      <c r="A1178" t="s">
        <v>25</v>
      </c>
      <c r="B1178" s="18">
        <v>2024</v>
      </c>
      <c r="C1178" s="4">
        <v>1</v>
      </c>
      <c r="D1178">
        <v>0</v>
      </c>
      <c r="E1178" s="33">
        <v>52.9</v>
      </c>
      <c r="F1178" s="19">
        <v>105.64</v>
      </c>
      <c r="G1178" s="19">
        <v>2170.4</v>
      </c>
      <c r="H1178" s="19">
        <v>426.53</v>
      </c>
      <c r="I1178" s="19">
        <v>2199.2469999999998</v>
      </c>
      <c r="J1178" s="40">
        <v>6</v>
      </c>
      <c r="K1178" s="41">
        <v>15611</v>
      </c>
      <c r="L1178" s="24">
        <v>80.099999999999994</v>
      </c>
      <c r="M1178" s="33">
        <v>102.1</v>
      </c>
    </row>
    <row r="1179" spans="1:13" x14ac:dyDescent="0.75">
      <c r="A1179" t="s">
        <v>25</v>
      </c>
      <c r="B1179" s="18">
        <v>2024</v>
      </c>
      <c r="C1179" s="4">
        <v>2</v>
      </c>
      <c r="D1179">
        <v>0</v>
      </c>
      <c r="E1179" s="33">
        <v>52.7</v>
      </c>
      <c r="F1179" s="19">
        <v>105.92</v>
      </c>
      <c r="G1179" s="19">
        <v>1997.95</v>
      </c>
      <c r="H1179" s="19">
        <v>332.97</v>
      </c>
      <c r="I1179" s="19">
        <v>2018.931</v>
      </c>
      <c r="J1179" s="40">
        <v>6</v>
      </c>
      <c r="K1179" s="41">
        <v>15665</v>
      </c>
      <c r="L1179" s="24">
        <v>83.5</v>
      </c>
      <c r="M1179" s="33">
        <v>103</v>
      </c>
    </row>
    <row r="1180" spans="1:13" x14ac:dyDescent="0.75">
      <c r="A1180" t="s">
        <v>25</v>
      </c>
      <c r="B1180" s="18">
        <v>2024</v>
      </c>
      <c r="C1180" s="4">
        <v>3</v>
      </c>
      <c r="D1180">
        <v>0</v>
      </c>
      <c r="E1180" s="33">
        <v>54.2</v>
      </c>
      <c r="F1180" s="19">
        <v>106.28</v>
      </c>
      <c r="G1180" s="19">
        <v>2122.92</v>
      </c>
      <c r="H1180" s="19">
        <v>257.76</v>
      </c>
      <c r="I1180" s="19">
        <v>2060.2339999999999</v>
      </c>
      <c r="J1180" s="40">
        <v>6</v>
      </c>
      <c r="K1180" s="41">
        <v>15703</v>
      </c>
      <c r="L1180" s="24">
        <v>85.4</v>
      </c>
      <c r="M1180" s="33">
        <v>103.5</v>
      </c>
    </row>
    <row r="1181" spans="1:13" x14ac:dyDescent="0.75">
      <c r="A1181" t="s">
        <v>25</v>
      </c>
      <c r="B1181" s="18">
        <v>2024</v>
      </c>
      <c r="C1181" s="4">
        <v>4</v>
      </c>
      <c r="D1181">
        <v>0</v>
      </c>
      <c r="E1181" s="33">
        <v>52.9</v>
      </c>
      <c r="F1181" s="19">
        <v>107.02</v>
      </c>
      <c r="G1181" s="19">
        <v>2088.34</v>
      </c>
      <c r="H1181" s="19">
        <v>343.53</v>
      </c>
      <c r="I1181" s="19">
        <v>2125.75</v>
      </c>
      <c r="J1181" s="40">
        <v>6.25</v>
      </c>
      <c r="K1181" s="41">
        <v>16100</v>
      </c>
      <c r="L1181" s="24">
        <v>89.9</v>
      </c>
      <c r="M1181" s="33">
        <v>103.4</v>
      </c>
    </row>
    <row r="1182" spans="1:13" x14ac:dyDescent="0.75">
      <c r="A1182" t="s">
        <v>25</v>
      </c>
      <c r="B1182" s="18">
        <v>2024</v>
      </c>
      <c r="C1182" s="4">
        <v>5</v>
      </c>
      <c r="D1182">
        <v>0</v>
      </c>
      <c r="E1182" s="33">
        <v>52.1</v>
      </c>
      <c r="F1182" s="19">
        <v>107.22</v>
      </c>
      <c r="G1182" s="19">
        <v>2014.14</v>
      </c>
      <c r="H1182" s="19">
        <v>365.88</v>
      </c>
      <c r="I1182" s="19">
        <v>2231.7649999999999</v>
      </c>
      <c r="J1182" s="40">
        <v>6.25</v>
      </c>
      <c r="K1182" s="41">
        <v>16084</v>
      </c>
      <c r="L1182" s="24">
        <v>81.7</v>
      </c>
      <c r="M1182" s="19">
        <v>103.3</v>
      </c>
    </row>
    <row r="1183" spans="1:13" x14ac:dyDescent="0.75">
      <c r="A1183" t="s">
        <v>25</v>
      </c>
      <c r="B1183" s="18">
        <v>2024</v>
      </c>
      <c r="C1183" s="4">
        <v>6</v>
      </c>
      <c r="D1183">
        <v>109</v>
      </c>
      <c r="E1183" s="33">
        <v>50.7</v>
      </c>
      <c r="F1183" s="19">
        <v>107.17</v>
      </c>
      <c r="G1183" s="19">
        <v>2171.2600000000002</v>
      </c>
      <c r="H1183" s="19">
        <v>401.25</v>
      </c>
      <c r="I1183" s="19">
        <v>1893.9079999999999</v>
      </c>
      <c r="J1183" s="40">
        <v>6.25</v>
      </c>
      <c r="K1183" s="41">
        <v>16329</v>
      </c>
      <c r="L1183" s="24">
        <v>82.2</v>
      </c>
      <c r="M1183" s="19">
        <v>103.3</v>
      </c>
    </row>
    <row r="1184" spans="1:13" x14ac:dyDescent="0.75">
      <c r="A1184" t="s">
        <v>25</v>
      </c>
      <c r="B1184" s="18">
        <v>2024</v>
      </c>
      <c r="C1184" s="4">
        <v>7</v>
      </c>
      <c r="D1184">
        <v>235</v>
      </c>
      <c r="E1184" s="33">
        <v>49.3</v>
      </c>
      <c r="F1184" s="19">
        <v>106.76</v>
      </c>
      <c r="G1184" s="19">
        <v>2128.67</v>
      </c>
      <c r="H1184" s="19">
        <v>362.98</v>
      </c>
      <c r="I1184" s="19">
        <v>1899.393</v>
      </c>
      <c r="J1184" s="40">
        <v>6.25</v>
      </c>
      <c r="K1184" s="41">
        <v>16262</v>
      </c>
      <c r="L1184" s="24">
        <v>85.2</v>
      </c>
      <c r="M1184" s="19">
        <v>103.2</v>
      </c>
    </row>
    <row r="1185" spans="1:13" x14ac:dyDescent="0.75">
      <c r="A1185" t="s">
        <v>25</v>
      </c>
      <c r="B1185" s="18">
        <v>2024</v>
      </c>
      <c r="C1185" s="4">
        <v>8</v>
      </c>
      <c r="D1185">
        <v>255</v>
      </c>
      <c r="E1185" s="33">
        <v>48.9</v>
      </c>
      <c r="F1185" s="19">
        <v>106.63</v>
      </c>
      <c r="G1185" s="19">
        <v>2034</v>
      </c>
      <c r="H1185" s="19">
        <v>441.6</v>
      </c>
      <c r="I1185" s="19">
        <v>1934.58</v>
      </c>
      <c r="J1185" s="40">
        <v>6.25</v>
      </c>
      <c r="K1185" s="41">
        <v>15793</v>
      </c>
      <c r="L1185" s="24">
        <v>80.400000000000006</v>
      </c>
      <c r="M1185" s="19">
        <v>103.1</v>
      </c>
    </row>
    <row r="1186" spans="1:13" x14ac:dyDescent="0.75">
      <c r="A1186" t="s">
        <v>25</v>
      </c>
      <c r="B1186" s="18">
        <v>2024</v>
      </c>
      <c r="C1186" s="4">
        <v>9</v>
      </c>
      <c r="D1186">
        <v>329</v>
      </c>
      <c r="E1186" s="33">
        <v>49.2</v>
      </c>
      <c r="F1186" s="19">
        <v>106.69</v>
      </c>
      <c r="G1186" s="19">
        <v>1854.82</v>
      </c>
      <c r="H1186" s="19">
        <v>435.68</v>
      </c>
      <c r="I1186" s="19">
        <v>2156.6509999999998</v>
      </c>
      <c r="J1186" s="40">
        <v>6</v>
      </c>
      <c r="K1186" s="41">
        <v>15341</v>
      </c>
      <c r="L1186" s="24">
        <v>74</v>
      </c>
      <c r="M1186" s="19">
        <v>102.9</v>
      </c>
    </row>
    <row r="1187" spans="1:13" x14ac:dyDescent="0.75">
      <c r="A1187" t="s">
        <v>25</v>
      </c>
      <c r="B1187" s="18">
        <v>2024</v>
      </c>
      <c r="C1187" s="4">
        <v>10</v>
      </c>
      <c r="D1187">
        <v>393</v>
      </c>
      <c r="E1187" s="33">
        <v>49.2</v>
      </c>
      <c r="F1187" s="19">
        <v>106.52</v>
      </c>
      <c r="G1187" s="19">
        <v>2275.71</v>
      </c>
      <c r="H1187" s="19">
        <v>758.08</v>
      </c>
      <c r="I1187" s="19">
        <v>2193.8270000000002</v>
      </c>
      <c r="J1187" s="40">
        <v>6</v>
      </c>
      <c r="K1187" s="41">
        <v>15541</v>
      </c>
      <c r="L1187" s="24">
        <v>75.599999999999994</v>
      </c>
      <c r="M1187" s="19">
        <v>102.8</v>
      </c>
    </row>
    <row r="1188" spans="1:13" x14ac:dyDescent="0.75">
      <c r="A1188" t="s">
        <v>25</v>
      </c>
      <c r="B1188" s="18">
        <v>2024</v>
      </c>
      <c r="C1188" s="4">
        <v>11</v>
      </c>
      <c r="D1188">
        <v>393</v>
      </c>
      <c r="E1188" s="33">
        <v>49.6</v>
      </c>
      <c r="F1188" s="19">
        <v>106.6</v>
      </c>
      <c r="G1188" s="19">
        <v>2188.46</v>
      </c>
      <c r="H1188" s="19">
        <v>353.07</v>
      </c>
      <c r="I1188" s="19">
        <v>2259.683</v>
      </c>
      <c r="J1188" s="40">
        <v>6</v>
      </c>
      <c r="K1188" s="41">
        <v>15812</v>
      </c>
      <c r="L1188" s="24">
        <v>74.3</v>
      </c>
      <c r="M1188" s="19">
        <v>103</v>
      </c>
    </row>
    <row r="1189" spans="1:13" x14ac:dyDescent="0.75">
      <c r="A1189" t="s">
        <v>25</v>
      </c>
      <c r="B1189" s="18">
        <v>2024</v>
      </c>
      <c r="C1189" s="4">
        <v>12</v>
      </c>
      <c r="D1189">
        <v>699</v>
      </c>
      <c r="E1189" s="33">
        <v>51.2</v>
      </c>
      <c r="F1189" s="19">
        <v>106.93</v>
      </c>
      <c r="G1189" s="19">
        <v>2414.25</v>
      </c>
      <c r="H1189" s="19">
        <v>518.91</v>
      </c>
      <c r="I1189" s="19">
        <v>2177.4699999999998</v>
      </c>
      <c r="J1189" s="40">
        <v>6</v>
      </c>
      <c r="K1189" s="41">
        <v>16024</v>
      </c>
      <c r="L1189" s="24">
        <v>73.900000000000006</v>
      </c>
      <c r="M1189" s="19">
        <v>103.4</v>
      </c>
    </row>
    <row r="1190" spans="1:13" x14ac:dyDescent="0.75">
      <c r="A1190" t="s">
        <v>26</v>
      </c>
      <c r="B1190" s="18">
        <v>2024</v>
      </c>
      <c r="C1190" s="4">
        <v>1</v>
      </c>
      <c r="D1190">
        <v>0</v>
      </c>
      <c r="E1190" s="33">
        <v>52.9</v>
      </c>
      <c r="F1190" s="26">
        <v>104.42</v>
      </c>
      <c r="G1190" s="19">
        <v>133.56</v>
      </c>
      <c r="H1190" s="19">
        <v>109.98</v>
      </c>
      <c r="I1190" s="3"/>
      <c r="J1190" s="40">
        <v>6</v>
      </c>
      <c r="K1190" s="41">
        <v>15611</v>
      </c>
      <c r="L1190" s="24">
        <v>80.099999999999994</v>
      </c>
      <c r="M1190" s="33">
        <v>102.1</v>
      </c>
    </row>
    <row r="1191" spans="1:13" x14ac:dyDescent="0.75">
      <c r="A1191" t="s">
        <v>26</v>
      </c>
      <c r="B1191" s="18">
        <v>2024</v>
      </c>
      <c r="C1191" s="4">
        <v>2</v>
      </c>
      <c r="D1191">
        <v>0</v>
      </c>
      <c r="E1191" s="33">
        <v>52.7</v>
      </c>
      <c r="F1191" s="26">
        <v>104.62</v>
      </c>
      <c r="G1191" s="19">
        <v>124.79</v>
      </c>
      <c r="H1191" s="19">
        <v>123.22</v>
      </c>
      <c r="I1191" s="3"/>
      <c r="J1191" s="40">
        <v>6</v>
      </c>
      <c r="K1191" s="41">
        <v>15665</v>
      </c>
      <c r="L1191" s="24">
        <v>83.5</v>
      </c>
      <c r="M1191" s="33">
        <v>103</v>
      </c>
    </row>
    <row r="1192" spans="1:13" x14ac:dyDescent="0.75">
      <c r="A1192" t="s">
        <v>26</v>
      </c>
      <c r="B1192" s="18">
        <v>2024</v>
      </c>
      <c r="C1192" s="4">
        <v>3</v>
      </c>
      <c r="D1192">
        <v>0</v>
      </c>
      <c r="E1192" s="33">
        <v>54.2</v>
      </c>
      <c r="F1192" s="26">
        <v>105.06</v>
      </c>
      <c r="G1192" s="19">
        <v>132.65</v>
      </c>
      <c r="H1192" s="19">
        <v>71.05</v>
      </c>
      <c r="I1192" s="3"/>
      <c r="J1192" s="40">
        <v>6</v>
      </c>
      <c r="K1192" s="41">
        <v>15703</v>
      </c>
      <c r="L1192" s="24">
        <v>85.4</v>
      </c>
      <c r="M1192" s="33">
        <v>103.5</v>
      </c>
    </row>
    <row r="1193" spans="1:13" x14ac:dyDescent="0.75">
      <c r="A1193" t="s">
        <v>26</v>
      </c>
      <c r="B1193" s="18">
        <v>2024</v>
      </c>
      <c r="C1193" s="4">
        <v>4</v>
      </c>
      <c r="D1193">
        <v>0</v>
      </c>
      <c r="E1193" s="33">
        <v>52.9</v>
      </c>
      <c r="F1193" s="26">
        <v>105.47</v>
      </c>
      <c r="G1193" s="19">
        <v>134.69999999999999</v>
      </c>
      <c r="H1193" s="19">
        <v>36.33</v>
      </c>
      <c r="I1193" s="3"/>
      <c r="J1193" s="40">
        <v>6.25</v>
      </c>
      <c r="K1193" s="41">
        <v>16100</v>
      </c>
      <c r="L1193" s="24">
        <v>89.9</v>
      </c>
      <c r="M1193" s="33">
        <v>103.4</v>
      </c>
    </row>
    <row r="1194" spans="1:13" x14ac:dyDescent="0.75">
      <c r="A1194" t="s">
        <v>26</v>
      </c>
      <c r="B1194" s="18">
        <v>2024</v>
      </c>
      <c r="C1194" s="4">
        <v>5</v>
      </c>
      <c r="D1194">
        <v>0</v>
      </c>
      <c r="E1194" s="33">
        <v>52.1</v>
      </c>
      <c r="F1194" s="26">
        <v>105.59</v>
      </c>
      <c r="G1194" s="19">
        <v>158.38</v>
      </c>
      <c r="H1194" s="19">
        <v>115.7</v>
      </c>
      <c r="I1194" s="3"/>
      <c r="J1194" s="40">
        <v>6.25</v>
      </c>
      <c r="K1194" s="41">
        <v>16084</v>
      </c>
      <c r="L1194" s="24">
        <v>81.7</v>
      </c>
      <c r="M1194" s="19">
        <v>103.3</v>
      </c>
    </row>
    <row r="1195" spans="1:13" x14ac:dyDescent="0.75">
      <c r="A1195" t="s">
        <v>26</v>
      </c>
      <c r="B1195" s="18">
        <v>2024</v>
      </c>
      <c r="C1195" s="4">
        <v>6</v>
      </c>
      <c r="D1195">
        <v>78</v>
      </c>
      <c r="E1195" s="33">
        <v>50.7</v>
      </c>
      <c r="F1195" s="26">
        <v>105.51</v>
      </c>
      <c r="G1195" s="19">
        <v>135.24</v>
      </c>
      <c r="H1195" s="19">
        <v>74.72</v>
      </c>
      <c r="I1195" s="3"/>
      <c r="J1195" s="40">
        <v>6.25</v>
      </c>
      <c r="K1195" s="41">
        <v>16329</v>
      </c>
      <c r="L1195" s="24">
        <v>82.2</v>
      </c>
      <c r="M1195" s="19">
        <v>103.3</v>
      </c>
    </row>
    <row r="1196" spans="1:13" x14ac:dyDescent="0.75">
      <c r="A1196" t="s">
        <v>26</v>
      </c>
      <c r="B1196" s="18">
        <v>2024</v>
      </c>
      <c r="C1196" s="4">
        <v>7</v>
      </c>
      <c r="D1196">
        <v>96</v>
      </c>
      <c r="E1196" s="33">
        <v>49.3</v>
      </c>
      <c r="F1196" s="26">
        <v>105.5</v>
      </c>
      <c r="G1196" s="19">
        <v>112.41</v>
      </c>
      <c r="H1196" s="19">
        <v>63.19</v>
      </c>
      <c r="I1196" s="3"/>
      <c r="J1196" s="40">
        <v>6.25</v>
      </c>
      <c r="K1196" s="41">
        <v>16262</v>
      </c>
      <c r="L1196" s="24">
        <v>85.2</v>
      </c>
      <c r="M1196" s="19">
        <v>103.2</v>
      </c>
    </row>
    <row r="1197" spans="1:13" x14ac:dyDescent="0.75">
      <c r="A1197" t="s">
        <v>26</v>
      </c>
      <c r="B1197" s="18">
        <v>2024</v>
      </c>
      <c r="C1197" s="4">
        <v>8</v>
      </c>
      <c r="D1197">
        <v>110</v>
      </c>
      <c r="E1197" s="33">
        <v>48.9</v>
      </c>
      <c r="F1197" s="26">
        <v>105.3</v>
      </c>
      <c r="G1197" s="19">
        <v>131</v>
      </c>
      <c r="H1197" s="19">
        <v>80.13</v>
      </c>
      <c r="I1197" s="3"/>
      <c r="J1197" s="40">
        <v>6.25</v>
      </c>
      <c r="K1197" s="41">
        <v>15793</v>
      </c>
      <c r="L1197" s="24">
        <v>80.400000000000006</v>
      </c>
      <c r="M1197" s="19">
        <v>103.1</v>
      </c>
    </row>
    <row r="1198" spans="1:13" x14ac:dyDescent="0.75">
      <c r="A1198" t="s">
        <v>26</v>
      </c>
      <c r="B1198" s="18">
        <v>2024</v>
      </c>
      <c r="C1198" s="4">
        <v>9</v>
      </c>
      <c r="D1198">
        <v>599</v>
      </c>
      <c r="E1198" s="33">
        <v>49.2</v>
      </c>
      <c r="F1198" s="26">
        <v>105.21</v>
      </c>
      <c r="G1198" s="19">
        <v>115.21</v>
      </c>
      <c r="H1198" s="19">
        <v>60.09</v>
      </c>
      <c r="I1198" s="3"/>
      <c r="J1198" s="40">
        <v>6</v>
      </c>
      <c r="K1198" s="41">
        <v>15341</v>
      </c>
      <c r="L1198" s="24">
        <v>74</v>
      </c>
      <c r="M1198" s="19">
        <v>102.9</v>
      </c>
    </row>
    <row r="1199" spans="1:13" x14ac:dyDescent="0.75">
      <c r="A1199" t="s">
        <v>26</v>
      </c>
      <c r="B1199" s="18">
        <v>2024</v>
      </c>
      <c r="C1199" s="4">
        <v>10</v>
      </c>
      <c r="D1199">
        <v>599</v>
      </c>
      <c r="E1199" s="33">
        <v>49.2</v>
      </c>
      <c r="F1199" s="26">
        <v>105.39</v>
      </c>
      <c r="G1199" s="19">
        <v>127.11</v>
      </c>
      <c r="H1199" s="19">
        <v>40.33</v>
      </c>
      <c r="I1199" s="3"/>
      <c r="J1199" s="40">
        <v>6</v>
      </c>
      <c r="K1199" s="41">
        <v>15541</v>
      </c>
      <c r="L1199" s="24">
        <v>75.599999999999994</v>
      </c>
      <c r="M1199" s="19">
        <v>102.8</v>
      </c>
    </row>
    <row r="1200" spans="1:13" x14ac:dyDescent="0.75">
      <c r="A1200" t="s">
        <v>26</v>
      </c>
      <c r="B1200" s="18">
        <v>2024</v>
      </c>
      <c r="C1200" s="4">
        <v>11</v>
      </c>
      <c r="D1200">
        <v>887</v>
      </c>
      <c r="E1200" s="33">
        <v>49.6</v>
      </c>
      <c r="F1200" s="26">
        <v>105.26</v>
      </c>
      <c r="G1200" s="19">
        <v>128.06</v>
      </c>
      <c r="H1200" s="19">
        <v>56.18</v>
      </c>
      <c r="I1200" s="3"/>
      <c r="J1200" s="40">
        <v>6</v>
      </c>
      <c r="K1200" s="41">
        <v>15812</v>
      </c>
      <c r="L1200" s="24">
        <v>74.3</v>
      </c>
      <c r="M1200" s="19">
        <v>103</v>
      </c>
    </row>
    <row r="1201" spans="1:13" x14ac:dyDescent="0.75">
      <c r="A1201" t="s">
        <v>26</v>
      </c>
      <c r="B1201" s="18">
        <v>2024</v>
      </c>
      <c r="C1201" s="4">
        <v>12</v>
      </c>
      <c r="D1201">
        <v>1413</v>
      </c>
      <c r="E1201" s="33">
        <v>51.2</v>
      </c>
      <c r="F1201" s="26">
        <v>105.72</v>
      </c>
      <c r="G1201" s="19">
        <v>153.12</v>
      </c>
      <c r="H1201" s="19">
        <v>83.43</v>
      </c>
      <c r="I1201" s="3"/>
      <c r="J1201" s="40">
        <v>6</v>
      </c>
      <c r="K1201" s="41">
        <v>16024</v>
      </c>
      <c r="L1201" s="24">
        <v>73.900000000000006</v>
      </c>
      <c r="M1201" s="19">
        <v>103.4</v>
      </c>
    </row>
    <row r="1202" spans="1:13" x14ac:dyDescent="0.75">
      <c r="A1202" t="s">
        <v>27</v>
      </c>
      <c r="B1202" s="18">
        <v>2024</v>
      </c>
      <c r="C1202" s="4">
        <v>1</v>
      </c>
      <c r="D1202">
        <v>0</v>
      </c>
      <c r="E1202" s="33">
        <v>52.9</v>
      </c>
      <c r="F1202" s="29">
        <v>106.37</v>
      </c>
      <c r="G1202" s="19">
        <v>58.55</v>
      </c>
      <c r="H1202" s="26">
        <v>18.23</v>
      </c>
      <c r="I1202" s="19">
        <v>1218.655</v>
      </c>
      <c r="J1202" s="40">
        <v>6</v>
      </c>
      <c r="K1202" s="41">
        <v>15611</v>
      </c>
      <c r="L1202" s="24">
        <v>80.099999999999994</v>
      </c>
      <c r="M1202" s="33">
        <v>102.1</v>
      </c>
    </row>
    <row r="1203" spans="1:13" x14ac:dyDescent="0.75">
      <c r="A1203" t="s">
        <v>27</v>
      </c>
      <c r="B1203" s="18">
        <v>2024</v>
      </c>
      <c r="C1203" s="4">
        <v>2</v>
      </c>
      <c r="D1203">
        <v>0</v>
      </c>
      <c r="E1203" s="33">
        <v>52.7</v>
      </c>
      <c r="F1203" s="29">
        <v>105.7</v>
      </c>
      <c r="G1203" s="19">
        <v>70.11</v>
      </c>
      <c r="H1203" s="26">
        <v>14.58</v>
      </c>
      <c r="I1203" s="19">
        <v>1229.8779999999999</v>
      </c>
      <c r="J1203" s="40">
        <v>6</v>
      </c>
      <c r="K1203" s="41">
        <v>15665</v>
      </c>
      <c r="L1203" s="24">
        <v>83.5</v>
      </c>
      <c r="M1203" s="33">
        <v>103</v>
      </c>
    </row>
    <row r="1204" spans="1:13" x14ac:dyDescent="0.75">
      <c r="A1204" t="s">
        <v>27</v>
      </c>
      <c r="B1204" s="18">
        <v>2024</v>
      </c>
      <c r="C1204" s="4">
        <v>3</v>
      </c>
      <c r="D1204">
        <v>0</v>
      </c>
      <c r="E1204" s="33">
        <v>54.2</v>
      </c>
      <c r="F1204" s="29">
        <v>106.83</v>
      </c>
      <c r="G1204" s="19">
        <v>43.4</v>
      </c>
      <c r="H1204" s="26">
        <v>18.059999999999999</v>
      </c>
      <c r="I1204" s="19">
        <v>1181.461</v>
      </c>
      <c r="J1204" s="40">
        <v>6</v>
      </c>
      <c r="K1204" s="41">
        <v>15703</v>
      </c>
      <c r="L1204" s="24">
        <v>85.4</v>
      </c>
      <c r="M1204" s="33">
        <v>103.5</v>
      </c>
    </row>
    <row r="1205" spans="1:13" x14ac:dyDescent="0.75">
      <c r="A1205" t="s">
        <v>27</v>
      </c>
      <c r="B1205" s="18">
        <v>2024</v>
      </c>
      <c r="C1205" s="4">
        <v>4</v>
      </c>
      <c r="D1205">
        <v>0</v>
      </c>
      <c r="E1205" s="33">
        <v>52.9</v>
      </c>
      <c r="F1205" s="29">
        <v>107.01</v>
      </c>
      <c r="G1205" s="19">
        <v>78.39</v>
      </c>
      <c r="H1205" s="26">
        <v>20.03</v>
      </c>
      <c r="I1205" s="19">
        <v>1249.645</v>
      </c>
      <c r="J1205" s="40">
        <v>6.25</v>
      </c>
      <c r="K1205" s="41">
        <v>16100</v>
      </c>
      <c r="L1205" s="24">
        <v>89.9</v>
      </c>
      <c r="M1205" s="33">
        <v>103.4</v>
      </c>
    </row>
    <row r="1206" spans="1:13" x14ac:dyDescent="0.75">
      <c r="A1206" t="s">
        <v>27</v>
      </c>
      <c r="B1206" s="18">
        <v>2024</v>
      </c>
      <c r="C1206" s="4">
        <v>5</v>
      </c>
      <c r="D1206">
        <v>27</v>
      </c>
      <c r="E1206" s="33">
        <v>52.1</v>
      </c>
      <c r="F1206" s="29">
        <v>106.93</v>
      </c>
      <c r="G1206" s="19">
        <v>83.77</v>
      </c>
      <c r="H1206" s="26">
        <v>18.829999999999998</v>
      </c>
      <c r="I1206" s="19">
        <v>1213.367</v>
      </c>
      <c r="J1206" s="40">
        <v>6.25</v>
      </c>
      <c r="K1206" s="41">
        <v>16084</v>
      </c>
      <c r="L1206" s="24">
        <v>81.7</v>
      </c>
      <c r="M1206" s="19">
        <v>103.3</v>
      </c>
    </row>
    <row r="1207" spans="1:13" x14ac:dyDescent="0.75">
      <c r="A1207" t="s">
        <v>27</v>
      </c>
      <c r="B1207" s="18">
        <v>2024</v>
      </c>
      <c r="C1207" s="4">
        <v>6</v>
      </c>
      <c r="D1207">
        <v>27</v>
      </c>
      <c r="E1207" s="33">
        <v>50.7</v>
      </c>
      <c r="F1207" s="29">
        <v>107.43</v>
      </c>
      <c r="G1207" s="19">
        <v>40.58</v>
      </c>
      <c r="H1207" s="26">
        <v>13.06</v>
      </c>
      <c r="I1207" s="19">
        <v>1148.3330000000001</v>
      </c>
      <c r="J1207" s="40">
        <v>6.25</v>
      </c>
      <c r="K1207" s="41">
        <v>16329</v>
      </c>
      <c r="L1207" s="24">
        <v>82.2</v>
      </c>
      <c r="M1207" s="19">
        <v>103.3</v>
      </c>
    </row>
    <row r="1208" spans="1:13" x14ac:dyDescent="0.75">
      <c r="A1208" t="s">
        <v>27</v>
      </c>
      <c r="B1208" s="18">
        <v>2024</v>
      </c>
      <c r="C1208" s="4">
        <v>7</v>
      </c>
      <c r="D1208">
        <v>29</v>
      </c>
      <c r="E1208" s="33">
        <v>49.3</v>
      </c>
      <c r="F1208" s="29">
        <v>107.31</v>
      </c>
      <c r="G1208" s="19">
        <v>82.87</v>
      </c>
      <c r="H1208" s="26">
        <v>19.239999999999998</v>
      </c>
      <c r="I1208" s="19">
        <v>1120.1020000000001</v>
      </c>
      <c r="J1208" s="40">
        <v>6.25</v>
      </c>
      <c r="K1208" s="41">
        <v>16262</v>
      </c>
      <c r="L1208" s="24">
        <v>85.2</v>
      </c>
      <c r="M1208" s="19">
        <v>103.2</v>
      </c>
    </row>
    <row r="1209" spans="1:13" x14ac:dyDescent="0.75">
      <c r="A1209" t="s">
        <v>27</v>
      </c>
      <c r="B1209" s="18">
        <v>2024</v>
      </c>
      <c r="C1209" s="4">
        <v>8</v>
      </c>
      <c r="D1209">
        <v>78</v>
      </c>
      <c r="E1209" s="33">
        <v>48.9</v>
      </c>
      <c r="F1209" s="29">
        <v>107.27</v>
      </c>
      <c r="G1209" s="19">
        <v>67.33</v>
      </c>
      <c r="H1209" s="26">
        <v>24.64</v>
      </c>
      <c r="I1209" s="19">
        <v>1086.261</v>
      </c>
      <c r="J1209" s="40">
        <v>6.25</v>
      </c>
      <c r="K1209" s="41">
        <v>15793</v>
      </c>
      <c r="L1209" s="24">
        <v>80.400000000000006</v>
      </c>
      <c r="M1209" s="19">
        <v>103.1</v>
      </c>
    </row>
    <row r="1210" spans="1:13" x14ac:dyDescent="0.75">
      <c r="A1210" t="s">
        <v>27</v>
      </c>
      <c r="B1210" s="18">
        <v>2024</v>
      </c>
      <c r="C1210" s="4">
        <v>9</v>
      </c>
      <c r="D1210">
        <v>78</v>
      </c>
      <c r="E1210" s="33">
        <v>49.2</v>
      </c>
      <c r="F1210" s="29">
        <v>106.69</v>
      </c>
      <c r="G1210" s="19">
        <v>60.33</v>
      </c>
      <c r="H1210" s="26">
        <v>10.31</v>
      </c>
      <c r="I1210" s="19">
        <v>1055.48</v>
      </c>
      <c r="J1210" s="40">
        <v>6</v>
      </c>
      <c r="K1210" s="41">
        <v>15341</v>
      </c>
      <c r="L1210" s="24">
        <v>74</v>
      </c>
      <c r="M1210" s="19">
        <v>102.9</v>
      </c>
    </row>
    <row r="1211" spans="1:13" x14ac:dyDescent="0.75">
      <c r="A1211" t="s">
        <v>27</v>
      </c>
      <c r="B1211" s="18">
        <v>2024</v>
      </c>
      <c r="C1211" s="4">
        <v>10</v>
      </c>
      <c r="D1211">
        <v>125</v>
      </c>
      <c r="E1211" s="33">
        <v>49.2</v>
      </c>
      <c r="F1211" s="29">
        <v>106.91</v>
      </c>
      <c r="G1211" s="19">
        <v>89.01</v>
      </c>
      <c r="H1211" s="26">
        <v>19.38</v>
      </c>
      <c r="I1211" s="19">
        <v>1080.3900000000001</v>
      </c>
      <c r="J1211" s="40">
        <v>6</v>
      </c>
      <c r="K1211" s="41">
        <v>15541</v>
      </c>
      <c r="L1211" s="24">
        <v>75.599999999999994</v>
      </c>
      <c r="M1211" s="19">
        <v>102.8</v>
      </c>
    </row>
    <row r="1212" spans="1:13" x14ac:dyDescent="0.75">
      <c r="A1212" t="s">
        <v>27</v>
      </c>
      <c r="B1212" s="18">
        <v>2024</v>
      </c>
      <c r="C1212" s="4">
        <v>11</v>
      </c>
      <c r="D1212">
        <v>126</v>
      </c>
      <c r="E1212" s="33">
        <v>49.6</v>
      </c>
      <c r="F1212" s="29">
        <v>107.35</v>
      </c>
      <c r="G1212" s="19">
        <v>66.16</v>
      </c>
      <c r="H1212" s="26">
        <v>19.309999999999999</v>
      </c>
      <c r="I1212" s="19">
        <v>1076.3440000000001</v>
      </c>
      <c r="J1212" s="40">
        <v>6</v>
      </c>
      <c r="K1212" s="41">
        <v>15812</v>
      </c>
      <c r="L1212" s="24">
        <v>74.3</v>
      </c>
      <c r="M1212" s="19">
        <v>103</v>
      </c>
    </row>
    <row r="1213" spans="1:13" x14ac:dyDescent="0.75">
      <c r="A1213" t="s">
        <v>27</v>
      </c>
      <c r="B1213" s="18">
        <v>2024</v>
      </c>
      <c r="C1213" s="4">
        <v>12</v>
      </c>
      <c r="D1213">
        <v>126</v>
      </c>
      <c r="E1213" s="33">
        <v>51.2</v>
      </c>
      <c r="F1213" s="29">
        <v>107.28</v>
      </c>
      <c r="G1213" s="19">
        <v>96.94</v>
      </c>
      <c r="H1213" s="26">
        <v>29.57</v>
      </c>
      <c r="I1213" s="19">
        <v>1079.2850000000001</v>
      </c>
      <c r="J1213" s="40">
        <v>6</v>
      </c>
      <c r="K1213" s="41">
        <v>16024</v>
      </c>
      <c r="L1213" s="24">
        <v>73.900000000000006</v>
      </c>
      <c r="M1213" s="19">
        <v>103.4</v>
      </c>
    </row>
    <row r="1214" spans="1:13" x14ac:dyDescent="0.75">
      <c r="A1214" t="s">
        <v>28</v>
      </c>
      <c r="B1214" s="18">
        <v>2024</v>
      </c>
      <c r="C1214" s="4">
        <v>1</v>
      </c>
      <c r="D1214">
        <v>0</v>
      </c>
      <c r="E1214" s="33">
        <v>52.9</v>
      </c>
      <c r="F1214" s="19">
        <v>105.88</v>
      </c>
      <c r="G1214" s="26">
        <v>1745.02</v>
      </c>
      <c r="H1214" s="29">
        <v>898.72</v>
      </c>
      <c r="I1214" s="19">
        <v>901.173</v>
      </c>
      <c r="J1214" s="40">
        <v>6</v>
      </c>
      <c r="K1214" s="41">
        <v>15611</v>
      </c>
      <c r="L1214" s="24">
        <v>80.099999999999994</v>
      </c>
      <c r="M1214" s="33">
        <v>102.1</v>
      </c>
    </row>
    <row r="1215" spans="1:13" x14ac:dyDescent="0.75">
      <c r="A1215" t="s">
        <v>28</v>
      </c>
      <c r="B1215" s="18">
        <v>2024</v>
      </c>
      <c r="C1215" s="4">
        <v>2</v>
      </c>
      <c r="D1215">
        <v>0</v>
      </c>
      <c r="E1215" s="33">
        <v>52.7</v>
      </c>
      <c r="F1215" s="19">
        <v>106.36</v>
      </c>
      <c r="G1215" s="26">
        <v>1490.92</v>
      </c>
      <c r="H1215" s="29">
        <v>907.97</v>
      </c>
      <c r="I1215" s="19">
        <v>880.90499999999997</v>
      </c>
      <c r="J1215" s="40">
        <v>6</v>
      </c>
      <c r="K1215" s="41">
        <v>15665</v>
      </c>
      <c r="L1215" s="24">
        <v>83.5</v>
      </c>
      <c r="M1215" s="33">
        <v>103</v>
      </c>
    </row>
    <row r="1216" spans="1:13" x14ac:dyDescent="0.75">
      <c r="A1216" t="s">
        <v>28</v>
      </c>
      <c r="B1216" s="18">
        <v>2024</v>
      </c>
      <c r="C1216" s="4">
        <v>3</v>
      </c>
      <c r="D1216">
        <v>0</v>
      </c>
      <c r="E1216" s="33">
        <v>54.2</v>
      </c>
      <c r="F1216" s="19">
        <v>106.94</v>
      </c>
      <c r="G1216" s="26">
        <v>1608.53</v>
      </c>
      <c r="H1216" s="29">
        <v>800.49</v>
      </c>
      <c r="I1216" s="19">
        <v>858.47799999999995</v>
      </c>
      <c r="J1216" s="40">
        <v>6</v>
      </c>
      <c r="K1216" s="41">
        <v>15703</v>
      </c>
      <c r="L1216" s="24">
        <v>85.4</v>
      </c>
      <c r="M1216" s="33">
        <v>103.5</v>
      </c>
    </row>
    <row r="1217" spans="1:13" x14ac:dyDescent="0.75">
      <c r="A1217" t="s">
        <v>28</v>
      </c>
      <c r="B1217" s="18">
        <v>2024</v>
      </c>
      <c r="C1217" s="4">
        <v>4</v>
      </c>
      <c r="D1217">
        <v>0</v>
      </c>
      <c r="E1217" s="33">
        <v>52.9</v>
      </c>
      <c r="F1217" s="19">
        <v>106.99</v>
      </c>
      <c r="G1217" s="26">
        <v>1707.34</v>
      </c>
      <c r="H1217" s="29">
        <v>861.15</v>
      </c>
      <c r="I1217" s="19">
        <v>928.11500000000001</v>
      </c>
      <c r="J1217" s="40">
        <v>6.25</v>
      </c>
      <c r="K1217" s="41">
        <v>16100</v>
      </c>
      <c r="L1217" s="24">
        <v>89.9</v>
      </c>
      <c r="M1217" s="33">
        <v>103.4</v>
      </c>
    </row>
    <row r="1218" spans="1:13" x14ac:dyDescent="0.75">
      <c r="A1218" t="s">
        <v>28</v>
      </c>
      <c r="B1218" s="18">
        <v>2024</v>
      </c>
      <c r="C1218" s="4">
        <v>5</v>
      </c>
      <c r="D1218">
        <v>1647</v>
      </c>
      <c r="E1218" s="33">
        <v>52.1</v>
      </c>
      <c r="F1218" s="19">
        <v>107.07</v>
      </c>
      <c r="G1218" s="26">
        <v>1960</v>
      </c>
      <c r="H1218" s="29">
        <v>965.94</v>
      </c>
      <c r="I1218" s="19">
        <v>946.202</v>
      </c>
      <c r="J1218" s="40">
        <v>6.25</v>
      </c>
      <c r="K1218" s="41">
        <v>16084</v>
      </c>
      <c r="L1218" s="24">
        <v>81.7</v>
      </c>
      <c r="M1218" s="19">
        <v>103.3</v>
      </c>
    </row>
    <row r="1219" spans="1:13" x14ac:dyDescent="0.75">
      <c r="A1219" t="s">
        <v>28</v>
      </c>
      <c r="B1219" s="18">
        <v>2024</v>
      </c>
      <c r="C1219" s="4">
        <v>6</v>
      </c>
      <c r="D1219">
        <v>1812</v>
      </c>
      <c r="E1219" s="33">
        <v>50.7</v>
      </c>
      <c r="F1219" s="19">
        <v>107.26</v>
      </c>
      <c r="G1219" s="26">
        <v>1783.2</v>
      </c>
      <c r="H1219" s="29">
        <v>829.71</v>
      </c>
      <c r="I1219" s="19">
        <v>842.32500000000005</v>
      </c>
      <c r="J1219" s="40">
        <v>6.25</v>
      </c>
      <c r="K1219" s="41">
        <v>16329</v>
      </c>
      <c r="L1219" s="24">
        <v>82.2</v>
      </c>
      <c r="M1219" s="19">
        <v>103.3</v>
      </c>
    </row>
    <row r="1220" spans="1:13" x14ac:dyDescent="0.75">
      <c r="A1220" t="s">
        <v>28</v>
      </c>
      <c r="B1220" s="18">
        <v>2024</v>
      </c>
      <c r="C1220" s="4">
        <v>7</v>
      </c>
      <c r="D1220">
        <v>1812</v>
      </c>
      <c r="E1220" s="33">
        <v>49.3</v>
      </c>
      <c r="F1220" s="19">
        <v>107.02</v>
      </c>
      <c r="G1220" s="26">
        <v>1787.11</v>
      </c>
      <c r="H1220" s="29">
        <v>1055.1400000000001</v>
      </c>
      <c r="I1220" s="19">
        <v>844.22699999999998</v>
      </c>
      <c r="J1220" s="40">
        <v>6.25</v>
      </c>
      <c r="K1220" s="41">
        <v>16262</v>
      </c>
      <c r="L1220" s="24">
        <v>85.2</v>
      </c>
      <c r="M1220" s="19">
        <v>103.2</v>
      </c>
    </row>
    <row r="1221" spans="1:13" x14ac:dyDescent="0.75">
      <c r="A1221" t="s">
        <v>28</v>
      </c>
      <c r="B1221" s="18">
        <v>2024</v>
      </c>
      <c r="C1221" s="4">
        <v>8</v>
      </c>
      <c r="D1221">
        <v>1812</v>
      </c>
      <c r="E1221" s="33">
        <v>48.9</v>
      </c>
      <c r="F1221" s="19">
        <v>106.75</v>
      </c>
      <c r="G1221" s="26">
        <v>1689.65</v>
      </c>
      <c r="H1221" s="29">
        <v>894.65</v>
      </c>
      <c r="I1221" s="19">
        <v>837.84500000000003</v>
      </c>
      <c r="J1221" s="40">
        <v>6.25</v>
      </c>
      <c r="K1221" s="41">
        <v>15793</v>
      </c>
      <c r="L1221" s="24">
        <v>80.400000000000006</v>
      </c>
      <c r="M1221" s="19">
        <v>103.1</v>
      </c>
    </row>
    <row r="1222" spans="1:13" x14ac:dyDescent="0.75">
      <c r="A1222" t="s">
        <v>28</v>
      </c>
      <c r="B1222" s="18">
        <v>2024</v>
      </c>
      <c r="C1222" s="4">
        <v>9</v>
      </c>
      <c r="D1222">
        <v>1812</v>
      </c>
      <c r="E1222" s="33">
        <v>49.2</v>
      </c>
      <c r="F1222" s="19">
        <v>106.82</v>
      </c>
      <c r="G1222" s="26">
        <v>1916.79</v>
      </c>
      <c r="H1222" s="29">
        <v>841.76</v>
      </c>
      <c r="I1222" s="19">
        <v>834.69299999999998</v>
      </c>
      <c r="J1222" s="40">
        <v>6</v>
      </c>
      <c r="K1222" s="41">
        <v>15341</v>
      </c>
      <c r="L1222" s="24">
        <v>74</v>
      </c>
      <c r="M1222" s="19">
        <v>102.9</v>
      </c>
    </row>
    <row r="1223" spans="1:13" x14ac:dyDescent="0.75">
      <c r="A1223" t="s">
        <v>28</v>
      </c>
      <c r="B1223" s="18">
        <v>2024</v>
      </c>
      <c r="C1223" s="4">
        <v>10</v>
      </c>
      <c r="D1223">
        <v>1812</v>
      </c>
      <c r="E1223" s="33">
        <v>49.2</v>
      </c>
      <c r="F1223" s="19">
        <v>106.83</v>
      </c>
      <c r="G1223" s="26">
        <v>1744.7</v>
      </c>
      <c r="H1223" s="29">
        <v>1024.6400000000001</v>
      </c>
      <c r="I1223" s="19">
        <v>841.13900000000001</v>
      </c>
      <c r="J1223" s="40">
        <v>6</v>
      </c>
      <c r="K1223" s="41">
        <v>15541</v>
      </c>
      <c r="L1223" s="24">
        <v>75.599999999999994</v>
      </c>
      <c r="M1223" s="19">
        <v>102.8</v>
      </c>
    </row>
    <row r="1224" spans="1:13" x14ac:dyDescent="0.75">
      <c r="A1224" t="s">
        <v>28</v>
      </c>
      <c r="B1224" s="18">
        <v>2024</v>
      </c>
      <c r="C1224" s="4">
        <v>11</v>
      </c>
      <c r="D1224">
        <v>1994</v>
      </c>
      <c r="E1224" s="33">
        <v>49.6</v>
      </c>
      <c r="F1224" s="19">
        <v>106.82</v>
      </c>
      <c r="G1224" s="26">
        <v>1840.65</v>
      </c>
      <c r="H1224" s="29">
        <v>800.29</v>
      </c>
      <c r="I1224" s="19">
        <v>859.71600000000001</v>
      </c>
      <c r="J1224" s="40">
        <v>6</v>
      </c>
      <c r="K1224" s="41">
        <v>15812</v>
      </c>
      <c r="L1224" s="24">
        <v>74.3</v>
      </c>
      <c r="M1224" s="19">
        <v>103</v>
      </c>
    </row>
    <row r="1225" spans="1:13" x14ac:dyDescent="0.75">
      <c r="A1225" t="s">
        <v>28</v>
      </c>
      <c r="B1225" s="18">
        <v>2024</v>
      </c>
      <c r="C1225" s="4">
        <v>12</v>
      </c>
      <c r="D1225">
        <v>2055</v>
      </c>
      <c r="E1225" s="33">
        <v>51.2</v>
      </c>
      <c r="F1225" s="19">
        <v>107.16</v>
      </c>
      <c r="G1225" s="26">
        <v>2063.33</v>
      </c>
      <c r="H1225" s="29">
        <v>915.91</v>
      </c>
      <c r="I1225" s="19">
        <v>840.774</v>
      </c>
      <c r="J1225" s="40">
        <v>6</v>
      </c>
      <c r="K1225" s="41">
        <v>16024</v>
      </c>
      <c r="L1225" s="24">
        <v>73.900000000000006</v>
      </c>
      <c r="M1225" s="19">
        <v>103.4</v>
      </c>
    </row>
    <row r="1226" spans="1:13" x14ac:dyDescent="0.75">
      <c r="A1226" t="s">
        <v>29</v>
      </c>
      <c r="B1226" s="18">
        <v>2024</v>
      </c>
      <c r="C1226" s="4">
        <v>1</v>
      </c>
      <c r="D1226">
        <v>0</v>
      </c>
      <c r="E1226" s="33">
        <v>52.9</v>
      </c>
      <c r="F1226" s="29">
        <v>105.35</v>
      </c>
      <c r="G1226" s="29">
        <v>183.09</v>
      </c>
      <c r="H1226" s="29">
        <v>98.23</v>
      </c>
      <c r="I1226" s="19">
        <v>4669.1710000000003</v>
      </c>
      <c r="J1226" s="40">
        <v>6</v>
      </c>
      <c r="K1226" s="41">
        <v>15611</v>
      </c>
      <c r="L1226" s="24">
        <v>80.099999999999994</v>
      </c>
      <c r="M1226" s="33">
        <v>102.1</v>
      </c>
    </row>
    <row r="1227" spans="1:13" x14ac:dyDescent="0.75">
      <c r="A1227" t="s">
        <v>29</v>
      </c>
      <c r="B1227" s="18">
        <v>2024</v>
      </c>
      <c r="C1227" s="4">
        <v>2</v>
      </c>
      <c r="D1227">
        <v>4</v>
      </c>
      <c r="E1227" s="33">
        <v>52.7</v>
      </c>
      <c r="F1227" s="29">
        <v>105.67</v>
      </c>
      <c r="G1227" s="29">
        <v>134.24</v>
      </c>
      <c r="H1227" s="29">
        <v>114.39</v>
      </c>
      <c r="I1227" s="19">
        <v>4772.8810000000003</v>
      </c>
      <c r="J1227" s="40">
        <v>6</v>
      </c>
      <c r="K1227" s="41">
        <v>15665</v>
      </c>
      <c r="L1227" s="24">
        <v>83.5</v>
      </c>
      <c r="M1227" s="33">
        <v>103</v>
      </c>
    </row>
    <row r="1228" spans="1:13" x14ac:dyDescent="0.75">
      <c r="A1228" t="s">
        <v>29</v>
      </c>
      <c r="B1228" s="18">
        <v>2024</v>
      </c>
      <c r="C1228" s="4">
        <v>3</v>
      </c>
      <c r="D1228">
        <v>40</v>
      </c>
      <c r="E1228" s="33">
        <v>54.2</v>
      </c>
      <c r="F1228" s="29">
        <v>106.07</v>
      </c>
      <c r="G1228" s="29">
        <v>177.63</v>
      </c>
      <c r="H1228" s="29">
        <v>61.07</v>
      </c>
      <c r="I1228" s="19">
        <v>4705.4570000000003</v>
      </c>
      <c r="J1228" s="40">
        <v>6</v>
      </c>
      <c r="K1228" s="41">
        <v>15703</v>
      </c>
      <c r="L1228" s="24">
        <v>85.4</v>
      </c>
      <c r="M1228" s="33">
        <v>103.5</v>
      </c>
    </row>
    <row r="1229" spans="1:13" x14ac:dyDescent="0.75">
      <c r="A1229" t="s">
        <v>29</v>
      </c>
      <c r="B1229" s="18">
        <v>2024</v>
      </c>
      <c r="C1229" s="4">
        <v>4</v>
      </c>
      <c r="D1229">
        <v>74</v>
      </c>
      <c r="E1229" s="33">
        <v>52.9</v>
      </c>
      <c r="F1229" s="29">
        <v>106.23</v>
      </c>
      <c r="G1229" s="29">
        <v>139.94</v>
      </c>
      <c r="H1229" s="29">
        <v>66.069999999999993</v>
      </c>
      <c r="I1229" s="19">
        <v>5136.4040000000005</v>
      </c>
      <c r="J1229" s="40">
        <v>6.25</v>
      </c>
      <c r="K1229" s="41">
        <v>16100</v>
      </c>
      <c r="L1229" s="24">
        <v>89.9</v>
      </c>
      <c r="M1229" s="33">
        <v>103.4</v>
      </c>
    </row>
    <row r="1230" spans="1:13" x14ac:dyDescent="0.75">
      <c r="A1230" t="s">
        <v>29</v>
      </c>
      <c r="B1230" s="18">
        <v>2024</v>
      </c>
      <c r="C1230" s="4">
        <v>5</v>
      </c>
      <c r="D1230">
        <v>202</v>
      </c>
      <c r="E1230" s="33">
        <v>52.1</v>
      </c>
      <c r="F1230" s="29">
        <v>106.12</v>
      </c>
      <c r="G1230" s="29">
        <v>188.93</v>
      </c>
      <c r="H1230" s="29">
        <v>107.06</v>
      </c>
      <c r="I1230" s="19">
        <v>5105.2280000000001</v>
      </c>
      <c r="J1230" s="40">
        <v>6.25</v>
      </c>
      <c r="K1230" s="41">
        <v>16084</v>
      </c>
      <c r="L1230" s="24">
        <v>81.7</v>
      </c>
      <c r="M1230" s="19">
        <v>103.3</v>
      </c>
    </row>
    <row r="1231" spans="1:13" x14ac:dyDescent="0.75">
      <c r="A1231" t="s">
        <v>29</v>
      </c>
      <c r="B1231" s="18">
        <v>2024</v>
      </c>
      <c r="C1231" s="4">
        <v>6</v>
      </c>
      <c r="D1231">
        <v>227</v>
      </c>
      <c r="E1231" s="33">
        <v>50.7</v>
      </c>
      <c r="F1231" s="29">
        <v>105.84</v>
      </c>
      <c r="G1231" s="29">
        <v>172.05</v>
      </c>
      <c r="H1231" s="29">
        <v>78.510000000000005</v>
      </c>
      <c r="I1231" s="19">
        <v>4806.1540000000005</v>
      </c>
      <c r="J1231" s="40">
        <v>6.25</v>
      </c>
      <c r="K1231" s="41">
        <v>16329</v>
      </c>
      <c r="L1231" s="24">
        <v>82.2</v>
      </c>
      <c r="M1231" s="19">
        <v>103.3</v>
      </c>
    </row>
    <row r="1232" spans="1:13" x14ac:dyDescent="0.75">
      <c r="A1232" t="s">
        <v>29</v>
      </c>
      <c r="B1232" s="18">
        <v>2024</v>
      </c>
      <c r="C1232" s="4">
        <v>7</v>
      </c>
      <c r="D1232">
        <v>227</v>
      </c>
      <c r="E1232" s="33">
        <v>49.3</v>
      </c>
      <c r="F1232" s="29">
        <v>105.65</v>
      </c>
      <c r="G1232" s="29">
        <v>170.49</v>
      </c>
      <c r="H1232" s="29">
        <v>101.8</v>
      </c>
      <c r="I1232" s="19">
        <v>4771.1869999999999</v>
      </c>
      <c r="J1232" s="40">
        <v>6.25</v>
      </c>
      <c r="K1232" s="41">
        <v>16262</v>
      </c>
      <c r="L1232" s="24">
        <v>85.2</v>
      </c>
      <c r="M1232" s="19">
        <v>103.2</v>
      </c>
    </row>
    <row r="1233" spans="1:13" x14ac:dyDescent="0.75">
      <c r="A1233" t="s">
        <v>29</v>
      </c>
      <c r="B1233" s="18">
        <v>2024</v>
      </c>
      <c r="C1233" s="4">
        <v>8</v>
      </c>
      <c r="D1233">
        <v>267</v>
      </c>
      <c r="E1233" s="33">
        <v>48.9</v>
      </c>
      <c r="F1233" s="29">
        <v>105.61</v>
      </c>
      <c r="G1233" s="29">
        <v>193.28</v>
      </c>
      <c r="H1233" s="29">
        <v>117.1</v>
      </c>
      <c r="I1233" s="19">
        <v>4740.5050000000001</v>
      </c>
      <c r="J1233" s="40">
        <v>6.25</v>
      </c>
      <c r="K1233" s="41">
        <v>15793</v>
      </c>
      <c r="L1233" s="24">
        <v>80.400000000000006</v>
      </c>
      <c r="M1233" s="19">
        <v>103.1</v>
      </c>
    </row>
    <row r="1234" spans="1:13" x14ac:dyDescent="0.75">
      <c r="A1234" t="s">
        <v>29</v>
      </c>
      <c r="B1234" s="18">
        <v>2024</v>
      </c>
      <c r="C1234" s="4">
        <v>9</v>
      </c>
      <c r="D1234">
        <v>347</v>
      </c>
      <c r="E1234" s="33">
        <v>49.2</v>
      </c>
      <c r="F1234" s="29">
        <v>105.52</v>
      </c>
      <c r="G1234" s="29">
        <v>161.1</v>
      </c>
      <c r="H1234" s="29">
        <v>46.46</v>
      </c>
      <c r="I1234" s="19">
        <v>4647.8599999999997</v>
      </c>
      <c r="J1234" s="40">
        <v>6</v>
      </c>
      <c r="K1234" s="41">
        <v>15341</v>
      </c>
      <c r="L1234" s="24">
        <v>74</v>
      </c>
      <c r="M1234" s="19">
        <v>102.9</v>
      </c>
    </row>
    <row r="1235" spans="1:13" x14ac:dyDescent="0.75">
      <c r="A1235" t="s">
        <v>29</v>
      </c>
      <c r="B1235" s="18">
        <v>2024</v>
      </c>
      <c r="C1235" s="4">
        <v>10</v>
      </c>
      <c r="D1235">
        <v>415</v>
      </c>
      <c r="E1235" s="33">
        <v>49.2</v>
      </c>
      <c r="F1235" s="29">
        <v>105.68</v>
      </c>
      <c r="G1235" s="29">
        <v>190.13</v>
      </c>
      <c r="H1235" s="29">
        <v>99.66</v>
      </c>
      <c r="I1235" s="19">
        <v>4676.0550000000003</v>
      </c>
      <c r="J1235" s="40">
        <v>6</v>
      </c>
      <c r="K1235" s="41">
        <v>15541</v>
      </c>
      <c r="L1235" s="24">
        <v>75.599999999999994</v>
      </c>
      <c r="M1235" s="19">
        <v>102.8</v>
      </c>
    </row>
    <row r="1236" spans="1:13" x14ac:dyDescent="0.75">
      <c r="A1236" t="s">
        <v>29</v>
      </c>
      <c r="B1236" s="18">
        <v>2024</v>
      </c>
      <c r="C1236" s="4">
        <v>11</v>
      </c>
      <c r="D1236">
        <v>430</v>
      </c>
      <c r="E1236" s="33">
        <v>49.6</v>
      </c>
      <c r="F1236" s="29">
        <v>105.86</v>
      </c>
      <c r="G1236" s="29">
        <v>172.08</v>
      </c>
      <c r="H1236" s="29">
        <v>78.89</v>
      </c>
      <c r="I1236" s="19">
        <v>4670.6819999999998</v>
      </c>
      <c r="J1236" s="40">
        <v>6</v>
      </c>
      <c r="K1236" s="41">
        <v>15812</v>
      </c>
      <c r="L1236" s="24">
        <v>74.3</v>
      </c>
      <c r="M1236" s="19">
        <v>103</v>
      </c>
    </row>
    <row r="1237" spans="1:13" x14ac:dyDescent="0.75">
      <c r="A1237" t="s">
        <v>29</v>
      </c>
      <c r="B1237" s="18">
        <v>2024</v>
      </c>
      <c r="C1237" s="4">
        <v>12</v>
      </c>
      <c r="D1237">
        <v>482</v>
      </c>
      <c r="E1237" s="33">
        <v>51.2</v>
      </c>
      <c r="F1237" s="29">
        <v>106.26</v>
      </c>
      <c r="G1237" s="29">
        <v>176.35</v>
      </c>
      <c r="H1237" s="29">
        <v>140.27000000000001</v>
      </c>
      <c r="I1237" s="19">
        <v>4339.04</v>
      </c>
      <c r="J1237" s="40">
        <v>6</v>
      </c>
      <c r="K1237" s="41">
        <v>16024</v>
      </c>
      <c r="L1237" s="24">
        <v>73.900000000000006</v>
      </c>
      <c r="M1237" s="19">
        <v>103.4</v>
      </c>
    </row>
    <row r="1238" spans="1:13" x14ac:dyDescent="0.75">
      <c r="A1238" t="s">
        <v>30</v>
      </c>
      <c r="B1238" s="18">
        <v>2024</v>
      </c>
      <c r="C1238" s="4">
        <v>1</v>
      </c>
      <c r="D1238">
        <v>72</v>
      </c>
      <c r="E1238" s="33">
        <v>52.9</v>
      </c>
      <c r="F1238" s="29">
        <v>105.42</v>
      </c>
      <c r="G1238" s="29">
        <v>432.27</v>
      </c>
      <c r="H1238" s="26">
        <v>175.89</v>
      </c>
      <c r="I1238" s="19">
        <v>629.54499999999996</v>
      </c>
      <c r="J1238" s="40">
        <v>6</v>
      </c>
      <c r="K1238" s="41">
        <v>15611</v>
      </c>
      <c r="L1238" s="24">
        <v>80.099999999999994</v>
      </c>
      <c r="M1238" s="33">
        <v>102.1</v>
      </c>
    </row>
    <row r="1239" spans="1:13" x14ac:dyDescent="0.75">
      <c r="A1239" t="s">
        <v>30</v>
      </c>
      <c r="B1239" s="18">
        <v>2024</v>
      </c>
      <c r="C1239" s="4">
        <v>2</v>
      </c>
      <c r="D1239">
        <v>72</v>
      </c>
      <c r="E1239" s="33">
        <v>52.7</v>
      </c>
      <c r="F1239" s="29">
        <v>105.62</v>
      </c>
      <c r="G1239" s="29">
        <v>295.7</v>
      </c>
      <c r="H1239" s="26">
        <v>225</v>
      </c>
      <c r="I1239" s="19">
        <v>656.96699999999998</v>
      </c>
      <c r="J1239" s="40">
        <v>6</v>
      </c>
      <c r="K1239" s="41">
        <v>15665</v>
      </c>
      <c r="L1239" s="24">
        <v>83.5</v>
      </c>
      <c r="M1239" s="33">
        <v>103</v>
      </c>
    </row>
    <row r="1240" spans="1:13" x14ac:dyDescent="0.75">
      <c r="A1240" t="s">
        <v>30</v>
      </c>
      <c r="B1240" s="18">
        <v>2024</v>
      </c>
      <c r="C1240" s="4">
        <v>3</v>
      </c>
      <c r="D1240">
        <v>101</v>
      </c>
      <c r="E1240" s="33">
        <v>54.2</v>
      </c>
      <c r="F1240" s="29">
        <v>106.28</v>
      </c>
      <c r="G1240" s="29">
        <v>285.2</v>
      </c>
      <c r="H1240" s="26">
        <v>182.18</v>
      </c>
      <c r="I1240" s="19">
        <v>644.702</v>
      </c>
      <c r="J1240" s="40">
        <v>6</v>
      </c>
      <c r="K1240" s="41">
        <v>15703</v>
      </c>
      <c r="L1240" s="24">
        <v>85.4</v>
      </c>
      <c r="M1240" s="33">
        <v>103.5</v>
      </c>
    </row>
    <row r="1241" spans="1:13" x14ac:dyDescent="0.75">
      <c r="A1241" t="s">
        <v>30</v>
      </c>
      <c r="B1241" s="18">
        <v>2024</v>
      </c>
      <c r="C1241" s="4">
        <v>4</v>
      </c>
      <c r="D1241">
        <v>101</v>
      </c>
      <c r="E1241" s="33">
        <v>52.9</v>
      </c>
      <c r="F1241" s="29">
        <v>106.78</v>
      </c>
      <c r="G1241" s="29">
        <v>319.41000000000003</v>
      </c>
      <c r="H1241" s="26">
        <v>106.42</v>
      </c>
      <c r="I1241" s="19">
        <v>668.63400000000001</v>
      </c>
      <c r="J1241" s="40">
        <v>6.25</v>
      </c>
      <c r="K1241" s="41">
        <v>16100</v>
      </c>
      <c r="L1241" s="24">
        <v>89.9</v>
      </c>
      <c r="M1241" s="33">
        <v>103.4</v>
      </c>
    </row>
    <row r="1242" spans="1:13" x14ac:dyDescent="0.75">
      <c r="A1242" t="s">
        <v>30</v>
      </c>
      <c r="B1242" s="18">
        <v>2024</v>
      </c>
      <c r="C1242" s="4">
        <v>5</v>
      </c>
      <c r="D1242">
        <v>326</v>
      </c>
      <c r="E1242" s="33">
        <v>52.1</v>
      </c>
      <c r="F1242" s="29">
        <v>106.89</v>
      </c>
      <c r="G1242" s="29">
        <v>336.84</v>
      </c>
      <c r="H1242" s="26">
        <v>133.15</v>
      </c>
      <c r="I1242" s="19">
        <v>662.09699999999998</v>
      </c>
      <c r="J1242" s="40">
        <v>6.25</v>
      </c>
      <c r="K1242" s="41">
        <v>16084</v>
      </c>
      <c r="L1242" s="24">
        <v>81.7</v>
      </c>
      <c r="M1242" s="19">
        <v>103.3</v>
      </c>
    </row>
    <row r="1243" spans="1:13" x14ac:dyDescent="0.75">
      <c r="A1243" t="s">
        <v>30</v>
      </c>
      <c r="B1243" s="18">
        <v>2024</v>
      </c>
      <c r="C1243" s="4">
        <v>6</v>
      </c>
      <c r="D1243">
        <v>348</v>
      </c>
      <c r="E1243" s="33">
        <v>50.7</v>
      </c>
      <c r="F1243" s="29">
        <v>106.79</v>
      </c>
      <c r="G1243" s="29">
        <v>304.24</v>
      </c>
      <c r="H1243" s="26">
        <v>220.84</v>
      </c>
      <c r="I1243" s="19">
        <v>602.88499999999999</v>
      </c>
      <c r="J1243" s="40">
        <v>6.25</v>
      </c>
      <c r="K1243" s="41">
        <v>16329</v>
      </c>
      <c r="L1243" s="24">
        <v>82.2</v>
      </c>
      <c r="M1243" s="19">
        <v>103.3</v>
      </c>
    </row>
    <row r="1244" spans="1:13" x14ac:dyDescent="0.75">
      <c r="A1244" t="s">
        <v>30</v>
      </c>
      <c r="B1244" s="18">
        <v>2024</v>
      </c>
      <c r="C1244" s="4">
        <v>7</v>
      </c>
      <c r="D1244">
        <v>354</v>
      </c>
      <c r="E1244" s="33">
        <v>49.3</v>
      </c>
      <c r="F1244" s="29">
        <v>106.62</v>
      </c>
      <c r="G1244" s="29">
        <v>293.48</v>
      </c>
      <c r="H1244" s="26">
        <v>109.2</v>
      </c>
      <c r="I1244" s="19">
        <v>626.173</v>
      </c>
      <c r="J1244" s="40">
        <v>6.25</v>
      </c>
      <c r="K1244" s="41">
        <v>16262</v>
      </c>
      <c r="L1244" s="24">
        <v>85.2</v>
      </c>
      <c r="M1244" s="19">
        <v>103.2</v>
      </c>
    </row>
    <row r="1245" spans="1:13" x14ac:dyDescent="0.75">
      <c r="A1245" t="s">
        <v>30</v>
      </c>
      <c r="B1245" s="18">
        <v>2024</v>
      </c>
      <c r="C1245" s="4">
        <v>8</v>
      </c>
      <c r="D1245">
        <v>927</v>
      </c>
      <c r="E1245" s="33">
        <v>48.9</v>
      </c>
      <c r="F1245" s="29">
        <v>106.33</v>
      </c>
      <c r="G1245" s="29">
        <v>317.87</v>
      </c>
      <c r="H1245" s="26">
        <v>123.65</v>
      </c>
      <c r="I1245" s="19">
        <v>632.07600000000002</v>
      </c>
      <c r="J1245" s="40">
        <v>6.25</v>
      </c>
      <c r="K1245" s="41">
        <v>15793</v>
      </c>
      <c r="L1245" s="24">
        <v>80.400000000000006</v>
      </c>
      <c r="M1245" s="19">
        <v>103.1</v>
      </c>
    </row>
    <row r="1246" spans="1:13" x14ac:dyDescent="0.75">
      <c r="A1246" t="s">
        <v>30</v>
      </c>
      <c r="B1246" s="18">
        <v>2024</v>
      </c>
      <c r="C1246" s="4">
        <v>9</v>
      </c>
      <c r="D1246">
        <v>1153</v>
      </c>
      <c r="E1246" s="33">
        <v>49.2</v>
      </c>
      <c r="F1246" s="29">
        <v>106.12</v>
      </c>
      <c r="G1246" s="29">
        <v>276.02</v>
      </c>
      <c r="H1246" s="26">
        <v>114.58</v>
      </c>
      <c r="I1246" s="19">
        <v>630.50800000000004</v>
      </c>
      <c r="J1246" s="40">
        <v>6</v>
      </c>
      <c r="K1246" s="41">
        <v>15341</v>
      </c>
      <c r="L1246" s="24">
        <v>74</v>
      </c>
      <c r="M1246" s="19">
        <v>102.9</v>
      </c>
    </row>
    <row r="1247" spans="1:13" x14ac:dyDescent="0.75">
      <c r="A1247" t="s">
        <v>30</v>
      </c>
      <c r="B1247" s="18">
        <v>2024</v>
      </c>
      <c r="C1247" s="4">
        <v>10</v>
      </c>
      <c r="D1247">
        <v>1156</v>
      </c>
      <c r="E1247" s="33">
        <v>49.2</v>
      </c>
      <c r="F1247" s="29">
        <v>105.94</v>
      </c>
      <c r="G1247" s="29">
        <v>303.94</v>
      </c>
      <c r="H1247" s="26">
        <v>115.39</v>
      </c>
      <c r="I1247" s="19">
        <v>676.63699999999994</v>
      </c>
      <c r="J1247" s="40">
        <v>6</v>
      </c>
      <c r="K1247" s="41">
        <v>15541</v>
      </c>
      <c r="L1247" s="24">
        <v>75.599999999999994</v>
      </c>
      <c r="M1247" s="19">
        <v>102.8</v>
      </c>
    </row>
    <row r="1248" spans="1:13" x14ac:dyDescent="0.75">
      <c r="A1248" t="s">
        <v>30</v>
      </c>
      <c r="B1248" s="18">
        <v>2024</v>
      </c>
      <c r="C1248" s="4">
        <v>11</v>
      </c>
      <c r="D1248">
        <v>1156</v>
      </c>
      <c r="E1248" s="33">
        <v>49.6</v>
      </c>
      <c r="F1248" s="29">
        <v>106.25</v>
      </c>
      <c r="G1248" s="29">
        <v>375.04</v>
      </c>
      <c r="H1248" s="26">
        <v>102.23</v>
      </c>
      <c r="I1248" s="19">
        <v>688.29700000000003</v>
      </c>
      <c r="J1248" s="40">
        <v>6</v>
      </c>
      <c r="K1248" s="41">
        <v>15812</v>
      </c>
      <c r="L1248" s="24">
        <v>74.3</v>
      </c>
      <c r="M1248" s="19">
        <v>103</v>
      </c>
    </row>
    <row r="1249" spans="1:13" x14ac:dyDescent="0.75">
      <c r="A1249" t="s">
        <v>30</v>
      </c>
      <c r="B1249" s="18">
        <v>2024</v>
      </c>
      <c r="C1249" s="4">
        <v>12</v>
      </c>
      <c r="D1249">
        <v>1168</v>
      </c>
      <c r="E1249" s="33">
        <v>51.2</v>
      </c>
      <c r="F1249" s="29">
        <v>106.56</v>
      </c>
      <c r="G1249" s="29">
        <v>318.26</v>
      </c>
      <c r="H1249" s="26">
        <v>129.22</v>
      </c>
      <c r="I1249" s="19">
        <v>653.33199999999999</v>
      </c>
      <c r="J1249" s="40">
        <v>6</v>
      </c>
      <c r="K1249" s="41">
        <v>16024</v>
      </c>
      <c r="L1249" s="24">
        <v>73.900000000000006</v>
      </c>
      <c r="M1249" s="19">
        <v>103.4</v>
      </c>
    </row>
    <row r="1250" spans="1:13" x14ac:dyDescent="0.75">
      <c r="A1250" t="s">
        <v>31</v>
      </c>
      <c r="B1250" s="18">
        <v>2024</v>
      </c>
      <c r="C1250" s="4">
        <v>1</v>
      </c>
      <c r="D1250">
        <v>18</v>
      </c>
      <c r="E1250" s="33">
        <v>52.9</v>
      </c>
      <c r="F1250" s="26">
        <v>106.47</v>
      </c>
      <c r="G1250" s="26">
        <v>4.0599999999999996</v>
      </c>
      <c r="H1250" s="19">
        <v>17.420000000000002</v>
      </c>
      <c r="I1250" s="19">
        <v>962.30499999999995</v>
      </c>
      <c r="J1250" s="40">
        <v>6</v>
      </c>
      <c r="K1250" s="41">
        <v>15611</v>
      </c>
      <c r="L1250" s="24">
        <v>80.099999999999994</v>
      </c>
      <c r="M1250" s="33">
        <v>102.1</v>
      </c>
    </row>
    <row r="1251" spans="1:13" x14ac:dyDescent="0.75">
      <c r="A1251" t="s">
        <v>31</v>
      </c>
      <c r="B1251" s="18">
        <v>2024</v>
      </c>
      <c r="C1251" s="4">
        <v>2</v>
      </c>
      <c r="D1251">
        <v>18</v>
      </c>
      <c r="E1251" s="33">
        <v>52.7</v>
      </c>
      <c r="F1251" s="26">
        <v>105.25</v>
      </c>
      <c r="G1251" s="26">
        <v>5.79</v>
      </c>
      <c r="H1251" s="19"/>
      <c r="I1251" s="19">
        <v>933.50400000000002</v>
      </c>
      <c r="J1251" s="40">
        <v>6</v>
      </c>
      <c r="K1251" s="41">
        <v>15665</v>
      </c>
      <c r="L1251" s="24">
        <v>83.5</v>
      </c>
      <c r="M1251" s="33">
        <v>103</v>
      </c>
    </row>
    <row r="1252" spans="1:13" x14ac:dyDescent="0.75">
      <c r="A1252" t="s">
        <v>31</v>
      </c>
      <c r="B1252" s="18">
        <v>2024</v>
      </c>
      <c r="C1252" s="4">
        <v>3</v>
      </c>
      <c r="D1252">
        <v>18</v>
      </c>
      <c r="E1252" s="33">
        <v>54.2</v>
      </c>
      <c r="F1252" s="26">
        <v>106.1</v>
      </c>
      <c r="G1252" s="26">
        <v>2.64</v>
      </c>
      <c r="H1252" s="19">
        <v>0.47</v>
      </c>
      <c r="I1252" s="19">
        <v>883.76</v>
      </c>
      <c r="J1252" s="40">
        <v>6</v>
      </c>
      <c r="K1252" s="41">
        <v>15703</v>
      </c>
      <c r="L1252" s="24">
        <v>85.4</v>
      </c>
      <c r="M1252" s="33">
        <v>103.5</v>
      </c>
    </row>
    <row r="1253" spans="1:13" x14ac:dyDescent="0.75">
      <c r="A1253" t="s">
        <v>31</v>
      </c>
      <c r="B1253" s="18">
        <v>2024</v>
      </c>
      <c r="C1253" s="4">
        <v>4</v>
      </c>
      <c r="D1253">
        <v>18</v>
      </c>
      <c r="E1253" s="33">
        <v>52.9</v>
      </c>
      <c r="F1253" s="26">
        <v>106.7</v>
      </c>
      <c r="G1253" s="26">
        <v>2.62</v>
      </c>
      <c r="H1253" s="19">
        <v>0.09</v>
      </c>
      <c r="I1253" s="19">
        <v>886.67399999999998</v>
      </c>
      <c r="J1253" s="40">
        <v>6.25</v>
      </c>
      <c r="K1253" s="41">
        <v>16100</v>
      </c>
      <c r="L1253" s="24">
        <v>89.9</v>
      </c>
      <c r="M1253" s="33">
        <v>103.4</v>
      </c>
    </row>
    <row r="1254" spans="1:13" x14ac:dyDescent="0.75">
      <c r="A1254" t="s">
        <v>31</v>
      </c>
      <c r="B1254" s="18">
        <v>2024</v>
      </c>
      <c r="C1254" s="4">
        <v>5</v>
      </c>
      <c r="D1254">
        <v>18</v>
      </c>
      <c r="E1254" s="33">
        <v>52.1</v>
      </c>
      <c r="F1254" s="26">
        <v>107.02</v>
      </c>
      <c r="G1254" s="26">
        <v>2.54</v>
      </c>
      <c r="H1254" s="19">
        <v>1.91</v>
      </c>
      <c r="I1254" s="19">
        <v>865.947</v>
      </c>
      <c r="J1254" s="40">
        <v>6.25</v>
      </c>
      <c r="K1254" s="41">
        <v>16084</v>
      </c>
      <c r="L1254" s="24">
        <v>81.7</v>
      </c>
      <c r="M1254" s="19">
        <v>103.3</v>
      </c>
    </row>
    <row r="1255" spans="1:13" x14ac:dyDescent="0.75">
      <c r="A1255" t="s">
        <v>31</v>
      </c>
      <c r="B1255" s="18">
        <v>2024</v>
      </c>
      <c r="C1255" s="4">
        <v>6</v>
      </c>
      <c r="D1255">
        <v>18</v>
      </c>
      <c r="E1255" s="33">
        <v>50.7</v>
      </c>
      <c r="F1255" s="26">
        <v>106.87</v>
      </c>
      <c r="G1255" s="26">
        <v>3.89</v>
      </c>
      <c r="H1255" s="19">
        <v>2.96</v>
      </c>
      <c r="I1255" s="19">
        <v>660.649</v>
      </c>
      <c r="J1255" s="40">
        <v>6.25</v>
      </c>
      <c r="K1255" s="41">
        <v>16329</v>
      </c>
      <c r="L1255" s="24">
        <v>82.2</v>
      </c>
      <c r="M1255" s="19">
        <v>103.3</v>
      </c>
    </row>
    <row r="1256" spans="1:13" x14ac:dyDescent="0.75">
      <c r="A1256" t="s">
        <v>31</v>
      </c>
      <c r="B1256" s="18">
        <v>2024</v>
      </c>
      <c r="C1256" s="4">
        <v>7</v>
      </c>
      <c r="D1256">
        <v>18</v>
      </c>
      <c r="E1256" s="33">
        <v>49.3</v>
      </c>
      <c r="F1256" s="26">
        <v>105.86</v>
      </c>
      <c r="G1256" s="26">
        <v>11.81</v>
      </c>
      <c r="H1256" s="19">
        <v>1.24</v>
      </c>
      <c r="I1256" s="19">
        <v>671.64800000000002</v>
      </c>
      <c r="J1256" s="40">
        <v>6.25</v>
      </c>
      <c r="K1256" s="41">
        <v>16262</v>
      </c>
      <c r="L1256" s="24">
        <v>85.2</v>
      </c>
      <c r="M1256" s="19">
        <v>103.2</v>
      </c>
    </row>
    <row r="1257" spans="1:13" x14ac:dyDescent="0.75">
      <c r="A1257" t="s">
        <v>31</v>
      </c>
      <c r="B1257" s="18">
        <v>2024</v>
      </c>
      <c r="C1257" s="4">
        <v>8</v>
      </c>
      <c r="D1257">
        <v>74</v>
      </c>
      <c r="E1257" s="33">
        <v>48.9</v>
      </c>
      <c r="F1257" s="26">
        <v>105.71</v>
      </c>
      <c r="G1257" s="26">
        <v>8</v>
      </c>
      <c r="H1257" s="19">
        <v>1.46</v>
      </c>
      <c r="I1257" s="19">
        <v>657.85299999999995</v>
      </c>
      <c r="J1257" s="40">
        <v>6.25</v>
      </c>
      <c r="K1257" s="41">
        <v>15793</v>
      </c>
      <c r="L1257" s="24">
        <v>80.400000000000006</v>
      </c>
      <c r="M1257" s="19">
        <v>103.1</v>
      </c>
    </row>
    <row r="1258" spans="1:13" x14ac:dyDescent="0.75">
      <c r="A1258" t="s">
        <v>31</v>
      </c>
      <c r="B1258" s="18">
        <v>2024</v>
      </c>
      <c r="C1258" s="4">
        <v>9</v>
      </c>
      <c r="D1258">
        <v>74</v>
      </c>
      <c r="E1258" s="33">
        <v>49.2</v>
      </c>
      <c r="F1258" s="26">
        <v>106.12</v>
      </c>
      <c r="G1258" s="26">
        <v>4.7699999999999996</v>
      </c>
      <c r="H1258" s="19">
        <v>1.1299999999999999</v>
      </c>
      <c r="I1258" s="19">
        <v>612.45100000000002</v>
      </c>
      <c r="J1258" s="40">
        <v>6</v>
      </c>
      <c r="K1258" s="41">
        <v>15341</v>
      </c>
      <c r="L1258" s="24">
        <v>74</v>
      </c>
      <c r="M1258" s="19">
        <v>102.9</v>
      </c>
    </row>
    <row r="1259" spans="1:13" x14ac:dyDescent="0.75">
      <c r="A1259" t="s">
        <v>31</v>
      </c>
      <c r="B1259" s="18">
        <v>2024</v>
      </c>
      <c r="C1259" s="4">
        <v>10</v>
      </c>
      <c r="D1259">
        <v>74</v>
      </c>
      <c r="E1259" s="33">
        <v>49.2</v>
      </c>
      <c r="F1259" s="26">
        <v>105.51</v>
      </c>
      <c r="G1259" s="26">
        <v>4.22</v>
      </c>
      <c r="H1259" s="19"/>
      <c r="I1259" s="19">
        <v>609.83000000000004</v>
      </c>
      <c r="J1259" s="40">
        <v>6</v>
      </c>
      <c r="K1259" s="41">
        <v>15541</v>
      </c>
      <c r="L1259" s="24">
        <v>75.599999999999994</v>
      </c>
      <c r="M1259" s="19">
        <v>102.8</v>
      </c>
    </row>
    <row r="1260" spans="1:13" x14ac:dyDescent="0.75">
      <c r="A1260" t="s">
        <v>31</v>
      </c>
      <c r="B1260" s="18">
        <v>2024</v>
      </c>
      <c r="C1260" s="4">
        <v>11</v>
      </c>
      <c r="D1260">
        <v>74</v>
      </c>
      <c r="E1260" s="33">
        <v>49.6</v>
      </c>
      <c r="F1260" s="26">
        <v>106</v>
      </c>
      <c r="G1260" s="26">
        <v>4.4400000000000004</v>
      </c>
      <c r="H1260" s="19"/>
      <c r="I1260" s="19">
        <v>593.16200000000003</v>
      </c>
      <c r="J1260" s="40">
        <v>6</v>
      </c>
      <c r="K1260" s="41">
        <v>15812</v>
      </c>
      <c r="L1260" s="24">
        <v>74.3</v>
      </c>
      <c r="M1260" s="19">
        <v>103</v>
      </c>
    </row>
    <row r="1261" spans="1:13" x14ac:dyDescent="0.75">
      <c r="A1261" t="s">
        <v>31</v>
      </c>
      <c r="B1261" s="18">
        <v>2024</v>
      </c>
      <c r="C1261" s="4">
        <v>12</v>
      </c>
      <c r="D1261">
        <v>87</v>
      </c>
      <c r="E1261" s="33">
        <v>51.2</v>
      </c>
      <c r="F1261" s="26">
        <v>106.6</v>
      </c>
      <c r="G1261" s="26">
        <v>5.29</v>
      </c>
      <c r="H1261" s="19">
        <v>1.05</v>
      </c>
      <c r="I1261" s="19">
        <v>598.77700000000004</v>
      </c>
      <c r="J1261" s="40">
        <v>6</v>
      </c>
      <c r="K1261" s="41">
        <v>16024</v>
      </c>
      <c r="L1261" s="24">
        <v>73.900000000000006</v>
      </c>
      <c r="M1261" s="19">
        <v>103.4</v>
      </c>
    </row>
    <row r="1262" spans="1:13" x14ac:dyDescent="0.75">
      <c r="A1262" t="s">
        <v>32</v>
      </c>
      <c r="B1262" s="18">
        <v>2024</v>
      </c>
      <c r="C1262" s="4">
        <v>1</v>
      </c>
      <c r="D1262">
        <v>0</v>
      </c>
      <c r="E1262" s="33">
        <v>52.9</v>
      </c>
      <c r="F1262" s="19">
        <v>105.29</v>
      </c>
      <c r="G1262" s="19">
        <v>26.26</v>
      </c>
      <c r="H1262" s="19"/>
      <c r="I1262" s="19">
        <v>288.714</v>
      </c>
      <c r="J1262" s="40">
        <v>6</v>
      </c>
      <c r="K1262" s="41">
        <v>15611</v>
      </c>
      <c r="L1262" s="24">
        <v>80.099999999999994</v>
      </c>
      <c r="M1262" s="33">
        <v>102.1</v>
      </c>
    </row>
    <row r="1263" spans="1:13" x14ac:dyDescent="0.75">
      <c r="A1263" t="s">
        <v>32</v>
      </c>
      <c r="B1263" s="18">
        <v>2024</v>
      </c>
      <c r="C1263" s="4">
        <v>2</v>
      </c>
      <c r="D1263">
        <v>0</v>
      </c>
      <c r="E1263" s="33">
        <v>52.7</v>
      </c>
      <c r="F1263" s="19">
        <v>105.37</v>
      </c>
      <c r="G1263" s="19">
        <v>30.99</v>
      </c>
      <c r="H1263" s="19">
        <v>0.38</v>
      </c>
      <c r="I1263" s="19">
        <v>290.88499999999999</v>
      </c>
      <c r="J1263" s="40">
        <v>6</v>
      </c>
      <c r="K1263" s="41">
        <v>15665</v>
      </c>
      <c r="L1263" s="24">
        <v>83.5</v>
      </c>
      <c r="M1263" s="33">
        <v>103</v>
      </c>
    </row>
    <row r="1264" spans="1:13" x14ac:dyDescent="0.75">
      <c r="A1264" t="s">
        <v>32</v>
      </c>
      <c r="B1264" s="18">
        <v>2024</v>
      </c>
      <c r="C1264" s="4">
        <v>3</v>
      </c>
      <c r="D1264">
        <v>0</v>
      </c>
      <c r="E1264" s="33">
        <v>54.2</v>
      </c>
      <c r="F1264" s="19">
        <v>105.82</v>
      </c>
      <c r="G1264" s="19">
        <v>48.52</v>
      </c>
      <c r="H1264" s="19"/>
      <c r="I1264" s="19">
        <v>293.48200000000003</v>
      </c>
      <c r="J1264" s="40">
        <v>6</v>
      </c>
      <c r="K1264" s="41">
        <v>15703</v>
      </c>
      <c r="L1264" s="24">
        <v>85.4</v>
      </c>
      <c r="M1264" s="33">
        <v>103.5</v>
      </c>
    </row>
    <row r="1265" spans="1:13" x14ac:dyDescent="0.75">
      <c r="A1265" t="s">
        <v>32</v>
      </c>
      <c r="B1265" s="18">
        <v>2024</v>
      </c>
      <c r="C1265" s="4">
        <v>4</v>
      </c>
      <c r="D1265">
        <v>0</v>
      </c>
      <c r="E1265" s="33">
        <v>52.9</v>
      </c>
      <c r="F1265" s="19">
        <v>105.53</v>
      </c>
      <c r="G1265" s="19">
        <v>34.549999999999997</v>
      </c>
      <c r="H1265" s="19">
        <v>0.23</v>
      </c>
      <c r="I1265" s="19">
        <v>312.71499999999997</v>
      </c>
      <c r="J1265" s="40">
        <v>6.25</v>
      </c>
      <c r="K1265" s="41">
        <v>16100</v>
      </c>
      <c r="L1265" s="24">
        <v>89.9</v>
      </c>
      <c r="M1265" s="33">
        <v>103.4</v>
      </c>
    </row>
    <row r="1266" spans="1:13" x14ac:dyDescent="0.75">
      <c r="A1266" t="s">
        <v>32</v>
      </c>
      <c r="B1266" s="18">
        <v>2024</v>
      </c>
      <c r="C1266" s="4">
        <v>5</v>
      </c>
      <c r="D1266">
        <v>0</v>
      </c>
      <c r="E1266" s="33">
        <v>52.1</v>
      </c>
      <c r="F1266" s="19">
        <v>105.46</v>
      </c>
      <c r="G1266" s="19">
        <v>31.58</v>
      </c>
      <c r="H1266" s="19">
        <v>0.7</v>
      </c>
      <c r="I1266" s="19">
        <v>316.15699999999998</v>
      </c>
      <c r="J1266" s="40">
        <v>6.25</v>
      </c>
      <c r="K1266" s="41">
        <v>16084</v>
      </c>
      <c r="L1266" s="24">
        <v>81.7</v>
      </c>
      <c r="M1266" s="19">
        <v>103.3</v>
      </c>
    </row>
    <row r="1267" spans="1:13" x14ac:dyDescent="0.75">
      <c r="A1267" t="s">
        <v>32</v>
      </c>
      <c r="B1267" s="18">
        <v>2024</v>
      </c>
      <c r="C1267" s="4">
        <v>6</v>
      </c>
      <c r="D1267">
        <v>0</v>
      </c>
      <c r="E1267" s="33">
        <v>50.7</v>
      </c>
      <c r="F1267" s="19">
        <v>106.31</v>
      </c>
      <c r="G1267" s="19">
        <v>46.74</v>
      </c>
      <c r="H1267" s="19"/>
      <c r="I1267" s="19">
        <v>281.71699999999998</v>
      </c>
      <c r="J1267" s="40">
        <v>6.25</v>
      </c>
      <c r="K1267" s="41">
        <v>16329</v>
      </c>
      <c r="L1267" s="24">
        <v>82.2</v>
      </c>
      <c r="M1267" s="19">
        <v>103.3</v>
      </c>
    </row>
    <row r="1268" spans="1:13" x14ac:dyDescent="0.75">
      <c r="A1268" t="s">
        <v>32</v>
      </c>
      <c r="B1268" s="18">
        <v>2024</v>
      </c>
      <c r="C1268" s="4">
        <v>7</v>
      </c>
      <c r="D1268">
        <v>0</v>
      </c>
      <c r="E1268" s="33">
        <v>49.3</v>
      </c>
      <c r="F1268" s="19">
        <v>105.83</v>
      </c>
      <c r="G1268" s="19">
        <v>39.99</v>
      </c>
      <c r="H1268" s="19">
        <v>0.94</v>
      </c>
      <c r="I1268" s="19">
        <v>291.58699999999999</v>
      </c>
      <c r="J1268" s="40">
        <v>6.25</v>
      </c>
      <c r="K1268" s="41">
        <v>16262</v>
      </c>
      <c r="L1268" s="24">
        <v>85.2</v>
      </c>
      <c r="M1268" s="19">
        <v>103.2</v>
      </c>
    </row>
    <row r="1269" spans="1:13" x14ac:dyDescent="0.75">
      <c r="A1269" t="s">
        <v>32</v>
      </c>
      <c r="B1269" s="18">
        <v>2024</v>
      </c>
      <c r="C1269" s="4">
        <v>8</v>
      </c>
      <c r="D1269">
        <v>0</v>
      </c>
      <c r="E1269" s="33">
        <v>48.9</v>
      </c>
      <c r="F1269" s="19">
        <v>105.69</v>
      </c>
      <c r="G1269" s="19">
        <v>13.24</v>
      </c>
      <c r="H1269" s="19"/>
      <c r="I1269" s="19">
        <v>292.488</v>
      </c>
      <c r="J1269" s="40">
        <v>6.25</v>
      </c>
      <c r="K1269" s="41">
        <v>15793</v>
      </c>
      <c r="L1269" s="24">
        <v>80.400000000000006</v>
      </c>
      <c r="M1269" s="19">
        <v>103.1</v>
      </c>
    </row>
    <row r="1270" spans="1:13" x14ac:dyDescent="0.75">
      <c r="A1270" t="s">
        <v>32</v>
      </c>
      <c r="B1270" s="18">
        <v>2024</v>
      </c>
      <c r="C1270" s="4">
        <v>9</v>
      </c>
      <c r="D1270">
        <v>10</v>
      </c>
      <c r="E1270" s="33">
        <v>49.2</v>
      </c>
      <c r="F1270" s="19">
        <v>106.04</v>
      </c>
      <c r="G1270" s="19">
        <v>43.83</v>
      </c>
      <c r="H1270" s="19"/>
      <c r="I1270" s="19">
        <v>296.89</v>
      </c>
      <c r="J1270" s="40">
        <v>6</v>
      </c>
      <c r="K1270" s="41">
        <v>15341</v>
      </c>
      <c r="L1270" s="24">
        <v>74</v>
      </c>
      <c r="M1270" s="19">
        <v>102.9</v>
      </c>
    </row>
    <row r="1271" spans="1:13" x14ac:dyDescent="0.75">
      <c r="A1271" t="s">
        <v>32</v>
      </c>
      <c r="B1271" s="18">
        <v>2024</v>
      </c>
      <c r="C1271" s="4">
        <v>10</v>
      </c>
      <c r="D1271">
        <v>10</v>
      </c>
      <c r="E1271" s="33">
        <v>49.2</v>
      </c>
      <c r="F1271" s="19">
        <v>106.26</v>
      </c>
      <c r="G1271" s="19">
        <v>39.479999999999997</v>
      </c>
      <c r="H1271" s="19">
        <v>0.79</v>
      </c>
      <c r="I1271" s="19">
        <v>301.08300000000003</v>
      </c>
      <c r="J1271" s="40">
        <v>6</v>
      </c>
      <c r="K1271" s="41">
        <v>15541</v>
      </c>
      <c r="L1271" s="24">
        <v>75.599999999999994</v>
      </c>
      <c r="M1271" s="19">
        <v>102.8</v>
      </c>
    </row>
    <row r="1272" spans="1:13" x14ac:dyDescent="0.75">
      <c r="A1272" t="s">
        <v>32</v>
      </c>
      <c r="B1272" s="18">
        <v>2024</v>
      </c>
      <c r="C1272" s="4">
        <v>11</v>
      </c>
      <c r="D1272">
        <v>10</v>
      </c>
      <c r="E1272" s="33">
        <v>49.6</v>
      </c>
      <c r="F1272" s="19">
        <v>106.08</v>
      </c>
      <c r="G1272" s="19">
        <v>49.95</v>
      </c>
      <c r="H1272" s="19">
        <v>0.78</v>
      </c>
      <c r="I1272" s="19">
        <v>293.85399999999998</v>
      </c>
      <c r="J1272" s="40">
        <v>6</v>
      </c>
      <c r="K1272" s="41">
        <v>15812</v>
      </c>
      <c r="L1272" s="24">
        <v>74.3</v>
      </c>
      <c r="M1272" s="19">
        <v>103</v>
      </c>
    </row>
    <row r="1273" spans="1:13" x14ac:dyDescent="0.75">
      <c r="A1273" t="s">
        <v>32</v>
      </c>
      <c r="B1273" s="18">
        <v>2024</v>
      </c>
      <c r="C1273" s="4">
        <v>12</v>
      </c>
      <c r="D1273">
        <v>14</v>
      </c>
      <c r="E1273" s="33">
        <v>51.2</v>
      </c>
      <c r="F1273" s="19">
        <v>106.78</v>
      </c>
      <c r="G1273" s="19">
        <v>28.67</v>
      </c>
      <c r="H1273" s="19"/>
      <c r="I1273" s="19">
        <v>267.13600000000002</v>
      </c>
      <c r="J1273" s="40">
        <v>6</v>
      </c>
      <c r="K1273" s="41">
        <v>16024</v>
      </c>
      <c r="L1273" s="24">
        <v>73.900000000000006</v>
      </c>
      <c r="M1273" s="19">
        <v>103.4</v>
      </c>
    </row>
    <row r="1274" spans="1:13" x14ac:dyDescent="0.75">
      <c r="A1274" t="s">
        <v>33</v>
      </c>
      <c r="B1274" s="18">
        <v>2024</v>
      </c>
      <c r="C1274" s="4">
        <v>1</v>
      </c>
      <c r="D1274">
        <v>0</v>
      </c>
      <c r="E1274" s="33">
        <v>52.9</v>
      </c>
      <c r="F1274" s="19">
        <v>105.84</v>
      </c>
      <c r="G1274" s="19">
        <v>13.01</v>
      </c>
      <c r="H1274" s="19">
        <v>32.64</v>
      </c>
      <c r="I1274" s="19">
        <v>377.82799999999997</v>
      </c>
      <c r="J1274" s="40">
        <v>6</v>
      </c>
      <c r="K1274" s="41">
        <v>15611</v>
      </c>
      <c r="L1274" s="24">
        <v>80.099999999999994</v>
      </c>
      <c r="M1274" s="33">
        <v>102.1</v>
      </c>
    </row>
    <row r="1275" spans="1:13" x14ac:dyDescent="0.75">
      <c r="A1275" t="s">
        <v>33</v>
      </c>
      <c r="B1275" s="18">
        <v>2024</v>
      </c>
      <c r="C1275" s="4">
        <v>2</v>
      </c>
      <c r="D1275">
        <v>9</v>
      </c>
      <c r="E1275" s="33">
        <v>52.7</v>
      </c>
      <c r="F1275" s="19">
        <v>104.58</v>
      </c>
      <c r="G1275" s="19">
        <v>2.12</v>
      </c>
      <c r="H1275" s="19">
        <v>31.6</v>
      </c>
      <c r="I1275" s="19">
        <v>383.93700000000001</v>
      </c>
      <c r="J1275" s="40">
        <v>6</v>
      </c>
      <c r="K1275" s="41">
        <v>15665</v>
      </c>
      <c r="L1275" s="24">
        <v>83.5</v>
      </c>
      <c r="M1275" s="33">
        <v>103</v>
      </c>
    </row>
    <row r="1276" spans="1:13" x14ac:dyDescent="0.75">
      <c r="A1276" t="s">
        <v>33</v>
      </c>
      <c r="B1276" s="18">
        <v>2024</v>
      </c>
      <c r="C1276" s="4">
        <v>3</v>
      </c>
      <c r="D1276">
        <v>9</v>
      </c>
      <c r="E1276" s="33">
        <v>54.2</v>
      </c>
      <c r="F1276" s="19">
        <v>104.1</v>
      </c>
      <c r="G1276" s="19">
        <v>7.17</v>
      </c>
      <c r="H1276" s="19">
        <v>45.12</v>
      </c>
      <c r="I1276" s="19">
        <v>397.91899999999998</v>
      </c>
      <c r="J1276" s="40">
        <v>6</v>
      </c>
      <c r="K1276" s="41">
        <v>15703</v>
      </c>
      <c r="L1276" s="24">
        <v>85.4</v>
      </c>
      <c r="M1276" s="33">
        <v>103.5</v>
      </c>
    </row>
    <row r="1277" spans="1:13" x14ac:dyDescent="0.75">
      <c r="A1277" t="s">
        <v>33</v>
      </c>
      <c r="B1277" s="18">
        <v>2024</v>
      </c>
      <c r="C1277" s="4">
        <v>4</v>
      </c>
      <c r="D1277">
        <v>9</v>
      </c>
      <c r="E1277" s="33">
        <v>52.9</v>
      </c>
      <c r="F1277" s="19">
        <v>104.4</v>
      </c>
      <c r="G1277" s="19">
        <v>2.56</v>
      </c>
      <c r="H1277" s="19">
        <v>46.8</v>
      </c>
      <c r="I1277" s="19">
        <v>401.67</v>
      </c>
      <c r="J1277" s="40">
        <v>6.25</v>
      </c>
      <c r="K1277" s="41">
        <v>16100</v>
      </c>
      <c r="L1277" s="24">
        <v>89.9</v>
      </c>
      <c r="M1277" s="33">
        <v>103.4</v>
      </c>
    </row>
    <row r="1278" spans="1:13" x14ac:dyDescent="0.75">
      <c r="A1278" t="s">
        <v>33</v>
      </c>
      <c r="B1278" s="18">
        <v>2024</v>
      </c>
      <c r="C1278" s="4">
        <v>5</v>
      </c>
      <c r="D1278">
        <v>32</v>
      </c>
      <c r="E1278" s="33">
        <v>52.1</v>
      </c>
      <c r="F1278" s="19">
        <v>106.37</v>
      </c>
      <c r="G1278" s="19">
        <v>4.5199999999999996</v>
      </c>
      <c r="H1278" s="19">
        <v>19.899999999999999</v>
      </c>
      <c r="I1278" s="19">
        <v>458.33800000000002</v>
      </c>
      <c r="J1278" s="40">
        <v>6.25</v>
      </c>
      <c r="K1278" s="41">
        <v>16084</v>
      </c>
      <c r="L1278" s="24">
        <v>81.7</v>
      </c>
      <c r="M1278" s="19">
        <v>103.3</v>
      </c>
    </row>
    <row r="1279" spans="1:13" x14ac:dyDescent="0.75">
      <c r="A1279" t="s">
        <v>33</v>
      </c>
      <c r="B1279" s="18">
        <v>2024</v>
      </c>
      <c r="C1279" s="4">
        <v>6</v>
      </c>
      <c r="D1279">
        <v>32</v>
      </c>
      <c r="E1279" s="33">
        <v>50.7</v>
      </c>
      <c r="F1279" s="19">
        <v>107.78</v>
      </c>
      <c r="G1279" s="19">
        <v>16.690000000000001</v>
      </c>
      <c r="H1279" s="19">
        <v>57.47</v>
      </c>
      <c r="I1279" s="19">
        <v>452.31799999999998</v>
      </c>
      <c r="J1279" s="40">
        <v>6.25</v>
      </c>
      <c r="K1279" s="41">
        <v>16329</v>
      </c>
      <c r="L1279" s="24">
        <v>82.2</v>
      </c>
      <c r="M1279" s="19">
        <v>103.3</v>
      </c>
    </row>
    <row r="1280" spans="1:13" x14ac:dyDescent="0.75">
      <c r="A1280" t="s">
        <v>33</v>
      </c>
      <c r="B1280" s="18">
        <v>2024</v>
      </c>
      <c r="C1280" s="4">
        <v>7</v>
      </c>
      <c r="D1280">
        <v>32</v>
      </c>
      <c r="E1280" s="33">
        <v>49.3</v>
      </c>
      <c r="F1280" s="19">
        <v>106.9</v>
      </c>
      <c r="G1280" s="19">
        <v>5.69</v>
      </c>
      <c r="H1280" s="19">
        <v>68.78</v>
      </c>
      <c r="I1280" s="19">
        <v>485.19900000000001</v>
      </c>
      <c r="J1280" s="40">
        <v>6.25</v>
      </c>
      <c r="K1280" s="41">
        <v>16262</v>
      </c>
      <c r="L1280" s="24">
        <v>85.2</v>
      </c>
      <c r="M1280" s="19">
        <v>103.2</v>
      </c>
    </row>
    <row r="1281" spans="1:13" x14ac:dyDescent="0.75">
      <c r="A1281" t="s">
        <v>33</v>
      </c>
      <c r="B1281" s="18">
        <v>2024</v>
      </c>
      <c r="C1281" s="4">
        <v>8</v>
      </c>
      <c r="D1281">
        <v>32</v>
      </c>
      <c r="E1281" s="33">
        <v>48.9</v>
      </c>
      <c r="F1281" s="19">
        <v>106.54</v>
      </c>
      <c r="G1281" s="19">
        <v>1.58</v>
      </c>
      <c r="H1281" s="19">
        <v>37.74</v>
      </c>
      <c r="I1281" s="19">
        <v>476.12900000000002</v>
      </c>
      <c r="J1281" s="40">
        <v>6.25</v>
      </c>
      <c r="K1281" s="41">
        <v>15793</v>
      </c>
      <c r="L1281" s="24">
        <v>80.400000000000006</v>
      </c>
      <c r="M1281" s="19">
        <v>103.1</v>
      </c>
    </row>
    <row r="1282" spans="1:13" x14ac:dyDescent="0.75">
      <c r="A1282" t="s">
        <v>33</v>
      </c>
      <c r="B1282" s="18">
        <v>2024</v>
      </c>
      <c r="C1282" s="4">
        <v>9</v>
      </c>
      <c r="D1282">
        <v>43</v>
      </c>
      <c r="E1282" s="33">
        <v>49.2</v>
      </c>
      <c r="F1282" s="19">
        <v>106.47</v>
      </c>
      <c r="G1282" s="19">
        <v>9.31</v>
      </c>
      <c r="H1282" s="19">
        <v>27.03</v>
      </c>
      <c r="I1282" s="19">
        <v>425.048</v>
      </c>
      <c r="J1282" s="40">
        <v>6</v>
      </c>
      <c r="K1282" s="41">
        <v>15341</v>
      </c>
      <c r="L1282" s="24">
        <v>74</v>
      </c>
      <c r="M1282" s="19">
        <v>102.9</v>
      </c>
    </row>
    <row r="1283" spans="1:13" x14ac:dyDescent="0.75">
      <c r="A1283" t="s">
        <v>33</v>
      </c>
      <c r="B1283" s="18">
        <v>2024</v>
      </c>
      <c r="C1283" s="4">
        <v>10</v>
      </c>
      <c r="D1283">
        <v>43</v>
      </c>
      <c r="E1283" s="33">
        <v>49.2</v>
      </c>
      <c r="F1283" s="19">
        <v>107.16</v>
      </c>
      <c r="G1283" s="19">
        <v>10.16</v>
      </c>
      <c r="H1283" s="19">
        <v>32.21</v>
      </c>
      <c r="I1283" s="19">
        <v>433.78300000000002</v>
      </c>
      <c r="J1283" s="40">
        <v>6</v>
      </c>
      <c r="K1283" s="41">
        <v>15541</v>
      </c>
      <c r="L1283" s="24">
        <v>75.599999999999994</v>
      </c>
      <c r="M1283" s="19">
        <v>102.8</v>
      </c>
    </row>
    <row r="1284" spans="1:13" x14ac:dyDescent="0.75">
      <c r="A1284" t="s">
        <v>33</v>
      </c>
      <c r="B1284" s="18">
        <v>2024</v>
      </c>
      <c r="C1284" s="4">
        <v>11</v>
      </c>
      <c r="D1284">
        <v>254</v>
      </c>
      <c r="E1284" s="33">
        <v>49.6</v>
      </c>
      <c r="F1284" s="19">
        <v>107.43</v>
      </c>
      <c r="G1284" s="19">
        <v>9.82</v>
      </c>
      <c r="H1284" s="19">
        <v>24.11</v>
      </c>
      <c r="I1284" s="19">
        <v>434.94900000000001</v>
      </c>
      <c r="J1284" s="40">
        <v>6</v>
      </c>
      <c r="K1284" s="41">
        <v>15812</v>
      </c>
      <c r="L1284" s="24">
        <v>74.3</v>
      </c>
      <c r="M1284" s="19">
        <v>103</v>
      </c>
    </row>
    <row r="1285" spans="1:13" x14ac:dyDescent="0.75">
      <c r="A1285" t="s">
        <v>33</v>
      </c>
      <c r="B1285" s="18">
        <v>2024</v>
      </c>
      <c r="C1285" s="4">
        <v>12</v>
      </c>
      <c r="D1285">
        <v>257</v>
      </c>
      <c r="E1285" s="33">
        <v>51.2</v>
      </c>
      <c r="F1285" s="19">
        <v>106.99</v>
      </c>
      <c r="G1285" s="19">
        <v>12.41</v>
      </c>
      <c r="H1285" s="19">
        <v>43.81</v>
      </c>
      <c r="I1285" s="19">
        <v>419.20699999999999</v>
      </c>
      <c r="J1285" s="40">
        <v>6</v>
      </c>
      <c r="K1285" s="41">
        <v>16024</v>
      </c>
      <c r="L1285" s="24">
        <v>73.900000000000006</v>
      </c>
      <c r="M1285" s="19">
        <v>103.4</v>
      </c>
    </row>
    <row r="1286" spans="1:13" x14ac:dyDescent="0.75">
      <c r="A1286" t="s">
        <v>34</v>
      </c>
      <c r="B1286" s="18">
        <v>2024</v>
      </c>
      <c r="C1286" s="4">
        <v>1</v>
      </c>
      <c r="D1286">
        <v>0</v>
      </c>
      <c r="E1286" s="33">
        <v>52.9</v>
      </c>
      <c r="F1286" s="26">
        <v>106.69</v>
      </c>
      <c r="G1286" s="19">
        <v>693.13</v>
      </c>
      <c r="H1286" s="19">
        <v>249.72</v>
      </c>
      <c r="I1286" s="19">
        <v>245.65</v>
      </c>
      <c r="J1286" s="40">
        <v>6</v>
      </c>
      <c r="K1286" s="41">
        <v>15611</v>
      </c>
      <c r="L1286" s="24">
        <v>80.099999999999994</v>
      </c>
      <c r="M1286" s="33">
        <v>102.1</v>
      </c>
    </row>
    <row r="1287" spans="1:13" x14ac:dyDescent="0.75">
      <c r="A1287" t="s">
        <v>34</v>
      </c>
      <c r="B1287" s="18">
        <v>2024</v>
      </c>
      <c r="C1287" s="4">
        <v>2</v>
      </c>
      <c r="D1287">
        <v>0</v>
      </c>
      <c r="E1287" s="33">
        <v>52.7</v>
      </c>
      <c r="F1287" s="26">
        <v>106.24</v>
      </c>
      <c r="G1287" s="19">
        <v>560.76</v>
      </c>
      <c r="H1287" s="19">
        <v>332.55</v>
      </c>
      <c r="I1287" s="19">
        <v>246.96899999999999</v>
      </c>
      <c r="J1287" s="40">
        <v>6</v>
      </c>
      <c r="K1287" s="41">
        <v>15665</v>
      </c>
      <c r="L1287" s="24">
        <v>83.5</v>
      </c>
      <c r="M1287" s="33">
        <v>103</v>
      </c>
    </row>
    <row r="1288" spans="1:13" x14ac:dyDescent="0.75">
      <c r="A1288" t="s">
        <v>34</v>
      </c>
      <c r="B1288" s="18">
        <v>2024</v>
      </c>
      <c r="C1288" s="4">
        <v>3</v>
      </c>
      <c r="D1288">
        <v>0</v>
      </c>
      <c r="E1288" s="33">
        <v>54.2</v>
      </c>
      <c r="F1288" s="26">
        <v>106.75</v>
      </c>
      <c r="G1288" s="19">
        <v>856.62</v>
      </c>
      <c r="H1288" s="19">
        <v>231.36</v>
      </c>
      <c r="I1288" s="19">
        <v>234.696</v>
      </c>
      <c r="J1288" s="40">
        <v>6</v>
      </c>
      <c r="K1288" s="41">
        <v>15703</v>
      </c>
      <c r="L1288" s="24">
        <v>85.4</v>
      </c>
      <c r="M1288" s="33">
        <v>103.5</v>
      </c>
    </row>
    <row r="1289" spans="1:13" x14ac:dyDescent="0.75">
      <c r="A1289" t="s">
        <v>34</v>
      </c>
      <c r="B1289" s="18">
        <v>2024</v>
      </c>
      <c r="C1289" s="4">
        <v>4</v>
      </c>
      <c r="D1289">
        <v>0</v>
      </c>
      <c r="E1289" s="33">
        <v>52.9</v>
      </c>
      <c r="F1289" s="26">
        <v>107.22</v>
      </c>
      <c r="G1289" s="19">
        <v>997.15</v>
      </c>
      <c r="H1289" s="19">
        <v>270.39999999999998</v>
      </c>
      <c r="I1289" s="19">
        <v>270.41500000000002</v>
      </c>
      <c r="J1289" s="40">
        <v>6.25</v>
      </c>
      <c r="K1289" s="41">
        <v>16100</v>
      </c>
      <c r="L1289" s="24">
        <v>89.9</v>
      </c>
      <c r="M1289" s="33">
        <v>103.4</v>
      </c>
    </row>
    <row r="1290" spans="1:13" x14ac:dyDescent="0.75">
      <c r="A1290" t="s">
        <v>34</v>
      </c>
      <c r="B1290" s="18">
        <v>2024</v>
      </c>
      <c r="C1290" s="4">
        <v>5</v>
      </c>
      <c r="D1290">
        <v>0</v>
      </c>
      <c r="E1290" s="33">
        <v>52.1</v>
      </c>
      <c r="F1290" s="26">
        <v>107.85</v>
      </c>
      <c r="G1290" s="19">
        <v>1011.97</v>
      </c>
      <c r="H1290" s="19">
        <v>463.48</v>
      </c>
      <c r="I1290" s="19">
        <v>250.21100000000001</v>
      </c>
      <c r="J1290" s="40">
        <v>6.25</v>
      </c>
      <c r="K1290" s="41">
        <v>16084</v>
      </c>
      <c r="L1290" s="24">
        <v>81.7</v>
      </c>
      <c r="M1290" s="19">
        <v>103.3</v>
      </c>
    </row>
    <row r="1291" spans="1:13" x14ac:dyDescent="0.75">
      <c r="A1291" t="s">
        <v>34</v>
      </c>
      <c r="B1291" s="18">
        <v>2024</v>
      </c>
      <c r="C1291" s="4">
        <v>6</v>
      </c>
      <c r="D1291">
        <v>0</v>
      </c>
      <c r="E1291" s="33">
        <v>50.7</v>
      </c>
      <c r="F1291" s="26">
        <v>108.02</v>
      </c>
      <c r="G1291" s="19">
        <v>859.25</v>
      </c>
      <c r="H1291" s="19">
        <v>338.14</v>
      </c>
      <c r="I1291" s="19">
        <v>429.03199999999998</v>
      </c>
      <c r="J1291" s="40">
        <v>6.25</v>
      </c>
      <c r="K1291" s="41">
        <v>16329</v>
      </c>
      <c r="L1291" s="24">
        <v>82.2</v>
      </c>
      <c r="M1291" s="19">
        <v>103.3</v>
      </c>
    </row>
    <row r="1292" spans="1:13" x14ac:dyDescent="0.75">
      <c r="A1292" t="s">
        <v>34</v>
      </c>
      <c r="B1292" s="18">
        <v>2024</v>
      </c>
      <c r="C1292" s="4">
        <v>7</v>
      </c>
      <c r="D1292">
        <v>4</v>
      </c>
      <c r="E1292" s="33">
        <v>49.3</v>
      </c>
      <c r="F1292" s="26">
        <v>107.96</v>
      </c>
      <c r="G1292" s="19">
        <v>886.5</v>
      </c>
      <c r="H1292" s="19">
        <v>381.54</v>
      </c>
      <c r="I1292" s="19">
        <v>452.22</v>
      </c>
      <c r="J1292" s="40">
        <v>6.25</v>
      </c>
      <c r="K1292" s="41">
        <v>16262</v>
      </c>
      <c r="L1292" s="24">
        <v>85.2</v>
      </c>
      <c r="M1292" s="19">
        <v>103.2</v>
      </c>
    </row>
    <row r="1293" spans="1:13" x14ac:dyDescent="0.75">
      <c r="A1293" t="s">
        <v>34</v>
      </c>
      <c r="B1293" s="18">
        <v>2024</v>
      </c>
      <c r="C1293" s="4">
        <v>8</v>
      </c>
      <c r="D1293">
        <v>4</v>
      </c>
      <c r="E1293" s="33">
        <v>48.9</v>
      </c>
      <c r="F1293" s="26">
        <v>108.05</v>
      </c>
      <c r="G1293" s="19">
        <v>812.94</v>
      </c>
      <c r="H1293" s="19">
        <v>320.91000000000003</v>
      </c>
      <c r="I1293" s="19">
        <v>464.637</v>
      </c>
      <c r="J1293" s="40">
        <v>6.25</v>
      </c>
      <c r="K1293" s="41">
        <v>15793</v>
      </c>
      <c r="L1293" s="24">
        <v>80.400000000000006</v>
      </c>
      <c r="M1293" s="19">
        <v>103.1</v>
      </c>
    </row>
    <row r="1294" spans="1:13" x14ac:dyDescent="0.75">
      <c r="A1294" t="s">
        <v>34</v>
      </c>
      <c r="B1294" s="18">
        <v>2024</v>
      </c>
      <c r="C1294" s="4">
        <v>9</v>
      </c>
      <c r="D1294">
        <v>15</v>
      </c>
      <c r="E1294" s="33">
        <v>49.2</v>
      </c>
      <c r="F1294" s="26">
        <v>108.66</v>
      </c>
      <c r="G1294" s="19">
        <v>931.52</v>
      </c>
      <c r="H1294" s="19">
        <v>407.03</v>
      </c>
      <c r="I1294" s="19">
        <v>513.22400000000005</v>
      </c>
      <c r="J1294" s="40">
        <v>6</v>
      </c>
      <c r="K1294" s="41">
        <v>15341</v>
      </c>
      <c r="L1294" s="24">
        <v>74</v>
      </c>
      <c r="M1294" s="19">
        <v>102.9</v>
      </c>
    </row>
    <row r="1295" spans="1:13" x14ac:dyDescent="0.75">
      <c r="A1295" t="s">
        <v>34</v>
      </c>
      <c r="B1295" s="18">
        <v>2024</v>
      </c>
      <c r="C1295" s="4">
        <v>10</v>
      </c>
      <c r="D1295">
        <v>15</v>
      </c>
      <c r="E1295" s="33">
        <v>49.2</v>
      </c>
      <c r="F1295" s="26">
        <v>107.52</v>
      </c>
      <c r="G1295" s="19">
        <v>878.52</v>
      </c>
      <c r="H1295" s="19">
        <v>449.93</v>
      </c>
      <c r="I1295" s="19">
        <v>425.60700000000003</v>
      </c>
      <c r="J1295" s="40">
        <v>6</v>
      </c>
      <c r="K1295" s="41">
        <v>15541</v>
      </c>
      <c r="L1295" s="24">
        <v>75.599999999999994</v>
      </c>
      <c r="M1295" s="19">
        <v>102.8</v>
      </c>
    </row>
    <row r="1296" spans="1:13" x14ac:dyDescent="0.75">
      <c r="A1296" t="s">
        <v>34</v>
      </c>
      <c r="B1296" s="18">
        <v>2024</v>
      </c>
      <c r="C1296" s="4">
        <v>11</v>
      </c>
      <c r="D1296">
        <v>15</v>
      </c>
      <c r="E1296" s="33">
        <v>49.6</v>
      </c>
      <c r="F1296" s="26">
        <v>107.98</v>
      </c>
      <c r="G1296" s="19">
        <v>1485</v>
      </c>
      <c r="H1296" s="19">
        <v>397.95</v>
      </c>
      <c r="I1296" s="19">
        <v>381.67099999999999</v>
      </c>
      <c r="J1296" s="40">
        <v>6</v>
      </c>
      <c r="K1296" s="41">
        <v>15812</v>
      </c>
      <c r="L1296" s="24">
        <v>74.3</v>
      </c>
      <c r="M1296" s="19">
        <v>103</v>
      </c>
    </row>
    <row r="1297" spans="1:13" x14ac:dyDescent="0.75">
      <c r="A1297" t="s">
        <v>34</v>
      </c>
      <c r="B1297" s="18">
        <v>2024</v>
      </c>
      <c r="C1297" s="4">
        <v>12</v>
      </c>
      <c r="D1297">
        <v>17</v>
      </c>
      <c r="E1297" s="33">
        <v>51.2</v>
      </c>
      <c r="F1297" s="26">
        <v>108.31</v>
      </c>
      <c r="G1297" s="19">
        <v>1103.76</v>
      </c>
      <c r="H1297" s="19">
        <v>378.59</v>
      </c>
      <c r="I1297" s="19">
        <v>361.95</v>
      </c>
      <c r="J1297" s="40">
        <v>6</v>
      </c>
      <c r="K1297" s="41">
        <v>16024</v>
      </c>
      <c r="L1297" s="24">
        <v>73.900000000000006</v>
      </c>
      <c r="M1297" s="19">
        <v>103.4</v>
      </c>
    </row>
    <row r="1298" spans="1:13" x14ac:dyDescent="0.75">
      <c r="A1298" t="s">
        <v>35</v>
      </c>
      <c r="B1298" s="18">
        <v>2024</v>
      </c>
      <c r="C1298" s="4">
        <v>1</v>
      </c>
      <c r="D1298">
        <v>0</v>
      </c>
      <c r="E1298" s="33">
        <v>52.9</v>
      </c>
      <c r="F1298" s="29">
        <v>105.94</v>
      </c>
      <c r="G1298" s="3"/>
      <c r="H1298" s="36"/>
      <c r="I1298" s="19">
        <v>449.92</v>
      </c>
      <c r="J1298" s="40">
        <v>6</v>
      </c>
      <c r="K1298" s="41">
        <v>15611</v>
      </c>
      <c r="L1298" s="24">
        <v>80.099999999999994</v>
      </c>
      <c r="M1298" s="33">
        <v>102.1</v>
      </c>
    </row>
    <row r="1299" spans="1:13" x14ac:dyDescent="0.75">
      <c r="A1299" t="s">
        <v>35</v>
      </c>
      <c r="B1299" s="18">
        <v>2024</v>
      </c>
      <c r="C1299" s="4">
        <v>2</v>
      </c>
      <c r="D1299">
        <v>0</v>
      </c>
      <c r="E1299" s="33">
        <v>52.7</v>
      </c>
      <c r="F1299" s="29">
        <v>106.08</v>
      </c>
      <c r="G1299" s="3"/>
      <c r="H1299">
        <v>1.45</v>
      </c>
      <c r="I1299" s="19">
        <v>446.66500000000002</v>
      </c>
      <c r="J1299" s="40">
        <v>6</v>
      </c>
      <c r="K1299" s="41">
        <v>15665</v>
      </c>
      <c r="L1299" s="24">
        <v>83.5</v>
      </c>
      <c r="M1299" s="33">
        <v>103</v>
      </c>
    </row>
    <row r="1300" spans="1:13" x14ac:dyDescent="0.75">
      <c r="A1300" t="s">
        <v>35</v>
      </c>
      <c r="B1300" s="18">
        <v>2024</v>
      </c>
      <c r="C1300" s="4">
        <v>3</v>
      </c>
      <c r="D1300">
        <v>0</v>
      </c>
      <c r="E1300" s="33">
        <v>54.2</v>
      </c>
      <c r="F1300" s="29">
        <v>106.61</v>
      </c>
      <c r="G1300" s="3"/>
      <c r="H1300">
        <v>6.29</v>
      </c>
      <c r="I1300" s="19">
        <v>456.26400000000001</v>
      </c>
      <c r="J1300" s="40">
        <v>6</v>
      </c>
      <c r="K1300" s="41">
        <v>15703</v>
      </c>
      <c r="L1300" s="24">
        <v>85.4</v>
      </c>
      <c r="M1300" s="33">
        <v>103.5</v>
      </c>
    </row>
    <row r="1301" spans="1:13" x14ac:dyDescent="0.75">
      <c r="A1301" t="s">
        <v>35</v>
      </c>
      <c r="B1301" s="18">
        <v>2024</v>
      </c>
      <c r="C1301" s="4">
        <v>4</v>
      </c>
      <c r="D1301">
        <v>0</v>
      </c>
      <c r="E1301" s="33">
        <v>52.9</v>
      </c>
      <c r="F1301" s="29">
        <v>106.79</v>
      </c>
      <c r="G1301" s="3"/>
      <c r="H1301" s="36"/>
      <c r="I1301" s="19">
        <v>493.57</v>
      </c>
      <c r="J1301" s="40">
        <v>6.25</v>
      </c>
      <c r="K1301" s="41">
        <v>16100</v>
      </c>
      <c r="L1301" s="24">
        <v>89.9</v>
      </c>
      <c r="M1301" s="33">
        <v>103.4</v>
      </c>
    </row>
    <row r="1302" spans="1:13" x14ac:dyDescent="0.75">
      <c r="A1302" t="s">
        <v>35</v>
      </c>
      <c r="B1302" s="18">
        <v>2024</v>
      </c>
      <c r="C1302" s="4">
        <v>5</v>
      </c>
      <c r="D1302">
        <v>0</v>
      </c>
      <c r="E1302" s="33">
        <v>52.1</v>
      </c>
      <c r="F1302" s="29">
        <v>108.23</v>
      </c>
      <c r="G1302" s="3"/>
      <c r="H1302" s="36"/>
      <c r="I1302" s="19">
        <v>501.24099999999999</v>
      </c>
      <c r="J1302" s="40">
        <v>6.25</v>
      </c>
      <c r="K1302" s="41">
        <v>16084</v>
      </c>
      <c r="L1302" s="24">
        <v>81.7</v>
      </c>
      <c r="M1302" s="19">
        <v>103.3</v>
      </c>
    </row>
    <row r="1303" spans="1:13" x14ac:dyDescent="0.75">
      <c r="A1303" t="s">
        <v>35</v>
      </c>
      <c r="B1303" s="18">
        <v>2024</v>
      </c>
      <c r="C1303" s="4">
        <v>6</v>
      </c>
      <c r="D1303">
        <v>0</v>
      </c>
      <c r="E1303" s="33">
        <v>50.7</v>
      </c>
      <c r="F1303" s="29">
        <v>107.94</v>
      </c>
      <c r="G1303" s="3"/>
      <c r="H1303">
        <v>0</v>
      </c>
      <c r="I1303" s="19">
        <v>505.65</v>
      </c>
      <c r="J1303" s="40">
        <v>6.25</v>
      </c>
      <c r="K1303" s="41">
        <v>16329</v>
      </c>
      <c r="L1303" s="24">
        <v>82.2</v>
      </c>
      <c r="M1303" s="19">
        <v>103.3</v>
      </c>
    </row>
    <row r="1304" spans="1:13" x14ac:dyDescent="0.75">
      <c r="A1304" t="s">
        <v>35</v>
      </c>
      <c r="B1304" s="18">
        <v>2024</v>
      </c>
      <c r="C1304" s="4">
        <v>7</v>
      </c>
      <c r="D1304">
        <v>0</v>
      </c>
      <c r="E1304" s="33">
        <v>49.3</v>
      </c>
      <c r="F1304" s="29">
        <v>108.08</v>
      </c>
      <c r="G1304" s="3"/>
      <c r="H1304">
        <v>6.45</v>
      </c>
      <c r="I1304" s="19">
        <v>491.17099999999999</v>
      </c>
      <c r="J1304" s="40">
        <v>6.25</v>
      </c>
      <c r="K1304" s="41">
        <v>16262</v>
      </c>
      <c r="L1304" s="24">
        <v>85.2</v>
      </c>
      <c r="M1304" s="19">
        <v>103.2</v>
      </c>
    </row>
    <row r="1305" spans="1:13" x14ac:dyDescent="0.75">
      <c r="A1305" t="s">
        <v>35</v>
      </c>
      <c r="B1305" s="18">
        <v>2024</v>
      </c>
      <c r="C1305" s="4">
        <v>8</v>
      </c>
      <c r="D1305">
        <v>0</v>
      </c>
      <c r="E1305" s="33">
        <v>48.9</v>
      </c>
      <c r="F1305" s="29">
        <v>108.41</v>
      </c>
      <c r="G1305" s="3"/>
      <c r="H1305" s="36"/>
      <c r="I1305" s="19">
        <v>490.08100000000002</v>
      </c>
      <c r="J1305" s="40">
        <v>6.25</v>
      </c>
      <c r="K1305" s="41">
        <v>15793</v>
      </c>
      <c r="L1305" s="24">
        <v>80.400000000000006</v>
      </c>
      <c r="M1305" s="19">
        <v>103.1</v>
      </c>
    </row>
    <row r="1306" spans="1:13" x14ac:dyDescent="0.75">
      <c r="A1306" t="s">
        <v>35</v>
      </c>
      <c r="B1306" s="18">
        <v>2024</v>
      </c>
      <c r="C1306" s="4">
        <v>9</v>
      </c>
      <c r="D1306">
        <v>0</v>
      </c>
      <c r="E1306" s="33">
        <v>49.2</v>
      </c>
      <c r="F1306" s="29">
        <v>107.41</v>
      </c>
      <c r="G1306" s="3"/>
      <c r="H1306">
        <v>0.45</v>
      </c>
      <c r="I1306" s="19">
        <v>503.57600000000002</v>
      </c>
      <c r="J1306" s="40">
        <v>6</v>
      </c>
      <c r="K1306" s="41">
        <v>15341</v>
      </c>
      <c r="L1306" s="24">
        <v>74</v>
      </c>
      <c r="M1306" s="19">
        <v>102.9</v>
      </c>
    </row>
    <row r="1307" spans="1:13" x14ac:dyDescent="0.75">
      <c r="A1307" t="s">
        <v>35</v>
      </c>
      <c r="B1307" s="18">
        <v>2024</v>
      </c>
      <c r="C1307" s="4">
        <v>10</v>
      </c>
      <c r="D1307">
        <v>0</v>
      </c>
      <c r="E1307" s="33">
        <v>49.2</v>
      </c>
      <c r="F1307" s="29">
        <v>106.78</v>
      </c>
      <c r="G1307" s="3"/>
      <c r="H1307" s="37"/>
      <c r="I1307" s="19">
        <v>514.05899999999997</v>
      </c>
      <c r="J1307" s="40">
        <v>6</v>
      </c>
      <c r="K1307" s="41">
        <v>15541</v>
      </c>
      <c r="L1307" s="24">
        <v>75.599999999999994</v>
      </c>
      <c r="M1307" s="19">
        <v>102.8</v>
      </c>
    </row>
    <row r="1308" spans="1:13" x14ac:dyDescent="0.75">
      <c r="A1308" t="s">
        <v>35</v>
      </c>
      <c r="B1308" s="18">
        <v>2024</v>
      </c>
      <c r="C1308" s="4">
        <v>11</v>
      </c>
      <c r="D1308">
        <v>0</v>
      </c>
      <c r="E1308" s="33">
        <v>49.6</v>
      </c>
      <c r="F1308" s="29">
        <v>107.57</v>
      </c>
      <c r="G1308" s="3"/>
      <c r="H1308" s="37"/>
      <c r="I1308" s="19">
        <v>517.43700000000001</v>
      </c>
      <c r="J1308" s="40">
        <v>6</v>
      </c>
      <c r="K1308" s="41">
        <v>15812</v>
      </c>
      <c r="L1308" s="24">
        <v>74.3</v>
      </c>
      <c r="M1308" s="19">
        <v>103</v>
      </c>
    </row>
    <row r="1309" spans="1:13" x14ac:dyDescent="0.75">
      <c r="A1309" t="s">
        <v>35</v>
      </c>
      <c r="B1309" s="18">
        <v>2024</v>
      </c>
      <c r="C1309" s="4">
        <v>12</v>
      </c>
      <c r="D1309">
        <v>0</v>
      </c>
      <c r="E1309" s="33">
        <v>51.2</v>
      </c>
      <c r="F1309" s="29">
        <v>107.94</v>
      </c>
      <c r="G1309" s="3"/>
      <c r="H1309" s="37"/>
      <c r="I1309" s="19">
        <v>463.35899999999998</v>
      </c>
      <c r="J1309" s="40">
        <v>6</v>
      </c>
      <c r="K1309" s="41">
        <v>16024</v>
      </c>
      <c r="L1309" s="24">
        <v>73.900000000000006</v>
      </c>
      <c r="M1309" s="19">
        <v>103.4</v>
      </c>
    </row>
    <row r="1310" spans="1:13" x14ac:dyDescent="0.75">
      <c r="A1310" t="s">
        <v>36</v>
      </c>
      <c r="B1310" s="18">
        <v>2024</v>
      </c>
      <c r="C1310" s="4">
        <v>1</v>
      </c>
      <c r="D1310" t="s">
        <v>58</v>
      </c>
      <c r="E1310" s="33">
        <v>52.9</v>
      </c>
      <c r="F1310" s="19">
        <v>103.55</v>
      </c>
      <c r="G1310" s="36"/>
      <c r="H1310" s="3">
        <v>0.76</v>
      </c>
      <c r="I1310" s="3"/>
      <c r="J1310" s="40">
        <v>6</v>
      </c>
      <c r="K1310" s="41">
        <v>15611</v>
      </c>
      <c r="L1310" s="24">
        <v>80.099999999999994</v>
      </c>
      <c r="M1310" s="33">
        <v>102.1</v>
      </c>
    </row>
    <row r="1311" spans="1:13" x14ac:dyDescent="0.75">
      <c r="A1311" t="s">
        <v>36</v>
      </c>
      <c r="B1311" s="18">
        <v>2024</v>
      </c>
      <c r="C1311" s="4">
        <v>2</v>
      </c>
      <c r="D1311" t="s">
        <v>58</v>
      </c>
      <c r="E1311" s="33">
        <v>52.7</v>
      </c>
      <c r="F1311" s="19">
        <v>103.44</v>
      </c>
      <c r="H1311" s="3"/>
      <c r="I1311" s="3"/>
      <c r="J1311" s="40">
        <v>6</v>
      </c>
      <c r="K1311" s="41">
        <v>15665</v>
      </c>
      <c r="L1311" s="24">
        <v>83.5</v>
      </c>
      <c r="M1311" s="33">
        <v>103</v>
      </c>
    </row>
    <row r="1312" spans="1:13" x14ac:dyDescent="0.75">
      <c r="A1312" t="s">
        <v>36</v>
      </c>
      <c r="B1312" s="18">
        <v>2024</v>
      </c>
      <c r="C1312" s="4">
        <v>3</v>
      </c>
      <c r="D1312" t="s">
        <v>58</v>
      </c>
      <c r="E1312" s="33">
        <v>54.2</v>
      </c>
      <c r="F1312" s="19">
        <v>103.82</v>
      </c>
      <c r="H1312" s="3"/>
      <c r="I1312" s="3"/>
      <c r="J1312" s="40">
        <v>6</v>
      </c>
      <c r="K1312" s="41">
        <v>15703</v>
      </c>
      <c r="L1312" s="24">
        <v>85.4</v>
      </c>
      <c r="M1312" s="33">
        <v>103.5</v>
      </c>
    </row>
    <row r="1313" spans="1:13" x14ac:dyDescent="0.75">
      <c r="A1313" t="s">
        <v>36</v>
      </c>
      <c r="B1313" s="18">
        <v>2024</v>
      </c>
      <c r="C1313" s="4">
        <v>4</v>
      </c>
      <c r="D1313" t="s">
        <v>58</v>
      </c>
      <c r="E1313" s="33">
        <v>52.9</v>
      </c>
      <c r="F1313" s="19">
        <v>104.58</v>
      </c>
      <c r="G1313" s="36"/>
      <c r="H1313" s="3"/>
      <c r="I1313" s="3"/>
      <c r="J1313" s="40">
        <v>6.25</v>
      </c>
      <c r="K1313" s="41">
        <v>16100</v>
      </c>
      <c r="L1313" s="24">
        <v>89.9</v>
      </c>
      <c r="M1313" s="33">
        <v>103.4</v>
      </c>
    </row>
    <row r="1314" spans="1:13" x14ac:dyDescent="0.75">
      <c r="A1314" t="s">
        <v>36</v>
      </c>
      <c r="B1314" s="18">
        <v>2024</v>
      </c>
      <c r="C1314" s="4">
        <v>5</v>
      </c>
      <c r="D1314" t="s">
        <v>58</v>
      </c>
      <c r="E1314" s="33">
        <v>52.1</v>
      </c>
      <c r="F1314" s="19">
        <v>104.67</v>
      </c>
      <c r="G1314" s="36"/>
      <c r="H1314" s="3">
        <v>4.37</v>
      </c>
      <c r="I1314" s="3"/>
      <c r="J1314" s="40">
        <v>6.25</v>
      </c>
      <c r="K1314" s="41">
        <v>16084</v>
      </c>
      <c r="L1314" s="24">
        <v>81.7</v>
      </c>
      <c r="M1314" s="19">
        <v>103.3</v>
      </c>
    </row>
    <row r="1315" spans="1:13" x14ac:dyDescent="0.75">
      <c r="A1315" t="s">
        <v>36</v>
      </c>
      <c r="B1315" s="18">
        <v>2024</v>
      </c>
      <c r="C1315" s="4">
        <v>6</v>
      </c>
      <c r="D1315" t="s">
        <v>58</v>
      </c>
      <c r="E1315" s="33">
        <v>50.7</v>
      </c>
      <c r="F1315" s="19">
        <v>104.97</v>
      </c>
      <c r="H1315" s="3"/>
      <c r="I1315" s="3"/>
      <c r="J1315" s="40">
        <v>6.25</v>
      </c>
      <c r="K1315" s="41">
        <v>16329</v>
      </c>
      <c r="L1315" s="24">
        <v>82.2</v>
      </c>
      <c r="M1315" s="19">
        <v>103.3</v>
      </c>
    </row>
    <row r="1316" spans="1:13" x14ac:dyDescent="0.75">
      <c r="A1316" t="s">
        <v>36</v>
      </c>
      <c r="B1316" s="18">
        <v>2024</v>
      </c>
      <c r="C1316" s="4">
        <v>7</v>
      </c>
      <c r="D1316" t="s">
        <v>58</v>
      </c>
      <c r="E1316" s="33">
        <v>49.3</v>
      </c>
      <c r="F1316" s="19">
        <v>105.23</v>
      </c>
      <c r="H1316" s="3">
        <v>0.93</v>
      </c>
      <c r="I1316" s="3"/>
      <c r="J1316" s="40">
        <v>6.25</v>
      </c>
      <c r="K1316" s="41">
        <v>16262</v>
      </c>
      <c r="L1316" s="24">
        <v>85.2</v>
      </c>
      <c r="M1316" s="19">
        <v>103.2</v>
      </c>
    </row>
    <row r="1317" spans="1:13" x14ac:dyDescent="0.75">
      <c r="A1317" t="s">
        <v>36</v>
      </c>
      <c r="B1317" s="18">
        <v>2024</v>
      </c>
      <c r="C1317" s="4">
        <v>8</v>
      </c>
      <c r="D1317" t="s">
        <v>58</v>
      </c>
      <c r="E1317" s="33">
        <v>48.9</v>
      </c>
      <c r="F1317" s="19">
        <v>105.18</v>
      </c>
      <c r="G1317" s="36"/>
      <c r="H1317" s="3">
        <v>14.02</v>
      </c>
      <c r="I1317" s="3"/>
      <c r="J1317" s="40">
        <v>6.25</v>
      </c>
      <c r="K1317" s="41">
        <v>15793</v>
      </c>
      <c r="L1317" s="24">
        <v>80.400000000000006</v>
      </c>
      <c r="M1317" s="19">
        <v>103.1</v>
      </c>
    </row>
    <row r="1318" spans="1:13" x14ac:dyDescent="0.75">
      <c r="A1318" t="s">
        <v>36</v>
      </c>
      <c r="B1318" s="18">
        <v>2024</v>
      </c>
      <c r="C1318" s="4">
        <v>9</v>
      </c>
      <c r="D1318" t="s">
        <v>58</v>
      </c>
      <c r="E1318" s="33">
        <v>49.2</v>
      </c>
      <c r="F1318" s="19">
        <v>105.67</v>
      </c>
      <c r="H1318" s="3">
        <v>2.7</v>
      </c>
      <c r="I1318" s="3"/>
      <c r="J1318" s="40">
        <v>6</v>
      </c>
      <c r="K1318" s="41">
        <v>15341</v>
      </c>
      <c r="L1318" s="24">
        <v>74</v>
      </c>
      <c r="M1318" s="19">
        <v>102.9</v>
      </c>
    </row>
    <row r="1319" spans="1:13" x14ac:dyDescent="0.75">
      <c r="A1319" t="s">
        <v>36</v>
      </c>
      <c r="B1319" s="18">
        <v>2024</v>
      </c>
      <c r="C1319" s="4">
        <v>10</v>
      </c>
      <c r="D1319" t="s">
        <v>58</v>
      </c>
      <c r="E1319" s="33">
        <v>49.2</v>
      </c>
      <c r="F1319" s="19">
        <v>105.51</v>
      </c>
      <c r="G1319" s="37"/>
      <c r="H1319" s="3"/>
      <c r="I1319" s="3"/>
      <c r="J1319" s="40">
        <v>6</v>
      </c>
      <c r="K1319" s="41">
        <v>15541</v>
      </c>
      <c r="L1319" s="24">
        <v>75.599999999999994</v>
      </c>
      <c r="M1319" s="19">
        <v>102.8</v>
      </c>
    </row>
    <row r="1320" spans="1:13" x14ac:dyDescent="0.75">
      <c r="A1320" t="s">
        <v>36</v>
      </c>
      <c r="B1320" s="18">
        <v>2024</v>
      </c>
      <c r="C1320" s="4">
        <v>11</v>
      </c>
      <c r="D1320" t="s">
        <v>58</v>
      </c>
      <c r="E1320" s="33">
        <v>49.6</v>
      </c>
      <c r="F1320" s="19">
        <v>105.47</v>
      </c>
      <c r="G1320" s="37"/>
      <c r="H1320" s="3"/>
      <c r="I1320" s="3"/>
      <c r="J1320" s="40">
        <v>6</v>
      </c>
      <c r="K1320" s="41">
        <v>15812</v>
      </c>
      <c r="L1320" s="24">
        <v>74.3</v>
      </c>
      <c r="M1320" s="19">
        <v>103</v>
      </c>
    </row>
    <row r="1321" spans="1:13" x14ac:dyDescent="0.75">
      <c r="A1321" t="s">
        <v>36</v>
      </c>
      <c r="B1321" s="18">
        <v>2024</v>
      </c>
      <c r="C1321" s="4">
        <v>12</v>
      </c>
      <c r="D1321" t="s">
        <v>58</v>
      </c>
      <c r="E1321" s="33">
        <v>51.2</v>
      </c>
      <c r="F1321" s="19">
        <v>105.35</v>
      </c>
      <c r="G1321" s="37"/>
      <c r="H1321" s="3">
        <v>4.67</v>
      </c>
      <c r="I1321" s="3"/>
      <c r="J1321" s="40">
        <v>6</v>
      </c>
      <c r="K1321" s="41">
        <v>16024</v>
      </c>
      <c r="L1321" s="24">
        <v>73.900000000000006</v>
      </c>
      <c r="M1321" s="19">
        <v>103.4</v>
      </c>
    </row>
    <row r="1322" spans="1:13" x14ac:dyDescent="0.75">
      <c r="A1322" t="s">
        <v>37</v>
      </c>
      <c r="B1322" s="18">
        <v>2024</v>
      </c>
      <c r="C1322" s="4">
        <v>1</v>
      </c>
      <c r="D1322">
        <v>0</v>
      </c>
      <c r="E1322" s="33">
        <v>52.9</v>
      </c>
      <c r="F1322" s="29">
        <v>103.85</v>
      </c>
      <c r="G1322" s="3"/>
      <c r="H1322" s="3">
        <v>1.04</v>
      </c>
      <c r="I1322" s="19">
        <v>1041.492</v>
      </c>
      <c r="J1322" s="40">
        <v>6</v>
      </c>
      <c r="K1322" s="41">
        <v>15611</v>
      </c>
      <c r="L1322" s="24">
        <v>80.099999999999994</v>
      </c>
      <c r="M1322" s="33">
        <v>102.1</v>
      </c>
    </row>
    <row r="1323" spans="1:13" x14ac:dyDescent="0.75">
      <c r="A1323" t="s">
        <v>37</v>
      </c>
      <c r="B1323" s="18">
        <v>2024</v>
      </c>
      <c r="C1323" s="4">
        <v>2</v>
      </c>
      <c r="D1323">
        <v>0</v>
      </c>
      <c r="E1323" s="33">
        <v>52.7</v>
      </c>
      <c r="F1323" s="29">
        <v>103.09</v>
      </c>
      <c r="G1323" s="3"/>
      <c r="H1323" s="3">
        <v>0.08</v>
      </c>
      <c r="I1323" s="19">
        <v>1092.415</v>
      </c>
      <c r="J1323" s="40">
        <v>6</v>
      </c>
      <c r="K1323" s="41">
        <v>15665</v>
      </c>
      <c r="L1323" s="24">
        <v>83.5</v>
      </c>
      <c r="M1323" s="33">
        <v>103</v>
      </c>
    </row>
    <row r="1324" spans="1:13" x14ac:dyDescent="0.75">
      <c r="A1324" t="s">
        <v>37</v>
      </c>
      <c r="B1324" s="18">
        <v>2024</v>
      </c>
      <c r="C1324" s="4">
        <v>3</v>
      </c>
      <c r="D1324">
        <v>0</v>
      </c>
      <c r="E1324" s="33">
        <v>54.2</v>
      </c>
      <c r="F1324" s="29">
        <v>102.89</v>
      </c>
      <c r="G1324" s="3"/>
      <c r="H1324" s="3">
        <v>0.06</v>
      </c>
      <c r="I1324" s="19">
        <v>1088.9670000000001</v>
      </c>
      <c r="J1324" s="40">
        <v>6</v>
      </c>
      <c r="K1324" s="41">
        <v>15703</v>
      </c>
      <c r="L1324" s="24">
        <v>85.4</v>
      </c>
      <c r="M1324" s="33">
        <v>103.5</v>
      </c>
    </row>
    <row r="1325" spans="1:13" x14ac:dyDescent="0.75">
      <c r="A1325" t="s">
        <v>37</v>
      </c>
      <c r="B1325" s="18">
        <v>2024</v>
      </c>
      <c r="C1325" s="4">
        <v>4</v>
      </c>
      <c r="D1325">
        <v>0</v>
      </c>
      <c r="E1325" s="33">
        <v>52.9</v>
      </c>
      <c r="F1325" s="29">
        <v>104.12</v>
      </c>
      <c r="G1325" s="3"/>
      <c r="H1325" s="3">
        <v>0.03</v>
      </c>
      <c r="I1325" s="19">
        <v>1207.229</v>
      </c>
      <c r="J1325" s="40">
        <v>6.25</v>
      </c>
      <c r="K1325" s="41">
        <v>16100</v>
      </c>
      <c r="L1325" s="24">
        <v>89.9</v>
      </c>
      <c r="M1325" s="33">
        <v>103.4</v>
      </c>
    </row>
    <row r="1326" spans="1:13" x14ac:dyDescent="0.75">
      <c r="A1326" t="s">
        <v>37</v>
      </c>
      <c r="B1326" s="18">
        <v>2024</v>
      </c>
      <c r="C1326" s="4">
        <v>5</v>
      </c>
      <c r="D1326">
        <v>0</v>
      </c>
      <c r="E1326" s="33">
        <v>52.1</v>
      </c>
      <c r="F1326" s="29">
        <v>104.75</v>
      </c>
      <c r="G1326" s="3"/>
      <c r="H1326" s="3">
        <v>4.0999999999999996</v>
      </c>
      <c r="I1326" s="19">
        <v>1239.6880000000001</v>
      </c>
      <c r="J1326" s="40">
        <v>6.25</v>
      </c>
      <c r="K1326" s="41">
        <v>16084</v>
      </c>
      <c r="L1326" s="24">
        <v>81.7</v>
      </c>
      <c r="M1326" s="19">
        <v>103.3</v>
      </c>
    </row>
    <row r="1327" spans="1:13" x14ac:dyDescent="0.75">
      <c r="A1327" t="s">
        <v>37</v>
      </c>
      <c r="B1327" s="18">
        <v>2024</v>
      </c>
      <c r="C1327" s="4">
        <v>6</v>
      </c>
      <c r="D1327">
        <v>0</v>
      </c>
      <c r="E1327" s="33">
        <v>50.7</v>
      </c>
      <c r="F1327" s="29">
        <v>105.12</v>
      </c>
      <c r="G1327" s="3"/>
      <c r="H1327" s="3">
        <v>0.04</v>
      </c>
      <c r="I1327" s="19">
        <v>1103.962</v>
      </c>
      <c r="J1327" s="40">
        <v>6.25</v>
      </c>
      <c r="K1327" s="41">
        <v>16329</v>
      </c>
      <c r="L1327" s="24">
        <v>82.2</v>
      </c>
      <c r="M1327" s="19">
        <v>103.3</v>
      </c>
    </row>
    <row r="1328" spans="1:13" x14ac:dyDescent="0.75">
      <c r="A1328" t="s">
        <v>37</v>
      </c>
      <c r="B1328" s="18">
        <v>2024</v>
      </c>
      <c r="C1328" s="4">
        <v>7</v>
      </c>
      <c r="D1328">
        <v>0</v>
      </c>
      <c r="E1328" s="33">
        <v>49.3</v>
      </c>
      <c r="F1328" s="29">
        <v>104.42</v>
      </c>
      <c r="G1328" s="3"/>
      <c r="H1328" s="3">
        <v>0.96</v>
      </c>
      <c r="I1328" s="19">
        <v>1090.5039999999999</v>
      </c>
      <c r="J1328" s="40">
        <v>6.25</v>
      </c>
      <c r="K1328" s="41">
        <v>16262</v>
      </c>
      <c r="L1328" s="24">
        <v>85.2</v>
      </c>
      <c r="M1328" s="19">
        <v>103.2</v>
      </c>
    </row>
    <row r="1329" spans="1:13" x14ac:dyDescent="0.75">
      <c r="A1329" t="s">
        <v>37</v>
      </c>
      <c r="B1329" s="18">
        <v>2024</v>
      </c>
      <c r="C1329" s="4">
        <v>8</v>
      </c>
      <c r="D1329">
        <v>0</v>
      </c>
      <c r="E1329" s="33">
        <v>48.9</v>
      </c>
      <c r="F1329" s="29">
        <v>104.34</v>
      </c>
      <c r="G1329" s="3"/>
      <c r="H1329" s="3">
        <v>0.04</v>
      </c>
      <c r="I1329" s="19">
        <v>1134.1410000000001</v>
      </c>
      <c r="J1329" s="40">
        <v>6.25</v>
      </c>
      <c r="K1329" s="41">
        <v>15793</v>
      </c>
      <c r="L1329" s="24">
        <v>80.400000000000006</v>
      </c>
      <c r="M1329" s="19">
        <v>103.1</v>
      </c>
    </row>
    <row r="1330" spans="1:13" x14ac:dyDescent="0.75">
      <c r="A1330" t="s">
        <v>37</v>
      </c>
      <c r="B1330" s="18">
        <v>2024</v>
      </c>
      <c r="C1330" s="4">
        <v>9</v>
      </c>
      <c r="D1330">
        <v>0</v>
      </c>
      <c r="E1330" s="33">
        <v>49.2</v>
      </c>
      <c r="F1330" s="29">
        <v>103.91</v>
      </c>
      <c r="G1330" s="3"/>
      <c r="H1330" s="3">
        <v>0.04</v>
      </c>
      <c r="I1330" s="19">
        <v>1096.068</v>
      </c>
      <c r="J1330" s="40">
        <v>6</v>
      </c>
      <c r="K1330" s="41">
        <v>15341</v>
      </c>
      <c r="L1330" s="24">
        <v>74</v>
      </c>
      <c r="M1330" s="19">
        <v>102.9</v>
      </c>
    </row>
    <row r="1331" spans="1:13" x14ac:dyDescent="0.75">
      <c r="A1331" t="s">
        <v>37</v>
      </c>
      <c r="B1331" s="18">
        <v>2024</v>
      </c>
      <c r="C1331" s="4">
        <v>10</v>
      </c>
      <c r="D1331">
        <v>0</v>
      </c>
      <c r="E1331" s="33">
        <v>49.2</v>
      </c>
      <c r="F1331" s="29">
        <v>104.14</v>
      </c>
      <c r="G1331" s="3"/>
      <c r="H1331" s="3">
        <v>0.01</v>
      </c>
      <c r="I1331" s="19">
        <v>1119.307</v>
      </c>
      <c r="J1331" s="40">
        <v>6</v>
      </c>
      <c r="K1331" s="41">
        <v>15541</v>
      </c>
      <c r="L1331" s="24">
        <v>75.599999999999994</v>
      </c>
      <c r="M1331" s="19">
        <v>102.8</v>
      </c>
    </row>
    <row r="1332" spans="1:13" x14ac:dyDescent="0.75">
      <c r="A1332" t="s">
        <v>37</v>
      </c>
      <c r="B1332" s="18">
        <v>2024</v>
      </c>
      <c r="C1332" s="4">
        <v>11</v>
      </c>
      <c r="D1332">
        <v>0</v>
      </c>
      <c r="E1332" s="33">
        <v>49.6</v>
      </c>
      <c r="F1332" s="29">
        <v>105.61</v>
      </c>
      <c r="G1332" s="3"/>
      <c r="H1332" s="3">
        <v>0.02</v>
      </c>
      <c r="I1332" s="19">
        <v>1016.4690000000001</v>
      </c>
      <c r="J1332" s="40">
        <v>6</v>
      </c>
      <c r="K1332" s="41">
        <v>15812</v>
      </c>
      <c r="L1332" s="24">
        <v>74.3</v>
      </c>
      <c r="M1332" s="19">
        <v>103</v>
      </c>
    </row>
    <row r="1333" spans="1:13" x14ac:dyDescent="0.75">
      <c r="A1333" t="s">
        <v>37</v>
      </c>
      <c r="B1333" s="18">
        <v>2024</v>
      </c>
      <c r="C1333" s="4">
        <v>12</v>
      </c>
      <c r="D1333">
        <v>0</v>
      </c>
      <c r="E1333" s="33">
        <v>51.2</v>
      </c>
      <c r="F1333" s="29">
        <v>105.66</v>
      </c>
      <c r="G1333" s="3"/>
      <c r="H1333" s="3">
        <v>0.84</v>
      </c>
      <c r="I1333" s="19">
        <v>915.78</v>
      </c>
      <c r="J1333" s="40">
        <v>6</v>
      </c>
      <c r="K1333" s="41">
        <v>16024</v>
      </c>
      <c r="L1333" s="24">
        <v>73.900000000000006</v>
      </c>
      <c r="M1333" s="19">
        <v>103.4</v>
      </c>
    </row>
    <row r="1334" spans="1:13" x14ac:dyDescent="0.75">
      <c r="A1334" t="s">
        <v>38</v>
      </c>
      <c r="B1334" s="18">
        <v>2024</v>
      </c>
      <c r="C1334" s="4">
        <v>1</v>
      </c>
      <c r="D1334" t="s">
        <v>58</v>
      </c>
      <c r="E1334" s="33">
        <v>52.9</v>
      </c>
      <c r="F1334" s="29">
        <v>106.61</v>
      </c>
      <c r="G1334" s="3"/>
      <c r="H1334" s="3"/>
      <c r="I1334" s="3"/>
      <c r="J1334" s="40">
        <v>6</v>
      </c>
      <c r="K1334" s="41">
        <v>15611</v>
      </c>
      <c r="L1334" s="24">
        <v>80.099999999999994</v>
      </c>
      <c r="M1334" s="33">
        <v>102.1</v>
      </c>
    </row>
    <row r="1335" spans="1:13" x14ac:dyDescent="0.75">
      <c r="A1335" t="s">
        <v>38</v>
      </c>
      <c r="B1335" s="18">
        <v>2024</v>
      </c>
      <c r="C1335" s="4">
        <v>2</v>
      </c>
      <c r="D1335" t="s">
        <v>58</v>
      </c>
      <c r="E1335" s="33">
        <v>52.7</v>
      </c>
      <c r="F1335" s="29">
        <v>106.7</v>
      </c>
      <c r="G1335" s="3"/>
      <c r="H1335" s="3"/>
      <c r="I1335" s="3"/>
      <c r="J1335" s="40">
        <v>6</v>
      </c>
      <c r="K1335" s="41">
        <v>15665</v>
      </c>
      <c r="L1335" s="24">
        <v>83.5</v>
      </c>
      <c r="M1335" s="33">
        <v>103</v>
      </c>
    </row>
    <row r="1336" spans="1:13" x14ac:dyDescent="0.75">
      <c r="A1336" t="s">
        <v>38</v>
      </c>
      <c r="B1336" s="18">
        <v>2024</v>
      </c>
      <c r="C1336" s="4">
        <v>3</v>
      </c>
      <c r="D1336" t="s">
        <v>58</v>
      </c>
      <c r="E1336" s="33">
        <v>54.2</v>
      </c>
      <c r="F1336" s="29">
        <v>106.52</v>
      </c>
      <c r="G1336" s="3"/>
      <c r="H1336" s="3"/>
      <c r="I1336" s="3"/>
      <c r="J1336" s="40">
        <v>6</v>
      </c>
      <c r="K1336" s="41">
        <v>15703</v>
      </c>
      <c r="L1336" s="24">
        <v>85.4</v>
      </c>
      <c r="M1336" s="33">
        <v>103.5</v>
      </c>
    </row>
    <row r="1337" spans="1:13" x14ac:dyDescent="0.75">
      <c r="A1337" t="s">
        <v>38</v>
      </c>
      <c r="B1337" s="18">
        <v>2024</v>
      </c>
      <c r="C1337" s="4">
        <v>4</v>
      </c>
      <c r="D1337" t="s">
        <v>58</v>
      </c>
      <c r="E1337" s="33">
        <v>52.9</v>
      </c>
      <c r="F1337" s="29">
        <v>106.87</v>
      </c>
      <c r="G1337" s="3"/>
      <c r="H1337" s="3">
        <v>0</v>
      </c>
      <c r="I1337" s="3"/>
      <c r="J1337" s="40">
        <v>6.25</v>
      </c>
      <c r="K1337" s="41">
        <v>16100</v>
      </c>
      <c r="L1337" s="24">
        <v>89.9</v>
      </c>
      <c r="M1337" s="33">
        <v>103.4</v>
      </c>
    </row>
    <row r="1338" spans="1:13" x14ac:dyDescent="0.75">
      <c r="A1338" t="s">
        <v>38</v>
      </c>
      <c r="B1338" s="18">
        <v>2024</v>
      </c>
      <c r="C1338" s="4">
        <v>5</v>
      </c>
      <c r="D1338" t="s">
        <v>58</v>
      </c>
      <c r="E1338" s="33">
        <v>52.1</v>
      </c>
      <c r="F1338" s="29">
        <v>109.01</v>
      </c>
      <c r="G1338" s="3"/>
      <c r="H1338" s="3">
        <v>0</v>
      </c>
      <c r="I1338" s="3"/>
      <c r="J1338" s="40">
        <v>6.25</v>
      </c>
      <c r="K1338" s="41">
        <v>16084</v>
      </c>
      <c r="L1338" s="24">
        <v>81.7</v>
      </c>
      <c r="M1338" s="19">
        <v>103.3</v>
      </c>
    </row>
    <row r="1339" spans="1:13" x14ac:dyDescent="0.75">
      <c r="A1339" t="s">
        <v>38</v>
      </c>
      <c r="B1339" s="18">
        <v>2024</v>
      </c>
      <c r="C1339" s="4">
        <v>6</v>
      </c>
      <c r="D1339" t="s">
        <v>58</v>
      </c>
      <c r="E1339" s="33">
        <v>50.7</v>
      </c>
      <c r="F1339" s="29">
        <v>107.8</v>
      </c>
      <c r="G1339" s="3"/>
      <c r="H1339" s="3">
        <v>0</v>
      </c>
      <c r="I1339" s="3"/>
      <c r="J1339" s="40">
        <v>6.25</v>
      </c>
      <c r="K1339" s="41">
        <v>16329</v>
      </c>
      <c r="L1339" s="24">
        <v>82.2</v>
      </c>
      <c r="M1339" s="19">
        <v>103.3</v>
      </c>
    </row>
    <row r="1340" spans="1:13" x14ac:dyDescent="0.75">
      <c r="A1340" t="s">
        <v>38</v>
      </c>
      <c r="B1340" s="18">
        <v>2024</v>
      </c>
      <c r="C1340" s="4">
        <v>7</v>
      </c>
      <c r="D1340" t="s">
        <v>58</v>
      </c>
      <c r="E1340" s="33">
        <v>49.3</v>
      </c>
      <c r="F1340" s="29">
        <v>106.81</v>
      </c>
      <c r="G1340" s="3"/>
      <c r="H1340" s="3">
        <v>0</v>
      </c>
      <c r="I1340" s="3"/>
      <c r="J1340" s="40">
        <v>6.25</v>
      </c>
      <c r="K1340" s="41">
        <v>16262</v>
      </c>
      <c r="L1340" s="24">
        <v>85.2</v>
      </c>
      <c r="M1340" s="19">
        <v>103.2</v>
      </c>
    </row>
    <row r="1341" spans="1:13" x14ac:dyDescent="0.75">
      <c r="A1341" t="s">
        <v>38</v>
      </c>
      <c r="B1341" s="18">
        <v>2024</v>
      </c>
      <c r="C1341" s="4">
        <v>8</v>
      </c>
      <c r="D1341" t="s">
        <v>58</v>
      </c>
      <c r="E1341" s="33">
        <v>48.9</v>
      </c>
      <c r="F1341" s="29">
        <v>107.08</v>
      </c>
      <c r="G1341" s="3"/>
      <c r="H1341" s="3">
        <v>0.01</v>
      </c>
      <c r="I1341" s="3"/>
      <c r="J1341" s="40">
        <v>6.25</v>
      </c>
      <c r="K1341" s="41">
        <v>15793</v>
      </c>
      <c r="L1341" s="24">
        <v>80.400000000000006</v>
      </c>
      <c r="M1341" s="19">
        <v>103.1</v>
      </c>
    </row>
    <row r="1342" spans="1:13" x14ac:dyDescent="0.75">
      <c r="A1342" t="s">
        <v>38</v>
      </c>
      <c r="B1342" s="18">
        <v>2024</v>
      </c>
      <c r="C1342" s="4">
        <v>9</v>
      </c>
      <c r="D1342" t="s">
        <v>58</v>
      </c>
      <c r="E1342" s="33">
        <v>49.2</v>
      </c>
      <c r="F1342" s="29">
        <v>106.29</v>
      </c>
      <c r="G1342" s="3"/>
      <c r="H1342" s="3">
        <v>0.05</v>
      </c>
      <c r="I1342" s="3"/>
      <c r="J1342" s="40">
        <v>6</v>
      </c>
      <c r="K1342" s="41">
        <v>15341</v>
      </c>
      <c r="L1342" s="24">
        <v>74</v>
      </c>
      <c r="M1342" s="19">
        <v>102.9</v>
      </c>
    </row>
    <row r="1343" spans="1:13" x14ac:dyDescent="0.75">
      <c r="A1343" t="s">
        <v>38</v>
      </c>
      <c r="B1343" s="18">
        <v>2024</v>
      </c>
      <c r="C1343" s="4">
        <v>10</v>
      </c>
      <c r="D1343" t="s">
        <v>58</v>
      </c>
      <c r="E1343" s="33">
        <v>49.2</v>
      </c>
      <c r="F1343" s="29">
        <v>106.3</v>
      </c>
      <c r="G1343" s="3"/>
      <c r="H1343" s="3">
        <v>0</v>
      </c>
      <c r="I1343" s="3"/>
      <c r="J1343" s="40">
        <v>6</v>
      </c>
      <c r="K1343" s="41">
        <v>15541</v>
      </c>
      <c r="L1343" s="24">
        <v>75.599999999999994</v>
      </c>
      <c r="M1343" s="19">
        <v>102.8</v>
      </c>
    </row>
    <row r="1344" spans="1:13" x14ac:dyDescent="0.75">
      <c r="A1344" t="s">
        <v>38</v>
      </c>
      <c r="B1344" s="18">
        <v>2024</v>
      </c>
      <c r="C1344" s="4">
        <v>11</v>
      </c>
      <c r="D1344" t="s">
        <v>58</v>
      </c>
      <c r="E1344" s="33">
        <v>49.6</v>
      </c>
      <c r="F1344" s="29">
        <v>106.58</v>
      </c>
      <c r="G1344" s="3"/>
      <c r="H1344" s="3">
        <v>0</v>
      </c>
      <c r="I1344" s="3"/>
      <c r="J1344" s="40">
        <v>6</v>
      </c>
      <c r="K1344" s="41">
        <v>15812</v>
      </c>
      <c r="L1344" s="24">
        <v>74.3</v>
      </c>
      <c r="M1344" s="19">
        <v>103</v>
      </c>
    </row>
    <row r="1345" spans="1:13" x14ac:dyDescent="0.75">
      <c r="A1345" t="s">
        <v>38</v>
      </c>
      <c r="B1345" s="18">
        <v>2024</v>
      </c>
      <c r="C1345" s="4">
        <v>12</v>
      </c>
      <c r="D1345" t="s">
        <v>58</v>
      </c>
      <c r="E1345" s="33">
        <v>51.2</v>
      </c>
      <c r="F1345" s="29">
        <v>107.9</v>
      </c>
      <c r="G1345" s="3"/>
      <c r="H1345" s="3"/>
      <c r="I1345" s="3"/>
      <c r="J1345" s="40">
        <v>6</v>
      </c>
      <c r="K1345" s="41">
        <v>16024</v>
      </c>
      <c r="L1345" s="24">
        <v>73.900000000000006</v>
      </c>
      <c r="M1345" s="19">
        <v>103.4</v>
      </c>
    </row>
    <row r="1346" spans="1:13" x14ac:dyDescent="0.75">
      <c r="A1346" t="s">
        <v>39</v>
      </c>
      <c r="B1346" s="18">
        <v>2024</v>
      </c>
      <c r="C1346" s="4">
        <v>1</v>
      </c>
      <c r="D1346" t="s">
        <v>58</v>
      </c>
      <c r="E1346" s="33">
        <v>52.9</v>
      </c>
      <c r="F1346" s="26">
        <v>107.6</v>
      </c>
      <c r="G1346" s="3"/>
      <c r="H1346" s="3">
        <v>35.880000000000003</v>
      </c>
      <c r="I1346" s="3"/>
      <c r="J1346" s="40">
        <v>6</v>
      </c>
      <c r="K1346" s="41">
        <v>15611</v>
      </c>
      <c r="L1346" s="24">
        <v>80.099999999999994</v>
      </c>
      <c r="M1346" s="33">
        <v>102.1</v>
      </c>
    </row>
    <row r="1347" spans="1:13" x14ac:dyDescent="0.75">
      <c r="A1347" t="s">
        <v>39</v>
      </c>
      <c r="B1347" s="18">
        <v>2024</v>
      </c>
      <c r="C1347" s="4">
        <v>2</v>
      </c>
      <c r="D1347" t="s">
        <v>58</v>
      </c>
      <c r="E1347" s="33">
        <v>52.7</v>
      </c>
      <c r="F1347" s="26">
        <v>106.34</v>
      </c>
      <c r="G1347" s="3"/>
      <c r="H1347" s="3">
        <v>38.46</v>
      </c>
      <c r="I1347" s="3"/>
      <c r="J1347" s="40">
        <v>6</v>
      </c>
      <c r="K1347" s="41">
        <v>15665</v>
      </c>
      <c r="L1347" s="24">
        <v>83.5</v>
      </c>
      <c r="M1347" s="33">
        <v>103</v>
      </c>
    </row>
    <row r="1348" spans="1:13" x14ac:dyDescent="0.75">
      <c r="A1348" t="s">
        <v>39</v>
      </c>
      <c r="B1348" s="18">
        <v>2024</v>
      </c>
      <c r="C1348" s="4">
        <v>3</v>
      </c>
      <c r="D1348" t="s">
        <v>58</v>
      </c>
      <c r="E1348" s="33">
        <v>54.2</v>
      </c>
      <c r="F1348" s="26">
        <v>107.41</v>
      </c>
      <c r="G1348" s="3"/>
      <c r="H1348" s="3">
        <v>31.11</v>
      </c>
      <c r="I1348" s="3"/>
      <c r="J1348" s="40">
        <v>6</v>
      </c>
      <c r="K1348" s="41">
        <v>15703</v>
      </c>
      <c r="L1348" s="24">
        <v>85.4</v>
      </c>
      <c r="M1348" s="33">
        <v>103.5</v>
      </c>
    </row>
    <row r="1349" spans="1:13" x14ac:dyDescent="0.75">
      <c r="A1349" t="s">
        <v>39</v>
      </c>
      <c r="B1349" s="18">
        <v>2024</v>
      </c>
      <c r="C1349" s="4">
        <v>4</v>
      </c>
      <c r="D1349" t="s">
        <v>58</v>
      </c>
      <c r="E1349" s="33">
        <v>52.9</v>
      </c>
      <c r="F1349" s="26">
        <v>108.7</v>
      </c>
      <c r="G1349" s="3"/>
      <c r="H1349" s="3">
        <v>45.92</v>
      </c>
      <c r="I1349" s="3"/>
      <c r="J1349" s="40">
        <v>6.25</v>
      </c>
      <c r="K1349" s="41">
        <v>16100</v>
      </c>
      <c r="L1349" s="24">
        <v>89.9</v>
      </c>
      <c r="M1349" s="33">
        <v>103.4</v>
      </c>
    </row>
    <row r="1350" spans="1:13" x14ac:dyDescent="0.75">
      <c r="A1350" t="s">
        <v>39</v>
      </c>
      <c r="B1350" s="18">
        <v>2024</v>
      </c>
      <c r="C1350" s="4">
        <v>5</v>
      </c>
      <c r="D1350" t="s">
        <v>58</v>
      </c>
      <c r="E1350" s="33">
        <v>52.1</v>
      </c>
      <c r="F1350" s="26">
        <v>110.25</v>
      </c>
      <c r="G1350" s="3"/>
      <c r="H1350" s="3">
        <v>46.13</v>
      </c>
      <c r="I1350" s="3"/>
      <c r="J1350" s="40">
        <v>6.25</v>
      </c>
      <c r="K1350" s="41">
        <v>16084</v>
      </c>
      <c r="L1350" s="24">
        <v>81.7</v>
      </c>
      <c r="M1350" s="19">
        <v>103.3</v>
      </c>
    </row>
    <row r="1351" spans="1:13" x14ac:dyDescent="0.75">
      <c r="A1351" t="s">
        <v>39</v>
      </c>
      <c r="B1351" s="18">
        <v>2024</v>
      </c>
      <c r="C1351" s="4">
        <v>6</v>
      </c>
      <c r="D1351" t="s">
        <v>58</v>
      </c>
      <c r="E1351" s="33">
        <v>50.7</v>
      </c>
      <c r="F1351" s="26">
        <v>110.06</v>
      </c>
      <c r="G1351" s="3"/>
      <c r="H1351" s="3">
        <v>20.32</v>
      </c>
      <c r="I1351" s="3"/>
      <c r="J1351" s="40">
        <v>6.25</v>
      </c>
      <c r="K1351" s="41">
        <v>16329</v>
      </c>
      <c r="L1351" s="24">
        <v>82.2</v>
      </c>
      <c r="M1351" s="19">
        <v>103.3</v>
      </c>
    </row>
    <row r="1352" spans="1:13" x14ac:dyDescent="0.75">
      <c r="A1352" t="s">
        <v>39</v>
      </c>
      <c r="B1352" s="18">
        <v>2024</v>
      </c>
      <c r="C1352" s="4">
        <v>7</v>
      </c>
      <c r="D1352" t="s">
        <v>58</v>
      </c>
      <c r="E1352" s="33">
        <v>49.3</v>
      </c>
      <c r="F1352" s="26">
        <v>110.19</v>
      </c>
      <c r="G1352" s="3"/>
      <c r="H1352" s="3">
        <v>22.21</v>
      </c>
      <c r="I1352" s="3"/>
      <c r="J1352" s="40">
        <v>6.25</v>
      </c>
      <c r="K1352" s="41">
        <v>16262</v>
      </c>
      <c r="L1352" s="24">
        <v>85.2</v>
      </c>
      <c r="M1352" s="19">
        <v>103.2</v>
      </c>
    </row>
    <row r="1353" spans="1:13" x14ac:dyDescent="0.75">
      <c r="A1353" t="s">
        <v>39</v>
      </c>
      <c r="B1353" s="18">
        <v>2024</v>
      </c>
      <c r="C1353" s="4">
        <v>8</v>
      </c>
      <c r="D1353" t="s">
        <v>58</v>
      </c>
      <c r="E1353" s="33">
        <v>48.9</v>
      </c>
      <c r="F1353" s="26">
        <v>109.93</v>
      </c>
      <c r="G1353" s="3"/>
      <c r="H1353" s="3">
        <v>73.180000000000007</v>
      </c>
      <c r="I1353" s="3"/>
      <c r="J1353" s="40">
        <v>6.25</v>
      </c>
      <c r="K1353" s="41">
        <v>15793</v>
      </c>
      <c r="L1353" s="24">
        <v>80.400000000000006</v>
      </c>
      <c r="M1353" s="19">
        <v>103.1</v>
      </c>
    </row>
    <row r="1354" spans="1:13" x14ac:dyDescent="0.75">
      <c r="A1354" t="s">
        <v>39</v>
      </c>
      <c r="B1354" s="18">
        <v>2024</v>
      </c>
      <c r="C1354" s="4">
        <v>9</v>
      </c>
      <c r="D1354" t="s">
        <v>58</v>
      </c>
      <c r="E1354" s="33">
        <v>49.2</v>
      </c>
      <c r="F1354" s="26">
        <v>109.45</v>
      </c>
      <c r="G1354" s="3"/>
      <c r="H1354" s="3">
        <v>31.75</v>
      </c>
      <c r="I1354" s="3"/>
      <c r="J1354" s="40">
        <v>6</v>
      </c>
      <c r="K1354" s="41">
        <v>15341</v>
      </c>
      <c r="L1354" s="24">
        <v>74</v>
      </c>
      <c r="M1354" s="19">
        <v>102.9</v>
      </c>
    </row>
    <row r="1355" spans="1:13" x14ac:dyDescent="0.75">
      <c r="A1355" t="s">
        <v>39</v>
      </c>
      <c r="B1355" s="18">
        <v>2024</v>
      </c>
      <c r="C1355" s="4">
        <v>10</v>
      </c>
      <c r="D1355" t="s">
        <v>58</v>
      </c>
      <c r="E1355" s="33">
        <v>49.2</v>
      </c>
      <c r="F1355" s="26">
        <v>109.98</v>
      </c>
      <c r="G1355" s="3"/>
      <c r="H1355" s="3">
        <v>23.69</v>
      </c>
      <c r="I1355" s="3"/>
      <c r="J1355" s="40">
        <v>6</v>
      </c>
      <c r="K1355" s="41">
        <v>15541</v>
      </c>
      <c r="L1355" s="24">
        <v>75.599999999999994</v>
      </c>
      <c r="M1355" s="19">
        <v>102.8</v>
      </c>
    </row>
    <row r="1356" spans="1:13" x14ac:dyDescent="0.75">
      <c r="A1356" t="s">
        <v>39</v>
      </c>
      <c r="B1356" s="18">
        <v>2024</v>
      </c>
      <c r="C1356" s="4">
        <v>11</v>
      </c>
      <c r="D1356" t="s">
        <v>58</v>
      </c>
      <c r="E1356" s="33">
        <v>49.6</v>
      </c>
      <c r="F1356" s="26">
        <v>110.39</v>
      </c>
      <c r="G1356" s="3"/>
      <c r="H1356" s="3">
        <v>46.83</v>
      </c>
      <c r="I1356" s="3"/>
      <c r="J1356" s="40">
        <v>6</v>
      </c>
      <c r="K1356" s="41">
        <v>15812</v>
      </c>
      <c r="L1356" s="24">
        <v>74.3</v>
      </c>
      <c r="M1356" s="19">
        <v>103</v>
      </c>
    </row>
    <row r="1357" spans="1:13" x14ac:dyDescent="0.75">
      <c r="A1357" t="s">
        <v>39</v>
      </c>
      <c r="B1357" s="18">
        <v>2024</v>
      </c>
      <c r="C1357" s="4">
        <v>12</v>
      </c>
      <c r="D1357" t="s">
        <v>58</v>
      </c>
      <c r="E1357" s="33">
        <v>51.2</v>
      </c>
      <c r="F1357" s="26">
        <v>110.64</v>
      </c>
      <c r="G1357" s="3"/>
      <c r="H1357" s="3">
        <v>32.61</v>
      </c>
      <c r="I1357" s="3"/>
      <c r="J1357" s="40">
        <v>6</v>
      </c>
      <c r="K1357" s="41">
        <v>16024</v>
      </c>
      <c r="L1357" s="24">
        <v>73.900000000000006</v>
      </c>
      <c r="M1357" s="19">
        <v>103.4</v>
      </c>
    </row>
    <row r="1358" spans="1:13" x14ac:dyDescent="0.75">
      <c r="A1358" t="s">
        <v>40</v>
      </c>
      <c r="B1358" s="18">
        <v>2024</v>
      </c>
      <c r="C1358" s="4">
        <v>1</v>
      </c>
      <c r="D1358" t="s">
        <v>58</v>
      </c>
      <c r="E1358" s="33">
        <v>52.9</v>
      </c>
      <c r="F1358" s="19">
        <v>107.18</v>
      </c>
      <c r="G1358" s="3"/>
      <c r="H1358" s="3"/>
      <c r="I1358" s="3"/>
      <c r="J1358" s="40">
        <v>6</v>
      </c>
      <c r="K1358" s="41">
        <v>15611</v>
      </c>
      <c r="L1358" s="24">
        <v>80.099999999999994</v>
      </c>
      <c r="M1358" s="33">
        <v>102.1</v>
      </c>
    </row>
    <row r="1359" spans="1:13" x14ac:dyDescent="0.75">
      <c r="A1359" t="s">
        <v>40</v>
      </c>
      <c r="B1359" s="18">
        <v>2024</v>
      </c>
      <c r="C1359" s="4">
        <v>2</v>
      </c>
      <c r="D1359" t="s">
        <v>58</v>
      </c>
      <c r="E1359" s="33">
        <v>52.7</v>
      </c>
      <c r="F1359" s="19">
        <v>106.65</v>
      </c>
      <c r="G1359" s="3"/>
      <c r="H1359" s="3"/>
      <c r="I1359" s="3"/>
      <c r="J1359" s="40">
        <v>6</v>
      </c>
      <c r="K1359" s="41">
        <v>15665</v>
      </c>
      <c r="L1359" s="24">
        <v>83.5</v>
      </c>
      <c r="M1359" s="33">
        <v>103</v>
      </c>
    </row>
    <row r="1360" spans="1:13" x14ac:dyDescent="0.75">
      <c r="A1360" t="s">
        <v>40</v>
      </c>
      <c r="B1360" s="18">
        <v>2024</v>
      </c>
      <c r="C1360" s="4">
        <v>3</v>
      </c>
      <c r="D1360" t="s">
        <v>58</v>
      </c>
      <c r="E1360" s="33">
        <v>54.2</v>
      </c>
      <c r="F1360" s="19">
        <v>106.67</v>
      </c>
      <c r="G1360" s="3"/>
      <c r="H1360" s="3"/>
      <c r="I1360" s="3"/>
      <c r="J1360" s="40">
        <v>6</v>
      </c>
      <c r="K1360" s="41">
        <v>15703</v>
      </c>
      <c r="L1360" s="24">
        <v>85.4</v>
      </c>
      <c r="M1360" s="33">
        <v>103.5</v>
      </c>
    </row>
    <row r="1361" spans="1:13" x14ac:dyDescent="0.75">
      <c r="A1361" t="s">
        <v>40</v>
      </c>
      <c r="B1361" s="18">
        <v>2024</v>
      </c>
      <c r="C1361" s="4">
        <v>4</v>
      </c>
      <c r="D1361" t="s">
        <v>58</v>
      </c>
      <c r="E1361" s="33">
        <v>52.9</v>
      </c>
      <c r="F1361" s="19">
        <v>107.8</v>
      </c>
      <c r="G1361" s="3"/>
      <c r="H1361" s="3"/>
      <c r="I1361" s="3"/>
      <c r="J1361" s="40">
        <v>6.25</v>
      </c>
      <c r="K1361" s="41">
        <v>16100</v>
      </c>
      <c r="L1361" s="24">
        <v>89.9</v>
      </c>
      <c r="M1361" s="33">
        <v>103.4</v>
      </c>
    </row>
    <row r="1362" spans="1:13" x14ac:dyDescent="0.75">
      <c r="A1362" t="s">
        <v>40</v>
      </c>
      <c r="B1362" s="18">
        <v>2024</v>
      </c>
      <c r="C1362" s="4">
        <v>5</v>
      </c>
      <c r="D1362" t="s">
        <v>58</v>
      </c>
      <c r="E1362" s="33">
        <v>52.1</v>
      </c>
      <c r="F1362" s="19">
        <v>108.99</v>
      </c>
      <c r="G1362" s="3"/>
      <c r="H1362" s="3"/>
      <c r="I1362" s="3"/>
      <c r="J1362" s="40">
        <v>6.25</v>
      </c>
      <c r="K1362" s="41">
        <v>16084</v>
      </c>
      <c r="L1362" s="24">
        <v>81.7</v>
      </c>
      <c r="M1362" s="19">
        <v>103.3</v>
      </c>
    </row>
    <row r="1363" spans="1:13" x14ac:dyDescent="0.75">
      <c r="A1363" t="s">
        <v>40</v>
      </c>
      <c r="B1363" s="18">
        <v>2024</v>
      </c>
      <c r="C1363" s="4">
        <v>6</v>
      </c>
      <c r="D1363" t="s">
        <v>58</v>
      </c>
      <c r="E1363" s="33">
        <v>50.7</v>
      </c>
      <c r="F1363" s="19">
        <v>111.29</v>
      </c>
      <c r="G1363" s="3"/>
      <c r="H1363" s="3"/>
      <c r="I1363" s="3"/>
      <c r="J1363" s="40">
        <v>6.25</v>
      </c>
      <c r="K1363" s="41">
        <v>16329</v>
      </c>
      <c r="L1363" s="24">
        <v>82.2</v>
      </c>
      <c r="M1363" s="19">
        <v>103.3</v>
      </c>
    </row>
    <row r="1364" spans="1:13" x14ac:dyDescent="0.75">
      <c r="A1364" t="s">
        <v>40</v>
      </c>
      <c r="B1364" s="18">
        <v>2024</v>
      </c>
      <c r="C1364" s="4">
        <v>7</v>
      </c>
      <c r="D1364" t="s">
        <v>58</v>
      </c>
      <c r="E1364" s="33">
        <v>49.3</v>
      </c>
      <c r="F1364" s="19">
        <v>110.8</v>
      </c>
      <c r="G1364" s="3"/>
      <c r="H1364" s="3"/>
      <c r="I1364" s="3"/>
      <c r="J1364" s="40">
        <v>6.25</v>
      </c>
      <c r="K1364" s="41">
        <v>16262</v>
      </c>
      <c r="L1364" s="24">
        <v>85.2</v>
      </c>
      <c r="M1364" s="19">
        <v>103.2</v>
      </c>
    </row>
    <row r="1365" spans="1:13" x14ac:dyDescent="0.75">
      <c r="A1365" t="s">
        <v>40</v>
      </c>
      <c r="B1365" s="18">
        <v>2024</v>
      </c>
      <c r="C1365" s="4">
        <v>8</v>
      </c>
      <c r="D1365" t="s">
        <v>58</v>
      </c>
      <c r="E1365" s="33">
        <v>48.9</v>
      </c>
      <c r="F1365" s="19">
        <v>110.78</v>
      </c>
      <c r="G1365" s="3"/>
      <c r="H1365" s="3"/>
      <c r="I1365" s="3"/>
      <c r="J1365" s="40">
        <v>6.25</v>
      </c>
      <c r="K1365" s="41">
        <v>15793</v>
      </c>
      <c r="L1365" s="24">
        <v>80.400000000000006</v>
      </c>
      <c r="M1365" s="19">
        <v>103.1</v>
      </c>
    </row>
    <row r="1366" spans="1:13" x14ac:dyDescent="0.75">
      <c r="A1366" t="s">
        <v>40</v>
      </c>
      <c r="B1366" s="18">
        <v>2024</v>
      </c>
      <c r="C1366" s="4">
        <v>9</v>
      </c>
      <c r="D1366" t="s">
        <v>58</v>
      </c>
      <c r="E1366" s="33">
        <v>49.2</v>
      </c>
      <c r="F1366" s="19">
        <v>110.12</v>
      </c>
      <c r="G1366" s="3"/>
      <c r="H1366" s="3"/>
      <c r="I1366" s="3"/>
      <c r="J1366" s="40">
        <v>6</v>
      </c>
      <c r="K1366" s="41">
        <v>15341</v>
      </c>
      <c r="L1366" s="24">
        <v>74</v>
      </c>
      <c r="M1366" s="19">
        <v>102.9</v>
      </c>
    </row>
    <row r="1367" spans="1:13" x14ac:dyDescent="0.75">
      <c r="A1367" t="s">
        <v>40</v>
      </c>
      <c r="B1367" s="18">
        <v>2024</v>
      </c>
      <c r="C1367" s="4">
        <v>10</v>
      </c>
      <c r="D1367" t="s">
        <v>58</v>
      </c>
      <c r="E1367" s="33">
        <v>49.2</v>
      </c>
      <c r="F1367" s="19">
        <v>109.35</v>
      </c>
      <c r="G1367" s="3"/>
      <c r="H1367" s="3"/>
      <c r="I1367" s="3"/>
      <c r="J1367" s="40">
        <v>6</v>
      </c>
      <c r="K1367" s="41">
        <v>15541</v>
      </c>
      <c r="L1367" s="24">
        <v>75.599999999999994</v>
      </c>
      <c r="M1367" s="19">
        <v>102.8</v>
      </c>
    </row>
    <row r="1368" spans="1:13" x14ac:dyDescent="0.75">
      <c r="A1368" t="s">
        <v>40</v>
      </c>
      <c r="B1368" s="18">
        <v>2024</v>
      </c>
      <c r="C1368" s="4">
        <v>11</v>
      </c>
      <c r="D1368" t="s">
        <v>58</v>
      </c>
      <c r="E1368" s="33">
        <v>49.6</v>
      </c>
      <c r="F1368" s="19">
        <v>109.19</v>
      </c>
      <c r="G1368" s="3"/>
      <c r="H1368" s="3"/>
      <c r="I1368" s="3"/>
      <c r="J1368" s="40">
        <v>6</v>
      </c>
      <c r="K1368" s="41">
        <v>15812</v>
      </c>
      <c r="L1368" s="24">
        <v>74.3</v>
      </c>
      <c r="M1368" s="19">
        <v>103</v>
      </c>
    </row>
    <row r="1369" spans="1:13" x14ac:dyDescent="0.75">
      <c r="A1369" t="s">
        <v>40</v>
      </c>
      <c r="B1369" s="18">
        <v>2024</v>
      </c>
      <c r="C1369" s="4">
        <v>12</v>
      </c>
      <c r="D1369" t="s">
        <v>58</v>
      </c>
      <c r="E1369" s="33">
        <v>51.2</v>
      </c>
      <c r="F1369" s="19">
        <v>111.8</v>
      </c>
      <c r="G1369" s="3"/>
      <c r="H1369" s="3"/>
      <c r="I1369" s="3"/>
      <c r="J1369" s="40">
        <v>6</v>
      </c>
      <c r="K1369" s="41">
        <v>16024</v>
      </c>
      <c r="L1369" s="24">
        <v>73.900000000000006</v>
      </c>
      <c r="M1369" s="19">
        <v>103.4</v>
      </c>
    </row>
    <row r="1370" spans="1:13" x14ac:dyDescent="0.75">
      <c r="A1370" t="s">
        <v>3</v>
      </c>
      <c r="B1370" s="18">
        <v>2025</v>
      </c>
      <c r="C1370" s="4">
        <v>1</v>
      </c>
      <c r="D1370">
        <v>26</v>
      </c>
      <c r="E1370" s="33">
        <v>51.9</v>
      </c>
      <c r="F1370" s="19">
        <v>107.07</v>
      </c>
      <c r="G1370" s="19">
        <v>50.85</v>
      </c>
      <c r="H1370" s="19">
        <v>75.819999999999993</v>
      </c>
      <c r="I1370" s="19">
        <v>833.66800000000001</v>
      </c>
      <c r="J1370" s="40">
        <v>5.75</v>
      </c>
      <c r="K1370" s="41">
        <v>16262</v>
      </c>
      <c r="L1370" s="24">
        <v>79.3</v>
      </c>
      <c r="M1370" s="19">
        <v>104.2</v>
      </c>
    </row>
    <row r="1371" spans="1:13" x14ac:dyDescent="0.75">
      <c r="A1371" t="s">
        <v>3</v>
      </c>
      <c r="B1371" s="18">
        <v>2025</v>
      </c>
      <c r="C1371" s="4">
        <v>2</v>
      </c>
      <c r="D1371">
        <v>112</v>
      </c>
      <c r="E1371" s="33">
        <v>53.6</v>
      </c>
      <c r="F1371" s="19">
        <v>106.56</v>
      </c>
      <c r="G1371" s="19">
        <v>53.94</v>
      </c>
      <c r="H1371" s="19">
        <v>73.16</v>
      </c>
      <c r="I1371" s="19">
        <v>859.66300000000001</v>
      </c>
      <c r="J1371" s="40">
        <v>5.75</v>
      </c>
      <c r="K1371" s="41">
        <v>16338</v>
      </c>
      <c r="L1371" s="24">
        <v>75.400000000000006</v>
      </c>
      <c r="M1371" s="19">
        <v>104.3</v>
      </c>
    </row>
    <row r="1372" spans="1:13" x14ac:dyDescent="0.75">
      <c r="A1372" t="s">
        <v>3</v>
      </c>
      <c r="B1372" s="18">
        <v>2025</v>
      </c>
      <c r="C1372" s="4">
        <v>3</v>
      </c>
      <c r="D1372">
        <v>146</v>
      </c>
      <c r="E1372" s="33">
        <v>52.4</v>
      </c>
      <c r="F1372" s="19">
        <v>108.26</v>
      </c>
      <c r="G1372" s="19">
        <v>57.03</v>
      </c>
      <c r="H1372" s="19">
        <v>30.71</v>
      </c>
      <c r="I1372" s="19">
        <v>866.62400000000002</v>
      </c>
      <c r="J1372" s="40">
        <v>5.75</v>
      </c>
      <c r="K1372" s="41">
        <v>16456</v>
      </c>
      <c r="L1372" s="24">
        <v>72.7</v>
      </c>
      <c r="M1372" s="19">
        <v>105.1</v>
      </c>
    </row>
    <row r="1373" spans="1:13" x14ac:dyDescent="0.75">
      <c r="A1373" t="s">
        <v>3</v>
      </c>
      <c r="B1373" s="18">
        <v>2025</v>
      </c>
      <c r="C1373" s="4">
        <v>4</v>
      </c>
      <c r="D1373">
        <v>229</v>
      </c>
      <c r="E1373" s="33">
        <v>46.7</v>
      </c>
      <c r="F1373" s="19">
        <v>110</v>
      </c>
      <c r="G1373" s="19">
        <v>52.99</v>
      </c>
      <c r="H1373" s="19">
        <v>50.81</v>
      </c>
      <c r="I1373" s="19">
        <v>884.35</v>
      </c>
      <c r="J1373" s="40">
        <v>5.75</v>
      </c>
      <c r="K1373" s="41">
        <v>16820</v>
      </c>
      <c r="L1373" s="24">
        <v>68.099999999999994</v>
      </c>
      <c r="M1373" s="19">
        <v>105.1</v>
      </c>
    </row>
    <row r="1374" spans="1:13" x14ac:dyDescent="0.75">
      <c r="A1374" t="s">
        <v>3</v>
      </c>
      <c r="B1374" s="18">
        <v>2025</v>
      </c>
      <c r="C1374" s="4">
        <v>5</v>
      </c>
      <c r="D1374">
        <v>279</v>
      </c>
      <c r="E1374" s="33">
        <v>47.4</v>
      </c>
      <c r="F1374" s="19">
        <v>109.35</v>
      </c>
      <c r="G1374" s="19">
        <v>50.3</v>
      </c>
      <c r="H1374" s="19">
        <v>59.6</v>
      </c>
      <c r="I1374" s="19">
        <v>933.98</v>
      </c>
      <c r="J1374" s="40">
        <v>5.5</v>
      </c>
      <c r="K1374" s="41">
        <v>16441</v>
      </c>
      <c r="L1374" s="24">
        <v>64.5</v>
      </c>
      <c r="M1374" s="19">
        <v>104.6</v>
      </c>
    </row>
    <row r="1375" spans="1:13" x14ac:dyDescent="0.75">
      <c r="A1375" t="s">
        <v>3</v>
      </c>
      <c r="B1375" s="18">
        <v>2025</v>
      </c>
      <c r="C1375" s="4">
        <v>6</v>
      </c>
      <c r="D1375">
        <v>300</v>
      </c>
      <c r="E1375" s="33">
        <v>46.9</v>
      </c>
      <c r="F1375" s="19">
        <v>109.21</v>
      </c>
      <c r="G1375" s="19">
        <v>48.71</v>
      </c>
      <c r="H1375" s="19">
        <v>21.17</v>
      </c>
      <c r="I1375" s="19">
        <v>926.82</v>
      </c>
      <c r="J1375" s="40">
        <v>5.5</v>
      </c>
      <c r="K1375" s="41">
        <v>16311</v>
      </c>
      <c r="L1375" s="24">
        <v>71.400000000000006</v>
      </c>
      <c r="M1375" s="19">
        <v>104.7</v>
      </c>
    </row>
    <row r="1376" spans="1:13" x14ac:dyDescent="0.75">
      <c r="A1376" t="s">
        <v>3</v>
      </c>
      <c r="B1376" s="18">
        <v>2025</v>
      </c>
      <c r="C1376" s="4">
        <v>7</v>
      </c>
      <c r="D1376">
        <v>311</v>
      </c>
      <c r="E1376" s="33">
        <v>49.2</v>
      </c>
      <c r="F1376" s="19">
        <v>109.95</v>
      </c>
      <c r="G1376" s="19">
        <v>61.35</v>
      </c>
      <c r="H1376" s="19">
        <v>52.22</v>
      </c>
      <c r="I1376" s="19">
        <v>940.96500000000003</v>
      </c>
      <c r="J1376" s="40">
        <v>5.25</v>
      </c>
      <c r="K1376" s="41">
        <v>16276</v>
      </c>
      <c r="L1376" s="24">
        <v>71</v>
      </c>
      <c r="M1376" s="19">
        <v>105.2</v>
      </c>
    </row>
    <row r="1377" spans="1:13" x14ac:dyDescent="0.75">
      <c r="A1377" t="s">
        <v>3</v>
      </c>
      <c r="B1377" s="18">
        <v>2025</v>
      </c>
      <c r="C1377" s="4">
        <v>8</v>
      </c>
      <c r="D1377">
        <v>335</v>
      </c>
      <c r="E1377" s="33">
        <v>51.5</v>
      </c>
      <c r="F1377" s="19">
        <v>110.81</v>
      </c>
      <c r="G1377" s="19">
        <v>57.13</v>
      </c>
      <c r="H1377" s="19">
        <v>29.9</v>
      </c>
      <c r="I1377" s="19">
        <v>964.74699999999996</v>
      </c>
      <c r="J1377" s="40">
        <v>5</v>
      </c>
      <c r="K1377" s="41">
        <v>16309</v>
      </c>
      <c r="L1377" s="24">
        <v>67.900000000000006</v>
      </c>
      <c r="M1377" s="19">
        <v>105.2</v>
      </c>
    </row>
    <row r="1378" spans="1:13" x14ac:dyDescent="0.75">
      <c r="A1378" t="s">
        <v>3</v>
      </c>
      <c r="B1378" s="18">
        <v>2025</v>
      </c>
      <c r="C1378" s="4">
        <v>9</v>
      </c>
      <c r="D1378">
        <v>379</v>
      </c>
      <c r="E1378" s="33">
        <v>50.4</v>
      </c>
      <c r="F1378" s="19">
        <v>111.03</v>
      </c>
      <c r="G1378" s="19">
        <v>50.44</v>
      </c>
      <c r="H1378" s="19">
        <v>47.32</v>
      </c>
      <c r="I1378" s="19">
        <v>941.55399999999997</v>
      </c>
      <c r="J1378" s="40">
        <v>4.75</v>
      </c>
      <c r="K1378" s="41">
        <v>16512</v>
      </c>
      <c r="L1378" s="24">
        <v>68</v>
      </c>
      <c r="M1378" s="19">
        <v>105.3</v>
      </c>
    </row>
    <row r="1379" spans="1:13" x14ac:dyDescent="0.75">
      <c r="A1379" t="s">
        <v>3</v>
      </c>
      <c r="B1379" s="18">
        <v>2025</v>
      </c>
      <c r="C1379" s="4">
        <v>10</v>
      </c>
      <c r="D1379">
        <v>419</v>
      </c>
      <c r="E1379" s="33">
        <v>51.2</v>
      </c>
      <c r="F1379" s="19">
        <v>111.16</v>
      </c>
      <c r="G1379" s="19">
        <v>48.5</v>
      </c>
      <c r="H1379" s="19">
        <v>60.07</v>
      </c>
      <c r="I1379" s="19">
        <v>989.53599999999994</v>
      </c>
      <c r="J1379" s="40">
        <v>4.75</v>
      </c>
      <c r="K1379" s="41">
        <v>16607</v>
      </c>
      <c r="L1379" s="24">
        <v>64.5</v>
      </c>
      <c r="M1379" s="19">
        <v>105.5</v>
      </c>
    </row>
    <row r="1380" spans="1:13" x14ac:dyDescent="0.75">
      <c r="A1380" t="s">
        <v>3</v>
      </c>
      <c r="B1380" s="18">
        <v>2025</v>
      </c>
      <c r="C1380" s="4">
        <v>11</v>
      </c>
      <c r="D1380">
        <v>428</v>
      </c>
      <c r="E1380" s="33">
        <v>53.3</v>
      </c>
      <c r="F1380" s="19">
        <v>110.42</v>
      </c>
      <c r="G1380" s="19">
        <v>58.28</v>
      </c>
      <c r="H1380" s="19">
        <v>23.64</v>
      </c>
      <c r="I1380" s="19">
        <v>1025.6389999999999</v>
      </c>
      <c r="J1380" s="40">
        <v>4.75</v>
      </c>
      <c r="K1380" s="41">
        <v>16703</v>
      </c>
      <c r="L1380" s="24">
        <v>63.8</v>
      </c>
      <c r="M1380" s="19">
        <v>105.4</v>
      </c>
    </row>
    <row r="1381" spans="1:13" x14ac:dyDescent="0.75">
      <c r="A1381" t="s">
        <v>3</v>
      </c>
      <c r="B1381" s="18">
        <v>2025</v>
      </c>
      <c r="C1381" s="4">
        <v>12</v>
      </c>
      <c r="D1381">
        <v>429</v>
      </c>
      <c r="E1381" s="33">
        <v>51.2</v>
      </c>
      <c r="F1381" s="19">
        <v>114.4</v>
      </c>
      <c r="G1381" s="19">
        <v>59.69</v>
      </c>
      <c r="H1381" s="19">
        <v>53.16</v>
      </c>
      <c r="I1381" s="19">
        <v>1046.8209999999999</v>
      </c>
      <c r="J1381" s="40">
        <v>4.75</v>
      </c>
      <c r="K1381" s="41">
        <v>16699</v>
      </c>
      <c r="L1381" s="24">
        <v>62.5</v>
      </c>
      <c r="M1381" s="19">
        <v>106.3</v>
      </c>
    </row>
    <row r="1382" spans="1:13" x14ac:dyDescent="0.75">
      <c r="A1382" t="s">
        <v>4</v>
      </c>
      <c r="B1382" s="18">
        <v>2025</v>
      </c>
      <c r="C1382" s="4">
        <v>1</v>
      </c>
      <c r="D1382">
        <v>200</v>
      </c>
      <c r="E1382" s="33">
        <v>51.9</v>
      </c>
      <c r="F1382" s="29">
        <v>107.32</v>
      </c>
      <c r="G1382" s="19">
        <v>975.25</v>
      </c>
      <c r="H1382" s="26">
        <v>504.07</v>
      </c>
      <c r="I1382" s="19">
        <v>4775.5969999999998</v>
      </c>
      <c r="J1382" s="40">
        <v>5.75</v>
      </c>
      <c r="K1382" s="41">
        <v>16262</v>
      </c>
      <c r="L1382" s="24">
        <v>79.3</v>
      </c>
      <c r="M1382" s="19">
        <v>104.2</v>
      </c>
    </row>
    <row r="1383" spans="1:13" x14ac:dyDescent="0.75">
      <c r="A1383" t="s">
        <v>4</v>
      </c>
      <c r="B1383" s="18">
        <v>2025</v>
      </c>
      <c r="C1383" s="4">
        <v>2</v>
      </c>
      <c r="D1383">
        <v>417</v>
      </c>
      <c r="E1383" s="33">
        <v>53.6</v>
      </c>
      <c r="F1383" s="29">
        <v>106.64</v>
      </c>
      <c r="G1383" s="19">
        <v>1077.48</v>
      </c>
      <c r="H1383" s="26">
        <v>387.19</v>
      </c>
      <c r="I1383" s="19">
        <v>4970.2240000000002</v>
      </c>
      <c r="J1383" s="40">
        <v>5.75</v>
      </c>
      <c r="K1383" s="41">
        <v>16338</v>
      </c>
      <c r="L1383" s="24">
        <v>75.400000000000006</v>
      </c>
      <c r="M1383" s="19">
        <v>104.3</v>
      </c>
    </row>
    <row r="1384" spans="1:13" x14ac:dyDescent="0.75">
      <c r="A1384" t="s">
        <v>4</v>
      </c>
      <c r="B1384" s="18">
        <v>2025</v>
      </c>
      <c r="C1384" s="4">
        <v>3</v>
      </c>
      <c r="D1384">
        <v>570</v>
      </c>
      <c r="E1384" s="33">
        <v>52.4</v>
      </c>
      <c r="F1384" s="29">
        <v>107.37</v>
      </c>
      <c r="G1384" s="19">
        <v>989.31</v>
      </c>
      <c r="H1384" s="26">
        <v>470.32</v>
      </c>
      <c r="I1384" s="19">
        <v>4993.5709999999999</v>
      </c>
      <c r="J1384" s="40">
        <v>5.75</v>
      </c>
      <c r="K1384" s="41">
        <v>16456</v>
      </c>
      <c r="L1384" s="24">
        <v>72.7</v>
      </c>
      <c r="M1384" s="19">
        <v>105.1</v>
      </c>
    </row>
    <row r="1385" spans="1:13" x14ac:dyDescent="0.75">
      <c r="A1385" t="s">
        <v>4</v>
      </c>
      <c r="B1385" s="18">
        <v>2025</v>
      </c>
      <c r="C1385" s="4">
        <v>4</v>
      </c>
      <c r="D1385">
        <v>717</v>
      </c>
      <c r="E1385" s="33">
        <v>46.7</v>
      </c>
      <c r="F1385" s="29">
        <v>108.82</v>
      </c>
      <c r="G1385" s="19">
        <v>878.43</v>
      </c>
      <c r="H1385" s="26">
        <v>480.37</v>
      </c>
      <c r="I1385" s="19">
        <v>5514.076</v>
      </c>
      <c r="J1385" s="40">
        <v>5.75</v>
      </c>
      <c r="K1385" s="41">
        <v>16820</v>
      </c>
      <c r="L1385" s="24">
        <v>68.099999999999994</v>
      </c>
      <c r="M1385" s="19">
        <v>105.1</v>
      </c>
    </row>
    <row r="1386" spans="1:13" x14ac:dyDescent="0.75">
      <c r="A1386" t="s">
        <v>4</v>
      </c>
      <c r="B1386" s="18">
        <v>2025</v>
      </c>
      <c r="C1386" s="4">
        <v>5</v>
      </c>
      <c r="D1386">
        <v>897</v>
      </c>
      <c r="E1386" s="33">
        <v>47.4</v>
      </c>
      <c r="F1386" s="29">
        <v>108.29</v>
      </c>
      <c r="G1386" s="19">
        <v>1006.3</v>
      </c>
      <c r="H1386" s="26">
        <v>499.68</v>
      </c>
      <c r="I1386" s="19">
        <v>5660.1139999999996</v>
      </c>
      <c r="J1386" s="40">
        <v>5.5</v>
      </c>
      <c r="K1386" s="41">
        <v>16441</v>
      </c>
      <c r="L1386" s="24">
        <v>64.5</v>
      </c>
      <c r="M1386" s="19">
        <v>104.6</v>
      </c>
    </row>
    <row r="1387" spans="1:13" x14ac:dyDescent="0.75">
      <c r="A1387" t="s">
        <v>4</v>
      </c>
      <c r="B1387" s="18">
        <v>2025</v>
      </c>
      <c r="C1387" s="4">
        <v>6</v>
      </c>
      <c r="D1387">
        <v>1077</v>
      </c>
      <c r="E1387" s="33">
        <v>46.9</v>
      </c>
      <c r="F1387" s="29">
        <v>108.08</v>
      </c>
      <c r="G1387" s="19">
        <v>1026.28</v>
      </c>
      <c r="H1387" s="26">
        <v>530.13</v>
      </c>
      <c r="I1387" s="19">
        <v>5694.098</v>
      </c>
      <c r="J1387" s="40">
        <v>5.5</v>
      </c>
      <c r="K1387" s="41">
        <v>16311</v>
      </c>
      <c r="L1387" s="24">
        <v>71.400000000000006</v>
      </c>
      <c r="M1387" s="19">
        <v>104.7</v>
      </c>
    </row>
    <row r="1388" spans="1:13" x14ac:dyDescent="0.75">
      <c r="A1388" t="s">
        <v>4</v>
      </c>
      <c r="B1388" s="18">
        <v>2025</v>
      </c>
      <c r="C1388" s="4">
        <v>7</v>
      </c>
      <c r="D1388">
        <v>1304</v>
      </c>
      <c r="E1388" s="33">
        <v>49.2</v>
      </c>
      <c r="F1388" s="29">
        <v>108.9</v>
      </c>
      <c r="G1388" s="19">
        <v>1228.1600000000001</v>
      </c>
      <c r="H1388" s="26">
        <v>551.37</v>
      </c>
      <c r="I1388" s="19">
        <v>5822.3919999999998</v>
      </c>
      <c r="J1388" s="40">
        <v>5.25</v>
      </c>
      <c r="K1388" s="41">
        <v>16276</v>
      </c>
      <c r="L1388" s="24">
        <v>71</v>
      </c>
      <c r="M1388" s="19">
        <v>105.2</v>
      </c>
    </row>
    <row r="1389" spans="1:13" x14ac:dyDescent="0.75">
      <c r="A1389" t="s">
        <v>4</v>
      </c>
      <c r="B1389" s="18">
        <v>2025</v>
      </c>
      <c r="C1389" s="4">
        <v>8</v>
      </c>
      <c r="D1389">
        <v>1488</v>
      </c>
      <c r="E1389" s="33">
        <v>51.5</v>
      </c>
      <c r="F1389" s="29">
        <v>110.39</v>
      </c>
      <c r="G1389" s="19">
        <v>1195.96</v>
      </c>
      <c r="H1389" s="26">
        <v>546.71</v>
      </c>
      <c r="I1389" s="19">
        <v>5751.4030000000002</v>
      </c>
      <c r="J1389" s="40">
        <v>5</v>
      </c>
      <c r="K1389" s="41">
        <v>16309</v>
      </c>
      <c r="L1389" s="24">
        <v>67.900000000000006</v>
      </c>
      <c r="M1389" s="19">
        <v>105.2</v>
      </c>
    </row>
    <row r="1390" spans="1:13" x14ac:dyDescent="0.75">
      <c r="A1390" t="s">
        <v>4</v>
      </c>
      <c r="B1390" s="18">
        <v>2025</v>
      </c>
      <c r="C1390" s="4">
        <v>9</v>
      </c>
      <c r="D1390">
        <v>1704</v>
      </c>
      <c r="E1390" s="33">
        <v>50.4</v>
      </c>
      <c r="F1390" s="29">
        <v>111.11</v>
      </c>
      <c r="G1390" s="19">
        <v>1062.3499999999999</v>
      </c>
      <c r="H1390" s="26">
        <v>560.66</v>
      </c>
      <c r="I1390" s="19">
        <v>5690.5010000000002</v>
      </c>
      <c r="J1390" s="40">
        <v>4.75</v>
      </c>
      <c r="K1390" s="41">
        <v>16512</v>
      </c>
      <c r="L1390" s="24">
        <v>68</v>
      </c>
      <c r="M1390" s="19">
        <v>105.3</v>
      </c>
    </row>
    <row r="1391" spans="1:13" x14ac:dyDescent="0.75">
      <c r="A1391" t="s">
        <v>4</v>
      </c>
      <c r="B1391" s="18">
        <v>2025</v>
      </c>
      <c r="C1391" s="4">
        <v>10</v>
      </c>
      <c r="D1391">
        <v>1905</v>
      </c>
      <c r="E1391" s="33">
        <v>51.2</v>
      </c>
      <c r="F1391" s="29">
        <v>110.89</v>
      </c>
      <c r="G1391" s="19">
        <v>1191.71</v>
      </c>
      <c r="H1391" s="26">
        <v>504.49</v>
      </c>
      <c r="I1391" s="19">
        <v>5803.6559999999999</v>
      </c>
      <c r="J1391" s="40">
        <v>4.75</v>
      </c>
      <c r="K1391" s="41">
        <v>16607</v>
      </c>
      <c r="L1391" s="24">
        <v>64.5</v>
      </c>
      <c r="M1391" s="19">
        <v>105.5</v>
      </c>
    </row>
    <row r="1392" spans="1:13" x14ac:dyDescent="0.75">
      <c r="A1392" t="s">
        <v>4</v>
      </c>
      <c r="B1392" s="18">
        <v>2025</v>
      </c>
      <c r="C1392" s="4">
        <v>11</v>
      </c>
      <c r="D1392">
        <v>1956</v>
      </c>
      <c r="E1392" s="33">
        <v>53.3</v>
      </c>
      <c r="F1392" s="29">
        <v>110.42</v>
      </c>
      <c r="G1392" s="19">
        <v>882.14</v>
      </c>
      <c r="H1392" s="26">
        <v>451.76</v>
      </c>
      <c r="I1392" s="19">
        <v>5809.3850000000002</v>
      </c>
      <c r="J1392" s="40">
        <v>4.75</v>
      </c>
      <c r="K1392" s="41">
        <v>16703</v>
      </c>
      <c r="L1392" s="24">
        <v>63.8</v>
      </c>
      <c r="M1392" s="19">
        <v>105.4</v>
      </c>
    </row>
    <row r="1393" spans="1:13" x14ac:dyDescent="0.75">
      <c r="A1393" t="s">
        <v>4</v>
      </c>
      <c r="B1393" s="18">
        <v>2025</v>
      </c>
      <c r="C1393" s="4">
        <v>12</v>
      </c>
      <c r="D1393">
        <v>1969</v>
      </c>
      <c r="E1393" s="33">
        <v>51.2</v>
      </c>
      <c r="F1393" s="29">
        <v>112.25</v>
      </c>
      <c r="G1393" s="19">
        <v>1048.82</v>
      </c>
      <c r="H1393" s="26">
        <v>585.96</v>
      </c>
      <c r="I1393" s="19">
        <v>5667.1949999999997</v>
      </c>
      <c r="J1393" s="40">
        <v>4.75</v>
      </c>
      <c r="K1393" s="41">
        <v>16699</v>
      </c>
      <c r="L1393" s="24">
        <v>62.5</v>
      </c>
      <c r="M1393" s="19">
        <v>106.3</v>
      </c>
    </row>
    <row r="1394" spans="1:13" x14ac:dyDescent="0.75">
      <c r="A1394" t="s">
        <v>5</v>
      </c>
      <c r="B1394" s="18">
        <v>2025</v>
      </c>
      <c r="C1394" s="4">
        <v>1</v>
      </c>
      <c r="D1394">
        <v>59</v>
      </c>
      <c r="E1394" s="33">
        <v>51.9</v>
      </c>
      <c r="F1394" s="29">
        <v>106.93</v>
      </c>
      <c r="G1394" s="26">
        <v>153.22999999999999</v>
      </c>
      <c r="H1394" s="29"/>
      <c r="I1394" s="19">
        <v>1519.4369999999999</v>
      </c>
      <c r="J1394" s="40">
        <v>5.75</v>
      </c>
      <c r="K1394" s="41">
        <v>16262</v>
      </c>
      <c r="L1394" s="24">
        <v>79.3</v>
      </c>
      <c r="M1394" s="19">
        <v>104.2</v>
      </c>
    </row>
    <row r="1395" spans="1:13" x14ac:dyDescent="0.75">
      <c r="A1395" t="s">
        <v>5</v>
      </c>
      <c r="B1395" s="18">
        <v>2025</v>
      </c>
      <c r="C1395" s="4">
        <v>2</v>
      </c>
      <c r="D1395">
        <v>133</v>
      </c>
      <c r="E1395" s="33">
        <v>53.6</v>
      </c>
      <c r="F1395" s="29">
        <v>106.76</v>
      </c>
      <c r="G1395" s="26">
        <v>272.10000000000002</v>
      </c>
      <c r="H1395" s="29"/>
      <c r="I1395" s="19">
        <v>1590.443</v>
      </c>
      <c r="J1395" s="40">
        <v>5.75</v>
      </c>
      <c r="K1395" s="41">
        <v>16338</v>
      </c>
      <c r="L1395" s="24">
        <v>75.400000000000006</v>
      </c>
      <c r="M1395" s="19">
        <v>104.3</v>
      </c>
    </row>
    <row r="1396" spans="1:13" x14ac:dyDescent="0.75">
      <c r="A1396" t="s">
        <v>5</v>
      </c>
      <c r="B1396" s="18">
        <v>2025</v>
      </c>
      <c r="C1396" s="4">
        <v>3</v>
      </c>
      <c r="D1396">
        <v>156</v>
      </c>
      <c r="E1396" s="33">
        <v>52.4</v>
      </c>
      <c r="F1396" s="29">
        <v>107.86</v>
      </c>
      <c r="G1396" s="26">
        <v>220.23</v>
      </c>
      <c r="H1396" s="29"/>
      <c r="I1396" s="19">
        <v>1595.6990000000001</v>
      </c>
      <c r="J1396" s="40">
        <v>5.75</v>
      </c>
      <c r="K1396" s="41">
        <v>16456</v>
      </c>
      <c r="L1396" s="24">
        <v>72.7</v>
      </c>
      <c r="M1396" s="19">
        <v>105.1</v>
      </c>
    </row>
    <row r="1397" spans="1:13" x14ac:dyDescent="0.75">
      <c r="A1397" t="s">
        <v>5</v>
      </c>
      <c r="B1397" s="18">
        <v>2025</v>
      </c>
      <c r="C1397" s="4">
        <v>4</v>
      </c>
      <c r="D1397">
        <v>193</v>
      </c>
      <c r="E1397" s="33">
        <v>46.7</v>
      </c>
      <c r="F1397" s="29">
        <v>109.77</v>
      </c>
      <c r="G1397" s="26">
        <v>149.36000000000001</v>
      </c>
      <c r="H1397" s="29">
        <v>0.11</v>
      </c>
      <c r="I1397" s="19">
        <v>1649.5550000000001</v>
      </c>
      <c r="J1397" s="40">
        <v>5.75</v>
      </c>
      <c r="K1397" s="41">
        <v>16820</v>
      </c>
      <c r="L1397" s="24">
        <v>68.099999999999994</v>
      </c>
      <c r="M1397" s="19">
        <v>105.1</v>
      </c>
    </row>
    <row r="1398" spans="1:13" x14ac:dyDescent="0.75">
      <c r="A1398" t="s">
        <v>5</v>
      </c>
      <c r="B1398" s="18">
        <v>2025</v>
      </c>
      <c r="C1398" s="4">
        <v>5</v>
      </c>
      <c r="D1398">
        <v>267</v>
      </c>
      <c r="E1398" s="33">
        <v>47.4</v>
      </c>
      <c r="F1398" s="29">
        <v>108.69</v>
      </c>
      <c r="G1398" s="26">
        <v>222.89</v>
      </c>
      <c r="H1398" s="29"/>
      <c r="I1398" s="19">
        <v>1703.4459999999999</v>
      </c>
      <c r="J1398" s="40">
        <v>5.5</v>
      </c>
      <c r="K1398" s="41">
        <v>16441</v>
      </c>
      <c r="L1398" s="24">
        <v>64.5</v>
      </c>
      <c r="M1398" s="19">
        <v>104.6</v>
      </c>
    </row>
    <row r="1399" spans="1:13" x14ac:dyDescent="0.75">
      <c r="A1399" t="s">
        <v>5</v>
      </c>
      <c r="B1399" s="18">
        <v>2025</v>
      </c>
      <c r="C1399" s="4">
        <v>6</v>
      </c>
      <c r="D1399">
        <v>321</v>
      </c>
      <c r="E1399" s="33">
        <v>46.9</v>
      </c>
      <c r="F1399" s="29">
        <v>108.41</v>
      </c>
      <c r="G1399" s="26">
        <v>260.94</v>
      </c>
      <c r="H1399" s="29"/>
      <c r="I1399" s="19">
        <v>1687.2560000000001</v>
      </c>
      <c r="J1399" s="40">
        <v>5.5</v>
      </c>
      <c r="K1399" s="41">
        <v>16311</v>
      </c>
      <c r="L1399" s="24">
        <v>71.400000000000006</v>
      </c>
      <c r="M1399" s="19">
        <v>104.7</v>
      </c>
    </row>
    <row r="1400" spans="1:13" x14ac:dyDescent="0.75">
      <c r="A1400" t="s">
        <v>5</v>
      </c>
      <c r="B1400" s="18">
        <v>2025</v>
      </c>
      <c r="C1400" s="4">
        <v>7</v>
      </c>
      <c r="D1400">
        <v>381</v>
      </c>
      <c r="E1400" s="33">
        <v>49.2</v>
      </c>
      <c r="F1400" s="29">
        <v>109.1</v>
      </c>
      <c r="G1400" s="26">
        <v>314.68</v>
      </c>
      <c r="H1400" s="29"/>
      <c r="I1400" s="19">
        <v>1748.7260000000001</v>
      </c>
      <c r="J1400" s="40">
        <v>5.25</v>
      </c>
      <c r="K1400" s="41">
        <v>16276</v>
      </c>
      <c r="L1400" s="24">
        <v>71</v>
      </c>
      <c r="M1400" s="19">
        <v>105.2</v>
      </c>
    </row>
    <row r="1401" spans="1:13" x14ac:dyDescent="0.75">
      <c r="A1401" t="s">
        <v>5</v>
      </c>
      <c r="B1401" s="18">
        <v>2025</v>
      </c>
      <c r="C1401" s="4">
        <v>8</v>
      </c>
      <c r="D1401">
        <v>461</v>
      </c>
      <c r="E1401" s="33">
        <v>51.5</v>
      </c>
      <c r="F1401" s="29">
        <v>109.67</v>
      </c>
      <c r="G1401" s="26">
        <v>318.79000000000002</v>
      </c>
      <c r="H1401" s="29"/>
      <c r="I1401" s="19">
        <v>1764.433</v>
      </c>
      <c r="J1401" s="40">
        <v>5</v>
      </c>
      <c r="K1401" s="41">
        <v>16309</v>
      </c>
      <c r="L1401" s="24">
        <v>67.900000000000006</v>
      </c>
      <c r="M1401" s="19">
        <v>105.2</v>
      </c>
    </row>
    <row r="1402" spans="1:13" x14ac:dyDescent="0.75">
      <c r="A1402" t="s">
        <v>5</v>
      </c>
      <c r="B1402" s="18">
        <v>2025</v>
      </c>
      <c r="C1402" s="4">
        <v>9</v>
      </c>
      <c r="D1402">
        <v>514</v>
      </c>
      <c r="E1402" s="33">
        <v>50.4</v>
      </c>
      <c r="F1402" s="29">
        <v>110.6</v>
      </c>
      <c r="G1402" s="26">
        <v>181.71</v>
      </c>
      <c r="H1402" s="29"/>
      <c r="I1402" s="19">
        <v>1730.674</v>
      </c>
      <c r="J1402" s="40">
        <v>4.75</v>
      </c>
      <c r="K1402" s="41">
        <v>16512</v>
      </c>
      <c r="L1402" s="24">
        <v>68</v>
      </c>
      <c r="M1402" s="19">
        <v>105.3</v>
      </c>
    </row>
    <row r="1403" spans="1:13" x14ac:dyDescent="0.75">
      <c r="A1403" t="s">
        <v>5</v>
      </c>
      <c r="B1403" s="18">
        <v>2025</v>
      </c>
      <c r="C1403" s="4">
        <v>10</v>
      </c>
      <c r="D1403">
        <v>588</v>
      </c>
      <c r="E1403" s="33">
        <v>51.2</v>
      </c>
      <c r="F1403" s="29">
        <v>111.04</v>
      </c>
      <c r="G1403" s="26">
        <v>247.03</v>
      </c>
      <c r="H1403" s="29"/>
      <c r="I1403" s="19">
        <v>1742.1659999999999</v>
      </c>
      <c r="J1403" s="40">
        <v>4.75</v>
      </c>
      <c r="K1403" s="41">
        <v>16607</v>
      </c>
      <c r="L1403" s="24">
        <v>64.5</v>
      </c>
      <c r="M1403" s="19">
        <v>105.5</v>
      </c>
    </row>
    <row r="1404" spans="1:13" x14ac:dyDescent="0.75">
      <c r="A1404" t="s">
        <v>5</v>
      </c>
      <c r="B1404" s="18">
        <v>2025</v>
      </c>
      <c r="C1404" s="4">
        <v>11</v>
      </c>
      <c r="D1404">
        <v>607</v>
      </c>
      <c r="E1404" s="33">
        <v>53.3</v>
      </c>
      <c r="F1404" s="29">
        <v>110.77</v>
      </c>
      <c r="G1404" s="26">
        <v>117.2</v>
      </c>
      <c r="H1404" s="29"/>
      <c r="I1404" s="19">
        <v>1775.703</v>
      </c>
      <c r="J1404" s="40">
        <v>4.75</v>
      </c>
      <c r="K1404" s="41">
        <v>16703</v>
      </c>
      <c r="L1404" s="24">
        <v>63.8</v>
      </c>
      <c r="M1404" s="19">
        <v>105.4</v>
      </c>
    </row>
    <row r="1405" spans="1:13" x14ac:dyDescent="0.75">
      <c r="A1405" t="s">
        <v>5</v>
      </c>
      <c r="B1405" s="18">
        <v>2025</v>
      </c>
      <c r="C1405" s="4">
        <v>12</v>
      </c>
      <c r="D1405">
        <v>627</v>
      </c>
      <c r="E1405" s="33">
        <v>51.2</v>
      </c>
      <c r="F1405" s="29">
        <v>112.41</v>
      </c>
      <c r="G1405" s="26">
        <v>321.29000000000002</v>
      </c>
      <c r="H1405" s="29"/>
      <c r="I1405" s="19">
        <v>1758.2349999999999</v>
      </c>
      <c r="J1405" s="40">
        <v>4.75</v>
      </c>
      <c r="K1405" s="41">
        <v>16699</v>
      </c>
      <c r="L1405" s="24">
        <v>62.5</v>
      </c>
      <c r="M1405" s="19">
        <v>106.3</v>
      </c>
    </row>
    <row r="1406" spans="1:13" x14ac:dyDescent="0.75">
      <c r="A1406" t="s">
        <v>6</v>
      </c>
      <c r="B1406" s="18">
        <v>2025</v>
      </c>
      <c r="C1406" s="4">
        <v>1</v>
      </c>
      <c r="D1406">
        <v>795</v>
      </c>
      <c r="E1406" s="33">
        <v>51.9</v>
      </c>
      <c r="F1406" s="26">
        <v>106.96</v>
      </c>
      <c r="G1406" s="29">
        <v>1490.05</v>
      </c>
      <c r="H1406" s="29">
        <v>105.73</v>
      </c>
      <c r="I1406" s="19">
        <v>2228.4369999999999</v>
      </c>
      <c r="J1406" s="40">
        <v>5.75</v>
      </c>
      <c r="K1406" s="41">
        <v>16262</v>
      </c>
      <c r="L1406" s="24">
        <v>79.3</v>
      </c>
      <c r="M1406" s="19">
        <v>104.2</v>
      </c>
    </row>
    <row r="1407" spans="1:13" x14ac:dyDescent="0.75">
      <c r="A1407" t="s">
        <v>6</v>
      </c>
      <c r="B1407" s="18">
        <v>2025</v>
      </c>
      <c r="C1407" s="4">
        <v>2</v>
      </c>
      <c r="D1407">
        <v>1288</v>
      </c>
      <c r="E1407" s="33">
        <v>53.6</v>
      </c>
      <c r="F1407" s="26">
        <v>106.42</v>
      </c>
      <c r="G1407" s="29">
        <v>1831.75</v>
      </c>
      <c r="H1407" s="29">
        <v>145.19</v>
      </c>
      <c r="I1407" s="19">
        <v>2286.1959999999999</v>
      </c>
      <c r="J1407" s="40">
        <v>5.75</v>
      </c>
      <c r="K1407" s="41">
        <v>16338</v>
      </c>
      <c r="L1407" s="24">
        <v>75.400000000000006</v>
      </c>
      <c r="M1407" s="19">
        <v>104.3</v>
      </c>
    </row>
    <row r="1408" spans="1:13" x14ac:dyDescent="0.75">
      <c r="A1408" t="s">
        <v>6</v>
      </c>
      <c r="B1408" s="18">
        <v>2025</v>
      </c>
      <c r="C1408" s="4">
        <v>3</v>
      </c>
      <c r="D1408">
        <v>1452</v>
      </c>
      <c r="E1408" s="33">
        <v>52.4</v>
      </c>
      <c r="F1408" s="26">
        <v>107.9</v>
      </c>
      <c r="G1408" s="29">
        <v>1849.16</v>
      </c>
      <c r="H1408" s="29">
        <v>127.55</v>
      </c>
      <c r="I1408" s="19">
        <v>2264.88</v>
      </c>
      <c r="J1408" s="40">
        <v>5.75</v>
      </c>
      <c r="K1408" s="41">
        <v>16456</v>
      </c>
      <c r="L1408" s="24">
        <v>72.7</v>
      </c>
      <c r="M1408" s="19">
        <v>105.1</v>
      </c>
    </row>
    <row r="1409" spans="1:13" x14ac:dyDescent="0.75">
      <c r="A1409" t="s">
        <v>6</v>
      </c>
      <c r="B1409" s="18">
        <v>2025</v>
      </c>
      <c r="C1409" s="4">
        <v>4</v>
      </c>
      <c r="D1409">
        <v>1553</v>
      </c>
      <c r="E1409" s="33">
        <v>46.7</v>
      </c>
      <c r="F1409" s="26">
        <v>109.44</v>
      </c>
      <c r="G1409" s="29">
        <v>1308.23</v>
      </c>
      <c r="H1409" s="29">
        <v>159.59</v>
      </c>
      <c r="I1409" s="19">
        <v>2304.6660000000002</v>
      </c>
      <c r="J1409" s="40">
        <v>5.75</v>
      </c>
      <c r="K1409" s="41">
        <v>16820</v>
      </c>
      <c r="L1409" s="24">
        <v>68.099999999999994</v>
      </c>
      <c r="M1409" s="19">
        <v>105.1</v>
      </c>
    </row>
    <row r="1410" spans="1:13" x14ac:dyDescent="0.75">
      <c r="A1410" t="s">
        <v>6</v>
      </c>
      <c r="B1410" s="18">
        <v>2025</v>
      </c>
      <c r="C1410" s="4">
        <v>5</v>
      </c>
      <c r="D1410">
        <v>1749</v>
      </c>
      <c r="E1410" s="33">
        <v>47.4</v>
      </c>
      <c r="F1410" s="26">
        <v>108.59</v>
      </c>
      <c r="G1410" s="29">
        <v>1644.53</v>
      </c>
      <c r="H1410" s="29">
        <v>138.05000000000001</v>
      </c>
      <c r="I1410" s="19">
        <v>2299.8150000000001</v>
      </c>
      <c r="J1410" s="40">
        <v>5.5</v>
      </c>
      <c r="K1410" s="41">
        <v>16441</v>
      </c>
      <c r="L1410" s="24">
        <v>64.5</v>
      </c>
      <c r="M1410" s="19">
        <v>104.6</v>
      </c>
    </row>
    <row r="1411" spans="1:13" x14ac:dyDescent="0.75">
      <c r="A1411" t="s">
        <v>6</v>
      </c>
      <c r="B1411" s="18">
        <v>2025</v>
      </c>
      <c r="C1411" s="4">
        <v>6</v>
      </c>
      <c r="D1411">
        <v>2005</v>
      </c>
      <c r="E1411" s="33">
        <v>46.9</v>
      </c>
      <c r="F1411" s="26">
        <v>108.35</v>
      </c>
      <c r="G1411" s="29">
        <v>2003.44</v>
      </c>
      <c r="H1411" s="29">
        <v>139.61000000000001</v>
      </c>
      <c r="I1411" s="19">
        <v>2353.79</v>
      </c>
      <c r="J1411" s="40">
        <v>5.5</v>
      </c>
      <c r="K1411" s="41">
        <v>16311</v>
      </c>
      <c r="L1411" s="24">
        <v>71.400000000000006</v>
      </c>
      <c r="M1411" s="19">
        <v>104.7</v>
      </c>
    </row>
    <row r="1412" spans="1:13" x14ac:dyDescent="0.75">
      <c r="A1412" t="s">
        <v>6</v>
      </c>
      <c r="B1412" s="18">
        <v>2025</v>
      </c>
      <c r="C1412" s="4">
        <v>7</v>
      </c>
      <c r="D1412">
        <v>2136</v>
      </c>
      <c r="E1412" s="33">
        <v>49.2</v>
      </c>
      <c r="F1412" s="26">
        <v>109.02</v>
      </c>
      <c r="G1412" s="29">
        <v>2059.44</v>
      </c>
      <c r="H1412" s="29">
        <v>164.94</v>
      </c>
      <c r="I1412" s="19">
        <v>2311.857</v>
      </c>
      <c r="J1412" s="40">
        <v>5.25</v>
      </c>
      <c r="K1412" s="41">
        <v>16276</v>
      </c>
      <c r="L1412" s="24">
        <v>71</v>
      </c>
      <c r="M1412" s="19">
        <v>105.2</v>
      </c>
    </row>
    <row r="1413" spans="1:13" x14ac:dyDescent="0.75">
      <c r="A1413" t="s">
        <v>6</v>
      </c>
      <c r="B1413" s="18">
        <v>2025</v>
      </c>
      <c r="C1413" s="4">
        <v>8</v>
      </c>
      <c r="D1413">
        <v>2214</v>
      </c>
      <c r="E1413" s="33">
        <v>51.5</v>
      </c>
      <c r="F1413" s="26">
        <v>109.95</v>
      </c>
      <c r="G1413" s="29">
        <v>2099.16</v>
      </c>
      <c r="H1413" s="29">
        <v>123.4</v>
      </c>
      <c r="I1413" s="19">
        <v>2321.596</v>
      </c>
      <c r="J1413" s="40">
        <v>5</v>
      </c>
      <c r="K1413" s="41">
        <v>16309</v>
      </c>
      <c r="L1413" s="24">
        <v>67.900000000000006</v>
      </c>
      <c r="M1413" s="19">
        <v>105.2</v>
      </c>
    </row>
    <row r="1414" spans="1:13" x14ac:dyDescent="0.75">
      <c r="A1414" t="s">
        <v>6</v>
      </c>
      <c r="B1414" s="18">
        <v>2025</v>
      </c>
      <c r="C1414" s="4">
        <v>9</v>
      </c>
      <c r="D1414">
        <v>2423</v>
      </c>
      <c r="E1414" s="33">
        <v>50.4</v>
      </c>
      <c r="F1414" s="26">
        <v>111.17</v>
      </c>
      <c r="G1414" s="29">
        <v>1590.3</v>
      </c>
      <c r="H1414" s="29">
        <v>134.13999999999999</v>
      </c>
      <c r="I1414" s="19">
        <v>2267.3820000000001</v>
      </c>
      <c r="J1414" s="40">
        <v>4.75</v>
      </c>
      <c r="K1414" s="41">
        <v>16512</v>
      </c>
      <c r="L1414" s="24">
        <v>68</v>
      </c>
      <c r="M1414" s="19">
        <v>105.3</v>
      </c>
    </row>
    <row r="1415" spans="1:13" x14ac:dyDescent="0.75">
      <c r="A1415" t="s">
        <v>6</v>
      </c>
      <c r="B1415" s="18">
        <v>2025</v>
      </c>
      <c r="C1415" s="4">
        <v>10</v>
      </c>
      <c r="D1415">
        <v>2514</v>
      </c>
      <c r="E1415" s="33">
        <v>51.2</v>
      </c>
      <c r="F1415" s="26">
        <v>111.1</v>
      </c>
      <c r="G1415" s="29">
        <v>1772.43</v>
      </c>
      <c r="H1415" s="29">
        <v>158.69999999999999</v>
      </c>
      <c r="I1415" s="19">
        <v>2268.1190000000001</v>
      </c>
      <c r="J1415" s="40">
        <v>4.75</v>
      </c>
      <c r="K1415" s="41">
        <v>16607</v>
      </c>
      <c r="L1415" s="24">
        <v>64.5</v>
      </c>
      <c r="M1415" s="19">
        <v>105.5</v>
      </c>
    </row>
    <row r="1416" spans="1:13" x14ac:dyDescent="0.75">
      <c r="A1416" t="s">
        <v>6</v>
      </c>
      <c r="B1416" s="18">
        <v>2025</v>
      </c>
      <c r="C1416" s="4">
        <v>11</v>
      </c>
      <c r="D1416">
        <v>2529</v>
      </c>
      <c r="E1416" s="33">
        <v>53.3</v>
      </c>
      <c r="F1416" s="26">
        <v>110.86</v>
      </c>
      <c r="G1416" s="29">
        <v>1640.29</v>
      </c>
      <c r="H1416" s="29">
        <v>101.94</v>
      </c>
      <c r="I1416" s="19">
        <v>2225.009</v>
      </c>
      <c r="J1416" s="40">
        <v>4.75</v>
      </c>
      <c r="K1416" s="41">
        <v>16703</v>
      </c>
      <c r="L1416" s="24">
        <v>63.8</v>
      </c>
      <c r="M1416" s="19">
        <v>105.4</v>
      </c>
    </row>
    <row r="1417" spans="1:13" x14ac:dyDescent="0.75">
      <c r="A1417" t="s">
        <v>6</v>
      </c>
      <c r="B1417" s="18">
        <v>2025</v>
      </c>
      <c r="C1417" s="4">
        <v>12</v>
      </c>
      <c r="D1417">
        <v>2546</v>
      </c>
      <c r="E1417" s="33">
        <v>51.2</v>
      </c>
      <c r="F1417" s="26">
        <v>112.2</v>
      </c>
      <c r="G1417" s="29">
        <v>2157.81</v>
      </c>
      <c r="H1417" s="29">
        <v>139.15</v>
      </c>
      <c r="I1417" s="19">
        <v>2171.3180000000002</v>
      </c>
      <c r="J1417" s="40">
        <v>4.75</v>
      </c>
      <c r="K1417" s="41">
        <v>16699</v>
      </c>
      <c r="L1417" s="24">
        <v>62.5</v>
      </c>
      <c r="M1417" s="19">
        <v>106.3</v>
      </c>
    </row>
    <row r="1418" spans="1:13" x14ac:dyDescent="0.75">
      <c r="A1418" t="s">
        <v>7</v>
      </c>
      <c r="B1418" s="18">
        <v>2025</v>
      </c>
      <c r="C1418" s="4">
        <v>1</v>
      </c>
      <c r="D1418">
        <v>41</v>
      </c>
      <c r="E1418" s="33">
        <v>51.9</v>
      </c>
      <c r="F1418" s="19">
        <v>106.41</v>
      </c>
      <c r="G1418" s="29">
        <v>170.42</v>
      </c>
      <c r="H1418" s="26">
        <v>1.2</v>
      </c>
      <c r="I1418" s="19">
        <v>978.93799999999999</v>
      </c>
      <c r="J1418" s="40">
        <v>5.75</v>
      </c>
      <c r="K1418" s="41">
        <v>16262</v>
      </c>
      <c r="L1418" s="24">
        <v>79.3</v>
      </c>
      <c r="M1418" s="19">
        <v>104.2</v>
      </c>
    </row>
    <row r="1419" spans="1:13" x14ac:dyDescent="0.75">
      <c r="A1419" t="s">
        <v>7</v>
      </c>
      <c r="B1419" s="18">
        <v>2025</v>
      </c>
      <c r="C1419" s="4">
        <v>2</v>
      </c>
      <c r="D1419">
        <v>74</v>
      </c>
      <c r="E1419" s="33">
        <v>53.6</v>
      </c>
      <c r="F1419" s="19">
        <v>105.77</v>
      </c>
      <c r="G1419" s="29">
        <v>190.48</v>
      </c>
      <c r="H1419" s="26">
        <v>3.92</v>
      </c>
      <c r="I1419" s="19">
        <v>987.90499999999997</v>
      </c>
      <c r="J1419" s="40">
        <v>5.75</v>
      </c>
      <c r="K1419" s="41">
        <v>16338</v>
      </c>
      <c r="L1419" s="24">
        <v>75.400000000000006</v>
      </c>
      <c r="M1419" s="19">
        <v>104.3</v>
      </c>
    </row>
    <row r="1420" spans="1:13" x14ac:dyDescent="0.75">
      <c r="A1420" t="s">
        <v>7</v>
      </c>
      <c r="B1420" s="18">
        <v>2025</v>
      </c>
      <c r="C1420" s="4">
        <v>3</v>
      </c>
      <c r="D1420">
        <v>89</v>
      </c>
      <c r="E1420" s="33">
        <v>52.4</v>
      </c>
      <c r="F1420" s="19">
        <v>106.97</v>
      </c>
      <c r="G1420" s="29">
        <v>206.41</v>
      </c>
      <c r="H1420" s="26">
        <v>2.78</v>
      </c>
      <c r="I1420" s="19">
        <v>979.60699999999997</v>
      </c>
      <c r="J1420" s="40">
        <v>5.75</v>
      </c>
      <c r="K1420" s="41">
        <v>16456</v>
      </c>
      <c r="L1420" s="24">
        <v>72.7</v>
      </c>
      <c r="M1420" s="19">
        <v>105.1</v>
      </c>
    </row>
    <row r="1421" spans="1:13" x14ac:dyDescent="0.75">
      <c r="A1421" t="s">
        <v>7</v>
      </c>
      <c r="B1421" s="18">
        <v>2025</v>
      </c>
      <c r="C1421" s="4">
        <v>4</v>
      </c>
      <c r="D1421">
        <v>111</v>
      </c>
      <c r="E1421" s="33">
        <v>46.7</v>
      </c>
      <c r="F1421" s="19">
        <v>108.79</v>
      </c>
      <c r="G1421" s="29">
        <v>157.69</v>
      </c>
      <c r="H1421" s="26">
        <v>3.62</v>
      </c>
      <c r="I1421" s="19">
        <v>1027.1120000000001</v>
      </c>
      <c r="J1421" s="40">
        <v>5.75</v>
      </c>
      <c r="K1421" s="41">
        <v>16820</v>
      </c>
      <c r="L1421" s="24">
        <v>68.099999999999994</v>
      </c>
      <c r="M1421" s="19">
        <v>105.1</v>
      </c>
    </row>
    <row r="1422" spans="1:13" x14ac:dyDescent="0.75">
      <c r="A1422" t="s">
        <v>7</v>
      </c>
      <c r="B1422" s="18">
        <v>2025</v>
      </c>
      <c r="C1422" s="4">
        <v>5</v>
      </c>
      <c r="D1422">
        <v>145</v>
      </c>
      <c r="E1422" s="33">
        <v>47.4</v>
      </c>
      <c r="F1422" s="19">
        <v>108.05</v>
      </c>
      <c r="G1422" s="29">
        <v>153.52000000000001</v>
      </c>
      <c r="H1422" s="26">
        <v>9.59</v>
      </c>
      <c r="I1422" s="19">
        <v>1038.806</v>
      </c>
      <c r="J1422" s="40">
        <v>5.5</v>
      </c>
      <c r="K1422" s="41">
        <v>16441</v>
      </c>
      <c r="L1422" s="24">
        <v>64.5</v>
      </c>
      <c r="M1422" s="19">
        <v>104.6</v>
      </c>
    </row>
    <row r="1423" spans="1:13" x14ac:dyDescent="0.75">
      <c r="A1423" t="s">
        <v>7</v>
      </c>
      <c r="B1423" s="18">
        <v>2025</v>
      </c>
      <c r="C1423" s="4">
        <v>6</v>
      </c>
      <c r="D1423">
        <v>171</v>
      </c>
      <c r="E1423" s="33">
        <v>46.9</v>
      </c>
      <c r="F1423" s="19">
        <v>108.31</v>
      </c>
      <c r="G1423" s="29">
        <v>181.3</v>
      </c>
      <c r="H1423" s="26">
        <v>7.3</v>
      </c>
      <c r="I1423" s="19">
        <v>991.28099999999995</v>
      </c>
      <c r="J1423" s="40">
        <v>5.5</v>
      </c>
      <c r="K1423" s="41">
        <v>16311</v>
      </c>
      <c r="L1423" s="24">
        <v>71.400000000000006</v>
      </c>
      <c r="M1423" s="19">
        <v>104.7</v>
      </c>
    </row>
    <row r="1424" spans="1:13" x14ac:dyDescent="0.75">
      <c r="A1424" t="s">
        <v>7</v>
      </c>
      <c r="B1424" s="18">
        <v>2025</v>
      </c>
      <c r="C1424" s="4">
        <v>7</v>
      </c>
      <c r="D1424">
        <v>206</v>
      </c>
      <c r="E1424" s="33">
        <v>49.2</v>
      </c>
      <c r="F1424" s="19">
        <v>108.87</v>
      </c>
      <c r="G1424" s="29">
        <v>171.32</v>
      </c>
      <c r="H1424" s="26">
        <v>8.4499999999999993</v>
      </c>
      <c r="I1424" s="19">
        <v>1020.922</v>
      </c>
      <c r="J1424" s="40">
        <v>5.25</v>
      </c>
      <c r="K1424" s="41">
        <v>16276</v>
      </c>
      <c r="L1424" s="24">
        <v>71</v>
      </c>
      <c r="M1424" s="19">
        <v>105.2</v>
      </c>
    </row>
    <row r="1425" spans="1:13" x14ac:dyDescent="0.75">
      <c r="A1425" t="s">
        <v>7</v>
      </c>
      <c r="B1425" s="18">
        <v>2025</v>
      </c>
      <c r="C1425" s="4">
        <v>8</v>
      </c>
      <c r="D1425">
        <v>241</v>
      </c>
      <c r="E1425" s="33">
        <v>51.5</v>
      </c>
      <c r="F1425" s="19">
        <v>108.92</v>
      </c>
      <c r="G1425" s="29">
        <v>193.18</v>
      </c>
      <c r="H1425" s="26">
        <v>4.87</v>
      </c>
      <c r="I1425" s="19">
        <v>1024.297</v>
      </c>
      <c r="J1425" s="40">
        <v>5</v>
      </c>
      <c r="K1425" s="41">
        <v>16309</v>
      </c>
      <c r="L1425" s="24">
        <v>67.900000000000006</v>
      </c>
      <c r="M1425" s="19">
        <v>105.2</v>
      </c>
    </row>
    <row r="1426" spans="1:13" x14ac:dyDescent="0.75">
      <c r="A1426" t="s">
        <v>7</v>
      </c>
      <c r="B1426" s="18">
        <v>2025</v>
      </c>
      <c r="C1426" s="4">
        <v>9</v>
      </c>
      <c r="D1426">
        <v>262</v>
      </c>
      <c r="E1426" s="33">
        <v>50.4</v>
      </c>
      <c r="F1426" s="19">
        <v>109.8</v>
      </c>
      <c r="G1426" s="29">
        <v>151.94</v>
      </c>
      <c r="H1426" s="26">
        <v>3.88</v>
      </c>
      <c r="I1426" s="19">
        <v>1012.769</v>
      </c>
      <c r="J1426" s="40">
        <v>4.75</v>
      </c>
      <c r="K1426" s="41">
        <v>16512</v>
      </c>
      <c r="L1426" s="24">
        <v>68</v>
      </c>
      <c r="M1426" s="19">
        <v>105.3</v>
      </c>
    </row>
    <row r="1427" spans="1:13" x14ac:dyDescent="0.75">
      <c r="A1427" t="s">
        <v>7</v>
      </c>
      <c r="B1427" s="18">
        <v>2025</v>
      </c>
      <c r="C1427" s="4">
        <v>10</v>
      </c>
      <c r="D1427">
        <v>295</v>
      </c>
      <c r="E1427" s="33">
        <v>51.2</v>
      </c>
      <c r="F1427" s="19">
        <v>109.77</v>
      </c>
      <c r="G1427" s="29">
        <v>161.33000000000001</v>
      </c>
      <c r="H1427" s="26">
        <v>18.190000000000001</v>
      </c>
      <c r="I1427" s="19">
        <v>1012.0170000000001</v>
      </c>
      <c r="J1427" s="40">
        <v>4.75</v>
      </c>
      <c r="K1427" s="41">
        <v>16607</v>
      </c>
      <c r="L1427" s="24">
        <v>64.5</v>
      </c>
      <c r="M1427" s="19">
        <v>105.5</v>
      </c>
    </row>
    <row r="1428" spans="1:13" x14ac:dyDescent="0.75">
      <c r="A1428" t="s">
        <v>7</v>
      </c>
      <c r="B1428" s="18">
        <v>2025</v>
      </c>
      <c r="C1428" s="4">
        <v>11</v>
      </c>
      <c r="D1428">
        <v>301</v>
      </c>
      <c r="E1428" s="33">
        <v>53.3</v>
      </c>
      <c r="F1428" s="19">
        <v>109.82</v>
      </c>
      <c r="G1428" s="29">
        <v>152.49</v>
      </c>
      <c r="H1428" s="26">
        <v>6.86</v>
      </c>
      <c r="I1428" s="19">
        <v>1026.8820000000001</v>
      </c>
      <c r="J1428" s="40">
        <v>4.75</v>
      </c>
      <c r="K1428" s="41">
        <v>16703</v>
      </c>
      <c r="L1428" s="24">
        <v>63.8</v>
      </c>
      <c r="M1428" s="19">
        <v>105.4</v>
      </c>
    </row>
    <row r="1429" spans="1:13" x14ac:dyDescent="0.75">
      <c r="A1429" t="s">
        <v>7</v>
      </c>
      <c r="B1429" s="18">
        <v>2025</v>
      </c>
      <c r="C1429" s="4">
        <v>12</v>
      </c>
      <c r="D1429">
        <v>303</v>
      </c>
      <c r="E1429" s="33">
        <v>51.2</v>
      </c>
      <c r="F1429" s="19">
        <v>110.5</v>
      </c>
      <c r="G1429" s="29">
        <v>153.71</v>
      </c>
      <c r="H1429" s="26">
        <v>5.8</v>
      </c>
      <c r="I1429" s="19">
        <v>1147.2380000000001</v>
      </c>
      <c r="J1429" s="40">
        <v>4.75</v>
      </c>
      <c r="K1429" s="41">
        <v>16699</v>
      </c>
      <c r="L1429" s="24">
        <v>62.5</v>
      </c>
      <c r="M1429" s="19">
        <v>106.3</v>
      </c>
    </row>
    <row r="1430" spans="1:13" x14ac:dyDescent="0.75">
      <c r="A1430" t="s">
        <v>8</v>
      </c>
      <c r="B1430" s="18">
        <v>2025</v>
      </c>
      <c r="C1430" s="4">
        <v>1</v>
      </c>
      <c r="D1430">
        <v>223</v>
      </c>
      <c r="E1430" s="33">
        <v>51.9</v>
      </c>
      <c r="F1430" s="29">
        <v>106.63</v>
      </c>
      <c r="G1430" s="26">
        <v>543.42999999999995</v>
      </c>
      <c r="H1430" s="19">
        <v>132.93</v>
      </c>
      <c r="I1430" s="19">
        <v>2685.3629999999998</v>
      </c>
      <c r="J1430" s="40">
        <v>5.75</v>
      </c>
      <c r="K1430" s="41">
        <v>16262</v>
      </c>
      <c r="L1430" s="24">
        <v>79.3</v>
      </c>
      <c r="M1430" s="19">
        <v>104.2</v>
      </c>
    </row>
    <row r="1431" spans="1:13" x14ac:dyDescent="0.75">
      <c r="A1431" t="s">
        <v>8</v>
      </c>
      <c r="B1431" s="18">
        <v>2025</v>
      </c>
      <c r="C1431" s="4">
        <v>2</v>
      </c>
      <c r="D1431">
        <v>351</v>
      </c>
      <c r="E1431" s="33">
        <v>53.6</v>
      </c>
      <c r="F1431" s="29">
        <v>106.19</v>
      </c>
      <c r="G1431" s="26">
        <v>645.99</v>
      </c>
      <c r="H1431" s="19">
        <v>65.02</v>
      </c>
      <c r="I1431" s="19">
        <v>2727.172</v>
      </c>
      <c r="J1431" s="40">
        <v>5.75</v>
      </c>
      <c r="K1431" s="41">
        <v>16338</v>
      </c>
      <c r="L1431" s="24">
        <v>75.400000000000006</v>
      </c>
      <c r="M1431" s="19">
        <v>104.3</v>
      </c>
    </row>
    <row r="1432" spans="1:13" x14ac:dyDescent="0.75">
      <c r="A1432" t="s">
        <v>8</v>
      </c>
      <c r="B1432" s="18">
        <v>2025</v>
      </c>
      <c r="C1432" s="4">
        <v>3</v>
      </c>
      <c r="D1432">
        <v>418</v>
      </c>
      <c r="E1432" s="33">
        <v>52.4</v>
      </c>
      <c r="F1432" s="29">
        <v>107.81</v>
      </c>
      <c r="G1432" s="26">
        <v>575.54</v>
      </c>
      <c r="H1432" s="19">
        <v>60.38</v>
      </c>
      <c r="I1432" s="19">
        <v>2717.12</v>
      </c>
      <c r="J1432" s="40">
        <v>5.75</v>
      </c>
      <c r="K1432" s="41">
        <v>16456</v>
      </c>
      <c r="L1432" s="24">
        <v>72.7</v>
      </c>
      <c r="M1432" s="19">
        <v>105.1</v>
      </c>
    </row>
    <row r="1433" spans="1:13" x14ac:dyDescent="0.75">
      <c r="A1433" t="s">
        <v>8</v>
      </c>
      <c r="B1433" s="18">
        <v>2025</v>
      </c>
      <c r="C1433" s="4">
        <v>4</v>
      </c>
      <c r="D1433">
        <v>550</v>
      </c>
      <c r="E1433" s="33">
        <v>46.7</v>
      </c>
      <c r="F1433" s="29">
        <v>109.31</v>
      </c>
      <c r="G1433" s="26">
        <v>463.36</v>
      </c>
      <c r="H1433" s="19">
        <v>106.56</v>
      </c>
      <c r="I1433" s="19">
        <v>2814.194</v>
      </c>
      <c r="J1433" s="40">
        <v>5.75</v>
      </c>
      <c r="K1433" s="41">
        <v>16820</v>
      </c>
      <c r="L1433" s="24">
        <v>68.099999999999994</v>
      </c>
      <c r="M1433" s="19">
        <v>105.1</v>
      </c>
    </row>
    <row r="1434" spans="1:13" x14ac:dyDescent="0.75">
      <c r="A1434" t="s">
        <v>8</v>
      </c>
      <c r="B1434" s="18">
        <v>2025</v>
      </c>
      <c r="C1434" s="4">
        <v>5</v>
      </c>
      <c r="D1434">
        <v>647</v>
      </c>
      <c r="E1434" s="33">
        <v>47.4</v>
      </c>
      <c r="F1434" s="29">
        <v>108.93</v>
      </c>
      <c r="G1434" s="26">
        <v>504.85</v>
      </c>
      <c r="H1434" s="19">
        <v>65.53</v>
      </c>
      <c r="I1434" s="19">
        <v>2871.4850000000001</v>
      </c>
      <c r="J1434" s="40">
        <v>5.5</v>
      </c>
      <c r="K1434" s="41">
        <v>16441</v>
      </c>
      <c r="L1434" s="24">
        <v>64.5</v>
      </c>
      <c r="M1434" s="19">
        <v>104.6</v>
      </c>
    </row>
    <row r="1435" spans="1:13" x14ac:dyDescent="0.75">
      <c r="A1435" t="s">
        <v>8</v>
      </c>
      <c r="B1435" s="18">
        <v>2025</v>
      </c>
      <c r="C1435" s="4">
        <v>6</v>
      </c>
      <c r="D1435">
        <v>741</v>
      </c>
      <c r="E1435" s="33">
        <v>46.9</v>
      </c>
      <c r="F1435" s="29">
        <v>109.02</v>
      </c>
      <c r="G1435" s="26">
        <v>464.33</v>
      </c>
      <c r="H1435" s="19">
        <v>83.92</v>
      </c>
      <c r="I1435" s="19">
        <v>2949.3090000000002</v>
      </c>
      <c r="J1435" s="40">
        <v>5.5</v>
      </c>
      <c r="K1435" s="41">
        <v>16311</v>
      </c>
      <c r="L1435" s="24">
        <v>71.400000000000006</v>
      </c>
      <c r="M1435" s="19">
        <v>104.7</v>
      </c>
    </row>
    <row r="1436" spans="1:13" x14ac:dyDescent="0.75">
      <c r="A1436" t="s">
        <v>8</v>
      </c>
      <c r="B1436" s="18">
        <v>2025</v>
      </c>
      <c r="C1436" s="4">
        <v>7</v>
      </c>
      <c r="D1436">
        <v>838</v>
      </c>
      <c r="E1436" s="33">
        <v>49.2</v>
      </c>
      <c r="F1436" s="29">
        <v>109.17</v>
      </c>
      <c r="G1436" s="26">
        <v>502.7</v>
      </c>
      <c r="H1436" s="19">
        <v>96.16</v>
      </c>
      <c r="I1436" s="19">
        <v>2992.7220000000002</v>
      </c>
      <c r="J1436" s="40">
        <v>5.25</v>
      </c>
      <c r="K1436" s="41">
        <v>16276</v>
      </c>
      <c r="L1436" s="24">
        <v>71</v>
      </c>
      <c r="M1436" s="19">
        <v>105.2</v>
      </c>
    </row>
    <row r="1437" spans="1:13" x14ac:dyDescent="0.75">
      <c r="A1437" t="s">
        <v>8</v>
      </c>
      <c r="B1437" s="18">
        <v>2025</v>
      </c>
      <c r="C1437" s="4">
        <v>8</v>
      </c>
      <c r="D1437">
        <v>1122</v>
      </c>
      <c r="E1437" s="33">
        <v>51.5</v>
      </c>
      <c r="F1437" s="29">
        <v>109.13</v>
      </c>
      <c r="G1437" s="26">
        <v>551.48</v>
      </c>
      <c r="H1437" s="19">
        <v>90.4</v>
      </c>
      <c r="I1437" s="19">
        <v>2993.509</v>
      </c>
      <c r="J1437" s="40">
        <v>5</v>
      </c>
      <c r="K1437" s="41">
        <v>16309</v>
      </c>
      <c r="L1437" s="24">
        <v>67.900000000000006</v>
      </c>
      <c r="M1437" s="19">
        <v>105.2</v>
      </c>
    </row>
    <row r="1438" spans="1:13" x14ac:dyDescent="0.75">
      <c r="A1438" t="s">
        <v>8</v>
      </c>
      <c r="B1438" s="18">
        <v>2025</v>
      </c>
      <c r="C1438" s="4">
        <v>9</v>
      </c>
      <c r="D1438">
        <v>1328</v>
      </c>
      <c r="E1438" s="33">
        <v>50.4</v>
      </c>
      <c r="F1438" s="29">
        <v>109.42</v>
      </c>
      <c r="G1438" s="26">
        <v>566.26</v>
      </c>
      <c r="H1438" s="19">
        <v>77.12</v>
      </c>
      <c r="I1438" s="19">
        <v>2976.3719999999998</v>
      </c>
      <c r="J1438" s="40">
        <v>4.75</v>
      </c>
      <c r="K1438" s="41">
        <v>16512</v>
      </c>
      <c r="L1438" s="24">
        <v>68</v>
      </c>
      <c r="M1438" s="19">
        <v>105.3</v>
      </c>
    </row>
    <row r="1439" spans="1:13" x14ac:dyDescent="0.75">
      <c r="A1439" t="s">
        <v>8</v>
      </c>
      <c r="B1439" s="18">
        <v>2025</v>
      </c>
      <c r="C1439" s="4">
        <v>10</v>
      </c>
      <c r="D1439">
        <v>1475</v>
      </c>
      <c r="E1439" s="33">
        <v>51.2</v>
      </c>
      <c r="F1439" s="29">
        <v>109.56</v>
      </c>
      <c r="G1439" s="26">
        <v>521.24</v>
      </c>
      <c r="H1439" s="19">
        <v>65.400000000000006</v>
      </c>
      <c r="I1439" s="19">
        <v>3013.3319999999999</v>
      </c>
      <c r="J1439" s="40">
        <v>4.75</v>
      </c>
      <c r="K1439" s="41">
        <v>16607</v>
      </c>
      <c r="L1439" s="24">
        <v>64.5</v>
      </c>
      <c r="M1439" s="19">
        <v>105.5</v>
      </c>
    </row>
    <row r="1440" spans="1:13" x14ac:dyDescent="0.75">
      <c r="A1440" t="s">
        <v>8</v>
      </c>
      <c r="B1440" s="18">
        <v>2025</v>
      </c>
      <c r="C1440" s="4">
        <v>11</v>
      </c>
      <c r="D1440">
        <v>1513</v>
      </c>
      <c r="E1440" s="33">
        <v>53.3</v>
      </c>
      <c r="F1440" s="29">
        <v>109.58</v>
      </c>
      <c r="G1440" s="26">
        <v>486.74</v>
      </c>
      <c r="H1440" s="19">
        <v>119.74</v>
      </c>
      <c r="I1440" s="19">
        <v>3056.2750000000001</v>
      </c>
      <c r="J1440" s="40">
        <v>4.75</v>
      </c>
      <c r="K1440" s="41">
        <v>16703</v>
      </c>
      <c r="L1440" s="24">
        <v>63.8</v>
      </c>
      <c r="M1440" s="19">
        <v>105.4</v>
      </c>
    </row>
    <row r="1441" spans="1:13" x14ac:dyDescent="0.75">
      <c r="A1441" t="s">
        <v>8</v>
      </c>
      <c r="B1441" s="18">
        <v>2025</v>
      </c>
      <c r="C1441" s="4">
        <v>12</v>
      </c>
      <c r="D1441">
        <v>1537</v>
      </c>
      <c r="E1441" s="33">
        <v>51.2</v>
      </c>
      <c r="F1441" s="29">
        <v>110.12</v>
      </c>
      <c r="G1441" s="26">
        <v>508.38</v>
      </c>
      <c r="H1441" s="19">
        <v>129.66999999999999</v>
      </c>
      <c r="I1441" s="19">
        <v>2981.6370000000002</v>
      </c>
      <c r="J1441" s="40">
        <v>4.75</v>
      </c>
      <c r="K1441" s="41">
        <v>16699</v>
      </c>
      <c r="L1441" s="24">
        <v>62.5</v>
      </c>
      <c r="M1441" s="19">
        <v>106.3</v>
      </c>
    </row>
    <row r="1442" spans="1:13" x14ac:dyDescent="0.75">
      <c r="A1442" t="s">
        <v>9</v>
      </c>
      <c r="B1442" s="18">
        <v>2025</v>
      </c>
      <c r="C1442" s="4">
        <v>1</v>
      </c>
      <c r="D1442">
        <v>38</v>
      </c>
      <c r="E1442" s="33">
        <v>51.9</v>
      </c>
      <c r="F1442" s="19">
        <v>105.33</v>
      </c>
      <c r="G1442" s="19">
        <v>19.190000000000001</v>
      </c>
      <c r="H1442" s="19"/>
      <c r="I1442" s="19">
        <v>461.37400000000002</v>
      </c>
      <c r="J1442" s="40">
        <v>5.75</v>
      </c>
      <c r="K1442" s="41">
        <v>16262</v>
      </c>
      <c r="L1442" s="24">
        <v>79.3</v>
      </c>
      <c r="M1442" s="19">
        <v>104.2</v>
      </c>
    </row>
    <row r="1443" spans="1:13" x14ac:dyDescent="0.75">
      <c r="A1443" t="s">
        <v>9</v>
      </c>
      <c r="B1443" s="18">
        <v>2025</v>
      </c>
      <c r="C1443" s="4">
        <v>2</v>
      </c>
      <c r="D1443">
        <v>51</v>
      </c>
      <c r="E1443" s="33">
        <v>53.6</v>
      </c>
      <c r="F1443" s="19">
        <v>104.73</v>
      </c>
      <c r="G1443" s="19">
        <v>14.15</v>
      </c>
      <c r="H1443" s="19"/>
      <c r="I1443" s="19">
        <v>468.53899999999999</v>
      </c>
      <c r="J1443" s="40">
        <v>5.75</v>
      </c>
      <c r="K1443" s="41">
        <v>16338</v>
      </c>
      <c r="L1443" s="24">
        <v>75.400000000000006</v>
      </c>
      <c r="M1443" s="19">
        <v>104.3</v>
      </c>
    </row>
    <row r="1444" spans="1:13" x14ac:dyDescent="0.75">
      <c r="A1444" t="s">
        <v>9</v>
      </c>
      <c r="B1444" s="18">
        <v>2025</v>
      </c>
      <c r="C1444" s="4">
        <v>3</v>
      </c>
      <c r="D1444">
        <v>60</v>
      </c>
      <c r="E1444" s="33">
        <v>52.4</v>
      </c>
      <c r="F1444" s="19">
        <v>106.07</v>
      </c>
      <c r="G1444" s="19">
        <v>9.16</v>
      </c>
      <c r="H1444" s="19"/>
      <c r="I1444" s="19">
        <v>458.68200000000002</v>
      </c>
      <c r="J1444" s="40">
        <v>5.75</v>
      </c>
      <c r="K1444" s="41">
        <v>16456</v>
      </c>
      <c r="L1444" s="24">
        <v>72.7</v>
      </c>
      <c r="M1444" s="19">
        <v>105.1</v>
      </c>
    </row>
    <row r="1445" spans="1:13" x14ac:dyDescent="0.75">
      <c r="A1445" t="s">
        <v>9</v>
      </c>
      <c r="B1445" s="18">
        <v>2025</v>
      </c>
      <c r="C1445" s="4">
        <v>4</v>
      </c>
      <c r="D1445">
        <v>66</v>
      </c>
      <c r="E1445" s="33">
        <v>46.7</v>
      </c>
      <c r="F1445" s="19">
        <v>107.46</v>
      </c>
      <c r="G1445" s="19">
        <v>3.96</v>
      </c>
      <c r="H1445" s="19"/>
      <c r="I1445" s="19">
        <v>495.13</v>
      </c>
      <c r="J1445" s="40">
        <v>5.75</v>
      </c>
      <c r="K1445" s="41">
        <v>16820</v>
      </c>
      <c r="L1445" s="24">
        <v>68.099999999999994</v>
      </c>
      <c r="M1445" s="19">
        <v>105.1</v>
      </c>
    </row>
    <row r="1446" spans="1:13" x14ac:dyDescent="0.75">
      <c r="A1446" t="s">
        <v>9</v>
      </c>
      <c r="B1446" s="18">
        <v>2025</v>
      </c>
      <c r="C1446" s="4">
        <v>5</v>
      </c>
      <c r="D1446">
        <v>82</v>
      </c>
      <c r="E1446" s="33">
        <v>47.4</v>
      </c>
      <c r="F1446" s="19">
        <v>107.18</v>
      </c>
      <c r="G1446" s="19">
        <v>4.57</v>
      </c>
      <c r="H1446" s="19"/>
      <c r="I1446" s="19">
        <v>515.41600000000005</v>
      </c>
      <c r="J1446" s="40">
        <v>5.5</v>
      </c>
      <c r="K1446" s="41">
        <v>16441</v>
      </c>
      <c r="L1446" s="24">
        <v>64.5</v>
      </c>
      <c r="M1446" s="19">
        <v>104.6</v>
      </c>
    </row>
    <row r="1447" spans="1:13" x14ac:dyDescent="0.75">
      <c r="A1447" t="s">
        <v>9</v>
      </c>
      <c r="B1447" s="18">
        <v>2025</v>
      </c>
      <c r="C1447" s="4">
        <v>6</v>
      </c>
      <c r="D1447">
        <v>117</v>
      </c>
      <c r="E1447" s="33">
        <v>46.9</v>
      </c>
      <c r="F1447" s="19">
        <v>106.61</v>
      </c>
      <c r="G1447" s="19">
        <v>2.81</v>
      </c>
      <c r="H1447" s="19"/>
      <c r="I1447" s="19">
        <v>485.38</v>
      </c>
      <c r="J1447" s="40">
        <v>5.5</v>
      </c>
      <c r="K1447" s="41">
        <v>16311</v>
      </c>
      <c r="L1447" s="24">
        <v>71.400000000000006</v>
      </c>
      <c r="M1447" s="19">
        <v>104.7</v>
      </c>
    </row>
    <row r="1448" spans="1:13" x14ac:dyDescent="0.75">
      <c r="A1448" t="s">
        <v>9</v>
      </c>
      <c r="B1448" s="18">
        <v>2025</v>
      </c>
      <c r="C1448" s="4">
        <v>7</v>
      </c>
      <c r="D1448">
        <v>320</v>
      </c>
      <c r="E1448" s="33">
        <v>49.2</v>
      </c>
      <c r="F1448" s="19">
        <v>107.04</v>
      </c>
      <c r="G1448" s="19">
        <v>3.93</v>
      </c>
      <c r="H1448" s="19"/>
      <c r="I1448" s="19">
        <v>507.63099999999997</v>
      </c>
      <c r="J1448" s="40">
        <v>5.25</v>
      </c>
      <c r="K1448" s="41">
        <v>16276</v>
      </c>
      <c r="L1448" s="24">
        <v>71</v>
      </c>
      <c r="M1448" s="19">
        <v>105.2</v>
      </c>
    </row>
    <row r="1449" spans="1:13" x14ac:dyDescent="0.75">
      <c r="A1449" t="s">
        <v>9</v>
      </c>
      <c r="B1449" s="18">
        <v>2025</v>
      </c>
      <c r="C1449" s="4">
        <v>8</v>
      </c>
      <c r="D1449">
        <v>508</v>
      </c>
      <c r="E1449" s="33">
        <v>51.5</v>
      </c>
      <c r="F1449" s="19">
        <v>107.15</v>
      </c>
      <c r="G1449" s="19">
        <v>6.82</v>
      </c>
      <c r="H1449" s="19"/>
      <c r="I1449" s="19">
        <v>517.72400000000005</v>
      </c>
      <c r="J1449" s="40">
        <v>5</v>
      </c>
      <c r="K1449" s="41">
        <v>16309</v>
      </c>
      <c r="L1449" s="24">
        <v>67.900000000000006</v>
      </c>
      <c r="M1449" s="19">
        <v>105.2</v>
      </c>
    </row>
    <row r="1450" spans="1:13" x14ac:dyDescent="0.75">
      <c r="A1450" t="s">
        <v>9</v>
      </c>
      <c r="B1450" s="18">
        <v>2025</v>
      </c>
      <c r="C1450" s="4">
        <v>9</v>
      </c>
      <c r="D1450">
        <v>523</v>
      </c>
      <c r="E1450" s="33">
        <v>50.4</v>
      </c>
      <c r="F1450" s="19">
        <v>108.19</v>
      </c>
      <c r="G1450" s="19">
        <v>12.9</v>
      </c>
      <c r="H1450" s="19"/>
      <c r="I1450" s="19">
        <v>506.82499999999999</v>
      </c>
      <c r="J1450" s="40">
        <v>4.75</v>
      </c>
      <c r="K1450" s="41">
        <v>16512</v>
      </c>
      <c r="L1450" s="24">
        <v>68</v>
      </c>
      <c r="M1450" s="19">
        <v>105.3</v>
      </c>
    </row>
    <row r="1451" spans="1:13" x14ac:dyDescent="0.75">
      <c r="A1451" t="s">
        <v>9</v>
      </c>
      <c r="B1451" s="18">
        <v>2025</v>
      </c>
      <c r="C1451" s="4">
        <v>10</v>
      </c>
      <c r="D1451">
        <v>533</v>
      </c>
      <c r="E1451" s="33">
        <v>51.2</v>
      </c>
      <c r="F1451" s="19">
        <v>108.39</v>
      </c>
      <c r="G1451" s="19">
        <v>6.46</v>
      </c>
      <c r="H1451" s="19"/>
      <c r="I1451" s="19">
        <v>509.67099999999999</v>
      </c>
      <c r="J1451" s="40">
        <v>4.75</v>
      </c>
      <c r="K1451" s="41">
        <v>16607</v>
      </c>
      <c r="L1451" s="24">
        <v>64.5</v>
      </c>
      <c r="M1451" s="19">
        <v>105.5</v>
      </c>
    </row>
    <row r="1452" spans="1:13" x14ac:dyDescent="0.75">
      <c r="A1452" t="s">
        <v>9</v>
      </c>
      <c r="B1452" s="18">
        <v>2025</v>
      </c>
      <c r="C1452" s="4">
        <v>11</v>
      </c>
      <c r="D1452">
        <v>535</v>
      </c>
      <c r="E1452" s="33">
        <v>53.3</v>
      </c>
      <c r="F1452" s="19">
        <v>108.43</v>
      </c>
      <c r="G1452" s="19">
        <v>6.21</v>
      </c>
      <c r="H1452" s="19"/>
      <c r="I1452" s="19">
        <v>508.26400000000001</v>
      </c>
      <c r="J1452" s="40">
        <v>4.75</v>
      </c>
      <c r="K1452" s="41">
        <v>16703</v>
      </c>
      <c r="L1452" s="24">
        <v>63.8</v>
      </c>
      <c r="M1452" s="19">
        <v>105.4</v>
      </c>
    </row>
    <row r="1453" spans="1:13" x14ac:dyDescent="0.75">
      <c r="A1453" t="s">
        <v>9</v>
      </c>
      <c r="B1453" s="18">
        <v>2025</v>
      </c>
      <c r="C1453" s="4">
        <v>12</v>
      </c>
      <c r="D1453">
        <v>535</v>
      </c>
      <c r="E1453" s="33">
        <v>51.2</v>
      </c>
      <c r="F1453" s="19">
        <v>108.9</v>
      </c>
      <c r="G1453" s="19">
        <v>14.52</v>
      </c>
      <c r="H1453" s="19"/>
      <c r="I1453" s="19">
        <v>482.75</v>
      </c>
      <c r="J1453" s="40">
        <v>4.75</v>
      </c>
      <c r="K1453" s="41">
        <v>16699</v>
      </c>
      <c r="L1453" s="24">
        <v>62.5</v>
      </c>
      <c r="M1453" s="19">
        <v>106.3</v>
      </c>
    </row>
    <row r="1454" spans="1:13" x14ac:dyDescent="0.75">
      <c r="A1454" t="s">
        <v>10</v>
      </c>
      <c r="B1454" s="18">
        <v>2025</v>
      </c>
      <c r="C1454" s="4">
        <v>1</v>
      </c>
      <c r="D1454">
        <v>67</v>
      </c>
      <c r="E1454" s="33">
        <v>51.9</v>
      </c>
      <c r="F1454" s="19">
        <v>107.66</v>
      </c>
      <c r="G1454" s="19">
        <v>477.54</v>
      </c>
      <c r="H1454" s="19">
        <v>237.99</v>
      </c>
      <c r="I1454" s="19">
        <v>1898.306</v>
      </c>
      <c r="J1454" s="40">
        <v>5.75</v>
      </c>
      <c r="K1454" s="41">
        <v>16262</v>
      </c>
      <c r="L1454" s="24">
        <v>79.3</v>
      </c>
      <c r="M1454" s="19">
        <v>104.2</v>
      </c>
    </row>
    <row r="1455" spans="1:13" x14ac:dyDescent="0.75">
      <c r="A1455" t="s">
        <v>10</v>
      </c>
      <c r="B1455" s="18">
        <v>2025</v>
      </c>
      <c r="C1455" s="4">
        <v>2</v>
      </c>
      <c r="D1455">
        <v>185</v>
      </c>
      <c r="E1455" s="33">
        <v>53.6</v>
      </c>
      <c r="F1455" s="19">
        <v>106.95</v>
      </c>
      <c r="G1455" s="19">
        <v>517.92999999999995</v>
      </c>
      <c r="H1455" s="19">
        <v>282.83999999999997</v>
      </c>
      <c r="I1455" s="19">
        <v>1923.8879999999999</v>
      </c>
      <c r="J1455" s="40">
        <v>5.75</v>
      </c>
      <c r="K1455" s="41">
        <v>16338</v>
      </c>
      <c r="L1455" s="24">
        <v>75.400000000000006</v>
      </c>
      <c r="M1455" s="19">
        <v>104.3</v>
      </c>
    </row>
    <row r="1456" spans="1:13" x14ac:dyDescent="0.75">
      <c r="A1456" t="s">
        <v>10</v>
      </c>
      <c r="B1456" s="18">
        <v>2025</v>
      </c>
      <c r="C1456" s="4">
        <v>3</v>
      </c>
      <c r="D1456">
        <v>225</v>
      </c>
      <c r="E1456" s="33">
        <v>52.4</v>
      </c>
      <c r="F1456" s="19">
        <v>109.05</v>
      </c>
      <c r="G1456" s="19">
        <v>578.04999999999995</v>
      </c>
      <c r="H1456" s="19">
        <v>164.9</v>
      </c>
      <c r="I1456" s="19">
        <v>1862.087</v>
      </c>
      <c r="J1456" s="40">
        <v>5.75</v>
      </c>
      <c r="K1456" s="41">
        <v>16456</v>
      </c>
      <c r="L1456" s="24">
        <v>72.7</v>
      </c>
      <c r="M1456" s="19">
        <v>105.1</v>
      </c>
    </row>
    <row r="1457" spans="1:13" x14ac:dyDescent="0.75">
      <c r="A1457" t="s">
        <v>10</v>
      </c>
      <c r="B1457" s="18">
        <v>2025</v>
      </c>
      <c r="C1457" s="4">
        <v>4</v>
      </c>
      <c r="D1457">
        <v>265</v>
      </c>
      <c r="E1457" s="33">
        <v>46.7</v>
      </c>
      <c r="F1457" s="19">
        <v>110.35</v>
      </c>
      <c r="G1457" s="19">
        <v>352.16</v>
      </c>
      <c r="H1457" s="19">
        <v>112.79</v>
      </c>
      <c r="I1457" s="19">
        <v>1886.078</v>
      </c>
      <c r="J1457" s="40">
        <v>5.75</v>
      </c>
      <c r="K1457" s="41">
        <v>16820</v>
      </c>
      <c r="L1457" s="24">
        <v>68.099999999999994</v>
      </c>
      <c r="M1457" s="19">
        <v>105.1</v>
      </c>
    </row>
    <row r="1458" spans="1:13" x14ac:dyDescent="0.75">
      <c r="A1458" t="s">
        <v>10</v>
      </c>
      <c r="B1458" s="18">
        <v>2025</v>
      </c>
      <c r="C1458" s="4">
        <v>5</v>
      </c>
      <c r="D1458">
        <v>377</v>
      </c>
      <c r="E1458" s="33">
        <v>47.4</v>
      </c>
      <c r="F1458" s="19">
        <v>109.71</v>
      </c>
      <c r="G1458" s="19">
        <v>565.33000000000004</v>
      </c>
      <c r="H1458" s="19">
        <v>175.45</v>
      </c>
      <c r="I1458" s="19">
        <v>2011.123</v>
      </c>
      <c r="J1458" s="40">
        <v>5.5</v>
      </c>
      <c r="K1458" s="41">
        <v>16441</v>
      </c>
      <c r="L1458" s="24">
        <v>64.5</v>
      </c>
      <c r="M1458" s="19">
        <v>104.6</v>
      </c>
    </row>
    <row r="1459" spans="1:13" x14ac:dyDescent="0.75">
      <c r="A1459" t="s">
        <v>10</v>
      </c>
      <c r="B1459" s="18">
        <v>2025</v>
      </c>
      <c r="C1459" s="4">
        <v>6</v>
      </c>
      <c r="D1459">
        <v>477</v>
      </c>
      <c r="E1459" s="33">
        <v>46.9</v>
      </c>
      <c r="F1459" s="19">
        <v>109.75</v>
      </c>
      <c r="G1459" s="19">
        <v>556.48</v>
      </c>
      <c r="H1459" s="19">
        <v>172.18</v>
      </c>
      <c r="I1459" s="19">
        <v>1830.961</v>
      </c>
      <c r="J1459" s="40">
        <v>5.5</v>
      </c>
      <c r="K1459" s="41">
        <v>16311</v>
      </c>
      <c r="L1459" s="24">
        <v>71.400000000000006</v>
      </c>
      <c r="M1459" s="19">
        <v>104.7</v>
      </c>
    </row>
    <row r="1460" spans="1:13" x14ac:dyDescent="0.75">
      <c r="A1460" t="s">
        <v>10</v>
      </c>
      <c r="B1460" s="18">
        <v>2025</v>
      </c>
      <c r="C1460" s="4">
        <v>7</v>
      </c>
      <c r="D1460">
        <v>538</v>
      </c>
      <c r="E1460" s="33">
        <v>49.2</v>
      </c>
      <c r="F1460" s="19">
        <v>109.96</v>
      </c>
      <c r="G1460" s="19">
        <v>550.04</v>
      </c>
      <c r="H1460" s="19">
        <v>130.87</v>
      </c>
      <c r="I1460" s="19">
        <v>2003.288</v>
      </c>
      <c r="J1460" s="40">
        <v>5.25</v>
      </c>
      <c r="K1460" s="41">
        <v>16276</v>
      </c>
      <c r="L1460" s="24">
        <v>71</v>
      </c>
      <c r="M1460" s="19">
        <v>105.2</v>
      </c>
    </row>
    <row r="1461" spans="1:13" x14ac:dyDescent="0.75">
      <c r="A1461" t="s">
        <v>10</v>
      </c>
      <c r="B1461" s="18">
        <v>2025</v>
      </c>
      <c r="C1461" s="4">
        <v>8</v>
      </c>
      <c r="D1461">
        <v>583</v>
      </c>
      <c r="E1461" s="33">
        <v>51.5</v>
      </c>
      <c r="F1461" s="19">
        <v>108.34</v>
      </c>
      <c r="G1461" s="19">
        <v>684.46</v>
      </c>
      <c r="H1461" s="19">
        <v>221.25</v>
      </c>
      <c r="I1461" s="19">
        <v>2013.5239999999999</v>
      </c>
      <c r="J1461" s="40">
        <v>5</v>
      </c>
      <c r="K1461" s="41">
        <v>16309</v>
      </c>
      <c r="L1461" s="24">
        <v>67.900000000000006</v>
      </c>
      <c r="M1461" s="19">
        <v>105.2</v>
      </c>
    </row>
    <row r="1462" spans="1:13" x14ac:dyDescent="0.75">
      <c r="A1462" t="s">
        <v>10</v>
      </c>
      <c r="B1462" s="18">
        <v>2025</v>
      </c>
      <c r="C1462" s="4">
        <v>9</v>
      </c>
      <c r="D1462">
        <v>699</v>
      </c>
      <c r="E1462" s="33">
        <v>50.4</v>
      </c>
      <c r="F1462" s="19">
        <v>108.51</v>
      </c>
      <c r="G1462" s="19">
        <v>544.95000000000005</v>
      </c>
      <c r="H1462" s="19">
        <v>116.22</v>
      </c>
      <c r="I1462" s="19">
        <v>1983.056</v>
      </c>
      <c r="J1462" s="40">
        <v>4.75</v>
      </c>
      <c r="K1462" s="41">
        <v>16512</v>
      </c>
      <c r="L1462" s="24">
        <v>68</v>
      </c>
      <c r="M1462" s="19">
        <v>105.3</v>
      </c>
    </row>
    <row r="1463" spans="1:13" x14ac:dyDescent="0.75">
      <c r="A1463" t="s">
        <v>10</v>
      </c>
      <c r="B1463" s="18">
        <v>2025</v>
      </c>
      <c r="C1463" s="4">
        <v>10</v>
      </c>
      <c r="D1463">
        <v>791</v>
      </c>
      <c r="E1463" s="33">
        <v>51.2</v>
      </c>
      <c r="F1463" s="19">
        <v>108.76</v>
      </c>
      <c r="G1463" s="19">
        <v>616.17999999999995</v>
      </c>
      <c r="H1463" s="19">
        <v>134.54</v>
      </c>
      <c r="I1463" s="19">
        <v>1943.61</v>
      </c>
      <c r="J1463" s="40">
        <v>4.75</v>
      </c>
      <c r="K1463" s="41">
        <v>16607</v>
      </c>
      <c r="L1463" s="24">
        <v>64.5</v>
      </c>
      <c r="M1463" s="19">
        <v>105.5</v>
      </c>
    </row>
    <row r="1464" spans="1:13" x14ac:dyDescent="0.75">
      <c r="A1464" t="s">
        <v>10</v>
      </c>
      <c r="B1464" s="18">
        <v>2025</v>
      </c>
      <c r="C1464" s="4">
        <v>11</v>
      </c>
      <c r="D1464">
        <v>799</v>
      </c>
      <c r="E1464" s="33">
        <v>53.3</v>
      </c>
      <c r="F1464" s="19">
        <v>109.15</v>
      </c>
      <c r="G1464" s="19">
        <v>532.61</v>
      </c>
      <c r="H1464" s="19">
        <v>144.24</v>
      </c>
      <c r="I1464" s="19">
        <v>1918.951</v>
      </c>
      <c r="J1464" s="40">
        <v>4.75</v>
      </c>
      <c r="K1464" s="41">
        <v>16703</v>
      </c>
      <c r="L1464" s="24">
        <v>63.8</v>
      </c>
      <c r="M1464" s="19">
        <v>105.4</v>
      </c>
    </row>
    <row r="1465" spans="1:13" x14ac:dyDescent="0.75">
      <c r="A1465" t="s">
        <v>10</v>
      </c>
      <c r="B1465" s="18">
        <v>2025</v>
      </c>
      <c r="C1465" s="4">
        <v>12</v>
      </c>
      <c r="D1465">
        <v>800</v>
      </c>
      <c r="E1465" s="33">
        <v>51.2</v>
      </c>
      <c r="F1465" s="19">
        <v>109.79</v>
      </c>
      <c r="G1465" s="19">
        <v>661.98</v>
      </c>
      <c r="H1465" s="19">
        <v>161.38</v>
      </c>
      <c r="I1465" s="19">
        <v>1940.075</v>
      </c>
      <c r="J1465" s="40">
        <v>4.75</v>
      </c>
      <c r="K1465" s="41">
        <v>16699</v>
      </c>
      <c r="L1465" s="24">
        <v>62.5</v>
      </c>
      <c r="M1465" s="19">
        <v>106.3</v>
      </c>
    </row>
    <row r="1466" spans="1:13" x14ac:dyDescent="0.75">
      <c r="A1466" t="s">
        <v>11</v>
      </c>
      <c r="B1466" s="18">
        <v>2025</v>
      </c>
      <c r="C1466" s="4">
        <v>1</v>
      </c>
      <c r="D1466">
        <v>13</v>
      </c>
      <c r="E1466" s="33">
        <v>51.9</v>
      </c>
      <c r="F1466" s="19">
        <v>103.36</v>
      </c>
      <c r="G1466" s="19">
        <v>75.56</v>
      </c>
      <c r="H1466" s="26">
        <v>0.05</v>
      </c>
      <c r="I1466" s="19">
        <v>327.32499999999999</v>
      </c>
      <c r="J1466" s="40">
        <v>5.75</v>
      </c>
      <c r="K1466" s="41">
        <v>16262</v>
      </c>
      <c r="L1466" s="24">
        <v>79.3</v>
      </c>
      <c r="M1466" s="19">
        <v>104.2</v>
      </c>
    </row>
    <row r="1467" spans="1:13" x14ac:dyDescent="0.75">
      <c r="A1467" t="s">
        <v>11</v>
      </c>
      <c r="B1467" s="18">
        <v>2025</v>
      </c>
      <c r="C1467" s="4">
        <v>2</v>
      </c>
      <c r="D1467">
        <v>24</v>
      </c>
      <c r="E1467" s="33">
        <v>53.6</v>
      </c>
      <c r="F1467" s="19">
        <v>103.33</v>
      </c>
      <c r="G1467" s="19">
        <v>145.49</v>
      </c>
      <c r="H1467" s="26">
        <v>1.57</v>
      </c>
      <c r="I1467" s="19">
        <v>328.40300000000002</v>
      </c>
      <c r="J1467" s="40">
        <v>5.75</v>
      </c>
      <c r="K1467" s="41">
        <v>16338</v>
      </c>
      <c r="L1467" s="24">
        <v>75.400000000000006</v>
      </c>
      <c r="M1467" s="19">
        <v>104.3</v>
      </c>
    </row>
    <row r="1468" spans="1:13" x14ac:dyDescent="0.75">
      <c r="A1468" t="s">
        <v>11</v>
      </c>
      <c r="B1468" s="18">
        <v>2025</v>
      </c>
      <c r="C1468" s="4">
        <v>3</v>
      </c>
      <c r="D1468">
        <v>47</v>
      </c>
      <c r="E1468" s="33">
        <v>52.4</v>
      </c>
      <c r="F1468" s="19">
        <v>105.22</v>
      </c>
      <c r="G1468" s="19">
        <v>205.39</v>
      </c>
      <c r="H1468" s="26"/>
      <c r="I1468" s="19">
        <v>323.392</v>
      </c>
      <c r="J1468" s="40">
        <v>5.75</v>
      </c>
      <c r="K1468" s="41">
        <v>16456</v>
      </c>
      <c r="L1468" s="24">
        <v>72.7</v>
      </c>
      <c r="M1468" s="19">
        <v>105.1</v>
      </c>
    </row>
    <row r="1469" spans="1:13" x14ac:dyDescent="0.75">
      <c r="A1469" t="s">
        <v>11</v>
      </c>
      <c r="B1469" s="18">
        <v>2025</v>
      </c>
      <c r="C1469" s="4">
        <v>4</v>
      </c>
      <c r="D1469">
        <v>63</v>
      </c>
      <c r="E1469" s="33">
        <v>46.7</v>
      </c>
      <c r="F1469" s="19">
        <v>106.03</v>
      </c>
      <c r="G1469" s="19">
        <v>176.41</v>
      </c>
      <c r="H1469" s="26">
        <v>1.39</v>
      </c>
      <c r="I1469" s="19">
        <v>344.85500000000002</v>
      </c>
      <c r="J1469" s="40">
        <v>5.75</v>
      </c>
      <c r="K1469" s="41">
        <v>16820</v>
      </c>
      <c r="L1469" s="24">
        <v>68.099999999999994</v>
      </c>
      <c r="M1469" s="19">
        <v>105.1</v>
      </c>
    </row>
    <row r="1470" spans="1:13" x14ac:dyDescent="0.75">
      <c r="A1470" t="s">
        <v>11</v>
      </c>
      <c r="B1470" s="18">
        <v>2025</v>
      </c>
      <c r="C1470" s="4">
        <v>5</v>
      </c>
      <c r="D1470">
        <v>89</v>
      </c>
      <c r="E1470" s="33">
        <v>47.4</v>
      </c>
      <c r="F1470" s="19">
        <v>105.09</v>
      </c>
      <c r="G1470" s="19">
        <v>206.04</v>
      </c>
      <c r="H1470" s="26">
        <v>0.7</v>
      </c>
      <c r="I1470" s="19">
        <v>363.29</v>
      </c>
      <c r="J1470" s="40">
        <v>5.5</v>
      </c>
      <c r="K1470" s="41">
        <v>16441</v>
      </c>
      <c r="L1470" s="24">
        <v>64.5</v>
      </c>
      <c r="M1470" s="19">
        <v>104.6</v>
      </c>
    </row>
    <row r="1471" spans="1:13" x14ac:dyDescent="0.75">
      <c r="A1471" t="s">
        <v>11</v>
      </c>
      <c r="B1471" s="18">
        <v>2025</v>
      </c>
      <c r="C1471" s="4">
        <v>6</v>
      </c>
      <c r="D1471">
        <v>101</v>
      </c>
      <c r="E1471" s="33">
        <v>46.9</v>
      </c>
      <c r="F1471" s="19">
        <v>104.98</v>
      </c>
      <c r="G1471" s="19">
        <v>166.65</v>
      </c>
      <c r="H1471" s="26">
        <v>0.65</v>
      </c>
      <c r="I1471" s="19">
        <v>365.74900000000002</v>
      </c>
      <c r="J1471" s="40">
        <v>5.5</v>
      </c>
      <c r="K1471" s="41">
        <v>16311</v>
      </c>
      <c r="L1471" s="24">
        <v>71.400000000000006</v>
      </c>
      <c r="M1471" s="19">
        <v>104.7</v>
      </c>
    </row>
    <row r="1472" spans="1:13" x14ac:dyDescent="0.75">
      <c r="A1472" t="s">
        <v>11</v>
      </c>
      <c r="B1472" s="18">
        <v>2025</v>
      </c>
      <c r="C1472" s="4">
        <v>7</v>
      </c>
      <c r="D1472">
        <v>196</v>
      </c>
      <c r="E1472" s="33">
        <v>49.2</v>
      </c>
      <c r="F1472" s="19">
        <v>105.66</v>
      </c>
      <c r="G1472" s="19">
        <v>145.97999999999999</v>
      </c>
      <c r="H1472" s="26">
        <v>0.12</v>
      </c>
      <c r="I1472" s="19">
        <v>437.029</v>
      </c>
      <c r="J1472" s="40">
        <v>5.25</v>
      </c>
      <c r="K1472" s="41">
        <v>16276</v>
      </c>
      <c r="L1472" s="24">
        <v>71</v>
      </c>
      <c r="M1472" s="19">
        <v>105.2</v>
      </c>
    </row>
    <row r="1473" spans="1:13" x14ac:dyDescent="0.75">
      <c r="A1473" t="s">
        <v>11</v>
      </c>
      <c r="B1473" s="18">
        <v>2025</v>
      </c>
      <c r="C1473" s="4">
        <v>8</v>
      </c>
      <c r="D1473">
        <v>242</v>
      </c>
      <c r="E1473" s="33">
        <v>51.5</v>
      </c>
      <c r="F1473" s="19">
        <v>105.17</v>
      </c>
      <c r="G1473" s="19">
        <v>136.22999999999999</v>
      </c>
      <c r="H1473" s="26">
        <v>0.7</v>
      </c>
      <c r="I1473" s="19">
        <v>435.86900000000003</v>
      </c>
      <c r="J1473" s="40">
        <v>5</v>
      </c>
      <c r="K1473" s="41">
        <v>16309</v>
      </c>
      <c r="L1473" s="24">
        <v>67.900000000000006</v>
      </c>
      <c r="M1473" s="19">
        <v>105.2</v>
      </c>
    </row>
    <row r="1474" spans="1:13" x14ac:dyDescent="0.75">
      <c r="A1474" t="s">
        <v>11</v>
      </c>
      <c r="B1474" s="18">
        <v>2025</v>
      </c>
      <c r="C1474" s="4">
        <v>9</v>
      </c>
      <c r="D1474">
        <v>255</v>
      </c>
      <c r="E1474" s="33">
        <v>50.4</v>
      </c>
      <c r="F1474" s="19">
        <v>105.65</v>
      </c>
      <c r="G1474" s="19">
        <v>173.95</v>
      </c>
      <c r="H1474" s="26">
        <v>0.11</v>
      </c>
      <c r="I1474" s="19">
        <v>427.21100000000001</v>
      </c>
      <c r="J1474" s="40">
        <v>4.75</v>
      </c>
      <c r="K1474" s="41">
        <v>16512</v>
      </c>
      <c r="L1474" s="24">
        <v>68</v>
      </c>
      <c r="M1474" s="19">
        <v>105.3</v>
      </c>
    </row>
    <row r="1475" spans="1:13" x14ac:dyDescent="0.75">
      <c r="A1475" t="s">
        <v>11</v>
      </c>
      <c r="B1475" s="18">
        <v>2025</v>
      </c>
      <c r="C1475" s="4">
        <v>10</v>
      </c>
      <c r="D1475">
        <v>264</v>
      </c>
      <c r="E1475" s="33">
        <v>51.2</v>
      </c>
      <c r="F1475" s="19">
        <v>106.17</v>
      </c>
      <c r="G1475" s="19">
        <v>113.78</v>
      </c>
      <c r="H1475" s="26"/>
      <c r="I1475" s="19">
        <v>429.54599999999999</v>
      </c>
      <c r="J1475" s="40">
        <v>4.75</v>
      </c>
      <c r="K1475" s="41">
        <v>16607</v>
      </c>
      <c r="L1475" s="24">
        <v>64.5</v>
      </c>
      <c r="M1475" s="19">
        <v>105.5</v>
      </c>
    </row>
    <row r="1476" spans="1:13" x14ac:dyDescent="0.75">
      <c r="A1476" t="s">
        <v>11</v>
      </c>
      <c r="B1476" s="18">
        <v>2025</v>
      </c>
      <c r="C1476" s="4">
        <v>11</v>
      </c>
      <c r="D1476">
        <v>267</v>
      </c>
      <c r="E1476" s="33">
        <v>53.3</v>
      </c>
      <c r="F1476" s="19">
        <v>106.55</v>
      </c>
      <c r="G1476" s="19">
        <v>283.43</v>
      </c>
      <c r="H1476" s="26">
        <v>0.56999999999999995</v>
      </c>
      <c r="I1476" s="19">
        <v>361.59300000000002</v>
      </c>
      <c r="J1476" s="40">
        <v>4.75</v>
      </c>
      <c r="K1476" s="41">
        <v>16703</v>
      </c>
      <c r="L1476" s="24">
        <v>63.8</v>
      </c>
      <c r="M1476" s="19">
        <v>105.4</v>
      </c>
    </row>
    <row r="1477" spans="1:13" x14ac:dyDescent="0.75">
      <c r="A1477" t="s">
        <v>11</v>
      </c>
      <c r="B1477" s="18">
        <v>2025</v>
      </c>
      <c r="C1477" s="4">
        <v>12</v>
      </c>
      <c r="D1477">
        <v>271</v>
      </c>
      <c r="E1477" s="33">
        <v>51.2</v>
      </c>
      <c r="F1477" s="19">
        <v>107.14</v>
      </c>
      <c r="G1477" s="19">
        <v>207.83</v>
      </c>
      <c r="H1477" s="26"/>
      <c r="I1477" s="19">
        <v>344.52499999999998</v>
      </c>
      <c r="J1477" s="40">
        <v>4.75</v>
      </c>
      <c r="K1477" s="41">
        <v>16699</v>
      </c>
      <c r="L1477" s="24">
        <v>62.5</v>
      </c>
      <c r="M1477" s="19">
        <v>106.3</v>
      </c>
    </row>
    <row r="1478" spans="1:13" x14ac:dyDescent="0.75">
      <c r="A1478" t="s">
        <v>12</v>
      </c>
      <c r="B1478" s="18">
        <v>2025</v>
      </c>
      <c r="C1478" s="4">
        <v>1</v>
      </c>
      <c r="D1478">
        <v>238</v>
      </c>
      <c r="E1478" s="33">
        <v>51.9</v>
      </c>
      <c r="F1478" s="26">
        <v>107.81</v>
      </c>
      <c r="G1478" s="26">
        <v>2106.0300000000002</v>
      </c>
      <c r="H1478" s="29">
        <v>1749.79</v>
      </c>
      <c r="I1478" s="19">
        <v>1975.021</v>
      </c>
      <c r="J1478" s="40">
        <v>5.75</v>
      </c>
      <c r="K1478" s="41">
        <v>16262</v>
      </c>
      <c r="L1478" s="24">
        <v>79.3</v>
      </c>
      <c r="M1478" s="19">
        <v>104.2</v>
      </c>
    </row>
    <row r="1479" spans="1:13" x14ac:dyDescent="0.75">
      <c r="A1479" t="s">
        <v>12</v>
      </c>
      <c r="B1479" s="18">
        <v>2025</v>
      </c>
      <c r="C1479" s="4">
        <v>2</v>
      </c>
      <c r="D1479">
        <v>611</v>
      </c>
      <c r="E1479" s="33">
        <v>53.6</v>
      </c>
      <c r="F1479" s="29">
        <v>107.66</v>
      </c>
      <c r="G1479" s="26">
        <v>1728.27</v>
      </c>
      <c r="H1479" s="29">
        <v>1686.27</v>
      </c>
      <c r="I1479" s="19">
        <v>2017.43</v>
      </c>
      <c r="J1479" s="40">
        <v>5.75</v>
      </c>
      <c r="K1479" s="41">
        <v>16338</v>
      </c>
      <c r="L1479" s="24">
        <v>75.400000000000006</v>
      </c>
      <c r="M1479" s="19">
        <v>104.3</v>
      </c>
    </row>
    <row r="1480" spans="1:13" x14ac:dyDescent="0.75">
      <c r="A1480" t="s">
        <v>12</v>
      </c>
      <c r="B1480" s="18">
        <v>2025</v>
      </c>
      <c r="C1480" s="4">
        <v>3</v>
      </c>
      <c r="D1480">
        <v>834</v>
      </c>
      <c r="E1480" s="33">
        <v>52.4</v>
      </c>
      <c r="F1480" s="29">
        <v>108.07</v>
      </c>
      <c r="G1480" s="26">
        <v>1983.45</v>
      </c>
      <c r="H1480" s="29">
        <v>1920.16</v>
      </c>
      <c r="I1480" s="19">
        <v>1867.181</v>
      </c>
      <c r="J1480" s="40">
        <v>5.75</v>
      </c>
      <c r="K1480" s="41">
        <v>16456</v>
      </c>
      <c r="L1480" s="24">
        <v>72.7</v>
      </c>
      <c r="M1480" s="19">
        <v>105.1</v>
      </c>
    </row>
    <row r="1481" spans="1:13" x14ac:dyDescent="0.75">
      <c r="A1481" t="s">
        <v>12</v>
      </c>
      <c r="B1481" s="18">
        <v>2025</v>
      </c>
      <c r="C1481" s="4">
        <v>4</v>
      </c>
      <c r="D1481">
        <v>1079</v>
      </c>
      <c r="E1481" s="33">
        <v>46.7</v>
      </c>
      <c r="F1481" s="29">
        <v>108.71</v>
      </c>
      <c r="G1481" s="26">
        <v>1941.38</v>
      </c>
      <c r="H1481" s="29">
        <v>1926.94</v>
      </c>
      <c r="I1481" s="19">
        <v>1898.6790000000001</v>
      </c>
      <c r="J1481" s="40">
        <v>5.75</v>
      </c>
      <c r="K1481" s="41">
        <v>16820</v>
      </c>
      <c r="L1481" s="24">
        <v>68.099999999999994</v>
      </c>
      <c r="M1481" s="19">
        <v>105.1</v>
      </c>
    </row>
    <row r="1482" spans="1:13" x14ac:dyDescent="0.75">
      <c r="A1482" t="s">
        <v>12</v>
      </c>
      <c r="B1482" s="18">
        <v>2025</v>
      </c>
      <c r="C1482" s="4">
        <v>5</v>
      </c>
      <c r="D1482">
        <v>1260</v>
      </c>
      <c r="E1482" s="33">
        <v>47.4</v>
      </c>
      <c r="F1482" s="29">
        <v>108.23</v>
      </c>
      <c r="G1482" s="26">
        <v>2327.23</v>
      </c>
      <c r="H1482" s="29">
        <v>2273.5300000000002</v>
      </c>
      <c r="I1482" s="19">
        <v>1907.605</v>
      </c>
      <c r="J1482" s="40">
        <v>5.5</v>
      </c>
      <c r="K1482" s="41">
        <v>16441</v>
      </c>
      <c r="L1482" s="24">
        <v>64.5</v>
      </c>
      <c r="M1482" s="19">
        <v>104.6</v>
      </c>
    </row>
    <row r="1483" spans="1:13" x14ac:dyDescent="0.75">
      <c r="A1483" t="s">
        <v>12</v>
      </c>
      <c r="B1483" s="18">
        <v>2025</v>
      </c>
      <c r="C1483" s="4">
        <v>6</v>
      </c>
      <c r="D1483">
        <v>1607</v>
      </c>
      <c r="E1483" s="33">
        <v>46.9</v>
      </c>
      <c r="F1483" s="29">
        <v>108.1</v>
      </c>
      <c r="G1483" s="26">
        <v>1833.63</v>
      </c>
      <c r="H1483" s="29">
        <v>1872.7</v>
      </c>
      <c r="I1483" s="19">
        <v>1906.9590000000001</v>
      </c>
      <c r="J1483" s="40">
        <v>5.5</v>
      </c>
      <c r="K1483" s="41">
        <v>16311</v>
      </c>
      <c r="L1483" s="24">
        <v>71.400000000000006</v>
      </c>
      <c r="M1483" s="19">
        <v>104.7</v>
      </c>
    </row>
    <row r="1484" spans="1:13" x14ac:dyDescent="0.75">
      <c r="A1484" t="s">
        <v>12</v>
      </c>
      <c r="B1484" s="18">
        <v>2025</v>
      </c>
      <c r="C1484" s="4">
        <v>7</v>
      </c>
      <c r="D1484">
        <v>2197</v>
      </c>
      <c r="E1484" s="33">
        <v>49.2</v>
      </c>
      <c r="F1484" s="29">
        <v>108.3</v>
      </c>
      <c r="G1484" s="26">
        <v>1935.5</v>
      </c>
      <c r="H1484" s="29">
        <v>1680.45</v>
      </c>
      <c r="I1484" s="19">
        <v>1925.5170000000001</v>
      </c>
      <c r="J1484" s="40">
        <v>5.25</v>
      </c>
      <c r="K1484" s="41">
        <v>16276</v>
      </c>
      <c r="L1484" s="24">
        <v>71</v>
      </c>
      <c r="M1484" s="19">
        <v>105.2</v>
      </c>
    </row>
    <row r="1485" spans="1:13" x14ac:dyDescent="0.75">
      <c r="A1485" t="s">
        <v>12</v>
      </c>
      <c r="B1485" s="18">
        <v>2025</v>
      </c>
      <c r="C1485" s="4">
        <v>8</v>
      </c>
      <c r="D1485">
        <v>2541</v>
      </c>
      <c r="E1485" s="33">
        <v>51.5</v>
      </c>
      <c r="F1485" s="29">
        <v>108.5</v>
      </c>
      <c r="G1485" s="26">
        <v>1797.81</v>
      </c>
      <c r="H1485" s="29">
        <v>1784.58</v>
      </c>
      <c r="I1485" s="19">
        <v>1957.9280000000001</v>
      </c>
      <c r="J1485" s="40">
        <v>5</v>
      </c>
      <c r="K1485" s="41">
        <v>16309</v>
      </c>
      <c r="L1485" s="24">
        <v>67.900000000000006</v>
      </c>
      <c r="M1485" s="19">
        <v>105.2</v>
      </c>
    </row>
    <row r="1486" spans="1:13" x14ac:dyDescent="0.75">
      <c r="A1486" t="s">
        <v>12</v>
      </c>
      <c r="B1486" s="18">
        <v>2025</v>
      </c>
      <c r="C1486" s="4">
        <v>9</v>
      </c>
      <c r="D1486">
        <v>2814</v>
      </c>
      <c r="E1486" s="33">
        <v>50.4</v>
      </c>
      <c r="F1486" s="29">
        <v>109.19</v>
      </c>
      <c r="G1486" s="26">
        <v>1878.48</v>
      </c>
      <c r="H1486" s="29">
        <v>1783.55</v>
      </c>
      <c r="I1486" s="19">
        <v>1924.386</v>
      </c>
      <c r="J1486" s="40">
        <v>4.75</v>
      </c>
      <c r="K1486" s="41">
        <v>16512</v>
      </c>
      <c r="L1486" s="24">
        <v>68</v>
      </c>
      <c r="M1486" s="19">
        <v>105.3</v>
      </c>
    </row>
    <row r="1487" spans="1:13" x14ac:dyDescent="0.75">
      <c r="A1487" t="s">
        <v>12</v>
      </c>
      <c r="B1487" s="18">
        <v>2025</v>
      </c>
      <c r="C1487" s="4">
        <v>10</v>
      </c>
      <c r="D1487">
        <v>3198</v>
      </c>
      <c r="E1487" s="33">
        <v>51.2</v>
      </c>
      <c r="F1487" s="29">
        <v>109.58</v>
      </c>
      <c r="G1487" s="26">
        <v>2074.96</v>
      </c>
      <c r="H1487" s="29">
        <v>1866.03</v>
      </c>
      <c r="I1487" s="19">
        <v>1916.645</v>
      </c>
      <c r="J1487" s="40">
        <v>4.75</v>
      </c>
      <c r="K1487" s="41">
        <v>16607</v>
      </c>
      <c r="L1487" s="24">
        <v>64.5</v>
      </c>
      <c r="M1487" s="19">
        <v>105.5</v>
      </c>
    </row>
    <row r="1488" spans="1:13" x14ac:dyDescent="0.75">
      <c r="A1488" t="s">
        <v>12</v>
      </c>
      <c r="B1488" s="18">
        <v>2025</v>
      </c>
      <c r="C1488" s="4">
        <v>11</v>
      </c>
      <c r="D1488">
        <v>3258</v>
      </c>
      <c r="E1488" s="33">
        <v>53.3</v>
      </c>
      <c r="F1488" s="29">
        <v>109.83</v>
      </c>
      <c r="G1488" s="26">
        <v>1798.25</v>
      </c>
      <c r="H1488" s="29">
        <v>1755.49</v>
      </c>
      <c r="I1488" s="19">
        <v>1902.752</v>
      </c>
      <c r="J1488" s="40">
        <v>4.75</v>
      </c>
      <c r="K1488" s="41">
        <v>16703</v>
      </c>
      <c r="L1488" s="24">
        <v>63.8</v>
      </c>
      <c r="M1488" s="19">
        <v>105.4</v>
      </c>
    </row>
    <row r="1489" spans="1:13" x14ac:dyDescent="0.75">
      <c r="A1489" t="s">
        <v>12</v>
      </c>
      <c r="B1489" s="18">
        <v>2025</v>
      </c>
      <c r="C1489" s="4">
        <v>12</v>
      </c>
      <c r="D1489">
        <v>3265</v>
      </c>
      <c r="E1489" s="33">
        <v>51.2</v>
      </c>
      <c r="F1489" s="29">
        <v>111.08</v>
      </c>
      <c r="G1489" s="26">
        <v>2009.21</v>
      </c>
      <c r="H1489" s="29">
        <v>1908.61</v>
      </c>
      <c r="I1489" s="19">
        <v>1817.838</v>
      </c>
      <c r="J1489" s="40">
        <v>4.75</v>
      </c>
      <c r="K1489" s="41">
        <v>16699</v>
      </c>
      <c r="L1489" s="24">
        <v>62.5</v>
      </c>
      <c r="M1489" s="19">
        <v>106.3</v>
      </c>
    </row>
    <row r="1490" spans="1:13" x14ac:dyDescent="0.75">
      <c r="A1490" t="s">
        <v>13</v>
      </c>
      <c r="B1490" s="18">
        <v>2025</v>
      </c>
      <c r="C1490" s="4">
        <v>1</v>
      </c>
      <c r="D1490">
        <v>671</v>
      </c>
      <c r="E1490" s="33">
        <v>51.9</v>
      </c>
      <c r="F1490" s="29">
        <v>104.1</v>
      </c>
      <c r="G1490" s="29">
        <v>1423.89</v>
      </c>
      <c r="H1490" s="29">
        <v>8940.5499999999993</v>
      </c>
      <c r="I1490" s="19">
        <v>68878.714999999997</v>
      </c>
      <c r="J1490" s="40">
        <v>5.75</v>
      </c>
      <c r="K1490" s="41">
        <v>16262</v>
      </c>
      <c r="L1490" s="24">
        <v>79.3</v>
      </c>
      <c r="M1490" s="19">
        <v>104.2</v>
      </c>
    </row>
    <row r="1491" spans="1:13" x14ac:dyDescent="0.75">
      <c r="A1491" t="s">
        <v>13</v>
      </c>
      <c r="B1491" s="18">
        <v>2025</v>
      </c>
      <c r="C1491" s="4">
        <v>2</v>
      </c>
      <c r="D1491">
        <v>1425</v>
      </c>
      <c r="E1491" s="33">
        <v>53.6</v>
      </c>
      <c r="F1491" s="29">
        <v>103.8</v>
      </c>
      <c r="G1491" s="29">
        <v>1508.15</v>
      </c>
      <c r="H1491" s="29">
        <v>8714.81</v>
      </c>
      <c r="I1491" s="19">
        <v>69924.381999999998</v>
      </c>
      <c r="J1491" s="40">
        <v>5.75</v>
      </c>
      <c r="K1491" s="41">
        <v>16338</v>
      </c>
      <c r="L1491" s="24">
        <v>75.400000000000006</v>
      </c>
      <c r="M1491" s="19">
        <v>104.3</v>
      </c>
    </row>
    <row r="1492" spans="1:13" x14ac:dyDescent="0.75">
      <c r="A1492" t="s">
        <v>13</v>
      </c>
      <c r="B1492" s="18">
        <v>2025</v>
      </c>
      <c r="C1492" s="4">
        <v>3</v>
      </c>
      <c r="D1492">
        <v>2042</v>
      </c>
      <c r="E1492" s="33">
        <v>52.4</v>
      </c>
      <c r="F1492" s="29">
        <v>105.88</v>
      </c>
      <c r="G1492" s="29">
        <v>1385.53</v>
      </c>
      <c r="H1492" s="29">
        <v>8961.85</v>
      </c>
      <c r="I1492" s="19">
        <v>67718.41</v>
      </c>
      <c r="J1492" s="40">
        <v>5.75</v>
      </c>
      <c r="K1492" s="41">
        <v>16456</v>
      </c>
      <c r="L1492" s="24">
        <v>72.7</v>
      </c>
      <c r="M1492" s="19">
        <v>105.1</v>
      </c>
    </row>
    <row r="1493" spans="1:13" x14ac:dyDescent="0.75">
      <c r="A1493" t="s">
        <v>13</v>
      </c>
      <c r="B1493" s="18">
        <v>2025</v>
      </c>
      <c r="C1493" s="4">
        <v>4</v>
      </c>
      <c r="D1493">
        <v>2528</v>
      </c>
      <c r="E1493" s="33">
        <v>46.7</v>
      </c>
      <c r="F1493" s="29">
        <v>107.4</v>
      </c>
      <c r="G1493" s="29">
        <v>1140.1199999999999</v>
      </c>
      <c r="H1493" s="29">
        <v>10115.9</v>
      </c>
      <c r="I1493" s="19">
        <v>68852.062000000005</v>
      </c>
      <c r="J1493" s="40">
        <v>5.75</v>
      </c>
      <c r="K1493" s="41">
        <v>16820</v>
      </c>
      <c r="L1493" s="24">
        <v>68.099999999999994</v>
      </c>
      <c r="M1493" s="19">
        <v>105.1</v>
      </c>
    </row>
    <row r="1494" spans="1:13" x14ac:dyDescent="0.75">
      <c r="A1494" t="s">
        <v>13</v>
      </c>
      <c r="B1494" s="18">
        <v>2025</v>
      </c>
      <c r="C1494" s="4">
        <v>5</v>
      </c>
      <c r="D1494">
        <v>3297</v>
      </c>
      <c r="E1494" s="33">
        <v>47.4</v>
      </c>
      <c r="F1494" s="29">
        <v>107.14</v>
      </c>
      <c r="G1494" s="29">
        <v>1406.43</v>
      </c>
      <c r="H1494" s="29">
        <v>9811.26</v>
      </c>
      <c r="I1494" s="19">
        <v>69346.441000000006</v>
      </c>
      <c r="J1494" s="40">
        <v>5.5</v>
      </c>
      <c r="K1494" s="41">
        <v>16441</v>
      </c>
      <c r="L1494" s="24">
        <v>64.5</v>
      </c>
      <c r="M1494" s="19">
        <v>104.6</v>
      </c>
    </row>
    <row r="1495" spans="1:13" x14ac:dyDescent="0.75">
      <c r="A1495" t="s">
        <v>13</v>
      </c>
      <c r="B1495" s="18">
        <v>2025</v>
      </c>
      <c r="C1495" s="4">
        <v>6</v>
      </c>
      <c r="D1495">
        <v>3923</v>
      </c>
      <c r="E1495" s="33">
        <v>46.9</v>
      </c>
      <c r="F1495" s="29">
        <v>107.28</v>
      </c>
      <c r="G1495" s="29">
        <v>1389.93</v>
      </c>
      <c r="H1495" s="29">
        <v>9345.2099999999991</v>
      </c>
      <c r="I1495" s="19">
        <v>65222.527999999998</v>
      </c>
      <c r="J1495" s="40">
        <v>5.5</v>
      </c>
      <c r="K1495" s="41">
        <v>16311</v>
      </c>
      <c r="L1495" s="24">
        <v>71.400000000000006</v>
      </c>
      <c r="M1495" s="19">
        <v>104.7</v>
      </c>
    </row>
    <row r="1496" spans="1:13" x14ac:dyDescent="0.75">
      <c r="A1496" t="s">
        <v>13</v>
      </c>
      <c r="B1496" s="18">
        <v>2025</v>
      </c>
      <c r="C1496" s="4">
        <v>7</v>
      </c>
      <c r="D1496">
        <v>4560</v>
      </c>
      <c r="E1496" s="33">
        <v>49.2</v>
      </c>
      <c r="F1496" s="29">
        <v>107.4</v>
      </c>
      <c r="G1496" s="29">
        <v>1539.76</v>
      </c>
      <c r="H1496" s="29">
        <v>10236.61</v>
      </c>
      <c r="I1496" s="19">
        <v>66435.983999999997</v>
      </c>
      <c r="J1496" s="40">
        <v>5.25</v>
      </c>
      <c r="K1496" s="41">
        <v>16276</v>
      </c>
      <c r="L1496" s="24">
        <v>71</v>
      </c>
      <c r="M1496" s="19">
        <v>105.2</v>
      </c>
    </row>
    <row r="1497" spans="1:13" x14ac:dyDescent="0.75">
      <c r="A1497" t="s">
        <v>13</v>
      </c>
      <c r="B1497" s="18">
        <v>2025</v>
      </c>
      <c r="C1497" s="4">
        <v>8</v>
      </c>
      <c r="D1497">
        <v>5059</v>
      </c>
      <c r="E1497" s="33">
        <v>51.5</v>
      </c>
      <c r="F1497" s="29">
        <v>107.35</v>
      </c>
      <c r="G1497" s="29">
        <v>1466.27</v>
      </c>
      <c r="H1497" s="29">
        <v>9122.6299999999992</v>
      </c>
      <c r="I1497" s="19">
        <v>66584.659</v>
      </c>
      <c r="J1497" s="40">
        <v>5</v>
      </c>
      <c r="K1497" s="41">
        <v>16309</v>
      </c>
      <c r="L1497" s="24">
        <v>67.900000000000006</v>
      </c>
      <c r="M1497" s="19">
        <v>105.2</v>
      </c>
    </row>
    <row r="1498" spans="1:13" x14ac:dyDescent="0.75">
      <c r="A1498" t="s">
        <v>13</v>
      </c>
      <c r="B1498" s="18">
        <v>2025</v>
      </c>
      <c r="C1498" s="4">
        <v>9</v>
      </c>
      <c r="D1498">
        <v>5621</v>
      </c>
      <c r="E1498" s="33">
        <v>50.4</v>
      </c>
      <c r="F1498" s="29">
        <v>107.49</v>
      </c>
      <c r="G1498" s="29">
        <v>1549.32</v>
      </c>
      <c r="H1498" s="29">
        <v>9793.1200000000008</v>
      </c>
      <c r="I1498" s="19">
        <v>67032.774999999994</v>
      </c>
      <c r="J1498" s="40">
        <v>4.75</v>
      </c>
      <c r="K1498" s="41">
        <v>16512</v>
      </c>
      <c r="L1498" s="24">
        <v>68</v>
      </c>
      <c r="M1498" s="19">
        <v>105.3</v>
      </c>
    </row>
    <row r="1499" spans="1:13" x14ac:dyDescent="0.75">
      <c r="A1499" t="s">
        <v>13</v>
      </c>
      <c r="B1499" s="18">
        <v>2025</v>
      </c>
      <c r="C1499" s="4">
        <v>10</v>
      </c>
      <c r="D1499">
        <v>6111</v>
      </c>
      <c r="E1499" s="33">
        <v>51.2</v>
      </c>
      <c r="F1499" s="29">
        <v>107.82</v>
      </c>
      <c r="G1499" s="29">
        <v>1623.44</v>
      </c>
      <c r="H1499" s="29">
        <v>10637.49</v>
      </c>
      <c r="I1499" s="19">
        <v>69325.358999999997</v>
      </c>
      <c r="J1499" s="40">
        <v>4.75</v>
      </c>
      <c r="K1499" s="41">
        <v>16607</v>
      </c>
      <c r="L1499" s="24">
        <v>64.5</v>
      </c>
      <c r="M1499" s="19">
        <v>105.5</v>
      </c>
    </row>
    <row r="1500" spans="1:13" x14ac:dyDescent="0.75">
      <c r="A1500" t="s">
        <v>13</v>
      </c>
      <c r="B1500" s="18">
        <v>2025</v>
      </c>
      <c r="C1500" s="4">
        <v>11</v>
      </c>
      <c r="D1500">
        <v>6288</v>
      </c>
      <c r="E1500" s="33">
        <v>53.3</v>
      </c>
      <c r="F1500" s="29">
        <v>108.11</v>
      </c>
      <c r="G1500" s="29">
        <v>1646.53</v>
      </c>
      <c r="H1500" s="29">
        <v>9837.92</v>
      </c>
      <c r="I1500" s="19">
        <v>67271.638000000006</v>
      </c>
      <c r="J1500" s="40">
        <v>4.75</v>
      </c>
      <c r="K1500" s="41">
        <v>16703</v>
      </c>
      <c r="L1500" s="24">
        <v>63.8</v>
      </c>
      <c r="M1500" s="19">
        <v>105.4</v>
      </c>
    </row>
    <row r="1501" spans="1:13" x14ac:dyDescent="0.75">
      <c r="A1501" t="s">
        <v>13</v>
      </c>
      <c r="B1501" s="18">
        <v>2025</v>
      </c>
      <c r="C1501" s="4">
        <v>12</v>
      </c>
      <c r="D1501">
        <v>6311</v>
      </c>
      <c r="E1501" s="33">
        <v>51.2</v>
      </c>
      <c r="F1501" s="29">
        <v>108.47</v>
      </c>
      <c r="G1501" s="29">
        <v>1430.95</v>
      </c>
      <c r="H1501" s="29">
        <v>11879.08</v>
      </c>
      <c r="I1501" s="19">
        <v>64500.728000000003</v>
      </c>
      <c r="J1501" s="40">
        <v>4.75</v>
      </c>
      <c r="K1501" s="41">
        <v>16699</v>
      </c>
      <c r="L1501" s="24">
        <v>62.5</v>
      </c>
      <c r="M1501" s="19">
        <v>106.3</v>
      </c>
    </row>
    <row r="1502" spans="1:13" x14ac:dyDescent="0.75">
      <c r="A1502" t="s">
        <v>14</v>
      </c>
      <c r="B1502" s="18">
        <v>2025</v>
      </c>
      <c r="C1502" s="4">
        <v>1</v>
      </c>
      <c r="D1502">
        <v>1738</v>
      </c>
      <c r="E1502" s="33">
        <v>51.9</v>
      </c>
      <c r="F1502" s="29">
        <v>106.6</v>
      </c>
      <c r="G1502" s="29">
        <v>3023.06</v>
      </c>
      <c r="H1502" s="26">
        <v>320.35000000000002</v>
      </c>
      <c r="I1502" s="19">
        <v>20576.84</v>
      </c>
      <c r="J1502" s="40">
        <v>5.75</v>
      </c>
      <c r="K1502" s="41">
        <v>16262</v>
      </c>
      <c r="L1502" s="24">
        <v>79.3</v>
      </c>
      <c r="M1502" s="19">
        <v>104.2</v>
      </c>
    </row>
    <row r="1503" spans="1:13" x14ac:dyDescent="0.75">
      <c r="A1503" t="s">
        <v>14</v>
      </c>
      <c r="B1503" s="18">
        <v>2025</v>
      </c>
      <c r="C1503" s="4">
        <v>2</v>
      </c>
      <c r="D1503">
        <v>5711</v>
      </c>
      <c r="E1503" s="33">
        <v>53.6</v>
      </c>
      <c r="F1503" s="26">
        <v>105.95</v>
      </c>
      <c r="G1503" s="29">
        <v>3203.98</v>
      </c>
      <c r="H1503" s="26">
        <v>315.76</v>
      </c>
      <c r="I1503" s="19">
        <v>21346.177</v>
      </c>
      <c r="J1503" s="40">
        <v>5.75</v>
      </c>
      <c r="K1503" s="41">
        <v>16338</v>
      </c>
      <c r="L1503" s="24">
        <v>75.400000000000006</v>
      </c>
      <c r="M1503" s="19">
        <v>104.3</v>
      </c>
    </row>
    <row r="1504" spans="1:13" x14ac:dyDescent="0.75">
      <c r="A1504" t="s">
        <v>14</v>
      </c>
      <c r="B1504" s="18">
        <v>2025</v>
      </c>
      <c r="C1504" s="4">
        <v>3</v>
      </c>
      <c r="D1504">
        <v>7176</v>
      </c>
      <c r="E1504" s="33">
        <v>52.4</v>
      </c>
      <c r="F1504" s="26">
        <v>107.64</v>
      </c>
      <c r="G1504" s="29">
        <v>3091.55</v>
      </c>
      <c r="H1504" s="26">
        <v>379.24</v>
      </c>
      <c r="I1504" s="19">
        <v>21798.974999999999</v>
      </c>
      <c r="J1504" s="40">
        <v>5.75</v>
      </c>
      <c r="K1504" s="41">
        <v>16456</v>
      </c>
      <c r="L1504" s="24">
        <v>72.7</v>
      </c>
      <c r="M1504" s="19">
        <v>105.1</v>
      </c>
    </row>
    <row r="1505" spans="1:13" x14ac:dyDescent="0.75">
      <c r="A1505" t="s">
        <v>14</v>
      </c>
      <c r="B1505" s="18">
        <v>2025</v>
      </c>
      <c r="C1505" s="4">
        <v>4</v>
      </c>
      <c r="D1505">
        <v>8666</v>
      </c>
      <c r="E1505" s="33">
        <v>46.7</v>
      </c>
      <c r="F1505" s="26">
        <v>108.73</v>
      </c>
      <c r="G1505" s="29">
        <v>2758.76</v>
      </c>
      <c r="H1505" s="26">
        <v>252.82</v>
      </c>
      <c r="I1505" s="19">
        <v>22605.116000000002</v>
      </c>
      <c r="J1505" s="40">
        <v>5.75</v>
      </c>
      <c r="K1505" s="41">
        <v>16820</v>
      </c>
      <c r="L1505" s="24">
        <v>68.099999999999994</v>
      </c>
      <c r="M1505" s="19">
        <v>105.1</v>
      </c>
    </row>
    <row r="1506" spans="1:13" x14ac:dyDescent="0.75">
      <c r="A1506" t="s">
        <v>14</v>
      </c>
      <c r="B1506" s="18">
        <v>2025</v>
      </c>
      <c r="C1506" s="4">
        <v>5</v>
      </c>
      <c r="D1506">
        <v>10041</v>
      </c>
      <c r="E1506" s="33">
        <v>47.4</v>
      </c>
      <c r="F1506" s="26">
        <v>108.38</v>
      </c>
      <c r="G1506" s="29">
        <v>3325.33</v>
      </c>
      <c r="H1506" s="26">
        <v>346.05</v>
      </c>
      <c r="I1506" s="19">
        <v>23729.196</v>
      </c>
      <c r="J1506" s="40">
        <v>5.5</v>
      </c>
      <c r="K1506" s="41">
        <v>16441</v>
      </c>
      <c r="L1506" s="24">
        <v>64.5</v>
      </c>
      <c r="M1506" s="19">
        <v>104.6</v>
      </c>
    </row>
    <row r="1507" spans="1:13" x14ac:dyDescent="0.75">
      <c r="A1507" t="s">
        <v>14</v>
      </c>
      <c r="B1507" s="18">
        <v>2025</v>
      </c>
      <c r="C1507" s="4">
        <v>6</v>
      </c>
      <c r="D1507">
        <v>11585</v>
      </c>
      <c r="E1507" s="33">
        <v>46.9</v>
      </c>
      <c r="F1507" s="26">
        <v>108.67</v>
      </c>
      <c r="G1507" s="29">
        <v>3245.88</v>
      </c>
      <c r="H1507" s="26">
        <v>269</v>
      </c>
      <c r="I1507" s="19">
        <v>24934.879000000001</v>
      </c>
      <c r="J1507" s="40">
        <v>5.5</v>
      </c>
      <c r="K1507" s="41">
        <v>16311</v>
      </c>
      <c r="L1507" s="24">
        <v>71.400000000000006</v>
      </c>
      <c r="M1507" s="19">
        <v>104.7</v>
      </c>
    </row>
    <row r="1508" spans="1:13" x14ac:dyDescent="0.75">
      <c r="A1508" t="s">
        <v>14</v>
      </c>
      <c r="B1508" s="18">
        <v>2025</v>
      </c>
      <c r="C1508" s="4">
        <v>7</v>
      </c>
      <c r="D1508">
        <v>13400</v>
      </c>
      <c r="E1508" s="33">
        <v>49.2</v>
      </c>
      <c r="F1508" s="26">
        <v>109</v>
      </c>
      <c r="G1508" s="29">
        <v>3505.34</v>
      </c>
      <c r="H1508" s="26">
        <v>298.19</v>
      </c>
      <c r="I1508" s="19">
        <v>25523.022000000001</v>
      </c>
      <c r="J1508" s="40">
        <v>5.25</v>
      </c>
      <c r="K1508" s="41">
        <v>16276</v>
      </c>
      <c r="L1508" s="24">
        <v>71</v>
      </c>
      <c r="M1508" s="19">
        <v>105.2</v>
      </c>
    </row>
    <row r="1509" spans="1:13" x14ac:dyDescent="0.75">
      <c r="A1509" t="s">
        <v>14</v>
      </c>
      <c r="B1509" s="18">
        <v>2025</v>
      </c>
      <c r="C1509" s="4">
        <v>8</v>
      </c>
      <c r="D1509">
        <v>14977</v>
      </c>
      <c r="E1509" s="33">
        <v>51.5</v>
      </c>
      <c r="F1509" s="26">
        <v>108.79</v>
      </c>
      <c r="G1509" s="29">
        <v>3466.67</v>
      </c>
      <c r="H1509" s="26">
        <v>295.66000000000003</v>
      </c>
      <c r="I1509" s="19">
        <v>25825.044000000002</v>
      </c>
      <c r="J1509" s="40">
        <v>5</v>
      </c>
      <c r="K1509" s="41">
        <v>16309</v>
      </c>
      <c r="L1509" s="24">
        <v>67.900000000000006</v>
      </c>
      <c r="M1509" s="19">
        <v>105.2</v>
      </c>
    </row>
    <row r="1510" spans="1:13" x14ac:dyDescent="0.75">
      <c r="A1510" t="s">
        <v>14</v>
      </c>
      <c r="B1510" s="18">
        <v>2025</v>
      </c>
      <c r="C1510" s="4">
        <v>9</v>
      </c>
      <c r="D1510">
        <v>17027</v>
      </c>
      <c r="E1510" s="33">
        <v>50.4</v>
      </c>
      <c r="F1510" s="26">
        <v>109.02</v>
      </c>
      <c r="G1510" s="29">
        <v>3268.6</v>
      </c>
      <c r="H1510" s="26">
        <v>218.56</v>
      </c>
      <c r="I1510" s="19">
        <v>24999.684000000001</v>
      </c>
      <c r="J1510" s="40">
        <v>4.75</v>
      </c>
      <c r="K1510" s="41">
        <v>16512</v>
      </c>
      <c r="L1510" s="24">
        <v>68</v>
      </c>
      <c r="M1510" s="19">
        <v>105.3</v>
      </c>
    </row>
    <row r="1511" spans="1:13" x14ac:dyDescent="0.75">
      <c r="A1511" t="s">
        <v>14</v>
      </c>
      <c r="B1511" s="18">
        <v>2025</v>
      </c>
      <c r="C1511" s="4">
        <v>10</v>
      </c>
      <c r="D1511">
        <v>18059</v>
      </c>
      <c r="E1511" s="33">
        <v>51.2</v>
      </c>
      <c r="F1511" s="26">
        <v>109.51</v>
      </c>
      <c r="G1511" s="29">
        <v>3356.64</v>
      </c>
      <c r="H1511" s="26">
        <v>261.58</v>
      </c>
      <c r="I1511" s="19">
        <v>23748.182000000001</v>
      </c>
      <c r="J1511" s="40">
        <v>4.75</v>
      </c>
      <c r="K1511" s="41">
        <v>16607</v>
      </c>
      <c r="L1511" s="24">
        <v>64.5</v>
      </c>
      <c r="M1511" s="19">
        <v>105.5</v>
      </c>
    </row>
    <row r="1512" spans="1:13" x14ac:dyDescent="0.75">
      <c r="A1512" t="s">
        <v>14</v>
      </c>
      <c r="B1512" s="18">
        <v>2025</v>
      </c>
      <c r="C1512" s="4">
        <v>11</v>
      </c>
      <c r="D1512">
        <v>18711</v>
      </c>
      <c r="E1512" s="33">
        <v>53.3</v>
      </c>
      <c r="F1512" s="26">
        <v>109.68</v>
      </c>
      <c r="G1512" s="29">
        <v>3201.6</v>
      </c>
      <c r="H1512" s="26">
        <v>237.78</v>
      </c>
      <c r="I1512" s="19">
        <v>23607.659</v>
      </c>
      <c r="J1512" s="40">
        <v>4.75</v>
      </c>
      <c r="K1512" s="41">
        <v>16703</v>
      </c>
      <c r="L1512" s="24">
        <v>63.8</v>
      </c>
      <c r="M1512" s="19">
        <v>105.4</v>
      </c>
    </row>
    <row r="1513" spans="1:13" x14ac:dyDescent="0.75">
      <c r="A1513" t="s">
        <v>14</v>
      </c>
      <c r="B1513" s="18">
        <v>2025</v>
      </c>
      <c r="C1513" s="4">
        <v>12</v>
      </c>
      <c r="D1513">
        <v>18815</v>
      </c>
      <c r="E1513" s="33">
        <v>51.2</v>
      </c>
      <c r="F1513" s="26">
        <v>110.15</v>
      </c>
      <c r="G1513" s="29">
        <v>3275.34</v>
      </c>
      <c r="H1513" s="26">
        <v>362.74</v>
      </c>
      <c r="I1513" s="19">
        <v>23132.379000000001</v>
      </c>
      <c r="J1513" s="40">
        <v>4.75</v>
      </c>
      <c r="K1513" s="41">
        <v>16699</v>
      </c>
      <c r="L1513" s="24">
        <v>62.5</v>
      </c>
      <c r="M1513" s="19">
        <v>106.3</v>
      </c>
    </row>
    <row r="1514" spans="1:13" x14ac:dyDescent="0.75">
      <c r="A1514" t="s">
        <v>15</v>
      </c>
      <c r="B1514" s="18">
        <v>2025</v>
      </c>
      <c r="C1514" s="4">
        <v>1</v>
      </c>
      <c r="D1514">
        <v>1756</v>
      </c>
      <c r="E1514" s="33">
        <v>51.9</v>
      </c>
      <c r="F1514" s="19">
        <v>106.58</v>
      </c>
      <c r="G1514" s="26">
        <v>965.33</v>
      </c>
      <c r="H1514" s="19">
        <v>881.48</v>
      </c>
      <c r="I1514" s="19">
        <v>16121.912</v>
      </c>
      <c r="J1514" s="40">
        <v>5.75</v>
      </c>
      <c r="K1514" s="41">
        <v>16262</v>
      </c>
      <c r="L1514" s="24">
        <v>79.3</v>
      </c>
      <c r="M1514" s="19">
        <v>104.2</v>
      </c>
    </row>
    <row r="1515" spans="1:13" x14ac:dyDescent="0.75">
      <c r="A1515" t="s">
        <v>15</v>
      </c>
      <c r="B1515" s="18">
        <v>2025</v>
      </c>
      <c r="C1515" s="4">
        <v>2</v>
      </c>
      <c r="D1515">
        <v>10088</v>
      </c>
      <c r="E1515" s="33">
        <v>53.6</v>
      </c>
      <c r="F1515" s="19">
        <v>105.75</v>
      </c>
      <c r="G1515" s="26">
        <v>1016.17</v>
      </c>
      <c r="H1515" s="19">
        <v>1189.32</v>
      </c>
      <c r="I1515" s="19">
        <v>16561.87</v>
      </c>
      <c r="J1515" s="40">
        <v>5.75</v>
      </c>
      <c r="K1515" s="41">
        <v>16338</v>
      </c>
      <c r="L1515" s="24">
        <v>75.400000000000006</v>
      </c>
      <c r="M1515" s="19">
        <v>104.3</v>
      </c>
    </row>
    <row r="1516" spans="1:13" x14ac:dyDescent="0.75">
      <c r="A1516" t="s">
        <v>15</v>
      </c>
      <c r="B1516" s="18">
        <v>2025</v>
      </c>
      <c r="C1516" s="4">
        <v>3</v>
      </c>
      <c r="D1516">
        <v>10459</v>
      </c>
      <c r="E1516" s="33">
        <v>52.4</v>
      </c>
      <c r="F1516" s="19">
        <v>107.26</v>
      </c>
      <c r="G1516" s="26">
        <v>1009.6</v>
      </c>
      <c r="H1516" s="19">
        <v>1059.3900000000001</v>
      </c>
      <c r="I1516" s="19">
        <v>16289.107</v>
      </c>
      <c r="J1516" s="40">
        <v>5.75</v>
      </c>
      <c r="K1516" s="41">
        <v>16456</v>
      </c>
      <c r="L1516" s="24">
        <v>72.7</v>
      </c>
      <c r="M1516" s="19">
        <v>105.1</v>
      </c>
    </row>
    <row r="1517" spans="1:13" x14ac:dyDescent="0.75">
      <c r="A1517" t="s">
        <v>15</v>
      </c>
      <c r="B1517" s="18">
        <v>2025</v>
      </c>
      <c r="C1517" s="4">
        <v>4</v>
      </c>
      <c r="D1517">
        <v>10864</v>
      </c>
      <c r="E1517" s="33">
        <v>46.7</v>
      </c>
      <c r="F1517" s="19">
        <v>108.74</v>
      </c>
      <c r="G1517" s="26">
        <v>830.09</v>
      </c>
      <c r="H1517" s="19">
        <v>1292.23</v>
      </c>
      <c r="I1517" s="19">
        <v>18014.297999999999</v>
      </c>
      <c r="J1517" s="40">
        <v>5.75</v>
      </c>
      <c r="K1517" s="41">
        <v>16820</v>
      </c>
      <c r="L1517" s="24">
        <v>68.099999999999994</v>
      </c>
      <c r="M1517" s="19">
        <v>105.1</v>
      </c>
    </row>
    <row r="1518" spans="1:13" x14ac:dyDescent="0.75">
      <c r="A1518" t="s">
        <v>15</v>
      </c>
      <c r="B1518" s="18">
        <v>2025</v>
      </c>
      <c r="C1518" s="4">
        <v>5</v>
      </c>
      <c r="D1518">
        <v>11434</v>
      </c>
      <c r="E1518" s="33">
        <v>47.4</v>
      </c>
      <c r="F1518" s="19">
        <v>108.21</v>
      </c>
      <c r="G1518" s="26">
        <v>971.04</v>
      </c>
      <c r="H1518" s="19">
        <v>1248.82</v>
      </c>
      <c r="I1518" s="19">
        <v>18574.727999999999</v>
      </c>
      <c r="J1518" s="40">
        <v>5.5</v>
      </c>
      <c r="K1518" s="41">
        <v>16441</v>
      </c>
      <c r="L1518" s="24">
        <v>64.5</v>
      </c>
      <c r="M1518" s="19">
        <v>104.6</v>
      </c>
    </row>
    <row r="1519" spans="1:13" x14ac:dyDescent="0.75">
      <c r="A1519" t="s">
        <v>15</v>
      </c>
      <c r="B1519" s="18">
        <v>2025</v>
      </c>
      <c r="C1519" s="4">
        <v>6</v>
      </c>
      <c r="D1519">
        <v>12206</v>
      </c>
      <c r="E1519" s="33">
        <v>46.9</v>
      </c>
      <c r="F1519" s="19">
        <v>108.47</v>
      </c>
      <c r="G1519" s="26">
        <v>1042.3699999999999</v>
      </c>
      <c r="H1519" s="19">
        <v>1058.46</v>
      </c>
      <c r="I1519" s="19">
        <v>18030.456999999999</v>
      </c>
      <c r="J1519" s="40">
        <v>5.5</v>
      </c>
      <c r="K1519" s="41">
        <v>16311</v>
      </c>
      <c r="L1519" s="24">
        <v>71.400000000000006</v>
      </c>
      <c r="M1519" s="19">
        <v>104.7</v>
      </c>
    </row>
    <row r="1520" spans="1:13" x14ac:dyDescent="0.75">
      <c r="A1520" t="s">
        <v>15</v>
      </c>
      <c r="B1520" s="18">
        <v>2025</v>
      </c>
      <c r="C1520" s="4">
        <v>7</v>
      </c>
      <c r="D1520">
        <v>12515</v>
      </c>
      <c r="E1520" s="33">
        <v>49.2</v>
      </c>
      <c r="F1520" s="19">
        <v>108.67</v>
      </c>
      <c r="G1520" s="26">
        <v>1192.94</v>
      </c>
      <c r="H1520" s="19">
        <v>1351.65</v>
      </c>
      <c r="I1520" s="19">
        <v>18353.958999999999</v>
      </c>
      <c r="J1520" s="40">
        <v>5.25</v>
      </c>
      <c r="K1520" s="41">
        <v>16276</v>
      </c>
      <c r="L1520" s="24">
        <v>71</v>
      </c>
      <c r="M1520" s="19">
        <v>105.2</v>
      </c>
    </row>
    <row r="1521" spans="1:13" x14ac:dyDescent="0.75">
      <c r="A1521" t="s">
        <v>15</v>
      </c>
      <c r="B1521" s="18">
        <v>2025</v>
      </c>
      <c r="C1521" s="4">
        <v>8</v>
      </c>
      <c r="D1521">
        <v>13414</v>
      </c>
      <c r="E1521" s="33">
        <v>51.5</v>
      </c>
      <c r="F1521" s="19">
        <v>108.56</v>
      </c>
      <c r="G1521" s="26">
        <v>1093.49</v>
      </c>
      <c r="H1521" s="19">
        <v>1312.32</v>
      </c>
      <c r="I1521" s="19">
        <v>17468.400000000001</v>
      </c>
      <c r="J1521" s="40">
        <v>5</v>
      </c>
      <c r="K1521" s="41">
        <v>16309</v>
      </c>
      <c r="L1521" s="24">
        <v>67.900000000000006</v>
      </c>
      <c r="M1521" s="19">
        <v>105.2</v>
      </c>
    </row>
    <row r="1522" spans="1:13" x14ac:dyDescent="0.75">
      <c r="A1522" t="s">
        <v>15</v>
      </c>
      <c r="B1522" s="18">
        <v>2025</v>
      </c>
      <c r="C1522" s="4">
        <v>9</v>
      </c>
      <c r="D1522">
        <v>13800</v>
      </c>
      <c r="E1522" s="33">
        <v>50.4</v>
      </c>
      <c r="F1522" s="19">
        <v>108.79</v>
      </c>
      <c r="G1522" s="26">
        <v>1068.29</v>
      </c>
      <c r="H1522" s="19">
        <v>1276.92</v>
      </c>
      <c r="I1522" s="19">
        <v>16367.620999999999</v>
      </c>
      <c r="J1522" s="40">
        <v>4.75</v>
      </c>
      <c r="K1522" s="41">
        <v>16512</v>
      </c>
      <c r="L1522" s="24">
        <v>68</v>
      </c>
      <c r="M1522" s="19">
        <v>105.3</v>
      </c>
    </row>
    <row r="1523" spans="1:13" x14ac:dyDescent="0.75">
      <c r="A1523" t="s">
        <v>15</v>
      </c>
      <c r="B1523" s="18">
        <v>2025</v>
      </c>
      <c r="C1523" s="4">
        <v>10</v>
      </c>
      <c r="D1523">
        <v>14365</v>
      </c>
      <c r="E1523" s="33">
        <v>51.2</v>
      </c>
      <c r="F1523" s="19">
        <v>109.22</v>
      </c>
      <c r="G1523" s="26">
        <v>1123.5999999999999</v>
      </c>
      <c r="H1523" s="19">
        <v>1344.87</v>
      </c>
      <c r="I1523" s="19">
        <v>17582.035</v>
      </c>
      <c r="J1523" s="40">
        <v>4.75</v>
      </c>
      <c r="K1523" s="41">
        <v>16607</v>
      </c>
      <c r="L1523" s="24">
        <v>64.5</v>
      </c>
      <c r="M1523" s="19">
        <v>105.5</v>
      </c>
    </row>
    <row r="1524" spans="1:13" x14ac:dyDescent="0.75">
      <c r="A1524" t="s">
        <v>15</v>
      </c>
      <c r="B1524" s="18">
        <v>2025</v>
      </c>
      <c r="C1524" s="4">
        <v>11</v>
      </c>
      <c r="D1524">
        <v>14634</v>
      </c>
      <c r="E1524" s="33">
        <v>53.3</v>
      </c>
      <c r="F1524" s="19">
        <v>109.43</v>
      </c>
      <c r="G1524" s="26">
        <v>1120.69</v>
      </c>
      <c r="H1524" s="19">
        <v>1243.5999999999999</v>
      </c>
      <c r="I1524" s="19">
        <v>17291.359</v>
      </c>
      <c r="J1524" s="40">
        <v>4.75</v>
      </c>
      <c r="K1524" s="41">
        <v>16703</v>
      </c>
      <c r="L1524" s="24">
        <v>63.8</v>
      </c>
      <c r="M1524" s="19">
        <v>105.4</v>
      </c>
    </row>
    <row r="1525" spans="1:13" x14ac:dyDescent="0.75">
      <c r="A1525" t="s">
        <v>15</v>
      </c>
      <c r="B1525" s="18">
        <v>2025</v>
      </c>
      <c r="C1525" s="4">
        <v>12</v>
      </c>
      <c r="D1525">
        <v>14700</v>
      </c>
      <c r="E1525" s="33">
        <v>51.2</v>
      </c>
      <c r="F1525" s="19">
        <v>109.98</v>
      </c>
      <c r="G1525" s="26">
        <v>1189.5999999999999</v>
      </c>
      <c r="H1525" s="19">
        <v>1340.04</v>
      </c>
      <c r="I1525" s="19">
        <v>16346.81</v>
      </c>
      <c r="J1525" s="40">
        <v>4.75</v>
      </c>
      <c r="K1525" s="41">
        <v>16699</v>
      </c>
      <c r="L1525" s="24">
        <v>62.5</v>
      </c>
      <c r="M1525" s="19">
        <v>106.3</v>
      </c>
    </row>
    <row r="1526" spans="1:13" x14ac:dyDescent="0.75">
      <c r="A1526" t="s">
        <v>16</v>
      </c>
      <c r="B1526" s="18">
        <v>2025</v>
      </c>
      <c r="C1526" s="4">
        <v>1</v>
      </c>
      <c r="D1526">
        <v>64</v>
      </c>
      <c r="E1526" s="33">
        <v>51.9</v>
      </c>
      <c r="F1526" s="29">
        <v>106.24</v>
      </c>
      <c r="G1526" s="19">
        <v>43.41</v>
      </c>
      <c r="H1526" s="19">
        <v>0.01</v>
      </c>
      <c r="I1526" s="19">
        <v>1654.2909999999999</v>
      </c>
      <c r="J1526" s="40">
        <v>5.75</v>
      </c>
      <c r="K1526" s="41">
        <v>16262</v>
      </c>
      <c r="L1526" s="24">
        <v>79.3</v>
      </c>
      <c r="M1526" s="19">
        <v>104.2</v>
      </c>
    </row>
    <row r="1527" spans="1:13" x14ac:dyDescent="0.75">
      <c r="A1527" t="s">
        <v>16</v>
      </c>
      <c r="B1527" s="18">
        <v>2025</v>
      </c>
      <c r="C1527" s="4">
        <v>2</v>
      </c>
      <c r="D1527">
        <v>354</v>
      </c>
      <c r="E1527" s="33">
        <v>53.6</v>
      </c>
      <c r="F1527" s="29">
        <v>105.33</v>
      </c>
      <c r="G1527" s="19">
        <v>47.41</v>
      </c>
      <c r="H1527" s="19">
        <v>0.01</v>
      </c>
      <c r="I1527" s="19">
        <v>1722.9590000000001</v>
      </c>
      <c r="J1527" s="40">
        <v>5.75</v>
      </c>
      <c r="K1527" s="41">
        <v>16338</v>
      </c>
      <c r="L1527" s="24">
        <v>75.400000000000006</v>
      </c>
      <c r="M1527" s="19">
        <v>104.3</v>
      </c>
    </row>
    <row r="1528" spans="1:13" x14ac:dyDescent="0.75">
      <c r="A1528" t="s">
        <v>16</v>
      </c>
      <c r="B1528" s="18">
        <v>2025</v>
      </c>
      <c r="C1528" s="4">
        <v>3</v>
      </c>
      <c r="D1528">
        <v>463</v>
      </c>
      <c r="E1528" s="33">
        <v>52.4</v>
      </c>
      <c r="F1528" s="29">
        <v>106.65</v>
      </c>
      <c r="G1528" s="19">
        <v>46.33</v>
      </c>
      <c r="H1528" s="19">
        <v>0.05</v>
      </c>
      <c r="I1528" s="19">
        <v>1715.578</v>
      </c>
      <c r="J1528" s="40">
        <v>5.75</v>
      </c>
      <c r="K1528" s="41">
        <v>16456</v>
      </c>
      <c r="L1528" s="24">
        <v>72.7</v>
      </c>
      <c r="M1528" s="19">
        <v>105.1</v>
      </c>
    </row>
    <row r="1529" spans="1:13" x14ac:dyDescent="0.75">
      <c r="A1529" t="s">
        <v>16</v>
      </c>
      <c r="B1529" s="18">
        <v>2025</v>
      </c>
      <c r="C1529" s="4">
        <v>4</v>
      </c>
      <c r="D1529">
        <v>532</v>
      </c>
      <c r="E1529" s="33">
        <v>46.7</v>
      </c>
      <c r="F1529" s="29">
        <v>108.43</v>
      </c>
      <c r="G1529" s="19">
        <v>38.83</v>
      </c>
      <c r="H1529" s="19">
        <v>0.01</v>
      </c>
      <c r="I1529" s="19">
        <v>1785.029</v>
      </c>
      <c r="J1529" s="40">
        <v>5.75</v>
      </c>
      <c r="K1529" s="41">
        <v>16820</v>
      </c>
      <c r="L1529" s="24">
        <v>68.099999999999994</v>
      </c>
      <c r="M1529" s="19">
        <v>105.1</v>
      </c>
    </row>
    <row r="1530" spans="1:13" x14ac:dyDescent="0.75">
      <c r="A1530" t="s">
        <v>16</v>
      </c>
      <c r="B1530" s="18">
        <v>2025</v>
      </c>
      <c r="C1530" s="4">
        <v>5</v>
      </c>
      <c r="D1530">
        <v>851</v>
      </c>
      <c r="E1530" s="33">
        <v>47.4</v>
      </c>
      <c r="F1530" s="29">
        <v>108.27</v>
      </c>
      <c r="G1530" s="19">
        <v>46.92</v>
      </c>
      <c r="H1530" s="19">
        <v>0</v>
      </c>
      <c r="I1530" s="19">
        <v>1874.0909999999999</v>
      </c>
      <c r="J1530" s="40">
        <v>5.5</v>
      </c>
      <c r="K1530" s="41">
        <v>16441</v>
      </c>
      <c r="L1530" s="24">
        <v>64.5</v>
      </c>
      <c r="M1530" s="19">
        <v>104.6</v>
      </c>
    </row>
    <row r="1531" spans="1:13" x14ac:dyDescent="0.75">
      <c r="A1531" t="s">
        <v>16</v>
      </c>
      <c r="B1531" s="18">
        <v>2025</v>
      </c>
      <c r="C1531" s="4">
        <v>6</v>
      </c>
      <c r="D1531">
        <v>1186</v>
      </c>
      <c r="E1531" s="33">
        <v>46.9</v>
      </c>
      <c r="F1531" s="29">
        <v>108.52</v>
      </c>
      <c r="G1531" s="19">
        <v>47.35</v>
      </c>
      <c r="H1531" s="19">
        <v>0</v>
      </c>
      <c r="I1531" s="19">
        <v>1920.546</v>
      </c>
      <c r="J1531" s="40">
        <v>5.5</v>
      </c>
      <c r="K1531" s="41">
        <v>16311</v>
      </c>
      <c r="L1531" s="24">
        <v>71.400000000000006</v>
      </c>
      <c r="M1531" s="19">
        <v>104.7</v>
      </c>
    </row>
    <row r="1532" spans="1:13" x14ac:dyDescent="0.75">
      <c r="A1532" t="s">
        <v>16</v>
      </c>
      <c r="B1532" s="18">
        <v>2025</v>
      </c>
      <c r="C1532" s="4">
        <v>7</v>
      </c>
      <c r="D1532">
        <v>1278</v>
      </c>
      <c r="E1532" s="33">
        <v>49.2</v>
      </c>
      <c r="F1532" s="29">
        <v>108.57</v>
      </c>
      <c r="G1532" s="19">
        <v>54.01</v>
      </c>
      <c r="H1532" s="19">
        <v>0</v>
      </c>
      <c r="I1532" s="19">
        <v>1892.6769999999999</v>
      </c>
      <c r="J1532" s="40">
        <v>5.25</v>
      </c>
      <c r="K1532" s="41">
        <v>16276</v>
      </c>
      <c r="L1532" s="24">
        <v>71</v>
      </c>
      <c r="M1532" s="19">
        <v>105.2</v>
      </c>
    </row>
    <row r="1533" spans="1:13" x14ac:dyDescent="0.75">
      <c r="A1533" t="s">
        <v>16</v>
      </c>
      <c r="B1533" s="18">
        <v>2025</v>
      </c>
      <c r="C1533" s="4">
        <v>8</v>
      </c>
      <c r="D1533">
        <v>1355</v>
      </c>
      <c r="E1533" s="33">
        <v>51.5</v>
      </c>
      <c r="F1533" s="29">
        <v>108.31</v>
      </c>
      <c r="G1533" s="19">
        <v>47.93</v>
      </c>
      <c r="H1533" s="19">
        <v>0.01</v>
      </c>
      <c r="I1533" s="19">
        <v>1894.712</v>
      </c>
      <c r="J1533" s="40">
        <v>5</v>
      </c>
      <c r="K1533" s="41">
        <v>16309</v>
      </c>
      <c r="L1533" s="24">
        <v>67.900000000000006</v>
      </c>
      <c r="M1533" s="19">
        <v>105.2</v>
      </c>
    </row>
    <row r="1534" spans="1:13" x14ac:dyDescent="0.75">
      <c r="A1534" t="s">
        <v>16</v>
      </c>
      <c r="B1534" s="18">
        <v>2025</v>
      </c>
      <c r="C1534" s="4">
        <v>9</v>
      </c>
      <c r="D1534">
        <v>1416</v>
      </c>
      <c r="E1534" s="33">
        <v>50.4</v>
      </c>
      <c r="F1534" s="29">
        <v>108.47</v>
      </c>
      <c r="G1534" s="19">
        <v>42.89</v>
      </c>
      <c r="H1534" s="19">
        <v>0</v>
      </c>
      <c r="I1534" s="19">
        <v>1850.5070000000001</v>
      </c>
      <c r="J1534" s="40">
        <v>4.75</v>
      </c>
      <c r="K1534" s="41">
        <v>16512</v>
      </c>
      <c r="L1534" s="24">
        <v>68</v>
      </c>
      <c r="M1534" s="19">
        <v>105.3</v>
      </c>
    </row>
    <row r="1535" spans="1:13" x14ac:dyDescent="0.75">
      <c r="A1535" t="s">
        <v>16</v>
      </c>
      <c r="B1535" s="18">
        <v>2025</v>
      </c>
      <c r="C1535" s="4">
        <v>10</v>
      </c>
      <c r="D1535">
        <v>1479</v>
      </c>
      <c r="E1535" s="33">
        <v>51.2</v>
      </c>
      <c r="F1535" s="29">
        <v>108.93</v>
      </c>
      <c r="G1535" s="19">
        <v>45.37</v>
      </c>
      <c r="H1535" s="19"/>
      <c r="I1535" s="19">
        <v>2014.201</v>
      </c>
      <c r="J1535" s="40">
        <v>4.75</v>
      </c>
      <c r="K1535" s="41">
        <v>16607</v>
      </c>
      <c r="L1535" s="24">
        <v>64.5</v>
      </c>
      <c r="M1535" s="19">
        <v>105.5</v>
      </c>
    </row>
    <row r="1536" spans="1:13" x14ac:dyDescent="0.75">
      <c r="A1536" t="s">
        <v>16</v>
      </c>
      <c r="B1536" s="18">
        <v>2025</v>
      </c>
      <c r="C1536" s="4">
        <v>11</v>
      </c>
      <c r="D1536">
        <v>1574</v>
      </c>
      <c r="E1536" s="33">
        <v>53.3</v>
      </c>
      <c r="F1536" s="29">
        <v>109.22</v>
      </c>
      <c r="G1536" s="19">
        <v>46.02</v>
      </c>
      <c r="H1536" s="19">
        <v>0.01</v>
      </c>
      <c r="I1536" s="19">
        <v>2003.08</v>
      </c>
      <c r="J1536" s="40">
        <v>4.75</v>
      </c>
      <c r="K1536" s="41">
        <v>16703</v>
      </c>
      <c r="L1536" s="24">
        <v>63.8</v>
      </c>
      <c r="M1536" s="19">
        <v>105.4</v>
      </c>
    </row>
    <row r="1537" spans="1:13" x14ac:dyDescent="0.75">
      <c r="A1537" t="s">
        <v>16</v>
      </c>
      <c r="B1537" s="18">
        <v>2025</v>
      </c>
      <c r="C1537" s="4">
        <v>12</v>
      </c>
      <c r="D1537">
        <v>1576</v>
      </c>
      <c r="E1537" s="33">
        <v>51.2</v>
      </c>
      <c r="F1537" s="29">
        <v>109.93</v>
      </c>
      <c r="G1537" s="19">
        <v>52.26</v>
      </c>
      <c r="H1537" s="19">
        <v>0.01</v>
      </c>
      <c r="I1537" s="19">
        <v>1916.6020000000001</v>
      </c>
      <c r="J1537" s="40">
        <v>4.75</v>
      </c>
      <c r="K1537" s="41">
        <v>16699</v>
      </c>
      <c r="L1537" s="24">
        <v>62.5</v>
      </c>
      <c r="M1537" s="19">
        <v>106.3</v>
      </c>
    </row>
    <row r="1538" spans="1:13" x14ac:dyDescent="0.75">
      <c r="A1538" t="s">
        <v>17</v>
      </c>
      <c r="B1538" s="18">
        <v>2025</v>
      </c>
      <c r="C1538" s="4">
        <v>1</v>
      </c>
      <c r="D1538">
        <v>482</v>
      </c>
      <c r="E1538" s="33">
        <v>51.9</v>
      </c>
      <c r="F1538" s="19">
        <v>106.53</v>
      </c>
      <c r="G1538" s="19">
        <v>2016.4</v>
      </c>
      <c r="H1538" s="19">
        <v>2273.75</v>
      </c>
      <c r="I1538" s="19">
        <v>17176.626</v>
      </c>
      <c r="J1538" s="40">
        <v>5.75</v>
      </c>
      <c r="K1538" s="41">
        <v>16262</v>
      </c>
      <c r="L1538" s="24">
        <v>79.3</v>
      </c>
      <c r="M1538" s="19">
        <v>104.2</v>
      </c>
    </row>
    <row r="1539" spans="1:13" x14ac:dyDescent="0.75">
      <c r="A1539" t="s">
        <v>17</v>
      </c>
      <c r="B1539" s="18">
        <v>2025</v>
      </c>
      <c r="C1539" s="4">
        <v>2</v>
      </c>
      <c r="D1539">
        <v>1273</v>
      </c>
      <c r="E1539" s="33">
        <v>53.6</v>
      </c>
      <c r="F1539" s="19">
        <v>105.9</v>
      </c>
      <c r="G1539" s="19">
        <v>2050.37</v>
      </c>
      <c r="H1539" s="19">
        <v>2322.23</v>
      </c>
      <c r="I1539" s="19">
        <v>17651.993999999999</v>
      </c>
      <c r="J1539" s="40">
        <v>5.75</v>
      </c>
      <c r="K1539" s="41">
        <v>16338</v>
      </c>
      <c r="L1539" s="24">
        <v>75.400000000000006</v>
      </c>
      <c r="M1539" s="19">
        <v>104.3</v>
      </c>
    </row>
    <row r="1540" spans="1:13" x14ac:dyDescent="0.75">
      <c r="A1540" t="s">
        <v>17</v>
      </c>
      <c r="B1540" s="18">
        <v>2025</v>
      </c>
      <c r="C1540" s="4">
        <v>3</v>
      </c>
      <c r="D1540">
        <v>1595</v>
      </c>
      <c r="E1540" s="33">
        <v>52.4</v>
      </c>
      <c r="F1540" s="19">
        <v>107.43</v>
      </c>
      <c r="G1540" s="19">
        <v>2077.21</v>
      </c>
      <c r="H1540" s="19">
        <v>2398.3200000000002</v>
      </c>
      <c r="I1540" s="19">
        <v>17755.993999999999</v>
      </c>
      <c r="J1540" s="40">
        <v>5.75</v>
      </c>
      <c r="K1540" s="41">
        <v>16456</v>
      </c>
      <c r="L1540" s="24">
        <v>72.7</v>
      </c>
      <c r="M1540" s="19">
        <v>105.1</v>
      </c>
    </row>
    <row r="1541" spans="1:13" x14ac:dyDescent="0.75">
      <c r="A1541" t="s">
        <v>17</v>
      </c>
      <c r="B1541" s="18">
        <v>2025</v>
      </c>
      <c r="C1541" s="4">
        <v>4</v>
      </c>
      <c r="D1541">
        <v>2009</v>
      </c>
      <c r="E1541" s="33">
        <v>46.7</v>
      </c>
      <c r="F1541" s="19">
        <v>108.43</v>
      </c>
      <c r="G1541" s="19">
        <v>2097.09</v>
      </c>
      <c r="H1541" s="19">
        <v>2689.77</v>
      </c>
      <c r="I1541" s="19">
        <v>18550.601999999999</v>
      </c>
      <c r="J1541" s="40">
        <v>5.75</v>
      </c>
      <c r="K1541" s="41">
        <v>16820</v>
      </c>
      <c r="L1541" s="24">
        <v>68.099999999999994</v>
      </c>
      <c r="M1541" s="19">
        <v>105.1</v>
      </c>
    </row>
    <row r="1542" spans="1:13" x14ac:dyDescent="0.75">
      <c r="A1542" t="s">
        <v>17</v>
      </c>
      <c r="B1542" s="18">
        <v>2025</v>
      </c>
      <c r="C1542" s="4">
        <v>5</v>
      </c>
      <c r="D1542">
        <v>2603</v>
      </c>
      <c r="E1542" s="33">
        <v>47.4</v>
      </c>
      <c r="F1542" s="19">
        <v>108.06</v>
      </c>
      <c r="G1542" s="19">
        <v>2829.91</v>
      </c>
      <c r="H1542" s="19">
        <v>2298.2600000000002</v>
      </c>
      <c r="I1542" s="19">
        <v>19791.436000000002</v>
      </c>
      <c r="J1542" s="40">
        <v>5.5</v>
      </c>
      <c r="K1542" s="41">
        <v>16441</v>
      </c>
      <c r="L1542" s="24">
        <v>64.5</v>
      </c>
      <c r="M1542" s="19">
        <v>104.6</v>
      </c>
    </row>
    <row r="1543" spans="1:13" x14ac:dyDescent="0.75">
      <c r="A1543" t="s">
        <v>17</v>
      </c>
      <c r="B1543" s="18">
        <v>2025</v>
      </c>
      <c r="C1543" s="4">
        <v>6</v>
      </c>
      <c r="D1543">
        <v>2928</v>
      </c>
      <c r="E1543" s="33">
        <v>46.9</v>
      </c>
      <c r="F1543" s="19">
        <v>108.52</v>
      </c>
      <c r="G1543" s="19">
        <v>2665.72</v>
      </c>
      <c r="H1543" s="19">
        <v>2245.62</v>
      </c>
      <c r="I1543" s="19">
        <v>19519.62</v>
      </c>
      <c r="J1543" s="40">
        <v>5.5</v>
      </c>
      <c r="K1543" s="41">
        <v>16311</v>
      </c>
      <c r="L1543" s="24">
        <v>71.400000000000006</v>
      </c>
      <c r="M1543" s="19">
        <v>104.7</v>
      </c>
    </row>
    <row r="1544" spans="1:13" x14ac:dyDescent="0.75">
      <c r="A1544" t="s">
        <v>17</v>
      </c>
      <c r="B1544" s="18">
        <v>2025</v>
      </c>
      <c r="C1544" s="4">
        <v>7</v>
      </c>
      <c r="D1544">
        <v>3292</v>
      </c>
      <c r="E1544" s="33">
        <v>49.2</v>
      </c>
      <c r="F1544" s="19">
        <v>108.76</v>
      </c>
      <c r="G1544" s="19">
        <v>2780.91</v>
      </c>
      <c r="H1544" s="19">
        <v>2516.23</v>
      </c>
      <c r="I1544" s="19">
        <v>19681.863000000001</v>
      </c>
      <c r="J1544" s="40">
        <v>5.25</v>
      </c>
      <c r="K1544" s="41">
        <v>16276</v>
      </c>
      <c r="L1544" s="24">
        <v>71</v>
      </c>
      <c r="M1544" s="19">
        <v>105.2</v>
      </c>
    </row>
    <row r="1545" spans="1:13" x14ac:dyDescent="0.75">
      <c r="A1545" t="s">
        <v>17</v>
      </c>
      <c r="B1545" s="18">
        <v>2025</v>
      </c>
      <c r="C1545" s="4">
        <v>8</v>
      </c>
      <c r="D1545">
        <v>3802</v>
      </c>
      <c r="E1545" s="33">
        <v>51.5</v>
      </c>
      <c r="F1545" s="19">
        <v>108.65</v>
      </c>
      <c r="G1545" s="19">
        <v>2467.56</v>
      </c>
      <c r="H1545" s="19">
        <v>2415.5300000000002</v>
      </c>
      <c r="I1545" s="19">
        <v>20138.284</v>
      </c>
      <c r="J1545" s="40">
        <v>5</v>
      </c>
      <c r="K1545" s="41">
        <v>16309</v>
      </c>
      <c r="L1545" s="24">
        <v>67.900000000000006</v>
      </c>
      <c r="M1545" s="19">
        <v>105.2</v>
      </c>
    </row>
    <row r="1546" spans="1:13" x14ac:dyDescent="0.75">
      <c r="A1546" t="s">
        <v>17</v>
      </c>
      <c r="B1546" s="18">
        <v>2025</v>
      </c>
      <c r="C1546" s="4">
        <v>9</v>
      </c>
      <c r="D1546">
        <v>4357</v>
      </c>
      <c r="E1546" s="33">
        <v>50.4</v>
      </c>
      <c r="F1546" s="19">
        <v>108.9</v>
      </c>
      <c r="G1546" s="19">
        <v>3205.54</v>
      </c>
      <c r="H1546" s="19">
        <v>2422.73</v>
      </c>
      <c r="I1546" s="19">
        <v>19573.940999999999</v>
      </c>
      <c r="J1546" s="40">
        <v>4.75</v>
      </c>
      <c r="K1546" s="41">
        <v>16512</v>
      </c>
      <c r="L1546" s="24">
        <v>68</v>
      </c>
      <c r="M1546" s="19">
        <v>105.3</v>
      </c>
    </row>
    <row r="1547" spans="1:13" x14ac:dyDescent="0.75">
      <c r="A1547" t="s">
        <v>17</v>
      </c>
      <c r="B1547" s="18">
        <v>2025</v>
      </c>
      <c r="C1547" s="4">
        <v>10</v>
      </c>
      <c r="D1547">
        <v>5343</v>
      </c>
      <c r="E1547" s="33">
        <v>51.2</v>
      </c>
      <c r="F1547" s="19">
        <v>109.23</v>
      </c>
      <c r="G1547" s="19">
        <v>2272.17</v>
      </c>
      <c r="H1547" s="19">
        <v>2663.54</v>
      </c>
      <c r="I1547" s="19">
        <v>19405.031999999999</v>
      </c>
      <c r="J1547" s="40">
        <v>4.75</v>
      </c>
      <c r="K1547" s="41">
        <v>16607</v>
      </c>
      <c r="L1547" s="24">
        <v>64.5</v>
      </c>
      <c r="M1547" s="19">
        <v>105.5</v>
      </c>
    </row>
    <row r="1548" spans="1:13" x14ac:dyDescent="0.75">
      <c r="A1548" t="s">
        <v>17</v>
      </c>
      <c r="B1548" s="18">
        <v>2025</v>
      </c>
      <c r="C1548" s="4">
        <v>11</v>
      </c>
      <c r="D1548">
        <v>5922</v>
      </c>
      <c r="E1548" s="33">
        <v>53.3</v>
      </c>
      <c r="F1548" s="19">
        <v>109.42</v>
      </c>
      <c r="G1548" s="19">
        <v>2143.48</v>
      </c>
      <c r="H1548" s="19">
        <v>2431.88</v>
      </c>
      <c r="I1548" s="19">
        <v>19260.915000000001</v>
      </c>
      <c r="J1548" s="40">
        <v>4.75</v>
      </c>
      <c r="K1548" s="41">
        <v>16703</v>
      </c>
      <c r="L1548" s="24">
        <v>63.8</v>
      </c>
      <c r="M1548" s="19">
        <v>105.4</v>
      </c>
    </row>
    <row r="1549" spans="1:13" x14ac:dyDescent="0.75">
      <c r="A1549" t="s">
        <v>17</v>
      </c>
      <c r="B1549" s="18">
        <v>2025</v>
      </c>
      <c r="C1549" s="4">
        <v>12</v>
      </c>
      <c r="D1549">
        <v>5949</v>
      </c>
      <c r="E1549" s="33">
        <v>51.2</v>
      </c>
      <c r="F1549" s="19">
        <v>110.25</v>
      </c>
      <c r="G1549" s="19">
        <v>2517.62</v>
      </c>
      <c r="H1549" s="19">
        <v>2913.1</v>
      </c>
      <c r="I1549" s="19">
        <v>18688.502</v>
      </c>
      <c r="J1549" s="40">
        <v>4.75</v>
      </c>
      <c r="K1549" s="41">
        <v>16699</v>
      </c>
      <c r="L1549" s="24">
        <v>62.5</v>
      </c>
      <c r="M1549" s="19">
        <v>106.3</v>
      </c>
    </row>
    <row r="1550" spans="1:13" x14ac:dyDescent="0.75">
      <c r="A1550" t="s">
        <v>18</v>
      </c>
      <c r="B1550" s="18">
        <v>2025</v>
      </c>
      <c r="C1550" s="4">
        <v>1</v>
      </c>
      <c r="D1550">
        <v>2604</v>
      </c>
      <c r="E1550" s="33">
        <v>51.9</v>
      </c>
      <c r="F1550" s="26">
        <v>105.49</v>
      </c>
      <c r="G1550" s="19">
        <v>1070.52</v>
      </c>
      <c r="H1550" s="19">
        <v>1076.1400000000001</v>
      </c>
      <c r="I1550" s="19">
        <v>5584.4849999999997</v>
      </c>
      <c r="J1550" s="40">
        <v>5.75</v>
      </c>
      <c r="K1550" s="41">
        <v>16262</v>
      </c>
      <c r="L1550" s="24">
        <v>79.3</v>
      </c>
      <c r="M1550" s="19">
        <v>104.2</v>
      </c>
    </row>
    <row r="1551" spans="1:13" x14ac:dyDescent="0.75">
      <c r="A1551" t="s">
        <v>18</v>
      </c>
      <c r="B1551" s="18">
        <v>2025</v>
      </c>
      <c r="C1551" s="4">
        <v>2</v>
      </c>
      <c r="D1551">
        <v>3125</v>
      </c>
      <c r="E1551" s="33">
        <v>53.6</v>
      </c>
      <c r="F1551" s="26">
        <v>104.79</v>
      </c>
      <c r="G1551" s="19">
        <v>1084.3499999999999</v>
      </c>
      <c r="H1551" s="19">
        <v>1149.24</v>
      </c>
      <c r="I1551" s="19">
        <v>5711.0590000000002</v>
      </c>
      <c r="J1551" s="40">
        <v>5.75</v>
      </c>
      <c r="K1551" s="41">
        <v>16338</v>
      </c>
      <c r="L1551" s="24">
        <v>75.400000000000006</v>
      </c>
      <c r="M1551" s="19">
        <v>104.3</v>
      </c>
    </row>
    <row r="1552" spans="1:13" x14ac:dyDescent="0.75">
      <c r="A1552" t="s">
        <v>18</v>
      </c>
      <c r="B1552" s="18">
        <v>2025</v>
      </c>
      <c r="C1552" s="4">
        <v>3</v>
      </c>
      <c r="D1552">
        <v>3554</v>
      </c>
      <c r="E1552" s="33">
        <v>52.4</v>
      </c>
      <c r="F1552" s="26">
        <v>106.91</v>
      </c>
      <c r="G1552" s="19">
        <v>1083.25</v>
      </c>
      <c r="H1552" s="19">
        <v>1100.08</v>
      </c>
      <c r="I1552" s="19">
        <v>5510.9840000000004</v>
      </c>
      <c r="J1552" s="40">
        <v>5.75</v>
      </c>
      <c r="K1552" s="41">
        <v>16456</v>
      </c>
      <c r="L1552" s="24">
        <v>72.7</v>
      </c>
      <c r="M1552" s="19">
        <v>105.1</v>
      </c>
    </row>
    <row r="1553" spans="1:13" x14ac:dyDescent="0.75">
      <c r="A1553" t="s">
        <v>18</v>
      </c>
      <c r="B1553" s="18">
        <v>2025</v>
      </c>
      <c r="C1553" s="4">
        <v>4</v>
      </c>
      <c r="D1553">
        <v>3924</v>
      </c>
      <c r="E1553" s="33">
        <v>46.7</v>
      </c>
      <c r="F1553" s="26">
        <v>108.29</v>
      </c>
      <c r="G1553" s="19">
        <v>908.12</v>
      </c>
      <c r="H1553" s="19">
        <v>1131.8900000000001</v>
      </c>
      <c r="I1553" s="19">
        <v>5703.1819999999998</v>
      </c>
      <c r="J1553" s="40">
        <v>5.75</v>
      </c>
      <c r="K1553" s="41">
        <v>16820</v>
      </c>
      <c r="L1553" s="24">
        <v>68.099999999999994</v>
      </c>
      <c r="M1553" s="19">
        <v>105.1</v>
      </c>
    </row>
    <row r="1554" spans="1:13" x14ac:dyDescent="0.75">
      <c r="A1554" t="s">
        <v>18</v>
      </c>
      <c r="B1554" s="18">
        <v>2025</v>
      </c>
      <c r="C1554" s="4">
        <v>5</v>
      </c>
      <c r="D1554">
        <v>4550</v>
      </c>
      <c r="E1554" s="33">
        <v>47.4</v>
      </c>
      <c r="F1554" s="26">
        <v>107.71</v>
      </c>
      <c r="G1554" s="19">
        <v>1120.54</v>
      </c>
      <c r="H1554" s="19">
        <v>1012.34</v>
      </c>
      <c r="I1554" s="19">
        <v>5940.0230000000001</v>
      </c>
      <c r="J1554" s="40">
        <v>5.5</v>
      </c>
      <c r="K1554" s="41">
        <v>16441</v>
      </c>
      <c r="L1554" s="24">
        <v>64.5</v>
      </c>
      <c r="M1554" s="19">
        <v>104.6</v>
      </c>
    </row>
    <row r="1555" spans="1:13" x14ac:dyDescent="0.75">
      <c r="A1555" t="s">
        <v>18</v>
      </c>
      <c r="B1555" s="18">
        <v>2025</v>
      </c>
      <c r="C1555" s="4">
        <v>6</v>
      </c>
      <c r="D1555">
        <v>5454</v>
      </c>
      <c r="E1555" s="33">
        <v>46.9</v>
      </c>
      <c r="F1555" s="26">
        <v>107.91</v>
      </c>
      <c r="G1555" s="19">
        <v>1067</v>
      </c>
      <c r="H1555" s="19">
        <v>956.55</v>
      </c>
      <c r="I1555" s="19">
        <v>6034.6220000000003</v>
      </c>
      <c r="J1555" s="40">
        <v>5.5</v>
      </c>
      <c r="K1555" s="41">
        <v>16311</v>
      </c>
      <c r="L1555" s="24">
        <v>71.400000000000006</v>
      </c>
      <c r="M1555" s="19">
        <v>104.7</v>
      </c>
    </row>
    <row r="1556" spans="1:13" x14ac:dyDescent="0.75">
      <c r="A1556" t="s">
        <v>18</v>
      </c>
      <c r="B1556" s="18">
        <v>2025</v>
      </c>
      <c r="C1556" s="4">
        <v>7</v>
      </c>
      <c r="D1556">
        <v>6219</v>
      </c>
      <c r="E1556" s="33">
        <v>49.2</v>
      </c>
      <c r="F1556" s="26">
        <v>108.14</v>
      </c>
      <c r="G1556" s="19">
        <v>1155.22</v>
      </c>
      <c r="H1556" s="19">
        <v>1095.96</v>
      </c>
      <c r="I1556" s="19">
        <v>6506.5479999999998</v>
      </c>
      <c r="J1556" s="40">
        <v>5.25</v>
      </c>
      <c r="K1556" s="41">
        <v>16276</v>
      </c>
      <c r="L1556" s="24">
        <v>71</v>
      </c>
      <c r="M1556" s="19">
        <v>105.2</v>
      </c>
    </row>
    <row r="1557" spans="1:13" x14ac:dyDescent="0.75">
      <c r="A1557" t="s">
        <v>18</v>
      </c>
      <c r="B1557" s="18">
        <v>2025</v>
      </c>
      <c r="C1557" s="4">
        <v>8</v>
      </c>
      <c r="D1557">
        <v>6800</v>
      </c>
      <c r="E1557" s="33">
        <v>51.5</v>
      </c>
      <c r="F1557" s="26">
        <v>107.79</v>
      </c>
      <c r="G1557" s="19">
        <v>1089.82</v>
      </c>
      <c r="H1557" s="19">
        <v>1161.31</v>
      </c>
      <c r="I1557" s="19">
        <v>6856.8469999999998</v>
      </c>
      <c r="J1557" s="40">
        <v>5</v>
      </c>
      <c r="K1557" s="41">
        <v>16309</v>
      </c>
      <c r="L1557" s="24">
        <v>67.900000000000006</v>
      </c>
      <c r="M1557" s="19">
        <v>105.2</v>
      </c>
    </row>
    <row r="1558" spans="1:13" x14ac:dyDescent="0.75">
      <c r="A1558" t="s">
        <v>18</v>
      </c>
      <c r="B1558" s="18">
        <v>2025</v>
      </c>
      <c r="C1558" s="4">
        <v>9</v>
      </c>
      <c r="D1558">
        <v>7380</v>
      </c>
      <c r="E1558" s="33">
        <v>50.4</v>
      </c>
      <c r="F1558" s="26">
        <v>107.9</v>
      </c>
      <c r="G1558" s="19">
        <v>1121.75</v>
      </c>
      <c r="H1558" s="19">
        <v>1127.98</v>
      </c>
      <c r="I1558" s="19">
        <v>6848.4059999999999</v>
      </c>
      <c r="J1558" s="40">
        <v>4.75</v>
      </c>
      <c r="K1558" s="41">
        <v>16512</v>
      </c>
      <c r="L1558" s="24">
        <v>68</v>
      </c>
      <c r="M1558" s="19">
        <v>105.3</v>
      </c>
    </row>
    <row r="1559" spans="1:13" x14ac:dyDescent="0.75">
      <c r="A1559" t="s">
        <v>18</v>
      </c>
      <c r="B1559" s="18">
        <v>2025</v>
      </c>
      <c r="C1559" s="4">
        <v>10</v>
      </c>
      <c r="D1559">
        <v>10101</v>
      </c>
      <c r="E1559" s="33">
        <v>51.2</v>
      </c>
      <c r="F1559" s="26">
        <v>108.51</v>
      </c>
      <c r="G1559" s="19">
        <v>1192.18</v>
      </c>
      <c r="H1559" s="19">
        <v>1235.8</v>
      </c>
      <c r="I1559" s="19">
        <v>6804.1289999999999</v>
      </c>
      <c r="J1559" s="40">
        <v>4.75</v>
      </c>
      <c r="K1559" s="41">
        <v>16607</v>
      </c>
      <c r="L1559" s="24">
        <v>64.5</v>
      </c>
      <c r="M1559" s="19">
        <v>105.5</v>
      </c>
    </row>
    <row r="1560" spans="1:13" x14ac:dyDescent="0.75">
      <c r="A1560" t="s">
        <v>18</v>
      </c>
      <c r="B1560" s="18">
        <v>2025</v>
      </c>
      <c r="C1560" s="4">
        <v>11</v>
      </c>
      <c r="D1560">
        <v>10351</v>
      </c>
      <c r="E1560" s="33">
        <v>53.3</v>
      </c>
      <c r="F1560" s="26">
        <v>108.8</v>
      </c>
      <c r="G1560" s="19">
        <v>1006.31</v>
      </c>
      <c r="H1560" s="19">
        <v>1094</v>
      </c>
      <c r="I1560" s="19">
        <v>7087.5770000000002</v>
      </c>
      <c r="J1560" s="40">
        <v>4.75</v>
      </c>
      <c r="K1560" s="41">
        <v>16703</v>
      </c>
      <c r="L1560" s="24">
        <v>63.8</v>
      </c>
      <c r="M1560" s="19">
        <v>105.4</v>
      </c>
    </row>
    <row r="1561" spans="1:13" x14ac:dyDescent="0.75">
      <c r="A1561" t="s">
        <v>18</v>
      </c>
      <c r="B1561" s="18">
        <v>2025</v>
      </c>
      <c r="C1561" s="4">
        <v>12</v>
      </c>
      <c r="D1561">
        <v>10376</v>
      </c>
      <c r="E1561" s="33">
        <v>51.2</v>
      </c>
      <c r="F1561" s="26">
        <v>109.53</v>
      </c>
      <c r="G1561" s="19">
        <v>1113.31</v>
      </c>
      <c r="H1561" s="19">
        <v>1112.4100000000001</v>
      </c>
      <c r="I1561" s="19">
        <v>6712.7240000000002</v>
      </c>
      <c r="J1561" s="40">
        <v>4.75</v>
      </c>
      <c r="K1561" s="41">
        <v>16699</v>
      </c>
      <c r="L1561" s="24">
        <v>62.5</v>
      </c>
      <c r="M1561" s="19">
        <v>106.3</v>
      </c>
    </row>
    <row r="1562" spans="1:13" x14ac:dyDescent="0.75">
      <c r="A1562" t="s">
        <v>19</v>
      </c>
      <c r="B1562" s="18">
        <v>2025</v>
      </c>
      <c r="C1562" s="4">
        <v>1</v>
      </c>
      <c r="D1562">
        <v>31</v>
      </c>
      <c r="E1562" s="33">
        <v>51.9</v>
      </c>
      <c r="F1562" s="19">
        <v>107.85</v>
      </c>
      <c r="G1562" s="19">
        <v>48.96</v>
      </c>
      <c r="H1562" s="26">
        <v>8.85</v>
      </c>
      <c r="I1562" s="19">
        <v>1356.6489999999999</v>
      </c>
      <c r="J1562" s="40">
        <v>5.75</v>
      </c>
      <c r="K1562" s="41">
        <v>16262</v>
      </c>
      <c r="L1562" s="24">
        <v>79.3</v>
      </c>
      <c r="M1562" s="19">
        <v>104.2</v>
      </c>
    </row>
    <row r="1563" spans="1:13" x14ac:dyDescent="0.75">
      <c r="A1563" t="s">
        <v>19</v>
      </c>
      <c r="B1563" s="18">
        <v>2025</v>
      </c>
      <c r="C1563" s="4">
        <v>2</v>
      </c>
      <c r="D1563">
        <v>64</v>
      </c>
      <c r="E1563" s="33">
        <v>53.6</v>
      </c>
      <c r="F1563" s="19">
        <v>107.23</v>
      </c>
      <c r="G1563" s="19">
        <v>52.22</v>
      </c>
      <c r="H1563" s="26">
        <v>8.6300000000000008</v>
      </c>
      <c r="I1563" s="19">
        <v>1343.6320000000001</v>
      </c>
      <c r="J1563" s="40">
        <v>5.75</v>
      </c>
      <c r="K1563" s="41">
        <v>16338</v>
      </c>
      <c r="L1563" s="24">
        <v>75.400000000000006</v>
      </c>
      <c r="M1563" s="19">
        <v>104.3</v>
      </c>
    </row>
    <row r="1564" spans="1:13" x14ac:dyDescent="0.75">
      <c r="A1564" t="s">
        <v>19</v>
      </c>
      <c r="B1564" s="18">
        <v>2025</v>
      </c>
      <c r="C1564" s="4">
        <v>3</v>
      </c>
      <c r="D1564">
        <v>247</v>
      </c>
      <c r="E1564" s="33">
        <v>52.4</v>
      </c>
      <c r="F1564" s="19">
        <v>108.96</v>
      </c>
      <c r="G1564" s="19">
        <v>53.66</v>
      </c>
      <c r="H1564" s="26">
        <v>10.77</v>
      </c>
      <c r="I1564" s="19">
        <v>1326.0239999999999</v>
      </c>
      <c r="J1564" s="40">
        <v>5.75</v>
      </c>
      <c r="K1564" s="41">
        <v>16456</v>
      </c>
      <c r="L1564" s="24">
        <v>72.7</v>
      </c>
      <c r="M1564" s="19">
        <v>105.1</v>
      </c>
    </row>
    <row r="1565" spans="1:13" x14ac:dyDescent="0.75">
      <c r="A1565" t="s">
        <v>19</v>
      </c>
      <c r="B1565" s="18">
        <v>2025</v>
      </c>
      <c r="C1565" s="4">
        <v>4</v>
      </c>
      <c r="D1565">
        <v>270</v>
      </c>
      <c r="E1565" s="33">
        <v>46.7</v>
      </c>
      <c r="F1565" s="19">
        <v>109.75</v>
      </c>
      <c r="G1565" s="19">
        <v>41.4</v>
      </c>
      <c r="H1565" s="26">
        <v>9.4700000000000006</v>
      </c>
      <c r="I1565" s="19">
        <v>1422.931</v>
      </c>
      <c r="J1565" s="40">
        <v>5.75</v>
      </c>
      <c r="K1565" s="41">
        <v>16820</v>
      </c>
      <c r="L1565" s="24">
        <v>68.099999999999994</v>
      </c>
      <c r="M1565" s="19">
        <v>105.1</v>
      </c>
    </row>
    <row r="1566" spans="1:13" x14ac:dyDescent="0.75">
      <c r="A1566" t="s">
        <v>19</v>
      </c>
      <c r="B1566" s="18">
        <v>2025</v>
      </c>
      <c r="C1566" s="4">
        <v>5</v>
      </c>
      <c r="D1566">
        <v>388</v>
      </c>
      <c r="E1566" s="33">
        <v>47.4</v>
      </c>
      <c r="F1566" s="19">
        <v>109.23</v>
      </c>
      <c r="G1566" s="19">
        <v>46.51</v>
      </c>
      <c r="H1566" s="26">
        <v>10.050000000000001</v>
      </c>
      <c r="I1566" s="19">
        <v>1433.7149999999999</v>
      </c>
      <c r="J1566" s="40">
        <v>5.5</v>
      </c>
      <c r="K1566" s="41">
        <v>16441</v>
      </c>
      <c r="L1566" s="24">
        <v>64.5</v>
      </c>
      <c r="M1566" s="19">
        <v>104.6</v>
      </c>
    </row>
    <row r="1567" spans="1:13" x14ac:dyDescent="0.75">
      <c r="A1567" t="s">
        <v>19</v>
      </c>
      <c r="B1567" s="18">
        <v>2025</v>
      </c>
      <c r="C1567" s="4">
        <v>6</v>
      </c>
      <c r="D1567">
        <v>470</v>
      </c>
      <c r="E1567" s="33">
        <v>46.9</v>
      </c>
      <c r="F1567" s="19">
        <v>109.71</v>
      </c>
      <c r="G1567" s="19">
        <v>40.270000000000003</v>
      </c>
      <c r="H1567" s="26">
        <v>9.85</v>
      </c>
      <c r="I1567" s="19">
        <v>1410.308</v>
      </c>
      <c r="J1567" s="40">
        <v>5.5</v>
      </c>
      <c r="K1567" s="41">
        <v>16311</v>
      </c>
      <c r="L1567" s="24">
        <v>71.400000000000006</v>
      </c>
      <c r="M1567" s="19">
        <v>104.7</v>
      </c>
    </row>
    <row r="1568" spans="1:13" x14ac:dyDescent="0.75">
      <c r="A1568" t="s">
        <v>19</v>
      </c>
      <c r="B1568" s="18">
        <v>2025</v>
      </c>
      <c r="C1568" s="4">
        <v>7</v>
      </c>
      <c r="D1568">
        <v>514</v>
      </c>
      <c r="E1568" s="33">
        <v>49.2</v>
      </c>
      <c r="F1568" s="19">
        <v>110.06</v>
      </c>
      <c r="G1568" s="19">
        <v>39.75</v>
      </c>
      <c r="H1568" s="26">
        <v>14.45</v>
      </c>
      <c r="I1568" s="19">
        <v>1398.7919999999999</v>
      </c>
      <c r="J1568" s="40">
        <v>5.25</v>
      </c>
      <c r="K1568" s="41">
        <v>16276</v>
      </c>
      <c r="L1568" s="24">
        <v>71</v>
      </c>
      <c r="M1568" s="19">
        <v>105.2</v>
      </c>
    </row>
    <row r="1569" spans="1:13" x14ac:dyDescent="0.75">
      <c r="A1569" t="s">
        <v>19</v>
      </c>
      <c r="B1569" s="18">
        <v>2025</v>
      </c>
      <c r="C1569" s="4">
        <v>8</v>
      </c>
      <c r="D1569">
        <v>532</v>
      </c>
      <c r="E1569" s="33">
        <v>51.5</v>
      </c>
      <c r="F1569" s="19">
        <v>109.63</v>
      </c>
      <c r="G1569" s="19">
        <v>42.92</v>
      </c>
      <c r="H1569" s="26">
        <v>16</v>
      </c>
      <c r="I1569" s="19">
        <v>1398.7460000000001</v>
      </c>
      <c r="J1569" s="40">
        <v>5</v>
      </c>
      <c r="K1569" s="41">
        <v>16309</v>
      </c>
      <c r="L1569" s="24">
        <v>67.900000000000006</v>
      </c>
      <c r="M1569" s="19">
        <v>105.2</v>
      </c>
    </row>
    <row r="1570" spans="1:13" x14ac:dyDescent="0.75">
      <c r="A1570" t="s">
        <v>19</v>
      </c>
      <c r="B1570" s="18">
        <v>2025</v>
      </c>
      <c r="C1570" s="4">
        <v>9</v>
      </c>
      <c r="D1570">
        <v>577</v>
      </c>
      <c r="E1570" s="33">
        <v>50.4</v>
      </c>
      <c r="F1570" s="19">
        <v>109.62</v>
      </c>
      <c r="G1570" s="19">
        <v>45.48</v>
      </c>
      <c r="H1570" s="26">
        <v>13.63</v>
      </c>
      <c r="I1570" s="19">
        <v>1350.8389999999999</v>
      </c>
      <c r="J1570" s="40">
        <v>4.75</v>
      </c>
      <c r="K1570" s="41">
        <v>16512</v>
      </c>
      <c r="L1570" s="24">
        <v>68</v>
      </c>
      <c r="M1570" s="19">
        <v>105.3</v>
      </c>
    </row>
    <row r="1571" spans="1:13" x14ac:dyDescent="0.75">
      <c r="A1571" t="s">
        <v>19</v>
      </c>
      <c r="B1571" s="18">
        <v>2025</v>
      </c>
      <c r="C1571" s="4">
        <v>10</v>
      </c>
      <c r="D1571">
        <v>604</v>
      </c>
      <c r="E1571" s="33">
        <v>51.2</v>
      </c>
      <c r="F1571" s="19">
        <v>109.8</v>
      </c>
      <c r="G1571" s="19">
        <v>53.35</v>
      </c>
      <c r="H1571" s="26">
        <v>14.77</v>
      </c>
      <c r="I1571" s="19">
        <v>1282.1410000000001</v>
      </c>
      <c r="J1571" s="40">
        <v>4.75</v>
      </c>
      <c r="K1571" s="41">
        <v>16607</v>
      </c>
      <c r="L1571" s="24">
        <v>64.5</v>
      </c>
      <c r="M1571" s="19">
        <v>105.5</v>
      </c>
    </row>
    <row r="1572" spans="1:13" x14ac:dyDescent="0.75">
      <c r="A1572" t="s">
        <v>19</v>
      </c>
      <c r="B1572" s="18">
        <v>2025</v>
      </c>
      <c r="C1572" s="4">
        <v>11</v>
      </c>
      <c r="D1572">
        <v>609</v>
      </c>
      <c r="E1572" s="33">
        <v>53.3</v>
      </c>
      <c r="F1572" s="19">
        <v>110.24</v>
      </c>
      <c r="G1572" s="19">
        <v>47.94</v>
      </c>
      <c r="H1572" s="26">
        <v>13.72</v>
      </c>
      <c r="I1572" s="19">
        <v>1255.443</v>
      </c>
      <c r="J1572" s="40">
        <v>4.75</v>
      </c>
      <c r="K1572" s="41">
        <v>16703</v>
      </c>
      <c r="L1572" s="24">
        <v>63.8</v>
      </c>
      <c r="M1572" s="19">
        <v>105.4</v>
      </c>
    </row>
    <row r="1573" spans="1:13" x14ac:dyDescent="0.75">
      <c r="A1573" t="s">
        <v>19</v>
      </c>
      <c r="B1573" s="18">
        <v>2025</v>
      </c>
      <c r="C1573" s="4">
        <v>12</v>
      </c>
      <c r="D1573">
        <v>611</v>
      </c>
      <c r="E1573" s="33">
        <v>51.2</v>
      </c>
      <c r="F1573" s="19">
        <v>111.01</v>
      </c>
      <c r="G1573" s="19">
        <v>53.03</v>
      </c>
      <c r="H1573" s="26">
        <v>12.28</v>
      </c>
      <c r="I1573" s="19">
        <v>1175.1210000000001</v>
      </c>
      <c r="J1573" s="40">
        <v>4.75</v>
      </c>
      <c r="K1573" s="41">
        <v>16699</v>
      </c>
      <c r="L1573" s="24">
        <v>62.5</v>
      </c>
      <c r="M1573" s="19">
        <v>106.3</v>
      </c>
    </row>
    <row r="1574" spans="1:13" x14ac:dyDescent="0.75">
      <c r="A1574" t="s">
        <v>20</v>
      </c>
      <c r="B1574" s="18">
        <v>2025</v>
      </c>
      <c r="C1574" s="4">
        <v>1</v>
      </c>
      <c r="D1574">
        <v>7</v>
      </c>
      <c r="E1574" s="33">
        <v>51.9</v>
      </c>
      <c r="F1574" s="29">
        <v>106.45</v>
      </c>
      <c r="G1574" s="26">
        <v>3.89</v>
      </c>
      <c r="H1574" s="29">
        <v>38.119999999999997</v>
      </c>
      <c r="I1574" s="19">
        <v>1545.0809999999999</v>
      </c>
      <c r="J1574" s="40">
        <v>5.75</v>
      </c>
      <c r="K1574" s="41">
        <v>16262</v>
      </c>
      <c r="L1574" s="24">
        <v>79.3</v>
      </c>
      <c r="M1574" s="19">
        <v>104.2</v>
      </c>
    </row>
    <row r="1575" spans="1:13" x14ac:dyDescent="0.75">
      <c r="A1575" t="s">
        <v>20</v>
      </c>
      <c r="B1575" s="18">
        <v>2025</v>
      </c>
      <c r="C1575" s="4">
        <v>2</v>
      </c>
      <c r="D1575">
        <v>38</v>
      </c>
      <c r="E1575" s="33">
        <v>53.6</v>
      </c>
      <c r="F1575" s="29">
        <v>105.81</v>
      </c>
      <c r="G1575" s="26">
        <v>7.29</v>
      </c>
      <c r="H1575" s="29">
        <v>13.83</v>
      </c>
      <c r="I1575" s="19">
        <v>1614.1869999999999</v>
      </c>
      <c r="J1575" s="40">
        <v>5.75</v>
      </c>
      <c r="K1575" s="41">
        <v>16338</v>
      </c>
      <c r="L1575" s="24">
        <v>75.400000000000006</v>
      </c>
      <c r="M1575" s="19">
        <v>104.3</v>
      </c>
    </row>
    <row r="1576" spans="1:13" x14ac:dyDescent="0.75">
      <c r="A1576" t="s">
        <v>20</v>
      </c>
      <c r="B1576" s="18">
        <v>2025</v>
      </c>
      <c r="C1576" s="4">
        <v>3</v>
      </c>
      <c r="D1576">
        <v>47</v>
      </c>
      <c r="E1576" s="33">
        <v>52.4</v>
      </c>
      <c r="F1576" s="29">
        <v>107.97</v>
      </c>
      <c r="G1576" s="26">
        <v>6.13</v>
      </c>
      <c r="H1576" s="29">
        <v>19.62</v>
      </c>
      <c r="I1576" s="19">
        <v>1609.771</v>
      </c>
      <c r="J1576" s="40">
        <v>5.75</v>
      </c>
      <c r="K1576" s="41">
        <v>16456</v>
      </c>
      <c r="L1576" s="24">
        <v>72.7</v>
      </c>
      <c r="M1576" s="19">
        <v>105.1</v>
      </c>
    </row>
    <row r="1577" spans="1:13" x14ac:dyDescent="0.75">
      <c r="A1577" t="s">
        <v>20</v>
      </c>
      <c r="B1577" s="18">
        <v>2025</v>
      </c>
      <c r="C1577" s="4">
        <v>4</v>
      </c>
      <c r="D1577">
        <v>57</v>
      </c>
      <c r="E1577" s="33">
        <v>46.7</v>
      </c>
      <c r="F1577" s="29">
        <v>108.72</v>
      </c>
      <c r="G1577" s="26">
        <v>39.11</v>
      </c>
      <c r="H1577" s="29">
        <v>23.91</v>
      </c>
      <c r="I1577" s="19">
        <v>1694.9449999999999</v>
      </c>
      <c r="J1577" s="40">
        <v>5.75</v>
      </c>
      <c r="K1577" s="41">
        <v>16820</v>
      </c>
      <c r="L1577" s="24">
        <v>68.099999999999994</v>
      </c>
      <c r="M1577" s="19">
        <v>105.1</v>
      </c>
    </row>
    <row r="1578" spans="1:13" x14ac:dyDescent="0.75">
      <c r="A1578" t="s">
        <v>20</v>
      </c>
      <c r="B1578" s="18">
        <v>2025</v>
      </c>
      <c r="C1578" s="4">
        <v>5</v>
      </c>
      <c r="D1578">
        <v>87</v>
      </c>
      <c r="E1578" s="33">
        <v>47.4</v>
      </c>
      <c r="F1578" s="29">
        <v>108.09</v>
      </c>
      <c r="G1578" s="26">
        <v>54.32</v>
      </c>
      <c r="H1578" s="29">
        <v>33.4</v>
      </c>
      <c r="I1578" s="19">
        <v>1734.423</v>
      </c>
      <c r="J1578" s="40">
        <v>5.5</v>
      </c>
      <c r="K1578" s="41">
        <v>16441</v>
      </c>
      <c r="L1578" s="24">
        <v>64.5</v>
      </c>
      <c r="M1578" s="19">
        <v>104.6</v>
      </c>
    </row>
    <row r="1579" spans="1:13" x14ac:dyDescent="0.75">
      <c r="A1579" t="s">
        <v>20</v>
      </c>
      <c r="B1579" s="18">
        <v>2025</v>
      </c>
      <c r="C1579" s="4">
        <v>6</v>
      </c>
      <c r="D1579">
        <v>114</v>
      </c>
      <c r="E1579" s="33">
        <v>46.9</v>
      </c>
      <c r="F1579" s="29">
        <v>108.74</v>
      </c>
      <c r="G1579" s="26">
        <v>93.72</v>
      </c>
      <c r="H1579" s="29">
        <v>21.3</v>
      </c>
      <c r="I1579" s="19">
        <v>1729.4639999999999</v>
      </c>
      <c r="J1579" s="40">
        <v>5.5</v>
      </c>
      <c r="K1579" s="41">
        <v>16311</v>
      </c>
      <c r="L1579" s="24">
        <v>71.400000000000006</v>
      </c>
      <c r="M1579" s="19">
        <v>104.7</v>
      </c>
    </row>
    <row r="1580" spans="1:13" x14ac:dyDescent="0.75">
      <c r="A1580" t="s">
        <v>20</v>
      </c>
      <c r="B1580" s="18">
        <v>2025</v>
      </c>
      <c r="C1580" s="4">
        <v>7</v>
      </c>
      <c r="D1580">
        <v>137</v>
      </c>
      <c r="E1580" s="33">
        <v>49.2</v>
      </c>
      <c r="F1580" s="29">
        <v>108.93</v>
      </c>
      <c r="G1580" s="26">
        <v>119.57</v>
      </c>
      <c r="H1580" s="29">
        <v>20.98</v>
      </c>
      <c r="I1580" s="19">
        <v>1790.1210000000001</v>
      </c>
      <c r="J1580" s="40">
        <v>5.25</v>
      </c>
      <c r="K1580" s="41">
        <v>16276</v>
      </c>
      <c r="L1580" s="24">
        <v>71</v>
      </c>
      <c r="M1580" s="19">
        <v>105.2</v>
      </c>
    </row>
    <row r="1581" spans="1:13" x14ac:dyDescent="0.75">
      <c r="A1581" t="s">
        <v>20</v>
      </c>
      <c r="B1581" s="18">
        <v>2025</v>
      </c>
      <c r="C1581" s="4">
        <v>8</v>
      </c>
      <c r="D1581">
        <v>149</v>
      </c>
      <c r="E1581" s="33">
        <v>51.5</v>
      </c>
      <c r="F1581" s="29">
        <v>108.48</v>
      </c>
      <c r="G1581" s="26">
        <v>102.68</v>
      </c>
      <c r="H1581" s="29">
        <v>17</v>
      </c>
      <c r="I1581" s="19">
        <v>1859.2059999999999</v>
      </c>
      <c r="J1581" s="40">
        <v>5</v>
      </c>
      <c r="K1581" s="41">
        <v>16309</v>
      </c>
      <c r="L1581" s="24">
        <v>67.900000000000006</v>
      </c>
      <c r="M1581" s="19">
        <v>105.2</v>
      </c>
    </row>
    <row r="1582" spans="1:13" x14ac:dyDescent="0.75">
      <c r="A1582" t="s">
        <v>20</v>
      </c>
      <c r="B1582" s="18">
        <v>2025</v>
      </c>
      <c r="C1582" s="4">
        <v>9</v>
      </c>
      <c r="D1582">
        <v>166</v>
      </c>
      <c r="E1582" s="33">
        <v>50.4</v>
      </c>
      <c r="F1582" s="29">
        <v>108.72</v>
      </c>
      <c r="G1582" s="26">
        <v>173.7</v>
      </c>
      <c r="H1582" s="29">
        <v>11.93</v>
      </c>
      <c r="I1582" s="19">
        <v>1892.5909999999999</v>
      </c>
      <c r="J1582" s="40">
        <v>4.75</v>
      </c>
      <c r="K1582" s="41">
        <v>16512</v>
      </c>
      <c r="L1582" s="24">
        <v>68</v>
      </c>
      <c r="M1582" s="19">
        <v>105.3</v>
      </c>
    </row>
    <row r="1583" spans="1:13" x14ac:dyDescent="0.75">
      <c r="A1583" t="s">
        <v>20</v>
      </c>
      <c r="B1583" s="18">
        <v>2025</v>
      </c>
      <c r="C1583" s="4">
        <v>10</v>
      </c>
      <c r="D1583">
        <v>174</v>
      </c>
      <c r="E1583" s="33">
        <v>51.2</v>
      </c>
      <c r="F1583" s="29">
        <v>109.1</v>
      </c>
      <c r="G1583" s="26">
        <v>135.56</v>
      </c>
      <c r="H1583" s="29">
        <v>6.84</v>
      </c>
      <c r="I1583" s="19">
        <v>1953.3420000000001</v>
      </c>
      <c r="J1583" s="40">
        <v>4.75</v>
      </c>
      <c r="K1583" s="41">
        <v>16607</v>
      </c>
      <c r="L1583" s="24">
        <v>64.5</v>
      </c>
      <c r="M1583" s="19">
        <v>105.5</v>
      </c>
    </row>
    <row r="1584" spans="1:13" x14ac:dyDescent="0.75">
      <c r="A1584" t="s">
        <v>20</v>
      </c>
      <c r="B1584" s="18">
        <v>2025</v>
      </c>
      <c r="C1584" s="4">
        <v>11</v>
      </c>
      <c r="D1584">
        <v>175</v>
      </c>
      <c r="E1584" s="33">
        <v>53.3</v>
      </c>
      <c r="F1584" s="29">
        <v>109.47</v>
      </c>
      <c r="G1584" s="26">
        <v>327.84</v>
      </c>
      <c r="H1584" s="29">
        <v>13.25</v>
      </c>
      <c r="I1584" s="19">
        <v>2147.1709999999998</v>
      </c>
      <c r="J1584" s="40">
        <v>4.75</v>
      </c>
      <c r="K1584" s="41">
        <v>16703</v>
      </c>
      <c r="L1584" s="24">
        <v>63.8</v>
      </c>
      <c r="M1584" s="19">
        <v>105.4</v>
      </c>
    </row>
    <row r="1585" spans="1:13" x14ac:dyDescent="0.75">
      <c r="A1585" t="s">
        <v>20</v>
      </c>
      <c r="B1585" s="18">
        <v>2025</v>
      </c>
      <c r="C1585" s="4">
        <v>12</v>
      </c>
      <c r="D1585">
        <v>177</v>
      </c>
      <c r="E1585" s="33">
        <v>51.2</v>
      </c>
      <c r="F1585" s="29">
        <v>110.26</v>
      </c>
      <c r="G1585" s="26">
        <v>633.34</v>
      </c>
      <c r="H1585" s="29">
        <v>34.21</v>
      </c>
      <c r="I1585" s="19">
        <v>1973.0319999999999</v>
      </c>
      <c r="J1585" s="40">
        <v>4.75</v>
      </c>
      <c r="K1585" s="41">
        <v>16699</v>
      </c>
      <c r="L1585" s="24">
        <v>62.5</v>
      </c>
      <c r="M1585" s="19">
        <v>106.3</v>
      </c>
    </row>
    <row r="1586" spans="1:13" x14ac:dyDescent="0.75">
      <c r="A1586" t="s">
        <v>21</v>
      </c>
      <c r="B1586" s="18">
        <v>2025</v>
      </c>
      <c r="C1586" s="4">
        <v>1</v>
      </c>
      <c r="D1586">
        <v>6</v>
      </c>
      <c r="E1586" s="33">
        <v>51.9</v>
      </c>
      <c r="F1586" s="29">
        <v>106.11</v>
      </c>
      <c r="G1586" s="29">
        <v>6.07</v>
      </c>
      <c r="H1586" s="29">
        <v>0.14000000000000001</v>
      </c>
      <c r="I1586" s="19">
        <v>1600.2280000000001</v>
      </c>
      <c r="J1586" s="40">
        <v>5.75</v>
      </c>
      <c r="K1586" s="41">
        <v>16262</v>
      </c>
      <c r="L1586" s="24">
        <v>79.3</v>
      </c>
      <c r="M1586" s="19">
        <v>104.2</v>
      </c>
    </row>
    <row r="1587" spans="1:13" x14ac:dyDescent="0.75">
      <c r="A1587" t="s">
        <v>21</v>
      </c>
      <c r="B1587" s="18">
        <v>2025</v>
      </c>
      <c r="C1587" s="4">
        <v>2</v>
      </c>
      <c r="D1587">
        <v>21</v>
      </c>
      <c r="E1587" s="33">
        <v>53.6</v>
      </c>
      <c r="F1587" s="29">
        <v>106.5</v>
      </c>
      <c r="G1587" s="29">
        <v>6.03</v>
      </c>
      <c r="H1587" s="29">
        <v>0.22</v>
      </c>
      <c r="I1587" s="19">
        <v>1675.5360000000001</v>
      </c>
      <c r="J1587" s="40">
        <v>5.75</v>
      </c>
      <c r="K1587" s="41">
        <v>16338</v>
      </c>
      <c r="L1587" s="24">
        <v>75.400000000000006</v>
      </c>
      <c r="M1587" s="19">
        <v>104.3</v>
      </c>
    </row>
    <row r="1588" spans="1:13" x14ac:dyDescent="0.75">
      <c r="A1588" t="s">
        <v>21</v>
      </c>
      <c r="B1588" s="18">
        <v>2025</v>
      </c>
      <c r="C1588" s="4">
        <v>3</v>
      </c>
      <c r="D1588">
        <v>31</v>
      </c>
      <c r="E1588" s="33">
        <v>52.4</v>
      </c>
      <c r="F1588" s="29">
        <v>107.82</v>
      </c>
      <c r="G1588" s="29">
        <v>5.73</v>
      </c>
      <c r="H1588" s="29">
        <v>1.75</v>
      </c>
      <c r="I1588" s="19">
        <v>1625.7550000000001</v>
      </c>
      <c r="J1588" s="40">
        <v>5.75</v>
      </c>
      <c r="K1588" s="41">
        <v>16456</v>
      </c>
      <c r="L1588" s="24">
        <v>72.7</v>
      </c>
      <c r="M1588" s="19">
        <v>105.1</v>
      </c>
    </row>
    <row r="1589" spans="1:13" x14ac:dyDescent="0.75">
      <c r="A1589" t="s">
        <v>21</v>
      </c>
      <c r="B1589" s="18">
        <v>2025</v>
      </c>
      <c r="C1589" s="4">
        <v>4</v>
      </c>
      <c r="D1589">
        <v>52</v>
      </c>
      <c r="E1589" s="33">
        <v>46.7</v>
      </c>
      <c r="F1589" s="29">
        <v>108.06</v>
      </c>
      <c r="G1589" s="29">
        <v>5.98</v>
      </c>
      <c r="H1589" s="29">
        <v>0.12</v>
      </c>
      <c r="I1589" s="19">
        <v>1764.664</v>
      </c>
      <c r="J1589" s="40">
        <v>5.75</v>
      </c>
      <c r="K1589" s="41">
        <v>16820</v>
      </c>
      <c r="L1589" s="24">
        <v>68.099999999999994</v>
      </c>
      <c r="M1589" s="19">
        <v>105.1</v>
      </c>
    </row>
    <row r="1590" spans="1:13" x14ac:dyDescent="0.75">
      <c r="A1590" t="s">
        <v>21</v>
      </c>
      <c r="B1590" s="18">
        <v>2025</v>
      </c>
      <c r="C1590" s="4">
        <v>5</v>
      </c>
      <c r="D1590">
        <v>65</v>
      </c>
      <c r="E1590" s="33">
        <v>47.4</v>
      </c>
      <c r="F1590" s="29">
        <v>107.63</v>
      </c>
      <c r="G1590" s="29">
        <v>7.64</v>
      </c>
      <c r="H1590" s="29">
        <v>1.38</v>
      </c>
      <c r="I1590" s="19">
        <v>1837.7829999999999</v>
      </c>
      <c r="J1590" s="40">
        <v>5.5</v>
      </c>
      <c r="K1590" s="41">
        <v>16441</v>
      </c>
      <c r="L1590" s="24">
        <v>64.5</v>
      </c>
      <c r="M1590" s="19">
        <v>104.6</v>
      </c>
    </row>
    <row r="1591" spans="1:13" x14ac:dyDescent="0.75">
      <c r="A1591" t="s">
        <v>21</v>
      </c>
      <c r="B1591" s="18">
        <v>2025</v>
      </c>
      <c r="C1591" s="4">
        <v>6</v>
      </c>
      <c r="D1591">
        <v>81</v>
      </c>
      <c r="E1591" s="33">
        <v>46.9</v>
      </c>
      <c r="F1591" s="29">
        <v>107.51</v>
      </c>
      <c r="G1591" s="29">
        <v>4.3899999999999997</v>
      </c>
      <c r="H1591" s="29">
        <v>0.47</v>
      </c>
      <c r="I1591" s="19">
        <v>1727.806</v>
      </c>
      <c r="J1591" s="40">
        <v>5.5</v>
      </c>
      <c r="K1591" s="41">
        <v>16311</v>
      </c>
      <c r="L1591" s="24">
        <v>71.400000000000006</v>
      </c>
      <c r="M1591" s="19">
        <v>104.7</v>
      </c>
    </row>
    <row r="1592" spans="1:13" x14ac:dyDescent="0.75">
      <c r="A1592" t="s">
        <v>21</v>
      </c>
      <c r="B1592" s="18">
        <v>2025</v>
      </c>
      <c r="C1592" s="4">
        <v>7</v>
      </c>
      <c r="D1592">
        <v>88</v>
      </c>
      <c r="E1592" s="33">
        <v>49.2</v>
      </c>
      <c r="F1592" s="29">
        <v>108.54</v>
      </c>
      <c r="G1592" s="29">
        <v>6.26</v>
      </c>
      <c r="H1592" s="29">
        <v>1.9</v>
      </c>
      <c r="I1592" s="19">
        <v>1817.325</v>
      </c>
      <c r="J1592" s="40">
        <v>5.25</v>
      </c>
      <c r="K1592" s="41">
        <v>16276</v>
      </c>
      <c r="L1592" s="24">
        <v>71</v>
      </c>
      <c r="M1592" s="19">
        <v>105.2</v>
      </c>
    </row>
    <row r="1593" spans="1:13" x14ac:dyDescent="0.75">
      <c r="A1593" t="s">
        <v>21</v>
      </c>
      <c r="B1593" s="18">
        <v>2025</v>
      </c>
      <c r="C1593" s="4">
        <v>8</v>
      </c>
      <c r="D1593">
        <v>107</v>
      </c>
      <c r="E1593" s="33">
        <v>51.5</v>
      </c>
      <c r="F1593" s="29">
        <v>107.94</v>
      </c>
      <c r="G1593" s="29">
        <v>6.61</v>
      </c>
      <c r="H1593" s="29">
        <v>0.91</v>
      </c>
      <c r="I1593" s="19">
        <v>1850.8789999999999</v>
      </c>
      <c r="J1593" s="40">
        <v>5</v>
      </c>
      <c r="K1593" s="41">
        <v>16309</v>
      </c>
      <c r="L1593" s="24">
        <v>67.900000000000006</v>
      </c>
      <c r="M1593" s="19">
        <v>105.2</v>
      </c>
    </row>
    <row r="1594" spans="1:13" x14ac:dyDescent="0.75">
      <c r="A1594" t="s">
        <v>21</v>
      </c>
      <c r="B1594" s="18">
        <v>2025</v>
      </c>
      <c r="C1594" s="4">
        <v>9</v>
      </c>
      <c r="D1594">
        <v>147</v>
      </c>
      <c r="E1594" s="33">
        <v>50.4</v>
      </c>
      <c r="F1594" s="29">
        <v>107.48</v>
      </c>
      <c r="G1594" s="29">
        <v>7.22</v>
      </c>
      <c r="H1594" s="29">
        <v>2.39</v>
      </c>
      <c r="I1594" s="19">
        <v>1817.3030000000001</v>
      </c>
      <c r="J1594" s="40">
        <v>4.75</v>
      </c>
      <c r="K1594" s="41">
        <v>16512</v>
      </c>
      <c r="L1594" s="24">
        <v>68</v>
      </c>
      <c r="M1594" s="19">
        <v>105.3</v>
      </c>
    </row>
    <row r="1595" spans="1:13" x14ac:dyDescent="0.75">
      <c r="A1595" t="s">
        <v>21</v>
      </c>
      <c r="B1595" s="18">
        <v>2025</v>
      </c>
      <c r="C1595" s="4">
        <v>10</v>
      </c>
      <c r="D1595">
        <v>162</v>
      </c>
      <c r="E1595" s="33">
        <v>51.2</v>
      </c>
      <c r="F1595" s="29">
        <v>107.44</v>
      </c>
      <c r="G1595" s="29">
        <v>6.88</v>
      </c>
      <c r="H1595" s="29">
        <v>2.0299999999999998</v>
      </c>
      <c r="I1595" s="19">
        <v>1797.97</v>
      </c>
      <c r="J1595" s="40">
        <v>4.75</v>
      </c>
      <c r="K1595" s="41">
        <v>16607</v>
      </c>
      <c r="L1595" s="24">
        <v>64.5</v>
      </c>
      <c r="M1595" s="19">
        <v>105.5</v>
      </c>
    </row>
    <row r="1596" spans="1:13" x14ac:dyDescent="0.75">
      <c r="A1596" t="s">
        <v>21</v>
      </c>
      <c r="B1596" s="18">
        <v>2025</v>
      </c>
      <c r="C1596" s="4">
        <v>11</v>
      </c>
      <c r="D1596">
        <v>171</v>
      </c>
      <c r="E1596" s="33">
        <v>53.3</v>
      </c>
      <c r="F1596" s="29">
        <v>108.06</v>
      </c>
      <c r="G1596" s="29">
        <v>6.95</v>
      </c>
      <c r="H1596" s="29">
        <v>0.64</v>
      </c>
      <c r="I1596" s="19">
        <v>1715.509</v>
      </c>
      <c r="J1596" s="40">
        <v>4.75</v>
      </c>
      <c r="K1596" s="41">
        <v>16703</v>
      </c>
      <c r="L1596" s="24">
        <v>63.8</v>
      </c>
      <c r="M1596" s="19">
        <v>105.4</v>
      </c>
    </row>
    <row r="1597" spans="1:13" x14ac:dyDescent="0.75">
      <c r="A1597" t="s">
        <v>21</v>
      </c>
      <c r="B1597" s="18">
        <v>2025</v>
      </c>
      <c r="C1597" s="4">
        <v>12</v>
      </c>
      <c r="D1597">
        <v>171</v>
      </c>
      <c r="E1597" s="33">
        <v>51.2</v>
      </c>
      <c r="F1597" s="29">
        <v>108.94</v>
      </c>
      <c r="G1597" s="29">
        <v>6.87</v>
      </c>
      <c r="H1597" s="29">
        <v>0.44</v>
      </c>
      <c r="I1597" s="19">
        <v>1632.0429999999999</v>
      </c>
      <c r="J1597" s="40">
        <v>4.75</v>
      </c>
      <c r="K1597" s="41">
        <v>16699</v>
      </c>
      <c r="L1597" s="24">
        <v>62.5</v>
      </c>
      <c r="M1597" s="19">
        <v>106.3</v>
      </c>
    </row>
    <row r="1598" spans="1:13" x14ac:dyDescent="0.75">
      <c r="A1598" t="s">
        <v>22</v>
      </c>
      <c r="B1598" s="18">
        <v>2025</v>
      </c>
      <c r="C1598" s="4">
        <v>1</v>
      </c>
      <c r="D1598">
        <v>69</v>
      </c>
      <c r="E1598" s="33">
        <v>51.9</v>
      </c>
      <c r="F1598" s="26">
        <v>105.57</v>
      </c>
      <c r="G1598" s="29">
        <v>211.6</v>
      </c>
      <c r="H1598" s="26">
        <v>30.29</v>
      </c>
      <c r="I1598" s="19">
        <v>1731.6120000000001</v>
      </c>
      <c r="J1598" s="40">
        <v>5.75</v>
      </c>
      <c r="K1598" s="41">
        <v>16262</v>
      </c>
      <c r="L1598" s="24">
        <v>79.3</v>
      </c>
      <c r="M1598" s="19">
        <v>104.2</v>
      </c>
    </row>
    <row r="1599" spans="1:13" x14ac:dyDescent="0.75">
      <c r="A1599" t="s">
        <v>22</v>
      </c>
      <c r="B1599" s="18">
        <v>2025</v>
      </c>
      <c r="C1599" s="4">
        <v>2</v>
      </c>
      <c r="D1599">
        <v>1259</v>
      </c>
      <c r="E1599" s="33">
        <v>53.6</v>
      </c>
      <c r="F1599" s="26">
        <v>105.53</v>
      </c>
      <c r="G1599" s="29">
        <v>197.91</v>
      </c>
      <c r="H1599" s="26">
        <v>33.85</v>
      </c>
      <c r="I1599" s="19">
        <v>1775.337</v>
      </c>
      <c r="J1599" s="40">
        <v>5.75</v>
      </c>
      <c r="K1599" s="41">
        <v>16338</v>
      </c>
      <c r="L1599" s="24">
        <v>75.400000000000006</v>
      </c>
      <c r="M1599" s="19">
        <v>104.3</v>
      </c>
    </row>
    <row r="1600" spans="1:13" x14ac:dyDescent="0.75">
      <c r="A1600" t="s">
        <v>22</v>
      </c>
      <c r="B1600" s="18">
        <v>2025</v>
      </c>
      <c r="C1600" s="4">
        <v>3</v>
      </c>
      <c r="D1600">
        <v>1475</v>
      </c>
      <c r="E1600" s="33">
        <v>52.4</v>
      </c>
      <c r="F1600" s="26">
        <v>106.83</v>
      </c>
      <c r="G1600" s="29">
        <v>188.28</v>
      </c>
      <c r="H1600" s="26">
        <v>30.37</v>
      </c>
      <c r="I1600" s="19">
        <v>1759.6890000000001</v>
      </c>
      <c r="J1600" s="40">
        <v>5.75</v>
      </c>
      <c r="K1600" s="41">
        <v>16456</v>
      </c>
      <c r="L1600" s="24">
        <v>72.7</v>
      </c>
      <c r="M1600" s="19">
        <v>105.1</v>
      </c>
    </row>
    <row r="1601" spans="1:13" x14ac:dyDescent="0.75">
      <c r="A1601" t="s">
        <v>22</v>
      </c>
      <c r="B1601" s="18">
        <v>2025</v>
      </c>
      <c r="C1601" s="4">
        <v>4</v>
      </c>
      <c r="D1601">
        <v>1556</v>
      </c>
      <c r="E1601" s="33">
        <v>46.7</v>
      </c>
      <c r="F1601" s="26">
        <v>107.85</v>
      </c>
      <c r="G1601" s="29">
        <v>175.9</v>
      </c>
      <c r="H1601" s="26">
        <v>28.7</v>
      </c>
      <c r="I1601" s="19">
        <v>1810.7349999999999</v>
      </c>
      <c r="J1601" s="40">
        <v>5.75</v>
      </c>
      <c r="K1601" s="41">
        <v>16820</v>
      </c>
      <c r="L1601" s="24">
        <v>68.099999999999994</v>
      </c>
      <c r="M1601" s="19">
        <v>105.1</v>
      </c>
    </row>
    <row r="1602" spans="1:13" x14ac:dyDescent="0.75">
      <c r="A1602" t="s">
        <v>22</v>
      </c>
      <c r="B1602" s="18">
        <v>2025</v>
      </c>
      <c r="C1602" s="4">
        <v>5</v>
      </c>
      <c r="D1602">
        <v>1914</v>
      </c>
      <c r="E1602" s="33">
        <v>47.4</v>
      </c>
      <c r="F1602" s="26">
        <v>107.37</v>
      </c>
      <c r="G1602" s="29">
        <v>185.37</v>
      </c>
      <c r="H1602" s="26">
        <v>40.53</v>
      </c>
      <c r="I1602" s="19">
        <v>1856.7080000000001</v>
      </c>
      <c r="J1602" s="40">
        <v>5.5</v>
      </c>
      <c r="K1602" s="41">
        <v>16441</v>
      </c>
      <c r="L1602" s="24">
        <v>64.5</v>
      </c>
      <c r="M1602" s="19">
        <v>104.6</v>
      </c>
    </row>
    <row r="1603" spans="1:13" x14ac:dyDescent="0.75">
      <c r="A1603" t="s">
        <v>22</v>
      </c>
      <c r="B1603" s="18">
        <v>2025</v>
      </c>
      <c r="C1603" s="4">
        <v>6</v>
      </c>
      <c r="D1603">
        <v>1977</v>
      </c>
      <c r="E1603" s="33">
        <v>46.9</v>
      </c>
      <c r="F1603" s="26">
        <v>107.71</v>
      </c>
      <c r="G1603" s="29">
        <v>179.81</v>
      </c>
      <c r="H1603" s="26">
        <v>34.159999999999997</v>
      </c>
      <c r="I1603" s="19">
        <v>1856.001</v>
      </c>
      <c r="J1603" s="40">
        <v>5.5</v>
      </c>
      <c r="K1603" s="41">
        <v>16311</v>
      </c>
      <c r="L1603" s="24">
        <v>71.400000000000006</v>
      </c>
      <c r="M1603" s="19">
        <v>104.7</v>
      </c>
    </row>
    <row r="1604" spans="1:13" x14ac:dyDescent="0.75">
      <c r="A1604" t="s">
        <v>22</v>
      </c>
      <c r="B1604" s="18">
        <v>2025</v>
      </c>
      <c r="C1604" s="4">
        <v>7</v>
      </c>
      <c r="D1604">
        <v>2117</v>
      </c>
      <c r="E1604" s="33">
        <v>49.2</v>
      </c>
      <c r="F1604" s="26">
        <v>108.22</v>
      </c>
      <c r="G1604" s="29">
        <v>163.09</v>
      </c>
      <c r="H1604" s="26">
        <v>43.61</v>
      </c>
      <c r="I1604" s="19">
        <v>1846.223</v>
      </c>
      <c r="J1604" s="40">
        <v>5.25</v>
      </c>
      <c r="K1604" s="41">
        <v>16276</v>
      </c>
      <c r="L1604" s="24">
        <v>71</v>
      </c>
      <c r="M1604" s="19">
        <v>105.2</v>
      </c>
    </row>
    <row r="1605" spans="1:13" x14ac:dyDescent="0.75">
      <c r="A1605" t="s">
        <v>22</v>
      </c>
      <c r="B1605" s="18">
        <v>2025</v>
      </c>
      <c r="C1605" s="4">
        <v>8</v>
      </c>
      <c r="D1605">
        <v>2170</v>
      </c>
      <c r="E1605" s="33">
        <v>51.5</v>
      </c>
      <c r="F1605" s="26">
        <v>107.94</v>
      </c>
      <c r="G1605" s="29">
        <v>202.02</v>
      </c>
      <c r="H1605" s="26">
        <v>112.28</v>
      </c>
      <c r="I1605" s="19">
        <v>1792.2090000000001</v>
      </c>
      <c r="J1605" s="40">
        <v>5</v>
      </c>
      <c r="K1605" s="41">
        <v>16309</v>
      </c>
      <c r="L1605" s="24">
        <v>67.900000000000006</v>
      </c>
      <c r="M1605" s="19">
        <v>105.2</v>
      </c>
    </row>
    <row r="1606" spans="1:13" x14ac:dyDescent="0.75">
      <c r="A1606" t="s">
        <v>22</v>
      </c>
      <c r="B1606" s="18">
        <v>2025</v>
      </c>
      <c r="C1606" s="4">
        <v>9</v>
      </c>
      <c r="D1606">
        <v>2232</v>
      </c>
      <c r="E1606" s="33">
        <v>50.4</v>
      </c>
      <c r="F1606" s="26">
        <v>108.06</v>
      </c>
      <c r="G1606" s="29">
        <v>113.14</v>
      </c>
      <c r="H1606" s="26">
        <v>91.25</v>
      </c>
      <c r="I1606" s="19">
        <v>1563.7629999999999</v>
      </c>
      <c r="J1606" s="40">
        <v>4.75</v>
      </c>
      <c r="K1606" s="41">
        <v>16512</v>
      </c>
      <c r="L1606" s="24">
        <v>68</v>
      </c>
      <c r="M1606" s="19">
        <v>105.3</v>
      </c>
    </row>
    <row r="1607" spans="1:13" x14ac:dyDescent="0.75">
      <c r="A1607" t="s">
        <v>22</v>
      </c>
      <c r="B1607" s="18">
        <v>2025</v>
      </c>
      <c r="C1607" s="4">
        <v>10</v>
      </c>
      <c r="D1607">
        <v>2318</v>
      </c>
      <c r="E1607" s="33">
        <v>51.2</v>
      </c>
      <c r="F1607" s="26">
        <v>108.24</v>
      </c>
      <c r="G1607" s="29">
        <v>139.58000000000001</v>
      </c>
      <c r="H1607" s="26">
        <v>85.38</v>
      </c>
      <c r="I1607" s="19">
        <v>1583.0050000000001</v>
      </c>
      <c r="J1607" s="40">
        <v>4.75</v>
      </c>
      <c r="K1607" s="41">
        <v>16607</v>
      </c>
      <c r="L1607" s="24">
        <v>64.5</v>
      </c>
      <c r="M1607" s="19">
        <v>105.5</v>
      </c>
    </row>
    <row r="1608" spans="1:13" x14ac:dyDescent="0.75">
      <c r="A1608" t="s">
        <v>22</v>
      </c>
      <c r="B1608" s="18">
        <v>2025</v>
      </c>
      <c r="C1608" s="4">
        <v>11</v>
      </c>
      <c r="D1608">
        <v>2559</v>
      </c>
      <c r="E1608" s="33">
        <v>53.3</v>
      </c>
      <c r="F1608" s="26">
        <v>108.5</v>
      </c>
      <c r="G1608" s="29">
        <v>195.44</v>
      </c>
      <c r="H1608" s="26">
        <v>51.02</v>
      </c>
      <c r="I1608" s="19">
        <v>1548.404</v>
      </c>
      <c r="J1608" s="40">
        <v>4.75</v>
      </c>
      <c r="K1608" s="41">
        <v>16703</v>
      </c>
      <c r="L1608" s="24">
        <v>63.8</v>
      </c>
      <c r="M1608" s="19">
        <v>105.4</v>
      </c>
    </row>
    <row r="1609" spans="1:13" x14ac:dyDescent="0.75">
      <c r="A1609" t="s">
        <v>22</v>
      </c>
      <c r="B1609" s="18">
        <v>2025</v>
      </c>
      <c r="C1609" s="4">
        <v>12</v>
      </c>
      <c r="D1609">
        <v>2577</v>
      </c>
      <c r="E1609" s="33">
        <v>51.2</v>
      </c>
      <c r="F1609" s="26">
        <v>108.8</v>
      </c>
      <c r="G1609" s="29">
        <v>197.53</v>
      </c>
      <c r="H1609" s="26">
        <v>69.099999999999994</v>
      </c>
      <c r="I1609" s="19">
        <v>1465.867</v>
      </c>
      <c r="J1609" s="40">
        <v>4.75</v>
      </c>
      <c r="K1609" s="41">
        <v>16699</v>
      </c>
      <c r="L1609" s="24">
        <v>62.5</v>
      </c>
      <c r="M1609" s="19">
        <v>106.3</v>
      </c>
    </row>
    <row r="1610" spans="1:13" x14ac:dyDescent="0.75">
      <c r="A1610" t="s">
        <v>23</v>
      </c>
      <c r="B1610" s="18">
        <v>2025</v>
      </c>
      <c r="C1610" s="4">
        <v>1</v>
      </c>
      <c r="D1610">
        <v>38</v>
      </c>
      <c r="E1610" s="33">
        <v>51.9</v>
      </c>
      <c r="F1610" s="19">
        <v>106.06</v>
      </c>
      <c r="G1610" s="26">
        <v>296.72000000000003</v>
      </c>
      <c r="H1610" s="19">
        <v>4.18</v>
      </c>
      <c r="I1610" s="19">
        <v>874.02800000000002</v>
      </c>
      <c r="J1610" s="40">
        <v>5.75</v>
      </c>
      <c r="K1610" s="41">
        <v>16262</v>
      </c>
      <c r="L1610" s="24">
        <v>79.3</v>
      </c>
      <c r="M1610" s="19">
        <v>104.2</v>
      </c>
    </row>
    <row r="1611" spans="1:13" x14ac:dyDescent="0.75">
      <c r="A1611" t="s">
        <v>23</v>
      </c>
      <c r="B1611" s="18">
        <v>2025</v>
      </c>
      <c r="C1611" s="4">
        <v>2</v>
      </c>
      <c r="D1611">
        <v>69</v>
      </c>
      <c r="E1611" s="33">
        <v>53.6</v>
      </c>
      <c r="F1611" s="19">
        <v>105.57</v>
      </c>
      <c r="G1611" s="26">
        <v>301.88</v>
      </c>
      <c r="H1611" s="19">
        <v>1.65</v>
      </c>
      <c r="I1611" s="19">
        <v>911.15</v>
      </c>
      <c r="J1611" s="40">
        <v>5.75</v>
      </c>
      <c r="K1611" s="41">
        <v>16338</v>
      </c>
      <c r="L1611" s="24">
        <v>75.400000000000006</v>
      </c>
      <c r="M1611" s="19">
        <v>104.3</v>
      </c>
    </row>
    <row r="1612" spans="1:13" x14ac:dyDescent="0.75">
      <c r="A1612" t="s">
        <v>23</v>
      </c>
      <c r="B1612" s="18">
        <v>2025</v>
      </c>
      <c r="C1612" s="4">
        <v>3</v>
      </c>
      <c r="D1612">
        <v>88</v>
      </c>
      <c r="E1612" s="33">
        <v>52.4</v>
      </c>
      <c r="F1612" s="19">
        <v>107.37</v>
      </c>
      <c r="G1612" s="26">
        <v>270.36</v>
      </c>
      <c r="H1612" s="19">
        <v>0.09</v>
      </c>
      <c r="I1612" s="19">
        <v>923.62599999999998</v>
      </c>
      <c r="J1612" s="40">
        <v>5.75</v>
      </c>
      <c r="K1612" s="41">
        <v>16456</v>
      </c>
      <c r="L1612" s="24">
        <v>72.7</v>
      </c>
      <c r="M1612" s="19">
        <v>105.1</v>
      </c>
    </row>
    <row r="1613" spans="1:13" x14ac:dyDescent="0.75">
      <c r="A1613" t="s">
        <v>23</v>
      </c>
      <c r="B1613" s="18">
        <v>2025</v>
      </c>
      <c r="C1613" s="4">
        <v>4</v>
      </c>
      <c r="D1613">
        <v>97</v>
      </c>
      <c r="E1613" s="33">
        <v>46.7</v>
      </c>
      <c r="F1613" s="19">
        <v>108.02</v>
      </c>
      <c r="G1613" s="26">
        <v>231.55</v>
      </c>
      <c r="H1613" s="19">
        <v>8.0399999999999991</v>
      </c>
      <c r="I1613" s="19">
        <v>998.09</v>
      </c>
      <c r="J1613" s="40">
        <v>5.75</v>
      </c>
      <c r="K1613" s="41">
        <v>16820</v>
      </c>
      <c r="L1613" s="24">
        <v>68.099999999999994</v>
      </c>
      <c r="M1613" s="19">
        <v>105.1</v>
      </c>
    </row>
    <row r="1614" spans="1:13" x14ac:dyDescent="0.75">
      <c r="A1614" t="s">
        <v>23</v>
      </c>
      <c r="B1614" s="18">
        <v>2025</v>
      </c>
      <c r="C1614" s="4">
        <v>5</v>
      </c>
      <c r="D1614">
        <v>125</v>
      </c>
      <c r="E1614" s="33">
        <v>47.4</v>
      </c>
      <c r="F1614" s="19">
        <v>107.45</v>
      </c>
      <c r="G1614" s="26">
        <v>326.52</v>
      </c>
      <c r="H1614" s="19">
        <v>0.61</v>
      </c>
      <c r="I1614" s="19">
        <v>1014.754</v>
      </c>
      <c r="J1614" s="40">
        <v>5.5</v>
      </c>
      <c r="K1614" s="41">
        <v>16441</v>
      </c>
      <c r="L1614" s="24">
        <v>64.5</v>
      </c>
      <c r="M1614" s="19">
        <v>104.6</v>
      </c>
    </row>
    <row r="1615" spans="1:13" x14ac:dyDescent="0.75">
      <c r="A1615" t="s">
        <v>23</v>
      </c>
      <c r="B1615" s="18">
        <v>2025</v>
      </c>
      <c r="C1615" s="4">
        <v>6</v>
      </c>
      <c r="D1615">
        <v>164</v>
      </c>
      <c r="E1615" s="33">
        <v>46.9</v>
      </c>
      <c r="F1615" s="19">
        <v>107.79</v>
      </c>
      <c r="G1615" s="26">
        <v>270.74</v>
      </c>
      <c r="H1615" s="19">
        <v>2.39</v>
      </c>
      <c r="I1615" s="19">
        <v>994.27800000000002</v>
      </c>
      <c r="J1615" s="40">
        <v>5.5</v>
      </c>
      <c r="K1615" s="41">
        <v>16311</v>
      </c>
      <c r="L1615" s="24">
        <v>71.400000000000006</v>
      </c>
      <c r="M1615" s="19">
        <v>104.7</v>
      </c>
    </row>
    <row r="1616" spans="1:13" x14ac:dyDescent="0.75">
      <c r="A1616" t="s">
        <v>23</v>
      </c>
      <c r="B1616" s="18">
        <v>2025</v>
      </c>
      <c r="C1616" s="4">
        <v>7</v>
      </c>
      <c r="D1616">
        <v>201</v>
      </c>
      <c r="E1616" s="33">
        <v>49.2</v>
      </c>
      <c r="F1616" s="19">
        <v>108.2</v>
      </c>
      <c r="G1616" s="26">
        <v>336.69</v>
      </c>
      <c r="H1616" s="19">
        <v>2.0499999999999998</v>
      </c>
      <c r="I1616" s="19">
        <v>1060.22</v>
      </c>
      <c r="J1616" s="40">
        <v>5.25</v>
      </c>
      <c r="K1616" s="41">
        <v>16276</v>
      </c>
      <c r="L1616" s="24">
        <v>71</v>
      </c>
      <c r="M1616" s="19">
        <v>105.2</v>
      </c>
    </row>
    <row r="1617" spans="1:13" x14ac:dyDescent="0.75">
      <c r="A1617" t="s">
        <v>23</v>
      </c>
      <c r="B1617" s="18">
        <v>2025</v>
      </c>
      <c r="C1617" s="4">
        <v>8</v>
      </c>
      <c r="D1617">
        <v>267</v>
      </c>
      <c r="E1617" s="33">
        <v>51.5</v>
      </c>
      <c r="F1617" s="19">
        <v>107.72</v>
      </c>
      <c r="G1617" s="26">
        <v>258.95999999999998</v>
      </c>
      <c r="H1617" s="19">
        <v>5.98</v>
      </c>
      <c r="I1617" s="19">
        <v>1215.932</v>
      </c>
      <c r="J1617" s="40">
        <v>5</v>
      </c>
      <c r="K1617" s="41">
        <v>16309</v>
      </c>
      <c r="L1617" s="24">
        <v>67.900000000000006</v>
      </c>
      <c r="M1617" s="19">
        <v>105.2</v>
      </c>
    </row>
    <row r="1618" spans="1:13" x14ac:dyDescent="0.75">
      <c r="A1618" t="s">
        <v>23</v>
      </c>
      <c r="B1618" s="18">
        <v>2025</v>
      </c>
      <c r="C1618" s="4">
        <v>9</v>
      </c>
      <c r="D1618">
        <v>368</v>
      </c>
      <c r="E1618" s="33">
        <v>50.4</v>
      </c>
      <c r="F1618" s="19">
        <v>108.08</v>
      </c>
      <c r="G1618" s="26">
        <v>259.56</v>
      </c>
      <c r="H1618" s="19">
        <v>3.35</v>
      </c>
      <c r="I1618" s="19">
        <v>1198.223</v>
      </c>
      <c r="J1618" s="40">
        <v>4.75</v>
      </c>
      <c r="K1618" s="41">
        <v>16512</v>
      </c>
      <c r="L1618" s="24">
        <v>68</v>
      </c>
      <c r="M1618" s="19">
        <v>105.3</v>
      </c>
    </row>
    <row r="1619" spans="1:13" x14ac:dyDescent="0.75">
      <c r="A1619" t="s">
        <v>23</v>
      </c>
      <c r="B1619" s="18">
        <v>2025</v>
      </c>
      <c r="C1619" s="4">
        <v>10</v>
      </c>
      <c r="D1619">
        <v>405</v>
      </c>
      <c r="E1619" s="33">
        <v>51.2</v>
      </c>
      <c r="F1619" s="19">
        <v>108.64</v>
      </c>
      <c r="G1619" s="26">
        <v>335.79</v>
      </c>
      <c r="H1619" s="19">
        <v>4.43</v>
      </c>
      <c r="I1619" s="19">
        <v>1176.8009999999999</v>
      </c>
      <c r="J1619" s="40">
        <v>4.75</v>
      </c>
      <c r="K1619" s="41">
        <v>16607</v>
      </c>
      <c r="L1619" s="24">
        <v>64.5</v>
      </c>
      <c r="M1619" s="19">
        <v>105.5</v>
      </c>
    </row>
    <row r="1620" spans="1:13" x14ac:dyDescent="0.75">
      <c r="A1620" t="s">
        <v>23</v>
      </c>
      <c r="B1620" s="18">
        <v>2025</v>
      </c>
      <c r="C1620" s="4">
        <v>11</v>
      </c>
      <c r="D1620">
        <v>479</v>
      </c>
      <c r="E1620" s="33">
        <v>53.3</v>
      </c>
      <c r="F1620" s="19">
        <v>108.85</v>
      </c>
      <c r="G1620" s="26">
        <v>262.05</v>
      </c>
      <c r="H1620" s="19">
        <v>2.4700000000000002</v>
      </c>
      <c r="I1620" s="19">
        <v>1174.991</v>
      </c>
      <c r="J1620" s="40">
        <v>4.75</v>
      </c>
      <c r="K1620" s="41">
        <v>16703</v>
      </c>
      <c r="L1620" s="24">
        <v>63.8</v>
      </c>
      <c r="M1620" s="19">
        <v>105.4</v>
      </c>
    </row>
    <row r="1621" spans="1:13" x14ac:dyDescent="0.75">
      <c r="A1621" t="s">
        <v>23</v>
      </c>
      <c r="B1621" s="18">
        <v>2025</v>
      </c>
      <c r="C1621" s="4">
        <v>12</v>
      </c>
      <c r="D1621">
        <v>479</v>
      </c>
      <c r="E1621" s="33">
        <v>51.2</v>
      </c>
      <c r="F1621" s="19">
        <v>109.98</v>
      </c>
      <c r="G1621" s="26">
        <v>387.79</v>
      </c>
      <c r="H1621" s="19">
        <v>2.4500000000000002</v>
      </c>
      <c r="I1621" s="19">
        <v>1185.4390000000001</v>
      </c>
      <c r="J1621" s="40">
        <v>4.75</v>
      </c>
      <c r="K1621" s="41">
        <v>16699</v>
      </c>
      <c r="L1621" s="24">
        <v>62.5</v>
      </c>
      <c r="M1621" s="19">
        <v>106.3</v>
      </c>
    </row>
    <row r="1622" spans="1:13" x14ac:dyDescent="0.75">
      <c r="A1622" t="s">
        <v>24</v>
      </c>
      <c r="B1622" s="18">
        <v>2025</v>
      </c>
      <c r="C1622" s="4">
        <v>1</v>
      </c>
      <c r="D1622">
        <v>250</v>
      </c>
      <c r="E1622" s="33">
        <v>51.9</v>
      </c>
      <c r="F1622" s="29">
        <v>106.33</v>
      </c>
      <c r="G1622" s="19">
        <v>828.06</v>
      </c>
      <c r="H1622" s="19">
        <v>106.24</v>
      </c>
      <c r="I1622" s="19">
        <v>1785.6089999999999</v>
      </c>
      <c r="J1622" s="40">
        <v>5.75</v>
      </c>
      <c r="K1622" s="41">
        <v>16262</v>
      </c>
      <c r="L1622" s="24">
        <v>79.3</v>
      </c>
      <c r="M1622" s="19">
        <v>104.2</v>
      </c>
    </row>
    <row r="1623" spans="1:13" x14ac:dyDescent="0.75">
      <c r="A1623" t="s">
        <v>24</v>
      </c>
      <c r="B1623" s="18">
        <v>2025</v>
      </c>
      <c r="C1623" s="4">
        <v>2</v>
      </c>
      <c r="D1623">
        <v>541</v>
      </c>
      <c r="E1623" s="33">
        <v>53.6</v>
      </c>
      <c r="F1623" s="29">
        <v>105.92</v>
      </c>
      <c r="G1623" s="19">
        <v>841.15</v>
      </c>
      <c r="H1623" s="19">
        <v>98.92</v>
      </c>
      <c r="I1623" s="19">
        <v>1900.896</v>
      </c>
      <c r="J1623" s="40">
        <v>5.75</v>
      </c>
      <c r="K1623" s="41">
        <v>16338</v>
      </c>
      <c r="L1623" s="24">
        <v>75.400000000000006</v>
      </c>
      <c r="M1623" s="19">
        <v>104.3</v>
      </c>
    </row>
    <row r="1624" spans="1:13" x14ac:dyDescent="0.75">
      <c r="A1624" t="s">
        <v>24</v>
      </c>
      <c r="B1624" s="18">
        <v>2025</v>
      </c>
      <c r="C1624" s="4">
        <v>3</v>
      </c>
      <c r="D1624">
        <v>758</v>
      </c>
      <c r="E1624" s="33">
        <v>52.4</v>
      </c>
      <c r="F1624" s="29">
        <v>107.6</v>
      </c>
      <c r="G1624" s="19">
        <v>800.19</v>
      </c>
      <c r="H1624" s="19">
        <v>124.18</v>
      </c>
      <c r="I1624" s="19">
        <v>1948.74</v>
      </c>
      <c r="J1624" s="40">
        <v>5.75</v>
      </c>
      <c r="K1624" s="41">
        <v>16456</v>
      </c>
      <c r="L1624" s="24">
        <v>72.7</v>
      </c>
      <c r="M1624" s="19">
        <v>105.1</v>
      </c>
    </row>
    <row r="1625" spans="1:13" x14ac:dyDescent="0.75">
      <c r="A1625" t="s">
        <v>24</v>
      </c>
      <c r="B1625" s="18">
        <v>2025</v>
      </c>
      <c r="C1625" s="4">
        <v>4</v>
      </c>
      <c r="D1625">
        <v>821</v>
      </c>
      <c r="E1625" s="33">
        <v>46.7</v>
      </c>
      <c r="F1625" s="29">
        <v>108.76</v>
      </c>
      <c r="G1625" s="19">
        <v>765.04</v>
      </c>
      <c r="H1625" s="19">
        <v>91.29</v>
      </c>
      <c r="I1625" s="19">
        <v>2073.5790000000002</v>
      </c>
      <c r="J1625" s="40">
        <v>5.75</v>
      </c>
      <c r="K1625" s="41">
        <v>16820</v>
      </c>
      <c r="L1625" s="24">
        <v>68.099999999999994</v>
      </c>
      <c r="M1625" s="19">
        <v>105.1</v>
      </c>
    </row>
    <row r="1626" spans="1:13" x14ac:dyDescent="0.75">
      <c r="A1626" t="s">
        <v>24</v>
      </c>
      <c r="B1626" s="18">
        <v>2025</v>
      </c>
      <c r="C1626" s="4">
        <v>5</v>
      </c>
      <c r="D1626">
        <v>943</v>
      </c>
      <c r="E1626" s="33">
        <v>47.4</v>
      </c>
      <c r="F1626" s="29">
        <v>108.41</v>
      </c>
      <c r="G1626" s="19">
        <v>822.66</v>
      </c>
      <c r="H1626" s="19">
        <v>157.82</v>
      </c>
      <c r="I1626" s="19">
        <v>2129.7399999999998</v>
      </c>
      <c r="J1626" s="40">
        <v>5.5</v>
      </c>
      <c r="K1626" s="41">
        <v>16441</v>
      </c>
      <c r="L1626" s="24">
        <v>64.5</v>
      </c>
      <c r="M1626" s="19">
        <v>104.6</v>
      </c>
    </row>
    <row r="1627" spans="1:13" x14ac:dyDescent="0.75">
      <c r="A1627" t="s">
        <v>24</v>
      </c>
      <c r="B1627" s="18">
        <v>2025</v>
      </c>
      <c r="C1627" s="4">
        <v>6</v>
      </c>
      <c r="D1627">
        <v>1213</v>
      </c>
      <c r="E1627" s="33">
        <v>46.9</v>
      </c>
      <c r="F1627" s="29">
        <v>108.66</v>
      </c>
      <c r="G1627" s="19">
        <v>727.76</v>
      </c>
      <c r="H1627" s="19">
        <v>175.96</v>
      </c>
      <c r="I1627" s="19">
        <v>2107.5740000000001</v>
      </c>
      <c r="J1627" s="40">
        <v>5.5</v>
      </c>
      <c r="K1627" s="41">
        <v>16311</v>
      </c>
      <c r="L1627" s="24">
        <v>71.400000000000006</v>
      </c>
      <c r="M1627" s="19">
        <v>104.7</v>
      </c>
    </row>
    <row r="1628" spans="1:13" x14ac:dyDescent="0.75">
      <c r="A1628" t="s">
        <v>24</v>
      </c>
      <c r="B1628" s="18">
        <v>2025</v>
      </c>
      <c r="C1628" s="4">
        <v>7</v>
      </c>
      <c r="D1628">
        <v>1518</v>
      </c>
      <c r="E1628" s="33">
        <v>49.2</v>
      </c>
      <c r="F1628" s="29">
        <v>108.89</v>
      </c>
      <c r="G1628" s="19">
        <v>801.89</v>
      </c>
      <c r="H1628" s="19">
        <v>103.15</v>
      </c>
      <c r="I1628" s="19">
        <v>2183.0369999999998</v>
      </c>
      <c r="J1628" s="40">
        <v>5.25</v>
      </c>
      <c r="K1628" s="41">
        <v>16276</v>
      </c>
      <c r="L1628" s="24">
        <v>71</v>
      </c>
      <c r="M1628" s="19">
        <v>105.2</v>
      </c>
    </row>
    <row r="1629" spans="1:13" x14ac:dyDescent="0.75">
      <c r="A1629" t="s">
        <v>24</v>
      </c>
      <c r="B1629" s="18">
        <v>2025</v>
      </c>
      <c r="C1629" s="4">
        <v>8</v>
      </c>
      <c r="D1629">
        <v>1766</v>
      </c>
      <c r="E1629" s="33">
        <v>51.5</v>
      </c>
      <c r="F1629" s="29">
        <v>108.72</v>
      </c>
      <c r="G1629" s="19">
        <v>956.69</v>
      </c>
      <c r="H1629" s="19">
        <v>114.09</v>
      </c>
      <c r="I1629" s="19">
        <v>2155.3020000000001</v>
      </c>
      <c r="J1629" s="40">
        <v>5</v>
      </c>
      <c r="K1629" s="41">
        <v>16309</v>
      </c>
      <c r="L1629" s="24">
        <v>67.900000000000006</v>
      </c>
      <c r="M1629" s="19">
        <v>105.2</v>
      </c>
    </row>
    <row r="1630" spans="1:13" x14ac:dyDescent="0.75">
      <c r="A1630" t="s">
        <v>24</v>
      </c>
      <c r="B1630" s="18">
        <v>2025</v>
      </c>
      <c r="C1630" s="4">
        <v>9</v>
      </c>
      <c r="D1630">
        <v>1943</v>
      </c>
      <c r="E1630" s="33">
        <v>50.4</v>
      </c>
      <c r="F1630" s="29">
        <v>109.03</v>
      </c>
      <c r="G1630" s="19">
        <v>782.15</v>
      </c>
      <c r="H1630" s="19">
        <v>158.26</v>
      </c>
      <c r="I1630" s="19">
        <v>2110.2339999999999</v>
      </c>
      <c r="J1630" s="40">
        <v>4.75</v>
      </c>
      <c r="K1630" s="41">
        <v>16512</v>
      </c>
      <c r="L1630" s="24">
        <v>68</v>
      </c>
      <c r="M1630" s="19">
        <v>105.3</v>
      </c>
    </row>
    <row r="1631" spans="1:13" x14ac:dyDescent="0.75">
      <c r="A1631" t="s">
        <v>24</v>
      </c>
      <c r="B1631" s="18">
        <v>2025</v>
      </c>
      <c r="C1631" s="4">
        <v>10</v>
      </c>
      <c r="D1631">
        <v>2060</v>
      </c>
      <c r="E1631" s="33">
        <v>51.2</v>
      </c>
      <c r="F1631" s="29">
        <v>109.42</v>
      </c>
      <c r="G1631" s="19">
        <v>882.41</v>
      </c>
      <c r="H1631" s="19">
        <v>129.83000000000001</v>
      </c>
      <c r="I1631" s="19">
        <v>2121.3589999999999</v>
      </c>
      <c r="J1631" s="40">
        <v>4.75</v>
      </c>
      <c r="K1631" s="41">
        <v>16607</v>
      </c>
      <c r="L1631" s="24">
        <v>64.5</v>
      </c>
      <c r="M1631" s="19">
        <v>105.5</v>
      </c>
    </row>
    <row r="1632" spans="1:13" x14ac:dyDescent="0.75">
      <c r="A1632" t="s">
        <v>24</v>
      </c>
      <c r="B1632" s="18">
        <v>2025</v>
      </c>
      <c r="C1632" s="4">
        <v>11</v>
      </c>
      <c r="D1632">
        <v>2136</v>
      </c>
      <c r="E1632" s="33">
        <v>53.3</v>
      </c>
      <c r="F1632" s="29">
        <v>110.22</v>
      </c>
      <c r="G1632" s="19">
        <v>931.79</v>
      </c>
      <c r="H1632" s="19">
        <v>131.69</v>
      </c>
      <c r="I1632" s="19">
        <v>2161.4789999999998</v>
      </c>
      <c r="J1632" s="40">
        <v>4.75</v>
      </c>
      <c r="K1632" s="41">
        <v>16703</v>
      </c>
      <c r="L1632" s="24">
        <v>63.8</v>
      </c>
      <c r="M1632" s="19">
        <v>105.4</v>
      </c>
    </row>
    <row r="1633" spans="1:13" x14ac:dyDescent="0.75">
      <c r="A1633" t="s">
        <v>24</v>
      </c>
      <c r="B1633" s="18">
        <v>2025</v>
      </c>
      <c r="C1633" s="4">
        <v>12</v>
      </c>
      <c r="D1633">
        <v>2140</v>
      </c>
      <c r="E1633" s="33">
        <v>51.2</v>
      </c>
      <c r="F1633" s="29">
        <v>111.06</v>
      </c>
      <c r="G1633" s="19">
        <v>996.76</v>
      </c>
      <c r="H1633" s="19">
        <v>130.91999999999999</v>
      </c>
      <c r="I1633" s="19">
        <v>2042.011</v>
      </c>
      <c r="J1633" s="40">
        <v>4.75</v>
      </c>
      <c r="K1633" s="41">
        <v>16699</v>
      </c>
      <c r="L1633" s="24">
        <v>62.5</v>
      </c>
      <c r="M1633" s="19">
        <v>106.3</v>
      </c>
    </row>
    <row r="1634" spans="1:13" x14ac:dyDescent="0.75">
      <c r="A1634" t="s">
        <v>25</v>
      </c>
      <c r="B1634" s="18">
        <v>2025</v>
      </c>
      <c r="C1634" s="4">
        <v>1</v>
      </c>
      <c r="D1634">
        <v>377</v>
      </c>
      <c r="E1634" s="33">
        <v>51.9</v>
      </c>
      <c r="F1634" s="19">
        <v>105.86</v>
      </c>
      <c r="G1634" s="19">
        <v>1684.44</v>
      </c>
      <c r="H1634" s="19">
        <v>390.48</v>
      </c>
      <c r="I1634" s="19">
        <v>2342.6869999999999</v>
      </c>
      <c r="J1634" s="40">
        <v>5.75</v>
      </c>
      <c r="K1634" s="41">
        <v>16262</v>
      </c>
      <c r="L1634" s="24">
        <v>79.3</v>
      </c>
      <c r="M1634" s="19">
        <v>104.2</v>
      </c>
    </row>
    <row r="1635" spans="1:13" x14ac:dyDescent="0.75">
      <c r="A1635" t="s">
        <v>25</v>
      </c>
      <c r="B1635" s="18">
        <v>2025</v>
      </c>
      <c r="C1635" s="4">
        <v>2</v>
      </c>
      <c r="D1635">
        <v>612</v>
      </c>
      <c r="E1635" s="33">
        <v>53.6</v>
      </c>
      <c r="F1635" s="19">
        <v>105.6</v>
      </c>
      <c r="G1635" s="19">
        <v>1822.67</v>
      </c>
      <c r="H1635" s="19">
        <v>471.93</v>
      </c>
      <c r="I1635" s="19">
        <v>2333.6640000000002</v>
      </c>
      <c r="J1635" s="40">
        <v>5.75</v>
      </c>
      <c r="K1635" s="41">
        <v>16338</v>
      </c>
      <c r="L1635" s="24">
        <v>75.400000000000006</v>
      </c>
      <c r="M1635" s="19">
        <v>104.3</v>
      </c>
    </row>
    <row r="1636" spans="1:13" x14ac:dyDescent="0.75">
      <c r="A1636" t="s">
        <v>25</v>
      </c>
      <c r="B1636" s="18">
        <v>2025</v>
      </c>
      <c r="C1636" s="4">
        <v>3</v>
      </c>
      <c r="D1636">
        <v>1092</v>
      </c>
      <c r="E1636" s="33">
        <v>52.4</v>
      </c>
      <c r="F1636" s="19">
        <v>107.73</v>
      </c>
      <c r="G1636" s="19">
        <v>1721.03</v>
      </c>
      <c r="H1636" s="19">
        <v>374.03</v>
      </c>
      <c r="I1636" s="19">
        <v>2306.8470000000002</v>
      </c>
      <c r="J1636" s="40">
        <v>5.75</v>
      </c>
      <c r="K1636" s="41">
        <v>16456</v>
      </c>
      <c r="L1636" s="24">
        <v>72.7</v>
      </c>
      <c r="M1636" s="19">
        <v>105.1</v>
      </c>
    </row>
    <row r="1637" spans="1:13" x14ac:dyDescent="0.75">
      <c r="A1637" t="s">
        <v>25</v>
      </c>
      <c r="B1637" s="18">
        <v>2025</v>
      </c>
      <c r="C1637" s="4">
        <v>4</v>
      </c>
      <c r="D1637">
        <v>1271</v>
      </c>
      <c r="E1637" s="33">
        <v>46.7</v>
      </c>
      <c r="F1637" s="19">
        <v>108.7</v>
      </c>
      <c r="G1637" s="19">
        <v>1557.73</v>
      </c>
      <c r="H1637" s="19">
        <v>381.36</v>
      </c>
      <c r="I1637" s="19">
        <v>2361.5120000000002</v>
      </c>
      <c r="J1637" s="40">
        <v>5.75</v>
      </c>
      <c r="K1637" s="41">
        <v>16820</v>
      </c>
      <c r="L1637" s="24">
        <v>68.099999999999994</v>
      </c>
      <c r="M1637" s="19">
        <v>105.1</v>
      </c>
    </row>
    <row r="1638" spans="1:13" x14ac:dyDescent="0.75">
      <c r="A1638" t="s">
        <v>25</v>
      </c>
      <c r="B1638" s="18">
        <v>2025</v>
      </c>
      <c r="C1638" s="4">
        <v>5</v>
      </c>
      <c r="D1638">
        <v>1683</v>
      </c>
      <c r="E1638" s="33">
        <v>47.4</v>
      </c>
      <c r="F1638" s="19">
        <v>108.32</v>
      </c>
      <c r="G1638" s="19">
        <v>1676.07</v>
      </c>
      <c r="H1638" s="19">
        <v>416.04</v>
      </c>
      <c r="I1638" s="19">
        <v>2478.732</v>
      </c>
      <c r="J1638" s="40">
        <v>5.5</v>
      </c>
      <c r="K1638" s="41">
        <v>16441</v>
      </c>
      <c r="L1638" s="24">
        <v>64.5</v>
      </c>
      <c r="M1638" s="19">
        <v>104.6</v>
      </c>
    </row>
    <row r="1639" spans="1:13" x14ac:dyDescent="0.75">
      <c r="A1639" t="s">
        <v>25</v>
      </c>
      <c r="B1639" s="18">
        <v>2025</v>
      </c>
      <c r="C1639" s="4">
        <v>6</v>
      </c>
      <c r="D1639">
        <v>1998</v>
      </c>
      <c r="E1639" s="33">
        <v>46.9</v>
      </c>
      <c r="F1639" s="19">
        <v>108.91</v>
      </c>
      <c r="G1639" s="19">
        <v>1630.31</v>
      </c>
      <c r="H1639" s="19">
        <v>360.71</v>
      </c>
      <c r="I1639" s="19">
        <v>2452.4090000000001</v>
      </c>
      <c r="J1639" s="40">
        <v>5.5</v>
      </c>
      <c r="K1639" s="41">
        <v>16311</v>
      </c>
      <c r="L1639" s="24">
        <v>71.400000000000006</v>
      </c>
      <c r="M1639" s="19">
        <v>104.7</v>
      </c>
    </row>
    <row r="1640" spans="1:13" x14ac:dyDescent="0.75">
      <c r="A1640" t="s">
        <v>25</v>
      </c>
      <c r="B1640" s="18">
        <v>2025</v>
      </c>
      <c r="C1640" s="4">
        <v>7</v>
      </c>
      <c r="D1640">
        <v>2447</v>
      </c>
      <c r="E1640" s="33">
        <v>49.2</v>
      </c>
      <c r="F1640" s="19">
        <v>108.98</v>
      </c>
      <c r="G1640" s="19">
        <v>1709.18</v>
      </c>
      <c r="H1640" s="19">
        <v>373.93</v>
      </c>
      <c r="I1640" s="19">
        <v>2068.4</v>
      </c>
      <c r="J1640" s="40">
        <v>5.25</v>
      </c>
      <c r="K1640" s="41">
        <v>16276</v>
      </c>
      <c r="L1640" s="24">
        <v>71</v>
      </c>
      <c r="M1640" s="19">
        <v>105.2</v>
      </c>
    </row>
    <row r="1641" spans="1:13" x14ac:dyDescent="0.75">
      <c r="A1641" t="s">
        <v>25</v>
      </c>
      <c r="B1641" s="18">
        <v>2025</v>
      </c>
      <c r="C1641" s="4">
        <v>8</v>
      </c>
      <c r="D1641">
        <v>2857</v>
      </c>
      <c r="E1641" s="33">
        <v>51.5</v>
      </c>
      <c r="F1641" s="19">
        <v>108.54</v>
      </c>
      <c r="G1641" s="19">
        <v>1836.03</v>
      </c>
      <c r="H1641" s="19">
        <v>310.45</v>
      </c>
      <c r="I1641" s="19">
        <v>2105.4859999999999</v>
      </c>
      <c r="J1641" s="40">
        <v>5</v>
      </c>
      <c r="K1641" s="41">
        <v>16309</v>
      </c>
      <c r="L1641" s="24">
        <v>67.900000000000006</v>
      </c>
      <c r="M1641" s="19">
        <v>105.2</v>
      </c>
    </row>
    <row r="1642" spans="1:13" x14ac:dyDescent="0.75">
      <c r="A1642" t="s">
        <v>25</v>
      </c>
      <c r="B1642" s="18">
        <v>2025</v>
      </c>
      <c r="C1642" s="4">
        <v>9</v>
      </c>
      <c r="D1642">
        <v>3430</v>
      </c>
      <c r="E1642" s="33">
        <v>50.4</v>
      </c>
      <c r="F1642" s="19">
        <v>108.58</v>
      </c>
      <c r="G1642" s="19">
        <v>1672.07</v>
      </c>
      <c r="H1642" s="19">
        <v>438.38</v>
      </c>
      <c r="I1642" s="19">
        <v>2097.672</v>
      </c>
      <c r="J1642" s="40">
        <v>4.75</v>
      </c>
      <c r="K1642" s="41">
        <v>16512</v>
      </c>
      <c r="L1642" s="24">
        <v>68</v>
      </c>
      <c r="M1642" s="19">
        <v>105.3</v>
      </c>
    </row>
    <row r="1643" spans="1:13" x14ac:dyDescent="0.75">
      <c r="A1643" t="s">
        <v>25</v>
      </c>
      <c r="B1643" s="18">
        <v>2025</v>
      </c>
      <c r="C1643" s="4">
        <v>10</v>
      </c>
      <c r="D1643">
        <v>3643</v>
      </c>
      <c r="E1643" s="33">
        <v>51.2</v>
      </c>
      <c r="F1643" s="19">
        <v>108.59</v>
      </c>
      <c r="G1643" s="19">
        <v>1877.1</v>
      </c>
      <c r="H1643" s="19">
        <v>472.68</v>
      </c>
      <c r="I1643" s="19">
        <v>2230.8319999999999</v>
      </c>
      <c r="J1643" s="40">
        <v>4.75</v>
      </c>
      <c r="K1643" s="41">
        <v>16607</v>
      </c>
      <c r="L1643" s="24">
        <v>64.5</v>
      </c>
      <c r="M1643" s="19">
        <v>105.5</v>
      </c>
    </row>
    <row r="1644" spans="1:13" x14ac:dyDescent="0.75">
      <c r="A1644" t="s">
        <v>25</v>
      </c>
      <c r="B1644" s="18">
        <v>2025</v>
      </c>
      <c r="C1644" s="4">
        <v>11</v>
      </c>
      <c r="D1644">
        <v>3873</v>
      </c>
      <c r="E1644" s="33">
        <v>53.3</v>
      </c>
      <c r="F1644" s="19">
        <v>109.03</v>
      </c>
      <c r="G1644" s="19">
        <v>1703.24</v>
      </c>
      <c r="H1644" s="19">
        <v>437.54</v>
      </c>
      <c r="I1644" s="19">
        <v>2861.4879999999998</v>
      </c>
      <c r="J1644" s="40">
        <v>4.75</v>
      </c>
      <c r="K1644" s="41">
        <v>16703</v>
      </c>
      <c r="L1644" s="24">
        <v>63.8</v>
      </c>
      <c r="M1644" s="19">
        <v>105.4</v>
      </c>
    </row>
    <row r="1645" spans="1:13" x14ac:dyDescent="0.75">
      <c r="A1645" t="s">
        <v>25</v>
      </c>
      <c r="B1645" s="18">
        <v>2025</v>
      </c>
      <c r="C1645" s="4">
        <v>12</v>
      </c>
      <c r="D1645">
        <v>3917</v>
      </c>
      <c r="E1645" s="33">
        <v>51.2</v>
      </c>
      <c r="F1645" s="19">
        <v>109.8</v>
      </c>
      <c r="G1645" s="19">
        <v>2300.85</v>
      </c>
      <c r="H1645" s="19">
        <v>603.73</v>
      </c>
      <c r="I1645" s="19">
        <v>2265.9810000000002</v>
      </c>
      <c r="J1645" s="40">
        <v>4.75</v>
      </c>
      <c r="K1645" s="41">
        <v>16699</v>
      </c>
      <c r="L1645" s="24">
        <v>62.5</v>
      </c>
      <c r="M1645" s="19">
        <v>106.3</v>
      </c>
    </row>
    <row r="1646" spans="1:13" x14ac:dyDescent="0.75">
      <c r="A1646" t="s">
        <v>26</v>
      </c>
      <c r="B1646" s="18">
        <v>2025</v>
      </c>
      <c r="C1646" s="4">
        <v>1</v>
      </c>
      <c r="D1646">
        <v>10</v>
      </c>
      <c r="E1646" s="33">
        <v>51.9</v>
      </c>
      <c r="F1646" s="26">
        <v>104.29</v>
      </c>
      <c r="G1646" s="19">
        <v>103.74</v>
      </c>
      <c r="H1646" s="19">
        <v>25.68</v>
      </c>
      <c r="I1646" s="3"/>
      <c r="J1646" s="40">
        <v>5.75</v>
      </c>
      <c r="K1646" s="41">
        <v>16262</v>
      </c>
      <c r="L1646" s="24">
        <v>79.3</v>
      </c>
      <c r="M1646" s="19">
        <v>104.2</v>
      </c>
    </row>
    <row r="1647" spans="1:13" x14ac:dyDescent="0.75">
      <c r="A1647" t="s">
        <v>26</v>
      </c>
      <c r="B1647" s="18">
        <v>2025</v>
      </c>
      <c r="C1647" s="4">
        <v>2</v>
      </c>
      <c r="D1647">
        <v>15</v>
      </c>
      <c r="E1647" s="33">
        <v>53.6</v>
      </c>
      <c r="F1647" s="26">
        <v>104.11</v>
      </c>
      <c r="G1647" s="19">
        <v>93</v>
      </c>
      <c r="H1647" s="19">
        <v>94.66</v>
      </c>
      <c r="I1647" s="3"/>
      <c r="J1647" s="40">
        <v>5.75</v>
      </c>
      <c r="K1647" s="41">
        <v>16338</v>
      </c>
      <c r="L1647" s="24">
        <v>75.400000000000006</v>
      </c>
      <c r="M1647" s="19">
        <v>104.3</v>
      </c>
    </row>
    <row r="1648" spans="1:13" x14ac:dyDescent="0.75">
      <c r="A1648" t="s">
        <v>26</v>
      </c>
      <c r="B1648" s="18">
        <v>2025</v>
      </c>
      <c r="C1648" s="4">
        <v>3</v>
      </c>
      <c r="D1648">
        <v>21</v>
      </c>
      <c r="E1648" s="33">
        <v>52.4</v>
      </c>
      <c r="F1648" s="26">
        <v>106.36</v>
      </c>
      <c r="G1648" s="19">
        <v>132.37</v>
      </c>
      <c r="H1648" s="19">
        <v>82.87</v>
      </c>
      <c r="I1648" s="3"/>
      <c r="J1648" s="40">
        <v>5.75</v>
      </c>
      <c r="K1648" s="41">
        <v>16456</v>
      </c>
      <c r="L1648" s="24">
        <v>72.7</v>
      </c>
      <c r="M1648" s="19">
        <v>105.1</v>
      </c>
    </row>
    <row r="1649" spans="1:13" x14ac:dyDescent="0.75">
      <c r="A1649" t="s">
        <v>26</v>
      </c>
      <c r="B1649" s="18">
        <v>2025</v>
      </c>
      <c r="C1649" s="4">
        <v>4</v>
      </c>
      <c r="D1649">
        <v>23</v>
      </c>
      <c r="E1649" s="33">
        <v>46.7</v>
      </c>
      <c r="F1649" s="26">
        <v>106.84</v>
      </c>
      <c r="G1649" s="19">
        <v>114.87</v>
      </c>
      <c r="H1649" s="19">
        <v>63.27</v>
      </c>
      <c r="I1649" s="3"/>
      <c r="J1649" s="40">
        <v>5.75</v>
      </c>
      <c r="K1649" s="41">
        <v>16820</v>
      </c>
      <c r="L1649" s="24">
        <v>68.099999999999994</v>
      </c>
      <c r="M1649" s="19">
        <v>105.1</v>
      </c>
    </row>
    <row r="1650" spans="1:13" x14ac:dyDescent="0.75">
      <c r="A1650" t="s">
        <v>26</v>
      </c>
      <c r="B1650" s="18">
        <v>2025</v>
      </c>
      <c r="C1650" s="4">
        <v>5</v>
      </c>
      <c r="D1650">
        <v>36</v>
      </c>
      <c r="E1650" s="33">
        <v>47.4</v>
      </c>
      <c r="F1650" s="26">
        <v>106.9</v>
      </c>
      <c r="G1650" s="19">
        <v>115.5</v>
      </c>
      <c r="H1650" s="19">
        <v>89.82</v>
      </c>
      <c r="I1650" s="3"/>
      <c r="J1650" s="40">
        <v>5.5</v>
      </c>
      <c r="K1650" s="41">
        <v>16441</v>
      </c>
      <c r="L1650" s="24">
        <v>64.5</v>
      </c>
      <c r="M1650" s="19">
        <v>104.6</v>
      </c>
    </row>
    <row r="1651" spans="1:13" x14ac:dyDescent="0.75">
      <c r="A1651" t="s">
        <v>26</v>
      </c>
      <c r="B1651" s="18">
        <v>2025</v>
      </c>
      <c r="C1651" s="4">
        <v>6</v>
      </c>
      <c r="D1651">
        <v>39</v>
      </c>
      <c r="E1651" s="33">
        <v>46.9</v>
      </c>
      <c r="F1651" s="26">
        <v>106.97</v>
      </c>
      <c r="G1651" s="19">
        <v>111.11</v>
      </c>
      <c r="H1651" s="19">
        <v>102.68</v>
      </c>
      <c r="I1651" s="3"/>
      <c r="J1651" s="40">
        <v>5.5</v>
      </c>
      <c r="K1651" s="41">
        <v>16311</v>
      </c>
      <c r="L1651" s="24">
        <v>71.400000000000006</v>
      </c>
      <c r="M1651" s="19">
        <v>104.7</v>
      </c>
    </row>
    <row r="1652" spans="1:13" x14ac:dyDescent="0.75">
      <c r="A1652" t="s">
        <v>26</v>
      </c>
      <c r="B1652" s="18">
        <v>2025</v>
      </c>
      <c r="C1652" s="4">
        <v>7</v>
      </c>
      <c r="D1652">
        <v>53</v>
      </c>
      <c r="E1652" s="33">
        <v>49.2</v>
      </c>
      <c r="F1652" s="26">
        <v>107.6</v>
      </c>
      <c r="G1652" s="19">
        <v>124.44</v>
      </c>
      <c r="H1652" s="19">
        <v>56.6</v>
      </c>
      <c r="I1652" s="3"/>
      <c r="J1652" s="40">
        <v>5.25</v>
      </c>
      <c r="K1652" s="41">
        <v>16276</v>
      </c>
      <c r="L1652" s="24">
        <v>71</v>
      </c>
      <c r="M1652" s="19">
        <v>105.2</v>
      </c>
    </row>
    <row r="1653" spans="1:13" x14ac:dyDescent="0.75">
      <c r="A1653" t="s">
        <v>26</v>
      </c>
      <c r="B1653" s="18">
        <v>2025</v>
      </c>
      <c r="C1653" s="4">
        <v>8</v>
      </c>
      <c r="D1653">
        <v>61</v>
      </c>
      <c r="E1653" s="33">
        <v>51.5</v>
      </c>
      <c r="F1653" s="26">
        <v>107.66</v>
      </c>
      <c r="G1653" s="19">
        <v>121.27</v>
      </c>
      <c r="H1653" s="19">
        <v>93.89</v>
      </c>
      <c r="I1653" s="3"/>
      <c r="J1653" s="40">
        <v>5</v>
      </c>
      <c r="K1653" s="41">
        <v>16309</v>
      </c>
      <c r="L1653" s="24">
        <v>67.900000000000006</v>
      </c>
      <c r="M1653" s="19">
        <v>105.2</v>
      </c>
    </row>
    <row r="1654" spans="1:13" x14ac:dyDescent="0.75">
      <c r="A1654" t="s">
        <v>26</v>
      </c>
      <c r="B1654" s="18">
        <v>2025</v>
      </c>
      <c r="C1654" s="4">
        <v>9</v>
      </c>
      <c r="D1654">
        <v>68</v>
      </c>
      <c r="E1654" s="33">
        <v>50.4</v>
      </c>
      <c r="F1654" s="26">
        <v>107.65</v>
      </c>
      <c r="G1654" s="19">
        <v>106.51</v>
      </c>
      <c r="H1654" s="19">
        <v>87.83</v>
      </c>
      <c r="I1654" s="3"/>
      <c r="J1654" s="40">
        <v>4.75</v>
      </c>
      <c r="K1654" s="41">
        <v>16512</v>
      </c>
      <c r="L1654" s="24">
        <v>68</v>
      </c>
      <c r="M1654" s="19">
        <v>105.3</v>
      </c>
    </row>
    <row r="1655" spans="1:13" x14ac:dyDescent="0.75">
      <c r="A1655" t="s">
        <v>26</v>
      </c>
      <c r="B1655" s="18">
        <v>2025</v>
      </c>
      <c r="C1655" s="4">
        <v>10</v>
      </c>
      <c r="D1655">
        <v>70</v>
      </c>
      <c r="E1655" s="33">
        <v>51.2</v>
      </c>
      <c r="F1655" s="26">
        <v>107.74</v>
      </c>
      <c r="G1655" s="19">
        <v>130.08000000000001</v>
      </c>
      <c r="H1655" s="19">
        <v>51.54</v>
      </c>
      <c r="I1655" s="3"/>
      <c r="J1655" s="40">
        <v>4.75</v>
      </c>
      <c r="K1655" s="41">
        <v>16607</v>
      </c>
      <c r="L1655" s="24">
        <v>64.5</v>
      </c>
      <c r="M1655" s="19">
        <v>105.5</v>
      </c>
    </row>
    <row r="1656" spans="1:13" x14ac:dyDescent="0.75">
      <c r="A1656" t="s">
        <v>26</v>
      </c>
      <c r="B1656" s="18">
        <v>2025</v>
      </c>
      <c r="C1656" s="4">
        <v>11</v>
      </c>
      <c r="D1656">
        <v>73</v>
      </c>
      <c r="E1656" s="33">
        <v>53.3</v>
      </c>
      <c r="F1656" s="26">
        <v>107.86</v>
      </c>
      <c r="G1656" s="19">
        <v>111.03</v>
      </c>
      <c r="H1656" s="19">
        <v>73.099999999999994</v>
      </c>
      <c r="I1656" s="3"/>
      <c r="J1656" s="40">
        <v>4.75</v>
      </c>
      <c r="K1656" s="41">
        <v>16703</v>
      </c>
      <c r="L1656" s="24">
        <v>63.8</v>
      </c>
      <c r="M1656" s="19">
        <v>105.4</v>
      </c>
    </row>
    <row r="1657" spans="1:13" x14ac:dyDescent="0.75">
      <c r="A1657" t="s">
        <v>26</v>
      </c>
      <c r="B1657" s="18">
        <v>2025</v>
      </c>
      <c r="C1657" s="4">
        <v>12</v>
      </c>
      <c r="D1657">
        <v>76</v>
      </c>
      <c r="E1657" s="33">
        <v>51.2</v>
      </c>
      <c r="F1657" s="26">
        <v>108.44</v>
      </c>
      <c r="G1657" s="19">
        <v>140.38</v>
      </c>
      <c r="H1657" s="19">
        <v>74.12</v>
      </c>
      <c r="I1657" s="3"/>
      <c r="J1657" s="40">
        <v>4.75</v>
      </c>
      <c r="K1657" s="41">
        <v>16699</v>
      </c>
      <c r="L1657" s="24">
        <v>62.5</v>
      </c>
      <c r="M1657" s="19">
        <v>106.3</v>
      </c>
    </row>
    <row r="1658" spans="1:13" x14ac:dyDescent="0.75">
      <c r="A1658" t="s">
        <v>27</v>
      </c>
      <c r="B1658" s="18">
        <v>2025</v>
      </c>
      <c r="C1658" s="4">
        <v>1</v>
      </c>
      <c r="D1658">
        <v>16</v>
      </c>
      <c r="E1658" s="33">
        <v>51.9</v>
      </c>
      <c r="F1658" s="19">
        <v>106.1</v>
      </c>
      <c r="G1658" s="19">
        <v>87.31</v>
      </c>
      <c r="H1658" s="26">
        <v>3.45</v>
      </c>
      <c r="I1658" s="19">
        <v>1129.3409999999999</v>
      </c>
      <c r="J1658" s="40">
        <v>5.75</v>
      </c>
      <c r="K1658" s="41">
        <v>16262</v>
      </c>
      <c r="L1658" s="24">
        <v>79.3</v>
      </c>
      <c r="M1658" s="19">
        <v>104.2</v>
      </c>
    </row>
    <row r="1659" spans="1:13" x14ac:dyDescent="0.75">
      <c r="A1659" t="s">
        <v>27</v>
      </c>
      <c r="B1659" s="18">
        <v>2025</v>
      </c>
      <c r="C1659" s="4">
        <v>2</v>
      </c>
      <c r="D1659">
        <v>61</v>
      </c>
      <c r="E1659" s="33">
        <v>53.6</v>
      </c>
      <c r="F1659" s="19">
        <v>105.54</v>
      </c>
      <c r="G1659" s="19">
        <v>101.26</v>
      </c>
      <c r="H1659" s="26">
        <v>21.13</v>
      </c>
      <c r="I1659" s="19">
        <v>1171.43</v>
      </c>
      <c r="J1659" s="40">
        <v>5.75</v>
      </c>
      <c r="K1659" s="41">
        <v>16338</v>
      </c>
      <c r="L1659" s="24">
        <v>75.400000000000006</v>
      </c>
      <c r="M1659" s="19">
        <v>104.3</v>
      </c>
    </row>
    <row r="1660" spans="1:13" x14ac:dyDescent="0.75">
      <c r="A1660" t="s">
        <v>27</v>
      </c>
      <c r="B1660" s="18">
        <v>2025</v>
      </c>
      <c r="C1660" s="4">
        <v>3</v>
      </c>
      <c r="D1660">
        <v>97</v>
      </c>
      <c r="E1660" s="33">
        <v>52.4</v>
      </c>
      <c r="F1660" s="19">
        <v>108.34</v>
      </c>
      <c r="G1660" s="19">
        <v>92.28</v>
      </c>
      <c r="H1660" s="26">
        <v>8.5299999999999994</v>
      </c>
      <c r="I1660" s="19">
        <v>1163.4659999999999</v>
      </c>
      <c r="J1660" s="40">
        <v>5.75</v>
      </c>
      <c r="K1660" s="41">
        <v>16456</v>
      </c>
      <c r="L1660" s="24">
        <v>72.7</v>
      </c>
      <c r="M1660" s="19">
        <v>105.1</v>
      </c>
    </row>
    <row r="1661" spans="1:13" x14ac:dyDescent="0.75">
      <c r="A1661" t="s">
        <v>27</v>
      </c>
      <c r="B1661" s="18">
        <v>2025</v>
      </c>
      <c r="C1661" s="4">
        <v>4</v>
      </c>
      <c r="D1661">
        <v>137</v>
      </c>
      <c r="E1661" s="33">
        <v>46.7</v>
      </c>
      <c r="F1661" s="19">
        <v>109.44</v>
      </c>
      <c r="G1661" s="19">
        <v>88.05</v>
      </c>
      <c r="H1661" s="26">
        <v>16.84</v>
      </c>
      <c r="I1661" s="19">
        <v>1213.405</v>
      </c>
      <c r="J1661" s="40">
        <v>5.75</v>
      </c>
      <c r="K1661" s="41">
        <v>16820</v>
      </c>
      <c r="L1661" s="24">
        <v>68.099999999999994</v>
      </c>
      <c r="M1661" s="19">
        <v>105.1</v>
      </c>
    </row>
    <row r="1662" spans="1:13" x14ac:dyDescent="0.75">
      <c r="A1662" t="s">
        <v>27</v>
      </c>
      <c r="B1662" s="18">
        <v>2025</v>
      </c>
      <c r="C1662" s="4">
        <v>5</v>
      </c>
      <c r="D1662">
        <v>197</v>
      </c>
      <c r="E1662" s="33">
        <v>47.4</v>
      </c>
      <c r="F1662" s="19">
        <v>108.57</v>
      </c>
      <c r="G1662" s="19">
        <v>137.13999999999999</v>
      </c>
      <c r="H1662" s="26">
        <v>16.8</v>
      </c>
      <c r="I1662" s="19">
        <v>1273.7929999999999</v>
      </c>
      <c r="J1662" s="40">
        <v>5.5</v>
      </c>
      <c r="K1662" s="41">
        <v>16441</v>
      </c>
      <c r="L1662" s="24">
        <v>64.5</v>
      </c>
      <c r="M1662" s="19">
        <v>104.6</v>
      </c>
    </row>
    <row r="1663" spans="1:13" x14ac:dyDescent="0.75">
      <c r="A1663" t="s">
        <v>27</v>
      </c>
      <c r="B1663" s="18">
        <v>2025</v>
      </c>
      <c r="C1663" s="4">
        <v>6</v>
      </c>
      <c r="D1663">
        <v>223</v>
      </c>
      <c r="E1663" s="33">
        <v>46.9</v>
      </c>
      <c r="F1663" s="19">
        <v>109.27</v>
      </c>
      <c r="G1663" s="19">
        <v>72.099999999999994</v>
      </c>
      <c r="H1663" s="26">
        <v>8.93</v>
      </c>
      <c r="I1663" s="19">
        <v>1248.6189999999999</v>
      </c>
      <c r="J1663" s="40">
        <v>5.5</v>
      </c>
      <c r="K1663" s="41">
        <v>16311</v>
      </c>
      <c r="L1663" s="24">
        <v>71.400000000000006</v>
      </c>
      <c r="M1663" s="19">
        <v>104.7</v>
      </c>
    </row>
    <row r="1664" spans="1:13" x14ac:dyDescent="0.75">
      <c r="A1664" t="s">
        <v>27</v>
      </c>
      <c r="B1664" s="18">
        <v>2025</v>
      </c>
      <c r="C1664" s="4">
        <v>7</v>
      </c>
      <c r="D1664">
        <v>240</v>
      </c>
      <c r="E1664" s="33">
        <v>49.2</v>
      </c>
      <c r="F1664" s="19">
        <v>109.5</v>
      </c>
      <c r="G1664" s="19">
        <v>136.27000000000001</v>
      </c>
      <c r="H1664" s="26">
        <v>20.49</v>
      </c>
      <c r="I1664" s="19">
        <v>1279.4069999999999</v>
      </c>
      <c r="J1664" s="40">
        <v>5.25</v>
      </c>
      <c r="K1664" s="41">
        <v>16276</v>
      </c>
      <c r="L1664" s="24">
        <v>71</v>
      </c>
      <c r="M1664" s="19">
        <v>105.2</v>
      </c>
    </row>
    <row r="1665" spans="1:13" x14ac:dyDescent="0.75">
      <c r="A1665" t="s">
        <v>27</v>
      </c>
      <c r="B1665" s="18">
        <v>2025</v>
      </c>
      <c r="C1665" s="4">
        <v>8</v>
      </c>
      <c r="D1665">
        <v>289</v>
      </c>
      <c r="E1665" s="33">
        <v>51.5</v>
      </c>
      <c r="F1665" s="19">
        <v>108.28</v>
      </c>
      <c r="G1665" s="19">
        <v>76.38</v>
      </c>
      <c r="H1665" s="26">
        <v>12.19</v>
      </c>
      <c r="I1665" s="19">
        <v>1369.576</v>
      </c>
      <c r="J1665" s="40">
        <v>5</v>
      </c>
      <c r="K1665" s="41">
        <v>16309</v>
      </c>
      <c r="L1665" s="24">
        <v>67.900000000000006</v>
      </c>
      <c r="M1665" s="19">
        <v>105.2</v>
      </c>
    </row>
    <row r="1666" spans="1:13" x14ac:dyDescent="0.75">
      <c r="A1666" t="s">
        <v>27</v>
      </c>
      <c r="B1666" s="18">
        <v>2025</v>
      </c>
      <c r="C1666" s="4">
        <v>9</v>
      </c>
      <c r="D1666">
        <v>302</v>
      </c>
      <c r="E1666" s="33">
        <v>50.4</v>
      </c>
      <c r="F1666" s="19">
        <v>108.36</v>
      </c>
      <c r="G1666" s="19">
        <v>133.87</v>
      </c>
      <c r="H1666" s="26">
        <v>17.760000000000002</v>
      </c>
      <c r="I1666" s="19">
        <v>1354.8340000000001</v>
      </c>
      <c r="J1666" s="40">
        <v>4.75</v>
      </c>
      <c r="K1666" s="41">
        <v>16512</v>
      </c>
      <c r="L1666" s="24">
        <v>68</v>
      </c>
      <c r="M1666" s="19">
        <v>105.3</v>
      </c>
    </row>
    <row r="1667" spans="1:13" x14ac:dyDescent="0.75">
      <c r="A1667" t="s">
        <v>27</v>
      </c>
      <c r="B1667" s="18">
        <v>2025</v>
      </c>
      <c r="C1667" s="4">
        <v>10</v>
      </c>
      <c r="D1667">
        <v>332</v>
      </c>
      <c r="E1667" s="33">
        <v>51.2</v>
      </c>
      <c r="F1667" s="19">
        <v>108.49</v>
      </c>
      <c r="G1667" s="19">
        <v>103.8</v>
      </c>
      <c r="H1667" s="26">
        <v>15.37</v>
      </c>
      <c r="I1667" s="19">
        <v>1376.3389999999999</v>
      </c>
      <c r="J1667" s="40">
        <v>4.75</v>
      </c>
      <c r="K1667" s="41">
        <v>16607</v>
      </c>
      <c r="L1667" s="24">
        <v>64.5</v>
      </c>
      <c r="M1667" s="19">
        <v>105.5</v>
      </c>
    </row>
    <row r="1668" spans="1:13" x14ac:dyDescent="0.75">
      <c r="A1668" t="s">
        <v>27</v>
      </c>
      <c r="B1668" s="18">
        <v>2025</v>
      </c>
      <c r="C1668" s="4">
        <v>11</v>
      </c>
      <c r="D1668">
        <v>344</v>
      </c>
      <c r="E1668" s="33">
        <v>53.3</v>
      </c>
      <c r="F1668" s="19">
        <v>108.05</v>
      </c>
      <c r="G1668" s="19">
        <v>79.12</v>
      </c>
      <c r="H1668" s="26">
        <v>11.74</v>
      </c>
      <c r="I1668" s="19">
        <v>1387.27</v>
      </c>
      <c r="J1668" s="40">
        <v>4.75</v>
      </c>
      <c r="K1668" s="41">
        <v>16703</v>
      </c>
      <c r="L1668" s="24">
        <v>63.8</v>
      </c>
      <c r="M1668" s="19">
        <v>105.4</v>
      </c>
    </row>
    <row r="1669" spans="1:13" x14ac:dyDescent="0.75">
      <c r="A1669" t="s">
        <v>27</v>
      </c>
      <c r="B1669" s="18">
        <v>2025</v>
      </c>
      <c r="C1669" s="4">
        <v>12</v>
      </c>
      <c r="D1669">
        <v>345</v>
      </c>
      <c r="E1669" s="33">
        <v>51.2</v>
      </c>
      <c r="F1669" s="19">
        <v>108.6</v>
      </c>
      <c r="G1669" s="19">
        <v>128.82</v>
      </c>
      <c r="H1669" s="26">
        <v>21.37</v>
      </c>
      <c r="I1669" s="19">
        <v>1398.9069999999999</v>
      </c>
      <c r="J1669" s="40">
        <v>4.75</v>
      </c>
      <c r="K1669" s="41">
        <v>16699</v>
      </c>
      <c r="L1669" s="24">
        <v>62.5</v>
      </c>
      <c r="M1669" s="19">
        <v>106.3</v>
      </c>
    </row>
    <row r="1670" spans="1:13" x14ac:dyDescent="0.75">
      <c r="A1670" t="s">
        <v>28</v>
      </c>
      <c r="B1670" s="18">
        <v>2025</v>
      </c>
      <c r="C1670" s="4">
        <v>1</v>
      </c>
      <c r="D1670">
        <v>36</v>
      </c>
      <c r="E1670" s="33">
        <v>51.9</v>
      </c>
      <c r="F1670" s="29">
        <v>105.9</v>
      </c>
      <c r="G1670" s="26">
        <v>1666.16</v>
      </c>
      <c r="H1670" s="29">
        <v>616.15</v>
      </c>
      <c r="I1670" s="19">
        <v>891.21600000000001</v>
      </c>
      <c r="J1670" s="40">
        <v>5.75</v>
      </c>
      <c r="K1670" s="41">
        <v>16262</v>
      </c>
      <c r="L1670" s="24">
        <v>79.3</v>
      </c>
      <c r="M1670" s="19">
        <v>104.2</v>
      </c>
    </row>
    <row r="1671" spans="1:13" x14ac:dyDescent="0.75">
      <c r="A1671" t="s">
        <v>28</v>
      </c>
      <c r="B1671" s="18">
        <v>2025</v>
      </c>
      <c r="C1671" s="4">
        <v>2</v>
      </c>
      <c r="D1671">
        <v>99</v>
      </c>
      <c r="E1671" s="33">
        <v>53.6</v>
      </c>
      <c r="F1671" s="29">
        <v>105.96</v>
      </c>
      <c r="G1671" s="26">
        <v>1515.99</v>
      </c>
      <c r="H1671" s="29">
        <v>1231.19</v>
      </c>
      <c r="I1671" s="19">
        <v>925.43700000000001</v>
      </c>
      <c r="J1671" s="40">
        <v>5.75</v>
      </c>
      <c r="K1671" s="41">
        <v>16338</v>
      </c>
      <c r="L1671" s="24">
        <v>75.400000000000006</v>
      </c>
      <c r="M1671" s="19">
        <v>104.3</v>
      </c>
    </row>
    <row r="1672" spans="1:13" x14ac:dyDescent="0.75">
      <c r="A1672" t="s">
        <v>28</v>
      </c>
      <c r="B1672" s="18">
        <v>2025</v>
      </c>
      <c r="C1672" s="4">
        <v>3</v>
      </c>
      <c r="D1672">
        <v>165</v>
      </c>
      <c r="E1672" s="33">
        <v>52.4</v>
      </c>
      <c r="F1672" s="29">
        <v>108.95</v>
      </c>
      <c r="G1672" s="26">
        <v>1870.51</v>
      </c>
      <c r="H1672" s="29">
        <v>783.5</v>
      </c>
      <c r="I1672" s="19">
        <v>965.65300000000002</v>
      </c>
      <c r="J1672" s="40">
        <v>5.75</v>
      </c>
      <c r="K1672" s="41">
        <v>16456</v>
      </c>
      <c r="L1672" s="24">
        <v>72.7</v>
      </c>
      <c r="M1672" s="19">
        <v>105.1</v>
      </c>
    </row>
    <row r="1673" spans="1:13" x14ac:dyDescent="0.75">
      <c r="A1673" t="s">
        <v>28</v>
      </c>
      <c r="B1673" s="18">
        <v>2025</v>
      </c>
      <c r="C1673" s="4">
        <v>4</v>
      </c>
      <c r="D1673">
        <v>253</v>
      </c>
      <c r="E1673" s="33">
        <v>46.7</v>
      </c>
      <c r="F1673" s="29">
        <v>110.17</v>
      </c>
      <c r="G1673" s="26">
        <v>1612.54</v>
      </c>
      <c r="H1673" s="29">
        <v>943.37</v>
      </c>
      <c r="I1673" s="19">
        <v>1016.221</v>
      </c>
      <c r="J1673" s="40">
        <v>5.75</v>
      </c>
      <c r="K1673" s="41">
        <v>16820</v>
      </c>
      <c r="L1673" s="24">
        <v>68.099999999999994</v>
      </c>
      <c r="M1673" s="19">
        <v>105.1</v>
      </c>
    </row>
    <row r="1674" spans="1:13" x14ac:dyDescent="0.75">
      <c r="A1674" t="s">
        <v>28</v>
      </c>
      <c r="B1674" s="18">
        <v>2025</v>
      </c>
      <c r="C1674" s="4">
        <v>5</v>
      </c>
      <c r="D1674">
        <v>402</v>
      </c>
      <c r="E1674" s="33">
        <v>47.4</v>
      </c>
      <c r="F1674" s="29">
        <v>109.86</v>
      </c>
      <c r="G1674" s="26">
        <v>1968.45</v>
      </c>
      <c r="H1674" s="29">
        <v>863.07</v>
      </c>
      <c r="I1674" s="19">
        <v>1052.828</v>
      </c>
      <c r="J1674" s="40">
        <v>5.5</v>
      </c>
      <c r="K1674" s="41">
        <v>16441</v>
      </c>
      <c r="L1674" s="24">
        <v>64.5</v>
      </c>
      <c r="M1674" s="19">
        <v>104.6</v>
      </c>
    </row>
    <row r="1675" spans="1:13" x14ac:dyDescent="0.75">
      <c r="A1675" t="s">
        <v>28</v>
      </c>
      <c r="B1675" s="18">
        <v>2025</v>
      </c>
      <c r="C1675" s="4">
        <v>6</v>
      </c>
      <c r="D1675">
        <v>529</v>
      </c>
      <c r="E1675" s="33">
        <v>46.9</v>
      </c>
      <c r="F1675" s="29">
        <v>109.91</v>
      </c>
      <c r="G1675" s="26">
        <v>1750.61</v>
      </c>
      <c r="H1675" s="29">
        <v>1119.8399999999999</v>
      </c>
      <c r="I1675" s="19">
        <v>1058.462</v>
      </c>
      <c r="J1675" s="40">
        <v>5.5</v>
      </c>
      <c r="K1675" s="41">
        <v>16311</v>
      </c>
      <c r="L1675" s="24">
        <v>71.400000000000006</v>
      </c>
      <c r="M1675" s="19">
        <v>104.7</v>
      </c>
    </row>
    <row r="1676" spans="1:13" x14ac:dyDescent="0.75">
      <c r="A1676" t="s">
        <v>28</v>
      </c>
      <c r="B1676" s="18">
        <v>2025</v>
      </c>
      <c r="C1676" s="4">
        <v>7</v>
      </c>
      <c r="D1676">
        <v>798</v>
      </c>
      <c r="E1676" s="33">
        <v>49.2</v>
      </c>
      <c r="F1676" s="29">
        <v>110.97</v>
      </c>
      <c r="G1676" s="26">
        <v>1635.79</v>
      </c>
      <c r="H1676" s="29">
        <v>916.79</v>
      </c>
      <c r="I1676" s="19">
        <v>1106.903</v>
      </c>
      <c r="J1676" s="40">
        <v>5.25</v>
      </c>
      <c r="K1676" s="41">
        <v>16276</v>
      </c>
      <c r="L1676" s="24">
        <v>71</v>
      </c>
      <c r="M1676" s="19">
        <v>105.2</v>
      </c>
    </row>
    <row r="1677" spans="1:13" x14ac:dyDescent="0.75">
      <c r="A1677" t="s">
        <v>28</v>
      </c>
      <c r="B1677" s="18">
        <v>2025</v>
      </c>
      <c r="C1677" s="4">
        <v>8</v>
      </c>
      <c r="D1677">
        <v>1076</v>
      </c>
      <c r="E1677" s="33">
        <v>51.5</v>
      </c>
      <c r="F1677" s="29">
        <v>111.04</v>
      </c>
      <c r="G1677" s="26">
        <v>1938.36</v>
      </c>
      <c r="H1677" s="29">
        <v>805.92</v>
      </c>
      <c r="I1677" s="19">
        <v>1121.364</v>
      </c>
      <c r="J1677" s="40">
        <v>5</v>
      </c>
      <c r="K1677" s="41">
        <v>16309</v>
      </c>
      <c r="L1677" s="24">
        <v>67.900000000000006</v>
      </c>
      <c r="M1677" s="19">
        <v>105.2</v>
      </c>
    </row>
    <row r="1678" spans="1:13" x14ac:dyDescent="0.75">
      <c r="A1678" t="s">
        <v>28</v>
      </c>
      <c r="B1678" s="18">
        <v>2025</v>
      </c>
      <c r="C1678" s="4">
        <v>9</v>
      </c>
      <c r="D1678">
        <v>1504</v>
      </c>
      <c r="E1678" s="33">
        <v>50.4</v>
      </c>
      <c r="F1678" s="29">
        <v>110.96</v>
      </c>
      <c r="G1678" s="26">
        <v>2091.75</v>
      </c>
      <c r="H1678" s="29">
        <v>1064.33</v>
      </c>
      <c r="I1678" s="19">
        <v>1099.133</v>
      </c>
      <c r="J1678" s="40">
        <v>4.75</v>
      </c>
      <c r="K1678" s="41">
        <v>16512</v>
      </c>
      <c r="L1678" s="24">
        <v>68</v>
      </c>
      <c r="M1678" s="19">
        <v>105.3</v>
      </c>
    </row>
    <row r="1679" spans="1:13" x14ac:dyDescent="0.75">
      <c r="A1679" t="s">
        <v>28</v>
      </c>
      <c r="B1679" s="18">
        <v>2025</v>
      </c>
      <c r="C1679" s="4">
        <v>10</v>
      </c>
      <c r="D1679">
        <v>1592</v>
      </c>
      <c r="E1679" s="33">
        <v>51.2</v>
      </c>
      <c r="F1679" s="29">
        <v>111.02</v>
      </c>
      <c r="G1679" s="26">
        <v>2169.7399999999998</v>
      </c>
      <c r="H1679" s="29">
        <v>1019.06</v>
      </c>
      <c r="I1679" s="19">
        <v>1066.6220000000001</v>
      </c>
      <c r="J1679" s="40">
        <v>4.75</v>
      </c>
      <c r="K1679" s="41">
        <v>16607</v>
      </c>
      <c r="L1679" s="24">
        <v>64.5</v>
      </c>
      <c r="M1679" s="19">
        <v>105.5</v>
      </c>
    </row>
    <row r="1680" spans="1:13" x14ac:dyDescent="0.75">
      <c r="A1680" t="s">
        <v>28</v>
      </c>
      <c r="B1680" s="18">
        <v>2025</v>
      </c>
      <c r="C1680" s="4">
        <v>11</v>
      </c>
      <c r="D1680">
        <v>1638</v>
      </c>
      <c r="E1680" s="33">
        <v>53.3</v>
      </c>
      <c r="F1680" s="29">
        <v>110.56</v>
      </c>
      <c r="G1680" s="26">
        <v>1756.53</v>
      </c>
      <c r="H1680" s="29">
        <v>847.72</v>
      </c>
      <c r="I1680" s="19">
        <v>1068.924</v>
      </c>
      <c r="J1680" s="40">
        <v>4.75</v>
      </c>
      <c r="K1680" s="41">
        <v>16703</v>
      </c>
      <c r="L1680" s="24">
        <v>63.8</v>
      </c>
      <c r="M1680" s="19">
        <v>105.4</v>
      </c>
    </row>
    <row r="1681" spans="1:13" x14ac:dyDescent="0.75">
      <c r="A1681" t="s">
        <v>28</v>
      </c>
      <c r="B1681" s="18">
        <v>2025</v>
      </c>
      <c r="C1681" s="4">
        <v>12</v>
      </c>
      <c r="D1681">
        <v>1650</v>
      </c>
      <c r="E1681" s="33">
        <v>51.2</v>
      </c>
      <c r="F1681" s="29">
        <v>110.71</v>
      </c>
      <c r="G1681" s="26">
        <v>2339.6</v>
      </c>
      <c r="H1681" s="29">
        <v>1101.58</v>
      </c>
      <c r="I1681" s="19">
        <v>1044.146</v>
      </c>
      <c r="J1681" s="40">
        <v>4.75</v>
      </c>
      <c r="K1681" s="41">
        <v>16699</v>
      </c>
      <c r="L1681" s="24">
        <v>62.5</v>
      </c>
      <c r="M1681" s="19">
        <v>106.3</v>
      </c>
    </row>
    <row r="1682" spans="1:13" x14ac:dyDescent="0.75">
      <c r="A1682" t="s">
        <v>29</v>
      </c>
      <c r="B1682" s="18">
        <v>2025</v>
      </c>
      <c r="C1682" s="4">
        <v>1</v>
      </c>
      <c r="D1682">
        <v>93</v>
      </c>
      <c r="E1682" s="33">
        <v>51.9</v>
      </c>
      <c r="F1682" s="29">
        <v>105.46</v>
      </c>
      <c r="G1682" s="29">
        <v>151.84</v>
      </c>
      <c r="H1682" s="29">
        <v>49.68</v>
      </c>
      <c r="I1682" s="19">
        <v>4541.1239999999998</v>
      </c>
      <c r="J1682" s="40">
        <v>5.75</v>
      </c>
      <c r="K1682" s="41">
        <v>16262</v>
      </c>
      <c r="L1682" s="24">
        <v>79.3</v>
      </c>
      <c r="M1682" s="19">
        <v>104.2</v>
      </c>
    </row>
    <row r="1683" spans="1:13" x14ac:dyDescent="0.75">
      <c r="A1683" t="s">
        <v>29</v>
      </c>
      <c r="B1683" s="18">
        <v>2025</v>
      </c>
      <c r="C1683" s="4">
        <v>2</v>
      </c>
      <c r="D1683">
        <v>342</v>
      </c>
      <c r="E1683" s="33">
        <v>53.6</v>
      </c>
      <c r="F1683" s="29">
        <v>104.52</v>
      </c>
      <c r="G1683" s="29">
        <v>174.89</v>
      </c>
      <c r="H1683" s="29">
        <v>67.040000000000006</v>
      </c>
      <c r="I1683" s="19">
        <v>4662.3130000000001</v>
      </c>
      <c r="J1683" s="40">
        <v>5.75</v>
      </c>
      <c r="K1683" s="41">
        <v>16338</v>
      </c>
      <c r="L1683" s="24">
        <v>75.400000000000006</v>
      </c>
      <c r="M1683" s="19">
        <v>104.3</v>
      </c>
    </row>
    <row r="1684" spans="1:13" x14ac:dyDescent="0.75">
      <c r="A1684" t="s">
        <v>29</v>
      </c>
      <c r="B1684" s="18">
        <v>2025</v>
      </c>
      <c r="C1684" s="4">
        <v>3</v>
      </c>
      <c r="D1684">
        <v>494</v>
      </c>
      <c r="E1684" s="33">
        <v>52.4</v>
      </c>
      <c r="F1684" s="29">
        <v>106.78</v>
      </c>
      <c r="G1684" s="29">
        <v>136.87</v>
      </c>
      <c r="H1684" s="29">
        <v>62.14</v>
      </c>
      <c r="I1684" s="19">
        <v>4654.3850000000002</v>
      </c>
      <c r="J1684" s="40">
        <v>5.75</v>
      </c>
      <c r="K1684" s="41">
        <v>16456</v>
      </c>
      <c r="L1684" s="24">
        <v>72.7</v>
      </c>
      <c r="M1684" s="19">
        <v>105.1</v>
      </c>
    </row>
    <row r="1685" spans="1:13" x14ac:dyDescent="0.75">
      <c r="A1685" t="s">
        <v>29</v>
      </c>
      <c r="B1685" s="18">
        <v>2025</v>
      </c>
      <c r="C1685" s="4">
        <v>4</v>
      </c>
      <c r="D1685">
        <v>651</v>
      </c>
      <c r="E1685" s="33">
        <v>46.7</v>
      </c>
      <c r="F1685" s="29">
        <v>108.65</v>
      </c>
      <c r="G1685" s="29">
        <v>164.46</v>
      </c>
      <c r="H1685" s="29">
        <v>70.62</v>
      </c>
      <c r="I1685" s="19">
        <v>4865.59</v>
      </c>
      <c r="J1685" s="40">
        <v>5.75</v>
      </c>
      <c r="K1685" s="41">
        <v>16820</v>
      </c>
      <c r="L1685" s="24">
        <v>68.099999999999994</v>
      </c>
      <c r="M1685" s="19">
        <v>105.1</v>
      </c>
    </row>
    <row r="1686" spans="1:13" x14ac:dyDescent="0.75">
      <c r="A1686" t="s">
        <v>29</v>
      </c>
      <c r="B1686" s="18">
        <v>2025</v>
      </c>
      <c r="C1686" s="4">
        <v>5</v>
      </c>
      <c r="D1686">
        <v>908</v>
      </c>
      <c r="E1686" s="33">
        <v>47.4</v>
      </c>
      <c r="F1686" s="29">
        <v>108.28</v>
      </c>
      <c r="G1686" s="29">
        <v>171.59</v>
      </c>
      <c r="H1686" s="29">
        <v>59.06</v>
      </c>
      <c r="I1686" s="19">
        <v>4926.5339999999997</v>
      </c>
      <c r="J1686" s="40">
        <v>5.5</v>
      </c>
      <c r="K1686" s="41">
        <v>16441</v>
      </c>
      <c r="L1686" s="24">
        <v>64.5</v>
      </c>
      <c r="M1686" s="19">
        <v>104.6</v>
      </c>
    </row>
    <row r="1687" spans="1:13" x14ac:dyDescent="0.75">
      <c r="A1687" t="s">
        <v>29</v>
      </c>
      <c r="B1687" s="18">
        <v>2025</v>
      </c>
      <c r="C1687" s="4">
        <v>6</v>
      </c>
      <c r="D1687">
        <v>1067</v>
      </c>
      <c r="E1687" s="33">
        <v>46.9</v>
      </c>
      <c r="F1687" s="29">
        <v>108.21</v>
      </c>
      <c r="G1687" s="29">
        <v>213.32</v>
      </c>
      <c r="H1687" s="29">
        <v>114.97</v>
      </c>
      <c r="I1687" s="19">
        <v>4933.317</v>
      </c>
      <c r="J1687" s="40">
        <v>5.5</v>
      </c>
      <c r="K1687" s="41">
        <v>16311</v>
      </c>
      <c r="L1687" s="24">
        <v>71.400000000000006</v>
      </c>
      <c r="M1687" s="19">
        <v>104.7</v>
      </c>
    </row>
    <row r="1688" spans="1:13" x14ac:dyDescent="0.75">
      <c r="A1688" t="s">
        <v>29</v>
      </c>
      <c r="B1688" s="18">
        <v>2025</v>
      </c>
      <c r="C1688" s="4">
        <v>7</v>
      </c>
      <c r="D1688">
        <v>1392</v>
      </c>
      <c r="E1688" s="33">
        <v>49.2</v>
      </c>
      <c r="F1688" s="29">
        <v>108.87</v>
      </c>
      <c r="G1688" s="29">
        <v>172.83</v>
      </c>
      <c r="H1688" s="29">
        <v>72.62</v>
      </c>
      <c r="I1688" s="19">
        <v>5082.3130000000001</v>
      </c>
      <c r="J1688" s="40">
        <v>5.25</v>
      </c>
      <c r="K1688" s="41">
        <v>16276</v>
      </c>
      <c r="L1688" s="24">
        <v>71</v>
      </c>
      <c r="M1688" s="19">
        <v>105.2</v>
      </c>
    </row>
    <row r="1689" spans="1:13" x14ac:dyDescent="0.75">
      <c r="A1689" t="s">
        <v>29</v>
      </c>
      <c r="B1689" s="18">
        <v>2025</v>
      </c>
      <c r="C1689" s="4">
        <v>8</v>
      </c>
      <c r="D1689">
        <v>1780</v>
      </c>
      <c r="E1689" s="33">
        <v>51.5</v>
      </c>
      <c r="F1689" s="29">
        <v>108.91</v>
      </c>
      <c r="G1689" s="29">
        <v>172.73</v>
      </c>
      <c r="H1689" s="29">
        <v>118.24</v>
      </c>
      <c r="I1689" s="19">
        <v>5133.143</v>
      </c>
      <c r="J1689" s="40">
        <v>5</v>
      </c>
      <c r="K1689" s="41">
        <v>16309</v>
      </c>
      <c r="L1689" s="24">
        <v>67.900000000000006</v>
      </c>
      <c r="M1689" s="19">
        <v>105.2</v>
      </c>
    </row>
    <row r="1690" spans="1:13" x14ac:dyDescent="0.75">
      <c r="A1690" t="s">
        <v>29</v>
      </c>
      <c r="B1690" s="18">
        <v>2025</v>
      </c>
      <c r="C1690" s="4">
        <v>9</v>
      </c>
      <c r="D1690">
        <v>2106</v>
      </c>
      <c r="E1690" s="33">
        <v>50.4</v>
      </c>
      <c r="F1690" s="29">
        <v>108.72</v>
      </c>
      <c r="G1690" s="29">
        <v>160.51</v>
      </c>
      <c r="H1690" s="29">
        <v>105.76</v>
      </c>
      <c r="I1690" s="19">
        <v>6157.826</v>
      </c>
      <c r="J1690" s="40">
        <v>4.75</v>
      </c>
      <c r="K1690" s="41">
        <v>16512</v>
      </c>
      <c r="L1690" s="24">
        <v>68</v>
      </c>
      <c r="M1690" s="19">
        <v>105.3</v>
      </c>
    </row>
    <row r="1691" spans="1:13" x14ac:dyDescent="0.75">
      <c r="A1691" t="s">
        <v>29</v>
      </c>
      <c r="B1691" s="18">
        <v>2025</v>
      </c>
      <c r="C1691" s="4">
        <v>10</v>
      </c>
      <c r="D1691">
        <v>3385</v>
      </c>
      <c r="E1691" s="33">
        <v>51.2</v>
      </c>
      <c r="F1691" s="29">
        <v>108.83</v>
      </c>
      <c r="G1691" s="29">
        <v>169.13</v>
      </c>
      <c r="H1691" s="29">
        <v>85.21</v>
      </c>
      <c r="I1691" s="19">
        <v>6318.482</v>
      </c>
      <c r="J1691" s="40">
        <v>4.75</v>
      </c>
      <c r="K1691" s="41">
        <v>16607</v>
      </c>
      <c r="L1691" s="24">
        <v>64.5</v>
      </c>
      <c r="M1691" s="19">
        <v>105.5</v>
      </c>
    </row>
    <row r="1692" spans="1:13" x14ac:dyDescent="0.75">
      <c r="A1692" t="s">
        <v>29</v>
      </c>
      <c r="B1692" s="18">
        <v>2025</v>
      </c>
      <c r="C1692" s="4">
        <v>11</v>
      </c>
      <c r="D1692">
        <v>4280</v>
      </c>
      <c r="E1692" s="33">
        <v>53.3</v>
      </c>
      <c r="F1692" s="29">
        <v>108.75</v>
      </c>
      <c r="G1692" s="29">
        <v>155.37</v>
      </c>
      <c r="H1692" s="29">
        <v>91.47</v>
      </c>
      <c r="I1692" s="19">
        <v>6286.7420000000002</v>
      </c>
      <c r="J1692" s="40">
        <v>4.75</v>
      </c>
      <c r="K1692" s="41">
        <v>16703</v>
      </c>
      <c r="L1692" s="24">
        <v>63.8</v>
      </c>
      <c r="M1692" s="19">
        <v>105.4</v>
      </c>
    </row>
    <row r="1693" spans="1:13" x14ac:dyDescent="0.75">
      <c r="A1693" t="s">
        <v>29</v>
      </c>
      <c r="B1693" s="18">
        <v>2025</v>
      </c>
      <c r="C1693" s="4">
        <v>12</v>
      </c>
      <c r="D1693">
        <v>4297</v>
      </c>
      <c r="E1693" s="33">
        <v>51.2</v>
      </c>
      <c r="F1693" s="29">
        <v>109.28</v>
      </c>
      <c r="G1693" s="29">
        <v>142.54</v>
      </c>
      <c r="H1693" s="29">
        <v>110.28</v>
      </c>
      <c r="I1693" s="19">
        <v>6255.9639999999999</v>
      </c>
      <c r="J1693" s="40">
        <v>4.75</v>
      </c>
      <c r="K1693" s="41">
        <v>16699</v>
      </c>
      <c r="L1693" s="24">
        <v>62.5</v>
      </c>
      <c r="M1693" s="19">
        <v>106.3</v>
      </c>
    </row>
    <row r="1694" spans="1:13" x14ac:dyDescent="0.75">
      <c r="A1694" t="s">
        <v>30</v>
      </c>
      <c r="B1694" s="18">
        <v>2025</v>
      </c>
      <c r="C1694" s="4">
        <v>1</v>
      </c>
      <c r="D1694">
        <v>53</v>
      </c>
      <c r="E1694" s="33">
        <v>51.9</v>
      </c>
      <c r="F1694" s="26">
        <v>105.01</v>
      </c>
      <c r="G1694" s="29">
        <v>309.07</v>
      </c>
      <c r="H1694" s="26">
        <v>87.69</v>
      </c>
      <c r="I1694" s="19">
        <v>686.05100000000004</v>
      </c>
      <c r="J1694" s="40">
        <v>5.75</v>
      </c>
      <c r="K1694" s="41">
        <v>16262</v>
      </c>
      <c r="L1694" s="24">
        <v>79.3</v>
      </c>
      <c r="M1694" s="19">
        <v>104.2</v>
      </c>
    </row>
    <row r="1695" spans="1:13" x14ac:dyDescent="0.75">
      <c r="A1695" t="s">
        <v>30</v>
      </c>
      <c r="B1695" s="18">
        <v>2025</v>
      </c>
      <c r="C1695" s="4">
        <v>2</v>
      </c>
      <c r="D1695">
        <v>130</v>
      </c>
      <c r="E1695" s="33">
        <v>53.6</v>
      </c>
      <c r="F1695" s="26">
        <v>105.39</v>
      </c>
      <c r="G1695" s="29">
        <v>280.52999999999997</v>
      </c>
      <c r="H1695" s="26">
        <v>109.91</v>
      </c>
      <c r="I1695" s="19">
        <v>671.95899999999995</v>
      </c>
      <c r="J1695" s="40">
        <v>5.75</v>
      </c>
      <c r="K1695" s="41">
        <v>16338</v>
      </c>
      <c r="L1695" s="24">
        <v>75.400000000000006</v>
      </c>
      <c r="M1695" s="19">
        <v>104.3</v>
      </c>
    </row>
    <row r="1696" spans="1:13" x14ac:dyDescent="0.75">
      <c r="A1696" t="s">
        <v>30</v>
      </c>
      <c r="B1696" s="18">
        <v>2025</v>
      </c>
      <c r="C1696" s="4">
        <v>3</v>
      </c>
      <c r="D1696">
        <v>308</v>
      </c>
      <c r="E1696" s="33">
        <v>52.4</v>
      </c>
      <c r="F1696" s="26">
        <v>107.91</v>
      </c>
      <c r="G1696" s="29">
        <v>324.5</v>
      </c>
      <c r="H1696" s="26">
        <v>88.65</v>
      </c>
      <c r="I1696" s="19">
        <v>689.04</v>
      </c>
      <c r="J1696" s="40">
        <v>5.75</v>
      </c>
      <c r="K1696" s="41">
        <v>16456</v>
      </c>
      <c r="L1696" s="24">
        <v>72.7</v>
      </c>
      <c r="M1696" s="19">
        <v>105.1</v>
      </c>
    </row>
    <row r="1697" spans="1:13" x14ac:dyDescent="0.75">
      <c r="A1697" t="s">
        <v>30</v>
      </c>
      <c r="B1697" s="18">
        <v>2025</v>
      </c>
      <c r="C1697" s="4">
        <v>4</v>
      </c>
      <c r="D1697">
        <v>412</v>
      </c>
      <c r="E1697" s="33">
        <v>46.7</v>
      </c>
      <c r="F1697" s="26">
        <v>108.87</v>
      </c>
      <c r="G1697" s="29">
        <v>317.79000000000002</v>
      </c>
      <c r="H1697" s="26">
        <v>181.47</v>
      </c>
      <c r="I1697" s="19">
        <v>741.94799999999998</v>
      </c>
      <c r="J1697" s="40">
        <v>5.75</v>
      </c>
      <c r="K1697" s="41">
        <v>16820</v>
      </c>
      <c r="L1697" s="24">
        <v>68.099999999999994</v>
      </c>
      <c r="M1697" s="19">
        <v>105.1</v>
      </c>
    </row>
    <row r="1698" spans="1:13" x14ac:dyDescent="0.75">
      <c r="A1698" t="s">
        <v>30</v>
      </c>
      <c r="B1698" s="18">
        <v>2025</v>
      </c>
      <c r="C1698" s="4">
        <v>5</v>
      </c>
      <c r="D1698">
        <v>566</v>
      </c>
      <c r="E1698" s="33">
        <v>47.4</v>
      </c>
      <c r="F1698" s="26">
        <v>108.72</v>
      </c>
      <c r="G1698" s="29">
        <v>307.43</v>
      </c>
      <c r="H1698" s="26">
        <v>70.010000000000005</v>
      </c>
      <c r="I1698" s="19">
        <v>761.19100000000003</v>
      </c>
      <c r="J1698" s="40">
        <v>5.5</v>
      </c>
      <c r="K1698" s="41">
        <v>16441</v>
      </c>
      <c r="L1698" s="24">
        <v>64.5</v>
      </c>
      <c r="M1698" s="19">
        <v>104.6</v>
      </c>
    </row>
    <row r="1699" spans="1:13" x14ac:dyDescent="0.75">
      <c r="A1699" t="s">
        <v>30</v>
      </c>
      <c r="B1699" s="18">
        <v>2025</v>
      </c>
      <c r="C1699" s="4">
        <v>6</v>
      </c>
      <c r="D1699">
        <v>717</v>
      </c>
      <c r="E1699" s="33">
        <v>46.9</v>
      </c>
      <c r="F1699" s="26">
        <v>109.48</v>
      </c>
      <c r="G1699" s="29">
        <v>317.07</v>
      </c>
      <c r="H1699" s="26">
        <v>62.7</v>
      </c>
      <c r="I1699" s="19">
        <v>778.86800000000005</v>
      </c>
      <c r="J1699" s="40">
        <v>5.5</v>
      </c>
      <c r="K1699" s="41">
        <v>16311</v>
      </c>
      <c r="L1699" s="24">
        <v>71.400000000000006</v>
      </c>
      <c r="M1699" s="19">
        <v>104.7</v>
      </c>
    </row>
    <row r="1700" spans="1:13" x14ac:dyDescent="0.75">
      <c r="A1700" t="s">
        <v>30</v>
      </c>
      <c r="B1700" s="18">
        <v>2025</v>
      </c>
      <c r="C1700" s="4">
        <v>7</v>
      </c>
      <c r="D1700">
        <v>976</v>
      </c>
      <c r="E1700" s="33">
        <v>49.2</v>
      </c>
      <c r="F1700" s="26">
        <v>110.59</v>
      </c>
      <c r="G1700" s="29">
        <v>296.32</v>
      </c>
      <c r="H1700" s="26">
        <v>103.27</v>
      </c>
      <c r="I1700" s="19">
        <v>800.00199999999995</v>
      </c>
      <c r="J1700" s="40">
        <v>5.25</v>
      </c>
      <c r="K1700" s="41">
        <v>16276</v>
      </c>
      <c r="L1700" s="24">
        <v>71</v>
      </c>
      <c r="M1700" s="19">
        <v>105.2</v>
      </c>
    </row>
    <row r="1701" spans="1:13" x14ac:dyDescent="0.75">
      <c r="A1701" t="s">
        <v>30</v>
      </c>
      <c r="B1701" s="18">
        <v>2025</v>
      </c>
      <c r="C1701" s="4">
        <v>8</v>
      </c>
      <c r="D1701">
        <v>1091</v>
      </c>
      <c r="E1701" s="33">
        <v>51.5</v>
      </c>
      <c r="F1701" s="26">
        <v>110.32</v>
      </c>
      <c r="G1701" s="29">
        <v>278.45999999999998</v>
      </c>
      <c r="H1701" s="26">
        <v>101.94</v>
      </c>
      <c r="I1701" s="19">
        <v>820.18200000000002</v>
      </c>
      <c r="J1701" s="40">
        <v>5</v>
      </c>
      <c r="K1701" s="41">
        <v>16309</v>
      </c>
      <c r="L1701" s="24">
        <v>67.900000000000006</v>
      </c>
      <c r="M1701" s="19">
        <v>105.2</v>
      </c>
    </row>
    <row r="1702" spans="1:13" x14ac:dyDescent="0.75">
      <c r="A1702" t="s">
        <v>30</v>
      </c>
      <c r="B1702" s="18">
        <v>2025</v>
      </c>
      <c r="C1702" s="4">
        <v>9</v>
      </c>
      <c r="D1702">
        <v>1216</v>
      </c>
      <c r="E1702" s="33">
        <v>50.4</v>
      </c>
      <c r="F1702" s="26">
        <v>110.03</v>
      </c>
      <c r="G1702" s="29">
        <v>356.16</v>
      </c>
      <c r="H1702" s="26">
        <v>180.07</v>
      </c>
      <c r="I1702" s="19">
        <v>805.53899999999999</v>
      </c>
      <c r="J1702" s="40">
        <v>4.75</v>
      </c>
      <c r="K1702" s="41">
        <v>16512</v>
      </c>
      <c r="L1702" s="24">
        <v>68</v>
      </c>
      <c r="M1702" s="19">
        <v>105.3</v>
      </c>
    </row>
    <row r="1703" spans="1:13" x14ac:dyDescent="0.75">
      <c r="A1703" t="s">
        <v>30</v>
      </c>
      <c r="B1703" s="18">
        <v>2025</v>
      </c>
      <c r="C1703" s="4">
        <v>10</v>
      </c>
      <c r="D1703">
        <v>1314</v>
      </c>
      <c r="E1703" s="33">
        <v>51.2</v>
      </c>
      <c r="F1703" s="26">
        <v>109.39</v>
      </c>
      <c r="G1703" s="29">
        <v>340.37</v>
      </c>
      <c r="H1703" s="26">
        <v>159.09</v>
      </c>
      <c r="I1703" s="19">
        <v>812.36699999999996</v>
      </c>
      <c r="J1703" s="40">
        <v>4.75</v>
      </c>
      <c r="K1703" s="41">
        <v>16607</v>
      </c>
      <c r="L1703" s="24">
        <v>64.5</v>
      </c>
      <c r="M1703" s="19">
        <v>105.5</v>
      </c>
    </row>
    <row r="1704" spans="1:13" x14ac:dyDescent="0.75">
      <c r="A1704" t="s">
        <v>30</v>
      </c>
      <c r="B1704" s="18">
        <v>2025</v>
      </c>
      <c r="C1704" s="4">
        <v>11</v>
      </c>
      <c r="D1704">
        <v>1392</v>
      </c>
      <c r="E1704" s="33">
        <v>53.3</v>
      </c>
      <c r="F1704" s="26">
        <v>109.37</v>
      </c>
      <c r="G1704" s="29">
        <v>268.10000000000002</v>
      </c>
      <c r="H1704" s="26">
        <v>150.72</v>
      </c>
      <c r="I1704" s="19">
        <v>809.59</v>
      </c>
      <c r="J1704" s="40">
        <v>4.75</v>
      </c>
      <c r="K1704" s="41">
        <v>16703</v>
      </c>
      <c r="L1704" s="24">
        <v>63.8</v>
      </c>
      <c r="M1704" s="19">
        <v>105.4</v>
      </c>
    </row>
    <row r="1705" spans="1:13" x14ac:dyDescent="0.75">
      <c r="A1705" t="s">
        <v>30</v>
      </c>
      <c r="B1705" s="18">
        <v>2025</v>
      </c>
      <c r="C1705" s="4">
        <v>12</v>
      </c>
      <c r="D1705">
        <v>1409</v>
      </c>
      <c r="E1705" s="33">
        <v>51.2</v>
      </c>
      <c r="F1705" s="26">
        <v>109.61</v>
      </c>
      <c r="G1705" s="29">
        <v>328.08</v>
      </c>
      <c r="H1705" s="26">
        <v>280.42</v>
      </c>
      <c r="I1705" s="19">
        <v>796.94</v>
      </c>
      <c r="J1705" s="40">
        <v>4.75</v>
      </c>
      <c r="K1705" s="41">
        <v>16699</v>
      </c>
      <c r="L1705" s="24">
        <v>62.5</v>
      </c>
      <c r="M1705" s="19">
        <v>106.3</v>
      </c>
    </row>
    <row r="1706" spans="1:13" x14ac:dyDescent="0.75">
      <c r="A1706" t="s">
        <v>31</v>
      </c>
      <c r="B1706" s="18">
        <v>2025</v>
      </c>
      <c r="C1706" s="4">
        <v>1</v>
      </c>
      <c r="D1706">
        <v>5</v>
      </c>
      <c r="E1706" s="33">
        <v>51.9</v>
      </c>
      <c r="F1706" s="19">
        <v>104.85</v>
      </c>
      <c r="G1706" s="26">
        <v>5</v>
      </c>
      <c r="H1706" s="19">
        <v>0.71</v>
      </c>
      <c r="I1706" s="19">
        <v>601.96699999999998</v>
      </c>
      <c r="J1706" s="40">
        <v>5.75</v>
      </c>
      <c r="K1706" s="41">
        <v>16262</v>
      </c>
      <c r="L1706" s="24">
        <v>79.3</v>
      </c>
      <c r="M1706" s="19">
        <v>104.2</v>
      </c>
    </row>
    <row r="1707" spans="1:13" x14ac:dyDescent="0.75">
      <c r="A1707" t="s">
        <v>31</v>
      </c>
      <c r="B1707" s="18">
        <v>2025</v>
      </c>
      <c r="C1707" s="4">
        <v>2</v>
      </c>
      <c r="D1707">
        <v>10</v>
      </c>
      <c r="E1707" s="33">
        <v>53.6</v>
      </c>
      <c r="F1707" s="19">
        <v>104.95</v>
      </c>
      <c r="G1707" s="26">
        <v>7.07</v>
      </c>
      <c r="H1707" s="19"/>
      <c r="I1707" s="19">
        <v>627.99900000000002</v>
      </c>
      <c r="J1707" s="40">
        <v>5.75</v>
      </c>
      <c r="K1707" s="41">
        <v>16338</v>
      </c>
      <c r="L1707" s="24">
        <v>75.400000000000006</v>
      </c>
      <c r="M1707" s="19">
        <v>104.3</v>
      </c>
    </row>
    <row r="1708" spans="1:13" x14ac:dyDescent="0.75">
      <c r="A1708" t="s">
        <v>31</v>
      </c>
      <c r="B1708" s="18">
        <v>2025</v>
      </c>
      <c r="C1708" s="4">
        <v>3</v>
      </c>
      <c r="D1708">
        <v>18</v>
      </c>
      <c r="E1708" s="33">
        <v>52.4</v>
      </c>
      <c r="F1708" s="19">
        <v>107.97</v>
      </c>
      <c r="G1708" s="26">
        <v>7.98</v>
      </c>
      <c r="H1708" s="19"/>
      <c r="I1708" s="19">
        <v>623.58500000000004</v>
      </c>
      <c r="J1708" s="40">
        <v>5.75</v>
      </c>
      <c r="K1708" s="41">
        <v>16456</v>
      </c>
      <c r="L1708" s="24">
        <v>72.7</v>
      </c>
      <c r="M1708" s="19">
        <v>105.1</v>
      </c>
    </row>
    <row r="1709" spans="1:13" x14ac:dyDescent="0.75">
      <c r="A1709" t="s">
        <v>31</v>
      </c>
      <c r="B1709" s="18">
        <v>2025</v>
      </c>
      <c r="C1709" s="4">
        <v>4</v>
      </c>
      <c r="D1709">
        <v>24</v>
      </c>
      <c r="E1709" s="33">
        <v>46.7</v>
      </c>
      <c r="F1709" s="19">
        <v>109.15</v>
      </c>
      <c r="G1709" s="26">
        <v>5.12</v>
      </c>
      <c r="H1709" s="19"/>
      <c r="I1709" s="19">
        <v>645.197</v>
      </c>
      <c r="J1709" s="40">
        <v>5.75</v>
      </c>
      <c r="K1709" s="41">
        <v>16820</v>
      </c>
      <c r="L1709" s="24">
        <v>68.099999999999994</v>
      </c>
      <c r="M1709" s="19">
        <v>105.1</v>
      </c>
    </row>
    <row r="1710" spans="1:13" x14ac:dyDescent="0.75">
      <c r="A1710" t="s">
        <v>31</v>
      </c>
      <c r="B1710" s="18">
        <v>2025</v>
      </c>
      <c r="C1710" s="4">
        <v>5</v>
      </c>
      <c r="D1710">
        <v>34</v>
      </c>
      <c r="E1710" s="33">
        <v>47.4</v>
      </c>
      <c r="F1710" s="19">
        <v>107.32</v>
      </c>
      <c r="G1710" s="26">
        <v>11.43</v>
      </c>
      <c r="H1710" s="19"/>
      <c r="I1710" s="19">
        <v>655.75400000000002</v>
      </c>
      <c r="J1710" s="40">
        <v>5.5</v>
      </c>
      <c r="K1710" s="41">
        <v>16441</v>
      </c>
      <c r="L1710" s="24">
        <v>64.5</v>
      </c>
      <c r="M1710" s="19">
        <v>104.6</v>
      </c>
    </row>
    <row r="1711" spans="1:13" x14ac:dyDescent="0.75">
      <c r="A1711" t="s">
        <v>31</v>
      </c>
      <c r="B1711" s="18">
        <v>2025</v>
      </c>
      <c r="C1711" s="4">
        <v>6</v>
      </c>
      <c r="D1711">
        <v>41</v>
      </c>
      <c r="E1711" s="33">
        <v>46.9</v>
      </c>
      <c r="F1711" s="19">
        <v>107.72</v>
      </c>
      <c r="G1711" s="26">
        <v>4</v>
      </c>
      <c r="H1711" s="19"/>
      <c r="I1711" s="19">
        <v>658.51499999999999</v>
      </c>
      <c r="J1711" s="40">
        <v>5.5</v>
      </c>
      <c r="K1711" s="41">
        <v>16311</v>
      </c>
      <c r="L1711" s="24">
        <v>71.400000000000006</v>
      </c>
      <c r="M1711" s="19">
        <v>104.7</v>
      </c>
    </row>
    <row r="1712" spans="1:13" x14ac:dyDescent="0.75">
      <c r="A1712" t="s">
        <v>31</v>
      </c>
      <c r="B1712" s="18">
        <v>2025</v>
      </c>
      <c r="C1712" s="4">
        <v>7</v>
      </c>
      <c r="D1712">
        <v>56</v>
      </c>
      <c r="E1712" s="33">
        <v>49.2</v>
      </c>
      <c r="F1712" s="19">
        <v>109.16</v>
      </c>
      <c r="G1712" s="26">
        <v>8.27</v>
      </c>
      <c r="H1712" s="19"/>
      <c r="I1712" s="19">
        <v>673.61699999999996</v>
      </c>
      <c r="J1712" s="40">
        <v>5.25</v>
      </c>
      <c r="K1712" s="41">
        <v>16276</v>
      </c>
      <c r="L1712" s="24">
        <v>71</v>
      </c>
      <c r="M1712" s="19">
        <v>105.2</v>
      </c>
    </row>
    <row r="1713" spans="1:13" x14ac:dyDescent="0.75">
      <c r="A1713" t="s">
        <v>31</v>
      </c>
      <c r="B1713" s="18">
        <v>2025</v>
      </c>
      <c r="C1713" s="4">
        <v>8</v>
      </c>
      <c r="D1713">
        <v>63</v>
      </c>
      <c r="E1713" s="33">
        <v>51.5</v>
      </c>
      <c r="F1713" s="19">
        <v>108.36</v>
      </c>
      <c r="G1713" s="26">
        <v>10.01</v>
      </c>
      <c r="H1713" s="19">
        <v>0.98</v>
      </c>
      <c r="I1713" s="19">
        <v>672.59799999999996</v>
      </c>
      <c r="J1713" s="40">
        <v>5</v>
      </c>
      <c r="K1713" s="41">
        <v>16309</v>
      </c>
      <c r="L1713" s="24">
        <v>67.900000000000006</v>
      </c>
      <c r="M1713" s="19">
        <v>105.2</v>
      </c>
    </row>
    <row r="1714" spans="1:13" x14ac:dyDescent="0.75">
      <c r="A1714" t="s">
        <v>31</v>
      </c>
      <c r="B1714" s="18">
        <v>2025</v>
      </c>
      <c r="C1714" s="4">
        <v>9</v>
      </c>
      <c r="D1714">
        <v>70</v>
      </c>
      <c r="E1714" s="33">
        <v>50.4</v>
      </c>
      <c r="F1714" s="19">
        <v>108.23</v>
      </c>
      <c r="G1714" s="26">
        <v>7.65</v>
      </c>
      <c r="H1714" s="19"/>
      <c r="I1714" s="19">
        <v>656.28099999999995</v>
      </c>
      <c r="J1714" s="40">
        <v>4.75</v>
      </c>
      <c r="K1714" s="41">
        <v>16512</v>
      </c>
      <c r="L1714" s="24">
        <v>68</v>
      </c>
      <c r="M1714" s="19">
        <v>105.3</v>
      </c>
    </row>
    <row r="1715" spans="1:13" x14ac:dyDescent="0.75">
      <c r="A1715" t="s">
        <v>31</v>
      </c>
      <c r="B1715" s="18">
        <v>2025</v>
      </c>
      <c r="C1715" s="4">
        <v>10</v>
      </c>
      <c r="D1715">
        <v>76</v>
      </c>
      <c r="E1715" s="33">
        <v>51.2</v>
      </c>
      <c r="F1715" s="19">
        <v>108.08</v>
      </c>
      <c r="G1715" s="26">
        <v>6.46</v>
      </c>
      <c r="H1715" s="19">
        <v>0.32</v>
      </c>
      <c r="I1715" s="19">
        <v>654.20600000000002</v>
      </c>
      <c r="J1715" s="40">
        <v>4.75</v>
      </c>
      <c r="K1715" s="41">
        <v>16607</v>
      </c>
      <c r="L1715" s="24">
        <v>64.5</v>
      </c>
      <c r="M1715" s="19">
        <v>105.5</v>
      </c>
    </row>
    <row r="1716" spans="1:13" x14ac:dyDescent="0.75">
      <c r="A1716" t="s">
        <v>31</v>
      </c>
      <c r="B1716" s="18">
        <v>2025</v>
      </c>
      <c r="C1716" s="4">
        <v>11</v>
      </c>
      <c r="D1716">
        <v>86</v>
      </c>
      <c r="E1716" s="33">
        <v>53.3</v>
      </c>
      <c r="F1716" s="19">
        <v>108.34</v>
      </c>
      <c r="G1716" s="26">
        <v>8.35</v>
      </c>
      <c r="H1716" s="19"/>
      <c r="I1716" s="19">
        <v>646.88</v>
      </c>
      <c r="J1716" s="40">
        <v>4.75</v>
      </c>
      <c r="K1716" s="41">
        <v>16703</v>
      </c>
      <c r="L1716" s="24">
        <v>63.8</v>
      </c>
      <c r="M1716" s="19">
        <v>105.4</v>
      </c>
    </row>
    <row r="1717" spans="1:13" x14ac:dyDescent="0.75">
      <c r="A1717" t="s">
        <v>31</v>
      </c>
      <c r="B1717" s="18">
        <v>2025</v>
      </c>
      <c r="C1717" s="4">
        <v>12</v>
      </c>
      <c r="D1717">
        <v>87</v>
      </c>
      <c r="E1717" s="33">
        <v>51.2</v>
      </c>
      <c r="F1717" s="19">
        <v>109.29</v>
      </c>
      <c r="G1717" s="26">
        <v>8.43</v>
      </c>
      <c r="H1717" s="19">
        <v>0.33</v>
      </c>
      <c r="I1717" s="19">
        <v>645.38900000000001</v>
      </c>
      <c r="J1717" s="40">
        <v>4.75</v>
      </c>
      <c r="K1717" s="41">
        <v>16699</v>
      </c>
      <c r="L1717" s="24">
        <v>62.5</v>
      </c>
      <c r="M1717" s="19">
        <v>106.3</v>
      </c>
    </row>
    <row r="1718" spans="1:13" x14ac:dyDescent="0.75">
      <c r="A1718" t="s">
        <v>32</v>
      </c>
      <c r="B1718" s="18">
        <v>2025</v>
      </c>
      <c r="C1718" s="4">
        <v>1</v>
      </c>
      <c r="D1718">
        <v>4</v>
      </c>
      <c r="E1718" s="33">
        <v>51.9</v>
      </c>
      <c r="F1718" s="29">
        <v>105.63</v>
      </c>
      <c r="G1718" s="19">
        <v>47.35</v>
      </c>
      <c r="H1718" s="19"/>
      <c r="I1718" s="19">
        <v>290.149</v>
      </c>
      <c r="J1718" s="40">
        <v>5.75</v>
      </c>
      <c r="K1718" s="41">
        <v>16262</v>
      </c>
      <c r="L1718" s="24">
        <v>79.3</v>
      </c>
      <c r="M1718" s="19">
        <v>104.2</v>
      </c>
    </row>
    <row r="1719" spans="1:13" x14ac:dyDescent="0.75">
      <c r="A1719" t="s">
        <v>32</v>
      </c>
      <c r="B1719" s="18">
        <v>2025</v>
      </c>
      <c r="C1719" s="4">
        <v>2</v>
      </c>
      <c r="D1719">
        <v>16</v>
      </c>
      <c r="E1719" s="33">
        <v>53.6</v>
      </c>
      <c r="F1719" s="29">
        <v>105.12</v>
      </c>
      <c r="G1719" s="19">
        <v>44.63</v>
      </c>
      <c r="H1719" s="19"/>
      <c r="I1719" s="19">
        <v>306.66399999999999</v>
      </c>
      <c r="J1719" s="40">
        <v>5.75</v>
      </c>
      <c r="K1719" s="41">
        <v>16338</v>
      </c>
      <c r="L1719" s="24">
        <v>75.400000000000006</v>
      </c>
      <c r="M1719" s="19">
        <v>104.3</v>
      </c>
    </row>
    <row r="1720" spans="1:13" x14ac:dyDescent="0.75">
      <c r="A1720" t="s">
        <v>32</v>
      </c>
      <c r="B1720" s="18">
        <v>2025</v>
      </c>
      <c r="C1720" s="4">
        <v>3</v>
      </c>
      <c r="D1720">
        <v>24</v>
      </c>
      <c r="E1720" s="33">
        <v>52.4</v>
      </c>
      <c r="F1720" s="29">
        <v>107.46</v>
      </c>
      <c r="G1720" s="19">
        <v>46.1</v>
      </c>
      <c r="H1720" s="19"/>
      <c r="I1720" s="19">
        <v>307.62</v>
      </c>
      <c r="J1720" s="40">
        <v>5.75</v>
      </c>
      <c r="K1720" s="41">
        <v>16456</v>
      </c>
      <c r="L1720" s="24">
        <v>72.7</v>
      </c>
      <c r="M1720" s="19">
        <v>105.1</v>
      </c>
    </row>
    <row r="1721" spans="1:13" x14ac:dyDescent="0.75">
      <c r="A1721" t="s">
        <v>32</v>
      </c>
      <c r="B1721" s="18">
        <v>2025</v>
      </c>
      <c r="C1721" s="4">
        <v>4</v>
      </c>
      <c r="D1721">
        <v>27</v>
      </c>
      <c r="E1721" s="33">
        <v>46.7</v>
      </c>
      <c r="F1721" s="29">
        <v>109.08</v>
      </c>
      <c r="G1721" s="19">
        <v>60.9</v>
      </c>
      <c r="H1721" s="19"/>
      <c r="I1721" s="19">
        <v>332.74900000000002</v>
      </c>
      <c r="J1721" s="40">
        <v>5.75</v>
      </c>
      <c r="K1721" s="41">
        <v>16820</v>
      </c>
      <c r="L1721" s="24">
        <v>68.099999999999994</v>
      </c>
      <c r="M1721" s="19">
        <v>105.1</v>
      </c>
    </row>
    <row r="1722" spans="1:13" x14ac:dyDescent="0.75">
      <c r="A1722" t="s">
        <v>32</v>
      </c>
      <c r="B1722" s="18">
        <v>2025</v>
      </c>
      <c r="C1722" s="4">
        <v>5</v>
      </c>
      <c r="D1722">
        <v>32</v>
      </c>
      <c r="E1722" s="33">
        <v>47.4</v>
      </c>
      <c r="F1722" s="29">
        <v>108.84</v>
      </c>
      <c r="G1722" s="19">
        <v>30.16</v>
      </c>
      <c r="H1722" s="19"/>
      <c r="I1722" s="19">
        <v>350.25900000000001</v>
      </c>
      <c r="J1722" s="40">
        <v>5.5</v>
      </c>
      <c r="K1722" s="41">
        <v>16441</v>
      </c>
      <c r="L1722" s="24">
        <v>64.5</v>
      </c>
      <c r="M1722" s="19">
        <v>104.6</v>
      </c>
    </row>
    <row r="1723" spans="1:13" x14ac:dyDescent="0.75">
      <c r="A1723" t="s">
        <v>32</v>
      </c>
      <c r="B1723" s="18">
        <v>2025</v>
      </c>
      <c r="C1723" s="4">
        <v>6</v>
      </c>
      <c r="D1723">
        <v>39</v>
      </c>
      <c r="E1723" s="33">
        <v>46.9</v>
      </c>
      <c r="F1723" s="29">
        <v>109.04</v>
      </c>
      <c r="G1723" s="19">
        <v>67.680000000000007</v>
      </c>
      <c r="H1723" s="19"/>
      <c r="I1723" s="19">
        <v>354.613</v>
      </c>
      <c r="J1723" s="40">
        <v>5.5</v>
      </c>
      <c r="K1723" s="41">
        <v>16311</v>
      </c>
      <c r="L1723" s="24">
        <v>71.400000000000006</v>
      </c>
      <c r="M1723" s="19">
        <v>104.7</v>
      </c>
    </row>
    <row r="1724" spans="1:13" x14ac:dyDescent="0.75">
      <c r="A1724" t="s">
        <v>32</v>
      </c>
      <c r="B1724" s="18">
        <v>2025</v>
      </c>
      <c r="C1724" s="4">
        <v>7</v>
      </c>
      <c r="D1724">
        <v>51</v>
      </c>
      <c r="E1724" s="33">
        <v>49.2</v>
      </c>
      <c r="F1724" s="29">
        <v>109.61</v>
      </c>
      <c r="G1724" s="19">
        <v>55.14</v>
      </c>
      <c r="H1724" s="19"/>
      <c r="I1724" s="19">
        <v>354.392</v>
      </c>
      <c r="J1724" s="40">
        <v>5.25</v>
      </c>
      <c r="K1724" s="41">
        <v>16276</v>
      </c>
      <c r="L1724" s="24">
        <v>71</v>
      </c>
      <c r="M1724" s="19">
        <v>105.2</v>
      </c>
    </row>
    <row r="1725" spans="1:13" x14ac:dyDescent="0.75">
      <c r="A1725" t="s">
        <v>32</v>
      </c>
      <c r="B1725" s="18">
        <v>2025</v>
      </c>
      <c r="C1725" s="4">
        <v>8</v>
      </c>
      <c r="D1725">
        <v>59</v>
      </c>
      <c r="E1725" s="33">
        <v>51.5</v>
      </c>
      <c r="F1725" s="29">
        <v>109.41</v>
      </c>
      <c r="G1725" s="19">
        <v>59.69</v>
      </c>
      <c r="H1725" s="19"/>
      <c r="I1725" s="19">
        <v>361.45</v>
      </c>
      <c r="J1725" s="40">
        <v>5</v>
      </c>
      <c r="K1725" s="41">
        <v>16309</v>
      </c>
      <c r="L1725" s="24">
        <v>67.900000000000006</v>
      </c>
      <c r="M1725" s="19">
        <v>105.2</v>
      </c>
    </row>
    <row r="1726" spans="1:13" x14ac:dyDescent="0.75">
      <c r="A1726" t="s">
        <v>32</v>
      </c>
      <c r="B1726" s="18">
        <v>2025</v>
      </c>
      <c r="C1726" s="4">
        <v>9</v>
      </c>
      <c r="D1726">
        <v>77</v>
      </c>
      <c r="E1726" s="33">
        <v>50.4</v>
      </c>
      <c r="F1726" s="29">
        <v>109.26</v>
      </c>
      <c r="G1726" s="19">
        <v>44.62</v>
      </c>
      <c r="H1726" s="19"/>
      <c r="I1726" s="19">
        <v>354.577</v>
      </c>
      <c r="J1726" s="40">
        <v>4.75</v>
      </c>
      <c r="K1726" s="41">
        <v>16512</v>
      </c>
      <c r="L1726" s="24">
        <v>68</v>
      </c>
      <c r="M1726" s="19">
        <v>105.3</v>
      </c>
    </row>
    <row r="1727" spans="1:13" x14ac:dyDescent="0.75">
      <c r="A1727" t="s">
        <v>32</v>
      </c>
      <c r="B1727" s="18">
        <v>2025</v>
      </c>
      <c r="C1727" s="4">
        <v>10</v>
      </c>
      <c r="D1727">
        <v>87</v>
      </c>
      <c r="E1727" s="33">
        <v>51.2</v>
      </c>
      <c r="F1727" s="29">
        <v>109.06</v>
      </c>
      <c r="G1727" s="19">
        <v>56.73</v>
      </c>
      <c r="H1727" s="19"/>
      <c r="I1727" s="19">
        <v>365.084</v>
      </c>
      <c r="J1727" s="40">
        <v>4.75</v>
      </c>
      <c r="K1727" s="41">
        <v>16607</v>
      </c>
      <c r="L1727" s="24">
        <v>64.5</v>
      </c>
      <c r="M1727" s="19">
        <v>105.5</v>
      </c>
    </row>
    <row r="1728" spans="1:13" x14ac:dyDescent="0.75">
      <c r="A1728" t="s">
        <v>32</v>
      </c>
      <c r="B1728" s="18">
        <v>2025</v>
      </c>
      <c r="C1728" s="4">
        <v>11</v>
      </c>
      <c r="D1728">
        <v>94</v>
      </c>
      <c r="E1728" s="33">
        <v>53.3</v>
      </c>
      <c r="F1728" s="29">
        <v>108.8</v>
      </c>
      <c r="G1728" s="19">
        <v>54.85</v>
      </c>
      <c r="H1728" s="19">
        <v>0.46</v>
      </c>
      <c r="I1728" s="19">
        <v>347.428</v>
      </c>
      <c r="J1728" s="40">
        <v>4.75</v>
      </c>
      <c r="K1728" s="41">
        <v>16703</v>
      </c>
      <c r="L1728" s="24">
        <v>63.8</v>
      </c>
      <c r="M1728" s="19">
        <v>105.4</v>
      </c>
    </row>
    <row r="1729" spans="1:13" x14ac:dyDescent="0.75">
      <c r="A1729" t="s">
        <v>32</v>
      </c>
      <c r="B1729" s="18">
        <v>2025</v>
      </c>
      <c r="C1729" s="4">
        <v>12</v>
      </c>
      <c r="D1729">
        <v>95</v>
      </c>
      <c r="E1729" s="33">
        <v>51.2</v>
      </c>
      <c r="F1729" s="29">
        <v>109.43</v>
      </c>
      <c r="G1729" s="19">
        <v>66.36</v>
      </c>
      <c r="H1729" s="19">
        <v>0.45</v>
      </c>
      <c r="I1729" s="19">
        <v>337.08199999999999</v>
      </c>
      <c r="J1729" s="40">
        <v>4.75</v>
      </c>
      <c r="K1729" s="41">
        <v>16699</v>
      </c>
      <c r="L1729" s="24">
        <v>62.5</v>
      </c>
      <c r="M1729" s="19">
        <v>106.3</v>
      </c>
    </row>
    <row r="1730" spans="1:13" x14ac:dyDescent="0.75">
      <c r="A1730" t="s">
        <v>33</v>
      </c>
      <c r="B1730" s="18">
        <v>2025</v>
      </c>
      <c r="C1730" s="4">
        <v>1</v>
      </c>
      <c r="D1730">
        <v>2</v>
      </c>
      <c r="E1730" s="33">
        <v>51.9</v>
      </c>
      <c r="F1730" s="19">
        <v>106.64</v>
      </c>
      <c r="G1730" s="19">
        <v>6.25</v>
      </c>
      <c r="H1730" s="19">
        <v>30.12</v>
      </c>
      <c r="I1730" s="19">
        <v>463.42</v>
      </c>
      <c r="J1730" s="40">
        <v>5.75</v>
      </c>
      <c r="K1730" s="41">
        <v>16262</v>
      </c>
      <c r="L1730" s="24">
        <v>79.3</v>
      </c>
      <c r="M1730" s="19">
        <v>104.2</v>
      </c>
    </row>
    <row r="1731" spans="1:13" x14ac:dyDescent="0.75">
      <c r="A1731" t="s">
        <v>33</v>
      </c>
      <c r="B1731" s="18">
        <v>2025</v>
      </c>
      <c r="C1731" s="4">
        <v>2</v>
      </c>
      <c r="D1731">
        <v>4</v>
      </c>
      <c r="E1731" s="33">
        <v>53.6</v>
      </c>
      <c r="F1731" s="19">
        <v>105.97</v>
      </c>
      <c r="G1731" s="19">
        <v>9.83</v>
      </c>
      <c r="H1731" s="19">
        <v>23.83</v>
      </c>
      <c r="I1731" s="19">
        <v>463.81599999999997</v>
      </c>
      <c r="J1731" s="40">
        <v>5.75</v>
      </c>
      <c r="K1731" s="41">
        <v>16338</v>
      </c>
      <c r="L1731" s="24">
        <v>75.400000000000006</v>
      </c>
      <c r="M1731" s="19">
        <v>104.3</v>
      </c>
    </row>
    <row r="1732" spans="1:13" x14ac:dyDescent="0.75">
      <c r="A1732" t="s">
        <v>33</v>
      </c>
      <c r="B1732" s="18">
        <v>2025</v>
      </c>
      <c r="C1732" s="4">
        <v>3</v>
      </c>
      <c r="D1732">
        <v>5</v>
      </c>
      <c r="E1732" s="33">
        <v>52.4</v>
      </c>
      <c r="F1732" s="19">
        <v>107.79</v>
      </c>
      <c r="G1732" s="19">
        <v>2.64</v>
      </c>
      <c r="H1732" s="19">
        <v>32.6</v>
      </c>
      <c r="I1732" s="19">
        <v>456.71699999999998</v>
      </c>
      <c r="J1732" s="40">
        <v>5.75</v>
      </c>
      <c r="K1732" s="41">
        <v>16456</v>
      </c>
      <c r="L1732" s="24">
        <v>72.7</v>
      </c>
      <c r="M1732" s="19">
        <v>105.1</v>
      </c>
    </row>
    <row r="1733" spans="1:13" x14ac:dyDescent="0.75">
      <c r="A1733" t="s">
        <v>33</v>
      </c>
      <c r="B1733" s="18">
        <v>2025</v>
      </c>
      <c r="C1733" s="4">
        <v>4</v>
      </c>
      <c r="D1733">
        <v>8</v>
      </c>
      <c r="E1733" s="33">
        <v>46.7</v>
      </c>
      <c r="F1733" s="19">
        <v>107.89</v>
      </c>
      <c r="G1733" s="19">
        <v>1.63</v>
      </c>
      <c r="H1733" s="19">
        <v>30.25</v>
      </c>
      <c r="I1733" s="19">
        <v>463.702</v>
      </c>
      <c r="J1733" s="40">
        <v>5.75</v>
      </c>
      <c r="K1733" s="41">
        <v>16820</v>
      </c>
      <c r="L1733" s="24">
        <v>68.099999999999994</v>
      </c>
      <c r="M1733" s="19">
        <v>105.1</v>
      </c>
    </row>
    <row r="1734" spans="1:13" x14ac:dyDescent="0.75">
      <c r="A1734" t="s">
        <v>33</v>
      </c>
      <c r="B1734" s="18">
        <v>2025</v>
      </c>
      <c r="C1734" s="4">
        <v>5</v>
      </c>
      <c r="D1734">
        <v>12</v>
      </c>
      <c r="E1734" s="33">
        <v>47.4</v>
      </c>
      <c r="F1734" s="19">
        <v>108.75</v>
      </c>
      <c r="G1734" s="19">
        <v>8.27</v>
      </c>
      <c r="H1734" s="19">
        <v>28.42</v>
      </c>
      <c r="I1734" s="19">
        <v>473.15899999999999</v>
      </c>
      <c r="J1734" s="40">
        <v>5.5</v>
      </c>
      <c r="K1734" s="41">
        <v>16441</v>
      </c>
      <c r="L1734" s="24">
        <v>64.5</v>
      </c>
      <c r="M1734" s="19">
        <v>104.6</v>
      </c>
    </row>
    <row r="1735" spans="1:13" x14ac:dyDescent="0.75">
      <c r="A1735" t="s">
        <v>33</v>
      </c>
      <c r="B1735" s="18">
        <v>2025</v>
      </c>
      <c r="C1735" s="4">
        <v>6</v>
      </c>
      <c r="D1735">
        <v>16</v>
      </c>
      <c r="E1735" s="33">
        <v>46.9</v>
      </c>
      <c r="F1735" s="19">
        <v>109.81</v>
      </c>
      <c r="G1735" s="19">
        <v>6.24</v>
      </c>
      <c r="H1735" s="19">
        <v>24.51</v>
      </c>
      <c r="I1735" s="19">
        <v>489.12700000000001</v>
      </c>
      <c r="J1735" s="40">
        <v>5.5</v>
      </c>
      <c r="K1735" s="41">
        <v>16311</v>
      </c>
      <c r="L1735" s="24">
        <v>71.400000000000006</v>
      </c>
      <c r="M1735" s="19">
        <v>104.7</v>
      </c>
    </row>
    <row r="1736" spans="1:13" x14ac:dyDescent="0.75">
      <c r="A1736" t="s">
        <v>33</v>
      </c>
      <c r="B1736" s="18">
        <v>2025</v>
      </c>
      <c r="C1736" s="4">
        <v>7</v>
      </c>
      <c r="D1736">
        <v>26</v>
      </c>
      <c r="E1736" s="33">
        <v>49.2</v>
      </c>
      <c r="F1736" s="19">
        <v>110.1</v>
      </c>
      <c r="G1736" s="19">
        <v>8.89</v>
      </c>
      <c r="H1736" s="19">
        <v>17.510000000000002</v>
      </c>
      <c r="I1736" s="19">
        <v>499.46699999999998</v>
      </c>
      <c r="J1736" s="40">
        <v>5.25</v>
      </c>
      <c r="K1736" s="41">
        <v>16276</v>
      </c>
      <c r="L1736" s="24">
        <v>71</v>
      </c>
      <c r="M1736" s="19">
        <v>105.2</v>
      </c>
    </row>
    <row r="1737" spans="1:13" x14ac:dyDescent="0.75">
      <c r="A1737" t="s">
        <v>33</v>
      </c>
      <c r="B1737" s="18">
        <v>2025</v>
      </c>
      <c r="C1737" s="4">
        <v>8</v>
      </c>
      <c r="D1737">
        <v>30</v>
      </c>
      <c r="E1737" s="33">
        <v>51.5</v>
      </c>
      <c r="F1737" s="19">
        <v>110</v>
      </c>
      <c r="G1737" s="19">
        <v>4.75</v>
      </c>
      <c r="H1737" s="19">
        <v>32.96</v>
      </c>
      <c r="I1737" s="19">
        <v>516.59299999999996</v>
      </c>
      <c r="J1737" s="40">
        <v>5</v>
      </c>
      <c r="K1737" s="41">
        <v>16309</v>
      </c>
      <c r="L1737" s="24">
        <v>67.900000000000006</v>
      </c>
      <c r="M1737" s="19">
        <v>105.2</v>
      </c>
    </row>
    <row r="1738" spans="1:13" x14ac:dyDescent="0.75">
      <c r="A1738" t="s">
        <v>33</v>
      </c>
      <c r="B1738" s="18">
        <v>2025</v>
      </c>
      <c r="C1738" s="4">
        <v>9</v>
      </c>
      <c r="D1738">
        <v>48</v>
      </c>
      <c r="E1738" s="33">
        <v>50.4</v>
      </c>
      <c r="F1738" s="19">
        <v>109.68</v>
      </c>
      <c r="G1738" s="19">
        <v>10.8</v>
      </c>
      <c r="H1738" s="19">
        <v>32.479999999999997</v>
      </c>
      <c r="I1738" s="19">
        <v>509.49</v>
      </c>
      <c r="J1738" s="40">
        <v>4.75</v>
      </c>
      <c r="K1738" s="41">
        <v>16512</v>
      </c>
      <c r="L1738" s="24">
        <v>68</v>
      </c>
      <c r="M1738" s="19">
        <v>105.3</v>
      </c>
    </row>
    <row r="1739" spans="1:13" x14ac:dyDescent="0.75">
      <c r="A1739" t="s">
        <v>33</v>
      </c>
      <c r="B1739" s="18">
        <v>2025</v>
      </c>
      <c r="C1739" s="4">
        <v>10</v>
      </c>
      <c r="D1739">
        <v>58</v>
      </c>
      <c r="E1739" s="33">
        <v>51.2</v>
      </c>
      <c r="F1739" s="19">
        <v>109.62</v>
      </c>
      <c r="G1739" s="19">
        <v>2.5299999999999998</v>
      </c>
      <c r="H1739" s="19">
        <v>21.87</v>
      </c>
      <c r="I1739" s="19">
        <v>514.971</v>
      </c>
      <c r="J1739" s="40">
        <v>4.75</v>
      </c>
      <c r="K1739" s="41">
        <v>16607</v>
      </c>
      <c r="L1739" s="24">
        <v>64.5</v>
      </c>
      <c r="M1739" s="19">
        <v>105.5</v>
      </c>
    </row>
    <row r="1740" spans="1:13" x14ac:dyDescent="0.75">
      <c r="A1740" t="s">
        <v>33</v>
      </c>
      <c r="B1740" s="18">
        <v>2025</v>
      </c>
      <c r="C1740" s="4">
        <v>11</v>
      </c>
      <c r="D1740">
        <v>85</v>
      </c>
      <c r="E1740" s="33">
        <v>53.3</v>
      </c>
      <c r="F1740" s="19">
        <v>109.93</v>
      </c>
      <c r="G1740" s="19">
        <v>7.61</v>
      </c>
      <c r="H1740" s="19">
        <v>31.47</v>
      </c>
      <c r="I1740" s="19">
        <v>551.18499999999995</v>
      </c>
      <c r="J1740" s="40">
        <v>4.75</v>
      </c>
      <c r="K1740" s="41">
        <v>16703</v>
      </c>
      <c r="L1740" s="24">
        <v>63.8</v>
      </c>
      <c r="M1740" s="19">
        <v>105.4</v>
      </c>
    </row>
    <row r="1741" spans="1:13" x14ac:dyDescent="0.75">
      <c r="A1741" t="s">
        <v>33</v>
      </c>
      <c r="B1741" s="18">
        <v>2025</v>
      </c>
      <c r="C1741" s="4">
        <v>12</v>
      </c>
      <c r="D1741">
        <v>85</v>
      </c>
      <c r="E1741" s="33">
        <v>51.2</v>
      </c>
      <c r="F1741" s="19">
        <v>110.82</v>
      </c>
      <c r="G1741" s="19">
        <v>18.600000000000001</v>
      </c>
      <c r="H1741" s="19">
        <v>53.05</v>
      </c>
      <c r="I1741" s="19">
        <v>504.32100000000003</v>
      </c>
      <c r="J1741" s="40">
        <v>4.75</v>
      </c>
      <c r="K1741" s="41">
        <v>16699</v>
      </c>
      <c r="L1741" s="24">
        <v>62.5</v>
      </c>
      <c r="M1741" s="19">
        <v>106.3</v>
      </c>
    </row>
    <row r="1742" spans="1:13" x14ac:dyDescent="0.75">
      <c r="A1742" t="s">
        <v>34</v>
      </c>
      <c r="B1742" s="18">
        <v>2025</v>
      </c>
      <c r="C1742" s="4">
        <v>1</v>
      </c>
      <c r="D1742">
        <v>4</v>
      </c>
      <c r="E1742" s="33">
        <v>51.9</v>
      </c>
      <c r="F1742" s="26">
        <v>106.53</v>
      </c>
      <c r="G1742" s="19">
        <v>1077.51</v>
      </c>
      <c r="H1742" s="19">
        <v>230.04</v>
      </c>
      <c r="I1742" s="19">
        <v>369.81</v>
      </c>
      <c r="J1742" s="40">
        <v>5.75</v>
      </c>
      <c r="K1742" s="41">
        <v>16262</v>
      </c>
      <c r="L1742" s="24">
        <v>79.3</v>
      </c>
      <c r="M1742" s="19">
        <v>104.2</v>
      </c>
    </row>
    <row r="1743" spans="1:13" x14ac:dyDescent="0.75">
      <c r="A1743" t="s">
        <v>34</v>
      </c>
      <c r="B1743" s="18">
        <v>2025</v>
      </c>
      <c r="C1743" s="4">
        <v>2</v>
      </c>
      <c r="D1743">
        <v>6</v>
      </c>
      <c r="E1743" s="33">
        <v>53.6</v>
      </c>
      <c r="F1743" s="26">
        <v>106.41</v>
      </c>
      <c r="G1743" s="19">
        <v>817.23</v>
      </c>
      <c r="H1743" s="19">
        <v>301.54000000000002</v>
      </c>
      <c r="I1743" s="19">
        <v>388.65699999999998</v>
      </c>
      <c r="J1743" s="40">
        <v>5.75</v>
      </c>
      <c r="K1743" s="41">
        <v>16338</v>
      </c>
      <c r="L1743" s="24">
        <v>75.400000000000006</v>
      </c>
      <c r="M1743" s="19">
        <v>104.3</v>
      </c>
    </row>
    <row r="1744" spans="1:13" x14ac:dyDescent="0.75">
      <c r="A1744" t="s">
        <v>34</v>
      </c>
      <c r="B1744" s="18">
        <v>2025</v>
      </c>
      <c r="C1744" s="4">
        <v>3</v>
      </c>
      <c r="D1744">
        <v>14</v>
      </c>
      <c r="E1744" s="33">
        <v>52.4</v>
      </c>
      <c r="F1744" s="26">
        <v>109.23</v>
      </c>
      <c r="G1744" s="19">
        <v>1293.83</v>
      </c>
      <c r="H1744" s="19">
        <v>608.66</v>
      </c>
      <c r="I1744" s="19">
        <v>409.19400000000002</v>
      </c>
      <c r="J1744" s="40">
        <v>5.75</v>
      </c>
      <c r="K1744" s="41">
        <v>16456</v>
      </c>
      <c r="L1744" s="24">
        <v>72.7</v>
      </c>
      <c r="M1744" s="19">
        <v>105.1</v>
      </c>
    </row>
    <row r="1745" spans="1:13" x14ac:dyDescent="0.75">
      <c r="A1745" t="s">
        <v>34</v>
      </c>
      <c r="B1745" s="18">
        <v>2025</v>
      </c>
      <c r="C1745" s="4">
        <v>4</v>
      </c>
      <c r="D1745">
        <v>23</v>
      </c>
      <c r="E1745" s="33">
        <v>46.7</v>
      </c>
      <c r="F1745" s="26">
        <v>110.68</v>
      </c>
      <c r="G1745" s="19">
        <v>1189.18</v>
      </c>
      <c r="H1745" s="19">
        <v>380.4</v>
      </c>
      <c r="I1745" s="19">
        <v>423.61900000000003</v>
      </c>
      <c r="J1745" s="40">
        <v>5.75</v>
      </c>
      <c r="K1745" s="41">
        <v>16820</v>
      </c>
      <c r="L1745" s="24">
        <v>68.099999999999994</v>
      </c>
      <c r="M1745" s="19">
        <v>105.1</v>
      </c>
    </row>
    <row r="1746" spans="1:13" x14ac:dyDescent="0.75">
      <c r="A1746" t="s">
        <v>34</v>
      </c>
      <c r="B1746" s="18">
        <v>2025</v>
      </c>
      <c r="C1746" s="4">
        <v>5</v>
      </c>
      <c r="D1746">
        <v>32</v>
      </c>
      <c r="E1746" s="33">
        <v>47.4</v>
      </c>
      <c r="F1746" s="26">
        <v>109.89</v>
      </c>
      <c r="G1746" s="19">
        <v>1503.68</v>
      </c>
      <c r="H1746" s="19">
        <v>561.99</v>
      </c>
      <c r="I1746" s="19">
        <v>439.18799999999999</v>
      </c>
      <c r="J1746" s="40">
        <v>5.5</v>
      </c>
      <c r="K1746" s="41">
        <v>16441</v>
      </c>
      <c r="L1746" s="24">
        <v>64.5</v>
      </c>
      <c r="M1746" s="19">
        <v>104.6</v>
      </c>
    </row>
    <row r="1747" spans="1:13" x14ac:dyDescent="0.75">
      <c r="A1747" t="s">
        <v>34</v>
      </c>
      <c r="B1747" s="18">
        <v>2025</v>
      </c>
      <c r="C1747" s="4">
        <v>6</v>
      </c>
      <c r="D1747">
        <v>38</v>
      </c>
      <c r="E1747" s="33">
        <v>46.9</v>
      </c>
      <c r="F1747" s="26">
        <v>110.19</v>
      </c>
      <c r="G1747" s="19">
        <v>1026.54</v>
      </c>
      <c r="H1747" s="19">
        <v>560.67999999999995</v>
      </c>
      <c r="I1747" s="19">
        <v>451.74200000000002</v>
      </c>
      <c r="J1747" s="40">
        <v>5.5</v>
      </c>
      <c r="K1747" s="41">
        <v>16311</v>
      </c>
      <c r="L1747" s="24">
        <v>71.400000000000006</v>
      </c>
      <c r="M1747" s="19">
        <v>104.7</v>
      </c>
    </row>
    <row r="1748" spans="1:13" x14ac:dyDescent="0.75">
      <c r="A1748" t="s">
        <v>34</v>
      </c>
      <c r="B1748" s="18">
        <v>2025</v>
      </c>
      <c r="C1748" s="4">
        <v>7</v>
      </c>
      <c r="D1748">
        <v>47</v>
      </c>
      <c r="E1748" s="33">
        <v>49.2</v>
      </c>
      <c r="F1748" s="26">
        <v>110.62</v>
      </c>
      <c r="G1748" s="19">
        <v>1286.74</v>
      </c>
      <c r="H1748" s="19">
        <v>618.42999999999995</v>
      </c>
      <c r="I1748" s="19">
        <v>480.53300000000002</v>
      </c>
      <c r="J1748" s="40">
        <v>5.25</v>
      </c>
      <c r="K1748" s="41">
        <v>16276</v>
      </c>
      <c r="L1748" s="24">
        <v>71</v>
      </c>
      <c r="M1748" s="19">
        <v>105.2</v>
      </c>
    </row>
    <row r="1749" spans="1:13" x14ac:dyDescent="0.75">
      <c r="A1749" t="s">
        <v>34</v>
      </c>
      <c r="B1749" s="18">
        <v>2025</v>
      </c>
      <c r="C1749" s="4">
        <v>8</v>
      </c>
      <c r="D1749">
        <v>58</v>
      </c>
      <c r="E1749" s="33">
        <v>51.5</v>
      </c>
      <c r="F1749" s="26">
        <v>108.52</v>
      </c>
      <c r="G1749" s="19">
        <v>1159.23</v>
      </c>
      <c r="H1749" s="19">
        <v>591.99</v>
      </c>
      <c r="I1749" s="19">
        <v>571.36</v>
      </c>
      <c r="J1749" s="40">
        <v>5</v>
      </c>
      <c r="K1749" s="41">
        <v>16309</v>
      </c>
      <c r="L1749" s="24">
        <v>67.900000000000006</v>
      </c>
      <c r="M1749" s="19">
        <v>105.2</v>
      </c>
    </row>
    <row r="1750" spans="1:13" x14ac:dyDescent="0.75">
      <c r="A1750" t="s">
        <v>34</v>
      </c>
      <c r="B1750" s="18">
        <v>2025</v>
      </c>
      <c r="C1750" s="4">
        <v>9</v>
      </c>
      <c r="D1750">
        <v>64</v>
      </c>
      <c r="E1750" s="33">
        <v>50.4</v>
      </c>
      <c r="F1750" s="26">
        <v>108.48</v>
      </c>
      <c r="G1750" s="19">
        <v>1412.48</v>
      </c>
      <c r="H1750" s="19">
        <v>531.24</v>
      </c>
      <c r="I1750" s="19">
        <v>692.56899999999996</v>
      </c>
      <c r="J1750" s="40">
        <v>4.75</v>
      </c>
      <c r="K1750" s="41">
        <v>16512</v>
      </c>
      <c r="L1750" s="24">
        <v>68</v>
      </c>
      <c r="M1750" s="19">
        <v>105.3</v>
      </c>
    </row>
    <row r="1751" spans="1:13" x14ac:dyDescent="0.75">
      <c r="A1751" t="s">
        <v>34</v>
      </c>
      <c r="B1751" s="18">
        <v>2025</v>
      </c>
      <c r="C1751" s="4">
        <v>10</v>
      </c>
      <c r="D1751">
        <v>70</v>
      </c>
      <c r="E1751" s="33">
        <v>51.2</v>
      </c>
      <c r="F1751" s="26">
        <v>108.79</v>
      </c>
      <c r="G1751" s="19">
        <v>1237.5999999999999</v>
      </c>
      <c r="H1751" s="19">
        <v>800.5</v>
      </c>
      <c r="I1751" s="19">
        <v>668.05100000000004</v>
      </c>
      <c r="J1751" s="40">
        <v>4.75</v>
      </c>
      <c r="K1751" s="41">
        <v>16607</v>
      </c>
      <c r="L1751" s="24">
        <v>64.5</v>
      </c>
      <c r="M1751" s="19">
        <v>105.5</v>
      </c>
    </row>
    <row r="1752" spans="1:13" x14ac:dyDescent="0.75">
      <c r="A1752" t="s">
        <v>34</v>
      </c>
      <c r="B1752" s="18">
        <v>2025</v>
      </c>
      <c r="C1752" s="4">
        <v>11</v>
      </c>
      <c r="D1752">
        <v>73</v>
      </c>
      <c r="E1752" s="33">
        <v>53.3</v>
      </c>
      <c r="F1752" s="26">
        <v>110.02</v>
      </c>
      <c r="G1752" s="19">
        <v>1202.43</v>
      </c>
      <c r="H1752" s="19">
        <v>524.53</v>
      </c>
      <c r="I1752" s="19">
        <v>638.08699999999999</v>
      </c>
      <c r="J1752" s="40">
        <v>4.75</v>
      </c>
      <c r="K1752" s="41">
        <v>16703</v>
      </c>
      <c r="L1752" s="24">
        <v>63.8</v>
      </c>
      <c r="M1752" s="19">
        <v>105.4</v>
      </c>
    </row>
    <row r="1753" spans="1:13" x14ac:dyDescent="0.75">
      <c r="A1753" t="s">
        <v>34</v>
      </c>
      <c r="B1753" s="18">
        <v>2025</v>
      </c>
      <c r="C1753" s="4">
        <v>12</v>
      </c>
      <c r="D1753">
        <v>73</v>
      </c>
      <c r="E1753" s="33">
        <v>51.2</v>
      </c>
      <c r="F1753" s="26">
        <v>110.08</v>
      </c>
      <c r="G1753" s="19">
        <v>1553.49</v>
      </c>
      <c r="H1753" s="19">
        <v>718.58</v>
      </c>
      <c r="I1753" s="19">
        <v>626.32399999999996</v>
      </c>
      <c r="J1753" s="40">
        <v>4.75</v>
      </c>
      <c r="K1753" s="41">
        <v>16699</v>
      </c>
      <c r="L1753" s="24">
        <v>62.5</v>
      </c>
      <c r="M1753" s="19">
        <v>106.3</v>
      </c>
    </row>
    <row r="1754" spans="1:13" x14ac:dyDescent="0.75">
      <c r="A1754" t="s">
        <v>35</v>
      </c>
      <c r="B1754" s="18">
        <v>2025</v>
      </c>
      <c r="C1754" s="4">
        <v>1</v>
      </c>
      <c r="D1754">
        <v>5</v>
      </c>
      <c r="E1754" s="33">
        <v>51.9</v>
      </c>
      <c r="F1754" s="19">
        <v>105.47</v>
      </c>
      <c r="G1754" s="3"/>
      <c r="H1754" s="26">
        <v>1.93</v>
      </c>
      <c r="I1754" s="19">
        <v>496.21100000000001</v>
      </c>
      <c r="J1754" s="40">
        <v>5.75</v>
      </c>
      <c r="K1754" s="41">
        <v>16262</v>
      </c>
      <c r="L1754" s="24">
        <v>79.3</v>
      </c>
      <c r="M1754" s="19">
        <v>104.2</v>
      </c>
    </row>
    <row r="1755" spans="1:13" x14ac:dyDescent="0.75">
      <c r="A1755" t="s">
        <v>35</v>
      </c>
      <c r="B1755" s="18">
        <v>2025</v>
      </c>
      <c r="C1755" s="4">
        <v>2</v>
      </c>
      <c r="D1755">
        <v>14</v>
      </c>
      <c r="E1755" s="33">
        <v>53.6</v>
      </c>
      <c r="F1755" s="19">
        <v>103.98</v>
      </c>
      <c r="G1755" s="3"/>
      <c r="H1755" s="26">
        <v>6.1</v>
      </c>
      <c r="I1755" s="19">
        <v>499.18700000000001</v>
      </c>
      <c r="J1755" s="40">
        <v>5.75</v>
      </c>
      <c r="K1755" s="41">
        <v>16338</v>
      </c>
      <c r="L1755" s="24">
        <v>75.400000000000006</v>
      </c>
      <c r="M1755" s="19">
        <v>104.3</v>
      </c>
    </row>
    <row r="1756" spans="1:13" x14ac:dyDescent="0.75">
      <c r="A1756" t="s">
        <v>35</v>
      </c>
      <c r="B1756" s="18">
        <v>2025</v>
      </c>
      <c r="C1756" s="4">
        <v>3</v>
      </c>
      <c r="D1756">
        <v>16</v>
      </c>
      <c r="E1756" s="33">
        <v>52.4</v>
      </c>
      <c r="F1756" s="19">
        <v>106.37</v>
      </c>
      <c r="G1756" s="3"/>
      <c r="H1756" s="26">
        <v>0.24</v>
      </c>
      <c r="I1756" s="19">
        <v>490.267</v>
      </c>
      <c r="J1756" s="40">
        <v>5.75</v>
      </c>
      <c r="K1756" s="41">
        <v>16456</v>
      </c>
      <c r="L1756" s="24">
        <v>72.7</v>
      </c>
      <c r="M1756" s="19">
        <v>105.1</v>
      </c>
    </row>
    <row r="1757" spans="1:13" x14ac:dyDescent="0.75">
      <c r="A1757" t="s">
        <v>35</v>
      </c>
      <c r="B1757" s="18">
        <v>2025</v>
      </c>
      <c r="C1757" s="4">
        <v>4</v>
      </c>
      <c r="D1757">
        <v>26</v>
      </c>
      <c r="E1757" s="33">
        <v>46.7</v>
      </c>
      <c r="F1757" s="19">
        <v>106.95</v>
      </c>
      <c r="G1757" s="3"/>
      <c r="H1757" s="26">
        <v>4.83</v>
      </c>
      <c r="I1757" s="19">
        <v>539.78300000000002</v>
      </c>
      <c r="J1757" s="40">
        <v>5.75</v>
      </c>
      <c r="K1757" s="41">
        <v>16820</v>
      </c>
      <c r="L1757" s="24">
        <v>68.099999999999994</v>
      </c>
      <c r="M1757" s="19">
        <v>105.1</v>
      </c>
    </row>
    <row r="1758" spans="1:13" x14ac:dyDescent="0.75">
      <c r="A1758" t="s">
        <v>35</v>
      </c>
      <c r="B1758" s="18">
        <v>2025</v>
      </c>
      <c r="C1758" s="4">
        <v>5</v>
      </c>
      <c r="D1758">
        <v>34</v>
      </c>
      <c r="E1758" s="33">
        <v>47.4</v>
      </c>
      <c r="F1758" s="19">
        <v>106.6</v>
      </c>
      <c r="G1758" s="3"/>
      <c r="H1758" s="26"/>
      <c r="I1758" s="19">
        <v>582.80700000000002</v>
      </c>
      <c r="J1758" s="40">
        <v>5.5</v>
      </c>
      <c r="K1758" s="41">
        <v>16441</v>
      </c>
      <c r="L1758" s="24">
        <v>64.5</v>
      </c>
      <c r="M1758" s="19">
        <v>104.6</v>
      </c>
    </row>
    <row r="1759" spans="1:13" x14ac:dyDescent="0.75">
      <c r="A1759" t="s">
        <v>35</v>
      </c>
      <c r="B1759" s="18">
        <v>2025</v>
      </c>
      <c r="C1759" s="4">
        <v>6</v>
      </c>
      <c r="D1759">
        <v>39</v>
      </c>
      <c r="E1759" s="33">
        <v>46.9</v>
      </c>
      <c r="F1759" s="19">
        <v>107.22</v>
      </c>
      <c r="G1759" s="3"/>
      <c r="H1759" s="26"/>
      <c r="I1759" s="19">
        <v>576.024</v>
      </c>
      <c r="J1759" s="40">
        <v>5.5</v>
      </c>
      <c r="K1759" s="41">
        <v>16311</v>
      </c>
      <c r="L1759" s="24">
        <v>71.400000000000006</v>
      </c>
      <c r="M1759" s="19">
        <v>104.7</v>
      </c>
    </row>
    <row r="1760" spans="1:13" x14ac:dyDescent="0.75">
      <c r="A1760" t="s">
        <v>35</v>
      </c>
      <c r="B1760" s="18">
        <v>2025</v>
      </c>
      <c r="C1760" s="4">
        <v>7</v>
      </c>
      <c r="D1760">
        <v>58</v>
      </c>
      <c r="E1760" s="33">
        <v>49.2</v>
      </c>
      <c r="F1760" s="19">
        <v>108.55</v>
      </c>
      <c r="G1760" s="3"/>
      <c r="H1760" s="26"/>
      <c r="I1760" s="19">
        <v>587.89499999999998</v>
      </c>
      <c r="J1760" s="40">
        <v>5.25</v>
      </c>
      <c r="K1760" s="41">
        <v>16276</v>
      </c>
      <c r="L1760" s="24">
        <v>71</v>
      </c>
      <c r="M1760" s="19">
        <v>105.2</v>
      </c>
    </row>
    <row r="1761" spans="1:13" x14ac:dyDescent="0.75">
      <c r="A1761" t="s">
        <v>35</v>
      </c>
      <c r="B1761" s="18">
        <v>2025</v>
      </c>
      <c r="C1761" s="4">
        <v>8</v>
      </c>
      <c r="D1761">
        <v>96</v>
      </c>
      <c r="E1761" s="33">
        <v>51.5</v>
      </c>
      <c r="F1761" s="19">
        <v>107.47</v>
      </c>
      <c r="G1761" s="3"/>
      <c r="H1761" s="26"/>
      <c r="I1761" s="19">
        <v>604.53399999999999</v>
      </c>
      <c r="J1761" s="40">
        <v>5</v>
      </c>
      <c r="K1761" s="41">
        <v>16309</v>
      </c>
      <c r="L1761" s="24">
        <v>67.900000000000006</v>
      </c>
      <c r="M1761" s="19">
        <v>105.2</v>
      </c>
    </row>
    <row r="1762" spans="1:13" x14ac:dyDescent="0.75">
      <c r="A1762" t="s">
        <v>35</v>
      </c>
      <c r="B1762" s="18">
        <v>2025</v>
      </c>
      <c r="C1762" s="4">
        <v>9</v>
      </c>
      <c r="D1762">
        <v>200</v>
      </c>
      <c r="E1762" s="33">
        <v>50.4</v>
      </c>
      <c r="F1762" s="19">
        <v>108.51</v>
      </c>
      <c r="G1762" s="3"/>
      <c r="H1762" s="26"/>
      <c r="I1762" s="19">
        <v>593.83399999999995</v>
      </c>
      <c r="J1762" s="40">
        <v>4.75</v>
      </c>
      <c r="K1762" s="41">
        <v>16512</v>
      </c>
      <c r="L1762" s="24">
        <v>68</v>
      </c>
      <c r="M1762" s="19">
        <v>105.3</v>
      </c>
    </row>
    <row r="1763" spans="1:13" x14ac:dyDescent="0.75">
      <c r="A1763" t="s">
        <v>35</v>
      </c>
      <c r="B1763" s="18">
        <v>2025</v>
      </c>
      <c r="C1763" s="4">
        <v>10</v>
      </c>
      <c r="D1763">
        <v>209</v>
      </c>
      <c r="E1763" s="33">
        <v>51.2</v>
      </c>
      <c r="F1763" s="19">
        <v>108.3</v>
      </c>
      <c r="G1763" s="3"/>
      <c r="H1763" s="26"/>
      <c r="I1763" s="19">
        <v>610.6</v>
      </c>
      <c r="J1763" s="40">
        <v>4.75</v>
      </c>
      <c r="K1763" s="41">
        <v>16607</v>
      </c>
      <c r="L1763" s="24">
        <v>64.5</v>
      </c>
      <c r="M1763" s="19">
        <v>105.5</v>
      </c>
    </row>
    <row r="1764" spans="1:13" x14ac:dyDescent="0.75">
      <c r="A1764" t="s">
        <v>35</v>
      </c>
      <c r="B1764" s="18">
        <v>2025</v>
      </c>
      <c r="C1764" s="4">
        <v>11</v>
      </c>
      <c r="D1764">
        <v>214</v>
      </c>
      <c r="E1764" s="33">
        <v>53.3</v>
      </c>
      <c r="F1764" s="19">
        <v>109</v>
      </c>
      <c r="G1764" s="3"/>
      <c r="H1764" s="26"/>
      <c r="I1764" s="19">
        <v>605.74400000000003</v>
      </c>
      <c r="J1764" s="40">
        <v>4.75</v>
      </c>
      <c r="K1764" s="41">
        <v>16703</v>
      </c>
      <c r="L1764" s="24">
        <v>63.8</v>
      </c>
      <c r="M1764" s="19">
        <v>105.4</v>
      </c>
    </row>
    <row r="1765" spans="1:13" x14ac:dyDescent="0.75">
      <c r="A1765" t="s">
        <v>35</v>
      </c>
      <c r="B1765" s="18">
        <v>2025</v>
      </c>
      <c r="C1765" s="4">
        <v>12</v>
      </c>
      <c r="D1765">
        <v>214</v>
      </c>
      <c r="E1765" s="33">
        <v>51.2</v>
      </c>
      <c r="F1765" s="19">
        <v>110.74</v>
      </c>
      <c r="G1765" s="3"/>
      <c r="H1765" s="26">
        <v>4.96</v>
      </c>
      <c r="I1765" s="19">
        <v>583.12</v>
      </c>
      <c r="J1765" s="40">
        <v>4.75</v>
      </c>
      <c r="K1765" s="41">
        <v>16699</v>
      </c>
      <c r="L1765" s="24">
        <v>62.5</v>
      </c>
      <c r="M1765" s="19">
        <v>106.3</v>
      </c>
    </row>
    <row r="1766" spans="1:13" x14ac:dyDescent="0.75">
      <c r="A1766" t="s">
        <v>36</v>
      </c>
      <c r="B1766" s="18">
        <v>2025</v>
      </c>
      <c r="C1766" s="4">
        <v>1</v>
      </c>
      <c r="D1766" t="s">
        <v>58</v>
      </c>
      <c r="E1766" s="33">
        <v>51.9</v>
      </c>
      <c r="F1766" s="29">
        <v>103.92</v>
      </c>
      <c r="G1766" s="26"/>
      <c r="H1766" s="19"/>
      <c r="I1766" s="3"/>
      <c r="J1766" s="40">
        <v>5.75</v>
      </c>
      <c r="K1766" s="41">
        <v>16262</v>
      </c>
      <c r="L1766" s="24">
        <v>79.3</v>
      </c>
      <c r="M1766" s="19">
        <v>104.2</v>
      </c>
    </row>
    <row r="1767" spans="1:13" x14ac:dyDescent="0.75">
      <c r="A1767" t="s">
        <v>36</v>
      </c>
      <c r="B1767" s="18">
        <v>2025</v>
      </c>
      <c r="C1767" s="4">
        <v>2</v>
      </c>
      <c r="D1767" t="s">
        <v>58</v>
      </c>
      <c r="E1767" s="33">
        <v>53.6</v>
      </c>
      <c r="F1767" s="29">
        <v>102.93</v>
      </c>
      <c r="G1767" s="26"/>
      <c r="H1767" s="19"/>
      <c r="I1767" s="3"/>
      <c r="J1767" s="40">
        <v>5.75</v>
      </c>
      <c r="K1767" s="41">
        <v>16338</v>
      </c>
      <c r="L1767" s="24">
        <v>75.400000000000006</v>
      </c>
      <c r="M1767" s="19">
        <v>104.3</v>
      </c>
    </row>
    <row r="1768" spans="1:13" x14ac:dyDescent="0.75">
      <c r="A1768" t="s">
        <v>36</v>
      </c>
      <c r="B1768" s="18">
        <v>2025</v>
      </c>
      <c r="C1768" s="4">
        <v>3</v>
      </c>
      <c r="D1768" t="s">
        <v>58</v>
      </c>
      <c r="E1768" s="33">
        <v>52.4</v>
      </c>
      <c r="F1768" s="29">
        <v>104.07</v>
      </c>
      <c r="G1768" s="26"/>
      <c r="H1768" s="19"/>
      <c r="I1768" s="3"/>
      <c r="J1768" s="40">
        <v>5.75</v>
      </c>
      <c r="K1768" s="41">
        <v>16456</v>
      </c>
      <c r="L1768" s="24">
        <v>72.7</v>
      </c>
      <c r="M1768" s="19">
        <v>105.1</v>
      </c>
    </row>
    <row r="1769" spans="1:13" x14ac:dyDescent="0.75">
      <c r="A1769" t="s">
        <v>36</v>
      </c>
      <c r="B1769" s="18">
        <v>2025</v>
      </c>
      <c r="C1769" s="4">
        <v>4</v>
      </c>
      <c r="D1769" t="s">
        <v>58</v>
      </c>
      <c r="E1769" s="33">
        <v>46.7</v>
      </c>
      <c r="F1769" s="29">
        <v>105.01</v>
      </c>
      <c r="G1769" s="26"/>
      <c r="H1769" s="19"/>
      <c r="I1769" s="3"/>
      <c r="J1769" s="40">
        <v>5.75</v>
      </c>
      <c r="K1769" s="41">
        <v>16820</v>
      </c>
      <c r="L1769" s="24">
        <v>68.099999999999994</v>
      </c>
      <c r="M1769" s="19">
        <v>105.1</v>
      </c>
    </row>
    <row r="1770" spans="1:13" x14ac:dyDescent="0.75">
      <c r="A1770" t="s">
        <v>36</v>
      </c>
      <c r="B1770" s="18">
        <v>2025</v>
      </c>
      <c r="C1770" s="4">
        <v>5</v>
      </c>
      <c r="D1770" t="s">
        <v>58</v>
      </c>
      <c r="E1770" s="33">
        <v>47.4</v>
      </c>
      <c r="F1770" s="29">
        <v>105.05</v>
      </c>
      <c r="G1770" s="26"/>
      <c r="H1770" s="19"/>
      <c r="I1770" s="3"/>
      <c r="J1770" s="40">
        <v>5.5</v>
      </c>
      <c r="K1770" s="41">
        <v>16441</v>
      </c>
      <c r="L1770" s="24">
        <v>64.5</v>
      </c>
      <c r="M1770" s="19">
        <v>104.6</v>
      </c>
    </row>
    <row r="1771" spans="1:13" x14ac:dyDescent="0.75">
      <c r="A1771" t="s">
        <v>36</v>
      </c>
      <c r="B1771" s="18">
        <v>2025</v>
      </c>
      <c r="C1771" s="4">
        <v>6</v>
      </c>
      <c r="D1771" t="s">
        <v>58</v>
      </c>
      <c r="E1771" s="33">
        <v>46.9</v>
      </c>
      <c r="F1771" s="29">
        <v>105.49</v>
      </c>
      <c r="G1771" s="26"/>
      <c r="H1771" s="19"/>
      <c r="I1771" s="3"/>
      <c r="J1771" s="40">
        <v>5.5</v>
      </c>
      <c r="K1771" s="41">
        <v>16311</v>
      </c>
      <c r="L1771" s="24">
        <v>71.400000000000006</v>
      </c>
      <c r="M1771" s="19">
        <v>104.7</v>
      </c>
    </row>
    <row r="1772" spans="1:13" x14ac:dyDescent="0.75">
      <c r="A1772" t="s">
        <v>36</v>
      </c>
      <c r="B1772" s="18">
        <v>2025</v>
      </c>
      <c r="C1772" s="4">
        <v>7</v>
      </c>
      <c r="D1772" t="s">
        <v>58</v>
      </c>
      <c r="E1772" s="33">
        <v>49.2</v>
      </c>
      <c r="F1772" s="29">
        <v>106.24</v>
      </c>
      <c r="G1772" s="26"/>
      <c r="H1772" s="19"/>
      <c r="I1772" s="3"/>
      <c r="J1772" s="40">
        <v>5.25</v>
      </c>
      <c r="K1772" s="41">
        <v>16276</v>
      </c>
      <c r="L1772" s="24">
        <v>71</v>
      </c>
      <c r="M1772" s="19">
        <v>105.2</v>
      </c>
    </row>
    <row r="1773" spans="1:13" x14ac:dyDescent="0.75">
      <c r="A1773" t="s">
        <v>36</v>
      </c>
      <c r="B1773" s="18">
        <v>2025</v>
      </c>
      <c r="C1773" s="4">
        <v>8</v>
      </c>
      <c r="D1773" t="s">
        <v>58</v>
      </c>
      <c r="E1773" s="33">
        <v>51.5</v>
      </c>
      <c r="F1773" s="29">
        <v>107.16</v>
      </c>
      <c r="G1773" s="26"/>
      <c r="H1773" s="19">
        <v>0.82</v>
      </c>
      <c r="I1773" s="3"/>
      <c r="J1773" s="40">
        <v>5</v>
      </c>
      <c r="K1773" s="41">
        <v>16309</v>
      </c>
      <c r="L1773" s="24">
        <v>67.900000000000006</v>
      </c>
      <c r="M1773" s="19">
        <v>105.2</v>
      </c>
    </row>
    <row r="1774" spans="1:13" x14ac:dyDescent="0.75">
      <c r="A1774" t="s">
        <v>36</v>
      </c>
      <c r="B1774" s="18">
        <v>2025</v>
      </c>
      <c r="C1774" s="4">
        <v>9</v>
      </c>
      <c r="D1774" t="s">
        <v>58</v>
      </c>
      <c r="E1774" s="33">
        <v>50.4</v>
      </c>
      <c r="F1774" s="29">
        <v>107.04</v>
      </c>
      <c r="G1774" s="26"/>
      <c r="H1774" s="19"/>
      <c r="I1774" s="3"/>
      <c r="J1774" s="40">
        <v>4.75</v>
      </c>
      <c r="K1774" s="41">
        <v>16512</v>
      </c>
      <c r="L1774" s="24">
        <v>68</v>
      </c>
      <c r="M1774" s="19">
        <v>105.3</v>
      </c>
    </row>
    <row r="1775" spans="1:13" x14ac:dyDescent="0.75">
      <c r="A1775" t="s">
        <v>36</v>
      </c>
      <c r="B1775" s="18">
        <v>2025</v>
      </c>
      <c r="C1775" s="4">
        <v>10</v>
      </c>
      <c r="D1775" t="s">
        <v>58</v>
      </c>
      <c r="E1775" s="33">
        <v>51.2</v>
      </c>
      <c r="F1775" s="29">
        <v>106.95</v>
      </c>
      <c r="G1775" s="26"/>
      <c r="H1775" s="19">
        <v>0</v>
      </c>
      <c r="I1775" s="3"/>
      <c r="J1775" s="40">
        <v>4.75</v>
      </c>
      <c r="K1775" s="41">
        <v>16607</v>
      </c>
      <c r="L1775" s="24">
        <v>64.5</v>
      </c>
      <c r="M1775" s="19">
        <v>105.5</v>
      </c>
    </row>
    <row r="1776" spans="1:13" x14ac:dyDescent="0.75">
      <c r="A1776" t="s">
        <v>36</v>
      </c>
      <c r="B1776" s="18">
        <v>2025</v>
      </c>
      <c r="C1776" s="4">
        <v>11</v>
      </c>
      <c r="D1776" t="s">
        <v>58</v>
      </c>
      <c r="E1776" s="33">
        <v>53.3</v>
      </c>
      <c r="F1776" s="29">
        <v>106.93</v>
      </c>
      <c r="G1776" s="26"/>
      <c r="H1776" s="19"/>
      <c r="I1776" s="3"/>
      <c r="J1776" s="40">
        <v>4.75</v>
      </c>
      <c r="K1776" s="41">
        <v>16703</v>
      </c>
      <c r="L1776" s="24">
        <v>63.8</v>
      </c>
      <c r="M1776" s="19">
        <v>105.4</v>
      </c>
    </row>
    <row r="1777" spans="1:13" x14ac:dyDescent="0.75">
      <c r="A1777" t="s">
        <v>36</v>
      </c>
      <c r="B1777" s="18">
        <v>2025</v>
      </c>
      <c r="C1777" s="4">
        <v>12</v>
      </c>
      <c r="D1777" t="s">
        <v>58</v>
      </c>
      <c r="E1777" s="33">
        <v>51.2</v>
      </c>
      <c r="F1777" s="29">
        <v>107.62</v>
      </c>
      <c r="G1777" s="26"/>
      <c r="H1777" s="19"/>
      <c r="I1777" s="3"/>
      <c r="J1777" s="40">
        <v>4.75</v>
      </c>
      <c r="K1777" s="41">
        <v>16699</v>
      </c>
      <c r="L1777" s="24">
        <v>62.5</v>
      </c>
      <c r="M1777" s="19">
        <v>106.3</v>
      </c>
    </row>
    <row r="1778" spans="1:13" x14ac:dyDescent="0.75">
      <c r="A1778" t="s">
        <v>37</v>
      </c>
      <c r="B1778" s="18">
        <v>2025</v>
      </c>
      <c r="C1778" s="4">
        <v>1</v>
      </c>
      <c r="D1778">
        <v>3</v>
      </c>
      <c r="E1778" s="33">
        <v>51.9</v>
      </c>
      <c r="F1778" s="29">
        <v>104.47</v>
      </c>
      <c r="G1778" s="19"/>
      <c r="H1778" s="19">
        <v>0.01</v>
      </c>
      <c r="I1778" s="19">
        <v>898.09699999999998</v>
      </c>
      <c r="J1778" s="40">
        <v>5.75</v>
      </c>
      <c r="K1778" s="41">
        <v>16262</v>
      </c>
      <c r="L1778" s="24">
        <v>79.3</v>
      </c>
      <c r="M1778" s="19">
        <v>104.2</v>
      </c>
    </row>
    <row r="1779" spans="1:13" x14ac:dyDescent="0.75">
      <c r="A1779" t="s">
        <v>37</v>
      </c>
      <c r="B1779" s="18">
        <v>2025</v>
      </c>
      <c r="C1779" s="4">
        <v>2</v>
      </c>
      <c r="D1779">
        <v>14</v>
      </c>
      <c r="E1779" s="33">
        <v>53.6</v>
      </c>
      <c r="F1779" s="29">
        <v>103.93</v>
      </c>
      <c r="G1779" s="19"/>
      <c r="H1779" s="19">
        <v>0</v>
      </c>
      <c r="I1779" s="19">
        <v>914.10799999999995</v>
      </c>
      <c r="J1779" s="40">
        <v>5.75</v>
      </c>
      <c r="K1779" s="41">
        <v>16338</v>
      </c>
      <c r="L1779" s="24">
        <v>75.400000000000006</v>
      </c>
      <c r="M1779" s="19">
        <v>104.3</v>
      </c>
    </row>
    <row r="1780" spans="1:13" x14ac:dyDescent="0.75">
      <c r="A1780" t="s">
        <v>37</v>
      </c>
      <c r="B1780" s="18">
        <v>2025</v>
      </c>
      <c r="C1780" s="4">
        <v>3</v>
      </c>
      <c r="D1780">
        <v>16</v>
      </c>
      <c r="E1780" s="33">
        <v>52.4</v>
      </c>
      <c r="F1780" s="29">
        <v>105.1</v>
      </c>
      <c r="G1780" s="19"/>
      <c r="H1780" s="19">
        <v>0.02</v>
      </c>
      <c r="I1780" s="19">
        <v>900.48299999999995</v>
      </c>
      <c r="J1780" s="40">
        <v>5.75</v>
      </c>
      <c r="K1780" s="41">
        <v>16456</v>
      </c>
      <c r="L1780" s="24">
        <v>72.7</v>
      </c>
      <c r="M1780" s="19">
        <v>105.1</v>
      </c>
    </row>
    <row r="1781" spans="1:13" x14ac:dyDescent="0.75">
      <c r="A1781" t="s">
        <v>37</v>
      </c>
      <c r="B1781" s="18">
        <v>2025</v>
      </c>
      <c r="C1781" s="4">
        <v>4</v>
      </c>
      <c r="D1781">
        <v>20</v>
      </c>
      <c r="E1781" s="33">
        <v>46.7</v>
      </c>
      <c r="F1781" s="29">
        <v>105.83</v>
      </c>
      <c r="G1781" s="19"/>
      <c r="H1781" s="19">
        <v>1.63</v>
      </c>
      <c r="I1781" s="19">
        <v>975.55200000000002</v>
      </c>
      <c r="J1781" s="40">
        <v>5.75</v>
      </c>
      <c r="K1781" s="41">
        <v>16820</v>
      </c>
      <c r="L1781" s="24">
        <v>68.099999999999994</v>
      </c>
      <c r="M1781" s="19">
        <v>105.1</v>
      </c>
    </row>
    <row r="1782" spans="1:13" x14ac:dyDescent="0.75">
      <c r="A1782" t="s">
        <v>37</v>
      </c>
      <c r="B1782" s="18">
        <v>2025</v>
      </c>
      <c r="C1782" s="4">
        <v>5</v>
      </c>
      <c r="D1782">
        <v>35</v>
      </c>
      <c r="E1782" s="33">
        <v>47.4</v>
      </c>
      <c r="F1782" s="29">
        <v>106.14</v>
      </c>
      <c r="G1782" s="19"/>
      <c r="H1782" s="19">
        <v>1.7</v>
      </c>
      <c r="I1782" s="19">
        <v>1009.524</v>
      </c>
      <c r="J1782" s="40">
        <v>5.5</v>
      </c>
      <c r="K1782" s="41">
        <v>16441</v>
      </c>
      <c r="L1782" s="24">
        <v>64.5</v>
      </c>
      <c r="M1782" s="19">
        <v>104.6</v>
      </c>
    </row>
    <row r="1783" spans="1:13" x14ac:dyDescent="0.75">
      <c r="A1783" t="s">
        <v>37</v>
      </c>
      <c r="B1783" s="18">
        <v>2025</v>
      </c>
      <c r="C1783" s="4">
        <v>6</v>
      </c>
      <c r="D1783">
        <v>63</v>
      </c>
      <c r="E1783" s="33">
        <v>46.9</v>
      </c>
      <c r="F1783" s="29">
        <v>106.24</v>
      </c>
      <c r="G1783" s="19"/>
      <c r="H1783" s="19">
        <v>0</v>
      </c>
      <c r="I1783" s="19">
        <v>1051.809</v>
      </c>
      <c r="J1783" s="40">
        <v>5.5</v>
      </c>
      <c r="K1783" s="41">
        <v>16311</v>
      </c>
      <c r="L1783" s="24">
        <v>71.400000000000006</v>
      </c>
      <c r="M1783" s="19">
        <v>104.7</v>
      </c>
    </row>
    <row r="1784" spans="1:13" x14ac:dyDescent="0.75">
      <c r="A1784" t="s">
        <v>37</v>
      </c>
      <c r="B1784" s="18">
        <v>2025</v>
      </c>
      <c r="C1784" s="4">
        <v>7</v>
      </c>
      <c r="D1784">
        <v>72</v>
      </c>
      <c r="E1784" s="33">
        <v>49.2</v>
      </c>
      <c r="F1784" s="29">
        <v>105.88</v>
      </c>
      <c r="G1784" s="19"/>
      <c r="H1784" s="19">
        <v>0.01</v>
      </c>
      <c r="I1784" s="19">
        <v>1072.08</v>
      </c>
      <c r="J1784" s="40">
        <v>5.25</v>
      </c>
      <c r="K1784" s="41">
        <v>16276</v>
      </c>
      <c r="L1784" s="24">
        <v>71</v>
      </c>
      <c r="M1784" s="19">
        <v>105.2</v>
      </c>
    </row>
    <row r="1785" spans="1:13" x14ac:dyDescent="0.75">
      <c r="A1785" t="s">
        <v>37</v>
      </c>
      <c r="B1785" s="18">
        <v>2025</v>
      </c>
      <c r="C1785" s="4">
        <v>8</v>
      </c>
      <c r="D1785">
        <v>77</v>
      </c>
      <c r="E1785" s="33">
        <v>51.5</v>
      </c>
      <c r="F1785" s="29">
        <v>104.9</v>
      </c>
      <c r="G1785" s="19"/>
      <c r="H1785" s="19">
        <v>0.78</v>
      </c>
      <c r="I1785" s="19">
        <v>1193.682</v>
      </c>
      <c r="J1785" s="40">
        <v>5</v>
      </c>
      <c r="K1785" s="41">
        <v>16309</v>
      </c>
      <c r="L1785" s="24">
        <v>67.900000000000006</v>
      </c>
      <c r="M1785" s="19">
        <v>105.2</v>
      </c>
    </row>
    <row r="1786" spans="1:13" x14ac:dyDescent="0.75">
      <c r="A1786" t="s">
        <v>37</v>
      </c>
      <c r="B1786" s="18">
        <v>2025</v>
      </c>
      <c r="C1786" s="4">
        <v>9</v>
      </c>
      <c r="D1786">
        <v>83</v>
      </c>
      <c r="E1786" s="33">
        <v>50.4</v>
      </c>
      <c r="F1786" s="29">
        <v>104.94</v>
      </c>
      <c r="G1786" s="19"/>
      <c r="H1786" s="19">
        <v>3.56</v>
      </c>
      <c r="I1786" s="19">
        <v>1149.4449999999999</v>
      </c>
      <c r="J1786" s="40">
        <v>4.75</v>
      </c>
      <c r="K1786" s="41">
        <v>16512</v>
      </c>
      <c r="L1786" s="24">
        <v>68</v>
      </c>
      <c r="M1786" s="19">
        <v>105.3</v>
      </c>
    </row>
    <row r="1787" spans="1:13" x14ac:dyDescent="0.75">
      <c r="A1787" t="s">
        <v>37</v>
      </c>
      <c r="B1787" s="18">
        <v>2025</v>
      </c>
      <c r="C1787" s="4">
        <v>10</v>
      </c>
      <c r="D1787">
        <v>87</v>
      </c>
      <c r="E1787" s="33">
        <v>51.2</v>
      </c>
      <c r="F1787" s="29">
        <v>104.69</v>
      </c>
      <c r="G1787" s="19"/>
      <c r="H1787" s="19">
        <v>0.02</v>
      </c>
      <c r="I1787" s="19">
        <v>1129.9670000000001</v>
      </c>
      <c r="J1787" s="40">
        <v>4.75</v>
      </c>
      <c r="K1787" s="41">
        <v>16607</v>
      </c>
      <c r="L1787" s="24">
        <v>64.5</v>
      </c>
      <c r="M1787" s="19">
        <v>105.5</v>
      </c>
    </row>
    <row r="1788" spans="1:13" x14ac:dyDescent="0.75">
      <c r="A1788" t="s">
        <v>37</v>
      </c>
      <c r="B1788" s="18">
        <v>2025</v>
      </c>
      <c r="C1788" s="4">
        <v>11</v>
      </c>
      <c r="D1788">
        <v>88</v>
      </c>
      <c r="E1788" s="33">
        <v>53.3</v>
      </c>
      <c r="F1788" s="29">
        <v>106.46</v>
      </c>
      <c r="G1788" s="19"/>
      <c r="H1788" s="19">
        <v>0</v>
      </c>
      <c r="I1788" s="19">
        <v>1110.2460000000001</v>
      </c>
      <c r="J1788" s="40">
        <v>4.75</v>
      </c>
      <c r="K1788" s="41">
        <v>16703</v>
      </c>
      <c r="L1788" s="24">
        <v>63.8</v>
      </c>
      <c r="M1788" s="19">
        <v>105.4</v>
      </c>
    </row>
    <row r="1789" spans="1:13" x14ac:dyDescent="0.75">
      <c r="A1789" t="s">
        <v>37</v>
      </c>
      <c r="B1789" s="18">
        <v>2025</v>
      </c>
      <c r="C1789" s="4">
        <v>12</v>
      </c>
      <c r="D1789">
        <v>88</v>
      </c>
      <c r="E1789" s="33">
        <v>51.2</v>
      </c>
      <c r="F1789" s="29">
        <v>108.34</v>
      </c>
      <c r="G1789" s="19"/>
      <c r="H1789" s="19">
        <v>0.91</v>
      </c>
      <c r="I1789" s="19">
        <v>1058.597</v>
      </c>
      <c r="J1789" s="40">
        <v>4.75</v>
      </c>
      <c r="K1789" s="41">
        <v>16699</v>
      </c>
      <c r="L1789" s="24">
        <v>62.5</v>
      </c>
      <c r="M1789" s="19">
        <v>106.3</v>
      </c>
    </row>
    <row r="1790" spans="1:13" x14ac:dyDescent="0.75">
      <c r="A1790" t="s">
        <v>38</v>
      </c>
      <c r="B1790" s="18">
        <v>2025</v>
      </c>
      <c r="C1790" s="4">
        <v>1</v>
      </c>
      <c r="D1790" t="s">
        <v>58</v>
      </c>
      <c r="E1790" s="33">
        <v>51.9</v>
      </c>
      <c r="F1790" s="26">
        <v>107.09</v>
      </c>
      <c r="G1790" s="19"/>
      <c r="H1790" s="19"/>
      <c r="I1790" s="3"/>
      <c r="J1790" s="40">
        <v>5.75</v>
      </c>
      <c r="K1790" s="41">
        <v>16262</v>
      </c>
      <c r="L1790" s="24">
        <v>79.3</v>
      </c>
      <c r="M1790" s="19">
        <v>104.2</v>
      </c>
    </row>
    <row r="1791" spans="1:13" x14ac:dyDescent="0.75">
      <c r="A1791" t="s">
        <v>38</v>
      </c>
      <c r="B1791" s="18">
        <v>2025</v>
      </c>
      <c r="C1791" s="4">
        <v>2</v>
      </c>
      <c r="D1791" t="s">
        <v>58</v>
      </c>
      <c r="E1791" s="33">
        <v>53.6</v>
      </c>
      <c r="F1791" s="26">
        <v>107.03</v>
      </c>
      <c r="G1791" s="19"/>
      <c r="H1791" s="19"/>
      <c r="I1791" s="3"/>
      <c r="J1791" s="40">
        <v>5.75</v>
      </c>
      <c r="K1791" s="41">
        <v>16338</v>
      </c>
      <c r="L1791" s="24">
        <v>75.400000000000006</v>
      </c>
      <c r="M1791" s="19">
        <v>104.3</v>
      </c>
    </row>
    <row r="1792" spans="1:13" x14ac:dyDescent="0.75">
      <c r="A1792" t="s">
        <v>38</v>
      </c>
      <c r="B1792" s="18">
        <v>2025</v>
      </c>
      <c r="C1792" s="4">
        <v>3</v>
      </c>
      <c r="D1792" t="s">
        <v>58</v>
      </c>
      <c r="E1792" s="33">
        <v>52.4</v>
      </c>
      <c r="F1792" s="26">
        <v>109.38</v>
      </c>
      <c r="G1792" s="19"/>
      <c r="H1792" s="19"/>
      <c r="I1792" s="3"/>
      <c r="J1792" s="40">
        <v>5.75</v>
      </c>
      <c r="K1792" s="41">
        <v>16456</v>
      </c>
      <c r="L1792" s="24">
        <v>72.7</v>
      </c>
      <c r="M1792" s="19">
        <v>105.1</v>
      </c>
    </row>
    <row r="1793" spans="1:13" x14ac:dyDescent="0.75">
      <c r="A1793" t="s">
        <v>38</v>
      </c>
      <c r="B1793" s="18">
        <v>2025</v>
      </c>
      <c r="C1793" s="4">
        <v>4</v>
      </c>
      <c r="D1793" t="s">
        <v>58</v>
      </c>
      <c r="E1793" s="33">
        <v>46.7</v>
      </c>
      <c r="F1793" s="26">
        <v>110.69</v>
      </c>
      <c r="G1793" s="19"/>
      <c r="H1793" s="19"/>
      <c r="I1793" s="3"/>
      <c r="J1793" s="40">
        <v>5.75</v>
      </c>
      <c r="K1793" s="41">
        <v>16820</v>
      </c>
      <c r="L1793" s="24">
        <v>68.099999999999994</v>
      </c>
      <c r="M1793" s="19">
        <v>105.1</v>
      </c>
    </row>
    <row r="1794" spans="1:13" x14ac:dyDescent="0.75">
      <c r="A1794" t="s">
        <v>38</v>
      </c>
      <c r="B1794" s="18">
        <v>2025</v>
      </c>
      <c r="C1794" s="4">
        <v>5</v>
      </c>
      <c r="D1794" t="s">
        <v>58</v>
      </c>
      <c r="E1794" s="33">
        <v>47.4</v>
      </c>
      <c r="F1794" s="26">
        <v>111.4</v>
      </c>
      <c r="G1794" s="19"/>
      <c r="H1794" s="19"/>
      <c r="I1794" s="3"/>
      <c r="J1794" s="40">
        <v>5.5</v>
      </c>
      <c r="K1794" s="41">
        <v>16441</v>
      </c>
      <c r="L1794" s="24">
        <v>64.5</v>
      </c>
      <c r="M1794" s="19">
        <v>104.6</v>
      </c>
    </row>
    <row r="1795" spans="1:13" x14ac:dyDescent="0.75">
      <c r="A1795" t="s">
        <v>38</v>
      </c>
      <c r="B1795" s="18">
        <v>2025</v>
      </c>
      <c r="C1795" s="4">
        <v>6</v>
      </c>
      <c r="D1795" t="s">
        <v>58</v>
      </c>
      <c r="E1795" s="33">
        <v>46.9</v>
      </c>
      <c r="F1795" s="26">
        <v>111.03</v>
      </c>
      <c r="G1795" s="19"/>
      <c r="H1795" s="19"/>
      <c r="I1795" s="3"/>
      <c r="J1795" s="40">
        <v>5.5</v>
      </c>
      <c r="K1795" s="41">
        <v>16311</v>
      </c>
      <c r="L1795" s="24">
        <v>71.400000000000006</v>
      </c>
      <c r="M1795" s="19">
        <v>104.7</v>
      </c>
    </row>
    <row r="1796" spans="1:13" x14ac:dyDescent="0.75">
      <c r="A1796" t="s">
        <v>38</v>
      </c>
      <c r="B1796" s="18">
        <v>2025</v>
      </c>
      <c r="C1796" s="4">
        <v>7</v>
      </c>
      <c r="D1796" t="s">
        <v>58</v>
      </c>
      <c r="E1796" s="33">
        <v>49.2</v>
      </c>
      <c r="F1796" s="26">
        <v>112.63</v>
      </c>
      <c r="G1796" s="19"/>
      <c r="H1796" s="19"/>
      <c r="I1796" s="3"/>
      <c r="J1796" s="40">
        <v>5.25</v>
      </c>
      <c r="K1796" s="41">
        <v>16276</v>
      </c>
      <c r="L1796" s="24">
        <v>71</v>
      </c>
      <c r="M1796" s="19">
        <v>105.2</v>
      </c>
    </row>
    <row r="1797" spans="1:13" x14ac:dyDescent="0.75">
      <c r="A1797" t="s">
        <v>38</v>
      </c>
      <c r="B1797" s="18">
        <v>2025</v>
      </c>
      <c r="C1797" s="4">
        <v>8</v>
      </c>
      <c r="D1797" t="s">
        <v>58</v>
      </c>
      <c r="E1797" s="33">
        <v>51.5</v>
      </c>
      <c r="F1797" s="26">
        <v>111.13</v>
      </c>
      <c r="G1797" s="19"/>
      <c r="H1797" s="19"/>
      <c r="I1797" s="3"/>
      <c r="J1797" s="40">
        <v>5</v>
      </c>
      <c r="K1797" s="41">
        <v>16309</v>
      </c>
      <c r="L1797" s="24">
        <v>67.900000000000006</v>
      </c>
      <c r="M1797" s="19">
        <v>105.2</v>
      </c>
    </row>
    <row r="1798" spans="1:13" x14ac:dyDescent="0.75">
      <c r="A1798" t="s">
        <v>38</v>
      </c>
      <c r="B1798" s="18">
        <v>2025</v>
      </c>
      <c r="C1798" s="4">
        <v>9</v>
      </c>
      <c r="D1798" t="s">
        <v>58</v>
      </c>
      <c r="E1798" s="33">
        <v>50.4</v>
      </c>
      <c r="F1798" s="26">
        <v>109.93</v>
      </c>
      <c r="G1798" s="19"/>
      <c r="H1798" s="19"/>
      <c r="I1798" s="3"/>
      <c r="J1798" s="40">
        <v>4.75</v>
      </c>
      <c r="K1798" s="41">
        <v>16512</v>
      </c>
      <c r="L1798" s="24">
        <v>68</v>
      </c>
      <c r="M1798" s="19">
        <v>105.3</v>
      </c>
    </row>
    <row r="1799" spans="1:13" x14ac:dyDescent="0.75">
      <c r="A1799" t="s">
        <v>38</v>
      </c>
      <c r="B1799" s="18">
        <v>2025</v>
      </c>
      <c r="C1799" s="4">
        <v>10</v>
      </c>
      <c r="D1799" t="s">
        <v>58</v>
      </c>
      <c r="E1799" s="33">
        <v>51.2</v>
      </c>
      <c r="F1799" s="26">
        <v>109.95</v>
      </c>
      <c r="G1799" s="19"/>
      <c r="H1799" s="19"/>
      <c r="I1799" s="3"/>
      <c r="J1799" s="40">
        <v>4.75</v>
      </c>
      <c r="K1799" s="41">
        <v>16607</v>
      </c>
      <c r="L1799" s="24">
        <v>64.5</v>
      </c>
      <c r="M1799" s="19">
        <v>105.5</v>
      </c>
    </row>
    <row r="1800" spans="1:13" x14ac:dyDescent="0.75">
      <c r="A1800" t="s">
        <v>38</v>
      </c>
      <c r="B1800" s="18">
        <v>2025</v>
      </c>
      <c r="C1800" s="4">
        <v>11</v>
      </c>
      <c r="D1800" t="s">
        <v>58</v>
      </c>
      <c r="E1800" s="33">
        <v>53.3</v>
      </c>
      <c r="F1800" s="26">
        <v>110.19</v>
      </c>
      <c r="G1800" s="19"/>
      <c r="H1800" s="19"/>
      <c r="I1800" s="3"/>
      <c r="J1800" s="40">
        <v>4.75</v>
      </c>
      <c r="K1800" s="41">
        <v>16703</v>
      </c>
      <c r="L1800" s="24">
        <v>63.8</v>
      </c>
      <c r="M1800" s="19">
        <v>105.4</v>
      </c>
    </row>
    <row r="1801" spans="1:13" x14ac:dyDescent="0.75">
      <c r="A1801" t="s">
        <v>38</v>
      </c>
      <c r="B1801" s="18">
        <v>2025</v>
      </c>
      <c r="C1801" s="4">
        <v>12</v>
      </c>
      <c r="D1801" t="s">
        <v>58</v>
      </c>
      <c r="E1801" s="33">
        <v>51.2</v>
      </c>
      <c r="F1801" s="26">
        <v>111.08</v>
      </c>
      <c r="G1801" s="19"/>
      <c r="H1801" s="19"/>
      <c r="I1801" s="3"/>
      <c r="J1801" s="40">
        <v>4.75</v>
      </c>
      <c r="K1801" s="41">
        <v>16699</v>
      </c>
      <c r="L1801" s="24">
        <v>62.5</v>
      </c>
      <c r="M1801" s="19">
        <v>106.3</v>
      </c>
    </row>
    <row r="1802" spans="1:13" x14ac:dyDescent="0.75">
      <c r="A1802" t="s">
        <v>39</v>
      </c>
      <c r="B1802" s="18">
        <v>2025</v>
      </c>
      <c r="C1802" s="4">
        <v>1</v>
      </c>
      <c r="D1802" t="s">
        <v>58</v>
      </c>
      <c r="E1802" s="33">
        <v>51.9</v>
      </c>
      <c r="F1802" s="24">
        <v>108.67</v>
      </c>
      <c r="G1802" s="19"/>
      <c r="H1802" s="19">
        <v>12.27</v>
      </c>
      <c r="I1802" s="3"/>
      <c r="J1802" s="40">
        <v>5.75</v>
      </c>
      <c r="K1802" s="41">
        <v>16262</v>
      </c>
      <c r="L1802" s="24">
        <v>79.3</v>
      </c>
      <c r="M1802" s="19">
        <v>104.2</v>
      </c>
    </row>
    <row r="1803" spans="1:13" x14ac:dyDescent="0.75">
      <c r="A1803" t="s">
        <v>39</v>
      </c>
      <c r="B1803" s="18">
        <v>2025</v>
      </c>
      <c r="C1803" s="4">
        <v>2</v>
      </c>
      <c r="D1803" t="s">
        <v>58</v>
      </c>
      <c r="E1803" s="33">
        <v>53.6</v>
      </c>
      <c r="F1803" s="24">
        <v>108.56</v>
      </c>
      <c r="G1803" s="19"/>
      <c r="H1803" s="19">
        <v>28.05</v>
      </c>
      <c r="I1803" s="3"/>
      <c r="J1803" s="40">
        <v>5.75</v>
      </c>
      <c r="K1803" s="41">
        <v>16338</v>
      </c>
      <c r="L1803" s="24">
        <v>75.400000000000006</v>
      </c>
      <c r="M1803" s="19">
        <v>104.3</v>
      </c>
    </row>
    <row r="1804" spans="1:13" x14ac:dyDescent="0.75">
      <c r="A1804" t="s">
        <v>39</v>
      </c>
      <c r="B1804" s="18">
        <v>2025</v>
      </c>
      <c r="C1804" s="4">
        <v>3</v>
      </c>
      <c r="D1804" t="s">
        <v>58</v>
      </c>
      <c r="E1804" s="33">
        <v>52.4</v>
      </c>
      <c r="F1804" s="24">
        <v>111.38</v>
      </c>
      <c r="G1804" s="19"/>
      <c r="H1804" s="19">
        <v>16.22</v>
      </c>
      <c r="I1804" s="3"/>
      <c r="J1804" s="40">
        <v>5.75</v>
      </c>
      <c r="K1804" s="41">
        <v>16456</v>
      </c>
      <c r="L1804" s="24">
        <v>72.7</v>
      </c>
      <c r="M1804" s="19">
        <v>105.1</v>
      </c>
    </row>
    <row r="1805" spans="1:13" x14ac:dyDescent="0.75">
      <c r="A1805" t="s">
        <v>39</v>
      </c>
      <c r="B1805" s="18">
        <v>2025</v>
      </c>
      <c r="C1805" s="4">
        <v>4</v>
      </c>
      <c r="D1805" t="s">
        <v>58</v>
      </c>
      <c r="E1805" s="33">
        <v>46.7</v>
      </c>
      <c r="F1805" s="24">
        <v>112.73</v>
      </c>
      <c r="G1805" s="19"/>
      <c r="H1805" s="19">
        <v>24.64</v>
      </c>
      <c r="I1805" s="3"/>
      <c r="J1805" s="40">
        <v>5.75</v>
      </c>
      <c r="K1805" s="41">
        <v>16820</v>
      </c>
      <c r="L1805" s="24">
        <v>68.099999999999994</v>
      </c>
      <c r="M1805" s="19">
        <v>105.1</v>
      </c>
    </row>
    <row r="1806" spans="1:13" x14ac:dyDescent="0.75">
      <c r="A1806" t="s">
        <v>39</v>
      </c>
      <c r="B1806" s="18">
        <v>2025</v>
      </c>
      <c r="C1806" s="4">
        <v>5</v>
      </c>
      <c r="D1806" t="s">
        <v>58</v>
      </c>
      <c r="E1806" s="33">
        <v>47.4</v>
      </c>
      <c r="F1806" s="24">
        <v>112.74</v>
      </c>
      <c r="G1806" s="19"/>
      <c r="H1806" s="19">
        <v>22.71</v>
      </c>
      <c r="I1806" s="3"/>
      <c r="J1806" s="40">
        <v>5.5</v>
      </c>
      <c r="K1806" s="41">
        <v>16441</v>
      </c>
      <c r="L1806" s="24">
        <v>64.5</v>
      </c>
      <c r="M1806" s="19">
        <v>104.6</v>
      </c>
    </row>
    <row r="1807" spans="1:13" x14ac:dyDescent="0.75">
      <c r="A1807" t="s">
        <v>39</v>
      </c>
      <c r="B1807" s="18">
        <v>2025</v>
      </c>
      <c r="C1807" s="4">
        <v>6</v>
      </c>
      <c r="D1807" t="s">
        <v>58</v>
      </c>
      <c r="E1807" s="33">
        <v>46.9</v>
      </c>
      <c r="F1807" s="24">
        <v>112.62</v>
      </c>
      <c r="G1807" s="19"/>
      <c r="H1807" s="19">
        <v>31.29</v>
      </c>
      <c r="I1807" s="3"/>
      <c r="J1807" s="40">
        <v>5.5</v>
      </c>
      <c r="K1807" s="41">
        <v>16311</v>
      </c>
      <c r="L1807" s="24">
        <v>71.400000000000006</v>
      </c>
      <c r="M1807" s="19">
        <v>104.7</v>
      </c>
    </row>
    <row r="1808" spans="1:13" x14ac:dyDescent="0.75">
      <c r="A1808" t="s">
        <v>39</v>
      </c>
      <c r="B1808" s="18">
        <v>2025</v>
      </c>
      <c r="C1808" s="4">
        <v>7</v>
      </c>
      <c r="D1808" t="s">
        <v>58</v>
      </c>
      <c r="E1808" s="33">
        <v>49.2</v>
      </c>
      <c r="F1808" s="24">
        <v>113.37</v>
      </c>
      <c r="G1808" s="19"/>
      <c r="H1808" s="19">
        <v>26.39</v>
      </c>
      <c r="I1808" s="3"/>
      <c r="J1808" s="40">
        <v>5.25</v>
      </c>
      <c r="K1808" s="41">
        <v>16276</v>
      </c>
      <c r="L1808" s="24">
        <v>71</v>
      </c>
      <c r="M1808" s="19">
        <v>105.2</v>
      </c>
    </row>
    <row r="1809" spans="1:13" x14ac:dyDescent="0.75">
      <c r="A1809" t="s">
        <v>39</v>
      </c>
      <c r="B1809" s="18">
        <v>2025</v>
      </c>
      <c r="C1809" s="4">
        <v>8</v>
      </c>
      <c r="D1809" t="s">
        <v>58</v>
      </c>
      <c r="E1809" s="33">
        <v>51.5</v>
      </c>
      <c r="F1809" s="24">
        <v>111.97</v>
      </c>
      <c r="G1809" s="19"/>
      <c r="H1809" s="19">
        <v>29.55</v>
      </c>
      <c r="I1809" s="3"/>
      <c r="J1809" s="40">
        <v>5</v>
      </c>
      <c r="K1809" s="41">
        <v>16309</v>
      </c>
      <c r="L1809" s="24">
        <v>67.900000000000006</v>
      </c>
      <c r="M1809" s="19">
        <v>105.2</v>
      </c>
    </row>
    <row r="1810" spans="1:13" x14ac:dyDescent="0.75">
      <c r="A1810" t="s">
        <v>39</v>
      </c>
      <c r="B1810" s="18">
        <v>2025</v>
      </c>
      <c r="C1810" s="4">
        <v>9</v>
      </c>
      <c r="D1810" t="s">
        <v>58</v>
      </c>
      <c r="E1810" s="33">
        <v>50.4</v>
      </c>
      <c r="F1810" s="24">
        <v>111.94</v>
      </c>
      <c r="G1810" s="19"/>
      <c r="H1810" s="19">
        <v>30.71</v>
      </c>
      <c r="I1810" s="3"/>
      <c r="J1810" s="40">
        <v>4.75</v>
      </c>
      <c r="K1810" s="41">
        <v>16512</v>
      </c>
      <c r="L1810" s="24">
        <v>68</v>
      </c>
      <c r="M1810" s="19">
        <v>105.3</v>
      </c>
    </row>
    <row r="1811" spans="1:13" x14ac:dyDescent="0.75">
      <c r="A1811" t="s">
        <v>39</v>
      </c>
      <c r="B1811" s="18">
        <v>2025</v>
      </c>
      <c r="C1811" s="4">
        <v>10</v>
      </c>
      <c r="D1811" t="s">
        <v>58</v>
      </c>
      <c r="E1811" s="33">
        <v>51.2</v>
      </c>
      <c r="F1811" s="24">
        <v>112.3</v>
      </c>
      <c r="G1811" s="19"/>
      <c r="H1811" s="19">
        <v>23.49</v>
      </c>
      <c r="I1811" s="3"/>
      <c r="J1811" s="40">
        <v>4.75</v>
      </c>
      <c r="K1811" s="41">
        <v>16607</v>
      </c>
      <c r="L1811" s="24">
        <v>64.5</v>
      </c>
      <c r="M1811" s="19">
        <v>105.5</v>
      </c>
    </row>
    <row r="1812" spans="1:13" x14ac:dyDescent="0.75">
      <c r="A1812" t="s">
        <v>39</v>
      </c>
      <c r="B1812" s="18">
        <v>2025</v>
      </c>
      <c r="C1812" s="4">
        <v>11</v>
      </c>
      <c r="D1812" t="s">
        <v>58</v>
      </c>
      <c r="E1812" s="33">
        <v>53.3</v>
      </c>
      <c r="F1812" s="24">
        <v>113.18</v>
      </c>
      <c r="G1812" s="19"/>
      <c r="H1812" s="19">
        <v>27.49</v>
      </c>
      <c r="I1812" s="3"/>
      <c r="J1812" s="40">
        <v>4.75</v>
      </c>
      <c r="K1812" s="41">
        <v>16703</v>
      </c>
      <c r="L1812" s="24">
        <v>63.8</v>
      </c>
      <c r="M1812" s="19">
        <v>105.4</v>
      </c>
    </row>
    <row r="1813" spans="1:13" x14ac:dyDescent="0.75">
      <c r="A1813" t="s">
        <v>39</v>
      </c>
      <c r="B1813" s="18">
        <v>2025</v>
      </c>
      <c r="C1813" s="4">
        <v>12</v>
      </c>
      <c r="D1813" t="s">
        <v>58</v>
      </c>
      <c r="E1813" s="33">
        <v>51.2</v>
      </c>
      <c r="F1813" s="24">
        <v>114.27</v>
      </c>
      <c r="G1813" s="19"/>
      <c r="H1813" s="19">
        <v>23.75</v>
      </c>
      <c r="I1813" s="3"/>
      <c r="J1813" s="40">
        <v>4.75</v>
      </c>
      <c r="K1813" s="41">
        <v>16699</v>
      </c>
      <c r="L1813" s="24">
        <v>62.5</v>
      </c>
      <c r="M1813" s="19">
        <v>106.3</v>
      </c>
    </row>
    <row r="1814" spans="1:13" x14ac:dyDescent="0.75">
      <c r="A1814" t="s">
        <v>40</v>
      </c>
      <c r="B1814" s="18">
        <v>2025</v>
      </c>
      <c r="C1814" s="4">
        <v>1</v>
      </c>
      <c r="D1814" t="s">
        <v>58</v>
      </c>
      <c r="E1814" s="33">
        <v>51.9</v>
      </c>
      <c r="F1814" s="23">
        <v>112.06</v>
      </c>
      <c r="G1814" s="3"/>
      <c r="H1814" s="3"/>
      <c r="I1814" s="3"/>
      <c r="J1814" s="40">
        <v>5.75</v>
      </c>
      <c r="K1814" s="41">
        <v>16262</v>
      </c>
      <c r="L1814" s="24">
        <v>79.3</v>
      </c>
      <c r="M1814" s="19">
        <v>104.2</v>
      </c>
    </row>
    <row r="1815" spans="1:13" x14ac:dyDescent="0.75">
      <c r="A1815" t="s">
        <v>40</v>
      </c>
      <c r="B1815" s="18">
        <v>2025</v>
      </c>
      <c r="C1815" s="4">
        <v>2</v>
      </c>
      <c r="D1815" t="s">
        <v>58</v>
      </c>
      <c r="E1815" s="33">
        <v>53.6</v>
      </c>
      <c r="F1815" s="23">
        <v>115.17</v>
      </c>
      <c r="G1815" s="3"/>
      <c r="H1815" s="3"/>
      <c r="I1815" s="3"/>
      <c r="J1815" s="40">
        <v>5.75</v>
      </c>
      <c r="K1815" s="41">
        <v>16338</v>
      </c>
      <c r="L1815" s="24">
        <v>75.400000000000006</v>
      </c>
      <c r="M1815" s="19">
        <v>104.3</v>
      </c>
    </row>
    <row r="1816" spans="1:13" x14ac:dyDescent="0.75">
      <c r="A1816" t="s">
        <v>40</v>
      </c>
      <c r="B1816" s="18">
        <v>2025</v>
      </c>
      <c r="C1816" s="4">
        <v>3</v>
      </c>
      <c r="D1816" t="s">
        <v>58</v>
      </c>
      <c r="E1816" s="33">
        <v>52.4</v>
      </c>
      <c r="F1816" s="23">
        <v>115.26</v>
      </c>
      <c r="G1816" s="3"/>
      <c r="H1816" s="3"/>
      <c r="I1816" s="3"/>
      <c r="J1816" s="40">
        <v>5.75</v>
      </c>
      <c r="K1816" s="41">
        <v>16456</v>
      </c>
      <c r="L1816" s="24">
        <v>72.7</v>
      </c>
      <c r="M1816" s="19">
        <v>105.1</v>
      </c>
    </row>
    <row r="1817" spans="1:13" x14ac:dyDescent="0.75">
      <c r="A1817" t="s">
        <v>40</v>
      </c>
      <c r="B1817" s="18">
        <v>2025</v>
      </c>
      <c r="C1817" s="4">
        <v>4</v>
      </c>
      <c r="D1817" t="s">
        <v>58</v>
      </c>
      <c r="E1817" s="33">
        <v>46.7</v>
      </c>
      <c r="F1817" s="23">
        <v>114.22</v>
      </c>
      <c r="G1817" s="3"/>
      <c r="H1817" s="3"/>
      <c r="I1817" s="3"/>
      <c r="J1817" s="40">
        <v>5.75</v>
      </c>
      <c r="K1817" s="41">
        <v>16820</v>
      </c>
      <c r="L1817" s="24">
        <v>68.099999999999994</v>
      </c>
      <c r="M1817" s="19">
        <v>105.1</v>
      </c>
    </row>
    <row r="1818" spans="1:13" x14ac:dyDescent="0.75">
      <c r="A1818" t="s">
        <v>40</v>
      </c>
      <c r="B1818" s="18">
        <v>2025</v>
      </c>
      <c r="C1818" s="4">
        <v>5</v>
      </c>
      <c r="D1818" t="s">
        <v>58</v>
      </c>
      <c r="E1818" s="33">
        <v>47.4</v>
      </c>
      <c r="F1818" s="23">
        <v>115.26</v>
      </c>
      <c r="G1818" s="3"/>
      <c r="H1818" s="3"/>
      <c r="I1818" s="3"/>
      <c r="J1818" s="40">
        <v>5.5</v>
      </c>
      <c r="K1818" s="41">
        <v>16441</v>
      </c>
      <c r="L1818" s="24">
        <v>64.5</v>
      </c>
      <c r="M1818" s="19">
        <v>104.6</v>
      </c>
    </row>
    <row r="1819" spans="1:13" x14ac:dyDescent="0.75">
      <c r="A1819" t="s">
        <v>40</v>
      </c>
      <c r="B1819" s="18">
        <v>2025</v>
      </c>
      <c r="C1819" s="4">
        <v>6</v>
      </c>
      <c r="D1819" t="s">
        <v>58</v>
      </c>
      <c r="E1819" s="33">
        <v>46.9</v>
      </c>
      <c r="F1819" s="23">
        <v>113.53</v>
      </c>
      <c r="G1819" s="3"/>
      <c r="H1819" s="3"/>
      <c r="I1819" s="3"/>
      <c r="J1819" s="40">
        <v>5.5</v>
      </c>
      <c r="K1819" s="41">
        <v>16311</v>
      </c>
      <c r="L1819" s="24">
        <v>71.400000000000006</v>
      </c>
      <c r="M1819" s="19">
        <v>104.7</v>
      </c>
    </row>
    <row r="1820" spans="1:13" x14ac:dyDescent="0.75">
      <c r="A1820" t="s">
        <v>40</v>
      </c>
      <c r="B1820" s="18">
        <v>2025</v>
      </c>
      <c r="C1820" s="4">
        <v>7</v>
      </c>
      <c r="D1820" t="s">
        <v>58</v>
      </c>
      <c r="E1820" s="33">
        <v>49.2</v>
      </c>
      <c r="F1820" s="23">
        <v>115.4</v>
      </c>
      <c r="G1820" s="3"/>
      <c r="H1820" s="3"/>
      <c r="I1820" s="3"/>
      <c r="J1820" s="40">
        <v>5.25</v>
      </c>
      <c r="K1820" s="41">
        <v>16276</v>
      </c>
      <c r="L1820" s="24">
        <v>71</v>
      </c>
      <c r="M1820" s="19">
        <v>105.2</v>
      </c>
    </row>
    <row r="1821" spans="1:13" x14ac:dyDescent="0.75">
      <c r="A1821" t="s">
        <v>40</v>
      </c>
      <c r="B1821" s="18">
        <v>2025</v>
      </c>
      <c r="C1821" s="4">
        <v>8</v>
      </c>
      <c r="D1821" t="s">
        <v>58</v>
      </c>
      <c r="E1821" s="33">
        <v>51.5</v>
      </c>
      <c r="F1821" s="23">
        <v>114.89</v>
      </c>
      <c r="G1821" s="3"/>
      <c r="H1821" s="3"/>
      <c r="I1821" s="3"/>
      <c r="J1821" s="40">
        <v>5</v>
      </c>
      <c r="K1821" s="41">
        <v>16309</v>
      </c>
      <c r="L1821" s="24">
        <v>67.900000000000006</v>
      </c>
      <c r="M1821" s="19">
        <v>105.2</v>
      </c>
    </row>
    <row r="1822" spans="1:13" x14ac:dyDescent="0.75">
      <c r="A1822" t="s">
        <v>40</v>
      </c>
      <c r="B1822" s="18">
        <v>2025</v>
      </c>
      <c r="C1822" s="4">
        <v>9</v>
      </c>
      <c r="D1822" t="s">
        <v>58</v>
      </c>
      <c r="E1822" s="33">
        <v>50.4</v>
      </c>
      <c r="F1822" s="23">
        <v>114.03</v>
      </c>
      <c r="G1822" s="3"/>
      <c r="H1822" s="3"/>
      <c r="I1822" s="3"/>
      <c r="J1822" s="40">
        <v>4.75</v>
      </c>
      <c r="K1822" s="41">
        <v>16512</v>
      </c>
      <c r="L1822" s="24">
        <v>68</v>
      </c>
      <c r="M1822" s="19">
        <v>105.3</v>
      </c>
    </row>
    <row r="1823" spans="1:13" x14ac:dyDescent="0.75">
      <c r="A1823" t="s">
        <v>40</v>
      </c>
      <c r="B1823" s="18">
        <v>2025</v>
      </c>
      <c r="C1823" s="4">
        <v>10</v>
      </c>
      <c r="D1823" t="s">
        <v>58</v>
      </c>
      <c r="E1823" s="33">
        <v>51.2</v>
      </c>
      <c r="F1823" s="23">
        <v>112.98</v>
      </c>
      <c r="G1823" s="3"/>
      <c r="H1823" s="3"/>
      <c r="I1823" s="3"/>
      <c r="J1823" s="40">
        <v>4.75</v>
      </c>
      <c r="K1823" s="41">
        <v>16607</v>
      </c>
      <c r="L1823" s="24">
        <v>64.5</v>
      </c>
      <c r="M1823" s="19">
        <v>105.5</v>
      </c>
    </row>
    <row r="1824" spans="1:13" x14ac:dyDescent="0.75">
      <c r="A1824" t="s">
        <v>40</v>
      </c>
      <c r="B1824" s="18">
        <v>2025</v>
      </c>
      <c r="C1824" s="4">
        <v>11</v>
      </c>
      <c r="D1824" t="s">
        <v>58</v>
      </c>
      <c r="E1824" s="33">
        <v>53.3</v>
      </c>
      <c r="F1824" s="23">
        <v>113.61</v>
      </c>
      <c r="G1824" s="3"/>
      <c r="H1824" s="3"/>
      <c r="I1824" s="3"/>
      <c r="J1824" s="40">
        <v>4.75</v>
      </c>
      <c r="K1824" s="41">
        <v>16703</v>
      </c>
      <c r="L1824" s="24">
        <v>63.8</v>
      </c>
      <c r="M1824" s="19">
        <v>105.4</v>
      </c>
    </row>
    <row r="1825" spans="1:13" x14ac:dyDescent="0.75">
      <c r="A1825" t="s">
        <v>40</v>
      </c>
      <c r="B1825" s="18">
        <v>2025</v>
      </c>
      <c r="C1825" s="4">
        <v>12</v>
      </c>
      <c r="D1825" t="s">
        <v>58</v>
      </c>
      <c r="E1825" s="33">
        <v>51.2</v>
      </c>
      <c r="F1825" s="23">
        <v>115.4</v>
      </c>
      <c r="G1825" s="3"/>
      <c r="H1825" s="3"/>
      <c r="I1825" s="3"/>
      <c r="J1825" s="40">
        <v>4.75</v>
      </c>
      <c r="K1825" s="41">
        <v>16699</v>
      </c>
      <c r="L1825" s="24">
        <v>62.5</v>
      </c>
      <c r="M1825" s="19">
        <v>106.3</v>
      </c>
    </row>
    <row r="1826" spans="1:13" x14ac:dyDescent="0.75">
      <c r="B1826" s="18"/>
      <c r="C1826" s="4"/>
      <c r="E1826" s="33"/>
      <c r="F1826" s="23"/>
      <c r="G1826" s="3"/>
      <c r="H1826" s="3"/>
      <c r="I1826" s="3"/>
      <c r="J1826" s="40"/>
      <c r="K1826" s="41"/>
      <c r="L1826" s="24"/>
      <c r="M1826" s="19"/>
    </row>
    <row r="1827" spans="1:13" x14ac:dyDescent="0.75">
      <c r="B1827" s="18"/>
      <c r="C1827" s="4"/>
      <c r="E1827" s="33"/>
      <c r="F1827" s="23"/>
      <c r="G1827" s="3"/>
      <c r="H1827" s="3"/>
      <c r="I1827" s="3"/>
      <c r="J1827" s="40"/>
      <c r="K1827" s="41"/>
      <c r="L1827" s="24"/>
      <c r="M1827" s="19"/>
    </row>
    <row r="1828" spans="1:13" x14ac:dyDescent="0.75">
      <c r="B1828" s="18"/>
      <c r="C1828" s="4"/>
      <c r="E1828" s="33"/>
      <c r="F1828" s="23"/>
      <c r="G1828" s="3"/>
      <c r="H1828" s="3"/>
      <c r="I1828" s="3"/>
      <c r="J1828" s="40"/>
      <c r="K1828" s="41"/>
      <c r="L1828" s="24"/>
      <c r="M1828" s="19"/>
    </row>
    <row r="1829" spans="1:13" x14ac:dyDescent="0.75">
      <c r="B1829" s="18"/>
      <c r="C1829" s="4"/>
      <c r="E1829" s="33"/>
      <c r="F1829" s="23"/>
      <c r="G1829" s="3"/>
      <c r="H1829" s="3"/>
      <c r="I1829" s="3"/>
      <c r="J1829" s="40"/>
      <c r="K1829" s="41"/>
      <c r="L1829" s="24"/>
      <c r="M1829" s="19"/>
    </row>
    <row r="1830" spans="1:13" x14ac:dyDescent="0.75">
      <c r="B1830" s="18"/>
      <c r="C1830" s="4"/>
      <c r="E1830" s="33"/>
      <c r="F1830" s="23"/>
      <c r="G1830" s="3"/>
      <c r="H1830" s="3"/>
      <c r="I1830" s="3"/>
      <c r="J1830" s="40"/>
      <c r="K1830" s="41"/>
      <c r="L1830" s="24"/>
      <c r="M1830" s="19"/>
    </row>
    <row r="1831" spans="1:13" x14ac:dyDescent="0.75">
      <c r="B1831" s="18"/>
      <c r="C1831" s="4"/>
      <c r="E1831" s="33"/>
      <c r="F1831" s="23"/>
      <c r="G1831" s="3"/>
      <c r="H1831" s="3"/>
      <c r="I1831" s="3"/>
      <c r="J1831" s="40"/>
      <c r="K1831" s="41"/>
      <c r="L1831" s="24"/>
      <c r="M1831" s="19"/>
    </row>
    <row r="1832" spans="1:13" x14ac:dyDescent="0.75">
      <c r="B1832" s="18"/>
      <c r="C1832" s="4"/>
      <c r="E1832" s="33"/>
      <c r="F1832" s="23"/>
      <c r="G1832" s="3"/>
      <c r="H1832" s="3"/>
      <c r="I1832" s="3"/>
      <c r="J1832" s="40"/>
      <c r="K1832" s="41"/>
      <c r="L1832" s="24"/>
      <c r="M1832" s="19"/>
    </row>
    <row r="1833" spans="1:13" x14ac:dyDescent="0.75">
      <c r="B1833" s="18"/>
      <c r="C1833" s="4"/>
      <c r="E1833" s="33"/>
      <c r="F1833" s="23"/>
      <c r="G1833" s="3"/>
      <c r="H1833" s="3"/>
      <c r="I1833" s="3"/>
      <c r="J1833" s="40"/>
      <c r="K1833" s="41"/>
      <c r="L1833" s="24"/>
      <c r="M1833" s="19"/>
    </row>
    <row r="1834" spans="1:13" x14ac:dyDescent="0.75">
      <c r="B1834" s="18"/>
      <c r="C1834" s="4"/>
      <c r="E1834" s="33"/>
      <c r="F1834" s="23"/>
      <c r="G1834" s="3"/>
      <c r="H1834" s="3"/>
      <c r="I1834" s="3"/>
      <c r="J1834" s="40"/>
      <c r="K1834" s="41"/>
      <c r="L1834" s="24"/>
      <c r="M1834" s="19"/>
    </row>
    <row r="1835" spans="1:13" x14ac:dyDescent="0.75">
      <c r="B1835" s="18"/>
      <c r="C1835" s="4"/>
      <c r="E1835" s="33"/>
      <c r="F1835" s="23"/>
      <c r="G1835" s="3"/>
      <c r="H1835" s="3"/>
      <c r="I1835" s="3"/>
      <c r="J1835" s="40"/>
      <c r="K1835" s="41"/>
      <c r="L1835" s="24"/>
      <c r="M1835" s="19"/>
    </row>
    <row r="1836" spans="1:13" x14ac:dyDescent="0.75">
      <c r="B1836" s="18"/>
      <c r="C1836" s="4"/>
      <c r="E1836" s="33"/>
      <c r="F1836" s="23"/>
      <c r="G1836" s="3"/>
      <c r="H1836" s="3"/>
      <c r="I1836" s="3"/>
      <c r="J1836" s="40"/>
      <c r="K1836" s="41"/>
      <c r="L1836" s="24"/>
      <c r="M1836" s="19"/>
    </row>
    <row r="1837" spans="1:13" x14ac:dyDescent="0.75">
      <c r="B1837" s="18"/>
      <c r="C1837" s="4"/>
      <c r="E1837" s="33"/>
      <c r="F1837" s="23"/>
      <c r="G1837" s="3"/>
      <c r="H1837" s="3"/>
      <c r="I1837" s="3"/>
      <c r="J1837" s="40"/>
      <c r="K1837" s="41"/>
      <c r="L1837" s="24"/>
      <c r="M1837" s="19"/>
    </row>
    <row r="1838" spans="1:13" x14ac:dyDescent="0.75">
      <c r="B1838" s="18"/>
      <c r="C1838" s="4"/>
      <c r="E1838" s="33"/>
      <c r="F1838" s="23"/>
      <c r="G1838" s="3"/>
      <c r="H1838" s="3"/>
      <c r="I1838" s="3"/>
      <c r="J1838" s="40"/>
      <c r="K1838" s="41"/>
      <c r="L1838" s="24"/>
      <c r="M1838" s="19"/>
    </row>
    <row r="1839" spans="1:13" x14ac:dyDescent="0.75">
      <c r="B1839" s="18"/>
      <c r="C1839" s="4"/>
      <c r="E1839" s="33"/>
      <c r="F1839" s="23"/>
      <c r="G1839" s="3"/>
      <c r="H1839" s="3"/>
      <c r="I1839" s="3"/>
      <c r="J1839" s="40"/>
      <c r="K1839" s="41"/>
      <c r="L1839" s="24"/>
      <c r="M1839" s="19"/>
    </row>
    <row r="1840" spans="1:13" x14ac:dyDescent="0.75">
      <c r="B1840" s="18"/>
      <c r="C1840" s="4"/>
      <c r="E1840" s="33"/>
      <c r="F1840" s="23"/>
      <c r="G1840" s="3"/>
      <c r="H1840" s="3"/>
      <c r="I1840" s="3"/>
      <c r="J1840" s="40"/>
      <c r="K1840" s="41"/>
      <c r="L1840" s="24"/>
      <c r="M1840" s="19"/>
    </row>
    <row r="1841" spans="2:13" x14ac:dyDescent="0.75">
      <c r="B1841" s="18"/>
      <c r="C1841" s="4"/>
      <c r="E1841" s="33"/>
      <c r="F1841" s="23"/>
      <c r="G1841" s="3"/>
      <c r="H1841" s="3"/>
      <c r="I1841" s="3"/>
      <c r="J1841" s="40"/>
      <c r="K1841" s="41"/>
      <c r="L1841" s="24"/>
      <c r="M1841" s="19"/>
    </row>
    <row r="1842" spans="2:13" x14ac:dyDescent="0.75">
      <c r="B1842" s="18"/>
      <c r="C1842" s="4"/>
      <c r="E1842" s="33"/>
      <c r="F1842" s="23"/>
      <c r="G1842" s="3"/>
      <c r="H1842" s="3"/>
      <c r="I1842" s="3"/>
      <c r="J1842" s="40"/>
      <c r="K1842" s="41"/>
      <c r="L1842" s="24"/>
      <c r="M1842" s="19"/>
    </row>
    <row r="1843" spans="2:13" x14ac:dyDescent="0.75">
      <c r="B1843" s="18"/>
      <c r="C1843" s="4"/>
      <c r="E1843" s="33"/>
      <c r="F1843" s="23"/>
      <c r="G1843" s="3"/>
      <c r="H1843" s="3"/>
      <c r="I1843" s="3"/>
      <c r="J1843" s="40"/>
      <c r="K1843" s="41"/>
      <c r="L1843" s="24"/>
      <c r="M1843" s="19"/>
    </row>
    <row r="1844" spans="2:13" x14ac:dyDescent="0.75">
      <c r="B1844" s="18"/>
      <c r="C1844" s="4"/>
      <c r="E1844" s="33"/>
      <c r="F1844" s="23"/>
      <c r="G1844" s="3"/>
      <c r="H1844" s="3"/>
      <c r="I1844" s="3"/>
      <c r="J1844" s="40"/>
      <c r="K1844" s="41"/>
      <c r="L1844" s="24"/>
      <c r="M1844" s="19"/>
    </row>
    <row r="1845" spans="2:13" x14ac:dyDescent="0.75">
      <c r="B1845" s="18"/>
      <c r="C1845" s="4"/>
      <c r="E1845" s="33"/>
      <c r="F1845" s="23"/>
      <c r="G1845" s="3"/>
      <c r="H1845" s="3"/>
      <c r="I1845" s="3"/>
      <c r="J1845" s="40"/>
      <c r="K1845" s="41"/>
      <c r="L1845" s="24"/>
      <c r="M1845" s="19"/>
    </row>
    <row r="1846" spans="2:13" x14ac:dyDescent="0.75">
      <c r="B1846" s="18"/>
      <c r="C1846" s="4"/>
      <c r="E1846" s="33"/>
      <c r="F1846" s="23"/>
      <c r="G1846" s="3"/>
      <c r="H1846" s="3"/>
      <c r="I1846" s="3"/>
      <c r="J1846" s="40"/>
      <c r="K1846" s="41"/>
      <c r="L1846" s="24"/>
      <c r="M1846" s="19"/>
    </row>
    <row r="1847" spans="2:13" x14ac:dyDescent="0.75">
      <c r="B1847" s="18"/>
      <c r="C1847" s="4"/>
      <c r="E1847" s="33"/>
      <c r="F1847" s="23"/>
      <c r="G1847" s="3"/>
      <c r="H1847" s="3"/>
      <c r="I1847" s="3"/>
      <c r="J1847" s="40"/>
      <c r="K1847" s="41"/>
      <c r="L1847" s="24"/>
      <c r="M1847" s="19"/>
    </row>
    <row r="1848" spans="2:13" x14ac:dyDescent="0.75">
      <c r="B1848" s="18"/>
      <c r="C1848" s="4"/>
      <c r="E1848" s="33"/>
      <c r="F1848" s="23"/>
      <c r="G1848" s="3"/>
      <c r="H1848" s="3"/>
      <c r="I1848" s="3"/>
      <c r="J1848" s="40"/>
      <c r="K1848" s="41"/>
      <c r="L1848" s="24"/>
      <c r="M1848" s="19"/>
    </row>
    <row r="1849" spans="2:13" x14ac:dyDescent="0.75">
      <c r="B1849" s="18"/>
      <c r="C1849" s="4"/>
      <c r="E1849" s="33"/>
      <c r="F1849" s="23"/>
      <c r="G1849" s="3"/>
      <c r="H1849" s="3"/>
      <c r="I1849" s="3"/>
      <c r="J1849" s="40"/>
      <c r="K1849" s="41"/>
      <c r="L1849" s="24"/>
      <c r="M184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4E75-30E5-4848-9EFC-042BE08E6418}">
  <dimension ref="A1:F21"/>
  <sheetViews>
    <sheetView topLeftCell="A7" workbookViewId="0">
      <selection activeCell="A11" sqref="A11"/>
    </sheetView>
  </sheetViews>
  <sheetFormatPr defaultColWidth="10.90625" defaultRowHeight="14.75" x14ac:dyDescent="0.75"/>
  <cols>
    <col min="1" max="1" width="17.6796875" style="44" bestFit="1" customWidth="1"/>
    <col min="2" max="2" width="18.90625" style="44" bestFit="1" customWidth="1"/>
    <col min="3" max="16384" width="10.90625" style="44"/>
  </cols>
  <sheetData>
    <row r="1" spans="1:6" x14ac:dyDescent="0.75">
      <c r="A1" s="44" t="s">
        <v>65</v>
      </c>
      <c r="B1" s="44" t="s">
        <v>66</v>
      </c>
      <c r="C1" s="44" t="s">
        <v>67</v>
      </c>
      <c r="D1" s="44" t="s">
        <v>68</v>
      </c>
      <c r="E1" s="44" t="s">
        <v>69</v>
      </c>
      <c r="F1" s="44" t="s">
        <v>70</v>
      </c>
    </row>
    <row r="2" spans="1:6" x14ac:dyDescent="0.75">
      <c r="A2" s="44" t="s">
        <v>71</v>
      </c>
      <c r="B2" s="44" t="s">
        <v>72</v>
      </c>
      <c r="C2" s="44">
        <v>-0.18</v>
      </c>
      <c r="D2" s="44">
        <v>0.03</v>
      </c>
      <c r="E2" s="44">
        <v>-0.2</v>
      </c>
      <c r="F2" s="44">
        <v>-0.18</v>
      </c>
    </row>
    <row r="3" spans="1:6" x14ac:dyDescent="0.75">
      <c r="A3" s="44" t="s">
        <v>73</v>
      </c>
      <c r="B3" s="44" t="s">
        <v>74</v>
      </c>
      <c r="C3" s="44">
        <v>0.05</v>
      </c>
      <c r="D3" s="44">
        <v>0.09</v>
      </c>
      <c r="E3" s="44">
        <v>-7.0000000000000007E-2</v>
      </c>
      <c r="F3" s="44">
        <v>0.03</v>
      </c>
    </row>
    <row r="4" spans="1:6" x14ac:dyDescent="0.75">
      <c r="A4" s="44" t="s">
        <v>73</v>
      </c>
      <c r="B4" s="44" t="s">
        <v>75</v>
      </c>
      <c r="C4" s="44">
        <v>0.13</v>
      </c>
      <c r="D4" s="44">
        <v>0.09</v>
      </c>
      <c r="E4" s="44">
        <v>-0.04</v>
      </c>
      <c r="F4" s="44">
        <v>0.01</v>
      </c>
    </row>
    <row r="5" spans="1:6" x14ac:dyDescent="0.75">
      <c r="A5" s="44" t="s">
        <v>76</v>
      </c>
      <c r="B5" s="44" t="s">
        <v>77</v>
      </c>
      <c r="C5" s="44">
        <v>0.04</v>
      </c>
      <c r="D5" s="44">
        <v>-0.12</v>
      </c>
      <c r="E5" s="44">
        <v>0.13</v>
      </c>
      <c r="F5" s="44">
        <v>0.06</v>
      </c>
    </row>
    <row r="6" spans="1:6" x14ac:dyDescent="0.75">
      <c r="A6" s="44" t="s">
        <v>76</v>
      </c>
      <c r="B6" s="44" t="s">
        <v>78</v>
      </c>
      <c r="C6" s="44">
        <v>0.16</v>
      </c>
      <c r="D6" s="44">
        <v>-0.08</v>
      </c>
      <c r="E6" s="44">
        <v>-7.0000000000000007E-2</v>
      </c>
      <c r="F6" s="44">
        <v>0.08</v>
      </c>
    </row>
    <row r="7" spans="1:6" x14ac:dyDescent="0.75">
      <c r="A7" s="44" t="s">
        <v>76</v>
      </c>
      <c r="B7" s="44" t="s">
        <v>79</v>
      </c>
      <c r="C7" s="44">
        <v>0.01</v>
      </c>
      <c r="D7" s="44">
        <v>-0.25</v>
      </c>
      <c r="E7" s="44">
        <v>0.08</v>
      </c>
      <c r="F7" s="44">
        <v>0.09</v>
      </c>
    </row>
    <row r="8" spans="1:6" x14ac:dyDescent="0.75">
      <c r="A8" s="44" t="s">
        <v>76</v>
      </c>
      <c r="B8" s="44" t="s">
        <v>80</v>
      </c>
      <c r="C8" s="44">
        <v>-0.17</v>
      </c>
      <c r="D8" s="44">
        <v>-0.01</v>
      </c>
      <c r="E8" s="44">
        <v>-0.13</v>
      </c>
      <c r="F8" s="44">
        <v>-0.13</v>
      </c>
    </row>
    <row r="9" spans="1:6" x14ac:dyDescent="0.75">
      <c r="A9" s="44" t="s">
        <v>76</v>
      </c>
      <c r="B9" s="44" t="s">
        <v>81</v>
      </c>
      <c r="C9" s="44">
        <v>-0.12</v>
      </c>
      <c r="D9" s="44">
        <v>0.1</v>
      </c>
      <c r="E9" s="44">
        <v>0.04</v>
      </c>
      <c r="F9" s="44">
        <v>-0.03</v>
      </c>
    </row>
    <row r="10" spans="1:6" x14ac:dyDescent="0.75">
      <c r="A10" s="44" t="s">
        <v>76</v>
      </c>
      <c r="B10" s="44" t="s">
        <v>82</v>
      </c>
      <c r="C10" s="44">
        <v>0.1</v>
      </c>
      <c r="D10" s="44">
        <v>-0.02</v>
      </c>
      <c r="E10" s="44">
        <v>0.06</v>
      </c>
      <c r="F10" s="44">
        <v>-0.02</v>
      </c>
    </row>
    <row r="12" spans="1:6" x14ac:dyDescent="0.75">
      <c r="A12" s="45" t="s">
        <v>66</v>
      </c>
      <c r="C12" s="45" t="s">
        <v>83</v>
      </c>
      <c r="D12" s="45" t="s">
        <v>84</v>
      </c>
      <c r="E12" s="45" t="s">
        <v>85</v>
      </c>
    </row>
    <row r="13" spans="1:6" x14ac:dyDescent="0.75">
      <c r="A13" s="45" t="s">
        <v>86</v>
      </c>
      <c r="B13" s="44" t="s">
        <v>87</v>
      </c>
      <c r="C13" s="44">
        <f>D2</f>
        <v>0.03</v>
      </c>
      <c r="D13" s="44">
        <f t="shared" ref="D13:E14" si="0">E2</f>
        <v>-0.2</v>
      </c>
      <c r="E13" s="44">
        <f t="shared" si="0"/>
        <v>-0.18</v>
      </c>
    </row>
    <row r="14" spans="1:6" x14ac:dyDescent="0.75">
      <c r="A14" s="45" t="s">
        <v>88</v>
      </c>
      <c r="B14" s="44" t="s">
        <v>61</v>
      </c>
      <c r="C14" s="44">
        <f>D3</f>
        <v>0.09</v>
      </c>
      <c r="D14" s="44">
        <f t="shared" si="0"/>
        <v>-7.0000000000000007E-2</v>
      </c>
      <c r="E14" s="44">
        <f t="shared" si="0"/>
        <v>0.03</v>
      </c>
    </row>
    <row r="15" spans="1:6" x14ac:dyDescent="0.75">
      <c r="A15" s="45"/>
      <c r="B15" s="44" t="s">
        <v>89</v>
      </c>
      <c r="C15" s="44">
        <f>D4</f>
        <v>0.09</v>
      </c>
      <c r="D15" s="44">
        <f>E4</f>
        <v>-0.04</v>
      </c>
      <c r="E15" s="44">
        <f>F4</f>
        <v>0.01</v>
      </c>
    </row>
    <row r="16" spans="1:6" x14ac:dyDescent="0.75">
      <c r="A16" s="45"/>
      <c r="B16" s="44" t="s">
        <v>90</v>
      </c>
      <c r="C16" s="44">
        <f>D5</f>
        <v>-0.12</v>
      </c>
      <c r="D16" s="44">
        <f t="shared" ref="D16:E16" si="1">E5</f>
        <v>0.13</v>
      </c>
      <c r="E16" s="44">
        <f t="shared" si="1"/>
        <v>0.06</v>
      </c>
    </row>
    <row r="17" spans="1:5" x14ac:dyDescent="0.75">
      <c r="A17" s="45"/>
      <c r="B17" s="44" t="s">
        <v>63</v>
      </c>
      <c r="C17" s="44">
        <f>D7</f>
        <v>-0.25</v>
      </c>
      <c r="D17" s="44">
        <f t="shared" ref="D17:E17" si="2">E7</f>
        <v>0.08</v>
      </c>
      <c r="E17" s="44">
        <f t="shared" si="2"/>
        <v>0.09</v>
      </c>
    </row>
    <row r="18" spans="1:5" x14ac:dyDescent="0.75">
      <c r="A18" s="45" t="s">
        <v>91</v>
      </c>
      <c r="B18" s="44" t="s">
        <v>92</v>
      </c>
      <c r="C18" s="44">
        <f>D6</f>
        <v>-0.08</v>
      </c>
      <c r="D18" s="44">
        <f t="shared" ref="D18:E18" si="3">E6</f>
        <v>-7.0000000000000007E-2</v>
      </c>
      <c r="E18" s="44">
        <f t="shared" si="3"/>
        <v>0.08</v>
      </c>
    </row>
    <row r="19" spans="1:5" x14ac:dyDescent="0.75">
      <c r="A19" s="45"/>
      <c r="B19" s="44" t="s">
        <v>52</v>
      </c>
      <c r="C19" s="44">
        <f>D8</f>
        <v>-0.01</v>
      </c>
      <c r="D19" s="44">
        <f t="shared" ref="D19:E21" si="4">E8</f>
        <v>-0.13</v>
      </c>
      <c r="E19" s="44">
        <f t="shared" si="4"/>
        <v>-0.13</v>
      </c>
    </row>
    <row r="20" spans="1:5" x14ac:dyDescent="0.75">
      <c r="B20" s="44" t="s">
        <v>93</v>
      </c>
      <c r="C20" s="44">
        <f>D9</f>
        <v>0.1</v>
      </c>
      <c r="D20" s="44">
        <f t="shared" si="4"/>
        <v>0.04</v>
      </c>
      <c r="E20" s="44">
        <f t="shared" si="4"/>
        <v>-0.03</v>
      </c>
    </row>
    <row r="21" spans="1:5" x14ac:dyDescent="0.75">
      <c r="B21" s="44" t="s">
        <v>94</v>
      </c>
      <c r="C21" s="44">
        <f>D10</f>
        <v>-0.02</v>
      </c>
      <c r="D21" s="44">
        <f t="shared" si="4"/>
        <v>0.06</v>
      </c>
      <c r="E21" s="44">
        <f t="shared" si="4"/>
        <v>-0.02</v>
      </c>
    </row>
  </sheetData>
  <conditionalFormatting sqref="C13:E2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AE2A-4A60-4F9B-A30D-845662303772}">
  <dimension ref="A1:J34"/>
  <sheetViews>
    <sheetView workbookViewId="0">
      <selection activeCell="K10" sqref="K10"/>
    </sheetView>
  </sheetViews>
  <sheetFormatPr defaultColWidth="10.90625" defaultRowHeight="14.75" x14ac:dyDescent="0.75"/>
  <cols>
    <col min="1" max="1" width="19.6796875" style="44" customWidth="1"/>
    <col min="2" max="3" width="10.6796875" style="44" customWidth="1"/>
    <col min="4" max="4" width="13.6796875" style="44" customWidth="1"/>
    <col min="5" max="5" width="12.6796875" style="44" customWidth="1"/>
    <col min="6" max="6" width="10.6796875" style="44" customWidth="1"/>
    <col min="7" max="7" width="11.6796875" style="44" customWidth="1"/>
    <col min="8" max="8" width="12.6796875" style="44" customWidth="1"/>
    <col min="9" max="9" width="11.6796875" style="44" customWidth="1"/>
    <col min="10" max="10" width="14.6796875" style="44" customWidth="1"/>
    <col min="11" max="16384" width="10.90625" style="44"/>
  </cols>
  <sheetData>
    <row r="1" spans="1:10" x14ac:dyDescent="0.75">
      <c r="A1" s="46" t="s">
        <v>0</v>
      </c>
      <c r="B1" s="46" t="s">
        <v>95</v>
      </c>
      <c r="C1" s="46" t="s">
        <v>96</v>
      </c>
      <c r="D1" s="46" t="s">
        <v>97</v>
      </c>
      <c r="E1" s="46" t="s">
        <v>98</v>
      </c>
      <c r="F1" s="46" t="s">
        <v>99</v>
      </c>
      <c r="G1" s="46" t="s">
        <v>100</v>
      </c>
      <c r="H1" s="46" t="s">
        <v>101</v>
      </c>
      <c r="I1" s="46" t="s">
        <v>102</v>
      </c>
      <c r="J1" s="46" t="s">
        <v>103</v>
      </c>
    </row>
    <row r="2" spans="1:10" x14ac:dyDescent="0.75">
      <c r="A2" s="44" t="s">
        <v>3</v>
      </c>
      <c r="B2" s="44" t="s">
        <v>104</v>
      </c>
      <c r="C2" s="44" t="s">
        <v>105</v>
      </c>
      <c r="D2" s="44" t="s">
        <v>104</v>
      </c>
      <c r="E2" s="44" t="s">
        <v>104</v>
      </c>
      <c r="F2" s="44" t="s">
        <v>106</v>
      </c>
      <c r="G2" s="44" t="s">
        <v>107</v>
      </c>
      <c r="H2" s="44" t="s">
        <v>108</v>
      </c>
      <c r="I2" s="44" t="s">
        <v>109</v>
      </c>
      <c r="J2" s="44" t="s">
        <v>110</v>
      </c>
    </row>
    <row r="3" spans="1:10" x14ac:dyDescent="0.75">
      <c r="A3" s="44" t="s">
        <v>19</v>
      </c>
      <c r="B3" s="44" t="s">
        <v>104</v>
      </c>
      <c r="C3" s="44" t="s">
        <v>111</v>
      </c>
      <c r="D3" s="44" t="s">
        <v>104</v>
      </c>
      <c r="E3" s="44" t="s">
        <v>104</v>
      </c>
      <c r="F3" s="44" t="s">
        <v>112</v>
      </c>
      <c r="G3" s="44" t="s">
        <v>113</v>
      </c>
      <c r="H3" s="44" t="s">
        <v>114</v>
      </c>
      <c r="I3" s="44" t="s">
        <v>115</v>
      </c>
      <c r="J3" s="44" t="s">
        <v>104</v>
      </c>
    </row>
    <row r="4" spans="1:10" x14ac:dyDescent="0.75">
      <c r="A4" s="44" t="s">
        <v>11</v>
      </c>
      <c r="B4" s="44" t="s">
        <v>104</v>
      </c>
      <c r="C4" s="44" t="s">
        <v>116</v>
      </c>
      <c r="D4" s="44" t="s">
        <v>117</v>
      </c>
      <c r="E4" s="44" t="s">
        <v>104</v>
      </c>
      <c r="F4" s="44" t="s">
        <v>112</v>
      </c>
      <c r="G4" s="44" t="s">
        <v>118</v>
      </c>
      <c r="H4" s="44" t="s">
        <v>119</v>
      </c>
      <c r="I4" s="44" t="s">
        <v>120</v>
      </c>
      <c r="J4" s="44" t="s">
        <v>121</v>
      </c>
    </row>
    <row r="5" spans="1:10" x14ac:dyDescent="0.75">
      <c r="A5" s="44" t="s">
        <v>18</v>
      </c>
      <c r="B5" s="44" t="s">
        <v>106</v>
      </c>
      <c r="C5" s="44" t="s">
        <v>122</v>
      </c>
      <c r="D5" s="44" t="s">
        <v>106</v>
      </c>
      <c r="E5" s="44" t="s">
        <v>123</v>
      </c>
      <c r="F5" s="44" t="s">
        <v>115</v>
      </c>
      <c r="G5" s="44" t="s">
        <v>124</v>
      </c>
      <c r="H5" s="44" t="s">
        <v>125</v>
      </c>
      <c r="I5" s="44" t="s">
        <v>126</v>
      </c>
      <c r="J5" s="44" t="s">
        <v>127</v>
      </c>
    </row>
    <row r="6" spans="1:10" x14ac:dyDescent="0.75">
      <c r="A6" s="44" t="s">
        <v>9</v>
      </c>
      <c r="B6" s="44" t="s">
        <v>104</v>
      </c>
      <c r="C6" s="44" t="s">
        <v>128</v>
      </c>
      <c r="D6" s="44" t="s">
        <v>104</v>
      </c>
      <c r="E6" s="44" t="s">
        <v>104</v>
      </c>
      <c r="F6" s="44" t="s">
        <v>112</v>
      </c>
      <c r="G6" s="44" t="s">
        <v>129</v>
      </c>
      <c r="H6" s="44" t="s">
        <v>112</v>
      </c>
      <c r="I6" s="44" t="s">
        <v>130</v>
      </c>
      <c r="J6" s="44" t="s">
        <v>131</v>
      </c>
    </row>
    <row r="7" spans="1:10" x14ac:dyDescent="0.75">
      <c r="A7" s="44" t="s">
        <v>16</v>
      </c>
      <c r="B7" s="44" t="s">
        <v>106</v>
      </c>
      <c r="C7" s="44" t="s">
        <v>132</v>
      </c>
      <c r="D7" s="44" t="s">
        <v>133</v>
      </c>
      <c r="E7" s="44" t="s">
        <v>104</v>
      </c>
      <c r="F7" s="44" t="s">
        <v>119</v>
      </c>
      <c r="G7" s="44" t="s">
        <v>134</v>
      </c>
      <c r="H7" s="44" t="s">
        <v>133</v>
      </c>
      <c r="I7" s="44" t="s">
        <v>135</v>
      </c>
      <c r="J7" s="44" t="s">
        <v>136</v>
      </c>
    </row>
    <row r="8" spans="1:10" x14ac:dyDescent="0.75">
      <c r="A8" s="44" t="s">
        <v>13</v>
      </c>
      <c r="B8" s="44" t="s">
        <v>106</v>
      </c>
      <c r="C8" s="44" t="s">
        <v>137</v>
      </c>
      <c r="D8" s="44" t="s">
        <v>138</v>
      </c>
      <c r="E8" s="44" t="s">
        <v>138</v>
      </c>
      <c r="F8" s="44" t="s">
        <v>139</v>
      </c>
      <c r="G8" s="44" t="s">
        <v>140</v>
      </c>
      <c r="H8" s="44" t="s">
        <v>141</v>
      </c>
      <c r="I8" s="44" t="s">
        <v>142</v>
      </c>
      <c r="J8" s="44" t="s">
        <v>141</v>
      </c>
    </row>
    <row r="9" spans="1:10" x14ac:dyDescent="0.75">
      <c r="A9" s="44" t="s">
        <v>31</v>
      </c>
      <c r="B9" s="44" t="s">
        <v>104</v>
      </c>
      <c r="C9" s="44" t="s">
        <v>143</v>
      </c>
      <c r="D9" s="44" t="s">
        <v>104</v>
      </c>
      <c r="E9" s="44" t="s">
        <v>104</v>
      </c>
      <c r="F9" s="44" t="s">
        <v>106</v>
      </c>
      <c r="G9" s="44" t="s">
        <v>130</v>
      </c>
      <c r="H9" s="44" t="s">
        <v>114</v>
      </c>
      <c r="I9" s="44" t="s">
        <v>144</v>
      </c>
      <c r="J9" s="44" t="s">
        <v>104</v>
      </c>
    </row>
    <row r="10" spans="1:10" x14ac:dyDescent="0.75">
      <c r="A10" s="44" t="s">
        <v>7</v>
      </c>
      <c r="B10" s="44" t="s">
        <v>104</v>
      </c>
      <c r="C10" s="44" t="s">
        <v>145</v>
      </c>
      <c r="D10" s="44" t="s">
        <v>104</v>
      </c>
      <c r="E10" s="44" t="s">
        <v>104</v>
      </c>
      <c r="F10" s="44" t="s">
        <v>114</v>
      </c>
      <c r="G10" s="44" t="s">
        <v>115</v>
      </c>
      <c r="H10" s="44" t="s">
        <v>108</v>
      </c>
      <c r="I10" s="44" t="s">
        <v>146</v>
      </c>
      <c r="J10" s="44" t="s">
        <v>108</v>
      </c>
    </row>
    <row r="11" spans="1:10" x14ac:dyDescent="0.75">
      <c r="A11" s="44" t="s">
        <v>14</v>
      </c>
      <c r="B11" s="44" t="s">
        <v>104</v>
      </c>
      <c r="C11" s="44" t="s">
        <v>147</v>
      </c>
      <c r="D11" s="44" t="s">
        <v>106</v>
      </c>
      <c r="E11" s="44" t="s">
        <v>106</v>
      </c>
      <c r="F11" s="44" t="s">
        <v>148</v>
      </c>
      <c r="G11" s="44" t="s">
        <v>149</v>
      </c>
      <c r="H11" s="44" t="s">
        <v>117</v>
      </c>
      <c r="I11" s="44" t="s">
        <v>150</v>
      </c>
      <c r="J11" s="44" t="s">
        <v>151</v>
      </c>
    </row>
    <row r="12" spans="1:10" x14ac:dyDescent="0.75">
      <c r="A12" s="44" t="s">
        <v>15</v>
      </c>
      <c r="B12" s="44" t="s">
        <v>104</v>
      </c>
      <c r="C12" s="44" t="s">
        <v>152</v>
      </c>
      <c r="D12" s="44" t="s">
        <v>106</v>
      </c>
      <c r="E12" s="44" t="s">
        <v>104</v>
      </c>
      <c r="F12" s="44" t="s">
        <v>153</v>
      </c>
      <c r="G12" s="44" t="s">
        <v>154</v>
      </c>
      <c r="H12" s="44" t="s">
        <v>114</v>
      </c>
      <c r="I12" s="44" t="s">
        <v>155</v>
      </c>
      <c r="J12" s="44" t="s">
        <v>156</v>
      </c>
    </row>
    <row r="13" spans="1:10" x14ac:dyDescent="0.75">
      <c r="A13" s="44" t="s">
        <v>17</v>
      </c>
      <c r="B13" s="44" t="s">
        <v>104</v>
      </c>
      <c r="C13" s="44" t="s">
        <v>157</v>
      </c>
      <c r="D13" s="44" t="s">
        <v>108</v>
      </c>
      <c r="E13" s="44" t="s">
        <v>106</v>
      </c>
      <c r="F13" s="44" t="s">
        <v>156</v>
      </c>
      <c r="G13" s="44" t="s">
        <v>158</v>
      </c>
      <c r="H13" s="44" t="s">
        <v>117</v>
      </c>
      <c r="I13" s="44" t="s">
        <v>159</v>
      </c>
      <c r="J13" s="44" t="s">
        <v>110</v>
      </c>
    </row>
    <row r="14" spans="1:10" x14ac:dyDescent="0.75">
      <c r="A14" s="44" t="s">
        <v>22</v>
      </c>
      <c r="B14" s="44" t="s">
        <v>104</v>
      </c>
      <c r="C14" s="44" t="s">
        <v>160</v>
      </c>
      <c r="D14" s="44" t="s">
        <v>106</v>
      </c>
      <c r="E14" s="44" t="s">
        <v>104</v>
      </c>
      <c r="F14" s="44" t="s">
        <v>111</v>
      </c>
      <c r="G14" s="44" t="s">
        <v>161</v>
      </c>
      <c r="H14" s="44" t="s">
        <v>162</v>
      </c>
      <c r="I14" s="44" t="s">
        <v>144</v>
      </c>
      <c r="J14" s="44" t="s">
        <v>156</v>
      </c>
    </row>
    <row r="15" spans="1:10" x14ac:dyDescent="0.75">
      <c r="A15" s="44" t="s">
        <v>24</v>
      </c>
      <c r="B15" s="44" t="s">
        <v>104</v>
      </c>
      <c r="C15" s="44" t="s">
        <v>163</v>
      </c>
      <c r="D15" s="44" t="s">
        <v>108</v>
      </c>
      <c r="E15" s="44" t="s">
        <v>108</v>
      </c>
      <c r="F15" s="44" t="s">
        <v>164</v>
      </c>
      <c r="G15" s="44" t="s">
        <v>165</v>
      </c>
      <c r="H15" s="44" t="s">
        <v>166</v>
      </c>
      <c r="I15" s="44" t="s">
        <v>167</v>
      </c>
      <c r="J15" s="44" t="s">
        <v>168</v>
      </c>
    </row>
    <row r="16" spans="1:10" x14ac:dyDescent="0.75">
      <c r="A16" s="44" t="s">
        <v>23</v>
      </c>
      <c r="B16" s="44" t="s">
        <v>104</v>
      </c>
      <c r="C16" s="44" t="s">
        <v>169</v>
      </c>
      <c r="D16" s="44" t="s">
        <v>104</v>
      </c>
      <c r="E16" s="44" t="s">
        <v>104</v>
      </c>
      <c r="F16" s="44" t="s">
        <v>170</v>
      </c>
      <c r="G16" s="44" t="s">
        <v>158</v>
      </c>
      <c r="H16" s="44" t="s">
        <v>112</v>
      </c>
      <c r="I16" s="44" t="s">
        <v>171</v>
      </c>
      <c r="J16" s="44" t="s">
        <v>114</v>
      </c>
    </row>
    <row r="17" spans="1:10" x14ac:dyDescent="0.75">
      <c r="A17" s="44" t="s">
        <v>25</v>
      </c>
      <c r="B17" s="44" t="s">
        <v>104</v>
      </c>
      <c r="C17" s="44" t="s">
        <v>116</v>
      </c>
      <c r="D17" s="44" t="s">
        <v>172</v>
      </c>
      <c r="E17" s="44" t="s">
        <v>106</v>
      </c>
      <c r="F17" s="44" t="s">
        <v>127</v>
      </c>
      <c r="G17" s="44" t="s">
        <v>173</v>
      </c>
      <c r="H17" s="44" t="s">
        <v>164</v>
      </c>
      <c r="I17" s="44" t="s">
        <v>174</v>
      </c>
      <c r="J17" s="44" t="s">
        <v>175</v>
      </c>
    </row>
    <row r="18" spans="1:10" x14ac:dyDescent="0.75">
      <c r="A18" s="44" t="s">
        <v>12</v>
      </c>
      <c r="B18" s="44" t="s">
        <v>106</v>
      </c>
      <c r="C18" s="44" t="s">
        <v>176</v>
      </c>
      <c r="D18" s="44" t="s">
        <v>114</v>
      </c>
      <c r="E18" s="44" t="s">
        <v>177</v>
      </c>
      <c r="F18" s="44" t="s">
        <v>178</v>
      </c>
      <c r="G18" s="44" t="s">
        <v>179</v>
      </c>
      <c r="H18" s="44" t="s">
        <v>125</v>
      </c>
      <c r="I18" s="44" t="s">
        <v>180</v>
      </c>
      <c r="J18" s="44" t="s">
        <v>181</v>
      </c>
    </row>
    <row r="19" spans="1:10" x14ac:dyDescent="0.75">
      <c r="A19" s="44" t="s">
        <v>10</v>
      </c>
      <c r="B19" s="44" t="s">
        <v>104</v>
      </c>
      <c r="C19" s="44" t="s">
        <v>177</v>
      </c>
      <c r="D19" s="44" t="s">
        <v>104</v>
      </c>
      <c r="E19" s="44" t="s">
        <v>104</v>
      </c>
      <c r="F19" s="44" t="s">
        <v>104</v>
      </c>
      <c r="G19" s="44" t="s">
        <v>182</v>
      </c>
      <c r="H19" s="44" t="s">
        <v>108</v>
      </c>
      <c r="I19" s="44" t="s">
        <v>170</v>
      </c>
      <c r="J19" s="44" t="s">
        <v>110</v>
      </c>
    </row>
    <row r="20" spans="1:10" x14ac:dyDescent="0.75">
      <c r="A20" s="44" t="s">
        <v>33</v>
      </c>
      <c r="B20" s="44" t="s">
        <v>104</v>
      </c>
      <c r="C20" s="44" t="s">
        <v>111</v>
      </c>
      <c r="D20" s="44" t="s">
        <v>104</v>
      </c>
      <c r="E20" s="44" t="s">
        <v>104</v>
      </c>
      <c r="F20" s="44" t="s">
        <v>117</v>
      </c>
      <c r="G20" s="44" t="s">
        <v>118</v>
      </c>
      <c r="H20" s="44" t="s">
        <v>117</v>
      </c>
      <c r="I20" s="44" t="s">
        <v>112</v>
      </c>
      <c r="J20" s="44" t="s">
        <v>108</v>
      </c>
    </row>
    <row r="21" spans="1:10" x14ac:dyDescent="0.75">
      <c r="A21" s="44" t="s">
        <v>34</v>
      </c>
      <c r="B21" s="44" t="s">
        <v>104</v>
      </c>
      <c r="C21" s="44" t="s">
        <v>149</v>
      </c>
      <c r="D21" s="44" t="s">
        <v>108</v>
      </c>
      <c r="E21" s="44" t="s">
        <v>108</v>
      </c>
      <c r="F21" s="44" t="s">
        <v>104</v>
      </c>
      <c r="G21" s="44" t="s">
        <v>106</v>
      </c>
      <c r="H21" s="44" t="s">
        <v>166</v>
      </c>
      <c r="I21" s="44" t="s">
        <v>183</v>
      </c>
      <c r="J21" s="44" t="s">
        <v>117</v>
      </c>
    </row>
    <row r="22" spans="1:10" x14ac:dyDescent="0.75">
      <c r="A22" s="44" t="s">
        <v>20</v>
      </c>
      <c r="B22" s="44" t="s">
        <v>104</v>
      </c>
      <c r="C22" s="44" t="s">
        <v>154</v>
      </c>
      <c r="D22" s="44" t="s">
        <v>104</v>
      </c>
      <c r="E22" s="44" t="s">
        <v>104</v>
      </c>
      <c r="F22" s="44" t="s">
        <v>184</v>
      </c>
      <c r="G22" s="44" t="s">
        <v>113</v>
      </c>
      <c r="H22" s="44" t="s">
        <v>108</v>
      </c>
      <c r="I22" s="44" t="s">
        <v>119</v>
      </c>
      <c r="J22" s="44" t="s">
        <v>104</v>
      </c>
    </row>
    <row r="23" spans="1:10" x14ac:dyDescent="0.75">
      <c r="A23" s="44" t="s">
        <v>21</v>
      </c>
      <c r="B23" s="44" t="s">
        <v>104</v>
      </c>
      <c r="C23" s="44" t="s">
        <v>108</v>
      </c>
      <c r="D23" s="44" t="s">
        <v>104</v>
      </c>
      <c r="E23" s="44" t="s">
        <v>104</v>
      </c>
      <c r="F23" s="44" t="s">
        <v>185</v>
      </c>
      <c r="G23" s="44" t="s">
        <v>121</v>
      </c>
      <c r="H23" s="44" t="s">
        <v>104</v>
      </c>
      <c r="I23" s="44" t="s">
        <v>166</v>
      </c>
      <c r="J23" s="44" t="s">
        <v>104</v>
      </c>
    </row>
    <row r="24" spans="1:10" x14ac:dyDescent="0.75">
      <c r="A24" s="44" t="s">
        <v>37</v>
      </c>
      <c r="B24" s="44" t="s">
        <v>104</v>
      </c>
      <c r="C24" s="44" t="s">
        <v>186</v>
      </c>
      <c r="D24" s="44" t="s">
        <v>187</v>
      </c>
      <c r="E24" s="44" t="s">
        <v>104</v>
      </c>
      <c r="F24" s="44" t="s">
        <v>104</v>
      </c>
      <c r="G24" s="44" t="s">
        <v>123</v>
      </c>
      <c r="H24" s="44" t="s">
        <v>104</v>
      </c>
      <c r="I24" s="44" t="s">
        <v>112</v>
      </c>
      <c r="J24" s="44" t="s">
        <v>110</v>
      </c>
    </row>
    <row r="25" spans="1:10" x14ac:dyDescent="0.75">
      <c r="A25" s="44" t="s">
        <v>35</v>
      </c>
      <c r="B25" s="44" t="s">
        <v>104</v>
      </c>
      <c r="C25" s="44" t="s">
        <v>188</v>
      </c>
      <c r="D25" s="44" t="s">
        <v>106</v>
      </c>
      <c r="E25" s="44" t="s">
        <v>104</v>
      </c>
      <c r="F25" s="44" t="s">
        <v>112</v>
      </c>
      <c r="G25" s="44" t="s">
        <v>189</v>
      </c>
      <c r="H25" s="44" t="s">
        <v>166</v>
      </c>
      <c r="I25" s="44" t="s">
        <v>190</v>
      </c>
      <c r="J25" s="44" t="s">
        <v>191</v>
      </c>
    </row>
    <row r="26" spans="1:10" x14ac:dyDescent="0.75">
      <c r="A26" s="44" t="s">
        <v>6</v>
      </c>
      <c r="B26" s="44" t="s">
        <v>104</v>
      </c>
      <c r="C26" s="44" t="s">
        <v>192</v>
      </c>
      <c r="D26" s="44" t="s">
        <v>106</v>
      </c>
      <c r="E26" s="44" t="s">
        <v>106</v>
      </c>
      <c r="F26" s="44" t="s">
        <v>193</v>
      </c>
      <c r="G26" s="44" t="s">
        <v>104</v>
      </c>
      <c r="H26" s="44" t="s">
        <v>194</v>
      </c>
      <c r="I26" s="44" t="s">
        <v>195</v>
      </c>
      <c r="J26" s="44" t="s">
        <v>166</v>
      </c>
    </row>
    <row r="27" spans="1:10" x14ac:dyDescent="0.75">
      <c r="A27" s="44" t="s">
        <v>32</v>
      </c>
      <c r="B27" s="44" t="s">
        <v>104</v>
      </c>
      <c r="C27" s="44" t="s">
        <v>112</v>
      </c>
      <c r="D27" s="44" t="s">
        <v>104</v>
      </c>
      <c r="E27" s="44" t="s">
        <v>104</v>
      </c>
      <c r="F27" s="44" t="s">
        <v>117</v>
      </c>
      <c r="G27" s="44" t="s">
        <v>138</v>
      </c>
      <c r="H27" s="44" t="s">
        <v>108</v>
      </c>
      <c r="I27" s="44" t="s">
        <v>115</v>
      </c>
      <c r="J27" s="44" t="s">
        <v>185</v>
      </c>
    </row>
    <row r="28" spans="1:10" x14ac:dyDescent="0.75">
      <c r="A28" s="44" t="s">
        <v>29</v>
      </c>
      <c r="B28" s="44" t="s">
        <v>104</v>
      </c>
      <c r="C28" s="44" t="s">
        <v>181</v>
      </c>
      <c r="D28" s="44" t="s">
        <v>104</v>
      </c>
      <c r="E28" s="44" t="s">
        <v>104</v>
      </c>
      <c r="F28" s="44" t="s">
        <v>121</v>
      </c>
      <c r="G28" s="44" t="s">
        <v>145</v>
      </c>
      <c r="H28" s="44" t="s">
        <v>168</v>
      </c>
      <c r="I28" s="44" t="s">
        <v>172</v>
      </c>
      <c r="J28" s="44" t="s">
        <v>112</v>
      </c>
    </row>
    <row r="29" spans="1:10" x14ac:dyDescent="0.75">
      <c r="A29" s="44" t="s">
        <v>28</v>
      </c>
      <c r="B29" s="44" t="s">
        <v>104</v>
      </c>
      <c r="C29" s="44" t="s">
        <v>196</v>
      </c>
      <c r="D29" s="44" t="s">
        <v>108</v>
      </c>
      <c r="E29" s="44" t="s">
        <v>108</v>
      </c>
      <c r="F29" s="44" t="s">
        <v>197</v>
      </c>
      <c r="G29" s="44" t="s">
        <v>198</v>
      </c>
      <c r="H29" s="44" t="s">
        <v>125</v>
      </c>
      <c r="I29" s="44" t="s">
        <v>199</v>
      </c>
      <c r="J29" s="44" t="s">
        <v>194</v>
      </c>
    </row>
    <row r="30" spans="1:10" x14ac:dyDescent="0.75">
      <c r="A30" s="44" t="s">
        <v>30</v>
      </c>
      <c r="B30" s="44" t="s">
        <v>104</v>
      </c>
      <c r="C30" s="44" t="s">
        <v>200</v>
      </c>
      <c r="D30" s="44" t="s">
        <v>104</v>
      </c>
      <c r="E30" s="44" t="s">
        <v>106</v>
      </c>
      <c r="F30" s="44" t="s">
        <v>108</v>
      </c>
      <c r="G30" s="44" t="s">
        <v>201</v>
      </c>
      <c r="H30" s="44" t="s">
        <v>127</v>
      </c>
      <c r="I30" s="44" t="s">
        <v>202</v>
      </c>
      <c r="J30" s="44" t="s">
        <v>151</v>
      </c>
    </row>
    <row r="31" spans="1:10" x14ac:dyDescent="0.75">
      <c r="A31" s="44" t="s">
        <v>27</v>
      </c>
      <c r="B31" s="44" t="s">
        <v>104</v>
      </c>
      <c r="C31" s="44" t="s">
        <v>203</v>
      </c>
      <c r="D31" s="44" t="s">
        <v>104</v>
      </c>
      <c r="E31" s="44" t="s">
        <v>104</v>
      </c>
      <c r="F31" s="44" t="s">
        <v>112</v>
      </c>
      <c r="G31" s="44" t="s">
        <v>204</v>
      </c>
      <c r="H31" s="44" t="s">
        <v>156</v>
      </c>
      <c r="I31" s="44" t="s">
        <v>205</v>
      </c>
      <c r="J31" s="44" t="s">
        <v>121</v>
      </c>
    </row>
    <row r="32" spans="1:10" x14ac:dyDescent="0.75">
      <c r="A32" s="44" t="s">
        <v>5</v>
      </c>
      <c r="B32" s="44" t="s">
        <v>104</v>
      </c>
      <c r="C32" s="44" t="s">
        <v>130</v>
      </c>
      <c r="D32" s="44" t="s">
        <v>104</v>
      </c>
      <c r="E32" s="44" t="s">
        <v>104</v>
      </c>
      <c r="F32" s="44" t="s">
        <v>206</v>
      </c>
      <c r="G32" s="44" t="s">
        <v>107</v>
      </c>
      <c r="H32" s="44" t="s">
        <v>108</v>
      </c>
      <c r="I32" s="44" t="s">
        <v>148</v>
      </c>
      <c r="J32" s="44" t="s">
        <v>110</v>
      </c>
    </row>
    <row r="33" spans="1:10" x14ac:dyDescent="0.75">
      <c r="A33" s="44" t="s">
        <v>8</v>
      </c>
      <c r="B33" s="44" t="s">
        <v>104</v>
      </c>
      <c r="C33" s="44" t="s">
        <v>129</v>
      </c>
      <c r="D33" s="44" t="s">
        <v>104</v>
      </c>
      <c r="E33" s="44" t="s">
        <v>104</v>
      </c>
      <c r="F33" s="44" t="s">
        <v>121</v>
      </c>
      <c r="G33" s="44" t="s">
        <v>207</v>
      </c>
      <c r="H33" s="44" t="s">
        <v>168</v>
      </c>
      <c r="I33" s="44" t="s">
        <v>172</v>
      </c>
      <c r="J33" s="44" t="s">
        <v>114</v>
      </c>
    </row>
    <row r="34" spans="1:10" x14ac:dyDescent="0.75">
      <c r="A34" s="44" t="s">
        <v>4</v>
      </c>
      <c r="B34" s="44" t="s">
        <v>104</v>
      </c>
      <c r="C34" s="44" t="s">
        <v>118</v>
      </c>
      <c r="D34" s="44" t="s">
        <v>104</v>
      </c>
      <c r="E34" s="44" t="s">
        <v>104</v>
      </c>
      <c r="F34" s="44" t="s">
        <v>117</v>
      </c>
      <c r="G34" s="44" t="s">
        <v>113</v>
      </c>
      <c r="H34" s="44" t="s">
        <v>117</v>
      </c>
      <c r="I34" s="44" t="s">
        <v>203</v>
      </c>
      <c r="J34" s="44" t="s">
        <v>110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A3AA-2C6B-4D4E-B27B-FD7977AE22B2}">
  <dimension ref="A1:G34"/>
  <sheetViews>
    <sheetView workbookViewId="0">
      <selection activeCell="G2" sqref="G2"/>
    </sheetView>
  </sheetViews>
  <sheetFormatPr defaultColWidth="10.90625" defaultRowHeight="14.75" x14ac:dyDescent="0.75"/>
  <cols>
    <col min="1" max="1" width="19.6796875" style="44" customWidth="1"/>
    <col min="2" max="3" width="10.6796875" style="44" customWidth="1"/>
    <col min="4" max="4" width="23.6796875" style="44" customWidth="1"/>
    <col min="5" max="5" width="26.6796875" style="44" customWidth="1"/>
    <col min="6" max="6" width="17.6796875" style="44" customWidth="1"/>
    <col min="7" max="7" width="25.6796875" style="44" customWidth="1"/>
    <col min="8" max="16384" width="10.90625" style="44"/>
  </cols>
  <sheetData>
    <row r="1" spans="1:7" x14ac:dyDescent="0.75">
      <c r="A1" s="46" t="s">
        <v>0</v>
      </c>
      <c r="B1" s="46" t="s">
        <v>208</v>
      </c>
      <c r="C1" s="46" t="s">
        <v>209</v>
      </c>
      <c r="D1" s="46" t="s">
        <v>210</v>
      </c>
      <c r="E1" s="46" t="s">
        <v>211</v>
      </c>
      <c r="F1" s="46" t="s">
        <v>212</v>
      </c>
      <c r="G1" s="46" t="s">
        <v>213</v>
      </c>
    </row>
    <row r="2" spans="1:7" x14ac:dyDescent="0.75">
      <c r="A2" s="44" t="s">
        <v>3</v>
      </c>
      <c r="B2" s="44">
        <v>2025</v>
      </c>
      <c r="C2" s="44">
        <v>12</v>
      </c>
      <c r="D2" s="44">
        <v>2561329</v>
      </c>
      <c r="E2" s="44">
        <v>8.7000000000000001E-5</v>
      </c>
      <c r="F2" s="44" t="s">
        <v>214</v>
      </c>
      <c r="G2" s="44">
        <v>222</v>
      </c>
    </row>
    <row r="3" spans="1:7" x14ac:dyDescent="0.75">
      <c r="A3" s="44" t="s">
        <v>19</v>
      </c>
      <c r="B3" s="44">
        <v>2025</v>
      </c>
      <c r="C3" s="44">
        <v>12</v>
      </c>
      <c r="D3" s="44">
        <v>2701726</v>
      </c>
      <c r="E3" s="44">
        <v>9.1000000000000003E-5</v>
      </c>
      <c r="F3" s="44" t="s">
        <v>214</v>
      </c>
      <c r="G3" s="44">
        <v>246</v>
      </c>
    </row>
    <row r="4" spans="1:7" x14ac:dyDescent="0.75">
      <c r="A4" s="44" t="s">
        <v>11</v>
      </c>
      <c r="B4" s="44">
        <v>2025</v>
      </c>
      <c r="C4" s="44">
        <v>12</v>
      </c>
      <c r="D4" s="44">
        <v>785723</v>
      </c>
      <c r="E4" s="44">
        <v>1.1900000000000001E-4</v>
      </c>
      <c r="F4" s="44" t="s">
        <v>214</v>
      </c>
      <c r="G4" s="44">
        <v>94</v>
      </c>
    </row>
    <row r="5" spans="1:7" x14ac:dyDescent="0.75">
      <c r="A5" s="44" t="s">
        <v>18</v>
      </c>
      <c r="B5" s="44">
        <v>2025</v>
      </c>
      <c r="C5" s="44">
        <v>12</v>
      </c>
      <c r="D5" s="44">
        <v>5755926</v>
      </c>
      <c r="E5" s="44">
        <v>3.5399999999999999E-4</v>
      </c>
      <c r="F5" s="44" t="s">
        <v>215</v>
      </c>
      <c r="G5" s="44">
        <v>2038</v>
      </c>
    </row>
    <row r="6" spans="1:7" x14ac:dyDescent="0.75">
      <c r="A6" s="44" t="s">
        <v>9</v>
      </c>
      <c r="B6" s="44">
        <v>2025</v>
      </c>
      <c r="C6" s="44">
        <v>12</v>
      </c>
      <c r="D6" s="44">
        <v>1115334</v>
      </c>
      <c r="E6" s="44">
        <v>6.3999999999999997E-5</v>
      </c>
      <c r="F6" s="44" t="s">
        <v>214</v>
      </c>
      <c r="G6" s="44">
        <v>72</v>
      </c>
    </row>
    <row r="7" spans="1:7" x14ac:dyDescent="0.75">
      <c r="A7" s="44" t="s">
        <v>16</v>
      </c>
      <c r="B7" s="44">
        <v>2025</v>
      </c>
      <c r="C7" s="44">
        <v>12</v>
      </c>
      <c r="D7" s="44">
        <v>2200071</v>
      </c>
      <c r="E7" s="44">
        <v>2.24E-4</v>
      </c>
      <c r="F7" s="44" t="s">
        <v>216</v>
      </c>
      <c r="G7" s="44">
        <v>494</v>
      </c>
    </row>
    <row r="8" spans="1:7" x14ac:dyDescent="0.75">
      <c r="A8" s="44" t="s">
        <v>13</v>
      </c>
      <c r="B8" s="44">
        <v>2025</v>
      </c>
      <c r="C8" s="44">
        <v>12</v>
      </c>
      <c r="D8" s="44">
        <v>5128464</v>
      </c>
      <c r="E8" s="44">
        <v>3.8699999999999997E-4</v>
      </c>
      <c r="F8" s="44" t="s">
        <v>215</v>
      </c>
      <c r="G8" s="44">
        <v>1983</v>
      </c>
    </row>
    <row r="9" spans="1:7" x14ac:dyDescent="0.75">
      <c r="A9" s="44" t="s">
        <v>31</v>
      </c>
      <c r="B9" s="44">
        <v>2025</v>
      </c>
      <c r="C9" s="44">
        <v>12</v>
      </c>
      <c r="D9" s="44">
        <v>633263</v>
      </c>
      <c r="E9" s="44">
        <v>3.3000000000000003E-5</v>
      </c>
      <c r="F9" s="44" t="s">
        <v>217</v>
      </c>
      <c r="G9" s="44">
        <v>21</v>
      </c>
    </row>
    <row r="10" spans="1:7" x14ac:dyDescent="0.75">
      <c r="A10" s="44" t="s">
        <v>7</v>
      </c>
      <c r="B10" s="44">
        <v>2025</v>
      </c>
      <c r="C10" s="44">
        <v>12</v>
      </c>
      <c r="D10" s="44">
        <v>1851864</v>
      </c>
      <c r="E10" s="44">
        <v>1.7E-5</v>
      </c>
      <c r="F10" s="44" t="s">
        <v>217</v>
      </c>
      <c r="G10" s="44">
        <v>31</v>
      </c>
    </row>
    <row r="11" spans="1:7" x14ac:dyDescent="0.75">
      <c r="A11" s="44" t="s">
        <v>14</v>
      </c>
      <c r="B11" s="44">
        <v>2025</v>
      </c>
      <c r="C11" s="44">
        <v>12</v>
      </c>
      <c r="D11" s="44">
        <v>24506852</v>
      </c>
      <c r="E11" s="44">
        <v>1.3899999999999999E-4</v>
      </c>
      <c r="F11" s="44" t="s">
        <v>214</v>
      </c>
      <c r="G11" s="44">
        <v>3413</v>
      </c>
    </row>
    <row r="12" spans="1:7" x14ac:dyDescent="0.75">
      <c r="A12" s="44" t="s">
        <v>15</v>
      </c>
      <c r="B12" s="44">
        <v>2025</v>
      </c>
      <c r="C12" s="44">
        <v>12</v>
      </c>
      <c r="D12" s="44">
        <v>21295797</v>
      </c>
      <c r="E12" s="44">
        <v>1.6899999999999999E-4</v>
      </c>
      <c r="F12" s="44" t="s">
        <v>216</v>
      </c>
      <c r="G12" s="44">
        <v>3593</v>
      </c>
    </row>
    <row r="13" spans="1:7" x14ac:dyDescent="0.75">
      <c r="A13" s="44" t="s">
        <v>17</v>
      </c>
      <c r="B13" s="44">
        <v>2025</v>
      </c>
      <c r="C13" s="44">
        <v>12</v>
      </c>
      <c r="D13" s="44">
        <v>23801034</v>
      </c>
      <c r="E13" s="44">
        <v>5.1999999999999997E-5</v>
      </c>
      <c r="F13" s="44" t="s">
        <v>214</v>
      </c>
      <c r="G13" s="44">
        <v>1239</v>
      </c>
    </row>
    <row r="14" spans="1:7" x14ac:dyDescent="0.75">
      <c r="A14" s="44" t="s">
        <v>22</v>
      </c>
      <c r="B14" s="44">
        <v>2025</v>
      </c>
      <c r="C14" s="44">
        <v>12</v>
      </c>
      <c r="D14" s="44">
        <v>2930432</v>
      </c>
      <c r="E14" s="44">
        <v>2.2499999999999999E-4</v>
      </c>
      <c r="F14" s="44" t="s">
        <v>216</v>
      </c>
      <c r="G14" s="44">
        <v>660</v>
      </c>
    </row>
    <row r="15" spans="1:7" x14ac:dyDescent="0.75">
      <c r="A15" s="44" t="s">
        <v>24</v>
      </c>
      <c r="B15" s="44">
        <v>2025</v>
      </c>
      <c r="C15" s="44">
        <v>12</v>
      </c>
      <c r="D15" s="44">
        <v>2153139</v>
      </c>
      <c r="E15" s="44">
        <v>3.4900000000000003E-4</v>
      </c>
      <c r="F15" s="44" t="s">
        <v>218</v>
      </c>
      <c r="G15" s="44">
        <v>752</v>
      </c>
    </row>
    <row r="16" spans="1:7" x14ac:dyDescent="0.75">
      <c r="A16" s="44" t="s">
        <v>23</v>
      </c>
      <c r="B16" s="44">
        <v>2025</v>
      </c>
      <c r="C16" s="44">
        <v>12</v>
      </c>
      <c r="D16" s="44">
        <v>1417683</v>
      </c>
      <c r="E16" s="44">
        <v>6.7000000000000002E-5</v>
      </c>
      <c r="F16" s="44" t="s">
        <v>214</v>
      </c>
      <c r="G16" s="44">
        <v>94</v>
      </c>
    </row>
    <row r="17" spans="1:7" x14ac:dyDescent="0.75">
      <c r="A17" s="44" t="s">
        <v>25</v>
      </c>
      <c r="B17" s="44">
        <v>2025</v>
      </c>
      <c r="C17" s="44">
        <v>12</v>
      </c>
      <c r="D17" s="44">
        <v>1969739</v>
      </c>
      <c r="E17" s="44">
        <v>6.9099999999999999E-4</v>
      </c>
      <c r="F17" s="44" t="s">
        <v>219</v>
      </c>
      <c r="G17" s="44">
        <v>1362</v>
      </c>
    </row>
    <row r="18" spans="1:7" x14ac:dyDescent="0.75">
      <c r="A18" s="44" t="s">
        <v>12</v>
      </c>
      <c r="B18" s="44">
        <v>2025</v>
      </c>
      <c r="C18" s="44">
        <v>12</v>
      </c>
      <c r="D18" s="44">
        <v>1051975</v>
      </c>
      <c r="E18" s="44">
        <v>8.0199999999999998E-4</v>
      </c>
      <c r="F18" s="44" t="s">
        <v>220</v>
      </c>
      <c r="G18" s="44">
        <v>844</v>
      </c>
    </row>
    <row r="19" spans="1:7" x14ac:dyDescent="0.75">
      <c r="A19" s="44" t="s">
        <v>10</v>
      </c>
      <c r="B19" s="44">
        <v>2025</v>
      </c>
      <c r="C19" s="44">
        <v>12</v>
      </c>
      <c r="D19" s="44">
        <v>4853377</v>
      </c>
      <c r="E19" s="44">
        <v>2.4000000000000001E-5</v>
      </c>
      <c r="F19" s="44" t="s">
        <v>217</v>
      </c>
      <c r="G19" s="44">
        <v>118</v>
      </c>
    </row>
    <row r="20" spans="1:7" x14ac:dyDescent="0.75">
      <c r="A20" s="44" t="s">
        <v>33</v>
      </c>
      <c r="B20" s="44">
        <v>2025</v>
      </c>
      <c r="C20" s="44">
        <v>12</v>
      </c>
      <c r="D20" s="44">
        <v>922486</v>
      </c>
      <c r="E20" s="44">
        <v>2.9E-5</v>
      </c>
      <c r="F20" s="44" t="s">
        <v>217</v>
      </c>
      <c r="G20" s="44">
        <v>27</v>
      </c>
    </row>
    <row r="21" spans="1:7" x14ac:dyDescent="0.75">
      <c r="A21" s="44" t="s">
        <v>34</v>
      </c>
      <c r="B21" s="44">
        <v>2025</v>
      </c>
      <c r="C21" s="44">
        <v>12</v>
      </c>
      <c r="D21" s="44">
        <v>673456</v>
      </c>
      <c r="E21" s="44">
        <v>2.0999999999999999E-5</v>
      </c>
      <c r="F21" s="44" t="s">
        <v>217</v>
      </c>
      <c r="G21" s="44">
        <v>14</v>
      </c>
    </row>
    <row r="22" spans="1:7" x14ac:dyDescent="0.75">
      <c r="A22" s="44" t="s">
        <v>20</v>
      </c>
      <c r="B22" s="44">
        <v>2025</v>
      </c>
      <c r="C22" s="44">
        <v>12</v>
      </c>
      <c r="D22" s="44">
        <v>3106729</v>
      </c>
      <c r="E22" s="44">
        <v>2.5999999999999998E-5</v>
      </c>
      <c r="F22" s="44" t="s">
        <v>217</v>
      </c>
      <c r="G22" s="44">
        <v>81</v>
      </c>
    </row>
    <row r="23" spans="1:7" x14ac:dyDescent="0.75">
      <c r="A23" s="44" t="s">
        <v>21</v>
      </c>
      <c r="B23" s="44">
        <v>2025</v>
      </c>
      <c r="C23" s="44">
        <v>12</v>
      </c>
      <c r="D23" s="44">
        <v>2989090</v>
      </c>
      <c r="E23" s="44">
        <v>1.2999999999999999E-5</v>
      </c>
      <c r="F23" s="44" t="s">
        <v>217</v>
      </c>
      <c r="G23" s="44">
        <v>39</v>
      </c>
    </row>
    <row r="24" spans="1:7" x14ac:dyDescent="0.75">
      <c r="A24" s="44" t="s">
        <v>37</v>
      </c>
      <c r="B24" s="44">
        <v>2025</v>
      </c>
      <c r="C24" s="44">
        <v>12</v>
      </c>
      <c r="D24" s="44">
        <v>434016</v>
      </c>
      <c r="E24" s="44">
        <v>4.6999999999999997E-5</v>
      </c>
      <c r="F24" s="44" t="s">
        <v>217</v>
      </c>
      <c r="G24" s="44">
        <v>20</v>
      </c>
    </row>
    <row r="25" spans="1:7" x14ac:dyDescent="0.75">
      <c r="A25" s="44" t="s">
        <v>35</v>
      </c>
      <c r="B25" s="44">
        <v>2025</v>
      </c>
      <c r="C25" s="44">
        <v>12</v>
      </c>
      <c r="D25" s="44">
        <v>288323</v>
      </c>
      <c r="E25" s="44">
        <v>1.4999999999999999E-4</v>
      </c>
      <c r="F25" s="44" t="s">
        <v>214</v>
      </c>
      <c r="G25" s="44">
        <v>43</v>
      </c>
    </row>
    <row r="26" spans="1:7" x14ac:dyDescent="0.75">
      <c r="A26" s="44" t="s">
        <v>6</v>
      </c>
      <c r="B26" s="44">
        <v>2025</v>
      </c>
      <c r="C26" s="44">
        <v>12</v>
      </c>
      <c r="D26" s="44">
        <v>3210929</v>
      </c>
      <c r="E26" s="44">
        <v>3.5599999999999998E-4</v>
      </c>
      <c r="F26" s="44" t="s">
        <v>215</v>
      </c>
      <c r="G26" s="44">
        <v>1142</v>
      </c>
    </row>
    <row r="27" spans="1:7" x14ac:dyDescent="0.75">
      <c r="A27" s="44" t="s">
        <v>32</v>
      </c>
      <c r="B27" s="44">
        <v>2025</v>
      </c>
      <c r="C27" s="44">
        <v>12</v>
      </c>
      <c r="D27" s="44">
        <v>800433</v>
      </c>
      <c r="E27" s="44">
        <v>3.1000000000000001E-5</v>
      </c>
      <c r="F27" s="44" t="s">
        <v>217</v>
      </c>
      <c r="G27" s="44">
        <v>25</v>
      </c>
    </row>
    <row r="28" spans="1:7" x14ac:dyDescent="0.75">
      <c r="A28" s="44" t="s">
        <v>29</v>
      </c>
      <c r="B28" s="44">
        <v>2025</v>
      </c>
      <c r="C28" s="44">
        <v>12</v>
      </c>
      <c r="D28" s="44">
        <v>4759077</v>
      </c>
      <c r="E28" s="44">
        <v>1.15E-4</v>
      </c>
      <c r="F28" s="44" t="s">
        <v>214</v>
      </c>
      <c r="G28" s="44">
        <v>547</v>
      </c>
    </row>
    <row r="29" spans="1:7" x14ac:dyDescent="0.75">
      <c r="A29" s="44" t="s">
        <v>28</v>
      </c>
      <c r="B29" s="44">
        <v>2025</v>
      </c>
      <c r="C29" s="44">
        <v>12</v>
      </c>
      <c r="D29" s="44">
        <v>1652846</v>
      </c>
      <c r="E29" s="44">
        <v>3.2400000000000001E-4</v>
      </c>
      <c r="F29" s="44" t="s">
        <v>218</v>
      </c>
      <c r="G29" s="44">
        <v>535</v>
      </c>
    </row>
    <row r="30" spans="1:7" x14ac:dyDescent="0.75">
      <c r="A30" s="44" t="s">
        <v>30</v>
      </c>
      <c r="B30" s="44">
        <v>2025</v>
      </c>
      <c r="C30" s="44">
        <v>12</v>
      </c>
      <c r="D30" s="44">
        <v>1434033</v>
      </c>
      <c r="E30" s="44">
        <v>1.7100000000000001E-4</v>
      </c>
      <c r="F30" s="44" t="s">
        <v>216</v>
      </c>
      <c r="G30" s="44">
        <v>245</v>
      </c>
    </row>
    <row r="31" spans="1:7" x14ac:dyDescent="0.75">
      <c r="A31" s="44" t="s">
        <v>27</v>
      </c>
      <c r="B31" s="44">
        <v>2025</v>
      </c>
      <c r="C31" s="44">
        <v>12</v>
      </c>
      <c r="D31" s="44">
        <v>1339333</v>
      </c>
      <c r="E31" s="44">
        <v>6.3E-5</v>
      </c>
      <c r="F31" s="44" t="s">
        <v>214</v>
      </c>
      <c r="G31" s="44">
        <v>85</v>
      </c>
    </row>
    <row r="32" spans="1:7" x14ac:dyDescent="0.75">
      <c r="A32" s="44" t="s">
        <v>5</v>
      </c>
      <c r="B32" s="44">
        <v>2025</v>
      </c>
      <c r="C32" s="44">
        <v>12</v>
      </c>
      <c r="D32" s="44">
        <v>3018582</v>
      </c>
      <c r="E32" s="44">
        <v>4.0000000000000003E-5</v>
      </c>
      <c r="F32" s="44" t="s">
        <v>217</v>
      </c>
      <c r="G32" s="44">
        <v>122</v>
      </c>
    </row>
    <row r="33" spans="1:7" x14ac:dyDescent="0.75">
      <c r="A33" s="44" t="s">
        <v>8</v>
      </c>
      <c r="B33" s="44">
        <v>2025</v>
      </c>
      <c r="C33" s="44">
        <v>12</v>
      </c>
      <c r="D33" s="44">
        <v>4492574</v>
      </c>
      <c r="E33" s="44">
        <v>5.8999999999999998E-5</v>
      </c>
      <c r="F33" s="44" t="s">
        <v>214</v>
      </c>
      <c r="G33" s="44">
        <v>265</v>
      </c>
    </row>
    <row r="34" spans="1:7" x14ac:dyDescent="0.75">
      <c r="A34" s="44" t="s">
        <v>4</v>
      </c>
      <c r="B34" s="44">
        <v>2025</v>
      </c>
      <c r="C34" s="44">
        <v>12</v>
      </c>
      <c r="D34" s="44">
        <v>7976273</v>
      </c>
      <c r="E34" s="44">
        <v>5.7000000000000003E-5</v>
      </c>
      <c r="F34" s="44" t="s">
        <v>214</v>
      </c>
      <c r="G34" s="44">
        <v>455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3790-1AB8-4970-BF2A-18504A82776A}">
  <dimension ref="A1:L34"/>
  <sheetViews>
    <sheetView tabSelected="1" workbookViewId="0">
      <selection activeCell="M2" sqref="M2"/>
    </sheetView>
  </sheetViews>
  <sheetFormatPr defaultColWidth="10.90625" defaultRowHeight="14.75" x14ac:dyDescent="0.75"/>
  <cols>
    <col min="1" max="1" width="19.6796875" style="44" customWidth="1"/>
    <col min="2" max="3" width="10.6796875" style="44" customWidth="1"/>
    <col min="4" max="4" width="9.6796875" style="44" customWidth="1"/>
    <col min="5" max="5" width="10.6796875" style="44" customWidth="1"/>
    <col min="6" max="6" width="13.6796875" style="44" customWidth="1"/>
    <col min="7" max="7" width="12.6796875" style="44" customWidth="1"/>
    <col min="8" max="8" width="10.6796875" style="44" customWidth="1"/>
    <col min="9" max="9" width="11.6796875" style="44" customWidth="1"/>
    <col min="10" max="10" width="12.6796875" style="44" customWidth="1"/>
    <col min="11" max="11" width="11.6796875" style="44" customWidth="1"/>
    <col min="12" max="12" width="13.6796875" style="44" customWidth="1"/>
    <col min="13" max="16384" width="10.90625" style="44"/>
  </cols>
  <sheetData>
    <row r="1" spans="1:12" x14ac:dyDescent="0.75">
      <c r="A1" s="46" t="s">
        <v>0</v>
      </c>
      <c r="B1" s="46" t="s">
        <v>208</v>
      </c>
      <c r="C1" s="46" t="s">
        <v>209</v>
      </c>
      <c r="D1" s="46" t="s">
        <v>221</v>
      </c>
      <c r="E1" s="46" t="s">
        <v>222</v>
      </c>
      <c r="F1" s="46" t="s">
        <v>223</v>
      </c>
      <c r="G1" s="46" t="s">
        <v>224</v>
      </c>
      <c r="H1" s="46" t="s">
        <v>225</v>
      </c>
      <c r="I1" s="46" t="s">
        <v>226</v>
      </c>
      <c r="J1" s="46" t="s">
        <v>227</v>
      </c>
      <c r="K1" s="46" t="s">
        <v>228</v>
      </c>
      <c r="L1" s="46" t="s">
        <v>229</v>
      </c>
    </row>
    <row r="2" spans="1:12" x14ac:dyDescent="0.75">
      <c r="A2" s="44" t="s">
        <v>3</v>
      </c>
      <c r="B2" s="44">
        <v>2025</v>
      </c>
      <c r="C2" s="44">
        <v>12</v>
      </c>
      <c r="D2" s="44">
        <v>-2.1</v>
      </c>
      <c r="E2" s="44" t="s">
        <v>230</v>
      </c>
      <c r="F2" s="44" t="s">
        <v>231</v>
      </c>
      <c r="G2" s="44" t="s">
        <v>232</v>
      </c>
      <c r="H2" s="44" t="s">
        <v>233</v>
      </c>
      <c r="I2" s="44" t="s">
        <v>234</v>
      </c>
      <c r="J2" s="44" t="s">
        <v>235</v>
      </c>
      <c r="K2" s="44" t="s">
        <v>236</v>
      </c>
      <c r="L2" s="44">
        <v>0</v>
      </c>
    </row>
    <row r="3" spans="1:12" x14ac:dyDescent="0.75">
      <c r="A3" s="44" t="s">
        <v>19</v>
      </c>
      <c r="B3" s="44">
        <v>2025</v>
      </c>
      <c r="C3" s="44">
        <v>12</v>
      </c>
      <c r="D3" s="44">
        <v>-2.1</v>
      </c>
      <c r="E3" s="44" t="s">
        <v>237</v>
      </c>
      <c r="F3" s="44" t="s">
        <v>238</v>
      </c>
      <c r="G3" s="44" t="s">
        <v>239</v>
      </c>
      <c r="H3" s="44" t="s">
        <v>240</v>
      </c>
      <c r="I3" s="44" t="s">
        <v>234</v>
      </c>
      <c r="J3" s="44" t="s">
        <v>235</v>
      </c>
      <c r="K3" s="44" t="s">
        <v>236</v>
      </c>
      <c r="L3" s="44">
        <v>0</v>
      </c>
    </row>
    <row r="4" spans="1:12" x14ac:dyDescent="0.75">
      <c r="A4" s="44" t="s">
        <v>11</v>
      </c>
      <c r="B4" s="44">
        <v>2025</v>
      </c>
      <c r="C4" s="44">
        <v>12</v>
      </c>
      <c r="D4" s="44">
        <v>-2.1</v>
      </c>
      <c r="E4" s="44" t="s">
        <v>241</v>
      </c>
      <c r="F4" s="44" t="s">
        <v>242</v>
      </c>
      <c r="G4" s="44" t="s">
        <v>243</v>
      </c>
      <c r="H4" s="44" t="s">
        <v>244</v>
      </c>
      <c r="I4" s="44" t="s">
        <v>234</v>
      </c>
      <c r="J4" s="44" t="s">
        <v>235</v>
      </c>
      <c r="K4" s="44" t="s">
        <v>236</v>
      </c>
      <c r="L4" s="44">
        <v>0</v>
      </c>
    </row>
    <row r="5" spans="1:12" x14ac:dyDescent="0.75">
      <c r="A5" s="44" t="s">
        <v>18</v>
      </c>
      <c r="B5" s="44">
        <v>2025</v>
      </c>
      <c r="C5" s="44">
        <v>12</v>
      </c>
      <c r="D5" s="44">
        <v>-2.1</v>
      </c>
      <c r="E5" s="44" t="s">
        <v>245</v>
      </c>
      <c r="F5" s="44" t="s">
        <v>246</v>
      </c>
      <c r="G5" s="44" t="s">
        <v>247</v>
      </c>
      <c r="H5" s="44" t="s">
        <v>248</v>
      </c>
      <c r="I5" s="44" t="s">
        <v>234</v>
      </c>
      <c r="J5" s="44" t="s">
        <v>235</v>
      </c>
      <c r="K5" s="44" t="s">
        <v>236</v>
      </c>
      <c r="L5" s="44">
        <v>0</v>
      </c>
    </row>
    <row r="6" spans="1:12" x14ac:dyDescent="0.75">
      <c r="A6" s="44" t="s">
        <v>9</v>
      </c>
      <c r="B6" s="44">
        <v>2025</v>
      </c>
      <c r="C6" s="44">
        <v>12</v>
      </c>
      <c r="D6" s="44">
        <v>-2.1</v>
      </c>
      <c r="E6" s="44" t="s">
        <v>249</v>
      </c>
      <c r="F6" s="44" t="s">
        <v>250</v>
      </c>
      <c r="G6" s="44" t="s">
        <v>217</v>
      </c>
      <c r="H6" s="44" t="s">
        <v>251</v>
      </c>
      <c r="I6" s="44" t="s">
        <v>234</v>
      </c>
      <c r="J6" s="44" t="s">
        <v>235</v>
      </c>
      <c r="K6" s="44" t="s">
        <v>236</v>
      </c>
      <c r="L6" s="44">
        <v>0</v>
      </c>
    </row>
    <row r="7" spans="1:12" x14ac:dyDescent="0.75">
      <c r="A7" s="44" t="s">
        <v>16</v>
      </c>
      <c r="B7" s="44">
        <v>2025</v>
      </c>
      <c r="C7" s="44">
        <v>12</v>
      </c>
      <c r="D7" s="44">
        <v>-2.1</v>
      </c>
      <c r="E7" s="44" t="s">
        <v>252</v>
      </c>
      <c r="F7" s="44" t="s">
        <v>253</v>
      </c>
      <c r="G7" s="44" t="s">
        <v>217</v>
      </c>
      <c r="H7" s="44" t="s">
        <v>254</v>
      </c>
      <c r="I7" s="44" t="s">
        <v>234</v>
      </c>
      <c r="J7" s="44" t="s">
        <v>235</v>
      </c>
      <c r="K7" s="44" t="s">
        <v>236</v>
      </c>
      <c r="L7" s="44">
        <v>0</v>
      </c>
    </row>
    <row r="8" spans="1:12" x14ac:dyDescent="0.75">
      <c r="A8" s="44" t="s">
        <v>13</v>
      </c>
      <c r="B8" s="44">
        <v>2025</v>
      </c>
      <c r="C8" s="44">
        <v>12</v>
      </c>
      <c r="D8" s="44">
        <v>-2.1</v>
      </c>
      <c r="E8" s="44" t="s">
        <v>255</v>
      </c>
      <c r="F8" s="44" t="s">
        <v>256</v>
      </c>
      <c r="G8" s="44" t="s">
        <v>257</v>
      </c>
      <c r="H8" s="44" t="s">
        <v>258</v>
      </c>
      <c r="I8" s="44" t="s">
        <v>234</v>
      </c>
      <c r="J8" s="44" t="s">
        <v>235</v>
      </c>
      <c r="K8" s="44" t="s">
        <v>236</v>
      </c>
      <c r="L8" s="44">
        <v>0</v>
      </c>
    </row>
    <row r="9" spans="1:12" x14ac:dyDescent="0.75">
      <c r="A9" s="44" t="s">
        <v>31</v>
      </c>
      <c r="B9" s="44">
        <v>2025</v>
      </c>
      <c r="C9" s="44">
        <v>12</v>
      </c>
      <c r="D9" s="44">
        <v>-2.1</v>
      </c>
      <c r="E9" s="44" t="s">
        <v>259</v>
      </c>
      <c r="F9" s="44" t="s">
        <v>260</v>
      </c>
      <c r="G9" s="44" t="s">
        <v>261</v>
      </c>
      <c r="H9" s="44" t="s">
        <v>262</v>
      </c>
      <c r="I9" s="44" t="s">
        <v>234</v>
      </c>
      <c r="J9" s="44" t="s">
        <v>235</v>
      </c>
      <c r="K9" s="44" t="s">
        <v>236</v>
      </c>
      <c r="L9" s="44">
        <v>0</v>
      </c>
    </row>
    <row r="10" spans="1:12" x14ac:dyDescent="0.75">
      <c r="A10" s="44" t="s">
        <v>7</v>
      </c>
      <c r="B10" s="44">
        <v>2025</v>
      </c>
      <c r="C10" s="44">
        <v>12</v>
      </c>
      <c r="D10" s="44">
        <v>-2.1</v>
      </c>
      <c r="E10" s="44" t="s">
        <v>263</v>
      </c>
      <c r="F10" s="44" t="s">
        <v>264</v>
      </c>
      <c r="G10" s="44" t="s">
        <v>265</v>
      </c>
      <c r="H10" s="44" t="s">
        <v>266</v>
      </c>
      <c r="I10" s="44" t="s">
        <v>234</v>
      </c>
      <c r="J10" s="44" t="s">
        <v>235</v>
      </c>
      <c r="K10" s="44" t="s">
        <v>236</v>
      </c>
      <c r="L10" s="44">
        <v>0</v>
      </c>
    </row>
    <row r="11" spans="1:12" x14ac:dyDescent="0.75">
      <c r="A11" s="44" t="s">
        <v>14</v>
      </c>
      <c r="B11" s="44">
        <v>2025</v>
      </c>
      <c r="C11" s="44">
        <v>12</v>
      </c>
      <c r="D11" s="44">
        <v>-2.1</v>
      </c>
      <c r="E11" s="44" t="s">
        <v>249</v>
      </c>
      <c r="F11" s="44" t="s">
        <v>267</v>
      </c>
      <c r="G11" s="44" t="s">
        <v>268</v>
      </c>
      <c r="H11" s="44" t="s">
        <v>269</v>
      </c>
      <c r="I11" s="44" t="s">
        <v>234</v>
      </c>
      <c r="J11" s="44" t="s">
        <v>235</v>
      </c>
      <c r="K11" s="44" t="s">
        <v>236</v>
      </c>
      <c r="L11" s="44">
        <v>0</v>
      </c>
    </row>
    <row r="12" spans="1:12" x14ac:dyDescent="0.75">
      <c r="A12" s="44" t="s">
        <v>15</v>
      </c>
      <c r="B12" s="44">
        <v>2025</v>
      </c>
      <c r="C12" s="44">
        <v>12</v>
      </c>
      <c r="D12" s="44">
        <v>-2.1</v>
      </c>
      <c r="E12" s="44" t="s">
        <v>270</v>
      </c>
      <c r="F12" s="44" t="s">
        <v>271</v>
      </c>
      <c r="G12" s="44" t="s">
        <v>272</v>
      </c>
      <c r="H12" s="44" t="s">
        <v>273</v>
      </c>
      <c r="I12" s="44" t="s">
        <v>234</v>
      </c>
      <c r="J12" s="44" t="s">
        <v>235</v>
      </c>
      <c r="K12" s="44" t="s">
        <v>236</v>
      </c>
      <c r="L12" s="44">
        <v>0</v>
      </c>
    </row>
    <row r="13" spans="1:12" x14ac:dyDescent="0.75">
      <c r="A13" s="44" t="s">
        <v>17</v>
      </c>
      <c r="B13" s="44">
        <v>2025</v>
      </c>
      <c r="C13" s="44">
        <v>12</v>
      </c>
      <c r="D13" s="44">
        <v>-2.1</v>
      </c>
      <c r="E13" s="44" t="s">
        <v>274</v>
      </c>
      <c r="F13" s="44" t="s">
        <v>275</v>
      </c>
      <c r="G13" s="44" t="s">
        <v>276</v>
      </c>
      <c r="H13" s="44" t="s">
        <v>277</v>
      </c>
      <c r="I13" s="44" t="s">
        <v>234</v>
      </c>
      <c r="J13" s="44" t="s">
        <v>235</v>
      </c>
      <c r="K13" s="44" t="s">
        <v>236</v>
      </c>
      <c r="L13" s="44">
        <v>0</v>
      </c>
    </row>
    <row r="14" spans="1:12" x14ac:dyDescent="0.75">
      <c r="A14" s="44" t="s">
        <v>22</v>
      </c>
      <c r="B14" s="44">
        <v>2025</v>
      </c>
      <c r="C14" s="44">
        <v>12</v>
      </c>
      <c r="D14" s="44">
        <v>-2.1</v>
      </c>
      <c r="E14" s="44" t="s">
        <v>278</v>
      </c>
      <c r="F14" s="44" t="s">
        <v>279</v>
      </c>
      <c r="G14" s="44" t="s">
        <v>280</v>
      </c>
      <c r="H14" s="44" t="s">
        <v>281</v>
      </c>
      <c r="I14" s="44" t="s">
        <v>234</v>
      </c>
      <c r="J14" s="44" t="s">
        <v>235</v>
      </c>
      <c r="K14" s="44" t="s">
        <v>236</v>
      </c>
      <c r="L14" s="44">
        <v>0</v>
      </c>
    </row>
    <row r="15" spans="1:12" x14ac:dyDescent="0.75">
      <c r="A15" s="44" t="s">
        <v>24</v>
      </c>
      <c r="B15" s="44">
        <v>2025</v>
      </c>
      <c r="C15" s="44">
        <v>12</v>
      </c>
      <c r="D15" s="44">
        <v>-2.1</v>
      </c>
      <c r="E15" s="44" t="s">
        <v>274</v>
      </c>
      <c r="F15" s="44" t="s">
        <v>282</v>
      </c>
      <c r="G15" s="44" t="s">
        <v>283</v>
      </c>
      <c r="H15" s="44" t="s">
        <v>284</v>
      </c>
      <c r="I15" s="44" t="s">
        <v>234</v>
      </c>
      <c r="J15" s="44" t="s">
        <v>235</v>
      </c>
      <c r="K15" s="44" t="s">
        <v>236</v>
      </c>
      <c r="L15" s="44">
        <v>0</v>
      </c>
    </row>
    <row r="16" spans="1:12" x14ac:dyDescent="0.75">
      <c r="A16" s="44" t="s">
        <v>23</v>
      </c>
      <c r="B16" s="44">
        <v>2025</v>
      </c>
      <c r="C16" s="44">
        <v>12</v>
      </c>
      <c r="D16" s="44">
        <v>-2.1</v>
      </c>
      <c r="E16" s="44" t="s">
        <v>285</v>
      </c>
      <c r="F16" s="44" t="s">
        <v>286</v>
      </c>
      <c r="G16" s="44" t="s">
        <v>287</v>
      </c>
      <c r="H16" s="44" t="s">
        <v>288</v>
      </c>
      <c r="I16" s="44" t="s">
        <v>234</v>
      </c>
      <c r="J16" s="44" t="s">
        <v>235</v>
      </c>
      <c r="K16" s="44" t="s">
        <v>236</v>
      </c>
      <c r="L16" s="44">
        <v>0</v>
      </c>
    </row>
    <row r="17" spans="1:12" x14ac:dyDescent="0.75">
      <c r="A17" s="44" t="s">
        <v>25</v>
      </c>
      <c r="B17" s="44">
        <v>2025</v>
      </c>
      <c r="C17" s="44">
        <v>12</v>
      </c>
      <c r="D17" s="44">
        <v>-2.1</v>
      </c>
      <c r="E17" s="44" t="s">
        <v>237</v>
      </c>
      <c r="F17" s="44" t="s">
        <v>289</v>
      </c>
      <c r="G17" s="44" t="s">
        <v>290</v>
      </c>
      <c r="H17" s="44" t="s">
        <v>291</v>
      </c>
      <c r="I17" s="44" t="s">
        <v>234</v>
      </c>
      <c r="J17" s="44" t="s">
        <v>235</v>
      </c>
      <c r="K17" s="44" t="s">
        <v>236</v>
      </c>
      <c r="L17" s="44">
        <v>0</v>
      </c>
    </row>
    <row r="18" spans="1:12" x14ac:dyDescent="0.75">
      <c r="A18" s="44" t="s">
        <v>12</v>
      </c>
      <c r="B18" s="44">
        <v>2025</v>
      </c>
      <c r="C18" s="44">
        <v>12</v>
      </c>
      <c r="D18" s="44">
        <v>-2.1</v>
      </c>
      <c r="E18" s="44" t="s">
        <v>292</v>
      </c>
      <c r="F18" s="44" t="s">
        <v>293</v>
      </c>
      <c r="G18" s="44" t="s">
        <v>294</v>
      </c>
      <c r="H18" s="44" t="s">
        <v>295</v>
      </c>
      <c r="I18" s="44" t="s">
        <v>234</v>
      </c>
      <c r="J18" s="44" t="s">
        <v>235</v>
      </c>
      <c r="K18" s="44" t="s">
        <v>236</v>
      </c>
      <c r="L18" s="44">
        <v>0</v>
      </c>
    </row>
    <row r="19" spans="1:12" x14ac:dyDescent="0.75">
      <c r="A19" s="44" t="s">
        <v>10</v>
      </c>
      <c r="B19" s="44">
        <v>2025</v>
      </c>
      <c r="C19" s="44">
        <v>12</v>
      </c>
      <c r="D19" s="44">
        <v>-2.1</v>
      </c>
      <c r="E19" s="44" t="s">
        <v>296</v>
      </c>
      <c r="F19" s="44" t="s">
        <v>297</v>
      </c>
      <c r="G19" s="44" t="s">
        <v>298</v>
      </c>
      <c r="H19" s="44" t="s">
        <v>299</v>
      </c>
      <c r="I19" s="44" t="s">
        <v>234</v>
      </c>
      <c r="J19" s="44" t="s">
        <v>235</v>
      </c>
      <c r="K19" s="44" t="s">
        <v>236</v>
      </c>
      <c r="L19" s="44">
        <v>0</v>
      </c>
    </row>
    <row r="20" spans="1:12" x14ac:dyDescent="0.75">
      <c r="A20" s="44" t="s">
        <v>33</v>
      </c>
      <c r="B20" s="44">
        <v>2025</v>
      </c>
      <c r="C20" s="44">
        <v>12</v>
      </c>
      <c r="D20" s="44">
        <v>-2.1</v>
      </c>
      <c r="E20" s="44" t="s">
        <v>300</v>
      </c>
      <c r="F20" s="44" t="s">
        <v>301</v>
      </c>
      <c r="G20" s="44" t="s">
        <v>302</v>
      </c>
      <c r="H20" s="44" t="s">
        <v>303</v>
      </c>
      <c r="I20" s="44" t="s">
        <v>234</v>
      </c>
      <c r="J20" s="44" t="s">
        <v>235</v>
      </c>
      <c r="K20" s="44" t="s">
        <v>236</v>
      </c>
      <c r="L20" s="44">
        <v>0</v>
      </c>
    </row>
    <row r="21" spans="1:12" x14ac:dyDescent="0.75">
      <c r="A21" s="44" t="s">
        <v>34</v>
      </c>
      <c r="B21" s="44">
        <v>2025</v>
      </c>
      <c r="C21" s="44">
        <v>12</v>
      </c>
      <c r="D21" s="44">
        <v>-2.1</v>
      </c>
      <c r="E21" s="44" t="s">
        <v>304</v>
      </c>
      <c r="F21" s="44" t="s">
        <v>305</v>
      </c>
      <c r="G21" s="44" t="s">
        <v>306</v>
      </c>
      <c r="H21" s="44" t="s">
        <v>307</v>
      </c>
      <c r="I21" s="44" t="s">
        <v>234</v>
      </c>
      <c r="J21" s="44" t="s">
        <v>235</v>
      </c>
      <c r="K21" s="44" t="s">
        <v>236</v>
      </c>
      <c r="L21" s="44">
        <v>0</v>
      </c>
    </row>
    <row r="22" spans="1:12" x14ac:dyDescent="0.75">
      <c r="A22" s="44" t="s">
        <v>20</v>
      </c>
      <c r="B22" s="44">
        <v>2025</v>
      </c>
      <c r="C22" s="44">
        <v>12</v>
      </c>
      <c r="D22" s="44">
        <v>-2.1</v>
      </c>
      <c r="E22" s="44" t="s">
        <v>308</v>
      </c>
      <c r="F22" s="44" t="s">
        <v>309</v>
      </c>
      <c r="G22" s="44" t="s">
        <v>310</v>
      </c>
      <c r="H22" s="44" t="s">
        <v>311</v>
      </c>
      <c r="I22" s="44" t="s">
        <v>234</v>
      </c>
      <c r="J22" s="44" t="s">
        <v>235</v>
      </c>
      <c r="K22" s="44" t="s">
        <v>236</v>
      </c>
      <c r="L22" s="44">
        <v>0</v>
      </c>
    </row>
    <row r="23" spans="1:12" x14ac:dyDescent="0.75">
      <c r="A23" s="44" t="s">
        <v>21</v>
      </c>
      <c r="B23" s="44">
        <v>2025</v>
      </c>
      <c r="C23" s="44">
        <v>12</v>
      </c>
      <c r="D23" s="44">
        <v>-2.1</v>
      </c>
      <c r="E23" s="44" t="s">
        <v>300</v>
      </c>
      <c r="F23" s="44" t="s">
        <v>312</v>
      </c>
      <c r="G23" s="44" t="s">
        <v>313</v>
      </c>
      <c r="H23" s="44" t="s">
        <v>314</v>
      </c>
      <c r="I23" s="44" t="s">
        <v>234</v>
      </c>
      <c r="J23" s="44" t="s">
        <v>235</v>
      </c>
      <c r="K23" s="44" t="s">
        <v>236</v>
      </c>
      <c r="L23" s="44">
        <v>0</v>
      </c>
    </row>
    <row r="24" spans="1:12" x14ac:dyDescent="0.75">
      <c r="A24" s="44" t="s">
        <v>37</v>
      </c>
      <c r="B24" s="44">
        <v>2025</v>
      </c>
      <c r="C24" s="44">
        <v>12</v>
      </c>
      <c r="D24" s="44">
        <v>-2.1</v>
      </c>
      <c r="E24" s="44" t="s">
        <v>315</v>
      </c>
      <c r="F24" s="44" t="s">
        <v>217</v>
      </c>
      <c r="G24" s="44" t="s">
        <v>316</v>
      </c>
      <c r="H24" s="44" t="s">
        <v>317</v>
      </c>
      <c r="I24" s="44" t="s">
        <v>234</v>
      </c>
      <c r="J24" s="44" t="s">
        <v>235</v>
      </c>
      <c r="K24" s="44" t="s">
        <v>236</v>
      </c>
      <c r="L24" s="44">
        <v>0</v>
      </c>
    </row>
    <row r="25" spans="1:12" x14ac:dyDescent="0.75">
      <c r="A25" s="44" t="s">
        <v>35</v>
      </c>
      <c r="B25" s="44">
        <v>2025</v>
      </c>
      <c r="C25" s="44">
        <v>12</v>
      </c>
      <c r="D25" s="44">
        <v>-2.1</v>
      </c>
      <c r="E25" s="44" t="s">
        <v>318</v>
      </c>
      <c r="F25" s="44" t="s">
        <v>217</v>
      </c>
      <c r="G25" s="44" t="s">
        <v>319</v>
      </c>
      <c r="H25" s="44" t="s">
        <v>320</v>
      </c>
      <c r="I25" s="44" t="s">
        <v>234</v>
      </c>
      <c r="J25" s="44" t="s">
        <v>235</v>
      </c>
      <c r="K25" s="44" t="s">
        <v>236</v>
      </c>
      <c r="L25" s="44">
        <v>0</v>
      </c>
    </row>
    <row r="26" spans="1:12" x14ac:dyDescent="0.75">
      <c r="A26" s="44" t="s">
        <v>6</v>
      </c>
      <c r="B26" s="44">
        <v>2025</v>
      </c>
      <c r="C26" s="44">
        <v>12</v>
      </c>
      <c r="D26" s="44">
        <v>-2.1</v>
      </c>
      <c r="E26" s="44" t="s">
        <v>321</v>
      </c>
      <c r="F26" s="44" t="s">
        <v>322</v>
      </c>
      <c r="G26" s="44" t="s">
        <v>323</v>
      </c>
      <c r="H26" s="44" t="s">
        <v>324</v>
      </c>
      <c r="I26" s="44" t="s">
        <v>234</v>
      </c>
      <c r="J26" s="44" t="s">
        <v>235</v>
      </c>
      <c r="K26" s="44" t="s">
        <v>236</v>
      </c>
      <c r="L26" s="44">
        <v>0</v>
      </c>
    </row>
    <row r="27" spans="1:12" x14ac:dyDescent="0.75">
      <c r="A27" s="44" t="s">
        <v>32</v>
      </c>
      <c r="B27" s="44">
        <v>2025</v>
      </c>
      <c r="C27" s="44">
        <v>12</v>
      </c>
      <c r="D27" s="44">
        <v>-2.1</v>
      </c>
      <c r="E27" s="44" t="s">
        <v>296</v>
      </c>
      <c r="F27" s="44" t="s">
        <v>325</v>
      </c>
      <c r="G27" s="44" t="s">
        <v>326</v>
      </c>
      <c r="H27" s="44" t="s">
        <v>277</v>
      </c>
      <c r="I27" s="44" t="s">
        <v>234</v>
      </c>
      <c r="J27" s="44" t="s">
        <v>235</v>
      </c>
      <c r="K27" s="44" t="s">
        <v>236</v>
      </c>
      <c r="L27" s="44">
        <v>0</v>
      </c>
    </row>
    <row r="28" spans="1:12" x14ac:dyDescent="0.75">
      <c r="A28" s="44" t="s">
        <v>29</v>
      </c>
      <c r="B28" s="44">
        <v>2025</v>
      </c>
      <c r="C28" s="44">
        <v>12</v>
      </c>
      <c r="D28" s="44">
        <v>-2.1</v>
      </c>
      <c r="E28" s="44" t="s">
        <v>327</v>
      </c>
      <c r="F28" s="44" t="s">
        <v>328</v>
      </c>
      <c r="G28" s="44" t="s">
        <v>329</v>
      </c>
      <c r="H28" s="44" t="s">
        <v>330</v>
      </c>
      <c r="I28" s="44" t="s">
        <v>234</v>
      </c>
      <c r="J28" s="44" t="s">
        <v>235</v>
      </c>
      <c r="K28" s="44" t="s">
        <v>236</v>
      </c>
      <c r="L28" s="44">
        <v>0</v>
      </c>
    </row>
    <row r="29" spans="1:12" x14ac:dyDescent="0.75">
      <c r="A29" s="44" t="s">
        <v>28</v>
      </c>
      <c r="B29" s="44">
        <v>2025</v>
      </c>
      <c r="C29" s="44">
        <v>12</v>
      </c>
      <c r="D29" s="44">
        <v>-2.1</v>
      </c>
      <c r="E29" s="44" t="s">
        <v>331</v>
      </c>
      <c r="F29" s="44" t="s">
        <v>332</v>
      </c>
      <c r="G29" s="44" t="s">
        <v>333</v>
      </c>
      <c r="H29" s="44" t="s">
        <v>334</v>
      </c>
      <c r="I29" s="44" t="s">
        <v>234</v>
      </c>
      <c r="J29" s="44" t="s">
        <v>235</v>
      </c>
      <c r="K29" s="44" t="s">
        <v>236</v>
      </c>
      <c r="L29" s="44">
        <v>0</v>
      </c>
    </row>
    <row r="30" spans="1:12" x14ac:dyDescent="0.75">
      <c r="A30" s="44" t="s">
        <v>30</v>
      </c>
      <c r="B30" s="44">
        <v>2025</v>
      </c>
      <c r="C30" s="44">
        <v>12</v>
      </c>
      <c r="D30" s="44">
        <v>-2.1</v>
      </c>
      <c r="E30" s="44" t="s">
        <v>335</v>
      </c>
      <c r="F30" s="44" t="s">
        <v>336</v>
      </c>
      <c r="G30" s="44" t="s">
        <v>337</v>
      </c>
      <c r="H30" s="44" t="s">
        <v>338</v>
      </c>
      <c r="I30" s="44" t="s">
        <v>234</v>
      </c>
      <c r="J30" s="44" t="s">
        <v>235</v>
      </c>
      <c r="K30" s="44" t="s">
        <v>236</v>
      </c>
      <c r="L30" s="44">
        <v>0</v>
      </c>
    </row>
    <row r="31" spans="1:12" x14ac:dyDescent="0.75">
      <c r="A31" s="44" t="s">
        <v>27</v>
      </c>
      <c r="B31" s="44">
        <v>2025</v>
      </c>
      <c r="C31" s="44">
        <v>12</v>
      </c>
      <c r="D31" s="44">
        <v>-2.1</v>
      </c>
      <c r="E31" s="44" t="s">
        <v>339</v>
      </c>
      <c r="F31" s="44" t="s">
        <v>340</v>
      </c>
      <c r="G31" s="44" t="s">
        <v>341</v>
      </c>
      <c r="H31" s="44" t="s">
        <v>342</v>
      </c>
      <c r="I31" s="44" t="s">
        <v>234</v>
      </c>
      <c r="J31" s="44" t="s">
        <v>235</v>
      </c>
      <c r="K31" s="44" t="s">
        <v>236</v>
      </c>
      <c r="L31" s="44">
        <v>0</v>
      </c>
    </row>
    <row r="32" spans="1:12" x14ac:dyDescent="0.75">
      <c r="A32" s="44" t="s">
        <v>5</v>
      </c>
      <c r="B32" s="44">
        <v>2025</v>
      </c>
      <c r="C32" s="44">
        <v>12</v>
      </c>
      <c r="D32" s="44">
        <v>-2.1</v>
      </c>
      <c r="E32" s="44" t="s">
        <v>343</v>
      </c>
      <c r="F32" s="44" t="s">
        <v>344</v>
      </c>
      <c r="G32" s="44" t="s">
        <v>217</v>
      </c>
      <c r="H32" s="44" t="s">
        <v>345</v>
      </c>
      <c r="I32" s="44" t="s">
        <v>234</v>
      </c>
      <c r="J32" s="44" t="s">
        <v>235</v>
      </c>
      <c r="K32" s="44" t="s">
        <v>236</v>
      </c>
      <c r="L32" s="44">
        <v>0</v>
      </c>
    </row>
    <row r="33" spans="1:12" x14ac:dyDescent="0.75">
      <c r="A33" s="44" t="s">
        <v>8</v>
      </c>
      <c r="B33" s="44">
        <v>2025</v>
      </c>
      <c r="C33" s="44">
        <v>12</v>
      </c>
      <c r="D33" s="44">
        <v>-2.1</v>
      </c>
      <c r="E33" s="44" t="s">
        <v>327</v>
      </c>
      <c r="F33" s="44" t="s">
        <v>346</v>
      </c>
      <c r="G33" s="44" t="s">
        <v>347</v>
      </c>
      <c r="H33" s="44" t="s">
        <v>348</v>
      </c>
      <c r="I33" s="44" t="s">
        <v>234</v>
      </c>
      <c r="J33" s="44" t="s">
        <v>235</v>
      </c>
      <c r="K33" s="44" t="s">
        <v>236</v>
      </c>
      <c r="L33" s="44">
        <v>0</v>
      </c>
    </row>
    <row r="34" spans="1:12" x14ac:dyDescent="0.75">
      <c r="A34" s="44" t="s">
        <v>4</v>
      </c>
      <c r="B34" s="44">
        <v>2025</v>
      </c>
      <c r="C34" s="44">
        <v>12</v>
      </c>
      <c r="D34" s="44">
        <v>-2.1</v>
      </c>
      <c r="E34" s="44" t="s">
        <v>349</v>
      </c>
      <c r="F34" s="44" t="s">
        <v>350</v>
      </c>
      <c r="G34" s="44" t="s">
        <v>351</v>
      </c>
      <c r="H34" s="44" t="s">
        <v>352</v>
      </c>
      <c r="I34" s="44" t="s">
        <v>234</v>
      </c>
      <c r="J34" s="44" t="s">
        <v>235</v>
      </c>
      <c r="K34" s="44" t="s">
        <v>236</v>
      </c>
      <c r="L34" s="44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Tahunan</vt:lpstr>
      <vt:lpstr>Bulanan</vt:lpstr>
      <vt:lpstr>Korelasi Bulanan</vt:lpstr>
      <vt:lpstr>Dampak Probabilitas Variabel</vt:lpstr>
      <vt:lpstr>Proyeksi Risiko Terkini</vt:lpstr>
      <vt:lpstr>Kondisi Variabel Terkini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 mansur</dc:creator>
  <cp:lastModifiedBy>alfan mansur</cp:lastModifiedBy>
  <dcterms:created xsi:type="dcterms:W3CDTF">2026-06-24T22:39:05Z</dcterms:created>
  <dcterms:modified xsi:type="dcterms:W3CDTF">2026-06-25T04:34:53Z</dcterms:modified>
</cp:coreProperties>
</file>