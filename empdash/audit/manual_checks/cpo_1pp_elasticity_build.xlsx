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uliamuthia/empdash/audit/manual_checks/"/>
    </mc:Choice>
  </mc:AlternateContent>
  <xr:revisionPtr revIDLastSave="0" documentId="13_ncr:1_{7A33C2F2-0BD0-3E4E-B51F-889DFAC8843D}" xr6:coauthVersionLast="47" xr6:coauthVersionMax="47" xr10:uidLastSave="{00000000-0000-0000-0000-000000000000}"/>
  <bookViews>
    <workbookView xWindow="0" yWindow="660" windowWidth="15080" windowHeight="17180" xr2:uid="{00000000-000D-0000-FFFF-FFFF00000000}"/>
  </bookViews>
  <sheets>
    <sheet name="Estates_elasticity_bui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F2" i="1"/>
  <c r="G2" i="1" s="1"/>
  <c r="H3" i="1"/>
  <c r="H4" i="1"/>
  <c r="H5" i="1"/>
  <c r="H6" i="1"/>
  <c r="H7" i="1"/>
  <c r="H8" i="1"/>
  <c r="I8" i="1" s="1"/>
  <c r="J8" i="1" s="1"/>
  <c r="H9" i="1"/>
  <c r="H10" i="1"/>
  <c r="H11" i="1"/>
  <c r="H12" i="1"/>
  <c r="H13" i="1"/>
  <c r="H14" i="1"/>
  <c r="H15" i="1"/>
  <c r="H16" i="1"/>
  <c r="I16" i="1" s="1"/>
  <c r="J16" i="1" s="1"/>
  <c r="H17" i="1"/>
  <c r="H18" i="1"/>
  <c r="H19" i="1"/>
  <c r="H20" i="1"/>
  <c r="H21" i="1"/>
  <c r="H22" i="1"/>
  <c r="H23" i="1"/>
  <c r="H24" i="1"/>
  <c r="I24" i="1" s="1"/>
  <c r="J24" i="1" s="1"/>
  <c r="H25" i="1"/>
  <c r="H26" i="1"/>
  <c r="H27" i="1"/>
  <c r="H28" i="1"/>
  <c r="H29" i="1"/>
  <c r="H30" i="1"/>
  <c r="H31" i="1"/>
  <c r="H32" i="1"/>
  <c r="I32" i="1" s="1"/>
  <c r="J32" i="1" s="1"/>
  <c r="H33" i="1"/>
  <c r="I33" i="1" s="1"/>
  <c r="J33" i="1" s="1"/>
  <c r="H34" i="1"/>
  <c r="H35" i="1"/>
  <c r="I3" i="1"/>
  <c r="J3" i="1" s="1"/>
  <c r="I4" i="1"/>
  <c r="J4" i="1" s="1"/>
  <c r="I5" i="1"/>
  <c r="J5" i="1" s="1"/>
  <c r="I6" i="1"/>
  <c r="J6" i="1" s="1"/>
  <c r="I7" i="1"/>
  <c r="J7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4" i="1"/>
  <c r="J34" i="1" s="1"/>
  <c r="I35" i="1"/>
  <c r="J35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</calcChain>
</file>

<file path=xl/sharedStrings.xml><?xml version="1.0" encoding="utf-8"?>
<sst xmlns="http://schemas.openxmlformats.org/spreadsheetml/2006/main" count="47" uniqueCount="47">
  <si>
    <t>province</t>
  </si>
  <si>
    <t>emp (Estates) [GIVEN]</t>
  </si>
  <si>
    <t>factor [GIVEN]</t>
  </si>
  <si>
    <t>base_elasticity [GIVEN]</t>
  </si>
  <si>
    <t>shock_pp [GIVEN]</t>
  </si>
  <si>
    <t>national_total  =SUM(B)</t>
  </si>
  <si>
    <t>province_share  =B/F</t>
  </si>
  <si>
    <t>elasticity  =C*D*G</t>
  </si>
  <si>
    <t>E_pct  =E*H</t>
  </si>
  <si>
    <t>dL  =I/100*B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</si>
  <si>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</si>
  <si>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</si>
  <si>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</si>
  <si>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</si>
  <si>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</si>
  <si>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</si>
  <si>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</si>
  <si>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</si>
  <si>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</si>
  <si>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</si>
  <si>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</si>
  <si>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</si>
  <si>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</si>
  <si>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</si>
  <si>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</si>
  <si>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</si>
  <si>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</si>
  <si>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</si>
  <si>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</si>
  <si>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</si>
  <si>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</si>
  <si>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</si>
  <si>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</si>
  <si>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</si>
  <si>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</si>
  <si>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</si>
  <si>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</si>
  <si>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</si>
  <si>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</si>
  <si>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</si>
  <si>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</si>
  <si>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</si>
  <si>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</si>
  <si>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</si>
  <si>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TARGETS to match the dashboard simulator (CPO +1pp):</t>
  </si>
  <si>
    <t xml:space="preserve">  Jawa Timur cell dL ≈</t>
  </si>
  <si>
    <t xml:space="preserve">  Estates total dL (sum of column J) 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</si>
</sst>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ont="1" applyFill="1"/>
    <xf numFmtId="0" fontId="1" fillId="4" borderId="0" xfId="0" applyFont="1" applyFill="1"/>
    <xf numFmtId="0" fontId="0" fillId="4" borderId="0" xfId="0" applyFill="1"/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B1" zoomScale="93" workbookViewId="0">
      <selection activeCell="G19" sqref="G19"/>
    </sheetView>
  </sheetViews>
  <sheetFormatPr baseColWidth="10" defaultColWidth="8.83203125" defaultRowHeight="15" x14ac:dyDescent="0.2"/>
  <cols>
    <col min="1" max="2" width="20" customWidth="1"/>
    <col min="3" max="3" width="12" style="5" customWidth="1"/>
    <col min="4" max="4" width="18" style="5" customWidth="1"/>
    <col min="5" max="5" width="12" customWidth="1"/>
    <col min="6" max="6" width="18" customWidth="1"/>
    <col min="7" max="7" width="18" style="5" customWidth="1"/>
    <col min="8" max="8" width="16" customWidth="1"/>
    <col min="9" max="10" width="12" customWidth="1"/>
  </cols>
  <sheetData>
    <row r="1" spans="1:10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t="s">
        <v>10</v>
      </c>
      <c r="B2">
        <v>315856</v>
      </c>
      <c r="C2" s="5">
        <v>1</v>
      </c>
      <c r="D2" s="5">
        <v>0.2</v>
      </c>
      <c r="E2">
        <v>1</v>
      </c>
      <c r="F2">
        <f>SUM($B$2:$B$35)</f>
        <v>7953598</v>
      </c>
      <c r="G2" s="5">
        <f>B2/F2</f>
        <v>3.9712341508836631E-2</v>
      </c>
      <c r="H2">
        <f>C2*D2*G2</f>
        <v>7.9424683017673258E-3</v>
      </c>
      <c r="I2">
        <f>E2*H2</f>
        <v>7.9424683017673258E-3</v>
      </c>
      <c r="J2">
        <f>I2/100*B2</f>
        <v>25.086762679230205</v>
      </c>
    </row>
    <row r="3" spans="1:10" x14ac:dyDescent="0.2">
      <c r="A3" t="s">
        <v>11</v>
      </c>
      <c r="B3">
        <v>733236</v>
      </c>
      <c r="C3" s="5">
        <v>1</v>
      </c>
      <c r="D3" s="5">
        <v>0.2</v>
      </c>
      <c r="E3">
        <v>1</v>
      </c>
      <c r="F3">
        <f t="shared" ref="F3:F35" si="0">SUM($B$2:$B$35)</f>
        <v>7953598</v>
      </c>
      <c r="G3" s="5">
        <f t="shared" ref="G3:G35" si="1">B3/F3</f>
        <v>9.2189220526358001E-2</v>
      </c>
      <c r="H3">
        <f t="shared" ref="H3:H35" si="2">C3*D3*G3</f>
        <v>1.8437844105271602E-2</v>
      </c>
      <c r="I3">
        <f t="shared" ref="I3:I35" si="3">E3*H3</f>
        <v>1.8437844105271602E-2</v>
      </c>
      <c r="J3">
        <f t="shared" ref="J3:J35" si="4">I3/100*B3</f>
        <v>135.19291060372927</v>
      </c>
    </row>
    <row r="4" spans="1:10" x14ac:dyDescent="0.2">
      <c r="A4" t="s">
        <v>12</v>
      </c>
      <c r="B4">
        <v>170720</v>
      </c>
      <c r="C4" s="5">
        <v>1</v>
      </c>
      <c r="D4" s="5">
        <v>0.2</v>
      </c>
      <c r="E4">
        <v>1</v>
      </c>
      <c r="F4">
        <f t="shared" si="0"/>
        <v>7953598</v>
      </c>
      <c r="G4" s="5">
        <f t="shared" si="1"/>
        <v>2.1464499463010326E-2</v>
      </c>
      <c r="H4">
        <f t="shared" si="2"/>
        <v>4.2928998926020654E-3</v>
      </c>
      <c r="I4">
        <f t="shared" si="3"/>
        <v>4.2928998926020654E-3</v>
      </c>
      <c r="J4">
        <f t="shared" si="4"/>
        <v>7.3288386966502461</v>
      </c>
    </row>
    <row r="5" spans="1:10" x14ac:dyDescent="0.2">
      <c r="A5" t="s">
        <v>13</v>
      </c>
      <c r="B5">
        <v>813721</v>
      </c>
      <c r="C5" s="5">
        <v>1</v>
      </c>
      <c r="D5" s="5">
        <v>0.2</v>
      </c>
      <c r="E5">
        <v>1</v>
      </c>
      <c r="F5">
        <f t="shared" si="0"/>
        <v>7953598</v>
      </c>
      <c r="G5" s="5">
        <f t="shared" si="1"/>
        <v>0.10230854010977171</v>
      </c>
      <c r="H5">
        <f t="shared" si="2"/>
        <v>2.0461708021954343E-2</v>
      </c>
      <c r="I5">
        <f t="shared" si="3"/>
        <v>2.0461708021954343E-2</v>
      </c>
      <c r="J5">
        <f t="shared" si="4"/>
        <v>166.50121513332709</v>
      </c>
    </row>
    <row r="6" spans="1:10" x14ac:dyDescent="0.2">
      <c r="A6" t="s">
        <v>14</v>
      </c>
      <c r="B6">
        <v>370156</v>
      </c>
      <c r="C6" s="5">
        <v>1</v>
      </c>
      <c r="D6" s="5">
        <v>0.2</v>
      </c>
      <c r="E6">
        <v>1</v>
      </c>
      <c r="F6">
        <f t="shared" si="0"/>
        <v>7953598</v>
      </c>
      <c r="G6" s="5">
        <f t="shared" si="1"/>
        <v>4.6539440389116976E-2</v>
      </c>
      <c r="H6">
        <f t="shared" si="2"/>
        <v>9.3078880778233956E-3</v>
      </c>
      <c r="I6">
        <f t="shared" si="3"/>
        <v>9.3078880778233956E-3</v>
      </c>
      <c r="J6">
        <f t="shared" si="4"/>
        <v>34.453706193347969</v>
      </c>
    </row>
    <row r="7" spans="1:10" x14ac:dyDescent="0.2">
      <c r="A7" t="s">
        <v>15</v>
      </c>
      <c r="B7">
        <v>622962</v>
      </c>
      <c r="C7" s="5">
        <v>1</v>
      </c>
      <c r="D7" s="5">
        <v>0.2</v>
      </c>
      <c r="E7">
        <v>1</v>
      </c>
      <c r="F7">
        <f t="shared" si="0"/>
        <v>7953598</v>
      </c>
      <c r="G7" s="5">
        <f t="shared" si="1"/>
        <v>7.8324551982637297E-2</v>
      </c>
      <c r="H7">
        <f t="shared" si="2"/>
        <v>1.5664910396527461E-2</v>
      </c>
      <c r="I7">
        <f t="shared" si="3"/>
        <v>1.5664910396527461E-2</v>
      </c>
      <c r="J7">
        <f t="shared" si="4"/>
        <v>97.586439104415405</v>
      </c>
    </row>
    <row r="8" spans="1:10" x14ac:dyDescent="0.2">
      <c r="A8" t="s">
        <v>16</v>
      </c>
      <c r="B8">
        <v>272238</v>
      </c>
      <c r="C8" s="5">
        <v>1</v>
      </c>
      <c r="D8" s="5">
        <v>0.2</v>
      </c>
      <c r="E8">
        <v>1</v>
      </c>
      <c r="F8">
        <f t="shared" si="0"/>
        <v>7953598</v>
      </c>
      <c r="G8" s="5">
        <f t="shared" si="1"/>
        <v>3.4228282596128194E-2</v>
      </c>
      <c r="H8">
        <f t="shared" si="2"/>
        <v>6.8456565192256394E-3</v>
      </c>
      <c r="I8">
        <f t="shared" si="3"/>
        <v>6.8456565192256394E-3</v>
      </c>
      <c r="J8">
        <f t="shared" si="4"/>
        <v>18.636478394809497</v>
      </c>
    </row>
    <row r="9" spans="1:10" x14ac:dyDescent="0.2">
      <c r="A9" t="s">
        <v>17</v>
      </c>
      <c r="B9">
        <v>373757</v>
      </c>
      <c r="C9" s="5">
        <v>1</v>
      </c>
      <c r="D9" s="5">
        <v>0.2</v>
      </c>
      <c r="E9">
        <v>1</v>
      </c>
      <c r="F9">
        <f t="shared" si="0"/>
        <v>7953598</v>
      </c>
      <c r="G9" s="5">
        <f t="shared" si="1"/>
        <v>4.6992191458507207E-2</v>
      </c>
      <c r="H9">
        <f t="shared" si="2"/>
        <v>9.3984382917014428E-3</v>
      </c>
      <c r="I9">
        <f t="shared" si="3"/>
        <v>9.3984382917014428E-3</v>
      </c>
      <c r="J9">
        <f t="shared" si="4"/>
        <v>35.12732100591456</v>
      </c>
    </row>
    <row r="10" spans="1:10" x14ac:dyDescent="0.2">
      <c r="A10" t="s">
        <v>18</v>
      </c>
      <c r="B10">
        <v>87811</v>
      </c>
      <c r="C10" s="5">
        <v>1</v>
      </c>
      <c r="D10" s="5">
        <v>0.2</v>
      </c>
      <c r="E10">
        <v>1</v>
      </c>
      <c r="F10">
        <f t="shared" si="0"/>
        <v>7953598</v>
      </c>
      <c r="G10" s="5">
        <f t="shared" si="1"/>
        <v>1.1040412150576381E-2</v>
      </c>
      <c r="H10">
        <f t="shared" si="2"/>
        <v>2.2080824301152764E-3</v>
      </c>
      <c r="I10">
        <f t="shared" si="3"/>
        <v>2.2080824301152764E-3</v>
      </c>
      <c r="J10">
        <f t="shared" si="4"/>
        <v>1.9389392627085256</v>
      </c>
    </row>
    <row r="11" spans="1:10" x14ac:dyDescent="0.2">
      <c r="A11" t="s">
        <v>19</v>
      </c>
      <c r="B11">
        <v>5668</v>
      </c>
      <c r="C11" s="5">
        <v>1</v>
      </c>
      <c r="D11" s="5">
        <v>0.2</v>
      </c>
      <c r="E11">
        <v>1</v>
      </c>
      <c r="F11">
        <f t="shared" si="0"/>
        <v>7953598</v>
      </c>
      <c r="G11" s="5">
        <f t="shared" si="1"/>
        <v>7.1263345218101296E-4</v>
      </c>
      <c r="H11">
        <f t="shared" si="2"/>
        <v>1.4252669043620259E-4</v>
      </c>
      <c r="I11">
        <f t="shared" si="3"/>
        <v>1.4252669043620259E-4</v>
      </c>
      <c r="J11">
        <f t="shared" si="4"/>
        <v>8.078412813923963E-3</v>
      </c>
    </row>
    <row r="12" spans="1:10" x14ac:dyDescent="0.2">
      <c r="A12" t="s">
        <v>20</v>
      </c>
      <c r="B12">
        <v>3407</v>
      </c>
      <c r="C12" s="5">
        <v>1</v>
      </c>
      <c r="D12" s="5">
        <v>0.2</v>
      </c>
      <c r="E12">
        <v>1</v>
      </c>
      <c r="F12">
        <f t="shared" si="0"/>
        <v>7953598</v>
      </c>
      <c r="G12" s="5">
        <f t="shared" si="1"/>
        <v>4.2835959272771897E-4</v>
      </c>
      <c r="H12">
        <f t="shared" si="2"/>
        <v>8.5671918545543799E-5</v>
      </c>
      <c r="I12">
        <f t="shared" si="3"/>
        <v>8.5671918545543799E-5</v>
      </c>
      <c r="J12">
        <f t="shared" si="4"/>
        <v>2.9188422648466772E-3</v>
      </c>
    </row>
    <row r="13" spans="1:10" x14ac:dyDescent="0.2">
      <c r="A13" t="s">
        <v>21</v>
      </c>
      <c r="B13">
        <v>142494</v>
      </c>
      <c r="C13" s="5">
        <v>1</v>
      </c>
      <c r="D13" s="5">
        <v>0.2</v>
      </c>
      <c r="E13">
        <v>1</v>
      </c>
      <c r="F13">
        <f t="shared" si="0"/>
        <v>7953598</v>
      </c>
      <c r="G13" s="5">
        <f t="shared" si="1"/>
        <v>1.7915665337876016E-2</v>
      </c>
      <c r="H13">
        <f t="shared" si="2"/>
        <v>3.5831330675752033E-3</v>
      </c>
      <c r="I13">
        <f t="shared" si="3"/>
        <v>3.5831330675752033E-3</v>
      </c>
      <c r="J13">
        <f t="shared" si="4"/>
        <v>5.1057496333106105</v>
      </c>
    </row>
    <row r="14" spans="1:10" x14ac:dyDescent="0.2">
      <c r="A14" t="s">
        <v>22</v>
      </c>
      <c r="B14">
        <v>515521</v>
      </c>
      <c r="C14" s="5">
        <v>1</v>
      </c>
      <c r="D14" s="5">
        <v>0.2</v>
      </c>
      <c r="E14">
        <v>1</v>
      </c>
      <c r="F14">
        <f t="shared" si="0"/>
        <v>7953598</v>
      </c>
      <c r="G14" s="5">
        <f t="shared" si="1"/>
        <v>6.4816074435745941E-2</v>
      </c>
      <c r="H14">
        <f t="shared" si="2"/>
        <v>1.2963214887149188E-2</v>
      </c>
      <c r="I14">
        <f t="shared" si="3"/>
        <v>1.2963214887149188E-2</v>
      </c>
      <c r="J14">
        <f t="shared" si="4"/>
        <v>66.828095018380367</v>
      </c>
    </row>
    <row r="15" spans="1:10" x14ac:dyDescent="0.2">
      <c r="A15" t="s">
        <v>23</v>
      </c>
      <c r="B15">
        <v>7661</v>
      </c>
      <c r="C15" s="5">
        <v>1</v>
      </c>
      <c r="D15" s="5">
        <v>0.2</v>
      </c>
      <c r="E15">
        <v>1</v>
      </c>
      <c r="F15">
        <f t="shared" si="0"/>
        <v>7953598</v>
      </c>
      <c r="G15" s="5">
        <f t="shared" si="1"/>
        <v>9.6321186964691953E-4</v>
      </c>
      <c r="H15">
        <f t="shared" si="2"/>
        <v>1.9264237392938391E-4</v>
      </c>
      <c r="I15">
        <f t="shared" si="3"/>
        <v>1.9264237392938391E-4</v>
      </c>
      <c r="J15">
        <f t="shared" si="4"/>
        <v>1.4758332266730102E-2</v>
      </c>
    </row>
    <row r="16" spans="1:10" s="3" customFormat="1" x14ac:dyDescent="0.2">
      <c r="A16" s="3" t="s">
        <v>24</v>
      </c>
      <c r="B16" s="3">
        <v>1243147</v>
      </c>
      <c r="C16" s="6">
        <v>1</v>
      </c>
      <c r="D16" s="6">
        <v>0.2</v>
      </c>
      <c r="E16" s="3">
        <v>1</v>
      </c>
      <c r="F16" s="3">
        <f t="shared" si="0"/>
        <v>7953598</v>
      </c>
      <c r="G16" s="6">
        <f t="shared" si="1"/>
        <v>0.15629995380706946</v>
      </c>
      <c r="H16" s="3">
        <f t="shared" si="2"/>
        <v>3.1259990761413892E-2</v>
      </c>
      <c r="I16" s="3">
        <f t="shared" si="3"/>
        <v>3.1259990761413892E-2</v>
      </c>
      <c r="J16" s="3">
        <f t="shared" si="4"/>
        <v>388.60763735079394</v>
      </c>
    </row>
    <row r="17" spans="1:10" x14ac:dyDescent="0.2">
      <c r="A17" t="s">
        <v>25</v>
      </c>
      <c r="B17">
        <v>27207</v>
      </c>
      <c r="C17" s="5">
        <v>1</v>
      </c>
      <c r="D17" s="5">
        <v>0.2</v>
      </c>
      <c r="E17">
        <v>1</v>
      </c>
      <c r="F17">
        <f t="shared" si="0"/>
        <v>7953598</v>
      </c>
      <c r="G17" s="5">
        <f t="shared" si="1"/>
        <v>3.4207160080255501E-3</v>
      </c>
      <c r="H17">
        <f t="shared" si="2"/>
        <v>6.8414320160511011E-4</v>
      </c>
      <c r="I17">
        <f t="shared" si="3"/>
        <v>6.8414320160511011E-4</v>
      </c>
      <c r="J17">
        <f t="shared" si="4"/>
        <v>0.18613484086070231</v>
      </c>
    </row>
    <row r="18" spans="1:10" x14ac:dyDescent="0.2">
      <c r="A18" t="s">
        <v>26</v>
      </c>
      <c r="B18">
        <v>40989</v>
      </c>
      <c r="C18" s="5">
        <v>1</v>
      </c>
      <c r="D18" s="5">
        <v>0.2</v>
      </c>
      <c r="E18">
        <v>1</v>
      </c>
      <c r="F18">
        <f t="shared" si="0"/>
        <v>7953598</v>
      </c>
      <c r="G18" s="5">
        <f t="shared" si="1"/>
        <v>5.1535166851530588E-3</v>
      </c>
      <c r="H18">
        <f t="shared" si="2"/>
        <v>1.0307033370306118E-3</v>
      </c>
      <c r="I18">
        <f t="shared" si="3"/>
        <v>1.0307033370306118E-3</v>
      </c>
      <c r="J18">
        <f t="shared" si="4"/>
        <v>0.42247499081547746</v>
      </c>
    </row>
    <row r="19" spans="1:10" x14ac:dyDescent="0.2">
      <c r="A19" t="s">
        <v>27</v>
      </c>
      <c r="B19">
        <v>226340</v>
      </c>
      <c r="C19" s="5">
        <v>1</v>
      </c>
      <c r="D19" s="5">
        <v>0.2</v>
      </c>
      <c r="E19">
        <v>1</v>
      </c>
      <c r="F19">
        <f t="shared" si="0"/>
        <v>7953598</v>
      </c>
      <c r="G19" s="5">
        <f t="shared" si="1"/>
        <v>2.8457560968004669E-2</v>
      </c>
      <c r="H19">
        <f t="shared" si="2"/>
        <v>5.691512193600934E-3</v>
      </c>
      <c r="I19">
        <f t="shared" si="3"/>
        <v>5.691512193600934E-3</v>
      </c>
      <c r="J19">
        <f t="shared" si="4"/>
        <v>12.882168698996354</v>
      </c>
    </row>
    <row r="20" spans="1:10" x14ac:dyDescent="0.2">
      <c r="A20" t="s">
        <v>28</v>
      </c>
      <c r="B20">
        <v>168354</v>
      </c>
      <c r="C20" s="5">
        <v>1</v>
      </c>
      <c r="D20" s="5">
        <v>0.2</v>
      </c>
      <c r="E20">
        <v>1</v>
      </c>
      <c r="F20">
        <f t="shared" si="0"/>
        <v>7953598</v>
      </c>
      <c r="G20" s="5">
        <f t="shared" si="1"/>
        <v>2.11670240311366E-2</v>
      </c>
      <c r="H20">
        <f t="shared" si="2"/>
        <v>4.2334048062273198E-3</v>
      </c>
      <c r="I20">
        <f t="shared" si="3"/>
        <v>4.2334048062273198E-3</v>
      </c>
      <c r="J20">
        <f t="shared" si="4"/>
        <v>7.1271063274759427</v>
      </c>
    </row>
    <row r="21" spans="1:10" x14ac:dyDescent="0.2">
      <c r="A21" t="s">
        <v>29</v>
      </c>
      <c r="B21">
        <v>506422</v>
      </c>
      <c r="C21" s="5">
        <v>1</v>
      </c>
      <c r="D21" s="5">
        <v>0.2</v>
      </c>
      <c r="E21">
        <v>1</v>
      </c>
      <c r="F21">
        <f t="shared" si="0"/>
        <v>7953598</v>
      </c>
      <c r="G21" s="5">
        <f t="shared" si="1"/>
        <v>6.3672063888569677E-2</v>
      </c>
      <c r="H21">
        <f t="shared" si="2"/>
        <v>1.2734412777713935E-2</v>
      </c>
      <c r="I21">
        <f t="shared" si="3"/>
        <v>1.2734412777713935E-2</v>
      </c>
      <c r="J21">
        <f t="shared" si="4"/>
        <v>64.489867877154467</v>
      </c>
    </row>
    <row r="22" spans="1:10" x14ac:dyDescent="0.2">
      <c r="A22" t="s">
        <v>30</v>
      </c>
      <c r="B22">
        <v>231876</v>
      </c>
      <c r="C22" s="5">
        <v>1</v>
      </c>
      <c r="D22" s="5">
        <v>0.2</v>
      </c>
      <c r="E22">
        <v>1</v>
      </c>
      <c r="F22">
        <f t="shared" si="0"/>
        <v>7953598</v>
      </c>
      <c r="G22" s="5">
        <f t="shared" si="1"/>
        <v>2.9153598157714282E-2</v>
      </c>
      <c r="H22">
        <f t="shared" si="2"/>
        <v>5.8307196315428569E-3</v>
      </c>
      <c r="I22">
        <f t="shared" si="3"/>
        <v>5.8307196315428569E-3</v>
      </c>
      <c r="J22">
        <f t="shared" si="4"/>
        <v>13.520039452836315</v>
      </c>
    </row>
    <row r="23" spans="1:10" x14ac:dyDescent="0.2">
      <c r="A23" t="s">
        <v>31</v>
      </c>
      <c r="B23">
        <v>75752</v>
      </c>
      <c r="C23" s="5">
        <v>1</v>
      </c>
      <c r="D23" s="5">
        <v>0.2</v>
      </c>
      <c r="E23">
        <v>1</v>
      </c>
      <c r="F23">
        <f t="shared" si="0"/>
        <v>7953598</v>
      </c>
      <c r="G23" s="5">
        <f t="shared" si="1"/>
        <v>9.5242429904050969E-3</v>
      </c>
      <c r="H23">
        <f t="shared" si="2"/>
        <v>1.9048485980810194E-3</v>
      </c>
      <c r="I23">
        <f t="shared" si="3"/>
        <v>1.9048485980810194E-3</v>
      </c>
      <c r="J23">
        <f t="shared" si="4"/>
        <v>1.4429609100183338</v>
      </c>
    </row>
    <row r="24" spans="1:10" x14ac:dyDescent="0.2">
      <c r="A24" t="s">
        <v>32</v>
      </c>
      <c r="B24">
        <v>148250</v>
      </c>
      <c r="C24" s="5">
        <v>1</v>
      </c>
      <c r="D24" s="5">
        <v>0.2</v>
      </c>
      <c r="E24">
        <v>1</v>
      </c>
      <c r="F24">
        <f t="shared" si="0"/>
        <v>7953598</v>
      </c>
      <c r="G24" s="5">
        <f t="shared" si="1"/>
        <v>1.8639362965037962E-2</v>
      </c>
      <c r="H24">
        <f t="shared" si="2"/>
        <v>3.7278725930075928E-3</v>
      </c>
      <c r="I24">
        <f t="shared" si="3"/>
        <v>3.7278725930075928E-3</v>
      </c>
      <c r="J24">
        <f t="shared" si="4"/>
        <v>5.5265711191337568</v>
      </c>
    </row>
    <row r="25" spans="1:10" x14ac:dyDescent="0.2">
      <c r="A25" t="s">
        <v>33</v>
      </c>
      <c r="B25">
        <v>26507</v>
      </c>
      <c r="C25" s="5">
        <v>1</v>
      </c>
      <c r="D25" s="5">
        <v>0.2</v>
      </c>
      <c r="E25">
        <v>1</v>
      </c>
      <c r="F25">
        <f t="shared" si="0"/>
        <v>7953598</v>
      </c>
      <c r="G25" s="5">
        <f t="shared" si="1"/>
        <v>3.3327055252226727E-3</v>
      </c>
      <c r="H25">
        <f t="shared" si="2"/>
        <v>6.6654110504453458E-4</v>
      </c>
      <c r="I25">
        <f t="shared" si="3"/>
        <v>6.6654110504453458E-4</v>
      </c>
      <c r="J25">
        <f t="shared" si="4"/>
        <v>0.1766800507141548</v>
      </c>
    </row>
    <row r="26" spans="1:10" x14ac:dyDescent="0.2">
      <c r="A26" t="s">
        <v>34</v>
      </c>
      <c r="B26">
        <v>68108</v>
      </c>
      <c r="C26" s="5">
        <v>1</v>
      </c>
      <c r="D26" s="5">
        <v>0.2</v>
      </c>
      <c r="E26">
        <v>1</v>
      </c>
      <c r="F26">
        <f t="shared" si="0"/>
        <v>7953598</v>
      </c>
      <c r="G26" s="5">
        <f t="shared" si="1"/>
        <v>8.5631685181976752E-3</v>
      </c>
      <c r="H26">
        <f t="shared" si="2"/>
        <v>1.7126337036395352E-3</v>
      </c>
      <c r="I26">
        <f t="shared" si="3"/>
        <v>1.7126337036395352E-3</v>
      </c>
      <c r="J26">
        <f t="shared" si="4"/>
        <v>1.1664405628748147</v>
      </c>
    </row>
    <row r="27" spans="1:10" x14ac:dyDescent="0.2">
      <c r="A27" t="s">
        <v>35</v>
      </c>
      <c r="B27">
        <v>193202</v>
      </c>
      <c r="C27" s="5">
        <v>1</v>
      </c>
      <c r="D27" s="5">
        <v>0.2</v>
      </c>
      <c r="E27">
        <v>1</v>
      </c>
      <c r="F27">
        <f t="shared" si="0"/>
        <v>7953598</v>
      </c>
      <c r="G27" s="5">
        <f t="shared" si="1"/>
        <v>2.4291144712116453E-2</v>
      </c>
      <c r="H27">
        <f t="shared" si="2"/>
        <v>4.8582289424232913E-3</v>
      </c>
      <c r="I27">
        <f t="shared" si="3"/>
        <v>4.8582289424232913E-3</v>
      </c>
      <c r="J27">
        <f t="shared" si="4"/>
        <v>9.3861954813406481</v>
      </c>
    </row>
    <row r="28" spans="1:10" x14ac:dyDescent="0.2">
      <c r="A28" t="s">
        <v>36</v>
      </c>
      <c r="B28">
        <v>131569</v>
      </c>
      <c r="C28" s="5">
        <v>1</v>
      </c>
      <c r="D28" s="5">
        <v>0.2</v>
      </c>
      <c r="E28">
        <v>1</v>
      </c>
      <c r="F28">
        <f t="shared" si="0"/>
        <v>7953598</v>
      </c>
      <c r="G28" s="5">
        <f t="shared" si="1"/>
        <v>1.6542073159845395E-2</v>
      </c>
      <c r="H28">
        <f t="shared" si="2"/>
        <v>3.308414631969079E-3</v>
      </c>
      <c r="I28">
        <f t="shared" si="3"/>
        <v>3.308414631969079E-3</v>
      </c>
      <c r="J28">
        <f t="shared" si="4"/>
        <v>4.3528480471353976</v>
      </c>
    </row>
    <row r="29" spans="1:10" x14ac:dyDescent="0.2">
      <c r="A29" t="s">
        <v>37</v>
      </c>
      <c r="B29">
        <v>65319</v>
      </c>
      <c r="C29" s="5">
        <v>1</v>
      </c>
      <c r="D29" s="5">
        <v>0.2</v>
      </c>
      <c r="E29">
        <v>1</v>
      </c>
      <c r="F29">
        <f t="shared" si="0"/>
        <v>7953598</v>
      </c>
      <c r="G29" s="5">
        <f t="shared" si="1"/>
        <v>8.2125096088587826E-3</v>
      </c>
      <c r="H29">
        <f t="shared" si="2"/>
        <v>1.6425019217717566E-3</v>
      </c>
      <c r="I29">
        <f t="shared" si="3"/>
        <v>1.6425019217717566E-3</v>
      </c>
      <c r="J29">
        <f t="shared" si="4"/>
        <v>1.0728658302820937</v>
      </c>
    </row>
    <row r="30" spans="1:10" x14ac:dyDescent="0.2">
      <c r="A30" t="s">
        <v>38</v>
      </c>
      <c r="B30">
        <v>18850</v>
      </c>
      <c r="C30" s="5">
        <v>1</v>
      </c>
      <c r="D30" s="5">
        <v>0.2</v>
      </c>
      <c r="E30">
        <v>1</v>
      </c>
      <c r="F30">
        <f t="shared" si="0"/>
        <v>7953598</v>
      </c>
      <c r="G30" s="5">
        <f t="shared" si="1"/>
        <v>2.369996572620341E-3</v>
      </c>
      <c r="H30">
        <f t="shared" si="2"/>
        <v>4.7399931452406821E-4</v>
      </c>
      <c r="I30">
        <f t="shared" si="3"/>
        <v>4.7399931452406821E-4</v>
      </c>
      <c r="J30">
        <f t="shared" si="4"/>
        <v>8.934887078778686E-2</v>
      </c>
    </row>
    <row r="31" spans="1:10" x14ac:dyDescent="0.2">
      <c r="A31" t="s">
        <v>39</v>
      </c>
      <c r="B31">
        <v>166389</v>
      </c>
      <c r="C31" s="5">
        <v>1</v>
      </c>
      <c r="D31" s="5">
        <v>0.2</v>
      </c>
      <c r="E31">
        <v>1</v>
      </c>
      <c r="F31">
        <f t="shared" si="0"/>
        <v>7953598</v>
      </c>
      <c r="G31" s="5">
        <f t="shared" si="1"/>
        <v>2.0919966032982809E-2</v>
      </c>
      <c r="H31">
        <f t="shared" si="2"/>
        <v>4.1839932065965623E-3</v>
      </c>
      <c r="I31">
        <f t="shared" si="3"/>
        <v>4.1839932065965623E-3</v>
      </c>
      <c r="J31">
        <f t="shared" si="4"/>
        <v>6.9617044565239548</v>
      </c>
    </row>
    <row r="32" spans="1:10" x14ac:dyDescent="0.2">
      <c r="A32" t="s">
        <v>40</v>
      </c>
      <c r="B32">
        <v>40531</v>
      </c>
      <c r="C32" s="5">
        <v>1</v>
      </c>
      <c r="D32" s="5">
        <v>0.2</v>
      </c>
      <c r="E32">
        <v>1</v>
      </c>
      <c r="F32">
        <f t="shared" si="0"/>
        <v>7953598</v>
      </c>
      <c r="G32" s="5">
        <f t="shared" si="1"/>
        <v>5.095932683547748E-3</v>
      </c>
      <c r="H32">
        <f t="shared" si="2"/>
        <v>1.0191865367095497E-3</v>
      </c>
      <c r="I32">
        <f t="shared" si="3"/>
        <v>1.0191865367095497E-3</v>
      </c>
      <c r="J32">
        <f t="shared" si="4"/>
        <v>0.41308649519374757</v>
      </c>
    </row>
    <row r="33" spans="1:10" x14ac:dyDescent="0.2">
      <c r="A33" t="s">
        <v>41</v>
      </c>
      <c r="B33">
        <v>127835</v>
      </c>
      <c r="C33" s="5">
        <v>1</v>
      </c>
      <c r="D33" s="5">
        <v>0.2</v>
      </c>
      <c r="E33">
        <v>1</v>
      </c>
      <c r="F33">
        <f t="shared" si="0"/>
        <v>7953598</v>
      </c>
      <c r="G33" s="5">
        <f t="shared" si="1"/>
        <v>1.6072600098722616E-2</v>
      </c>
      <c r="H33">
        <f t="shared" si="2"/>
        <v>3.2145200197445235E-3</v>
      </c>
      <c r="I33">
        <f t="shared" si="3"/>
        <v>3.2145200197445235E-3</v>
      </c>
      <c r="J33">
        <f t="shared" si="4"/>
        <v>4.1092816672404116</v>
      </c>
    </row>
    <row r="34" spans="1:10" x14ac:dyDescent="0.2">
      <c r="A34" t="s">
        <v>42</v>
      </c>
      <c r="B34">
        <v>5597</v>
      </c>
      <c r="C34" s="5">
        <v>1</v>
      </c>
      <c r="D34" s="5">
        <v>0.2</v>
      </c>
      <c r="E34">
        <v>1</v>
      </c>
      <c r="F34">
        <f t="shared" si="0"/>
        <v>7953598</v>
      </c>
      <c r="G34" s="5">
        <f t="shared" si="1"/>
        <v>7.0370667463957827E-4</v>
      </c>
      <c r="H34">
        <f t="shared" si="2"/>
        <v>1.4074133492791567E-4</v>
      </c>
      <c r="I34">
        <f t="shared" si="3"/>
        <v>1.4074133492791567E-4</v>
      </c>
      <c r="J34">
        <f t="shared" si="4"/>
        <v>7.8772925159154399E-3</v>
      </c>
    </row>
    <row r="35" spans="1:10" x14ac:dyDescent="0.2">
      <c r="A35" t="s">
        <v>43</v>
      </c>
      <c r="B35">
        <v>6146</v>
      </c>
      <c r="C35" s="5">
        <v>1</v>
      </c>
      <c r="D35" s="5">
        <v>0.2</v>
      </c>
      <c r="E35">
        <v>1</v>
      </c>
      <c r="F35">
        <f t="shared" si="0"/>
        <v>7953598</v>
      </c>
      <c r="G35" s="5">
        <f t="shared" si="1"/>
        <v>7.7273203900926353E-4</v>
      </c>
      <c r="H35">
        <f t="shared" si="2"/>
        <v>1.5454640780185271E-4</v>
      </c>
      <c r="I35">
        <f t="shared" si="3"/>
        <v>1.5454640780185271E-4</v>
      </c>
      <c r="J35">
        <f t="shared" si="4"/>
        <v>9.4984222235018675E-3</v>
      </c>
    </row>
    <row r="37" spans="1:10" x14ac:dyDescent="0.2">
      <c r="A37" t="s">
        <v>44</v>
      </c>
    </row>
    <row r="38" spans="1:10" x14ac:dyDescent="0.2">
      <c r="A38" t="s">
        <v>45</v>
      </c>
      <c r="B38">
        <v>388.6</v>
      </c>
    </row>
    <row r="39" spans="1:10" x14ac:dyDescent="0.2">
      <c r="A39" t="s">
        <v>46</v>
      </c>
      <c r="B39">
        <v>1115.8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Estates_elasticity_build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Muthia</cp:lastModifiedBy>
  <dcterms:created xsi:type="dcterms:W3CDTF">2026-06-30T02:55:10Z</dcterms:created>
  <dcterms:modified xsi:type="dcterms:W3CDTF">2026-09-14T03:39:36Z</dcterms:modified>
</cp:coreProperties>
</file>