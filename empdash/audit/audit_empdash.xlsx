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uliamuthia/empdash/audit/"/>
    </mc:Choice>
  </mc:AlternateContent>
  <xr:revisionPtr revIDLastSave="0" documentId="13_ncr:1_{CE8AFDAD-DAFF-B341-893C-B1F0F090C1B8}" xr6:coauthVersionLast="47" xr6:coauthVersionMax="47" xr10:uidLastSave="{00000000-0000-0000-0000-000000000000}"/>
  <bookViews>
    <workbookView xWindow="0" yWindow="680" windowWidth="29400" windowHeight="17240" activeTab="11" xr2:uid="{00000000-000D-0000-FFFF-FFFF00000000}"/>
  </bookViews>
  <sheets>
    <sheet name="00_README" sheetId="1" r:id="rId1"/>
    <sheet name="01_shock_T1" sheetId="2" r:id="rId2"/>
    <sheet name="02_shock_T2" sheetId="3" r:id="rId3"/>
    <sheet name="03_shock_T3" sheetId="4" r:id="rId4"/>
    <sheet name="04_L0" sheetId="5" r:id="rId5"/>
    <sheet name="05_shares" sheetId="6" r:id="rId6"/>
    <sheet name="06_intensity" sheetId="7" r:id="rId7"/>
    <sheet name="07_E_manual" sheetId="8" r:id="rId8"/>
    <sheet name="08_dL_manual" sheetId="9" r:id="rId9"/>
    <sheet name="09_dash_E" sheetId="10" r:id="rId10"/>
    <sheet name="10_dash_dL" sheetId="11" r:id="rId11"/>
    <sheet name="11_selisih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2" l="1"/>
  <c r="B6" i="12"/>
  <c r="B5" i="12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I56" i="6"/>
  <c r="AI56" i="8" s="1"/>
  <c r="AH56" i="6"/>
  <c r="AH56" i="8" s="1"/>
  <c r="AG56" i="6"/>
  <c r="AG56" i="8" s="1"/>
  <c r="AF56" i="6"/>
  <c r="AF56" i="8" s="1"/>
  <c r="AE56" i="6"/>
  <c r="AE56" i="8" s="1"/>
  <c r="AD56" i="6"/>
  <c r="AD56" i="8" s="1"/>
  <c r="AC56" i="6"/>
  <c r="AC56" i="8" s="1"/>
  <c r="AB56" i="6"/>
  <c r="AB56" i="8" s="1"/>
  <c r="AA56" i="6"/>
  <c r="AA56" i="8" s="1"/>
  <c r="Z56" i="6"/>
  <c r="Z56" i="8" s="1"/>
  <c r="Y56" i="6"/>
  <c r="Y56" i="8" s="1"/>
  <c r="X56" i="6"/>
  <c r="X56" i="8" s="1"/>
  <c r="X64" i="12" s="1"/>
  <c r="W56" i="6"/>
  <c r="W56" i="8" s="1"/>
  <c r="V56" i="6"/>
  <c r="V56" i="8" s="1"/>
  <c r="U56" i="6"/>
  <c r="U56" i="8" s="1"/>
  <c r="T56" i="6"/>
  <c r="T56" i="8" s="1"/>
  <c r="S56" i="6"/>
  <c r="S56" i="8" s="1"/>
  <c r="R56" i="6"/>
  <c r="R56" i="8" s="1"/>
  <c r="Q56" i="6"/>
  <c r="Q56" i="8" s="1"/>
  <c r="P56" i="6"/>
  <c r="P56" i="8" s="1"/>
  <c r="O56" i="6"/>
  <c r="O56" i="8" s="1"/>
  <c r="N56" i="6"/>
  <c r="N56" i="8" s="1"/>
  <c r="M56" i="6"/>
  <c r="M56" i="8" s="1"/>
  <c r="L56" i="6"/>
  <c r="L56" i="8" s="1"/>
  <c r="K56" i="6"/>
  <c r="K56" i="8" s="1"/>
  <c r="J56" i="6"/>
  <c r="J56" i="8" s="1"/>
  <c r="I56" i="6"/>
  <c r="I56" i="8" s="1"/>
  <c r="H56" i="6"/>
  <c r="H56" i="8" s="1"/>
  <c r="H64" i="12" s="1"/>
  <c r="G56" i="6"/>
  <c r="G56" i="8" s="1"/>
  <c r="F56" i="6"/>
  <c r="F56" i="8" s="1"/>
  <c r="E56" i="6"/>
  <c r="E56" i="8" s="1"/>
  <c r="D56" i="6"/>
  <c r="D56" i="8" s="1"/>
  <c r="C56" i="6"/>
  <c r="C56" i="8" s="1"/>
  <c r="B56" i="6"/>
  <c r="B56" i="8" s="1"/>
  <c r="AI55" i="6"/>
  <c r="AI55" i="8" s="1"/>
  <c r="AH55" i="6"/>
  <c r="AH55" i="8" s="1"/>
  <c r="AG55" i="6"/>
  <c r="AG55" i="8" s="1"/>
  <c r="AF55" i="6"/>
  <c r="AF55" i="8" s="1"/>
  <c r="AE55" i="6"/>
  <c r="AE55" i="8" s="1"/>
  <c r="AD55" i="6"/>
  <c r="AD55" i="8" s="1"/>
  <c r="AC55" i="6"/>
  <c r="AC55" i="8" s="1"/>
  <c r="AB55" i="6"/>
  <c r="AB55" i="8" s="1"/>
  <c r="AA55" i="6"/>
  <c r="AA55" i="8" s="1"/>
  <c r="Z55" i="6"/>
  <c r="Z55" i="8" s="1"/>
  <c r="Y55" i="6"/>
  <c r="Y55" i="8" s="1"/>
  <c r="X55" i="6"/>
  <c r="X55" i="8" s="1"/>
  <c r="W55" i="6"/>
  <c r="W55" i="8" s="1"/>
  <c r="V55" i="6"/>
  <c r="V55" i="8" s="1"/>
  <c r="U55" i="6"/>
  <c r="U55" i="8" s="1"/>
  <c r="T55" i="6"/>
  <c r="T55" i="8" s="1"/>
  <c r="S55" i="6"/>
  <c r="S55" i="8" s="1"/>
  <c r="R55" i="6"/>
  <c r="R55" i="8" s="1"/>
  <c r="R63" i="12" s="1"/>
  <c r="Q55" i="6"/>
  <c r="Q55" i="8" s="1"/>
  <c r="P55" i="6"/>
  <c r="P55" i="8" s="1"/>
  <c r="O55" i="6"/>
  <c r="O55" i="8" s="1"/>
  <c r="N55" i="6"/>
  <c r="N55" i="8" s="1"/>
  <c r="M55" i="6"/>
  <c r="M55" i="8" s="1"/>
  <c r="L55" i="6"/>
  <c r="L55" i="8" s="1"/>
  <c r="K55" i="6"/>
  <c r="K55" i="8" s="1"/>
  <c r="J55" i="6"/>
  <c r="J55" i="8" s="1"/>
  <c r="I55" i="6"/>
  <c r="I55" i="8" s="1"/>
  <c r="H55" i="6"/>
  <c r="H55" i="8" s="1"/>
  <c r="G55" i="6"/>
  <c r="G55" i="8" s="1"/>
  <c r="F55" i="6"/>
  <c r="F55" i="8" s="1"/>
  <c r="E55" i="6"/>
  <c r="E55" i="8" s="1"/>
  <c r="D55" i="6"/>
  <c r="D55" i="8" s="1"/>
  <c r="C55" i="6"/>
  <c r="C55" i="8" s="1"/>
  <c r="B55" i="6"/>
  <c r="B55" i="8" s="1"/>
  <c r="B63" i="12" s="1"/>
  <c r="AI54" i="6"/>
  <c r="AI54" i="8" s="1"/>
  <c r="AH54" i="6"/>
  <c r="AH54" i="8" s="1"/>
  <c r="AG54" i="6"/>
  <c r="AG54" i="8" s="1"/>
  <c r="AF54" i="6"/>
  <c r="AF54" i="8" s="1"/>
  <c r="AE54" i="6"/>
  <c r="AD54" i="6"/>
  <c r="AD54" i="8" s="1"/>
  <c r="AC54" i="6"/>
  <c r="AB54" i="6"/>
  <c r="AA54" i="6"/>
  <c r="Z54" i="6"/>
  <c r="Y54" i="6"/>
  <c r="Y54" i="8" s="1"/>
  <c r="X54" i="6"/>
  <c r="X54" i="8" s="1"/>
  <c r="W54" i="6"/>
  <c r="V54" i="6"/>
  <c r="V54" i="8" s="1"/>
  <c r="U54" i="6"/>
  <c r="T54" i="6"/>
  <c r="T54" i="8" s="1"/>
  <c r="S54" i="6"/>
  <c r="R54" i="6"/>
  <c r="R54" i="8" s="1"/>
  <c r="Q54" i="6"/>
  <c r="Q54" i="8" s="1"/>
  <c r="P54" i="6"/>
  <c r="P54" i="8" s="1"/>
  <c r="O54" i="6"/>
  <c r="N54" i="6"/>
  <c r="M54" i="6"/>
  <c r="L54" i="6"/>
  <c r="K54" i="6"/>
  <c r="J54" i="6"/>
  <c r="J54" i="8" s="1"/>
  <c r="I54" i="6"/>
  <c r="I54" i="8" s="1"/>
  <c r="H54" i="6"/>
  <c r="H54" i="8" s="1"/>
  <c r="G54" i="6"/>
  <c r="G54" i="8" s="1"/>
  <c r="F54" i="6"/>
  <c r="E54" i="6"/>
  <c r="D54" i="6"/>
  <c r="D54" i="8" s="1"/>
  <c r="C54" i="6"/>
  <c r="B54" i="6"/>
  <c r="AI53" i="6"/>
  <c r="AI53" i="8" s="1"/>
  <c r="AH53" i="6"/>
  <c r="AH53" i="8" s="1"/>
  <c r="AH61" i="12" s="1"/>
  <c r="AG53" i="6"/>
  <c r="AF53" i="6"/>
  <c r="AE53" i="6"/>
  <c r="AD53" i="6"/>
  <c r="AD53" i="8" s="1"/>
  <c r="AC53" i="6"/>
  <c r="AC53" i="8" s="1"/>
  <c r="AB53" i="6"/>
  <c r="AA53" i="6"/>
  <c r="AA53" i="8" s="1"/>
  <c r="Z53" i="6"/>
  <c r="Z53" i="8" s="1"/>
  <c r="Y53" i="6"/>
  <c r="Y53" i="8" s="1"/>
  <c r="X53" i="6"/>
  <c r="W53" i="6"/>
  <c r="V53" i="6"/>
  <c r="U53" i="6"/>
  <c r="T53" i="6"/>
  <c r="T53" i="8" s="1"/>
  <c r="S53" i="6"/>
  <c r="S53" i="8" s="1"/>
  <c r="R53" i="6"/>
  <c r="R53" i="8" s="1"/>
  <c r="Q53" i="6"/>
  <c r="Q53" i="8" s="1"/>
  <c r="P53" i="6"/>
  <c r="P53" i="8" s="1"/>
  <c r="O53" i="6"/>
  <c r="N53" i="6"/>
  <c r="M53" i="6"/>
  <c r="M53" i="8" s="1"/>
  <c r="L53" i="6"/>
  <c r="L53" i="8" s="1"/>
  <c r="K53" i="6"/>
  <c r="K53" i="8" s="1"/>
  <c r="J53" i="6"/>
  <c r="J53" i="8" s="1"/>
  <c r="I53" i="6"/>
  <c r="H53" i="6"/>
  <c r="G53" i="6"/>
  <c r="F53" i="6"/>
  <c r="E53" i="6"/>
  <c r="E53" i="8" s="1"/>
  <c r="D53" i="6"/>
  <c r="D53" i="8" s="1"/>
  <c r="C53" i="6"/>
  <c r="C53" i="8" s="1"/>
  <c r="B53" i="6"/>
  <c r="B53" i="8" s="1"/>
  <c r="AI52" i="6"/>
  <c r="AI52" i="8" s="1"/>
  <c r="AH52" i="6"/>
  <c r="AH52" i="8" s="1"/>
  <c r="AG52" i="6"/>
  <c r="AG52" i="8" s="1"/>
  <c r="AF52" i="6"/>
  <c r="AF52" i="8" s="1"/>
  <c r="AE52" i="6"/>
  <c r="AE52" i="8" s="1"/>
  <c r="AD52" i="6"/>
  <c r="AD52" i="8" s="1"/>
  <c r="AC52" i="6"/>
  <c r="AC52" i="8" s="1"/>
  <c r="AB52" i="6"/>
  <c r="AB52" i="8" s="1"/>
  <c r="AA52" i="6"/>
  <c r="AA52" i="8" s="1"/>
  <c r="Z52" i="6"/>
  <c r="Z52" i="8" s="1"/>
  <c r="Y52" i="6"/>
  <c r="Y52" i="8" s="1"/>
  <c r="X52" i="6"/>
  <c r="X52" i="8" s="1"/>
  <c r="W52" i="6"/>
  <c r="W52" i="8" s="1"/>
  <c r="V52" i="6"/>
  <c r="V52" i="8" s="1"/>
  <c r="U52" i="6"/>
  <c r="U52" i="8" s="1"/>
  <c r="T52" i="6"/>
  <c r="T52" i="8" s="1"/>
  <c r="S52" i="6"/>
  <c r="S52" i="8" s="1"/>
  <c r="R52" i="6"/>
  <c r="R52" i="8" s="1"/>
  <c r="Q52" i="6"/>
  <c r="Q52" i="8" s="1"/>
  <c r="Q60" i="12" s="1"/>
  <c r="P52" i="6"/>
  <c r="P52" i="8" s="1"/>
  <c r="O52" i="6"/>
  <c r="O52" i="8" s="1"/>
  <c r="N52" i="6"/>
  <c r="N52" i="8" s="1"/>
  <c r="M52" i="6"/>
  <c r="M52" i="8" s="1"/>
  <c r="L52" i="6"/>
  <c r="L52" i="8" s="1"/>
  <c r="K52" i="6"/>
  <c r="K52" i="8" s="1"/>
  <c r="J52" i="6"/>
  <c r="J52" i="8" s="1"/>
  <c r="I52" i="6"/>
  <c r="I52" i="8" s="1"/>
  <c r="H52" i="6"/>
  <c r="H52" i="8" s="1"/>
  <c r="G52" i="6"/>
  <c r="G52" i="8" s="1"/>
  <c r="F52" i="6"/>
  <c r="F52" i="8" s="1"/>
  <c r="E52" i="6"/>
  <c r="E52" i="8" s="1"/>
  <c r="D52" i="6"/>
  <c r="D52" i="8" s="1"/>
  <c r="D60" i="12" s="1"/>
  <c r="C52" i="6"/>
  <c r="C52" i="8" s="1"/>
  <c r="B52" i="6"/>
  <c r="B52" i="8" s="1"/>
  <c r="AI51" i="6"/>
  <c r="AI51" i="8" s="1"/>
  <c r="AH51" i="6"/>
  <c r="AH51" i="8" s="1"/>
  <c r="AG51" i="6"/>
  <c r="AG51" i="8" s="1"/>
  <c r="AF51" i="6"/>
  <c r="AF51" i="8" s="1"/>
  <c r="AE51" i="6"/>
  <c r="AE51" i="8" s="1"/>
  <c r="AD51" i="6"/>
  <c r="AD51" i="8" s="1"/>
  <c r="AC51" i="6"/>
  <c r="AC51" i="8" s="1"/>
  <c r="AB51" i="6"/>
  <c r="AB51" i="8" s="1"/>
  <c r="AA51" i="6"/>
  <c r="AA51" i="8" s="1"/>
  <c r="Z51" i="6"/>
  <c r="Z51" i="8" s="1"/>
  <c r="Y51" i="6"/>
  <c r="Y51" i="8" s="1"/>
  <c r="X51" i="6"/>
  <c r="X51" i="8" s="1"/>
  <c r="W51" i="6"/>
  <c r="W51" i="8" s="1"/>
  <c r="V51" i="6"/>
  <c r="V51" i="8" s="1"/>
  <c r="U51" i="6"/>
  <c r="U51" i="8" s="1"/>
  <c r="T51" i="6"/>
  <c r="T51" i="8" s="1"/>
  <c r="S51" i="6"/>
  <c r="S51" i="8" s="1"/>
  <c r="R51" i="6"/>
  <c r="R51" i="8" s="1"/>
  <c r="Q51" i="6"/>
  <c r="Q51" i="8" s="1"/>
  <c r="P51" i="6"/>
  <c r="P51" i="8" s="1"/>
  <c r="O51" i="6"/>
  <c r="O51" i="8" s="1"/>
  <c r="N51" i="6"/>
  <c r="N51" i="8" s="1"/>
  <c r="M51" i="6"/>
  <c r="M51" i="8" s="1"/>
  <c r="L51" i="6"/>
  <c r="L51" i="8" s="1"/>
  <c r="K51" i="6"/>
  <c r="K51" i="8" s="1"/>
  <c r="J51" i="6"/>
  <c r="J51" i="8" s="1"/>
  <c r="J59" i="12" s="1"/>
  <c r="I51" i="6"/>
  <c r="I51" i="8" s="1"/>
  <c r="H51" i="6"/>
  <c r="H51" i="8" s="1"/>
  <c r="G51" i="6"/>
  <c r="G51" i="8" s="1"/>
  <c r="F51" i="6"/>
  <c r="F51" i="8" s="1"/>
  <c r="E51" i="6"/>
  <c r="E51" i="8" s="1"/>
  <c r="D51" i="6"/>
  <c r="D51" i="8" s="1"/>
  <c r="C51" i="6"/>
  <c r="C51" i="8" s="1"/>
  <c r="B51" i="6"/>
  <c r="B51" i="8" s="1"/>
  <c r="AI50" i="6"/>
  <c r="AI50" i="8" s="1"/>
  <c r="AH50" i="6"/>
  <c r="AH50" i="8" s="1"/>
  <c r="AG50" i="6"/>
  <c r="AG50" i="8" s="1"/>
  <c r="AF50" i="6"/>
  <c r="AF50" i="8" s="1"/>
  <c r="AE50" i="6"/>
  <c r="AE50" i="8" s="1"/>
  <c r="AD50" i="6"/>
  <c r="AD50" i="8" s="1"/>
  <c r="AC50" i="6"/>
  <c r="AC50" i="8" s="1"/>
  <c r="AB50" i="6"/>
  <c r="AB50" i="8" s="1"/>
  <c r="AA50" i="6"/>
  <c r="AA50" i="8" s="1"/>
  <c r="Z50" i="6"/>
  <c r="Z50" i="8" s="1"/>
  <c r="Y50" i="6"/>
  <c r="Y50" i="8" s="1"/>
  <c r="X50" i="6"/>
  <c r="X50" i="8" s="1"/>
  <c r="W50" i="6"/>
  <c r="W50" i="8" s="1"/>
  <c r="V50" i="6"/>
  <c r="V50" i="8" s="1"/>
  <c r="U50" i="6"/>
  <c r="U50" i="8" s="1"/>
  <c r="U58" i="12" s="1"/>
  <c r="T50" i="6"/>
  <c r="T50" i="8" s="1"/>
  <c r="S50" i="6"/>
  <c r="S50" i="8" s="1"/>
  <c r="R50" i="6"/>
  <c r="R50" i="8" s="1"/>
  <c r="Q50" i="6"/>
  <c r="Q50" i="8" s="1"/>
  <c r="P50" i="6"/>
  <c r="P50" i="8" s="1"/>
  <c r="O50" i="6"/>
  <c r="O50" i="8" s="1"/>
  <c r="N50" i="6"/>
  <c r="N50" i="8" s="1"/>
  <c r="M50" i="6"/>
  <c r="M50" i="8" s="1"/>
  <c r="L50" i="6"/>
  <c r="L50" i="8" s="1"/>
  <c r="K50" i="6"/>
  <c r="K50" i="8" s="1"/>
  <c r="J50" i="6"/>
  <c r="J50" i="8" s="1"/>
  <c r="I50" i="6"/>
  <c r="I50" i="8" s="1"/>
  <c r="H50" i="6"/>
  <c r="H50" i="8" s="1"/>
  <c r="G50" i="6"/>
  <c r="G50" i="8" s="1"/>
  <c r="F50" i="6"/>
  <c r="F50" i="8" s="1"/>
  <c r="F58" i="12" s="1"/>
  <c r="E50" i="6"/>
  <c r="E50" i="8" s="1"/>
  <c r="D50" i="6"/>
  <c r="D50" i="8" s="1"/>
  <c r="C50" i="6"/>
  <c r="C50" i="8" s="1"/>
  <c r="B50" i="6"/>
  <c r="B50" i="8" s="1"/>
  <c r="AI49" i="6"/>
  <c r="AI49" i="8" s="1"/>
  <c r="AH49" i="6"/>
  <c r="AH49" i="8" s="1"/>
  <c r="AG49" i="6"/>
  <c r="AG49" i="8" s="1"/>
  <c r="AF49" i="6"/>
  <c r="AF49" i="8" s="1"/>
  <c r="AE49" i="6"/>
  <c r="AE49" i="8" s="1"/>
  <c r="AD49" i="6"/>
  <c r="AD49" i="8" s="1"/>
  <c r="AC49" i="6"/>
  <c r="AC49" i="8" s="1"/>
  <c r="AB49" i="6"/>
  <c r="AB49" i="8" s="1"/>
  <c r="AA49" i="6"/>
  <c r="AA49" i="8" s="1"/>
  <c r="Z49" i="6"/>
  <c r="Z49" i="8" s="1"/>
  <c r="Y49" i="6"/>
  <c r="Y49" i="8" s="1"/>
  <c r="X49" i="6"/>
  <c r="X49" i="8" s="1"/>
  <c r="W49" i="6"/>
  <c r="W49" i="8" s="1"/>
  <c r="V49" i="6"/>
  <c r="V49" i="8" s="1"/>
  <c r="U49" i="6"/>
  <c r="U49" i="8" s="1"/>
  <c r="T49" i="6"/>
  <c r="T49" i="8" s="1"/>
  <c r="S49" i="6"/>
  <c r="S49" i="8" s="1"/>
  <c r="R49" i="6"/>
  <c r="R49" i="8" s="1"/>
  <c r="R57" i="12" s="1"/>
  <c r="Q49" i="6"/>
  <c r="Q49" i="8" s="1"/>
  <c r="P49" i="6"/>
  <c r="P49" i="8" s="1"/>
  <c r="O49" i="6"/>
  <c r="O49" i="8" s="1"/>
  <c r="N49" i="6"/>
  <c r="N49" i="8" s="1"/>
  <c r="M49" i="6"/>
  <c r="M49" i="8" s="1"/>
  <c r="L49" i="6"/>
  <c r="L49" i="8" s="1"/>
  <c r="K49" i="6"/>
  <c r="K49" i="8" s="1"/>
  <c r="J49" i="6"/>
  <c r="J49" i="8" s="1"/>
  <c r="I49" i="6"/>
  <c r="I49" i="8" s="1"/>
  <c r="H49" i="6"/>
  <c r="H49" i="8" s="1"/>
  <c r="G49" i="6"/>
  <c r="G49" i="8" s="1"/>
  <c r="F49" i="6"/>
  <c r="F49" i="8" s="1"/>
  <c r="F57" i="12" s="1"/>
  <c r="E49" i="6"/>
  <c r="E49" i="8" s="1"/>
  <c r="D49" i="6"/>
  <c r="D49" i="8" s="1"/>
  <c r="C49" i="6"/>
  <c r="C49" i="8" s="1"/>
  <c r="B49" i="6"/>
  <c r="B49" i="8" s="1"/>
  <c r="AI48" i="6"/>
  <c r="AI48" i="8" s="1"/>
  <c r="AH48" i="6"/>
  <c r="AH48" i="8" s="1"/>
  <c r="AG48" i="6"/>
  <c r="AG48" i="8" s="1"/>
  <c r="AF48" i="6"/>
  <c r="AF48" i="8" s="1"/>
  <c r="AE48" i="6"/>
  <c r="AE48" i="8" s="1"/>
  <c r="AD48" i="6"/>
  <c r="AD48" i="8" s="1"/>
  <c r="AC48" i="6"/>
  <c r="AC48" i="8" s="1"/>
  <c r="AB48" i="6"/>
  <c r="AB48" i="8" s="1"/>
  <c r="AA48" i="6"/>
  <c r="AA48" i="8" s="1"/>
  <c r="Z48" i="6"/>
  <c r="Z48" i="8" s="1"/>
  <c r="Y48" i="6"/>
  <c r="Y48" i="8" s="1"/>
  <c r="X48" i="6"/>
  <c r="X48" i="8" s="1"/>
  <c r="W48" i="6"/>
  <c r="W48" i="8" s="1"/>
  <c r="W56" i="12" s="1"/>
  <c r="V48" i="6"/>
  <c r="V48" i="8" s="1"/>
  <c r="U48" i="6"/>
  <c r="U48" i="8" s="1"/>
  <c r="T48" i="6"/>
  <c r="T48" i="8" s="1"/>
  <c r="S48" i="6"/>
  <c r="S48" i="8" s="1"/>
  <c r="R48" i="6"/>
  <c r="R48" i="8" s="1"/>
  <c r="Q48" i="6"/>
  <c r="Q48" i="8" s="1"/>
  <c r="P48" i="6"/>
  <c r="P48" i="8" s="1"/>
  <c r="O48" i="6"/>
  <c r="O48" i="8" s="1"/>
  <c r="N48" i="6"/>
  <c r="N48" i="8" s="1"/>
  <c r="M48" i="6"/>
  <c r="M48" i="8" s="1"/>
  <c r="L48" i="6"/>
  <c r="L48" i="8" s="1"/>
  <c r="K48" i="6"/>
  <c r="K48" i="8" s="1"/>
  <c r="J48" i="6"/>
  <c r="J48" i="8" s="1"/>
  <c r="J56" i="12" s="1"/>
  <c r="I48" i="6"/>
  <c r="I48" i="8" s="1"/>
  <c r="H48" i="6"/>
  <c r="H48" i="8" s="1"/>
  <c r="G48" i="6"/>
  <c r="G48" i="8" s="1"/>
  <c r="F48" i="6"/>
  <c r="F48" i="8" s="1"/>
  <c r="E48" i="6"/>
  <c r="E48" i="8" s="1"/>
  <c r="D48" i="6"/>
  <c r="D48" i="8" s="1"/>
  <c r="C48" i="6"/>
  <c r="C48" i="8" s="1"/>
  <c r="B48" i="6"/>
  <c r="B48" i="8" s="1"/>
  <c r="AI47" i="6"/>
  <c r="AI47" i="8" s="1"/>
  <c r="AH47" i="6"/>
  <c r="AG47" i="6"/>
  <c r="AF47" i="6"/>
  <c r="AF47" i="8" s="1"/>
  <c r="AE47" i="6"/>
  <c r="AE47" i="8" s="1"/>
  <c r="AD47" i="6"/>
  <c r="AD47" i="8" s="1"/>
  <c r="AC47" i="6"/>
  <c r="AC47" i="8" s="1"/>
  <c r="AB47" i="6"/>
  <c r="AB47" i="8" s="1"/>
  <c r="AA47" i="6"/>
  <c r="AA47" i="8" s="1"/>
  <c r="Z47" i="6"/>
  <c r="Z47" i="8" s="1"/>
  <c r="Y47" i="6"/>
  <c r="Y47" i="8" s="1"/>
  <c r="X47" i="6"/>
  <c r="X47" i="8" s="1"/>
  <c r="W47" i="6"/>
  <c r="W47" i="8" s="1"/>
  <c r="V47" i="6"/>
  <c r="V47" i="8" s="1"/>
  <c r="V55" i="12" s="1"/>
  <c r="U47" i="6"/>
  <c r="T47" i="6"/>
  <c r="S47" i="6"/>
  <c r="S47" i="8" s="1"/>
  <c r="R47" i="6"/>
  <c r="Q47" i="6"/>
  <c r="Q47" i="8" s="1"/>
  <c r="P47" i="6"/>
  <c r="P47" i="8" s="1"/>
  <c r="O47" i="6"/>
  <c r="O47" i="8" s="1"/>
  <c r="N47" i="6"/>
  <c r="N47" i="8" s="1"/>
  <c r="M47" i="6"/>
  <c r="M47" i="8" s="1"/>
  <c r="L47" i="6"/>
  <c r="L47" i="8" s="1"/>
  <c r="K47" i="6"/>
  <c r="K47" i="8" s="1"/>
  <c r="J47" i="6"/>
  <c r="I47" i="6"/>
  <c r="H47" i="6"/>
  <c r="H47" i="8" s="1"/>
  <c r="G47" i="6"/>
  <c r="G47" i="8" s="1"/>
  <c r="F47" i="6"/>
  <c r="F47" i="8" s="1"/>
  <c r="E47" i="6"/>
  <c r="D47" i="6"/>
  <c r="D47" i="8" s="1"/>
  <c r="C47" i="6"/>
  <c r="C47" i="8" s="1"/>
  <c r="B47" i="6"/>
  <c r="B47" i="8" s="1"/>
  <c r="AI46" i="6"/>
  <c r="AI46" i="8" s="1"/>
  <c r="AH46" i="6"/>
  <c r="AH46" i="8" s="1"/>
  <c r="AG46" i="6"/>
  <c r="AG46" i="8" s="1"/>
  <c r="AF46" i="6"/>
  <c r="AF46" i="8" s="1"/>
  <c r="AE46" i="6"/>
  <c r="AD46" i="6"/>
  <c r="AC46" i="6"/>
  <c r="AC46" i="8" s="1"/>
  <c r="AB46" i="6"/>
  <c r="AA46" i="6"/>
  <c r="Z46" i="6"/>
  <c r="Z46" i="8" s="1"/>
  <c r="Y46" i="6"/>
  <c r="Y46" i="8" s="1"/>
  <c r="X46" i="6"/>
  <c r="X46" i="8" s="1"/>
  <c r="W46" i="6"/>
  <c r="W46" i="8" s="1"/>
  <c r="V46" i="6"/>
  <c r="V46" i="8" s="1"/>
  <c r="U46" i="6"/>
  <c r="U46" i="8" s="1"/>
  <c r="T46" i="6"/>
  <c r="T46" i="8" s="1"/>
  <c r="S46" i="6"/>
  <c r="R46" i="6"/>
  <c r="R46" i="8" s="1"/>
  <c r="Q46" i="6"/>
  <c r="Q46" i="8" s="1"/>
  <c r="P46" i="6"/>
  <c r="P46" i="8" s="1"/>
  <c r="O46" i="6"/>
  <c r="N46" i="6"/>
  <c r="M46" i="6"/>
  <c r="M46" i="8" s="1"/>
  <c r="L46" i="6"/>
  <c r="L46" i="8" s="1"/>
  <c r="K46" i="6"/>
  <c r="K46" i="8" s="1"/>
  <c r="J46" i="6"/>
  <c r="J46" i="8" s="1"/>
  <c r="I46" i="6"/>
  <c r="I46" i="8" s="1"/>
  <c r="H46" i="6"/>
  <c r="H46" i="8" s="1"/>
  <c r="G46" i="6"/>
  <c r="G46" i="8" s="1"/>
  <c r="F46" i="6"/>
  <c r="E46" i="6"/>
  <c r="E46" i="8" s="1"/>
  <c r="D46" i="6"/>
  <c r="C46" i="6"/>
  <c r="B46" i="6"/>
  <c r="B46" i="8" s="1"/>
  <c r="AI45" i="6"/>
  <c r="AI45" i="8" s="1"/>
  <c r="AH45" i="6"/>
  <c r="AH45" i="8" s="1"/>
  <c r="AG45" i="6"/>
  <c r="AG45" i="8" s="1"/>
  <c r="AF45" i="6"/>
  <c r="AF45" i="8" s="1"/>
  <c r="AE45" i="6"/>
  <c r="AE45" i="8" s="1"/>
  <c r="AD45" i="6"/>
  <c r="AD45" i="8" s="1"/>
  <c r="AC45" i="6"/>
  <c r="AC45" i="8" s="1"/>
  <c r="AB45" i="6"/>
  <c r="AB45" i="8" s="1"/>
  <c r="AA45" i="6"/>
  <c r="AA45" i="8" s="1"/>
  <c r="Z45" i="6"/>
  <c r="Z45" i="8" s="1"/>
  <c r="Z53" i="12" s="1"/>
  <c r="Y45" i="6"/>
  <c r="X45" i="6"/>
  <c r="W45" i="6"/>
  <c r="W45" i="8" s="1"/>
  <c r="V45" i="6"/>
  <c r="U45" i="6"/>
  <c r="U45" i="8" s="1"/>
  <c r="T45" i="6"/>
  <c r="T45" i="8" s="1"/>
  <c r="S45" i="6"/>
  <c r="S45" i="8" s="1"/>
  <c r="R45" i="6"/>
  <c r="R45" i="8" s="1"/>
  <c r="Q45" i="6"/>
  <c r="Q45" i="8" s="1"/>
  <c r="P45" i="6"/>
  <c r="P45" i="8" s="1"/>
  <c r="O45" i="6"/>
  <c r="O45" i="8" s="1"/>
  <c r="N45" i="6"/>
  <c r="M45" i="6"/>
  <c r="L45" i="6"/>
  <c r="L45" i="8" s="1"/>
  <c r="K45" i="6"/>
  <c r="K45" i="8" s="1"/>
  <c r="J45" i="6"/>
  <c r="J45" i="8" s="1"/>
  <c r="I45" i="6"/>
  <c r="H45" i="6"/>
  <c r="H45" i="8" s="1"/>
  <c r="G45" i="6"/>
  <c r="G45" i="8" s="1"/>
  <c r="F45" i="6"/>
  <c r="F45" i="8" s="1"/>
  <c r="E45" i="6"/>
  <c r="E45" i="8" s="1"/>
  <c r="D45" i="6"/>
  <c r="D45" i="8" s="1"/>
  <c r="C45" i="6"/>
  <c r="C45" i="8" s="1"/>
  <c r="B45" i="6"/>
  <c r="B45" i="8" s="1"/>
  <c r="AI44" i="6"/>
  <c r="AI44" i="8" s="1"/>
  <c r="AH44" i="6"/>
  <c r="AH44" i="8" s="1"/>
  <c r="AG44" i="6"/>
  <c r="AG44" i="8" s="1"/>
  <c r="AF44" i="6"/>
  <c r="AF44" i="8" s="1"/>
  <c r="AE44" i="6"/>
  <c r="AE44" i="8" s="1"/>
  <c r="AD44" i="6"/>
  <c r="AD44" i="8" s="1"/>
  <c r="AC44" i="6"/>
  <c r="AC44" i="8" s="1"/>
  <c r="AB44" i="6"/>
  <c r="AB44" i="8" s="1"/>
  <c r="AB52" i="12" s="1"/>
  <c r="AA44" i="6"/>
  <c r="AA44" i="8" s="1"/>
  <c r="Z44" i="6"/>
  <c r="Z44" i="8" s="1"/>
  <c r="Y44" i="6"/>
  <c r="Y44" i="8" s="1"/>
  <c r="X44" i="6"/>
  <c r="X44" i="8" s="1"/>
  <c r="W44" i="6"/>
  <c r="W44" i="8" s="1"/>
  <c r="V44" i="6"/>
  <c r="V44" i="8" s="1"/>
  <c r="U44" i="6"/>
  <c r="U44" i="8" s="1"/>
  <c r="T44" i="6"/>
  <c r="T44" i="8" s="1"/>
  <c r="S44" i="6"/>
  <c r="S44" i="8" s="1"/>
  <c r="R44" i="6"/>
  <c r="R44" i="8" s="1"/>
  <c r="Q44" i="6"/>
  <c r="Q44" i="8" s="1"/>
  <c r="P44" i="6"/>
  <c r="P44" i="8" s="1"/>
  <c r="O44" i="6"/>
  <c r="O44" i="8" s="1"/>
  <c r="N44" i="6"/>
  <c r="N44" i="8" s="1"/>
  <c r="M44" i="6"/>
  <c r="M44" i="8" s="1"/>
  <c r="L44" i="6"/>
  <c r="L44" i="8" s="1"/>
  <c r="K44" i="6"/>
  <c r="K44" i="8" s="1"/>
  <c r="J44" i="6"/>
  <c r="J44" i="8" s="1"/>
  <c r="I44" i="6"/>
  <c r="I44" i="8" s="1"/>
  <c r="H44" i="6"/>
  <c r="H44" i="8" s="1"/>
  <c r="G44" i="6"/>
  <c r="G44" i="8" s="1"/>
  <c r="F44" i="6"/>
  <c r="F44" i="8" s="1"/>
  <c r="E44" i="6"/>
  <c r="E44" i="8" s="1"/>
  <c r="D44" i="6"/>
  <c r="D44" i="8" s="1"/>
  <c r="C44" i="6"/>
  <c r="C44" i="8" s="1"/>
  <c r="B44" i="6"/>
  <c r="B44" i="8" s="1"/>
  <c r="AI43" i="6"/>
  <c r="AI43" i="8" s="1"/>
  <c r="AH43" i="6"/>
  <c r="AH43" i="8" s="1"/>
  <c r="AG43" i="6"/>
  <c r="AG43" i="8" s="1"/>
  <c r="AF43" i="6"/>
  <c r="AF43" i="8" s="1"/>
  <c r="AE43" i="6"/>
  <c r="AE43" i="8" s="1"/>
  <c r="AD43" i="6"/>
  <c r="AD43" i="8" s="1"/>
  <c r="AC43" i="6"/>
  <c r="AC43" i="8" s="1"/>
  <c r="AB43" i="6"/>
  <c r="AB43" i="8" s="1"/>
  <c r="AA43" i="6"/>
  <c r="AA43" i="8" s="1"/>
  <c r="AA51" i="12" s="1"/>
  <c r="Z43" i="6"/>
  <c r="Z43" i="8" s="1"/>
  <c r="Y43" i="6"/>
  <c r="Y43" i="8" s="1"/>
  <c r="X43" i="6"/>
  <c r="X43" i="8" s="1"/>
  <c r="W43" i="6"/>
  <c r="W43" i="8" s="1"/>
  <c r="V43" i="6"/>
  <c r="V43" i="8" s="1"/>
  <c r="U43" i="6"/>
  <c r="U43" i="8" s="1"/>
  <c r="T43" i="6"/>
  <c r="T43" i="8" s="1"/>
  <c r="S43" i="6"/>
  <c r="S43" i="8" s="1"/>
  <c r="R43" i="6"/>
  <c r="R43" i="8" s="1"/>
  <c r="Q43" i="6"/>
  <c r="Q43" i="8" s="1"/>
  <c r="Q51" i="12" s="1"/>
  <c r="P43" i="6"/>
  <c r="P43" i="8" s="1"/>
  <c r="O43" i="6"/>
  <c r="O43" i="8" s="1"/>
  <c r="N43" i="6"/>
  <c r="N43" i="8" s="1"/>
  <c r="M43" i="6"/>
  <c r="M43" i="8" s="1"/>
  <c r="L43" i="6"/>
  <c r="L43" i="8" s="1"/>
  <c r="K43" i="6"/>
  <c r="K43" i="8" s="1"/>
  <c r="J43" i="6"/>
  <c r="J43" i="8" s="1"/>
  <c r="I43" i="6"/>
  <c r="I43" i="8" s="1"/>
  <c r="H43" i="6"/>
  <c r="H43" i="8" s="1"/>
  <c r="G43" i="6"/>
  <c r="G43" i="8" s="1"/>
  <c r="F43" i="6"/>
  <c r="F43" i="8" s="1"/>
  <c r="E43" i="6"/>
  <c r="E43" i="8" s="1"/>
  <c r="D43" i="6"/>
  <c r="D43" i="8" s="1"/>
  <c r="C43" i="6"/>
  <c r="C43" i="8" s="1"/>
  <c r="B43" i="6"/>
  <c r="B43" i="8" s="1"/>
  <c r="AI42" i="6"/>
  <c r="AI42" i="8" s="1"/>
  <c r="AH42" i="6"/>
  <c r="AH42" i="8" s="1"/>
  <c r="AG42" i="6"/>
  <c r="AG42" i="8" s="1"/>
  <c r="AF42" i="6"/>
  <c r="AF42" i="8" s="1"/>
  <c r="AF50" i="12" s="1"/>
  <c r="AE42" i="6"/>
  <c r="AE42" i="8" s="1"/>
  <c r="AD42" i="6"/>
  <c r="AD42" i="8" s="1"/>
  <c r="AC42" i="6"/>
  <c r="AC42" i="8" s="1"/>
  <c r="AB42" i="6"/>
  <c r="AB42" i="8" s="1"/>
  <c r="AA42" i="6"/>
  <c r="AA42" i="8" s="1"/>
  <c r="Z42" i="6"/>
  <c r="Z42" i="8" s="1"/>
  <c r="Y42" i="6"/>
  <c r="Y42" i="8" s="1"/>
  <c r="X42" i="6"/>
  <c r="X42" i="8" s="1"/>
  <c r="W42" i="6"/>
  <c r="W42" i="8" s="1"/>
  <c r="V42" i="6"/>
  <c r="V42" i="8" s="1"/>
  <c r="U42" i="6"/>
  <c r="U42" i="8" s="1"/>
  <c r="T42" i="6"/>
  <c r="T42" i="8" s="1"/>
  <c r="T50" i="12" s="1"/>
  <c r="S42" i="6"/>
  <c r="S42" i="8" s="1"/>
  <c r="R42" i="6"/>
  <c r="R42" i="8" s="1"/>
  <c r="Q42" i="6"/>
  <c r="Q42" i="8" s="1"/>
  <c r="P42" i="6"/>
  <c r="P42" i="8" s="1"/>
  <c r="O42" i="6"/>
  <c r="O42" i="8" s="1"/>
  <c r="N42" i="6"/>
  <c r="N42" i="8" s="1"/>
  <c r="M42" i="6"/>
  <c r="M42" i="8" s="1"/>
  <c r="L42" i="6"/>
  <c r="L42" i="8" s="1"/>
  <c r="K42" i="6"/>
  <c r="K42" i="8" s="1"/>
  <c r="J42" i="6"/>
  <c r="J42" i="8" s="1"/>
  <c r="I42" i="6"/>
  <c r="I42" i="8" s="1"/>
  <c r="H42" i="6"/>
  <c r="H42" i="8" s="1"/>
  <c r="G42" i="6"/>
  <c r="G42" i="8" s="1"/>
  <c r="F42" i="6"/>
  <c r="F42" i="8" s="1"/>
  <c r="E42" i="6"/>
  <c r="E42" i="8" s="1"/>
  <c r="D42" i="6"/>
  <c r="D42" i="8" s="1"/>
  <c r="C42" i="6"/>
  <c r="C42" i="8" s="1"/>
  <c r="B42" i="6"/>
  <c r="B42" i="8" s="1"/>
  <c r="AI41" i="6"/>
  <c r="AI41" i="8" s="1"/>
  <c r="AH41" i="6"/>
  <c r="AH41" i="8" s="1"/>
  <c r="AG41" i="6"/>
  <c r="AG41" i="8" s="1"/>
  <c r="AF41" i="6"/>
  <c r="AF41" i="8" s="1"/>
  <c r="AE41" i="6"/>
  <c r="AE41" i="8" s="1"/>
  <c r="AE49" i="12" s="1"/>
  <c r="AD41" i="6"/>
  <c r="AD41" i="8" s="1"/>
  <c r="AC41" i="6"/>
  <c r="AC41" i="8" s="1"/>
  <c r="AB41" i="6"/>
  <c r="AB41" i="8" s="1"/>
  <c r="AA41" i="6"/>
  <c r="AA41" i="8" s="1"/>
  <c r="Z41" i="6"/>
  <c r="Z41" i="8" s="1"/>
  <c r="Y41" i="6"/>
  <c r="Y41" i="8" s="1"/>
  <c r="X41" i="6"/>
  <c r="X41" i="8" s="1"/>
  <c r="W41" i="6"/>
  <c r="W41" i="8" s="1"/>
  <c r="V41" i="6"/>
  <c r="V41" i="8" s="1"/>
  <c r="U41" i="6"/>
  <c r="U41" i="8" s="1"/>
  <c r="U49" i="12" s="1"/>
  <c r="T41" i="6"/>
  <c r="T41" i="8" s="1"/>
  <c r="S41" i="6"/>
  <c r="S41" i="8" s="1"/>
  <c r="R41" i="6"/>
  <c r="R41" i="8" s="1"/>
  <c r="Q41" i="6"/>
  <c r="Q41" i="8" s="1"/>
  <c r="P41" i="6"/>
  <c r="P41" i="8" s="1"/>
  <c r="O41" i="6"/>
  <c r="O41" i="8" s="1"/>
  <c r="N41" i="6"/>
  <c r="N41" i="8" s="1"/>
  <c r="M41" i="6"/>
  <c r="M41" i="8" s="1"/>
  <c r="L41" i="6"/>
  <c r="L41" i="8" s="1"/>
  <c r="K41" i="6"/>
  <c r="K41" i="8" s="1"/>
  <c r="J41" i="6"/>
  <c r="J41" i="8" s="1"/>
  <c r="I41" i="6"/>
  <c r="I41" i="8" s="1"/>
  <c r="H41" i="6"/>
  <c r="H41" i="8" s="1"/>
  <c r="G41" i="6"/>
  <c r="G41" i="8" s="1"/>
  <c r="F41" i="6"/>
  <c r="F41" i="8" s="1"/>
  <c r="E41" i="6"/>
  <c r="E41" i="8" s="1"/>
  <c r="D41" i="6"/>
  <c r="D41" i="8" s="1"/>
  <c r="C41" i="6"/>
  <c r="C41" i="8" s="1"/>
  <c r="B41" i="6"/>
  <c r="B41" i="8" s="1"/>
  <c r="B49" i="12" s="1"/>
  <c r="AI40" i="6"/>
  <c r="AI40" i="8" s="1"/>
  <c r="AH40" i="6"/>
  <c r="AH40" i="8" s="1"/>
  <c r="AG40" i="6"/>
  <c r="AG40" i="8" s="1"/>
  <c r="AF40" i="6"/>
  <c r="AF40" i="8" s="1"/>
  <c r="AE40" i="6"/>
  <c r="AE40" i="8" s="1"/>
  <c r="AD40" i="6"/>
  <c r="AD40" i="8" s="1"/>
  <c r="AC40" i="6"/>
  <c r="AC40" i="8" s="1"/>
  <c r="AB40" i="6"/>
  <c r="AB40" i="8" s="1"/>
  <c r="AA40" i="6"/>
  <c r="AA40" i="8" s="1"/>
  <c r="Z40" i="6"/>
  <c r="Z40" i="8" s="1"/>
  <c r="Y40" i="6"/>
  <c r="Y40" i="8" s="1"/>
  <c r="X40" i="6"/>
  <c r="X40" i="8" s="1"/>
  <c r="W40" i="6"/>
  <c r="W40" i="8" s="1"/>
  <c r="V40" i="6"/>
  <c r="V40" i="8" s="1"/>
  <c r="U40" i="6"/>
  <c r="U40" i="8" s="1"/>
  <c r="T40" i="6"/>
  <c r="T40" i="8" s="1"/>
  <c r="S40" i="6"/>
  <c r="S40" i="8" s="1"/>
  <c r="R40" i="6"/>
  <c r="R40" i="8" s="1"/>
  <c r="Q40" i="6"/>
  <c r="Q40" i="8" s="1"/>
  <c r="P40" i="6"/>
  <c r="P40" i="8" s="1"/>
  <c r="O40" i="6"/>
  <c r="O40" i="8" s="1"/>
  <c r="N40" i="6"/>
  <c r="N40" i="8" s="1"/>
  <c r="M40" i="6"/>
  <c r="M40" i="8" s="1"/>
  <c r="L40" i="6"/>
  <c r="L40" i="8" s="1"/>
  <c r="K40" i="6"/>
  <c r="K40" i="8" s="1"/>
  <c r="J40" i="6"/>
  <c r="J40" i="8" s="1"/>
  <c r="I40" i="6"/>
  <c r="I40" i="8" s="1"/>
  <c r="H40" i="6"/>
  <c r="H40" i="8" s="1"/>
  <c r="G40" i="6"/>
  <c r="G40" i="8" s="1"/>
  <c r="F40" i="6"/>
  <c r="F40" i="8" s="1"/>
  <c r="E40" i="6"/>
  <c r="E40" i="8" s="1"/>
  <c r="D40" i="6"/>
  <c r="D40" i="8" s="1"/>
  <c r="C40" i="6"/>
  <c r="C40" i="8" s="1"/>
  <c r="B40" i="6"/>
  <c r="B40" i="8" s="1"/>
  <c r="AI39" i="6"/>
  <c r="AI39" i="8" s="1"/>
  <c r="AH39" i="6"/>
  <c r="AH39" i="8" s="1"/>
  <c r="AH47" i="12" s="1"/>
  <c r="AG39" i="6"/>
  <c r="AG39" i="8" s="1"/>
  <c r="AF39" i="6"/>
  <c r="AF39" i="8" s="1"/>
  <c r="AE39" i="6"/>
  <c r="AE39" i="8" s="1"/>
  <c r="AD39" i="6"/>
  <c r="AD39" i="8" s="1"/>
  <c r="AC39" i="6"/>
  <c r="AC39" i="8" s="1"/>
  <c r="AB39" i="6"/>
  <c r="AB39" i="8" s="1"/>
  <c r="AA39" i="6"/>
  <c r="AA39" i="8" s="1"/>
  <c r="Z39" i="6"/>
  <c r="Z39" i="8" s="1"/>
  <c r="Y39" i="6"/>
  <c r="Y39" i="8" s="1"/>
  <c r="X39" i="6"/>
  <c r="X39" i="8" s="1"/>
  <c r="W39" i="6"/>
  <c r="W39" i="8" s="1"/>
  <c r="V39" i="6"/>
  <c r="V39" i="8" s="1"/>
  <c r="U39" i="6"/>
  <c r="U39" i="8" s="1"/>
  <c r="T39" i="6"/>
  <c r="T39" i="8" s="1"/>
  <c r="S39" i="6"/>
  <c r="S39" i="8" s="1"/>
  <c r="R39" i="6"/>
  <c r="R39" i="8" s="1"/>
  <c r="Q39" i="6"/>
  <c r="Q39" i="8" s="1"/>
  <c r="P39" i="6"/>
  <c r="P39" i="8" s="1"/>
  <c r="O39" i="6"/>
  <c r="O39" i="8" s="1"/>
  <c r="N39" i="6"/>
  <c r="N39" i="8" s="1"/>
  <c r="M39" i="6"/>
  <c r="L39" i="6"/>
  <c r="L39" i="8" s="1"/>
  <c r="K39" i="6"/>
  <c r="K39" i="8" s="1"/>
  <c r="J39" i="6"/>
  <c r="J39" i="8" s="1"/>
  <c r="I39" i="6"/>
  <c r="I39" i="8" s="1"/>
  <c r="H39" i="6"/>
  <c r="H39" i="8" s="1"/>
  <c r="G39" i="6"/>
  <c r="G39" i="8" s="1"/>
  <c r="F39" i="6"/>
  <c r="F39" i="8" s="1"/>
  <c r="E39" i="6"/>
  <c r="D39" i="6"/>
  <c r="D39" i="8" s="1"/>
  <c r="C39" i="6"/>
  <c r="C39" i="8" s="1"/>
  <c r="B39" i="6"/>
  <c r="B39" i="8" s="1"/>
  <c r="AI38" i="6"/>
  <c r="AI38" i="8" s="1"/>
  <c r="AH38" i="6"/>
  <c r="AH38" i="8" s="1"/>
  <c r="AG38" i="6"/>
  <c r="AG38" i="8" s="1"/>
  <c r="AF38" i="6"/>
  <c r="AF38" i="8" s="1"/>
  <c r="AF46" i="12" s="1"/>
  <c r="AE38" i="6"/>
  <c r="AE38" i="8" s="1"/>
  <c r="AD38" i="6"/>
  <c r="AD38" i="8" s="1"/>
  <c r="AC38" i="6"/>
  <c r="AC38" i="8" s="1"/>
  <c r="AB38" i="6"/>
  <c r="AA38" i="6"/>
  <c r="AA38" i="8" s="1"/>
  <c r="Z38" i="6"/>
  <c r="Z38" i="8" s="1"/>
  <c r="Y38" i="6"/>
  <c r="Y38" i="8" s="1"/>
  <c r="X38" i="6"/>
  <c r="X38" i="8" s="1"/>
  <c r="W38" i="6"/>
  <c r="W38" i="8" s="1"/>
  <c r="V38" i="6"/>
  <c r="V38" i="8" s="1"/>
  <c r="U38" i="6"/>
  <c r="U38" i="8" s="1"/>
  <c r="T38" i="6"/>
  <c r="T38" i="8" s="1"/>
  <c r="S38" i="6"/>
  <c r="S38" i="8" s="1"/>
  <c r="R38" i="6"/>
  <c r="R38" i="8" s="1"/>
  <c r="Q38" i="6"/>
  <c r="Q38" i="8" s="1"/>
  <c r="P38" i="6"/>
  <c r="P38" i="8" s="1"/>
  <c r="O38" i="6"/>
  <c r="N38" i="6"/>
  <c r="M38" i="6"/>
  <c r="M38" i="8" s="1"/>
  <c r="L38" i="6"/>
  <c r="L38" i="8" s="1"/>
  <c r="K38" i="6"/>
  <c r="K38" i="8" s="1"/>
  <c r="J38" i="6"/>
  <c r="J38" i="8" s="1"/>
  <c r="I38" i="6"/>
  <c r="I38" i="8" s="1"/>
  <c r="H38" i="6"/>
  <c r="H38" i="8" s="1"/>
  <c r="G38" i="6"/>
  <c r="F38" i="6"/>
  <c r="E38" i="6"/>
  <c r="E38" i="8" s="1"/>
  <c r="D38" i="6"/>
  <c r="C38" i="6"/>
  <c r="C38" i="8" s="1"/>
  <c r="B38" i="6"/>
  <c r="B38" i="8" s="1"/>
  <c r="AI37" i="6"/>
  <c r="AI37" i="8" s="1"/>
  <c r="AH37" i="6"/>
  <c r="AH37" i="8" s="1"/>
  <c r="AG37" i="6"/>
  <c r="AG37" i="8" s="1"/>
  <c r="AF37" i="6"/>
  <c r="AF37" i="8" s="1"/>
  <c r="AE37" i="6"/>
  <c r="AE37" i="8" s="1"/>
  <c r="AD37" i="6"/>
  <c r="AD37" i="8" s="1"/>
  <c r="AC37" i="6"/>
  <c r="AC37" i="8" s="1"/>
  <c r="AB37" i="6"/>
  <c r="AB37" i="8" s="1"/>
  <c r="AA37" i="6"/>
  <c r="AA37" i="8" s="1"/>
  <c r="Z37" i="6"/>
  <c r="Z37" i="8" s="1"/>
  <c r="Y37" i="6"/>
  <c r="Y37" i="8" s="1"/>
  <c r="X37" i="6"/>
  <c r="X37" i="8" s="1"/>
  <c r="W37" i="6"/>
  <c r="W37" i="8" s="1"/>
  <c r="V37" i="6"/>
  <c r="V37" i="8" s="1"/>
  <c r="U37" i="6"/>
  <c r="U37" i="8" s="1"/>
  <c r="T37" i="6"/>
  <c r="T37" i="8" s="1"/>
  <c r="S37" i="6"/>
  <c r="S37" i="8" s="1"/>
  <c r="R37" i="6"/>
  <c r="R37" i="8" s="1"/>
  <c r="Q37" i="6"/>
  <c r="P37" i="6"/>
  <c r="P37" i="8" s="1"/>
  <c r="O37" i="6"/>
  <c r="O37" i="8" s="1"/>
  <c r="N37" i="6"/>
  <c r="N37" i="8" s="1"/>
  <c r="M37" i="6"/>
  <c r="M37" i="8" s="1"/>
  <c r="L37" i="6"/>
  <c r="L37" i="8" s="1"/>
  <c r="K37" i="6"/>
  <c r="K37" i="8" s="1"/>
  <c r="J37" i="6"/>
  <c r="J37" i="8" s="1"/>
  <c r="I37" i="6"/>
  <c r="H37" i="6"/>
  <c r="G37" i="6"/>
  <c r="G37" i="8" s="1"/>
  <c r="F37" i="6"/>
  <c r="F37" i="8" s="1"/>
  <c r="E37" i="6"/>
  <c r="E37" i="8" s="1"/>
  <c r="D37" i="6"/>
  <c r="D37" i="8" s="1"/>
  <c r="C37" i="6"/>
  <c r="C37" i="8" s="1"/>
  <c r="B37" i="6"/>
  <c r="B37" i="8" s="1"/>
  <c r="B45" i="12" s="1"/>
  <c r="AI36" i="6"/>
  <c r="AI36" i="8" s="1"/>
  <c r="AH36" i="6"/>
  <c r="AH36" i="8" s="1"/>
  <c r="AG36" i="6"/>
  <c r="AG36" i="8" s="1"/>
  <c r="AG44" i="12" s="1"/>
  <c r="AF36" i="6"/>
  <c r="AF36" i="8" s="1"/>
  <c r="AE36" i="6"/>
  <c r="AE36" i="8" s="1"/>
  <c r="AD36" i="6"/>
  <c r="AD36" i="8" s="1"/>
  <c r="AC36" i="6"/>
  <c r="AC36" i="8" s="1"/>
  <c r="AB36" i="6"/>
  <c r="AB36" i="8" s="1"/>
  <c r="AA36" i="6"/>
  <c r="AA36" i="8" s="1"/>
  <c r="Z36" i="6"/>
  <c r="Z36" i="8" s="1"/>
  <c r="Y36" i="6"/>
  <c r="Y36" i="8" s="1"/>
  <c r="X36" i="6"/>
  <c r="X36" i="8" s="1"/>
  <c r="W36" i="6"/>
  <c r="W36" i="8" s="1"/>
  <c r="V36" i="6"/>
  <c r="V36" i="8" s="1"/>
  <c r="U36" i="6"/>
  <c r="U36" i="8" s="1"/>
  <c r="T36" i="6"/>
  <c r="T36" i="8" s="1"/>
  <c r="S36" i="6"/>
  <c r="S36" i="8" s="1"/>
  <c r="R36" i="6"/>
  <c r="R36" i="8" s="1"/>
  <c r="Q36" i="6"/>
  <c r="Q36" i="8" s="1"/>
  <c r="P36" i="6"/>
  <c r="P36" i="8" s="1"/>
  <c r="O36" i="6"/>
  <c r="O36" i="8" s="1"/>
  <c r="N36" i="6"/>
  <c r="N36" i="8" s="1"/>
  <c r="M36" i="6"/>
  <c r="M36" i="8" s="1"/>
  <c r="L36" i="6"/>
  <c r="L36" i="8" s="1"/>
  <c r="K36" i="6"/>
  <c r="K36" i="8" s="1"/>
  <c r="J36" i="6"/>
  <c r="J36" i="8" s="1"/>
  <c r="I36" i="6"/>
  <c r="I36" i="8" s="1"/>
  <c r="H36" i="6"/>
  <c r="H36" i="8" s="1"/>
  <c r="G36" i="6"/>
  <c r="G36" i="8" s="1"/>
  <c r="F36" i="6"/>
  <c r="F36" i="8" s="1"/>
  <c r="E36" i="6"/>
  <c r="E36" i="8" s="1"/>
  <c r="D36" i="6"/>
  <c r="D36" i="8" s="1"/>
  <c r="C36" i="6"/>
  <c r="C36" i="8" s="1"/>
  <c r="B36" i="6"/>
  <c r="B36" i="8" s="1"/>
  <c r="AI35" i="6"/>
  <c r="AI35" i="8" s="1"/>
  <c r="AH35" i="6"/>
  <c r="AH35" i="8" s="1"/>
  <c r="AG35" i="6"/>
  <c r="AG35" i="8" s="1"/>
  <c r="AG43" i="12" s="1"/>
  <c r="AF35" i="6"/>
  <c r="AF35" i="8" s="1"/>
  <c r="AE35" i="6"/>
  <c r="AE35" i="8" s="1"/>
  <c r="AD35" i="6"/>
  <c r="AD35" i="8" s="1"/>
  <c r="AC35" i="6"/>
  <c r="AC35" i="8" s="1"/>
  <c r="AB35" i="6"/>
  <c r="AB35" i="8" s="1"/>
  <c r="AA35" i="6"/>
  <c r="AA35" i="8" s="1"/>
  <c r="Z35" i="6"/>
  <c r="Z35" i="8" s="1"/>
  <c r="Y35" i="6"/>
  <c r="Y35" i="8" s="1"/>
  <c r="X35" i="6"/>
  <c r="X35" i="8" s="1"/>
  <c r="W35" i="6"/>
  <c r="W35" i="8" s="1"/>
  <c r="V35" i="6"/>
  <c r="V35" i="8" s="1"/>
  <c r="U35" i="6"/>
  <c r="U35" i="8" s="1"/>
  <c r="T35" i="6"/>
  <c r="T35" i="8" s="1"/>
  <c r="S35" i="6"/>
  <c r="S35" i="8" s="1"/>
  <c r="R35" i="6"/>
  <c r="R35" i="8" s="1"/>
  <c r="Q35" i="6"/>
  <c r="Q35" i="8" s="1"/>
  <c r="P35" i="6"/>
  <c r="P35" i="8" s="1"/>
  <c r="O35" i="6"/>
  <c r="O35" i="8" s="1"/>
  <c r="N35" i="6"/>
  <c r="N35" i="8" s="1"/>
  <c r="M35" i="6"/>
  <c r="M35" i="8" s="1"/>
  <c r="L35" i="6"/>
  <c r="L35" i="8" s="1"/>
  <c r="K35" i="6"/>
  <c r="K35" i="8" s="1"/>
  <c r="J35" i="6"/>
  <c r="J35" i="8" s="1"/>
  <c r="I35" i="6"/>
  <c r="I35" i="8" s="1"/>
  <c r="H35" i="6"/>
  <c r="H35" i="8" s="1"/>
  <c r="G35" i="6"/>
  <c r="G35" i="8" s="1"/>
  <c r="F35" i="6"/>
  <c r="F35" i="8" s="1"/>
  <c r="E35" i="6"/>
  <c r="E35" i="8" s="1"/>
  <c r="D35" i="6"/>
  <c r="D35" i="8" s="1"/>
  <c r="C35" i="6"/>
  <c r="C35" i="8" s="1"/>
  <c r="C43" i="12" s="1"/>
  <c r="B35" i="6"/>
  <c r="B35" i="8" s="1"/>
  <c r="AI34" i="6"/>
  <c r="AI34" i="8" s="1"/>
  <c r="AH34" i="6"/>
  <c r="AH34" i="8" s="1"/>
  <c r="AG34" i="6"/>
  <c r="AG34" i="8" s="1"/>
  <c r="AF34" i="6"/>
  <c r="AF34" i="8" s="1"/>
  <c r="AE34" i="6"/>
  <c r="AE34" i="8" s="1"/>
  <c r="AD34" i="6"/>
  <c r="AD34" i="8" s="1"/>
  <c r="AC34" i="6"/>
  <c r="AC34" i="8" s="1"/>
  <c r="AB34" i="6"/>
  <c r="AB34" i="8" s="1"/>
  <c r="AA34" i="6"/>
  <c r="AA34" i="8" s="1"/>
  <c r="AA42" i="12" s="1"/>
  <c r="Z34" i="6"/>
  <c r="Z34" i="8" s="1"/>
  <c r="Y34" i="6"/>
  <c r="Y34" i="8" s="1"/>
  <c r="X34" i="6"/>
  <c r="X34" i="8" s="1"/>
  <c r="W34" i="6"/>
  <c r="W34" i="8" s="1"/>
  <c r="V34" i="6"/>
  <c r="V34" i="8" s="1"/>
  <c r="U34" i="6"/>
  <c r="U34" i="8" s="1"/>
  <c r="T34" i="6"/>
  <c r="T34" i="8" s="1"/>
  <c r="S34" i="6"/>
  <c r="S34" i="8" s="1"/>
  <c r="R34" i="6"/>
  <c r="R34" i="8" s="1"/>
  <c r="Q34" i="6"/>
  <c r="Q34" i="8" s="1"/>
  <c r="P34" i="6"/>
  <c r="P34" i="8" s="1"/>
  <c r="O34" i="6"/>
  <c r="O34" i="8" s="1"/>
  <c r="N34" i="6"/>
  <c r="N34" i="8" s="1"/>
  <c r="M34" i="6"/>
  <c r="M34" i="8" s="1"/>
  <c r="L34" i="6"/>
  <c r="L34" i="8" s="1"/>
  <c r="K34" i="6"/>
  <c r="K34" i="8" s="1"/>
  <c r="J34" i="6"/>
  <c r="J34" i="8" s="1"/>
  <c r="I34" i="6"/>
  <c r="I34" i="8" s="1"/>
  <c r="H34" i="6"/>
  <c r="H34" i="8" s="1"/>
  <c r="H42" i="12" s="1"/>
  <c r="G34" i="6"/>
  <c r="G34" i="8" s="1"/>
  <c r="F34" i="6"/>
  <c r="F34" i="8" s="1"/>
  <c r="E34" i="6"/>
  <c r="E34" i="8" s="1"/>
  <c r="D34" i="6"/>
  <c r="D34" i="8" s="1"/>
  <c r="D42" i="12" s="1"/>
  <c r="C34" i="6"/>
  <c r="C34" i="8" s="1"/>
  <c r="B34" i="6"/>
  <c r="B34" i="8" s="1"/>
  <c r="AI33" i="6"/>
  <c r="AI33" i="8" s="1"/>
  <c r="AH33" i="6"/>
  <c r="AH33" i="8" s="1"/>
  <c r="AG33" i="6"/>
  <c r="AG33" i="8" s="1"/>
  <c r="AF33" i="6"/>
  <c r="AF33" i="8" s="1"/>
  <c r="AE33" i="6"/>
  <c r="AE33" i="8" s="1"/>
  <c r="AD33" i="6"/>
  <c r="AD33" i="8" s="1"/>
  <c r="AC33" i="6"/>
  <c r="AC33" i="8" s="1"/>
  <c r="AB33" i="6"/>
  <c r="AB33" i="8" s="1"/>
  <c r="AA33" i="6"/>
  <c r="AA33" i="8" s="1"/>
  <c r="Z33" i="6"/>
  <c r="Z33" i="8" s="1"/>
  <c r="Y33" i="6"/>
  <c r="Y33" i="8" s="1"/>
  <c r="X33" i="6"/>
  <c r="X33" i="8" s="1"/>
  <c r="W33" i="6"/>
  <c r="W33" i="8" s="1"/>
  <c r="V33" i="6"/>
  <c r="V33" i="8" s="1"/>
  <c r="U33" i="6"/>
  <c r="U33" i="8" s="1"/>
  <c r="T33" i="6"/>
  <c r="T33" i="8" s="1"/>
  <c r="S33" i="6"/>
  <c r="S33" i="8" s="1"/>
  <c r="R33" i="6"/>
  <c r="R33" i="8" s="1"/>
  <c r="Q33" i="6"/>
  <c r="Q33" i="8" s="1"/>
  <c r="P33" i="6"/>
  <c r="P33" i="8" s="1"/>
  <c r="O33" i="6"/>
  <c r="O33" i="8" s="1"/>
  <c r="N33" i="6"/>
  <c r="N33" i="8" s="1"/>
  <c r="M33" i="6"/>
  <c r="M33" i="8" s="1"/>
  <c r="L33" i="6"/>
  <c r="L33" i="8" s="1"/>
  <c r="K33" i="6"/>
  <c r="K33" i="8" s="1"/>
  <c r="J33" i="6"/>
  <c r="J33" i="8" s="1"/>
  <c r="I33" i="6"/>
  <c r="I33" i="8" s="1"/>
  <c r="H33" i="6"/>
  <c r="H33" i="8" s="1"/>
  <c r="G33" i="6"/>
  <c r="G33" i="8" s="1"/>
  <c r="F33" i="6"/>
  <c r="F33" i="8" s="1"/>
  <c r="E33" i="6"/>
  <c r="E33" i="8" s="1"/>
  <c r="D33" i="6"/>
  <c r="D33" i="8" s="1"/>
  <c r="C33" i="6"/>
  <c r="C33" i="8" s="1"/>
  <c r="B33" i="6"/>
  <c r="B33" i="8" s="1"/>
  <c r="AI32" i="6"/>
  <c r="AI32" i="8" s="1"/>
  <c r="AH32" i="6"/>
  <c r="AH32" i="8" s="1"/>
  <c r="AG32" i="6"/>
  <c r="AG32" i="8" s="1"/>
  <c r="AF32" i="6"/>
  <c r="AF32" i="8" s="1"/>
  <c r="AE32" i="6"/>
  <c r="AE32" i="8" s="1"/>
  <c r="AE40" i="12" s="1"/>
  <c r="AD32" i="6"/>
  <c r="AD32" i="8" s="1"/>
  <c r="AC32" i="6"/>
  <c r="AC32" i="8" s="1"/>
  <c r="AB32" i="6"/>
  <c r="AB32" i="8" s="1"/>
  <c r="AB40" i="12" s="1"/>
  <c r="AA32" i="6"/>
  <c r="AA32" i="8" s="1"/>
  <c r="Z32" i="6"/>
  <c r="Z32" i="8" s="1"/>
  <c r="Y32" i="6"/>
  <c r="Y32" i="8" s="1"/>
  <c r="X32" i="6"/>
  <c r="X32" i="8" s="1"/>
  <c r="W32" i="6"/>
  <c r="W32" i="8" s="1"/>
  <c r="V32" i="6"/>
  <c r="V32" i="8" s="1"/>
  <c r="U32" i="6"/>
  <c r="U32" i="8" s="1"/>
  <c r="T32" i="6"/>
  <c r="T32" i="8" s="1"/>
  <c r="S32" i="6"/>
  <c r="S32" i="8" s="1"/>
  <c r="R32" i="6"/>
  <c r="R32" i="8" s="1"/>
  <c r="Q32" i="6"/>
  <c r="Q32" i="8" s="1"/>
  <c r="P32" i="6"/>
  <c r="P32" i="8" s="1"/>
  <c r="O32" i="6"/>
  <c r="O32" i="8" s="1"/>
  <c r="N32" i="6"/>
  <c r="N32" i="8" s="1"/>
  <c r="M32" i="6"/>
  <c r="M32" i="8" s="1"/>
  <c r="L32" i="6"/>
  <c r="L32" i="8" s="1"/>
  <c r="K32" i="6"/>
  <c r="K32" i="8" s="1"/>
  <c r="J32" i="6"/>
  <c r="J32" i="8" s="1"/>
  <c r="I32" i="6"/>
  <c r="I32" i="8" s="1"/>
  <c r="H32" i="6"/>
  <c r="H32" i="8" s="1"/>
  <c r="G32" i="6"/>
  <c r="G32" i="8" s="1"/>
  <c r="F32" i="6"/>
  <c r="F32" i="8" s="1"/>
  <c r="E32" i="6"/>
  <c r="E32" i="8" s="1"/>
  <c r="D32" i="6"/>
  <c r="D32" i="8" s="1"/>
  <c r="C32" i="6"/>
  <c r="C32" i="8" s="1"/>
  <c r="B32" i="6"/>
  <c r="B32" i="8" s="1"/>
  <c r="AI31" i="6"/>
  <c r="AI31" i="8" s="1"/>
  <c r="AH31" i="6"/>
  <c r="AH31" i="8" s="1"/>
  <c r="AG31" i="6"/>
  <c r="AG31" i="8" s="1"/>
  <c r="AF31" i="6"/>
  <c r="AF31" i="8" s="1"/>
  <c r="AE31" i="6"/>
  <c r="AE31" i="8" s="1"/>
  <c r="AD31" i="6"/>
  <c r="AD31" i="8" s="1"/>
  <c r="AC31" i="6"/>
  <c r="AC31" i="8" s="1"/>
  <c r="AB31" i="6"/>
  <c r="AB31" i="8" s="1"/>
  <c r="AA31" i="6"/>
  <c r="AA31" i="8" s="1"/>
  <c r="Z31" i="6"/>
  <c r="Z31" i="8" s="1"/>
  <c r="Y31" i="6"/>
  <c r="Y31" i="8" s="1"/>
  <c r="X31" i="6"/>
  <c r="X31" i="8" s="1"/>
  <c r="W31" i="6"/>
  <c r="W31" i="8" s="1"/>
  <c r="V31" i="6"/>
  <c r="V31" i="8" s="1"/>
  <c r="U31" i="6"/>
  <c r="U31" i="8" s="1"/>
  <c r="T31" i="6"/>
  <c r="T31" i="8" s="1"/>
  <c r="S31" i="6"/>
  <c r="S31" i="8" s="1"/>
  <c r="R31" i="6"/>
  <c r="R31" i="8" s="1"/>
  <c r="Q31" i="6"/>
  <c r="Q31" i="8" s="1"/>
  <c r="P31" i="6"/>
  <c r="P31" i="8" s="1"/>
  <c r="O31" i="6"/>
  <c r="O31" i="8" s="1"/>
  <c r="N31" i="6"/>
  <c r="N31" i="8" s="1"/>
  <c r="M31" i="6"/>
  <c r="M31" i="8" s="1"/>
  <c r="L31" i="6"/>
  <c r="L31" i="8" s="1"/>
  <c r="K31" i="6"/>
  <c r="K31" i="8" s="1"/>
  <c r="J31" i="6"/>
  <c r="J31" i="8" s="1"/>
  <c r="I31" i="6"/>
  <c r="I31" i="8" s="1"/>
  <c r="I39" i="12" s="1"/>
  <c r="H31" i="6"/>
  <c r="H31" i="8" s="1"/>
  <c r="G31" i="6"/>
  <c r="G31" i="8" s="1"/>
  <c r="F31" i="6"/>
  <c r="F31" i="8" s="1"/>
  <c r="E31" i="6"/>
  <c r="E31" i="8" s="1"/>
  <c r="D31" i="6"/>
  <c r="D31" i="8" s="1"/>
  <c r="C31" i="6"/>
  <c r="C31" i="8" s="1"/>
  <c r="B31" i="6"/>
  <c r="B31" i="8" s="1"/>
  <c r="AI30" i="6"/>
  <c r="AI30" i="8" s="1"/>
  <c r="AH30" i="6"/>
  <c r="AH30" i="8" s="1"/>
  <c r="AG30" i="6"/>
  <c r="AG30" i="8" s="1"/>
  <c r="AF30" i="6"/>
  <c r="AF30" i="8" s="1"/>
  <c r="AE30" i="6"/>
  <c r="AE30" i="8" s="1"/>
  <c r="AD30" i="6"/>
  <c r="AD30" i="8" s="1"/>
  <c r="AC30" i="6"/>
  <c r="AC30" i="8" s="1"/>
  <c r="AB30" i="6"/>
  <c r="AB30" i="8" s="1"/>
  <c r="AA30" i="6"/>
  <c r="AA30" i="8" s="1"/>
  <c r="Z30" i="6"/>
  <c r="Z30" i="8" s="1"/>
  <c r="Y30" i="6"/>
  <c r="Y30" i="8" s="1"/>
  <c r="X30" i="6"/>
  <c r="X30" i="8" s="1"/>
  <c r="W30" i="6"/>
  <c r="W30" i="8" s="1"/>
  <c r="V30" i="6"/>
  <c r="V30" i="8" s="1"/>
  <c r="V38" i="12" s="1"/>
  <c r="U30" i="6"/>
  <c r="U30" i="8" s="1"/>
  <c r="T30" i="6"/>
  <c r="T30" i="8" s="1"/>
  <c r="S30" i="6"/>
  <c r="S30" i="8" s="1"/>
  <c r="R30" i="6"/>
  <c r="R30" i="8" s="1"/>
  <c r="Q30" i="6"/>
  <c r="Q30" i="8" s="1"/>
  <c r="P30" i="6"/>
  <c r="P30" i="8" s="1"/>
  <c r="O30" i="6"/>
  <c r="O30" i="8" s="1"/>
  <c r="N30" i="6"/>
  <c r="N30" i="8" s="1"/>
  <c r="M30" i="6"/>
  <c r="M30" i="8" s="1"/>
  <c r="L30" i="6"/>
  <c r="L30" i="8" s="1"/>
  <c r="K30" i="6"/>
  <c r="K30" i="8" s="1"/>
  <c r="J30" i="6"/>
  <c r="J30" i="8" s="1"/>
  <c r="I30" i="6"/>
  <c r="I30" i="8" s="1"/>
  <c r="H30" i="6"/>
  <c r="H30" i="8" s="1"/>
  <c r="G30" i="6"/>
  <c r="G30" i="8" s="1"/>
  <c r="F30" i="6"/>
  <c r="F30" i="8" s="1"/>
  <c r="E30" i="6"/>
  <c r="E30" i="8" s="1"/>
  <c r="D30" i="6"/>
  <c r="D30" i="8" s="1"/>
  <c r="C30" i="6"/>
  <c r="C30" i="8" s="1"/>
  <c r="B30" i="6"/>
  <c r="B30" i="8" s="1"/>
  <c r="AI29" i="6"/>
  <c r="AI29" i="8" s="1"/>
  <c r="AH29" i="6"/>
  <c r="AH29" i="8" s="1"/>
  <c r="AG29" i="6"/>
  <c r="AF29" i="6"/>
  <c r="AF29" i="8" s="1"/>
  <c r="AE29" i="6"/>
  <c r="AE29" i="8" s="1"/>
  <c r="AD29" i="6"/>
  <c r="AD29" i="8" s="1"/>
  <c r="AC29" i="6"/>
  <c r="AC29" i="8" s="1"/>
  <c r="AB29" i="6"/>
  <c r="AB29" i="8" s="1"/>
  <c r="AA29" i="6"/>
  <c r="AA29" i="8" s="1"/>
  <c r="Z29" i="6"/>
  <c r="Z29" i="8" s="1"/>
  <c r="Y29" i="6"/>
  <c r="X29" i="6"/>
  <c r="W29" i="6"/>
  <c r="W29" i="8" s="1"/>
  <c r="V29" i="6"/>
  <c r="V29" i="8" s="1"/>
  <c r="U29" i="6"/>
  <c r="U29" i="8" s="1"/>
  <c r="T29" i="6"/>
  <c r="T29" i="8" s="1"/>
  <c r="S29" i="6"/>
  <c r="S29" i="8" s="1"/>
  <c r="R29" i="6"/>
  <c r="R29" i="8" s="1"/>
  <c r="R37" i="12" s="1"/>
  <c r="Q29" i="6"/>
  <c r="Q29" i="8" s="1"/>
  <c r="P29" i="6"/>
  <c r="P29" i="8" s="1"/>
  <c r="O29" i="6"/>
  <c r="O29" i="8" s="1"/>
  <c r="N29" i="6"/>
  <c r="N29" i="8" s="1"/>
  <c r="M29" i="6"/>
  <c r="M29" i="8" s="1"/>
  <c r="M37" i="12" s="1"/>
  <c r="L29" i="6"/>
  <c r="L29" i="8" s="1"/>
  <c r="K29" i="6"/>
  <c r="K29" i="8" s="1"/>
  <c r="J29" i="6"/>
  <c r="J29" i="8" s="1"/>
  <c r="J37" i="12" s="1"/>
  <c r="I29" i="6"/>
  <c r="I29" i="8" s="1"/>
  <c r="H29" i="6"/>
  <c r="H29" i="8" s="1"/>
  <c r="G29" i="6"/>
  <c r="G29" i="8" s="1"/>
  <c r="F29" i="6"/>
  <c r="F29" i="8" s="1"/>
  <c r="E29" i="6"/>
  <c r="E29" i="8" s="1"/>
  <c r="D29" i="6"/>
  <c r="D29" i="8" s="1"/>
  <c r="C29" i="6"/>
  <c r="C29" i="8" s="1"/>
  <c r="B29" i="6"/>
  <c r="B29" i="8" s="1"/>
  <c r="AI28" i="6"/>
  <c r="AI28" i="8" s="1"/>
  <c r="AH28" i="6"/>
  <c r="AH28" i="8" s="1"/>
  <c r="AG28" i="6"/>
  <c r="AG28" i="8" s="1"/>
  <c r="AF28" i="6"/>
  <c r="AF28" i="8" s="1"/>
  <c r="AE28" i="6"/>
  <c r="AE28" i="8" s="1"/>
  <c r="AD28" i="6"/>
  <c r="AD28" i="8" s="1"/>
  <c r="AC28" i="6"/>
  <c r="AC28" i="8" s="1"/>
  <c r="AB28" i="6"/>
  <c r="AB28" i="8" s="1"/>
  <c r="AB36" i="12" s="1"/>
  <c r="AA28" i="6"/>
  <c r="AA28" i="8" s="1"/>
  <c r="Z28" i="6"/>
  <c r="Z28" i="8" s="1"/>
  <c r="Y28" i="6"/>
  <c r="Y28" i="8" s="1"/>
  <c r="Y36" i="12" s="1"/>
  <c r="X28" i="6"/>
  <c r="X28" i="8" s="1"/>
  <c r="W28" i="6"/>
  <c r="W28" i="8" s="1"/>
  <c r="V28" i="6"/>
  <c r="V28" i="8" s="1"/>
  <c r="U28" i="6"/>
  <c r="U28" i="8" s="1"/>
  <c r="T28" i="6"/>
  <c r="T28" i="8" s="1"/>
  <c r="S28" i="6"/>
  <c r="S28" i="8" s="1"/>
  <c r="R28" i="6"/>
  <c r="R28" i="8" s="1"/>
  <c r="Q28" i="6"/>
  <c r="Q28" i="8" s="1"/>
  <c r="P28" i="6"/>
  <c r="P28" i="8" s="1"/>
  <c r="O28" i="6"/>
  <c r="O28" i="8" s="1"/>
  <c r="N28" i="6"/>
  <c r="N28" i="8" s="1"/>
  <c r="M28" i="6"/>
  <c r="M28" i="8" s="1"/>
  <c r="L28" i="6"/>
  <c r="L28" i="8" s="1"/>
  <c r="K28" i="6"/>
  <c r="K28" i="8" s="1"/>
  <c r="J28" i="6"/>
  <c r="J28" i="8" s="1"/>
  <c r="I28" i="6"/>
  <c r="I28" i="8" s="1"/>
  <c r="H28" i="6"/>
  <c r="H28" i="8" s="1"/>
  <c r="G28" i="6"/>
  <c r="G28" i="8" s="1"/>
  <c r="F28" i="6"/>
  <c r="F28" i="8" s="1"/>
  <c r="E28" i="6"/>
  <c r="E28" i="8" s="1"/>
  <c r="D28" i="6"/>
  <c r="D28" i="8" s="1"/>
  <c r="C28" i="6"/>
  <c r="C28" i="8" s="1"/>
  <c r="B28" i="6"/>
  <c r="B28" i="8" s="1"/>
  <c r="AI27" i="6"/>
  <c r="AI27" i="8" s="1"/>
  <c r="AH27" i="6"/>
  <c r="AH27" i="8" s="1"/>
  <c r="AG27" i="6"/>
  <c r="AG27" i="8" s="1"/>
  <c r="AF27" i="6"/>
  <c r="AF27" i="8" s="1"/>
  <c r="AE27" i="6"/>
  <c r="AE27" i="8" s="1"/>
  <c r="AD27" i="6"/>
  <c r="AD27" i="8" s="1"/>
  <c r="AC27" i="6"/>
  <c r="AC27" i="8" s="1"/>
  <c r="AB27" i="6"/>
  <c r="AB27" i="8" s="1"/>
  <c r="AA27" i="6"/>
  <c r="AA27" i="8" s="1"/>
  <c r="AA35" i="12" s="1"/>
  <c r="Z27" i="6"/>
  <c r="Z27" i="8" s="1"/>
  <c r="Y27" i="6"/>
  <c r="Y27" i="8" s="1"/>
  <c r="X27" i="6"/>
  <c r="X27" i="8" s="1"/>
  <c r="W27" i="6"/>
  <c r="W27" i="8" s="1"/>
  <c r="V27" i="6"/>
  <c r="V27" i="8" s="1"/>
  <c r="U27" i="6"/>
  <c r="U27" i="8" s="1"/>
  <c r="T27" i="6"/>
  <c r="T27" i="8" s="1"/>
  <c r="S27" i="6"/>
  <c r="S27" i="8" s="1"/>
  <c r="R27" i="6"/>
  <c r="R27" i="8" s="1"/>
  <c r="Q27" i="6"/>
  <c r="Q27" i="8" s="1"/>
  <c r="P27" i="6"/>
  <c r="P27" i="8" s="1"/>
  <c r="O27" i="6"/>
  <c r="O27" i="8" s="1"/>
  <c r="N27" i="6"/>
  <c r="N27" i="8" s="1"/>
  <c r="M27" i="6"/>
  <c r="M27" i="8" s="1"/>
  <c r="L27" i="6"/>
  <c r="L27" i="8" s="1"/>
  <c r="K27" i="6"/>
  <c r="K27" i="8" s="1"/>
  <c r="J27" i="6"/>
  <c r="J27" i="8" s="1"/>
  <c r="I27" i="6"/>
  <c r="I27" i="8" s="1"/>
  <c r="H27" i="6"/>
  <c r="H27" i="8" s="1"/>
  <c r="G27" i="6"/>
  <c r="G27" i="8" s="1"/>
  <c r="F27" i="6"/>
  <c r="F27" i="8" s="1"/>
  <c r="E27" i="6"/>
  <c r="E27" i="8" s="1"/>
  <c r="D27" i="6"/>
  <c r="D27" i="8" s="1"/>
  <c r="C27" i="6"/>
  <c r="C27" i="8" s="1"/>
  <c r="B27" i="6"/>
  <c r="B27" i="8" s="1"/>
  <c r="AI26" i="6"/>
  <c r="AI26" i="8" s="1"/>
  <c r="AH26" i="6"/>
  <c r="AH26" i="8" s="1"/>
  <c r="AG26" i="6"/>
  <c r="AG26" i="8" s="1"/>
  <c r="AF26" i="6"/>
  <c r="AF26" i="8" s="1"/>
  <c r="AE26" i="6"/>
  <c r="AE26" i="8" s="1"/>
  <c r="AD26" i="6"/>
  <c r="AD26" i="8" s="1"/>
  <c r="AC26" i="6"/>
  <c r="AC26" i="8" s="1"/>
  <c r="AB26" i="6"/>
  <c r="AB26" i="8" s="1"/>
  <c r="AA26" i="6"/>
  <c r="AA26" i="8" s="1"/>
  <c r="Z26" i="6"/>
  <c r="Z26" i="8" s="1"/>
  <c r="Y26" i="6"/>
  <c r="Y26" i="8" s="1"/>
  <c r="X26" i="6"/>
  <c r="X26" i="8" s="1"/>
  <c r="W26" i="6"/>
  <c r="W26" i="8" s="1"/>
  <c r="V26" i="6"/>
  <c r="V26" i="8" s="1"/>
  <c r="U26" i="6"/>
  <c r="U26" i="8" s="1"/>
  <c r="T26" i="6"/>
  <c r="T26" i="8" s="1"/>
  <c r="S26" i="6"/>
  <c r="S26" i="8" s="1"/>
  <c r="R26" i="6"/>
  <c r="R26" i="8" s="1"/>
  <c r="Q26" i="6"/>
  <c r="Q26" i="8" s="1"/>
  <c r="P26" i="6"/>
  <c r="P26" i="8" s="1"/>
  <c r="O26" i="6"/>
  <c r="O26" i="8" s="1"/>
  <c r="N26" i="6"/>
  <c r="N26" i="8" s="1"/>
  <c r="M26" i="6"/>
  <c r="M26" i="8" s="1"/>
  <c r="L26" i="6"/>
  <c r="L26" i="8" s="1"/>
  <c r="K26" i="6"/>
  <c r="K26" i="8" s="1"/>
  <c r="J26" i="6"/>
  <c r="J26" i="8" s="1"/>
  <c r="I26" i="6"/>
  <c r="I26" i="8" s="1"/>
  <c r="H26" i="6"/>
  <c r="H26" i="8" s="1"/>
  <c r="G26" i="6"/>
  <c r="G26" i="8" s="1"/>
  <c r="F26" i="6"/>
  <c r="F26" i="8" s="1"/>
  <c r="E26" i="6"/>
  <c r="E26" i="8" s="1"/>
  <c r="D26" i="6"/>
  <c r="D26" i="8" s="1"/>
  <c r="C26" i="6"/>
  <c r="C26" i="8" s="1"/>
  <c r="B26" i="6"/>
  <c r="B26" i="8" s="1"/>
  <c r="AI25" i="6"/>
  <c r="AI25" i="8" s="1"/>
  <c r="AH25" i="6"/>
  <c r="AH25" i="8" s="1"/>
  <c r="AG25" i="6"/>
  <c r="AG25" i="8" s="1"/>
  <c r="AF25" i="6"/>
  <c r="AF25" i="8" s="1"/>
  <c r="AE25" i="6"/>
  <c r="AE25" i="8" s="1"/>
  <c r="AE33" i="12" s="1"/>
  <c r="AD25" i="6"/>
  <c r="AD25" i="8" s="1"/>
  <c r="AC25" i="6"/>
  <c r="AC25" i="8" s="1"/>
  <c r="AB25" i="6"/>
  <c r="AB25" i="8" s="1"/>
  <c r="AA25" i="6"/>
  <c r="AA25" i="8" s="1"/>
  <c r="Z25" i="6"/>
  <c r="Z25" i="8" s="1"/>
  <c r="Y25" i="6"/>
  <c r="Y25" i="8" s="1"/>
  <c r="X25" i="6"/>
  <c r="X25" i="8" s="1"/>
  <c r="W25" i="6"/>
  <c r="W25" i="8" s="1"/>
  <c r="V25" i="6"/>
  <c r="V25" i="8" s="1"/>
  <c r="U25" i="6"/>
  <c r="U25" i="8" s="1"/>
  <c r="T25" i="6"/>
  <c r="T25" i="8" s="1"/>
  <c r="S25" i="6"/>
  <c r="S25" i="8" s="1"/>
  <c r="R25" i="6"/>
  <c r="R25" i="8" s="1"/>
  <c r="Q25" i="6"/>
  <c r="Q25" i="8" s="1"/>
  <c r="P25" i="6"/>
  <c r="P25" i="8" s="1"/>
  <c r="O25" i="6"/>
  <c r="O25" i="8" s="1"/>
  <c r="N25" i="6"/>
  <c r="N25" i="8" s="1"/>
  <c r="M25" i="6"/>
  <c r="M25" i="8" s="1"/>
  <c r="M33" i="12" s="1"/>
  <c r="L25" i="6"/>
  <c r="L25" i="8" s="1"/>
  <c r="K25" i="6"/>
  <c r="K25" i="8" s="1"/>
  <c r="J25" i="6"/>
  <c r="J25" i="8" s="1"/>
  <c r="I25" i="6"/>
  <c r="I25" i="8" s="1"/>
  <c r="I33" i="12" s="1"/>
  <c r="H25" i="6"/>
  <c r="H25" i="8" s="1"/>
  <c r="G25" i="6"/>
  <c r="G25" i="8" s="1"/>
  <c r="F25" i="6"/>
  <c r="F25" i="8" s="1"/>
  <c r="E25" i="6"/>
  <c r="E25" i="8" s="1"/>
  <c r="D25" i="6"/>
  <c r="D25" i="8" s="1"/>
  <c r="C25" i="6"/>
  <c r="C25" i="8" s="1"/>
  <c r="B25" i="6"/>
  <c r="B25" i="8" s="1"/>
  <c r="AI24" i="6"/>
  <c r="AI24" i="8" s="1"/>
  <c r="AH24" i="6"/>
  <c r="AH24" i="8" s="1"/>
  <c r="AG24" i="6"/>
  <c r="AG24" i="8" s="1"/>
  <c r="AF24" i="6"/>
  <c r="AF24" i="8" s="1"/>
  <c r="AE24" i="6"/>
  <c r="AE24" i="8" s="1"/>
  <c r="AD24" i="6"/>
  <c r="AD24" i="8" s="1"/>
  <c r="AC24" i="6"/>
  <c r="AC24" i="8" s="1"/>
  <c r="AB24" i="6"/>
  <c r="AB24" i="8" s="1"/>
  <c r="AA24" i="6"/>
  <c r="AA24" i="8" s="1"/>
  <c r="Z24" i="6"/>
  <c r="Z24" i="8" s="1"/>
  <c r="Y24" i="6"/>
  <c r="Y24" i="8" s="1"/>
  <c r="X24" i="6"/>
  <c r="X24" i="8" s="1"/>
  <c r="X32" i="12" s="1"/>
  <c r="W24" i="6"/>
  <c r="W24" i="8" s="1"/>
  <c r="V24" i="6"/>
  <c r="V24" i="8" s="1"/>
  <c r="U24" i="6"/>
  <c r="U24" i="8" s="1"/>
  <c r="T24" i="6"/>
  <c r="T24" i="8" s="1"/>
  <c r="S24" i="6"/>
  <c r="S24" i="8" s="1"/>
  <c r="R24" i="6"/>
  <c r="R24" i="8" s="1"/>
  <c r="Q24" i="6"/>
  <c r="Q24" i="8" s="1"/>
  <c r="P24" i="6"/>
  <c r="P24" i="8" s="1"/>
  <c r="O24" i="6"/>
  <c r="O24" i="8" s="1"/>
  <c r="O32" i="12" s="1"/>
  <c r="N24" i="6"/>
  <c r="N24" i="8" s="1"/>
  <c r="M24" i="6"/>
  <c r="M24" i="8" s="1"/>
  <c r="L24" i="6"/>
  <c r="L24" i="8" s="1"/>
  <c r="K24" i="6"/>
  <c r="K24" i="8" s="1"/>
  <c r="J24" i="6"/>
  <c r="J24" i="8" s="1"/>
  <c r="I24" i="6"/>
  <c r="I24" i="8" s="1"/>
  <c r="H24" i="6"/>
  <c r="H24" i="8" s="1"/>
  <c r="G24" i="6"/>
  <c r="G24" i="8" s="1"/>
  <c r="F24" i="6"/>
  <c r="F24" i="8" s="1"/>
  <c r="E24" i="6"/>
  <c r="E24" i="8" s="1"/>
  <c r="D24" i="6"/>
  <c r="D24" i="8" s="1"/>
  <c r="C24" i="6"/>
  <c r="C24" i="8" s="1"/>
  <c r="B24" i="6"/>
  <c r="B24" i="8" s="1"/>
  <c r="AI23" i="6"/>
  <c r="AI23" i="8" s="1"/>
  <c r="AH23" i="6"/>
  <c r="AH23" i="8" s="1"/>
  <c r="AG23" i="6"/>
  <c r="AG23" i="8" s="1"/>
  <c r="AF23" i="6"/>
  <c r="AF23" i="8" s="1"/>
  <c r="AE23" i="6"/>
  <c r="AE23" i="8" s="1"/>
  <c r="AD23" i="6"/>
  <c r="AD23" i="8" s="1"/>
  <c r="AC23" i="6"/>
  <c r="AC23" i="8" s="1"/>
  <c r="AB23" i="6"/>
  <c r="AB23" i="8" s="1"/>
  <c r="AA23" i="6"/>
  <c r="AA23" i="8" s="1"/>
  <c r="Z23" i="6"/>
  <c r="Z23" i="8" s="1"/>
  <c r="Y23" i="6"/>
  <c r="Y23" i="8" s="1"/>
  <c r="Y31" i="12" s="1"/>
  <c r="X23" i="6"/>
  <c r="X23" i="8" s="1"/>
  <c r="W23" i="6"/>
  <c r="W23" i="8" s="1"/>
  <c r="V23" i="6"/>
  <c r="V23" i="8" s="1"/>
  <c r="U23" i="6"/>
  <c r="U23" i="8" s="1"/>
  <c r="T23" i="6"/>
  <c r="T23" i="8" s="1"/>
  <c r="S23" i="6"/>
  <c r="S23" i="8" s="1"/>
  <c r="R23" i="6"/>
  <c r="R23" i="8" s="1"/>
  <c r="Q23" i="6"/>
  <c r="Q23" i="8" s="1"/>
  <c r="P23" i="6"/>
  <c r="P23" i="8" s="1"/>
  <c r="O23" i="6"/>
  <c r="O23" i="8" s="1"/>
  <c r="N23" i="6"/>
  <c r="N23" i="8" s="1"/>
  <c r="M23" i="6"/>
  <c r="M23" i="8" s="1"/>
  <c r="L23" i="6"/>
  <c r="L23" i="8" s="1"/>
  <c r="K23" i="6"/>
  <c r="K23" i="8" s="1"/>
  <c r="J23" i="6"/>
  <c r="J23" i="8" s="1"/>
  <c r="I23" i="6"/>
  <c r="I23" i="8" s="1"/>
  <c r="H23" i="6"/>
  <c r="H23" i="8" s="1"/>
  <c r="G23" i="6"/>
  <c r="G23" i="8" s="1"/>
  <c r="F23" i="6"/>
  <c r="F23" i="8" s="1"/>
  <c r="E23" i="6"/>
  <c r="E23" i="8" s="1"/>
  <c r="D23" i="6"/>
  <c r="D23" i="8" s="1"/>
  <c r="C23" i="6"/>
  <c r="C23" i="8" s="1"/>
  <c r="C31" i="12" s="1"/>
  <c r="B23" i="6"/>
  <c r="B23" i="8" s="1"/>
  <c r="AI22" i="6"/>
  <c r="AI22" i="8" s="1"/>
  <c r="AH22" i="6"/>
  <c r="AH22" i="8" s="1"/>
  <c r="AG22" i="6"/>
  <c r="AG22" i="8" s="1"/>
  <c r="AF22" i="6"/>
  <c r="AF22" i="8" s="1"/>
  <c r="AE22" i="6"/>
  <c r="AE22" i="8" s="1"/>
  <c r="AD22" i="6"/>
  <c r="AD22" i="8" s="1"/>
  <c r="AC22" i="6"/>
  <c r="AC22" i="8" s="1"/>
  <c r="AB22" i="6"/>
  <c r="AB22" i="8" s="1"/>
  <c r="AA22" i="6"/>
  <c r="AA22" i="8" s="1"/>
  <c r="Z22" i="6"/>
  <c r="Z22" i="8" s="1"/>
  <c r="Y22" i="6"/>
  <c r="Y22" i="8" s="1"/>
  <c r="X22" i="6"/>
  <c r="X22" i="8" s="1"/>
  <c r="W22" i="6"/>
  <c r="W22" i="8" s="1"/>
  <c r="V22" i="6"/>
  <c r="V22" i="8" s="1"/>
  <c r="U22" i="6"/>
  <c r="U22" i="8" s="1"/>
  <c r="T22" i="6"/>
  <c r="T22" i="8" s="1"/>
  <c r="S22" i="6"/>
  <c r="S22" i="8" s="1"/>
  <c r="S30" i="12" s="1"/>
  <c r="R22" i="6"/>
  <c r="R22" i="8" s="1"/>
  <c r="Q22" i="6"/>
  <c r="Q22" i="8" s="1"/>
  <c r="P22" i="6"/>
  <c r="P22" i="8" s="1"/>
  <c r="O22" i="6"/>
  <c r="O22" i="8" s="1"/>
  <c r="N22" i="6"/>
  <c r="N22" i="8" s="1"/>
  <c r="M22" i="6"/>
  <c r="M22" i="8" s="1"/>
  <c r="L22" i="6"/>
  <c r="L22" i="8" s="1"/>
  <c r="K22" i="6"/>
  <c r="K22" i="8" s="1"/>
  <c r="J22" i="6"/>
  <c r="J22" i="8" s="1"/>
  <c r="I22" i="6"/>
  <c r="I22" i="8" s="1"/>
  <c r="H22" i="6"/>
  <c r="H22" i="8" s="1"/>
  <c r="G22" i="6"/>
  <c r="G22" i="8" s="1"/>
  <c r="F22" i="6"/>
  <c r="F22" i="8" s="1"/>
  <c r="E22" i="6"/>
  <c r="E22" i="8" s="1"/>
  <c r="D22" i="6"/>
  <c r="D22" i="8" s="1"/>
  <c r="C22" i="6"/>
  <c r="C22" i="8" s="1"/>
  <c r="B22" i="6"/>
  <c r="B22" i="8" s="1"/>
  <c r="AI21" i="6"/>
  <c r="AI21" i="8" s="1"/>
  <c r="AH21" i="6"/>
  <c r="AH21" i="8" s="1"/>
  <c r="AG21" i="6"/>
  <c r="AG21" i="8" s="1"/>
  <c r="AF21" i="6"/>
  <c r="AF21" i="8" s="1"/>
  <c r="AE21" i="6"/>
  <c r="AE21" i="8" s="1"/>
  <c r="AD21" i="6"/>
  <c r="AD21" i="8" s="1"/>
  <c r="AC21" i="6"/>
  <c r="AC21" i="8" s="1"/>
  <c r="AB21" i="6"/>
  <c r="AB21" i="8" s="1"/>
  <c r="AA21" i="6"/>
  <c r="AA21" i="8" s="1"/>
  <c r="Z21" i="6"/>
  <c r="Z21" i="8" s="1"/>
  <c r="Y21" i="6"/>
  <c r="Y21" i="8" s="1"/>
  <c r="X21" i="6"/>
  <c r="X21" i="8" s="1"/>
  <c r="W21" i="6"/>
  <c r="W21" i="8" s="1"/>
  <c r="V21" i="6"/>
  <c r="V21" i="8" s="1"/>
  <c r="U21" i="6"/>
  <c r="U21" i="8" s="1"/>
  <c r="T21" i="6"/>
  <c r="T21" i="8" s="1"/>
  <c r="S21" i="6"/>
  <c r="S21" i="8" s="1"/>
  <c r="R21" i="6"/>
  <c r="R21" i="8" s="1"/>
  <c r="Q21" i="6"/>
  <c r="Q21" i="8" s="1"/>
  <c r="P21" i="6"/>
  <c r="P21" i="8" s="1"/>
  <c r="O21" i="6"/>
  <c r="O21" i="8" s="1"/>
  <c r="N21" i="6"/>
  <c r="N21" i="8" s="1"/>
  <c r="M21" i="6"/>
  <c r="M21" i="8" s="1"/>
  <c r="L21" i="6"/>
  <c r="L21" i="8" s="1"/>
  <c r="K21" i="6"/>
  <c r="K21" i="8" s="1"/>
  <c r="J21" i="6"/>
  <c r="J21" i="8" s="1"/>
  <c r="I21" i="6"/>
  <c r="I21" i="8" s="1"/>
  <c r="H21" i="6"/>
  <c r="H21" i="8" s="1"/>
  <c r="H29" i="12" s="1"/>
  <c r="G21" i="6"/>
  <c r="G21" i="8" s="1"/>
  <c r="F21" i="6"/>
  <c r="F21" i="8" s="1"/>
  <c r="E21" i="6"/>
  <c r="E21" i="8" s="1"/>
  <c r="D21" i="6"/>
  <c r="D21" i="8" s="1"/>
  <c r="C21" i="6"/>
  <c r="C21" i="8" s="1"/>
  <c r="B21" i="6"/>
  <c r="B21" i="8" s="1"/>
  <c r="AI20" i="6"/>
  <c r="AI20" i="8" s="1"/>
  <c r="AH20" i="6"/>
  <c r="AH20" i="8" s="1"/>
  <c r="AG20" i="6"/>
  <c r="AG20" i="8" s="1"/>
  <c r="AF20" i="6"/>
  <c r="AF20" i="8" s="1"/>
  <c r="AE20" i="6"/>
  <c r="AE20" i="8" s="1"/>
  <c r="AD20" i="6"/>
  <c r="AD20" i="8" s="1"/>
  <c r="AC20" i="6"/>
  <c r="AC20" i="8" s="1"/>
  <c r="AB20" i="6"/>
  <c r="AB20" i="8" s="1"/>
  <c r="AA20" i="6"/>
  <c r="AA20" i="8" s="1"/>
  <c r="Z20" i="6"/>
  <c r="Z20" i="8" s="1"/>
  <c r="Y20" i="6"/>
  <c r="Y20" i="8" s="1"/>
  <c r="X20" i="6"/>
  <c r="X20" i="8" s="1"/>
  <c r="W20" i="6"/>
  <c r="W20" i="8" s="1"/>
  <c r="V20" i="6"/>
  <c r="V20" i="8" s="1"/>
  <c r="U20" i="6"/>
  <c r="U20" i="8" s="1"/>
  <c r="T20" i="6"/>
  <c r="T20" i="8" s="1"/>
  <c r="S20" i="6"/>
  <c r="S20" i="8" s="1"/>
  <c r="R20" i="6"/>
  <c r="R20" i="8" s="1"/>
  <c r="Q20" i="6"/>
  <c r="Q20" i="8" s="1"/>
  <c r="P20" i="6"/>
  <c r="P20" i="8" s="1"/>
  <c r="O20" i="6"/>
  <c r="O20" i="8" s="1"/>
  <c r="N20" i="6"/>
  <c r="N20" i="8" s="1"/>
  <c r="M20" i="6"/>
  <c r="M20" i="8" s="1"/>
  <c r="L20" i="6"/>
  <c r="L20" i="8" s="1"/>
  <c r="K20" i="6"/>
  <c r="K20" i="8" s="1"/>
  <c r="J20" i="6"/>
  <c r="J20" i="8" s="1"/>
  <c r="I20" i="6"/>
  <c r="I20" i="8" s="1"/>
  <c r="H20" i="6"/>
  <c r="H20" i="8" s="1"/>
  <c r="G20" i="6"/>
  <c r="G20" i="8" s="1"/>
  <c r="F20" i="6"/>
  <c r="F20" i="8" s="1"/>
  <c r="E20" i="6"/>
  <c r="E20" i="8" s="1"/>
  <c r="D20" i="6"/>
  <c r="D20" i="8" s="1"/>
  <c r="C20" i="6"/>
  <c r="C20" i="8" s="1"/>
  <c r="B20" i="6"/>
  <c r="B20" i="8" s="1"/>
  <c r="AI19" i="6"/>
  <c r="AI19" i="8" s="1"/>
  <c r="AH19" i="6"/>
  <c r="AH19" i="8" s="1"/>
  <c r="AG19" i="6"/>
  <c r="AG19" i="8" s="1"/>
  <c r="AF19" i="6"/>
  <c r="AF19" i="8" s="1"/>
  <c r="AE19" i="6"/>
  <c r="AE19" i="8" s="1"/>
  <c r="AD19" i="6"/>
  <c r="AD19" i="8" s="1"/>
  <c r="AC19" i="6"/>
  <c r="AC19" i="8" s="1"/>
  <c r="AC27" i="12" s="1"/>
  <c r="AB19" i="6"/>
  <c r="AB19" i="8" s="1"/>
  <c r="AA19" i="6"/>
  <c r="AA19" i="8" s="1"/>
  <c r="Z19" i="6"/>
  <c r="Z19" i="8" s="1"/>
  <c r="Y19" i="6"/>
  <c r="Y19" i="8" s="1"/>
  <c r="X19" i="6"/>
  <c r="X19" i="8" s="1"/>
  <c r="W19" i="6"/>
  <c r="W19" i="8" s="1"/>
  <c r="V19" i="6"/>
  <c r="V19" i="8" s="1"/>
  <c r="U19" i="6"/>
  <c r="U19" i="8" s="1"/>
  <c r="U27" i="12" s="1"/>
  <c r="T19" i="6"/>
  <c r="T19" i="8" s="1"/>
  <c r="S19" i="6"/>
  <c r="S19" i="8" s="1"/>
  <c r="R19" i="6"/>
  <c r="R19" i="8" s="1"/>
  <c r="Q19" i="6"/>
  <c r="Q19" i="8" s="1"/>
  <c r="P19" i="6"/>
  <c r="P19" i="8" s="1"/>
  <c r="O19" i="6"/>
  <c r="O19" i="8" s="1"/>
  <c r="N19" i="6"/>
  <c r="N19" i="8" s="1"/>
  <c r="M19" i="6"/>
  <c r="M19" i="8" s="1"/>
  <c r="L19" i="6"/>
  <c r="L19" i="8" s="1"/>
  <c r="K19" i="6"/>
  <c r="K19" i="8" s="1"/>
  <c r="J19" i="6"/>
  <c r="J19" i="8" s="1"/>
  <c r="I19" i="6"/>
  <c r="I19" i="8" s="1"/>
  <c r="H19" i="6"/>
  <c r="H19" i="8" s="1"/>
  <c r="G19" i="6"/>
  <c r="G19" i="8" s="1"/>
  <c r="F19" i="6"/>
  <c r="F19" i="8" s="1"/>
  <c r="E19" i="6"/>
  <c r="E19" i="8" s="1"/>
  <c r="E27" i="12" s="1"/>
  <c r="D19" i="6"/>
  <c r="D19" i="8" s="1"/>
  <c r="C19" i="6"/>
  <c r="C19" i="8" s="1"/>
  <c r="B19" i="6"/>
  <c r="B19" i="8" s="1"/>
  <c r="AI18" i="6"/>
  <c r="AI18" i="8" s="1"/>
  <c r="AH18" i="6"/>
  <c r="AH18" i="8" s="1"/>
  <c r="AG18" i="6"/>
  <c r="AG18" i="8" s="1"/>
  <c r="AF18" i="6"/>
  <c r="AF18" i="8" s="1"/>
  <c r="AE18" i="6"/>
  <c r="AE18" i="8" s="1"/>
  <c r="AE26" i="12" s="1"/>
  <c r="AD18" i="6"/>
  <c r="AD18" i="8" s="1"/>
  <c r="AC18" i="6"/>
  <c r="AC18" i="8" s="1"/>
  <c r="AB18" i="6"/>
  <c r="AB18" i="8" s="1"/>
  <c r="AA18" i="6"/>
  <c r="AA18" i="8" s="1"/>
  <c r="Z18" i="6"/>
  <c r="Z18" i="8" s="1"/>
  <c r="Y18" i="6"/>
  <c r="Y18" i="8" s="1"/>
  <c r="X18" i="6"/>
  <c r="X18" i="8" s="1"/>
  <c r="W18" i="6"/>
  <c r="W18" i="8" s="1"/>
  <c r="V18" i="6"/>
  <c r="V18" i="8" s="1"/>
  <c r="U18" i="6"/>
  <c r="U18" i="8" s="1"/>
  <c r="T18" i="6"/>
  <c r="T18" i="8" s="1"/>
  <c r="S18" i="6"/>
  <c r="S18" i="8" s="1"/>
  <c r="R18" i="6"/>
  <c r="R18" i="8" s="1"/>
  <c r="Q18" i="6"/>
  <c r="Q18" i="8" s="1"/>
  <c r="P18" i="6"/>
  <c r="P18" i="8" s="1"/>
  <c r="O18" i="6"/>
  <c r="O18" i="8" s="1"/>
  <c r="N18" i="6"/>
  <c r="N18" i="8" s="1"/>
  <c r="M18" i="6"/>
  <c r="M18" i="8" s="1"/>
  <c r="L18" i="6"/>
  <c r="L18" i="8" s="1"/>
  <c r="K18" i="6"/>
  <c r="K18" i="8" s="1"/>
  <c r="J18" i="6"/>
  <c r="J18" i="8" s="1"/>
  <c r="I18" i="6"/>
  <c r="I18" i="8" s="1"/>
  <c r="H18" i="6"/>
  <c r="H18" i="8" s="1"/>
  <c r="G18" i="6"/>
  <c r="G18" i="8" s="1"/>
  <c r="F18" i="6"/>
  <c r="F18" i="8" s="1"/>
  <c r="E18" i="6"/>
  <c r="E18" i="8" s="1"/>
  <c r="D18" i="6"/>
  <c r="D18" i="8" s="1"/>
  <c r="C18" i="6"/>
  <c r="C18" i="8" s="1"/>
  <c r="B18" i="6"/>
  <c r="B18" i="8" s="1"/>
  <c r="AI17" i="6"/>
  <c r="AI17" i="8" s="1"/>
  <c r="AH17" i="6"/>
  <c r="AH17" i="8" s="1"/>
  <c r="AG17" i="6"/>
  <c r="AG17" i="8" s="1"/>
  <c r="AF17" i="6"/>
  <c r="AF17" i="8" s="1"/>
  <c r="AE17" i="6"/>
  <c r="AE17" i="8" s="1"/>
  <c r="AD17" i="6"/>
  <c r="AD17" i="8" s="1"/>
  <c r="AC17" i="6"/>
  <c r="AC17" i="8" s="1"/>
  <c r="AB17" i="6"/>
  <c r="AB17" i="8" s="1"/>
  <c r="AA17" i="6"/>
  <c r="AA17" i="8" s="1"/>
  <c r="Z17" i="6"/>
  <c r="Z17" i="8" s="1"/>
  <c r="Y17" i="6"/>
  <c r="Y17" i="8" s="1"/>
  <c r="X17" i="6"/>
  <c r="X17" i="8" s="1"/>
  <c r="W17" i="6"/>
  <c r="W17" i="8" s="1"/>
  <c r="V17" i="6"/>
  <c r="V17" i="8" s="1"/>
  <c r="U17" i="6"/>
  <c r="U17" i="8" s="1"/>
  <c r="T17" i="6"/>
  <c r="T17" i="8" s="1"/>
  <c r="S17" i="6"/>
  <c r="S17" i="8" s="1"/>
  <c r="R17" i="6"/>
  <c r="R17" i="8" s="1"/>
  <c r="Q17" i="6"/>
  <c r="Q17" i="8" s="1"/>
  <c r="P17" i="6"/>
  <c r="P17" i="8" s="1"/>
  <c r="O17" i="6"/>
  <c r="O17" i="8" s="1"/>
  <c r="N17" i="6"/>
  <c r="N17" i="8" s="1"/>
  <c r="M17" i="6"/>
  <c r="M17" i="8" s="1"/>
  <c r="L17" i="6"/>
  <c r="L17" i="8" s="1"/>
  <c r="K17" i="6"/>
  <c r="K17" i="8" s="1"/>
  <c r="J17" i="6"/>
  <c r="J17" i="8" s="1"/>
  <c r="I17" i="6"/>
  <c r="I17" i="8" s="1"/>
  <c r="H17" i="6"/>
  <c r="H17" i="8" s="1"/>
  <c r="G17" i="6"/>
  <c r="G17" i="8" s="1"/>
  <c r="F17" i="6"/>
  <c r="F17" i="8" s="1"/>
  <c r="E17" i="6"/>
  <c r="E17" i="8" s="1"/>
  <c r="D17" i="6"/>
  <c r="D17" i="8" s="1"/>
  <c r="C17" i="6"/>
  <c r="C17" i="8" s="1"/>
  <c r="B17" i="6"/>
  <c r="B17" i="8" s="1"/>
  <c r="AI16" i="6"/>
  <c r="AI16" i="8" s="1"/>
  <c r="AH16" i="6"/>
  <c r="AH16" i="8" s="1"/>
  <c r="AG16" i="6"/>
  <c r="AG16" i="8" s="1"/>
  <c r="AF16" i="6"/>
  <c r="AF16" i="8" s="1"/>
  <c r="AE16" i="6"/>
  <c r="AE16" i="8" s="1"/>
  <c r="AD16" i="6"/>
  <c r="AD16" i="8" s="1"/>
  <c r="AC16" i="6"/>
  <c r="AC16" i="8" s="1"/>
  <c r="AB16" i="6"/>
  <c r="AB16" i="8" s="1"/>
  <c r="AA16" i="6"/>
  <c r="AA16" i="8" s="1"/>
  <c r="Z16" i="6"/>
  <c r="Z16" i="8" s="1"/>
  <c r="Y16" i="6"/>
  <c r="Y16" i="8" s="1"/>
  <c r="X16" i="6"/>
  <c r="X16" i="8" s="1"/>
  <c r="W16" i="6"/>
  <c r="W16" i="8" s="1"/>
  <c r="V16" i="6"/>
  <c r="V16" i="8" s="1"/>
  <c r="U16" i="6"/>
  <c r="U16" i="8" s="1"/>
  <c r="T16" i="6"/>
  <c r="T16" i="8" s="1"/>
  <c r="S16" i="6"/>
  <c r="S16" i="8" s="1"/>
  <c r="R16" i="6"/>
  <c r="R16" i="8" s="1"/>
  <c r="Q16" i="6"/>
  <c r="Q16" i="8" s="1"/>
  <c r="P16" i="6"/>
  <c r="P16" i="8" s="1"/>
  <c r="O16" i="6"/>
  <c r="O16" i="8" s="1"/>
  <c r="N16" i="6"/>
  <c r="N16" i="8" s="1"/>
  <c r="M16" i="6"/>
  <c r="M16" i="8" s="1"/>
  <c r="L16" i="6"/>
  <c r="L16" i="8" s="1"/>
  <c r="K16" i="6"/>
  <c r="K16" i="8" s="1"/>
  <c r="J16" i="6"/>
  <c r="J16" i="8" s="1"/>
  <c r="I16" i="6"/>
  <c r="I16" i="8" s="1"/>
  <c r="H16" i="6"/>
  <c r="H16" i="8" s="1"/>
  <c r="G16" i="6"/>
  <c r="G16" i="8" s="1"/>
  <c r="F16" i="6"/>
  <c r="F16" i="8" s="1"/>
  <c r="E16" i="6"/>
  <c r="E16" i="8" s="1"/>
  <c r="D16" i="6"/>
  <c r="D16" i="8" s="1"/>
  <c r="C16" i="6"/>
  <c r="C16" i="8" s="1"/>
  <c r="B16" i="6"/>
  <c r="B16" i="8" s="1"/>
  <c r="AI15" i="6"/>
  <c r="AI15" i="8" s="1"/>
  <c r="AH15" i="6"/>
  <c r="AH15" i="8" s="1"/>
  <c r="AG15" i="6"/>
  <c r="AG15" i="8" s="1"/>
  <c r="AF15" i="6"/>
  <c r="AF15" i="8" s="1"/>
  <c r="AE15" i="6"/>
  <c r="AE15" i="8" s="1"/>
  <c r="AD15" i="6"/>
  <c r="AD15" i="8" s="1"/>
  <c r="AC15" i="6"/>
  <c r="AC15" i="8" s="1"/>
  <c r="AB15" i="6"/>
  <c r="AB15" i="8" s="1"/>
  <c r="AA15" i="6"/>
  <c r="AA15" i="8" s="1"/>
  <c r="Z15" i="6"/>
  <c r="Z15" i="8" s="1"/>
  <c r="Y15" i="6"/>
  <c r="Y15" i="8" s="1"/>
  <c r="X15" i="6"/>
  <c r="X15" i="8" s="1"/>
  <c r="W15" i="6"/>
  <c r="W15" i="8" s="1"/>
  <c r="V15" i="6"/>
  <c r="V15" i="8" s="1"/>
  <c r="U15" i="6"/>
  <c r="U15" i="8" s="1"/>
  <c r="T15" i="6"/>
  <c r="T15" i="8" s="1"/>
  <c r="S15" i="6"/>
  <c r="S15" i="8" s="1"/>
  <c r="R15" i="6"/>
  <c r="R15" i="8" s="1"/>
  <c r="Q15" i="6"/>
  <c r="Q15" i="8" s="1"/>
  <c r="P15" i="6"/>
  <c r="P15" i="8" s="1"/>
  <c r="O15" i="6"/>
  <c r="O15" i="8" s="1"/>
  <c r="N15" i="6"/>
  <c r="N15" i="8" s="1"/>
  <c r="M15" i="6"/>
  <c r="M15" i="8" s="1"/>
  <c r="L15" i="6"/>
  <c r="L15" i="8" s="1"/>
  <c r="K15" i="6"/>
  <c r="K15" i="8" s="1"/>
  <c r="J15" i="6"/>
  <c r="J15" i="8" s="1"/>
  <c r="I15" i="6"/>
  <c r="I15" i="8" s="1"/>
  <c r="H15" i="6"/>
  <c r="H15" i="8" s="1"/>
  <c r="G15" i="6"/>
  <c r="G15" i="8" s="1"/>
  <c r="F15" i="6"/>
  <c r="F15" i="8" s="1"/>
  <c r="E15" i="6"/>
  <c r="E15" i="8" s="1"/>
  <c r="D15" i="6"/>
  <c r="D15" i="8" s="1"/>
  <c r="C15" i="6"/>
  <c r="C15" i="8" s="1"/>
  <c r="B15" i="6"/>
  <c r="B15" i="8" s="1"/>
  <c r="AI14" i="6"/>
  <c r="AI14" i="8" s="1"/>
  <c r="AH14" i="6"/>
  <c r="AH14" i="8" s="1"/>
  <c r="AG14" i="6"/>
  <c r="AG14" i="8" s="1"/>
  <c r="AF14" i="6"/>
  <c r="AF14" i="8" s="1"/>
  <c r="AE14" i="6"/>
  <c r="AE14" i="8" s="1"/>
  <c r="AD14" i="6"/>
  <c r="AD14" i="8" s="1"/>
  <c r="AC14" i="6"/>
  <c r="AC14" i="8" s="1"/>
  <c r="AB14" i="6"/>
  <c r="AB14" i="8" s="1"/>
  <c r="AA14" i="6"/>
  <c r="AA14" i="8" s="1"/>
  <c r="Z14" i="6"/>
  <c r="Z14" i="8" s="1"/>
  <c r="Y14" i="6"/>
  <c r="Y14" i="8" s="1"/>
  <c r="X14" i="6"/>
  <c r="X14" i="8" s="1"/>
  <c r="W14" i="6"/>
  <c r="W14" i="8" s="1"/>
  <c r="V14" i="6"/>
  <c r="V14" i="8" s="1"/>
  <c r="U14" i="6"/>
  <c r="U14" i="8" s="1"/>
  <c r="T14" i="6"/>
  <c r="T14" i="8" s="1"/>
  <c r="S14" i="6"/>
  <c r="S14" i="8" s="1"/>
  <c r="R14" i="6"/>
  <c r="R14" i="8" s="1"/>
  <c r="Q14" i="6"/>
  <c r="Q14" i="8" s="1"/>
  <c r="P14" i="6"/>
  <c r="P14" i="8" s="1"/>
  <c r="O14" i="6"/>
  <c r="O14" i="8" s="1"/>
  <c r="N14" i="6"/>
  <c r="N14" i="8" s="1"/>
  <c r="M14" i="6"/>
  <c r="M14" i="8" s="1"/>
  <c r="L14" i="6"/>
  <c r="L14" i="8" s="1"/>
  <c r="K14" i="6"/>
  <c r="K14" i="8" s="1"/>
  <c r="J14" i="6"/>
  <c r="J14" i="8" s="1"/>
  <c r="I14" i="6"/>
  <c r="I14" i="8" s="1"/>
  <c r="H14" i="6"/>
  <c r="H14" i="8" s="1"/>
  <c r="G14" i="6"/>
  <c r="G14" i="8" s="1"/>
  <c r="F14" i="6"/>
  <c r="F14" i="8" s="1"/>
  <c r="E14" i="6"/>
  <c r="E14" i="8" s="1"/>
  <c r="D14" i="6"/>
  <c r="D14" i="8" s="1"/>
  <c r="C14" i="6"/>
  <c r="C14" i="8" s="1"/>
  <c r="B14" i="6"/>
  <c r="B14" i="8" s="1"/>
  <c r="AI13" i="6"/>
  <c r="AI13" i="8" s="1"/>
  <c r="AH13" i="6"/>
  <c r="AH13" i="8" s="1"/>
  <c r="AG13" i="6"/>
  <c r="AG13" i="8" s="1"/>
  <c r="AF13" i="6"/>
  <c r="AF13" i="8" s="1"/>
  <c r="AE13" i="6"/>
  <c r="AE13" i="8" s="1"/>
  <c r="AD13" i="6"/>
  <c r="AD13" i="8" s="1"/>
  <c r="AC13" i="6"/>
  <c r="AC13" i="8" s="1"/>
  <c r="AB13" i="6"/>
  <c r="AB13" i="8" s="1"/>
  <c r="AA13" i="6"/>
  <c r="AA13" i="8" s="1"/>
  <c r="Z13" i="6"/>
  <c r="Z13" i="8" s="1"/>
  <c r="Y13" i="6"/>
  <c r="Y13" i="8" s="1"/>
  <c r="X13" i="6"/>
  <c r="X13" i="8" s="1"/>
  <c r="W13" i="6"/>
  <c r="W13" i="8" s="1"/>
  <c r="V13" i="6"/>
  <c r="V13" i="8" s="1"/>
  <c r="U13" i="6"/>
  <c r="U13" i="8" s="1"/>
  <c r="T13" i="6"/>
  <c r="T13" i="8" s="1"/>
  <c r="S13" i="6"/>
  <c r="S13" i="8" s="1"/>
  <c r="R13" i="6"/>
  <c r="R13" i="8" s="1"/>
  <c r="Q13" i="6"/>
  <c r="Q13" i="8" s="1"/>
  <c r="P13" i="6"/>
  <c r="P13" i="8" s="1"/>
  <c r="O13" i="6"/>
  <c r="O13" i="8" s="1"/>
  <c r="N13" i="6"/>
  <c r="N13" i="8" s="1"/>
  <c r="M13" i="6"/>
  <c r="M13" i="8" s="1"/>
  <c r="L13" i="6"/>
  <c r="L13" i="8" s="1"/>
  <c r="K13" i="6"/>
  <c r="K13" i="8" s="1"/>
  <c r="J13" i="6"/>
  <c r="J13" i="8" s="1"/>
  <c r="I13" i="6"/>
  <c r="I13" i="8" s="1"/>
  <c r="H13" i="6"/>
  <c r="H13" i="8" s="1"/>
  <c r="G13" i="6"/>
  <c r="G13" i="8" s="1"/>
  <c r="F13" i="6"/>
  <c r="F13" i="8" s="1"/>
  <c r="E13" i="6"/>
  <c r="E13" i="8" s="1"/>
  <c r="D13" i="6"/>
  <c r="D13" i="8" s="1"/>
  <c r="C13" i="6"/>
  <c r="C13" i="8" s="1"/>
  <c r="B13" i="6"/>
  <c r="B13" i="8" s="1"/>
  <c r="AI12" i="6"/>
  <c r="AI12" i="8" s="1"/>
  <c r="AH12" i="6"/>
  <c r="AH12" i="8" s="1"/>
  <c r="AG12" i="6"/>
  <c r="AG12" i="8" s="1"/>
  <c r="AF12" i="6"/>
  <c r="AF12" i="8" s="1"/>
  <c r="AE12" i="6"/>
  <c r="AE12" i="8" s="1"/>
  <c r="AD12" i="6"/>
  <c r="AD12" i="8" s="1"/>
  <c r="AC12" i="6"/>
  <c r="AC12" i="8" s="1"/>
  <c r="AB12" i="6"/>
  <c r="AB12" i="8" s="1"/>
  <c r="AA12" i="6"/>
  <c r="AA12" i="8" s="1"/>
  <c r="Z12" i="6"/>
  <c r="Z12" i="8" s="1"/>
  <c r="Y12" i="6"/>
  <c r="Y12" i="8" s="1"/>
  <c r="X12" i="6"/>
  <c r="X12" i="8" s="1"/>
  <c r="W12" i="6"/>
  <c r="W12" i="8" s="1"/>
  <c r="V12" i="6"/>
  <c r="V12" i="8" s="1"/>
  <c r="U12" i="6"/>
  <c r="U12" i="8" s="1"/>
  <c r="T12" i="6"/>
  <c r="T12" i="8" s="1"/>
  <c r="S12" i="6"/>
  <c r="S12" i="8" s="1"/>
  <c r="R12" i="6"/>
  <c r="R12" i="8" s="1"/>
  <c r="Q12" i="6"/>
  <c r="Q12" i="8" s="1"/>
  <c r="P12" i="6"/>
  <c r="P12" i="8" s="1"/>
  <c r="O12" i="6"/>
  <c r="O12" i="8" s="1"/>
  <c r="N12" i="6"/>
  <c r="N12" i="8" s="1"/>
  <c r="M12" i="6"/>
  <c r="M12" i="8" s="1"/>
  <c r="L12" i="6"/>
  <c r="L12" i="8" s="1"/>
  <c r="K12" i="6"/>
  <c r="K12" i="8" s="1"/>
  <c r="J12" i="6"/>
  <c r="J12" i="8" s="1"/>
  <c r="I12" i="6"/>
  <c r="I12" i="8" s="1"/>
  <c r="H12" i="6"/>
  <c r="H12" i="8" s="1"/>
  <c r="G12" i="6"/>
  <c r="G12" i="8" s="1"/>
  <c r="F12" i="6"/>
  <c r="F12" i="8" s="1"/>
  <c r="E12" i="6"/>
  <c r="E12" i="8" s="1"/>
  <c r="D12" i="6"/>
  <c r="D12" i="8" s="1"/>
  <c r="C12" i="6"/>
  <c r="C12" i="8" s="1"/>
  <c r="B12" i="6"/>
  <c r="B12" i="8" s="1"/>
  <c r="AI11" i="6"/>
  <c r="AI11" i="8" s="1"/>
  <c r="AH11" i="6"/>
  <c r="AH11" i="8" s="1"/>
  <c r="AG11" i="6"/>
  <c r="AG11" i="8" s="1"/>
  <c r="AF11" i="6"/>
  <c r="AF11" i="8" s="1"/>
  <c r="AE11" i="6"/>
  <c r="AE11" i="8" s="1"/>
  <c r="AD11" i="6"/>
  <c r="AD11" i="8" s="1"/>
  <c r="AC11" i="6"/>
  <c r="AC11" i="8" s="1"/>
  <c r="AB11" i="6"/>
  <c r="AB11" i="8" s="1"/>
  <c r="AA11" i="6"/>
  <c r="AA11" i="8" s="1"/>
  <c r="Z11" i="6"/>
  <c r="Z11" i="8" s="1"/>
  <c r="Y11" i="6"/>
  <c r="Y11" i="8" s="1"/>
  <c r="X11" i="6"/>
  <c r="X11" i="8" s="1"/>
  <c r="W11" i="6"/>
  <c r="W11" i="8" s="1"/>
  <c r="V11" i="6"/>
  <c r="V11" i="8" s="1"/>
  <c r="U11" i="6"/>
  <c r="U11" i="8" s="1"/>
  <c r="T11" i="6"/>
  <c r="T11" i="8" s="1"/>
  <c r="S11" i="6"/>
  <c r="S11" i="8" s="1"/>
  <c r="R11" i="6"/>
  <c r="R11" i="8" s="1"/>
  <c r="Q11" i="6"/>
  <c r="Q11" i="8" s="1"/>
  <c r="P11" i="6"/>
  <c r="P11" i="8" s="1"/>
  <c r="O11" i="6"/>
  <c r="O11" i="8" s="1"/>
  <c r="N11" i="6"/>
  <c r="N11" i="8" s="1"/>
  <c r="M11" i="6"/>
  <c r="M11" i="8" s="1"/>
  <c r="L11" i="6"/>
  <c r="L11" i="8" s="1"/>
  <c r="K11" i="6"/>
  <c r="K11" i="8" s="1"/>
  <c r="J11" i="6"/>
  <c r="J11" i="8" s="1"/>
  <c r="I11" i="6"/>
  <c r="I11" i="8" s="1"/>
  <c r="H11" i="6"/>
  <c r="H11" i="8" s="1"/>
  <c r="G11" i="6"/>
  <c r="G11" i="8" s="1"/>
  <c r="F11" i="6"/>
  <c r="F11" i="8" s="1"/>
  <c r="E11" i="6"/>
  <c r="E11" i="8" s="1"/>
  <c r="D11" i="6"/>
  <c r="D11" i="8" s="1"/>
  <c r="C11" i="6"/>
  <c r="C11" i="8" s="1"/>
  <c r="B11" i="6"/>
  <c r="B11" i="8" s="1"/>
  <c r="AI10" i="6"/>
  <c r="AI10" i="8" s="1"/>
  <c r="AH10" i="6"/>
  <c r="AH10" i="8" s="1"/>
  <c r="AG10" i="6"/>
  <c r="AG10" i="8" s="1"/>
  <c r="AF10" i="6"/>
  <c r="AF10" i="8" s="1"/>
  <c r="AE10" i="6"/>
  <c r="AE10" i="8" s="1"/>
  <c r="AD10" i="6"/>
  <c r="AD10" i="8" s="1"/>
  <c r="AC10" i="6"/>
  <c r="AC10" i="8" s="1"/>
  <c r="AB10" i="6"/>
  <c r="AB10" i="8" s="1"/>
  <c r="AA10" i="6"/>
  <c r="AA10" i="8" s="1"/>
  <c r="Z10" i="6"/>
  <c r="Z10" i="8" s="1"/>
  <c r="Y10" i="6"/>
  <c r="Y10" i="8" s="1"/>
  <c r="X10" i="6"/>
  <c r="X10" i="8" s="1"/>
  <c r="W10" i="6"/>
  <c r="W10" i="8" s="1"/>
  <c r="V10" i="6"/>
  <c r="V10" i="8" s="1"/>
  <c r="U10" i="6"/>
  <c r="U10" i="8" s="1"/>
  <c r="T10" i="6"/>
  <c r="T10" i="8" s="1"/>
  <c r="S10" i="6"/>
  <c r="S10" i="8" s="1"/>
  <c r="R10" i="6"/>
  <c r="R10" i="8" s="1"/>
  <c r="Q10" i="6"/>
  <c r="Q10" i="8" s="1"/>
  <c r="P10" i="6"/>
  <c r="P10" i="8" s="1"/>
  <c r="O10" i="6"/>
  <c r="O10" i="8" s="1"/>
  <c r="N10" i="6"/>
  <c r="N10" i="8" s="1"/>
  <c r="M10" i="6"/>
  <c r="M10" i="8" s="1"/>
  <c r="L10" i="6"/>
  <c r="L10" i="8" s="1"/>
  <c r="K10" i="6"/>
  <c r="K10" i="8" s="1"/>
  <c r="J10" i="6"/>
  <c r="J10" i="8" s="1"/>
  <c r="I10" i="6"/>
  <c r="I10" i="8" s="1"/>
  <c r="H10" i="6"/>
  <c r="H10" i="8" s="1"/>
  <c r="G10" i="6"/>
  <c r="G10" i="8" s="1"/>
  <c r="F10" i="6"/>
  <c r="F10" i="8" s="1"/>
  <c r="E10" i="6"/>
  <c r="E10" i="8" s="1"/>
  <c r="D10" i="6"/>
  <c r="D10" i="8" s="1"/>
  <c r="C10" i="6"/>
  <c r="C10" i="8" s="1"/>
  <c r="B10" i="6"/>
  <c r="B10" i="8" s="1"/>
  <c r="AI9" i="6"/>
  <c r="AI9" i="8" s="1"/>
  <c r="AH9" i="6"/>
  <c r="AH9" i="8" s="1"/>
  <c r="AG9" i="6"/>
  <c r="AG9" i="8" s="1"/>
  <c r="AF9" i="6"/>
  <c r="AF9" i="8" s="1"/>
  <c r="AE9" i="6"/>
  <c r="AE9" i="8" s="1"/>
  <c r="AD9" i="6"/>
  <c r="AD9" i="8" s="1"/>
  <c r="AC9" i="6"/>
  <c r="AC9" i="8" s="1"/>
  <c r="AB9" i="6"/>
  <c r="AB9" i="8" s="1"/>
  <c r="AA9" i="6"/>
  <c r="AA9" i="8" s="1"/>
  <c r="Z9" i="6"/>
  <c r="Z9" i="8" s="1"/>
  <c r="Y9" i="6"/>
  <c r="Y9" i="8" s="1"/>
  <c r="X9" i="6"/>
  <c r="X9" i="8" s="1"/>
  <c r="W9" i="6"/>
  <c r="W9" i="8" s="1"/>
  <c r="V9" i="6"/>
  <c r="V9" i="8" s="1"/>
  <c r="U9" i="6"/>
  <c r="U9" i="8" s="1"/>
  <c r="T9" i="6"/>
  <c r="T9" i="8" s="1"/>
  <c r="S9" i="6"/>
  <c r="S9" i="8" s="1"/>
  <c r="R9" i="6"/>
  <c r="R9" i="8" s="1"/>
  <c r="Q9" i="6"/>
  <c r="Q9" i="8" s="1"/>
  <c r="P9" i="6"/>
  <c r="P9" i="8" s="1"/>
  <c r="O9" i="6"/>
  <c r="O9" i="8" s="1"/>
  <c r="N9" i="6"/>
  <c r="N9" i="8" s="1"/>
  <c r="M9" i="6"/>
  <c r="M9" i="8" s="1"/>
  <c r="L9" i="6"/>
  <c r="L9" i="8" s="1"/>
  <c r="K9" i="6"/>
  <c r="K9" i="8" s="1"/>
  <c r="J9" i="6"/>
  <c r="J9" i="8" s="1"/>
  <c r="I9" i="6"/>
  <c r="I9" i="8" s="1"/>
  <c r="H9" i="6"/>
  <c r="H9" i="8" s="1"/>
  <c r="G9" i="6"/>
  <c r="G9" i="8" s="1"/>
  <c r="F9" i="6"/>
  <c r="F9" i="8" s="1"/>
  <c r="E9" i="6"/>
  <c r="E9" i="8" s="1"/>
  <c r="D9" i="6"/>
  <c r="D9" i="8" s="1"/>
  <c r="C9" i="6"/>
  <c r="C9" i="8" s="1"/>
  <c r="B9" i="6"/>
  <c r="B9" i="8" s="1"/>
  <c r="AI8" i="6"/>
  <c r="AI8" i="8" s="1"/>
  <c r="AH8" i="6"/>
  <c r="AH8" i="8" s="1"/>
  <c r="AG8" i="6"/>
  <c r="AG8" i="8" s="1"/>
  <c r="AF8" i="6"/>
  <c r="AF8" i="8" s="1"/>
  <c r="AE8" i="6"/>
  <c r="AE8" i="8" s="1"/>
  <c r="AD8" i="6"/>
  <c r="AD8" i="8" s="1"/>
  <c r="AC8" i="6"/>
  <c r="AC8" i="8" s="1"/>
  <c r="AB8" i="6"/>
  <c r="AB8" i="8" s="1"/>
  <c r="AA8" i="6"/>
  <c r="AA8" i="8" s="1"/>
  <c r="Z8" i="6"/>
  <c r="Z8" i="8" s="1"/>
  <c r="Y8" i="6"/>
  <c r="Y8" i="8" s="1"/>
  <c r="X8" i="6"/>
  <c r="X8" i="8" s="1"/>
  <c r="W8" i="6"/>
  <c r="W8" i="8" s="1"/>
  <c r="V8" i="6"/>
  <c r="V8" i="8" s="1"/>
  <c r="U8" i="6"/>
  <c r="U8" i="8" s="1"/>
  <c r="T8" i="6"/>
  <c r="T8" i="8" s="1"/>
  <c r="S8" i="6"/>
  <c r="S8" i="8" s="1"/>
  <c r="R8" i="6"/>
  <c r="R8" i="8" s="1"/>
  <c r="Q8" i="6"/>
  <c r="Q8" i="8" s="1"/>
  <c r="P8" i="6"/>
  <c r="P8" i="8" s="1"/>
  <c r="O8" i="6"/>
  <c r="O8" i="8" s="1"/>
  <c r="N8" i="6"/>
  <c r="N8" i="8" s="1"/>
  <c r="M8" i="6"/>
  <c r="M8" i="8" s="1"/>
  <c r="L8" i="6"/>
  <c r="L8" i="8" s="1"/>
  <c r="K8" i="6"/>
  <c r="K8" i="8" s="1"/>
  <c r="J8" i="6"/>
  <c r="J8" i="8" s="1"/>
  <c r="I8" i="6"/>
  <c r="I8" i="8" s="1"/>
  <c r="H8" i="6"/>
  <c r="H8" i="8" s="1"/>
  <c r="G8" i="6"/>
  <c r="G8" i="8" s="1"/>
  <c r="F8" i="6"/>
  <c r="F8" i="8" s="1"/>
  <c r="E8" i="6"/>
  <c r="E8" i="8" s="1"/>
  <c r="D8" i="6"/>
  <c r="D8" i="8" s="1"/>
  <c r="C8" i="6"/>
  <c r="C8" i="8" s="1"/>
  <c r="B8" i="6"/>
  <c r="B8" i="8" s="1"/>
  <c r="AI7" i="6"/>
  <c r="AI7" i="8" s="1"/>
  <c r="AH7" i="6"/>
  <c r="AH7" i="8" s="1"/>
  <c r="AG7" i="6"/>
  <c r="AG7" i="8" s="1"/>
  <c r="AF7" i="6"/>
  <c r="AF7" i="8" s="1"/>
  <c r="AE7" i="6"/>
  <c r="AE7" i="8" s="1"/>
  <c r="AD7" i="6"/>
  <c r="AD7" i="8" s="1"/>
  <c r="AC7" i="6"/>
  <c r="AC7" i="8" s="1"/>
  <c r="AB7" i="6"/>
  <c r="AB7" i="8" s="1"/>
  <c r="AA7" i="6"/>
  <c r="AA7" i="8" s="1"/>
  <c r="Z7" i="6"/>
  <c r="Z7" i="8" s="1"/>
  <c r="Y7" i="6"/>
  <c r="Y7" i="8" s="1"/>
  <c r="X7" i="6"/>
  <c r="X7" i="8" s="1"/>
  <c r="W7" i="6"/>
  <c r="W7" i="8" s="1"/>
  <c r="V7" i="6"/>
  <c r="V7" i="8" s="1"/>
  <c r="U7" i="6"/>
  <c r="U7" i="8" s="1"/>
  <c r="T7" i="6"/>
  <c r="T7" i="8" s="1"/>
  <c r="S7" i="6"/>
  <c r="S7" i="8" s="1"/>
  <c r="R7" i="6"/>
  <c r="R7" i="8" s="1"/>
  <c r="Q7" i="6"/>
  <c r="Q7" i="8" s="1"/>
  <c r="P7" i="6"/>
  <c r="P7" i="8" s="1"/>
  <c r="O7" i="6"/>
  <c r="O7" i="8" s="1"/>
  <c r="N7" i="6"/>
  <c r="N7" i="8" s="1"/>
  <c r="M7" i="6"/>
  <c r="M7" i="8" s="1"/>
  <c r="L7" i="6"/>
  <c r="L7" i="8" s="1"/>
  <c r="K7" i="6"/>
  <c r="K7" i="8" s="1"/>
  <c r="J7" i="6"/>
  <c r="J7" i="8" s="1"/>
  <c r="I7" i="6"/>
  <c r="I7" i="8" s="1"/>
  <c r="H7" i="6"/>
  <c r="H7" i="8" s="1"/>
  <c r="G7" i="6"/>
  <c r="G7" i="8" s="1"/>
  <c r="F7" i="6"/>
  <c r="F7" i="8" s="1"/>
  <c r="E7" i="6"/>
  <c r="E7" i="8" s="1"/>
  <c r="D7" i="6"/>
  <c r="D7" i="8" s="1"/>
  <c r="C7" i="6"/>
  <c r="C7" i="8" s="1"/>
  <c r="B7" i="6"/>
  <c r="B7" i="8" s="1"/>
  <c r="AI6" i="6"/>
  <c r="AI6" i="8" s="1"/>
  <c r="AH6" i="6"/>
  <c r="AH6" i="8" s="1"/>
  <c r="AG6" i="6"/>
  <c r="AG6" i="8" s="1"/>
  <c r="AF6" i="6"/>
  <c r="AF6" i="8" s="1"/>
  <c r="AE6" i="6"/>
  <c r="AE6" i="8" s="1"/>
  <c r="AD6" i="6"/>
  <c r="AD6" i="8" s="1"/>
  <c r="AC6" i="6"/>
  <c r="AC6" i="8" s="1"/>
  <c r="AB6" i="6"/>
  <c r="AB6" i="8" s="1"/>
  <c r="AA6" i="6"/>
  <c r="AA6" i="8" s="1"/>
  <c r="Z6" i="6"/>
  <c r="Z6" i="8" s="1"/>
  <c r="Y6" i="6"/>
  <c r="Y6" i="8" s="1"/>
  <c r="X6" i="6"/>
  <c r="X6" i="8" s="1"/>
  <c r="W6" i="6"/>
  <c r="W6" i="8" s="1"/>
  <c r="V6" i="6"/>
  <c r="V6" i="8" s="1"/>
  <c r="U6" i="6"/>
  <c r="U6" i="8" s="1"/>
  <c r="T6" i="6"/>
  <c r="T6" i="8" s="1"/>
  <c r="S6" i="6"/>
  <c r="S6" i="8" s="1"/>
  <c r="R6" i="6"/>
  <c r="R6" i="8" s="1"/>
  <c r="Q6" i="6"/>
  <c r="Q6" i="8" s="1"/>
  <c r="P6" i="6"/>
  <c r="P6" i="8" s="1"/>
  <c r="O6" i="6"/>
  <c r="O6" i="8" s="1"/>
  <c r="N6" i="6"/>
  <c r="N6" i="8" s="1"/>
  <c r="M6" i="6"/>
  <c r="M6" i="8" s="1"/>
  <c r="L6" i="6"/>
  <c r="L6" i="8" s="1"/>
  <c r="K6" i="6"/>
  <c r="K6" i="8" s="1"/>
  <c r="J6" i="6"/>
  <c r="J6" i="8" s="1"/>
  <c r="I6" i="6"/>
  <c r="I6" i="8" s="1"/>
  <c r="H6" i="6"/>
  <c r="H6" i="8" s="1"/>
  <c r="G6" i="6"/>
  <c r="G6" i="8" s="1"/>
  <c r="F6" i="6"/>
  <c r="F6" i="8" s="1"/>
  <c r="E6" i="6"/>
  <c r="E6" i="8" s="1"/>
  <c r="D6" i="6"/>
  <c r="D6" i="8" s="1"/>
  <c r="C6" i="6"/>
  <c r="C6" i="8" s="1"/>
  <c r="B6" i="6"/>
  <c r="B6" i="8" s="1"/>
  <c r="AI5" i="6"/>
  <c r="AI5" i="8" s="1"/>
  <c r="AH5" i="6"/>
  <c r="AH5" i="8" s="1"/>
  <c r="AG5" i="6"/>
  <c r="AG5" i="8" s="1"/>
  <c r="AF5" i="6"/>
  <c r="AF5" i="8" s="1"/>
  <c r="AE5" i="6"/>
  <c r="AE5" i="8" s="1"/>
  <c r="AD5" i="6"/>
  <c r="AD5" i="8" s="1"/>
  <c r="AC5" i="6"/>
  <c r="AC5" i="8" s="1"/>
  <c r="AB5" i="6"/>
  <c r="AB5" i="8" s="1"/>
  <c r="AA5" i="6"/>
  <c r="AA5" i="8" s="1"/>
  <c r="Z5" i="6"/>
  <c r="Z5" i="8" s="1"/>
  <c r="Y5" i="6"/>
  <c r="Y5" i="8" s="1"/>
  <c r="X5" i="6"/>
  <c r="X5" i="8" s="1"/>
  <c r="W5" i="6"/>
  <c r="W5" i="8" s="1"/>
  <c r="V5" i="6"/>
  <c r="V5" i="8" s="1"/>
  <c r="U5" i="6"/>
  <c r="U5" i="8" s="1"/>
  <c r="T5" i="6"/>
  <c r="T5" i="8" s="1"/>
  <c r="S5" i="6"/>
  <c r="S5" i="8" s="1"/>
  <c r="R5" i="6"/>
  <c r="R5" i="8" s="1"/>
  <c r="Q5" i="6"/>
  <c r="Q5" i="8" s="1"/>
  <c r="P5" i="6"/>
  <c r="P5" i="8" s="1"/>
  <c r="O5" i="6"/>
  <c r="O5" i="8" s="1"/>
  <c r="N5" i="6"/>
  <c r="N5" i="8" s="1"/>
  <c r="M5" i="6"/>
  <c r="M5" i="8" s="1"/>
  <c r="L5" i="6"/>
  <c r="L5" i="8" s="1"/>
  <c r="K5" i="6"/>
  <c r="K5" i="8" s="1"/>
  <c r="J5" i="6"/>
  <c r="J5" i="8" s="1"/>
  <c r="I5" i="6"/>
  <c r="I5" i="8" s="1"/>
  <c r="H5" i="6"/>
  <c r="H5" i="8" s="1"/>
  <c r="G5" i="6"/>
  <c r="G5" i="8" s="1"/>
  <c r="F5" i="6"/>
  <c r="F5" i="8" s="1"/>
  <c r="E5" i="6"/>
  <c r="E5" i="8" s="1"/>
  <c r="D5" i="6"/>
  <c r="D5" i="8" s="1"/>
  <c r="C5" i="6"/>
  <c r="C5" i="8" s="1"/>
  <c r="B5" i="6"/>
  <c r="B5" i="8" s="1"/>
  <c r="D1422" i="4"/>
  <c r="D1409" i="4"/>
  <c r="E1409" i="4" s="1"/>
  <c r="D1408" i="4"/>
  <c r="E1408" i="4" s="1"/>
  <c r="D1407" i="4"/>
  <c r="E1407" i="4" s="1"/>
  <c r="E1406" i="4"/>
  <c r="D1406" i="4"/>
  <c r="D1405" i="4"/>
  <c r="E1405" i="4" s="1"/>
  <c r="D1404" i="4"/>
  <c r="E1404" i="4" s="1"/>
  <c r="E1403" i="4"/>
  <c r="D1403" i="4"/>
  <c r="D1402" i="4"/>
  <c r="E1402" i="4" s="1"/>
  <c r="D1401" i="4"/>
  <c r="E1401" i="4" s="1"/>
  <c r="D1400" i="4"/>
  <c r="E1400" i="4" s="1"/>
  <c r="D1399" i="4"/>
  <c r="E1399" i="4" s="1"/>
  <c r="E1398" i="4"/>
  <c r="D1398" i="4"/>
  <c r="D1397" i="4"/>
  <c r="E1397" i="4" s="1"/>
  <c r="D1396" i="4"/>
  <c r="E1396" i="4" s="1"/>
  <c r="E1395" i="4"/>
  <c r="D1395" i="4"/>
  <c r="D1394" i="4"/>
  <c r="E1394" i="4" s="1"/>
  <c r="D1393" i="4"/>
  <c r="E1393" i="4" s="1"/>
  <c r="D1392" i="4"/>
  <c r="E1392" i="4" s="1"/>
  <c r="D1391" i="4"/>
  <c r="E1391" i="4" s="1"/>
  <c r="E1390" i="4"/>
  <c r="D1390" i="4"/>
  <c r="D1389" i="4"/>
  <c r="E1389" i="4" s="1"/>
  <c r="D1388" i="4"/>
  <c r="E1388" i="4" s="1"/>
  <c r="E1387" i="4"/>
  <c r="D1387" i="4"/>
  <c r="D1386" i="4"/>
  <c r="E1386" i="4" s="1"/>
  <c r="D1385" i="4"/>
  <c r="E1385" i="4" s="1"/>
  <c r="D1384" i="4"/>
  <c r="E1384" i="4" s="1"/>
  <c r="D1383" i="4"/>
  <c r="E1383" i="4" s="1"/>
  <c r="E1382" i="4"/>
  <c r="D1382" i="4"/>
  <c r="D1381" i="4"/>
  <c r="E1381" i="4" s="1"/>
  <c r="D1380" i="4"/>
  <c r="E1380" i="4" s="1"/>
  <c r="E1379" i="4"/>
  <c r="D1379" i="4"/>
  <c r="D1378" i="4"/>
  <c r="E1378" i="4" s="1"/>
  <c r="D1377" i="4"/>
  <c r="E1377" i="4" s="1"/>
  <c r="D1376" i="4"/>
  <c r="E1376" i="4" s="1"/>
  <c r="E1375" i="4"/>
  <c r="D1375" i="4"/>
  <c r="E1374" i="4"/>
  <c r="D1374" i="4"/>
  <c r="D1373" i="4"/>
  <c r="E1373" i="4" s="1"/>
  <c r="D1372" i="4"/>
  <c r="E1372" i="4" s="1"/>
  <c r="E1371" i="4"/>
  <c r="D1371" i="4"/>
  <c r="E1370" i="4"/>
  <c r="D1370" i="4"/>
  <c r="D1369" i="4"/>
  <c r="E1369" i="4" s="1"/>
  <c r="D1368" i="4"/>
  <c r="E1368" i="4" s="1"/>
  <c r="D1367" i="4"/>
  <c r="E1367" i="4" s="1"/>
  <c r="E1366" i="4"/>
  <c r="D1366" i="4"/>
  <c r="D1365" i="4"/>
  <c r="E1365" i="4" s="1"/>
  <c r="D1364" i="4"/>
  <c r="E1364" i="4" s="1"/>
  <c r="E1363" i="4"/>
  <c r="D1363" i="4"/>
  <c r="D1362" i="4"/>
  <c r="E1362" i="4" s="1"/>
  <c r="D1361" i="4"/>
  <c r="E1361" i="4" s="1"/>
  <c r="D1360" i="4"/>
  <c r="E1360" i="4" s="1"/>
  <c r="D1359" i="4"/>
  <c r="E1359" i="4" s="1"/>
  <c r="E1358" i="4"/>
  <c r="D1358" i="4"/>
  <c r="D1357" i="4"/>
  <c r="E1357" i="4" s="1"/>
  <c r="D1356" i="4"/>
  <c r="E1356" i="4" s="1"/>
  <c r="E1355" i="4"/>
  <c r="D1355" i="4"/>
  <c r="D1354" i="4"/>
  <c r="E1354" i="4" s="1"/>
  <c r="D1353" i="4"/>
  <c r="E1353" i="4" s="1"/>
  <c r="D1352" i="4"/>
  <c r="E1352" i="4" s="1"/>
  <c r="D1351" i="4"/>
  <c r="E1351" i="4" s="1"/>
  <c r="E1350" i="4"/>
  <c r="D1350" i="4"/>
  <c r="D1349" i="4"/>
  <c r="E1349" i="4" s="1"/>
  <c r="D1348" i="4"/>
  <c r="E1348" i="4" s="1"/>
  <c r="E1347" i="4"/>
  <c r="D1347" i="4"/>
  <c r="D1346" i="4"/>
  <c r="E1346" i="4" s="1"/>
  <c r="D1345" i="4"/>
  <c r="E1345" i="4" s="1"/>
  <c r="D1344" i="4"/>
  <c r="E1344" i="4" s="1"/>
  <c r="D1343" i="4"/>
  <c r="E1343" i="4" s="1"/>
  <c r="E1342" i="4"/>
  <c r="D1342" i="4"/>
  <c r="D1341" i="4"/>
  <c r="E1341" i="4" s="1"/>
  <c r="D1340" i="4"/>
  <c r="E1340" i="4" s="1"/>
  <c r="E1339" i="4"/>
  <c r="D1339" i="4"/>
  <c r="D1338" i="4"/>
  <c r="E1338" i="4" s="1"/>
  <c r="D1337" i="4"/>
  <c r="E1337" i="4" s="1"/>
  <c r="D1336" i="4"/>
  <c r="E1336" i="4" s="1"/>
  <c r="D1335" i="4"/>
  <c r="E1335" i="4" s="1"/>
  <c r="E1334" i="4"/>
  <c r="D1334" i="4"/>
  <c r="D1333" i="4"/>
  <c r="E1333" i="4" s="1"/>
  <c r="D1332" i="4"/>
  <c r="E1332" i="4" s="1"/>
  <c r="E1331" i="4"/>
  <c r="D1331" i="4"/>
  <c r="D1330" i="4"/>
  <c r="E1330" i="4" s="1"/>
  <c r="D1329" i="4"/>
  <c r="E1329" i="4" s="1"/>
  <c r="D1328" i="4"/>
  <c r="E1328" i="4" s="1"/>
  <c r="D1327" i="4"/>
  <c r="E1327" i="4" s="1"/>
  <c r="E1326" i="4"/>
  <c r="D1326" i="4"/>
  <c r="D1325" i="4"/>
  <c r="E1325" i="4" s="1"/>
  <c r="D1324" i="4"/>
  <c r="E1324" i="4" s="1"/>
  <c r="E1323" i="4"/>
  <c r="D1323" i="4"/>
  <c r="D1322" i="4"/>
  <c r="E1322" i="4" s="1"/>
  <c r="D1321" i="4"/>
  <c r="E1321" i="4" s="1"/>
  <c r="D1320" i="4"/>
  <c r="E1320" i="4" s="1"/>
  <c r="D1319" i="4"/>
  <c r="E1319" i="4" s="1"/>
  <c r="E1318" i="4"/>
  <c r="D1318" i="4"/>
  <c r="D1317" i="4"/>
  <c r="E1317" i="4" s="1"/>
  <c r="D1316" i="4"/>
  <c r="E1316" i="4" s="1"/>
  <c r="E1315" i="4"/>
  <c r="D1315" i="4"/>
  <c r="D1314" i="4"/>
  <c r="E1314" i="4" s="1"/>
  <c r="D1313" i="4"/>
  <c r="E1313" i="4" s="1"/>
  <c r="D1312" i="4"/>
  <c r="E1312" i="4" s="1"/>
  <c r="E1311" i="4"/>
  <c r="D1311" i="4"/>
  <c r="E1310" i="4"/>
  <c r="D1310" i="4"/>
  <c r="D1309" i="4"/>
  <c r="E1309" i="4" s="1"/>
  <c r="D1308" i="4"/>
  <c r="E1308" i="4" s="1"/>
  <c r="E1307" i="4"/>
  <c r="D1307" i="4"/>
  <c r="E1306" i="4"/>
  <c r="D1306" i="4"/>
  <c r="D1305" i="4"/>
  <c r="E1305" i="4" s="1"/>
  <c r="D1304" i="4"/>
  <c r="E1304" i="4" s="1"/>
  <c r="D1303" i="4"/>
  <c r="E1303" i="4" s="1"/>
  <c r="E1302" i="4"/>
  <c r="D1302" i="4"/>
  <c r="D1253" i="4"/>
  <c r="E1253" i="4" s="1"/>
  <c r="D1252" i="4"/>
  <c r="E1252" i="4" s="1"/>
  <c r="E1251" i="4"/>
  <c r="D1251" i="4"/>
  <c r="D1250" i="4"/>
  <c r="E1250" i="4" s="1"/>
  <c r="D1249" i="4"/>
  <c r="E1249" i="4" s="1"/>
  <c r="D1248" i="4"/>
  <c r="E1248" i="4" s="1"/>
  <c r="D1247" i="4"/>
  <c r="E1247" i="4" s="1"/>
  <c r="E1246" i="4"/>
  <c r="D1246" i="4"/>
  <c r="D1245" i="4"/>
  <c r="E1245" i="4" s="1"/>
  <c r="D1244" i="4"/>
  <c r="E1244" i="4" s="1"/>
  <c r="E1243" i="4"/>
  <c r="D1243" i="4"/>
  <c r="D1242" i="4"/>
  <c r="E1242" i="4" s="1"/>
  <c r="D1241" i="4"/>
  <c r="E1241" i="4" s="1"/>
  <c r="D1240" i="4"/>
  <c r="E1240" i="4" s="1"/>
  <c r="D1239" i="4"/>
  <c r="E1239" i="4" s="1"/>
  <c r="E1238" i="4"/>
  <c r="D1238" i="4"/>
  <c r="D1237" i="4"/>
  <c r="E1237" i="4" s="1"/>
  <c r="D1236" i="4"/>
  <c r="E1236" i="4" s="1"/>
  <c r="E1235" i="4"/>
  <c r="D1235" i="4"/>
  <c r="D1234" i="4"/>
  <c r="E1234" i="4" s="1"/>
  <c r="D1233" i="4"/>
  <c r="E1233" i="4" s="1"/>
  <c r="D1232" i="4"/>
  <c r="E1232" i="4" s="1"/>
  <c r="D1231" i="4"/>
  <c r="E1231" i="4" s="1"/>
  <c r="E1230" i="4"/>
  <c r="D1230" i="4"/>
  <c r="D1229" i="4"/>
  <c r="E1229" i="4" s="1"/>
  <c r="D1228" i="4"/>
  <c r="E1228" i="4" s="1"/>
  <c r="E1227" i="4"/>
  <c r="D1227" i="4"/>
  <c r="D1226" i="4"/>
  <c r="E1226" i="4" s="1"/>
  <c r="D1225" i="4"/>
  <c r="E1225" i="4" s="1"/>
  <c r="D1224" i="4"/>
  <c r="E1224" i="4" s="1"/>
  <c r="D1223" i="4"/>
  <c r="E1223" i="4" s="1"/>
  <c r="E1222" i="4"/>
  <c r="D1222" i="4"/>
  <c r="D1221" i="4"/>
  <c r="E1221" i="4" s="1"/>
  <c r="D1220" i="4"/>
  <c r="E1220" i="4" s="1"/>
  <c r="E1219" i="4"/>
  <c r="D1219" i="4"/>
  <c r="D1218" i="4"/>
  <c r="E1218" i="4" s="1"/>
  <c r="D1217" i="4"/>
  <c r="E1217" i="4" s="1"/>
  <c r="D1216" i="4"/>
  <c r="E1216" i="4" s="1"/>
  <c r="D1215" i="4"/>
  <c r="E1215" i="4" s="1"/>
  <c r="E1214" i="4"/>
  <c r="D1214" i="4"/>
  <c r="D1213" i="4"/>
  <c r="E1213" i="4" s="1"/>
  <c r="D1212" i="4"/>
  <c r="E1212" i="4" s="1"/>
  <c r="E1211" i="4"/>
  <c r="D1211" i="4"/>
  <c r="D1210" i="4"/>
  <c r="E1210" i="4" s="1"/>
  <c r="D1209" i="4"/>
  <c r="E1209" i="4" s="1"/>
  <c r="D1208" i="4"/>
  <c r="E1208" i="4" s="1"/>
  <c r="D1207" i="4"/>
  <c r="E1207" i="4" s="1"/>
  <c r="E1206" i="4"/>
  <c r="D1206" i="4"/>
  <c r="D1205" i="4"/>
  <c r="E1205" i="4" s="1"/>
  <c r="D1204" i="4"/>
  <c r="E1204" i="4" s="1"/>
  <c r="E1203" i="4"/>
  <c r="D1203" i="4"/>
  <c r="D1202" i="4"/>
  <c r="E1202" i="4" s="1"/>
  <c r="D1201" i="4"/>
  <c r="E1201" i="4" s="1"/>
  <c r="D1200" i="4"/>
  <c r="E1200" i="4" s="1"/>
  <c r="E1199" i="4"/>
  <c r="D1199" i="4"/>
  <c r="E1198" i="4"/>
  <c r="D1198" i="4"/>
  <c r="D1197" i="4"/>
  <c r="E1197" i="4" s="1"/>
  <c r="D1196" i="4"/>
  <c r="E1196" i="4" s="1"/>
  <c r="E1195" i="4"/>
  <c r="D1195" i="4"/>
  <c r="E1194" i="4"/>
  <c r="D1194" i="4"/>
  <c r="D1193" i="4"/>
  <c r="E1193" i="4" s="1"/>
  <c r="D1192" i="4"/>
  <c r="E1192" i="4" s="1"/>
  <c r="D1191" i="4"/>
  <c r="E1191" i="4" s="1"/>
  <c r="D1190" i="4"/>
  <c r="E1190" i="4" s="1"/>
  <c r="D1189" i="4"/>
  <c r="E1189" i="4" s="1"/>
  <c r="D1188" i="4"/>
  <c r="E1188" i="4" s="1"/>
  <c r="E1187" i="4"/>
  <c r="D1187" i="4"/>
  <c r="D1186" i="4"/>
  <c r="E1186" i="4" s="1"/>
  <c r="D1185" i="4"/>
  <c r="E1185" i="4" s="1"/>
  <c r="D1184" i="4"/>
  <c r="E1184" i="4" s="1"/>
  <c r="D1183" i="4"/>
  <c r="E1183" i="4" s="1"/>
  <c r="E1182" i="4"/>
  <c r="D1182" i="4"/>
  <c r="D1181" i="4"/>
  <c r="E1181" i="4" s="1"/>
  <c r="D1180" i="4"/>
  <c r="E1180" i="4" s="1"/>
  <c r="D1179" i="4"/>
  <c r="E1179" i="4" s="1"/>
  <c r="D1178" i="4"/>
  <c r="E1178" i="4" s="1"/>
  <c r="D1177" i="4"/>
  <c r="E1177" i="4" s="1"/>
  <c r="D1176" i="4"/>
  <c r="E1176" i="4" s="1"/>
  <c r="D1175" i="4"/>
  <c r="E1175" i="4" s="1"/>
  <c r="D1174" i="4"/>
  <c r="E1174" i="4" s="1"/>
  <c r="D1173" i="4"/>
  <c r="E1173" i="4" s="1"/>
  <c r="D1172" i="4"/>
  <c r="E1172" i="4" s="1"/>
  <c r="E1171" i="4"/>
  <c r="D1171" i="4"/>
  <c r="D1170" i="4"/>
  <c r="E1170" i="4" s="1"/>
  <c r="D1169" i="4"/>
  <c r="E1169" i="4" s="1"/>
  <c r="D1168" i="4"/>
  <c r="E1168" i="4" s="1"/>
  <c r="E1167" i="4"/>
  <c r="D1167" i="4"/>
  <c r="E1166" i="4"/>
  <c r="D1166" i="4"/>
  <c r="D1165" i="4"/>
  <c r="E1165" i="4" s="1"/>
  <c r="D1164" i="4"/>
  <c r="E1164" i="4" s="1"/>
  <c r="D1163" i="4"/>
  <c r="E1163" i="4" s="1"/>
  <c r="E1162" i="4"/>
  <c r="D1162" i="4"/>
  <c r="D1161" i="4"/>
  <c r="E1161" i="4" s="1"/>
  <c r="D1160" i="4"/>
  <c r="E1160" i="4" s="1"/>
  <c r="D1159" i="4"/>
  <c r="E1159" i="4" s="1"/>
  <c r="D1158" i="4"/>
  <c r="E1158" i="4" s="1"/>
  <c r="D1157" i="4"/>
  <c r="E1157" i="4" s="1"/>
  <c r="D1156" i="4"/>
  <c r="E1156" i="4" s="1"/>
  <c r="E1155" i="4"/>
  <c r="D1155" i="4"/>
  <c r="D1154" i="4"/>
  <c r="E1154" i="4" s="1"/>
  <c r="D1153" i="4"/>
  <c r="E1153" i="4" s="1"/>
  <c r="D1152" i="4"/>
  <c r="E1152" i="4" s="1"/>
  <c r="D1151" i="4"/>
  <c r="E1151" i="4" s="1"/>
  <c r="E1150" i="4"/>
  <c r="D1150" i="4"/>
  <c r="D1149" i="4"/>
  <c r="E1149" i="4" s="1"/>
  <c r="D1148" i="4"/>
  <c r="E1148" i="4" s="1"/>
  <c r="D1147" i="4"/>
  <c r="E1147" i="4" s="1"/>
  <c r="D1146" i="4"/>
  <c r="E1146" i="4" s="1"/>
  <c r="D1097" i="4"/>
  <c r="E1097" i="4" s="1"/>
  <c r="D1096" i="4"/>
  <c r="E1096" i="4" s="1"/>
  <c r="D1095" i="4"/>
  <c r="E1095" i="4" s="1"/>
  <c r="D1094" i="4"/>
  <c r="E1094" i="4" s="1"/>
  <c r="D1093" i="4"/>
  <c r="E1093" i="4" s="1"/>
  <c r="D1092" i="4"/>
  <c r="E1092" i="4" s="1"/>
  <c r="E1091" i="4"/>
  <c r="D1091" i="4"/>
  <c r="D1090" i="4"/>
  <c r="E1090" i="4" s="1"/>
  <c r="D1089" i="4"/>
  <c r="E1089" i="4" s="1"/>
  <c r="D1088" i="4"/>
  <c r="E1088" i="4" s="1"/>
  <c r="E1087" i="4"/>
  <c r="D1087" i="4"/>
  <c r="E1086" i="4"/>
  <c r="D1086" i="4"/>
  <c r="D1085" i="4"/>
  <c r="E1085" i="4" s="1"/>
  <c r="D1084" i="4"/>
  <c r="E1084" i="4" s="1"/>
  <c r="D1083" i="4"/>
  <c r="E1083" i="4" s="1"/>
  <c r="E1082" i="4"/>
  <c r="D1082" i="4"/>
  <c r="D1081" i="4"/>
  <c r="E1081" i="4" s="1"/>
  <c r="D1080" i="4"/>
  <c r="E1080" i="4" s="1"/>
  <c r="D1079" i="4"/>
  <c r="E1079" i="4" s="1"/>
  <c r="D1078" i="4"/>
  <c r="E1078" i="4" s="1"/>
  <c r="D1077" i="4"/>
  <c r="E1077" i="4" s="1"/>
  <c r="D1076" i="4"/>
  <c r="E1076" i="4" s="1"/>
  <c r="E1075" i="4"/>
  <c r="D1075" i="4"/>
  <c r="D1074" i="4"/>
  <c r="E1074" i="4" s="1"/>
  <c r="D1073" i="4"/>
  <c r="E1073" i="4" s="1"/>
  <c r="D1072" i="4"/>
  <c r="E1072" i="4" s="1"/>
  <c r="D1071" i="4"/>
  <c r="E1071" i="4" s="1"/>
  <c r="E1070" i="4"/>
  <c r="D1070" i="4"/>
  <c r="D1069" i="4"/>
  <c r="E1069" i="4" s="1"/>
  <c r="D1068" i="4"/>
  <c r="E1068" i="4" s="1"/>
  <c r="D1067" i="4"/>
  <c r="E1067" i="4" s="1"/>
  <c r="D1066" i="4"/>
  <c r="E1066" i="4" s="1"/>
  <c r="D1065" i="4"/>
  <c r="E1065" i="4" s="1"/>
  <c r="D1064" i="4"/>
  <c r="E1064" i="4" s="1"/>
  <c r="D1063" i="4"/>
  <c r="E1063" i="4" s="1"/>
  <c r="D1062" i="4"/>
  <c r="E1062" i="4" s="1"/>
  <c r="D1061" i="4"/>
  <c r="E1061" i="4" s="1"/>
  <c r="D1060" i="4"/>
  <c r="E1060" i="4" s="1"/>
  <c r="E1059" i="4"/>
  <c r="D1059" i="4"/>
  <c r="D1058" i="4"/>
  <c r="E1058" i="4" s="1"/>
  <c r="D1057" i="4"/>
  <c r="E1057" i="4" s="1"/>
  <c r="D1056" i="4"/>
  <c r="E1056" i="4" s="1"/>
  <c r="E1055" i="4"/>
  <c r="D1055" i="4"/>
  <c r="E1054" i="4"/>
  <c r="D1054" i="4"/>
  <c r="D1053" i="4"/>
  <c r="E1053" i="4" s="1"/>
  <c r="D1052" i="4"/>
  <c r="E1052" i="4" s="1"/>
  <c r="D1051" i="4"/>
  <c r="E1051" i="4" s="1"/>
  <c r="E1050" i="4"/>
  <c r="D1050" i="4"/>
  <c r="D1049" i="4"/>
  <c r="E1049" i="4" s="1"/>
  <c r="D1048" i="4"/>
  <c r="E1048" i="4" s="1"/>
  <c r="D1047" i="4"/>
  <c r="E1047" i="4" s="1"/>
  <c r="D1046" i="4"/>
  <c r="E1046" i="4" s="1"/>
  <c r="D1045" i="4"/>
  <c r="E1045" i="4" s="1"/>
  <c r="D1044" i="4"/>
  <c r="E1044" i="4" s="1"/>
  <c r="E1043" i="4"/>
  <c r="D1043" i="4"/>
  <c r="D1042" i="4"/>
  <c r="E1042" i="4" s="1"/>
  <c r="D1041" i="4"/>
  <c r="E1041" i="4" s="1"/>
  <c r="D1040" i="4"/>
  <c r="E1040" i="4" s="1"/>
  <c r="D1039" i="4"/>
  <c r="E1039" i="4" s="1"/>
  <c r="E1038" i="4"/>
  <c r="D1038" i="4"/>
  <c r="D1037" i="4"/>
  <c r="E1037" i="4" s="1"/>
  <c r="D1036" i="4"/>
  <c r="E1036" i="4" s="1"/>
  <c r="D1035" i="4"/>
  <c r="E1035" i="4" s="1"/>
  <c r="D1034" i="4"/>
  <c r="E1034" i="4" s="1"/>
  <c r="D1033" i="4"/>
  <c r="E1033" i="4" s="1"/>
  <c r="D1032" i="4"/>
  <c r="E1032" i="4" s="1"/>
  <c r="D1031" i="4"/>
  <c r="E1031" i="4" s="1"/>
  <c r="D1030" i="4"/>
  <c r="E1030" i="4" s="1"/>
  <c r="D1029" i="4"/>
  <c r="E1029" i="4" s="1"/>
  <c r="D1028" i="4"/>
  <c r="E1028" i="4" s="1"/>
  <c r="E1027" i="4"/>
  <c r="D1027" i="4"/>
  <c r="D1026" i="4"/>
  <c r="E1026" i="4" s="1"/>
  <c r="D1025" i="4"/>
  <c r="E1025" i="4" s="1"/>
  <c r="D1024" i="4"/>
  <c r="E1024" i="4" s="1"/>
  <c r="E1023" i="4"/>
  <c r="D1023" i="4"/>
  <c r="E1022" i="4"/>
  <c r="D1022" i="4"/>
  <c r="D1021" i="4"/>
  <c r="E1021" i="4" s="1"/>
  <c r="D1020" i="4"/>
  <c r="E1020" i="4" s="1"/>
  <c r="D1019" i="4"/>
  <c r="E1019" i="4" s="1"/>
  <c r="B1420" i="4" s="1"/>
  <c r="D1420" i="4" s="1"/>
  <c r="E1018" i="4"/>
  <c r="D1018" i="4"/>
  <c r="D1017" i="4"/>
  <c r="E1017" i="4" s="1"/>
  <c r="D1016" i="4"/>
  <c r="E1016" i="4" s="1"/>
  <c r="D1015" i="4"/>
  <c r="E1015" i="4" s="1"/>
  <c r="D1014" i="4"/>
  <c r="E1014" i="4" s="1"/>
  <c r="D1013" i="4"/>
  <c r="E1013" i="4" s="1"/>
  <c r="D1012" i="4"/>
  <c r="E1012" i="4" s="1"/>
  <c r="E1011" i="4"/>
  <c r="D1011" i="4"/>
  <c r="D1010" i="4"/>
  <c r="E1010" i="4" s="1"/>
  <c r="D1009" i="4"/>
  <c r="E1009" i="4" s="1"/>
  <c r="D1008" i="4"/>
  <c r="E1008" i="4" s="1"/>
  <c r="D1007" i="4"/>
  <c r="E1007" i="4" s="1"/>
  <c r="E1006" i="4"/>
  <c r="D1006" i="4"/>
  <c r="D1005" i="4"/>
  <c r="E1005" i="4" s="1"/>
  <c r="D1004" i="4"/>
  <c r="E1004" i="4" s="1"/>
  <c r="D1003" i="4"/>
  <c r="E1003" i="4" s="1"/>
  <c r="D1002" i="4"/>
  <c r="E1002" i="4" s="1"/>
  <c r="D1001" i="4"/>
  <c r="E1001" i="4" s="1"/>
  <c r="D1000" i="4"/>
  <c r="E1000" i="4" s="1"/>
  <c r="D999" i="4"/>
  <c r="E999" i="4" s="1"/>
  <c r="D998" i="4"/>
  <c r="E998" i="4" s="1"/>
  <c r="D997" i="4"/>
  <c r="E997" i="4" s="1"/>
  <c r="D996" i="4"/>
  <c r="E996" i="4" s="1"/>
  <c r="E995" i="4"/>
  <c r="D995" i="4"/>
  <c r="D994" i="4"/>
  <c r="E994" i="4" s="1"/>
  <c r="D993" i="4"/>
  <c r="E993" i="4" s="1"/>
  <c r="D992" i="4"/>
  <c r="E992" i="4" s="1"/>
  <c r="E991" i="4"/>
  <c r="D991" i="4"/>
  <c r="E990" i="4"/>
  <c r="D990" i="4"/>
  <c r="D941" i="4"/>
  <c r="E941" i="4" s="1"/>
  <c r="D940" i="4"/>
  <c r="E940" i="4" s="1"/>
  <c r="D939" i="4"/>
  <c r="E939" i="4" s="1"/>
  <c r="E938" i="4"/>
  <c r="D938" i="4"/>
  <c r="D937" i="4"/>
  <c r="E937" i="4" s="1"/>
  <c r="D936" i="4"/>
  <c r="E936" i="4" s="1"/>
  <c r="D935" i="4"/>
  <c r="E935" i="4" s="1"/>
  <c r="D934" i="4"/>
  <c r="E934" i="4" s="1"/>
  <c r="D933" i="4"/>
  <c r="E933" i="4" s="1"/>
  <c r="D932" i="4"/>
  <c r="E932" i="4" s="1"/>
  <c r="E931" i="4"/>
  <c r="D931" i="4"/>
  <c r="D930" i="4"/>
  <c r="E930" i="4" s="1"/>
  <c r="D929" i="4"/>
  <c r="E929" i="4" s="1"/>
  <c r="D928" i="4"/>
  <c r="E928" i="4" s="1"/>
  <c r="D927" i="4"/>
  <c r="E927" i="4" s="1"/>
  <c r="E926" i="4"/>
  <c r="D926" i="4"/>
  <c r="D925" i="4"/>
  <c r="E925" i="4" s="1"/>
  <c r="D924" i="4"/>
  <c r="E924" i="4" s="1"/>
  <c r="D923" i="4"/>
  <c r="E923" i="4" s="1"/>
  <c r="D922" i="4"/>
  <c r="E922" i="4" s="1"/>
  <c r="D921" i="4"/>
  <c r="E921" i="4" s="1"/>
  <c r="D920" i="4"/>
  <c r="E920" i="4" s="1"/>
  <c r="D919" i="4"/>
  <c r="E919" i="4" s="1"/>
  <c r="D918" i="4"/>
  <c r="E918" i="4" s="1"/>
  <c r="D917" i="4"/>
  <c r="E917" i="4" s="1"/>
  <c r="D916" i="4"/>
  <c r="E916" i="4" s="1"/>
  <c r="E915" i="4"/>
  <c r="D915" i="4"/>
  <c r="D914" i="4"/>
  <c r="E914" i="4" s="1"/>
  <c r="D913" i="4"/>
  <c r="E913" i="4" s="1"/>
  <c r="D912" i="4"/>
  <c r="E912" i="4" s="1"/>
  <c r="E911" i="4"/>
  <c r="D911" i="4"/>
  <c r="E910" i="4"/>
  <c r="D910" i="4"/>
  <c r="D909" i="4"/>
  <c r="E909" i="4" s="1"/>
  <c r="D908" i="4"/>
  <c r="E908" i="4" s="1"/>
  <c r="D907" i="4"/>
  <c r="E907" i="4" s="1"/>
  <c r="E906" i="4"/>
  <c r="D906" i="4"/>
  <c r="D905" i="4"/>
  <c r="E905" i="4" s="1"/>
  <c r="D904" i="4"/>
  <c r="E904" i="4" s="1"/>
  <c r="D903" i="4"/>
  <c r="E903" i="4" s="1"/>
  <c r="D902" i="4"/>
  <c r="E902" i="4" s="1"/>
  <c r="D901" i="4"/>
  <c r="E901" i="4" s="1"/>
  <c r="D900" i="4"/>
  <c r="E900" i="4" s="1"/>
  <c r="E899" i="4"/>
  <c r="D899" i="4"/>
  <c r="D898" i="4"/>
  <c r="E898" i="4" s="1"/>
  <c r="D897" i="4"/>
  <c r="E897" i="4" s="1"/>
  <c r="D896" i="4"/>
  <c r="E896" i="4" s="1"/>
  <c r="D895" i="4"/>
  <c r="E895" i="4" s="1"/>
  <c r="E894" i="4"/>
  <c r="D894" i="4"/>
  <c r="D893" i="4"/>
  <c r="E893" i="4" s="1"/>
  <c r="D892" i="4"/>
  <c r="E892" i="4" s="1"/>
  <c r="D891" i="4"/>
  <c r="E891" i="4" s="1"/>
  <c r="D890" i="4"/>
  <c r="E890" i="4" s="1"/>
  <c r="D889" i="4"/>
  <c r="E889" i="4" s="1"/>
  <c r="D888" i="4"/>
  <c r="E888" i="4" s="1"/>
  <c r="D887" i="4"/>
  <c r="E887" i="4" s="1"/>
  <c r="D886" i="4"/>
  <c r="E886" i="4" s="1"/>
  <c r="D885" i="4"/>
  <c r="E885" i="4" s="1"/>
  <c r="D884" i="4"/>
  <c r="E884" i="4" s="1"/>
  <c r="E883" i="4"/>
  <c r="D883" i="4"/>
  <c r="D882" i="4"/>
  <c r="E882" i="4" s="1"/>
  <c r="D881" i="4"/>
  <c r="E881" i="4" s="1"/>
  <c r="D880" i="4"/>
  <c r="E880" i="4" s="1"/>
  <c r="E879" i="4"/>
  <c r="D879" i="4"/>
  <c r="E878" i="4"/>
  <c r="D878" i="4"/>
  <c r="D877" i="4"/>
  <c r="E877" i="4" s="1"/>
  <c r="D876" i="4"/>
  <c r="E876" i="4" s="1"/>
  <c r="D875" i="4"/>
  <c r="E875" i="4" s="1"/>
  <c r="E874" i="4"/>
  <c r="D874" i="4"/>
  <c r="D873" i="4"/>
  <c r="E873" i="4" s="1"/>
  <c r="D872" i="4"/>
  <c r="E872" i="4" s="1"/>
  <c r="D871" i="4"/>
  <c r="E871" i="4" s="1"/>
  <c r="D870" i="4"/>
  <c r="E870" i="4" s="1"/>
  <c r="D869" i="4"/>
  <c r="E869" i="4" s="1"/>
  <c r="D868" i="4"/>
  <c r="E868" i="4" s="1"/>
  <c r="E867" i="4"/>
  <c r="D867" i="4"/>
  <c r="D866" i="4"/>
  <c r="E866" i="4" s="1"/>
  <c r="D865" i="4"/>
  <c r="E865" i="4" s="1"/>
  <c r="D864" i="4"/>
  <c r="E864" i="4" s="1"/>
  <c r="D863" i="4"/>
  <c r="E863" i="4" s="1"/>
  <c r="E862" i="4"/>
  <c r="D862" i="4"/>
  <c r="D861" i="4"/>
  <c r="E861" i="4" s="1"/>
  <c r="D860" i="4"/>
  <c r="E860" i="4" s="1"/>
  <c r="D859" i="4"/>
  <c r="E859" i="4" s="1"/>
  <c r="D858" i="4"/>
  <c r="E858" i="4" s="1"/>
  <c r="D857" i="4"/>
  <c r="E857" i="4" s="1"/>
  <c r="D856" i="4"/>
  <c r="E856" i="4" s="1"/>
  <c r="D855" i="4"/>
  <c r="E855" i="4" s="1"/>
  <c r="D854" i="4"/>
  <c r="E854" i="4" s="1"/>
  <c r="D853" i="4"/>
  <c r="E853" i="4" s="1"/>
  <c r="D852" i="4"/>
  <c r="E852" i="4" s="1"/>
  <c r="E851" i="4"/>
  <c r="D851" i="4"/>
  <c r="D850" i="4"/>
  <c r="E850" i="4" s="1"/>
  <c r="D849" i="4"/>
  <c r="E849" i="4" s="1"/>
  <c r="D848" i="4"/>
  <c r="E848" i="4" s="1"/>
  <c r="E847" i="4"/>
  <c r="D847" i="4"/>
  <c r="E846" i="4"/>
  <c r="D846" i="4"/>
  <c r="D845" i="4"/>
  <c r="E845" i="4" s="1"/>
  <c r="D844" i="4"/>
  <c r="E844" i="4" s="1"/>
  <c r="D843" i="4"/>
  <c r="E843" i="4" s="1"/>
  <c r="E842" i="4"/>
  <c r="D842" i="4"/>
  <c r="D841" i="4"/>
  <c r="E841" i="4" s="1"/>
  <c r="D840" i="4"/>
  <c r="E840" i="4" s="1"/>
  <c r="D839" i="4"/>
  <c r="E839" i="4" s="1"/>
  <c r="D838" i="4"/>
  <c r="E838" i="4" s="1"/>
  <c r="D837" i="4"/>
  <c r="E837" i="4" s="1"/>
  <c r="D836" i="4"/>
  <c r="E836" i="4" s="1"/>
  <c r="E835" i="4"/>
  <c r="D835" i="4"/>
  <c r="D834" i="4"/>
  <c r="E834" i="4" s="1"/>
  <c r="D785" i="4"/>
  <c r="E785" i="4" s="1"/>
  <c r="D784" i="4"/>
  <c r="E784" i="4" s="1"/>
  <c r="D783" i="4"/>
  <c r="E783" i="4" s="1"/>
  <c r="E782" i="4"/>
  <c r="D782" i="4"/>
  <c r="D781" i="4"/>
  <c r="E781" i="4" s="1"/>
  <c r="D780" i="4"/>
  <c r="E780" i="4" s="1"/>
  <c r="D779" i="4"/>
  <c r="E779" i="4" s="1"/>
  <c r="D778" i="4"/>
  <c r="E778" i="4" s="1"/>
  <c r="D777" i="4"/>
  <c r="E777" i="4" s="1"/>
  <c r="D776" i="4"/>
  <c r="E776" i="4" s="1"/>
  <c r="D775" i="4"/>
  <c r="E775" i="4" s="1"/>
  <c r="D774" i="4"/>
  <c r="E774" i="4" s="1"/>
  <c r="D773" i="4"/>
  <c r="E773" i="4" s="1"/>
  <c r="D772" i="4"/>
  <c r="E772" i="4" s="1"/>
  <c r="E771" i="4"/>
  <c r="D771" i="4"/>
  <c r="D770" i="4"/>
  <c r="E770" i="4" s="1"/>
  <c r="D769" i="4"/>
  <c r="E769" i="4" s="1"/>
  <c r="D768" i="4"/>
  <c r="E768" i="4" s="1"/>
  <c r="E767" i="4"/>
  <c r="D767" i="4"/>
  <c r="E766" i="4"/>
  <c r="D766" i="4"/>
  <c r="D765" i="4"/>
  <c r="E765" i="4" s="1"/>
  <c r="D764" i="4"/>
  <c r="E764" i="4" s="1"/>
  <c r="D763" i="4"/>
  <c r="E763" i="4" s="1"/>
  <c r="E762" i="4"/>
  <c r="D762" i="4"/>
  <c r="D761" i="4"/>
  <c r="E761" i="4" s="1"/>
  <c r="D760" i="4"/>
  <c r="E760" i="4" s="1"/>
  <c r="D759" i="4"/>
  <c r="E759" i="4" s="1"/>
  <c r="D758" i="4"/>
  <c r="E758" i="4" s="1"/>
  <c r="D757" i="4"/>
  <c r="E757" i="4" s="1"/>
  <c r="D756" i="4"/>
  <c r="E756" i="4" s="1"/>
  <c r="E755" i="4"/>
  <c r="D755" i="4"/>
  <c r="D754" i="4"/>
  <c r="E754" i="4" s="1"/>
  <c r="D753" i="4"/>
  <c r="E753" i="4" s="1"/>
  <c r="D752" i="4"/>
  <c r="E752" i="4" s="1"/>
  <c r="D751" i="4"/>
  <c r="E751" i="4" s="1"/>
  <c r="E750" i="4"/>
  <c r="D750" i="4"/>
  <c r="D749" i="4"/>
  <c r="E749" i="4" s="1"/>
  <c r="D748" i="4"/>
  <c r="E748" i="4" s="1"/>
  <c r="D747" i="4"/>
  <c r="E747" i="4" s="1"/>
  <c r="D746" i="4"/>
  <c r="E746" i="4" s="1"/>
  <c r="D745" i="4"/>
  <c r="E745" i="4" s="1"/>
  <c r="D744" i="4"/>
  <c r="E744" i="4" s="1"/>
  <c r="D743" i="4"/>
  <c r="E743" i="4" s="1"/>
  <c r="D742" i="4"/>
  <c r="E742" i="4" s="1"/>
  <c r="D741" i="4"/>
  <c r="E741" i="4" s="1"/>
  <c r="D740" i="4"/>
  <c r="E740" i="4" s="1"/>
  <c r="E739" i="4"/>
  <c r="D739" i="4"/>
  <c r="D738" i="4"/>
  <c r="E738" i="4" s="1"/>
  <c r="D737" i="4"/>
  <c r="E737" i="4" s="1"/>
  <c r="D736" i="4"/>
  <c r="E736" i="4" s="1"/>
  <c r="E735" i="4"/>
  <c r="D735" i="4"/>
  <c r="E734" i="4"/>
  <c r="D734" i="4"/>
  <c r="D733" i="4"/>
  <c r="E733" i="4" s="1"/>
  <c r="D732" i="4"/>
  <c r="E732" i="4" s="1"/>
  <c r="D731" i="4"/>
  <c r="E731" i="4" s="1"/>
  <c r="E730" i="4"/>
  <c r="D730" i="4"/>
  <c r="D729" i="4"/>
  <c r="E729" i="4" s="1"/>
  <c r="D728" i="4"/>
  <c r="E728" i="4" s="1"/>
  <c r="D727" i="4"/>
  <c r="E727" i="4" s="1"/>
  <c r="D726" i="4"/>
  <c r="E726" i="4" s="1"/>
  <c r="D725" i="4"/>
  <c r="E725" i="4" s="1"/>
  <c r="D724" i="4"/>
  <c r="E724" i="4" s="1"/>
  <c r="E723" i="4"/>
  <c r="D723" i="4"/>
  <c r="D722" i="4"/>
  <c r="E722" i="4" s="1"/>
  <c r="D721" i="4"/>
  <c r="E721" i="4" s="1"/>
  <c r="D720" i="4"/>
  <c r="E720" i="4" s="1"/>
  <c r="D719" i="4"/>
  <c r="E719" i="4" s="1"/>
  <c r="E718" i="4"/>
  <c r="D718" i="4"/>
  <c r="D717" i="4"/>
  <c r="E717" i="4" s="1"/>
  <c r="D716" i="4"/>
  <c r="E716" i="4" s="1"/>
  <c r="D715" i="4"/>
  <c r="E715" i="4" s="1"/>
  <c r="D714" i="4"/>
  <c r="E714" i="4" s="1"/>
  <c r="D713" i="4"/>
  <c r="E713" i="4" s="1"/>
  <c r="D712" i="4"/>
  <c r="E712" i="4" s="1"/>
  <c r="D711" i="4"/>
  <c r="E711" i="4" s="1"/>
  <c r="D710" i="4"/>
  <c r="E710" i="4" s="1"/>
  <c r="D709" i="4"/>
  <c r="E709" i="4" s="1"/>
  <c r="D708" i="4"/>
  <c r="E708" i="4" s="1"/>
  <c r="E707" i="4"/>
  <c r="D707" i="4"/>
  <c r="D706" i="4"/>
  <c r="E706" i="4" s="1"/>
  <c r="D705" i="4"/>
  <c r="E705" i="4" s="1"/>
  <c r="D704" i="4"/>
  <c r="E704" i="4" s="1"/>
  <c r="E703" i="4"/>
  <c r="D703" i="4"/>
  <c r="E702" i="4"/>
  <c r="D702" i="4"/>
  <c r="D701" i="4"/>
  <c r="E701" i="4" s="1"/>
  <c r="D700" i="4"/>
  <c r="E700" i="4" s="1"/>
  <c r="D699" i="4"/>
  <c r="E699" i="4" s="1"/>
  <c r="E698" i="4"/>
  <c r="D698" i="4"/>
  <c r="D697" i="4"/>
  <c r="E697" i="4" s="1"/>
  <c r="D696" i="4"/>
  <c r="E696" i="4" s="1"/>
  <c r="D695" i="4"/>
  <c r="E695" i="4" s="1"/>
  <c r="D694" i="4"/>
  <c r="E694" i="4" s="1"/>
  <c r="D693" i="4"/>
  <c r="E693" i="4" s="1"/>
  <c r="D692" i="4"/>
  <c r="E692" i="4" s="1"/>
  <c r="E691" i="4"/>
  <c r="D691" i="4"/>
  <c r="D690" i="4"/>
  <c r="E690" i="4" s="1"/>
  <c r="D689" i="4"/>
  <c r="E689" i="4" s="1"/>
  <c r="D688" i="4"/>
  <c r="E688" i="4" s="1"/>
  <c r="D687" i="4"/>
  <c r="E687" i="4" s="1"/>
  <c r="E686" i="4"/>
  <c r="D686" i="4"/>
  <c r="D685" i="4"/>
  <c r="E685" i="4" s="1"/>
  <c r="D684" i="4"/>
  <c r="E684" i="4" s="1"/>
  <c r="D683" i="4"/>
  <c r="E683" i="4" s="1"/>
  <c r="D682" i="4"/>
  <c r="E682" i="4" s="1"/>
  <c r="D681" i="4"/>
  <c r="E681" i="4" s="1"/>
  <c r="D680" i="4"/>
  <c r="E680" i="4" s="1"/>
  <c r="D679" i="4"/>
  <c r="E679" i="4" s="1"/>
  <c r="D678" i="4"/>
  <c r="E678" i="4" s="1"/>
  <c r="D629" i="4"/>
  <c r="E629" i="4" s="1"/>
  <c r="D628" i="4"/>
  <c r="E628" i="4" s="1"/>
  <c r="E627" i="4"/>
  <c r="D627" i="4"/>
  <c r="D626" i="4"/>
  <c r="E626" i="4" s="1"/>
  <c r="D625" i="4"/>
  <c r="E625" i="4" s="1"/>
  <c r="D624" i="4"/>
  <c r="E624" i="4" s="1"/>
  <c r="E623" i="4"/>
  <c r="D623" i="4"/>
  <c r="E622" i="4"/>
  <c r="D622" i="4"/>
  <c r="D621" i="4"/>
  <c r="E621" i="4" s="1"/>
  <c r="D620" i="4"/>
  <c r="E620" i="4" s="1"/>
  <c r="D619" i="4"/>
  <c r="E619" i="4" s="1"/>
  <c r="E618" i="4"/>
  <c r="D618" i="4"/>
  <c r="D617" i="4"/>
  <c r="E617" i="4" s="1"/>
  <c r="D616" i="4"/>
  <c r="E616" i="4" s="1"/>
  <c r="D615" i="4"/>
  <c r="E615" i="4" s="1"/>
  <c r="D614" i="4"/>
  <c r="E614" i="4" s="1"/>
  <c r="D613" i="4"/>
  <c r="E613" i="4" s="1"/>
  <c r="D612" i="4"/>
  <c r="E612" i="4" s="1"/>
  <c r="E611" i="4"/>
  <c r="D611" i="4"/>
  <c r="D610" i="4"/>
  <c r="E610" i="4" s="1"/>
  <c r="D609" i="4"/>
  <c r="E609" i="4" s="1"/>
  <c r="D608" i="4"/>
  <c r="E608" i="4" s="1"/>
  <c r="D607" i="4"/>
  <c r="E607" i="4" s="1"/>
  <c r="E606" i="4"/>
  <c r="D606" i="4"/>
  <c r="D605" i="4"/>
  <c r="E605" i="4" s="1"/>
  <c r="D604" i="4"/>
  <c r="E604" i="4" s="1"/>
  <c r="D603" i="4"/>
  <c r="E603" i="4" s="1"/>
  <c r="D602" i="4"/>
  <c r="E602" i="4" s="1"/>
  <c r="D601" i="4"/>
  <c r="E601" i="4" s="1"/>
  <c r="D600" i="4"/>
  <c r="E600" i="4" s="1"/>
  <c r="D599" i="4"/>
  <c r="E599" i="4" s="1"/>
  <c r="D598" i="4"/>
  <c r="E598" i="4" s="1"/>
  <c r="D597" i="4"/>
  <c r="E597" i="4" s="1"/>
  <c r="D596" i="4"/>
  <c r="E596" i="4" s="1"/>
  <c r="E595" i="4"/>
  <c r="D595" i="4"/>
  <c r="D594" i="4"/>
  <c r="E594" i="4" s="1"/>
  <c r="D593" i="4"/>
  <c r="E593" i="4" s="1"/>
  <c r="D592" i="4"/>
  <c r="E592" i="4" s="1"/>
  <c r="E591" i="4"/>
  <c r="D591" i="4"/>
  <c r="E590" i="4"/>
  <c r="D590" i="4"/>
  <c r="D589" i="4"/>
  <c r="E589" i="4" s="1"/>
  <c r="D588" i="4"/>
  <c r="E588" i="4" s="1"/>
  <c r="D587" i="4"/>
  <c r="E587" i="4" s="1"/>
  <c r="E586" i="4"/>
  <c r="D586" i="4"/>
  <c r="D585" i="4"/>
  <c r="E585" i="4" s="1"/>
  <c r="D584" i="4"/>
  <c r="E584" i="4" s="1"/>
  <c r="D583" i="4"/>
  <c r="E583" i="4" s="1"/>
  <c r="D582" i="4"/>
  <c r="E582" i="4" s="1"/>
  <c r="D581" i="4"/>
  <c r="E581" i="4" s="1"/>
  <c r="D580" i="4"/>
  <c r="E580" i="4" s="1"/>
  <c r="E579" i="4"/>
  <c r="D579" i="4"/>
  <c r="D578" i="4"/>
  <c r="E578" i="4" s="1"/>
  <c r="D577" i="4"/>
  <c r="E577" i="4" s="1"/>
  <c r="D576" i="4"/>
  <c r="E576" i="4" s="1"/>
  <c r="D575" i="4"/>
  <c r="E575" i="4" s="1"/>
  <c r="E574" i="4"/>
  <c r="D574" i="4"/>
  <c r="D573" i="4"/>
  <c r="E573" i="4" s="1"/>
  <c r="D572" i="4"/>
  <c r="E572" i="4" s="1"/>
  <c r="D571" i="4"/>
  <c r="E571" i="4" s="1"/>
  <c r="D570" i="4"/>
  <c r="E570" i="4" s="1"/>
  <c r="D569" i="4"/>
  <c r="E569" i="4" s="1"/>
  <c r="D568" i="4"/>
  <c r="E568" i="4" s="1"/>
  <c r="D567" i="4"/>
  <c r="E567" i="4" s="1"/>
  <c r="D566" i="4"/>
  <c r="E566" i="4" s="1"/>
  <c r="D565" i="4"/>
  <c r="E565" i="4" s="1"/>
  <c r="D564" i="4"/>
  <c r="E564" i="4" s="1"/>
  <c r="E563" i="4"/>
  <c r="D563" i="4"/>
  <c r="D562" i="4"/>
  <c r="E562" i="4" s="1"/>
  <c r="D561" i="4"/>
  <c r="E561" i="4" s="1"/>
  <c r="D560" i="4"/>
  <c r="E560" i="4" s="1"/>
  <c r="E559" i="4"/>
  <c r="D559" i="4"/>
  <c r="E558" i="4"/>
  <c r="D558" i="4"/>
  <c r="D557" i="4"/>
  <c r="E557" i="4" s="1"/>
  <c r="D556" i="4"/>
  <c r="E556" i="4" s="1"/>
  <c r="D555" i="4"/>
  <c r="E555" i="4" s="1"/>
  <c r="E554" i="4"/>
  <c r="D554" i="4"/>
  <c r="D553" i="4"/>
  <c r="E553" i="4" s="1"/>
  <c r="D552" i="4"/>
  <c r="E552" i="4" s="1"/>
  <c r="D551" i="4"/>
  <c r="E551" i="4" s="1"/>
  <c r="D550" i="4"/>
  <c r="E550" i="4" s="1"/>
  <c r="D549" i="4"/>
  <c r="E549" i="4" s="1"/>
  <c r="D548" i="4"/>
  <c r="E548" i="4" s="1"/>
  <c r="E547" i="4"/>
  <c r="D547" i="4"/>
  <c r="D546" i="4"/>
  <c r="E546" i="4" s="1"/>
  <c r="D545" i="4"/>
  <c r="E545" i="4" s="1"/>
  <c r="D544" i="4"/>
  <c r="E544" i="4" s="1"/>
  <c r="D543" i="4"/>
  <c r="E543" i="4" s="1"/>
  <c r="E542" i="4"/>
  <c r="D542" i="4"/>
  <c r="D541" i="4"/>
  <c r="E541" i="4" s="1"/>
  <c r="D540" i="4"/>
  <c r="E540" i="4" s="1"/>
  <c r="D539" i="4"/>
  <c r="E539" i="4" s="1"/>
  <c r="D538" i="4"/>
  <c r="E538" i="4" s="1"/>
  <c r="D537" i="4"/>
  <c r="E537" i="4" s="1"/>
  <c r="D536" i="4"/>
  <c r="E536" i="4" s="1"/>
  <c r="D535" i="4"/>
  <c r="E535" i="4" s="1"/>
  <c r="D534" i="4"/>
  <c r="E534" i="4" s="1"/>
  <c r="D533" i="4"/>
  <c r="E533" i="4" s="1"/>
  <c r="D532" i="4"/>
  <c r="E532" i="4" s="1"/>
  <c r="E531" i="4"/>
  <c r="D531" i="4"/>
  <c r="D530" i="4"/>
  <c r="E530" i="4" s="1"/>
  <c r="D529" i="4"/>
  <c r="E529" i="4" s="1"/>
  <c r="D528" i="4"/>
  <c r="E528" i="4" s="1"/>
  <c r="E527" i="4"/>
  <c r="D527" i="4"/>
  <c r="E526" i="4"/>
  <c r="D526" i="4"/>
  <c r="D525" i="4"/>
  <c r="E525" i="4" s="1"/>
  <c r="D524" i="4"/>
  <c r="E524" i="4" s="1"/>
  <c r="D523" i="4"/>
  <c r="E523" i="4" s="1"/>
  <c r="E522" i="4"/>
  <c r="D522" i="4"/>
  <c r="D473" i="4"/>
  <c r="E473" i="4" s="1"/>
  <c r="D472" i="4"/>
  <c r="E472" i="4" s="1"/>
  <c r="D471" i="4"/>
  <c r="E471" i="4" s="1"/>
  <c r="D470" i="4"/>
  <c r="E470" i="4" s="1"/>
  <c r="D469" i="4"/>
  <c r="E469" i="4" s="1"/>
  <c r="D468" i="4"/>
  <c r="E468" i="4" s="1"/>
  <c r="E467" i="4"/>
  <c r="D467" i="4"/>
  <c r="D466" i="4"/>
  <c r="E466" i="4" s="1"/>
  <c r="D465" i="4"/>
  <c r="E465" i="4" s="1"/>
  <c r="D464" i="4"/>
  <c r="E464" i="4" s="1"/>
  <c r="D463" i="4"/>
  <c r="E463" i="4" s="1"/>
  <c r="E462" i="4"/>
  <c r="D462" i="4"/>
  <c r="D461" i="4"/>
  <c r="E461" i="4" s="1"/>
  <c r="D460" i="4"/>
  <c r="E460" i="4" s="1"/>
  <c r="D459" i="4"/>
  <c r="E459" i="4" s="1"/>
  <c r="D458" i="4"/>
  <c r="E458" i="4" s="1"/>
  <c r="D457" i="4"/>
  <c r="E457" i="4" s="1"/>
  <c r="D456" i="4"/>
  <c r="E456" i="4" s="1"/>
  <c r="D455" i="4"/>
  <c r="E455" i="4" s="1"/>
  <c r="D454" i="4"/>
  <c r="E454" i="4" s="1"/>
  <c r="D453" i="4"/>
  <c r="E453" i="4" s="1"/>
  <c r="D452" i="4"/>
  <c r="E452" i="4" s="1"/>
  <c r="E451" i="4"/>
  <c r="D451" i="4"/>
  <c r="D450" i="4"/>
  <c r="E450" i="4" s="1"/>
  <c r="D449" i="4"/>
  <c r="E449" i="4" s="1"/>
  <c r="D448" i="4"/>
  <c r="E448" i="4" s="1"/>
  <c r="E447" i="4"/>
  <c r="D447" i="4"/>
  <c r="E446" i="4"/>
  <c r="D446" i="4"/>
  <c r="D445" i="4"/>
  <c r="E445" i="4" s="1"/>
  <c r="D444" i="4"/>
  <c r="E444" i="4" s="1"/>
  <c r="D443" i="4"/>
  <c r="E443" i="4" s="1"/>
  <c r="E442" i="4"/>
  <c r="D442" i="4"/>
  <c r="D441" i="4"/>
  <c r="E441" i="4" s="1"/>
  <c r="D440" i="4"/>
  <c r="E440" i="4" s="1"/>
  <c r="D439" i="4"/>
  <c r="E439" i="4" s="1"/>
  <c r="D438" i="4"/>
  <c r="E438" i="4" s="1"/>
  <c r="D437" i="4"/>
  <c r="E437" i="4" s="1"/>
  <c r="D436" i="4"/>
  <c r="E436" i="4" s="1"/>
  <c r="E435" i="4"/>
  <c r="D435" i="4"/>
  <c r="D434" i="4"/>
  <c r="E434" i="4" s="1"/>
  <c r="D433" i="4"/>
  <c r="E433" i="4" s="1"/>
  <c r="D432" i="4"/>
  <c r="E432" i="4" s="1"/>
  <c r="D431" i="4"/>
  <c r="E431" i="4" s="1"/>
  <c r="E430" i="4"/>
  <c r="D430" i="4"/>
  <c r="E429" i="4"/>
  <c r="D429" i="4"/>
  <c r="D428" i="4"/>
  <c r="E428" i="4" s="1"/>
  <c r="D427" i="4"/>
  <c r="E427" i="4" s="1"/>
  <c r="E426" i="4"/>
  <c r="D426" i="4"/>
  <c r="D425" i="4"/>
  <c r="E425" i="4" s="1"/>
  <c r="D424" i="4"/>
  <c r="E424" i="4" s="1"/>
  <c r="D423" i="4"/>
  <c r="E423" i="4" s="1"/>
  <c r="E422" i="4"/>
  <c r="D422" i="4"/>
  <c r="E421" i="4"/>
  <c r="D421" i="4"/>
  <c r="D420" i="4"/>
  <c r="E420" i="4" s="1"/>
  <c r="D419" i="4"/>
  <c r="E419" i="4" s="1"/>
  <c r="E418" i="4"/>
  <c r="D418" i="4"/>
  <c r="E417" i="4"/>
  <c r="D417" i="4"/>
  <c r="D416" i="4"/>
  <c r="E416" i="4" s="1"/>
  <c r="E415" i="4"/>
  <c r="D415" i="4"/>
  <c r="D414" i="4"/>
  <c r="E414" i="4" s="1"/>
  <c r="E413" i="4"/>
  <c r="D413" i="4"/>
  <c r="D412" i="4"/>
  <c r="E412" i="4" s="1"/>
  <c r="D411" i="4"/>
  <c r="E411" i="4" s="1"/>
  <c r="D410" i="4"/>
  <c r="E410" i="4" s="1"/>
  <c r="D409" i="4"/>
  <c r="E409" i="4" s="1"/>
  <c r="D408" i="4"/>
  <c r="E408" i="4" s="1"/>
  <c r="E407" i="4"/>
  <c r="D407" i="4"/>
  <c r="E406" i="4"/>
  <c r="D406" i="4"/>
  <c r="D405" i="4"/>
  <c r="E405" i="4" s="1"/>
  <c r="D404" i="4"/>
  <c r="E404" i="4" s="1"/>
  <c r="E403" i="4"/>
  <c r="D403" i="4"/>
  <c r="D402" i="4"/>
  <c r="E402" i="4" s="1"/>
  <c r="D401" i="4"/>
  <c r="E401" i="4" s="1"/>
  <c r="D400" i="4"/>
  <c r="E400" i="4" s="1"/>
  <c r="D399" i="4"/>
  <c r="E399" i="4" s="1"/>
  <c r="E398" i="4"/>
  <c r="D398" i="4"/>
  <c r="E397" i="4"/>
  <c r="D397" i="4"/>
  <c r="D396" i="4"/>
  <c r="E396" i="4" s="1"/>
  <c r="E395" i="4"/>
  <c r="B1416" i="4" s="1"/>
  <c r="D1416" i="4" s="1"/>
  <c r="D395" i="4"/>
  <c r="E394" i="4"/>
  <c r="D394" i="4"/>
  <c r="D393" i="4"/>
  <c r="E393" i="4" s="1"/>
  <c r="D392" i="4"/>
  <c r="E392" i="4" s="1"/>
  <c r="D391" i="4"/>
  <c r="E391" i="4" s="1"/>
  <c r="E390" i="4"/>
  <c r="D390" i="4"/>
  <c r="E389" i="4"/>
  <c r="D389" i="4"/>
  <c r="D388" i="4"/>
  <c r="E388" i="4" s="1"/>
  <c r="D387" i="4"/>
  <c r="E387" i="4" s="1"/>
  <c r="D386" i="4"/>
  <c r="E386" i="4" s="1"/>
  <c r="E385" i="4"/>
  <c r="D385" i="4"/>
  <c r="D384" i="4"/>
  <c r="E384" i="4" s="1"/>
  <c r="D383" i="4"/>
  <c r="E383" i="4" s="1"/>
  <c r="D382" i="4"/>
  <c r="E382" i="4" s="1"/>
  <c r="E381" i="4"/>
  <c r="D381" i="4"/>
  <c r="D380" i="4"/>
  <c r="E380" i="4" s="1"/>
  <c r="D379" i="4"/>
  <c r="E379" i="4" s="1"/>
  <c r="D378" i="4"/>
  <c r="E378" i="4" s="1"/>
  <c r="E377" i="4"/>
  <c r="D377" i="4"/>
  <c r="D376" i="4"/>
  <c r="E376" i="4" s="1"/>
  <c r="D375" i="4"/>
  <c r="E375" i="4" s="1"/>
  <c r="E374" i="4"/>
  <c r="D374" i="4"/>
  <c r="E373" i="4"/>
  <c r="D373" i="4"/>
  <c r="D372" i="4"/>
  <c r="E372" i="4" s="1"/>
  <c r="D371" i="4"/>
  <c r="E371" i="4" s="1"/>
  <c r="D370" i="4"/>
  <c r="E370" i="4" s="1"/>
  <c r="E369" i="4"/>
  <c r="D369" i="4"/>
  <c r="D368" i="4"/>
  <c r="E368" i="4" s="1"/>
  <c r="D367" i="4"/>
  <c r="E367" i="4" s="1"/>
  <c r="D366" i="4"/>
  <c r="E366" i="4" s="1"/>
  <c r="E317" i="4"/>
  <c r="D317" i="4"/>
  <c r="D316" i="4"/>
  <c r="E316" i="4" s="1"/>
  <c r="D315" i="4"/>
  <c r="E315" i="4" s="1"/>
  <c r="D314" i="4"/>
  <c r="E314" i="4" s="1"/>
  <c r="E313" i="4"/>
  <c r="D313" i="4"/>
  <c r="D312" i="4"/>
  <c r="E312" i="4" s="1"/>
  <c r="D311" i="4"/>
  <c r="E311" i="4" s="1"/>
  <c r="E310" i="4"/>
  <c r="D310" i="4"/>
  <c r="E309" i="4"/>
  <c r="D309" i="4"/>
  <c r="D308" i="4"/>
  <c r="E308" i="4" s="1"/>
  <c r="D307" i="4"/>
  <c r="E307" i="4" s="1"/>
  <c r="D306" i="4"/>
  <c r="E306" i="4" s="1"/>
  <c r="E305" i="4"/>
  <c r="D305" i="4"/>
  <c r="D304" i="4"/>
  <c r="E304" i="4" s="1"/>
  <c r="D303" i="4"/>
  <c r="E303" i="4" s="1"/>
  <c r="D302" i="4"/>
  <c r="E302" i="4" s="1"/>
  <c r="E301" i="4"/>
  <c r="D301" i="4"/>
  <c r="D300" i="4"/>
  <c r="E300" i="4" s="1"/>
  <c r="D299" i="4"/>
  <c r="E299" i="4" s="1"/>
  <c r="D298" i="4"/>
  <c r="E298" i="4" s="1"/>
  <c r="E297" i="4"/>
  <c r="D297" i="4"/>
  <c r="D296" i="4"/>
  <c r="E296" i="4" s="1"/>
  <c r="D295" i="4"/>
  <c r="E295" i="4" s="1"/>
  <c r="E294" i="4"/>
  <c r="D294" i="4"/>
  <c r="E293" i="4"/>
  <c r="D293" i="4"/>
  <c r="D292" i="4"/>
  <c r="E292" i="4" s="1"/>
  <c r="D291" i="4"/>
  <c r="E291" i="4" s="1"/>
  <c r="D290" i="4"/>
  <c r="E290" i="4" s="1"/>
  <c r="E289" i="4"/>
  <c r="D289" i="4"/>
  <c r="D288" i="4"/>
  <c r="E288" i="4" s="1"/>
  <c r="D287" i="4"/>
  <c r="E287" i="4" s="1"/>
  <c r="D286" i="4"/>
  <c r="E286" i="4" s="1"/>
  <c r="E285" i="4"/>
  <c r="D285" i="4"/>
  <c r="D284" i="4"/>
  <c r="E284" i="4" s="1"/>
  <c r="D283" i="4"/>
  <c r="E283" i="4" s="1"/>
  <c r="D282" i="4"/>
  <c r="E282" i="4" s="1"/>
  <c r="E281" i="4"/>
  <c r="D281" i="4"/>
  <c r="D280" i="4"/>
  <c r="E280" i="4" s="1"/>
  <c r="D279" i="4"/>
  <c r="E279" i="4" s="1"/>
  <c r="E278" i="4"/>
  <c r="D278" i="4"/>
  <c r="E277" i="4"/>
  <c r="D277" i="4"/>
  <c r="D276" i="4"/>
  <c r="E276" i="4" s="1"/>
  <c r="D275" i="4"/>
  <c r="E275" i="4" s="1"/>
  <c r="D274" i="4"/>
  <c r="E274" i="4" s="1"/>
  <c r="E273" i="4"/>
  <c r="D273" i="4"/>
  <c r="D272" i="4"/>
  <c r="E272" i="4" s="1"/>
  <c r="D271" i="4"/>
  <c r="E271" i="4" s="1"/>
  <c r="D270" i="4"/>
  <c r="E270" i="4" s="1"/>
  <c r="E269" i="4"/>
  <c r="D269" i="4"/>
  <c r="D268" i="4"/>
  <c r="E268" i="4" s="1"/>
  <c r="D267" i="4"/>
  <c r="E267" i="4" s="1"/>
  <c r="D266" i="4"/>
  <c r="E266" i="4" s="1"/>
  <c r="E265" i="4"/>
  <c r="D265" i="4"/>
  <c r="D264" i="4"/>
  <c r="E264" i="4" s="1"/>
  <c r="D263" i="4"/>
  <c r="E263" i="4" s="1"/>
  <c r="E262" i="4"/>
  <c r="D262" i="4"/>
  <c r="E261" i="4"/>
  <c r="D261" i="4"/>
  <c r="D260" i="4"/>
  <c r="E260" i="4" s="1"/>
  <c r="D259" i="4"/>
  <c r="E259" i="4" s="1"/>
  <c r="D258" i="4"/>
  <c r="E258" i="4" s="1"/>
  <c r="E257" i="4"/>
  <c r="D257" i="4"/>
  <c r="D256" i="4"/>
  <c r="E256" i="4" s="1"/>
  <c r="D255" i="4"/>
  <c r="E255" i="4" s="1"/>
  <c r="D254" i="4"/>
  <c r="E254" i="4" s="1"/>
  <c r="D253" i="4"/>
  <c r="E253" i="4" s="1"/>
  <c r="D252" i="4"/>
  <c r="E252" i="4" s="1"/>
  <c r="D251" i="4"/>
  <c r="E251" i="4" s="1"/>
  <c r="D250" i="4"/>
  <c r="E250" i="4" s="1"/>
  <c r="D249" i="4"/>
  <c r="E249" i="4" s="1"/>
  <c r="D248" i="4"/>
  <c r="E248" i="4" s="1"/>
  <c r="D247" i="4"/>
  <c r="E247" i="4" s="1"/>
  <c r="E246" i="4"/>
  <c r="D246" i="4"/>
  <c r="D245" i="4"/>
  <c r="E245" i="4" s="1"/>
  <c r="D244" i="4"/>
  <c r="E244" i="4" s="1"/>
  <c r="D243" i="4"/>
  <c r="E243" i="4" s="1"/>
  <c r="D242" i="4"/>
  <c r="E242" i="4" s="1"/>
  <c r="E241" i="4"/>
  <c r="D241" i="4"/>
  <c r="D240" i="4"/>
  <c r="E240" i="4" s="1"/>
  <c r="D239" i="4"/>
  <c r="E239" i="4" s="1"/>
  <c r="D238" i="4"/>
  <c r="E238" i="4" s="1"/>
  <c r="D237" i="4"/>
  <c r="E237" i="4" s="1"/>
  <c r="D236" i="4"/>
  <c r="E236" i="4" s="1"/>
  <c r="D235" i="4"/>
  <c r="E235" i="4" s="1"/>
  <c r="D234" i="4"/>
  <c r="E234" i="4" s="1"/>
  <c r="D233" i="4"/>
  <c r="E233" i="4" s="1"/>
  <c r="D232" i="4"/>
  <c r="E232" i="4" s="1"/>
  <c r="D231" i="4"/>
  <c r="E231" i="4" s="1"/>
  <c r="E230" i="4"/>
  <c r="D230" i="4"/>
  <c r="D229" i="4"/>
  <c r="E229" i="4" s="1"/>
  <c r="D228" i="4"/>
  <c r="E228" i="4" s="1"/>
  <c r="D227" i="4"/>
  <c r="E227" i="4" s="1"/>
  <c r="D226" i="4"/>
  <c r="E226" i="4" s="1"/>
  <c r="E225" i="4"/>
  <c r="D225" i="4"/>
  <c r="D224" i="4"/>
  <c r="E224" i="4" s="1"/>
  <c r="D223" i="4"/>
  <c r="E223" i="4" s="1"/>
  <c r="D222" i="4"/>
  <c r="E222" i="4" s="1"/>
  <c r="D221" i="4"/>
  <c r="E221" i="4" s="1"/>
  <c r="D220" i="4"/>
  <c r="E220" i="4" s="1"/>
  <c r="D219" i="4"/>
  <c r="E219" i="4" s="1"/>
  <c r="D218" i="4"/>
  <c r="E218" i="4" s="1"/>
  <c r="D217" i="4"/>
  <c r="E217" i="4" s="1"/>
  <c r="D216" i="4"/>
  <c r="E216" i="4" s="1"/>
  <c r="D215" i="4"/>
  <c r="E215" i="4" s="1"/>
  <c r="E214" i="4"/>
  <c r="D214" i="4"/>
  <c r="D213" i="4"/>
  <c r="E213" i="4" s="1"/>
  <c r="D212" i="4"/>
  <c r="E212" i="4" s="1"/>
  <c r="D211" i="4"/>
  <c r="E211" i="4" s="1"/>
  <c r="D210" i="4"/>
  <c r="E210" i="4" s="1"/>
  <c r="E161" i="4"/>
  <c r="D161" i="4"/>
  <c r="D160" i="4"/>
  <c r="E160" i="4" s="1"/>
  <c r="D159" i="4"/>
  <c r="E159" i="4" s="1"/>
  <c r="D158" i="4"/>
  <c r="E158" i="4" s="1"/>
  <c r="D157" i="4"/>
  <c r="E157" i="4" s="1"/>
  <c r="D156" i="4"/>
  <c r="E156" i="4" s="1"/>
  <c r="D155" i="4"/>
  <c r="E155" i="4" s="1"/>
  <c r="D154" i="4"/>
  <c r="E154" i="4" s="1"/>
  <c r="D153" i="4"/>
  <c r="E153" i="4" s="1"/>
  <c r="D152" i="4"/>
  <c r="E152" i="4" s="1"/>
  <c r="D151" i="4"/>
  <c r="E151" i="4" s="1"/>
  <c r="E150" i="4"/>
  <c r="D150" i="4"/>
  <c r="D149" i="4"/>
  <c r="E149" i="4" s="1"/>
  <c r="D148" i="4"/>
  <c r="E148" i="4" s="1"/>
  <c r="D147" i="4"/>
  <c r="E147" i="4" s="1"/>
  <c r="D146" i="4"/>
  <c r="E146" i="4" s="1"/>
  <c r="E145" i="4"/>
  <c r="D145" i="4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8" i="4"/>
  <c r="E138" i="4" s="1"/>
  <c r="D137" i="4"/>
  <c r="E137" i="4" s="1"/>
  <c r="D136" i="4"/>
  <c r="E136" i="4" s="1"/>
  <c r="D135" i="4"/>
  <c r="E135" i="4" s="1"/>
  <c r="E134" i="4"/>
  <c r="D134" i="4"/>
  <c r="D133" i="4"/>
  <c r="E133" i="4" s="1"/>
  <c r="D132" i="4"/>
  <c r="E132" i="4" s="1"/>
  <c r="D131" i="4"/>
  <c r="E131" i="4" s="1"/>
  <c r="D130" i="4"/>
  <c r="E130" i="4" s="1"/>
  <c r="E129" i="4"/>
  <c r="D129" i="4"/>
  <c r="D128" i="4"/>
  <c r="E128" i="4" s="1"/>
  <c r="D127" i="4"/>
  <c r="E127" i="4" s="1"/>
  <c r="D126" i="4"/>
  <c r="E126" i="4" s="1"/>
  <c r="D125" i="4"/>
  <c r="E125" i="4" s="1"/>
  <c r="D124" i="4"/>
  <c r="E124" i="4" s="1"/>
  <c r="D123" i="4"/>
  <c r="E123" i="4" s="1"/>
  <c r="D122" i="4"/>
  <c r="E122" i="4" s="1"/>
  <c r="D121" i="4"/>
  <c r="E121" i="4" s="1"/>
  <c r="D120" i="4"/>
  <c r="E120" i="4" s="1"/>
  <c r="D119" i="4"/>
  <c r="E119" i="4" s="1"/>
  <c r="E118" i="4"/>
  <c r="D118" i="4"/>
  <c r="D117" i="4"/>
  <c r="E117" i="4" s="1"/>
  <c r="D116" i="4"/>
  <c r="E116" i="4" s="1"/>
  <c r="D115" i="4"/>
  <c r="E115" i="4" s="1"/>
  <c r="D114" i="4"/>
  <c r="E114" i="4" s="1"/>
  <c r="E113" i="4"/>
  <c r="D113" i="4"/>
  <c r="D112" i="4"/>
  <c r="E112" i="4" s="1"/>
  <c r="D111" i="4"/>
  <c r="E111" i="4" s="1"/>
  <c r="D110" i="4"/>
  <c r="E110" i="4" s="1"/>
  <c r="D109" i="4"/>
  <c r="E109" i="4" s="1"/>
  <c r="D108" i="4"/>
  <c r="E108" i="4" s="1"/>
  <c r="D107" i="4"/>
  <c r="E107" i="4" s="1"/>
  <c r="D106" i="4"/>
  <c r="E106" i="4" s="1"/>
  <c r="D105" i="4"/>
  <c r="E105" i="4" s="1"/>
  <c r="D104" i="4"/>
  <c r="E104" i="4" s="1"/>
  <c r="D103" i="4"/>
  <c r="E103" i="4" s="1"/>
  <c r="E102" i="4"/>
  <c r="D102" i="4"/>
  <c r="D101" i="4"/>
  <c r="E101" i="4" s="1"/>
  <c r="D100" i="4"/>
  <c r="E100" i="4" s="1"/>
  <c r="D99" i="4"/>
  <c r="E99" i="4" s="1"/>
  <c r="D98" i="4"/>
  <c r="E98" i="4" s="1"/>
  <c r="E97" i="4"/>
  <c r="D97" i="4"/>
  <c r="D96" i="4"/>
  <c r="E96" i="4" s="1"/>
  <c r="D95" i="4"/>
  <c r="E95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88" i="4"/>
  <c r="E88" i="4" s="1"/>
  <c r="D87" i="4"/>
  <c r="E87" i="4" s="1"/>
  <c r="E86" i="4"/>
  <c r="D86" i="4"/>
  <c r="D85" i="4"/>
  <c r="E85" i="4" s="1"/>
  <c r="D84" i="4"/>
  <c r="E84" i="4" s="1"/>
  <c r="D83" i="4"/>
  <c r="E83" i="4" s="1"/>
  <c r="D82" i="4"/>
  <c r="E82" i="4" s="1"/>
  <c r="E81" i="4"/>
  <c r="D81" i="4"/>
  <c r="D80" i="4"/>
  <c r="E80" i="4" s="1"/>
  <c r="D79" i="4"/>
  <c r="E79" i="4" s="1"/>
  <c r="D78" i="4"/>
  <c r="E78" i="4" s="1"/>
  <c r="D77" i="4"/>
  <c r="E77" i="4" s="1"/>
  <c r="D76" i="4"/>
  <c r="E76" i="4" s="1"/>
  <c r="D75" i="4"/>
  <c r="E75" i="4" s="1"/>
  <c r="D74" i="4"/>
  <c r="E74" i="4" s="1"/>
  <c r="D73" i="4"/>
  <c r="E73" i="4" s="1"/>
  <c r="D72" i="4"/>
  <c r="E72" i="4" s="1"/>
  <c r="D71" i="4"/>
  <c r="E71" i="4" s="1"/>
  <c r="E70" i="4"/>
  <c r="D70" i="4"/>
  <c r="D69" i="4"/>
  <c r="E69" i="4" s="1"/>
  <c r="D68" i="4"/>
  <c r="E68" i="4" s="1"/>
  <c r="D67" i="4"/>
  <c r="E67" i="4" s="1"/>
  <c r="D66" i="4"/>
  <c r="E66" i="4" s="1"/>
  <c r="E65" i="4"/>
  <c r="D65" i="4"/>
  <c r="D64" i="4"/>
  <c r="E64" i="4" s="1"/>
  <c r="D63" i="4"/>
  <c r="E63" i="4" s="1"/>
  <c r="D62" i="4"/>
  <c r="E62" i="4" s="1"/>
  <c r="D61" i="4"/>
  <c r="E61" i="4" s="1"/>
  <c r="D60" i="4"/>
  <c r="E60" i="4" s="1"/>
  <c r="D59" i="4"/>
  <c r="E59" i="4" s="1"/>
  <c r="D58" i="4"/>
  <c r="E58" i="4" s="1"/>
  <c r="D57" i="4"/>
  <c r="E57" i="4" s="1"/>
  <c r="D56" i="4"/>
  <c r="E56" i="4" s="1"/>
  <c r="D55" i="4"/>
  <c r="E55" i="4" s="1"/>
  <c r="E54" i="4"/>
  <c r="D54" i="4"/>
  <c r="E3293" i="3"/>
  <c r="F3293" i="3" s="1"/>
  <c r="E3290" i="3"/>
  <c r="F3290" i="3" s="1"/>
  <c r="F3283" i="3"/>
  <c r="E3283" i="3"/>
  <c r="E3274" i="3"/>
  <c r="F3274" i="3" s="1"/>
  <c r="E3273" i="3"/>
  <c r="F3273" i="3" s="1"/>
  <c r="E3261" i="3"/>
  <c r="F3261" i="3" s="1"/>
  <c r="E3257" i="3"/>
  <c r="F3257" i="3" s="1"/>
  <c r="E3252" i="3"/>
  <c r="F3252" i="3" s="1"/>
  <c r="E3243" i="3"/>
  <c r="F3243" i="3" s="1"/>
  <c r="E3234" i="3"/>
  <c r="F3234" i="3" s="1"/>
  <c r="E3229" i="3"/>
  <c r="F3229" i="3" s="1"/>
  <c r="E3215" i="3"/>
  <c r="F3215" i="3" s="1"/>
  <c r="E3214" i="3"/>
  <c r="F3214" i="3" s="1"/>
  <c r="F3211" i="3"/>
  <c r="E3211" i="3"/>
  <c r="E3207" i="3"/>
  <c r="F3207" i="3" s="1"/>
  <c r="E3188" i="3"/>
  <c r="F3188" i="3" s="1"/>
  <c r="E3186" i="3"/>
  <c r="F3186" i="3" s="1"/>
  <c r="E3162" i="3"/>
  <c r="F3162" i="3" s="1"/>
  <c r="E3161" i="3"/>
  <c r="F3161" i="3" s="1"/>
  <c r="F3160" i="3"/>
  <c r="E3160" i="3"/>
  <c r="E3157" i="3"/>
  <c r="F3157" i="3" s="1"/>
  <c r="E3143" i="3"/>
  <c r="F3143" i="3" s="1"/>
  <c r="E3142" i="3"/>
  <c r="F3142" i="3" s="1"/>
  <c r="E3125" i="3"/>
  <c r="F3125" i="3" s="1"/>
  <c r="E3120" i="3"/>
  <c r="F3120" i="3" s="1"/>
  <c r="F3117" i="3"/>
  <c r="E3117" i="3"/>
  <c r="F3115" i="3"/>
  <c r="E3115" i="3"/>
  <c r="F3109" i="3"/>
  <c r="E3109" i="3"/>
  <c r="F3100" i="3"/>
  <c r="E3100" i="3"/>
  <c r="E3094" i="3"/>
  <c r="F3094" i="3" s="1"/>
  <c r="E3092" i="3"/>
  <c r="F3092" i="3" s="1"/>
  <c r="E3085" i="3"/>
  <c r="F3085" i="3" s="1"/>
  <c r="F3080" i="3"/>
  <c r="E3080" i="3"/>
  <c r="E3062" i="3"/>
  <c r="F3062" i="3" s="1"/>
  <c r="F3057" i="3"/>
  <c r="E3057" i="3"/>
  <c r="E3056" i="3"/>
  <c r="F3056" i="3" s="1"/>
  <c r="E3046" i="3"/>
  <c r="F3046" i="3" s="1"/>
  <c r="F3045" i="3"/>
  <c r="E3045" i="3"/>
  <c r="E3043" i="3"/>
  <c r="F3043" i="3" s="1"/>
  <c r="F3039" i="3"/>
  <c r="E3039" i="3"/>
  <c r="E3037" i="3"/>
  <c r="F3037" i="3" s="1"/>
  <c r="F3019" i="3"/>
  <c r="E3019" i="3"/>
  <c r="E3015" i="3"/>
  <c r="F3015" i="3" s="1"/>
  <c r="F2995" i="3"/>
  <c r="E2995" i="3"/>
  <c r="E2994" i="3"/>
  <c r="F2994" i="3" s="1"/>
  <c r="F2993" i="3"/>
  <c r="E2993" i="3"/>
  <c r="E2989" i="3"/>
  <c r="F2989" i="3" s="1"/>
  <c r="E2978" i="3"/>
  <c r="F2978" i="3" s="1"/>
  <c r="F2968" i="3"/>
  <c r="E2968" i="3"/>
  <c r="F2964" i="3"/>
  <c r="E2964" i="3"/>
  <c r="F2957" i="3"/>
  <c r="E2957" i="3"/>
  <c r="E2954" i="3"/>
  <c r="F2954" i="3" s="1"/>
  <c r="F2952" i="3"/>
  <c r="E2952" i="3"/>
  <c r="E2951" i="3"/>
  <c r="F2951" i="3" s="1"/>
  <c r="E2946" i="3"/>
  <c r="F2946" i="3" s="1"/>
  <c r="E2938" i="3"/>
  <c r="F2938" i="3" s="1"/>
  <c r="E2924" i="3"/>
  <c r="F2924" i="3" s="1"/>
  <c r="F2920" i="3"/>
  <c r="E2920" i="3"/>
  <c r="E2902" i="3"/>
  <c r="F2902" i="3" s="1"/>
  <c r="F2885" i="3"/>
  <c r="E2885" i="3"/>
  <c r="E2884" i="3"/>
  <c r="F2884" i="3" s="1"/>
  <c r="F2881" i="3"/>
  <c r="E2881" i="3"/>
  <c r="F2877" i="3"/>
  <c r="E2877" i="3"/>
  <c r="F2861" i="3"/>
  <c r="E2861" i="3"/>
  <c r="E2855" i="3"/>
  <c r="F2855" i="3" s="1"/>
  <c r="F2853" i="3"/>
  <c r="E2853" i="3"/>
  <c r="E2850" i="3"/>
  <c r="F2850" i="3" s="1"/>
  <c r="E2840" i="3"/>
  <c r="F2840" i="3" s="1"/>
  <c r="E2828" i="3"/>
  <c r="F2828" i="3" s="1"/>
  <c r="E2827" i="3"/>
  <c r="F2827" i="3" s="1"/>
  <c r="E2826" i="3"/>
  <c r="F2826" i="3" s="1"/>
  <c r="E2825" i="3"/>
  <c r="F2825" i="3" s="1"/>
  <c r="F2821" i="3"/>
  <c r="E2821" i="3"/>
  <c r="E2806" i="3"/>
  <c r="F2806" i="3" s="1"/>
  <c r="E2805" i="3"/>
  <c r="F2805" i="3" s="1"/>
  <c r="E2782" i="3"/>
  <c r="F2782" i="3" s="1"/>
  <c r="E2775" i="3"/>
  <c r="F2775" i="3" s="1"/>
  <c r="F2765" i="3"/>
  <c r="E2765" i="3"/>
  <c r="E2762" i="3"/>
  <c r="F2762" i="3" s="1"/>
  <c r="E2758" i="3"/>
  <c r="F2758" i="3" s="1"/>
  <c r="E2749" i="3"/>
  <c r="F2749" i="3" s="1"/>
  <c r="E2744" i="3"/>
  <c r="F2744" i="3" s="1"/>
  <c r="E2742" i="3"/>
  <c r="F2742" i="3" s="1"/>
  <c r="E2741" i="3"/>
  <c r="F2741" i="3" s="1"/>
  <c r="E2735" i="3"/>
  <c r="F2735" i="3" s="1"/>
  <c r="E2727" i="3"/>
  <c r="F2727" i="3" s="1"/>
  <c r="E2709" i="3"/>
  <c r="F2709" i="3" s="1"/>
  <c r="E2706" i="3"/>
  <c r="F2706" i="3" s="1"/>
  <c r="E2690" i="3"/>
  <c r="F2690" i="3" s="1"/>
  <c r="E2681" i="3"/>
  <c r="F2681" i="3" s="1"/>
  <c r="E2676" i="3"/>
  <c r="F2676" i="3" s="1"/>
  <c r="E2657" i="3"/>
  <c r="F2657" i="3" s="1"/>
  <c r="F2654" i="3"/>
  <c r="E2654" i="3"/>
  <c r="E2652" i="3"/>
  <c r="F2652" i="3" s="1"/>
  <c r="E2640" i="3"/>
  <c r="F2640" i="3" s="1"/>
  <c r="F2639" i="3"/>
  <c r="E2639" i="3"/>
  <c r="E2628" i="3"/>
  <c r="F2628" i="3" s="1"/>
  <c r="F2618" i="3"/>
  <c r="E2618" i="3"/>
  <c r="F2615" i="3"/>
  <c r="E2615" i="3"/>
  <c r="E2614" i="3"/>
  <c r="F2614" i="3" s="1"/>
  <c r="E2613" i="3"/>
  <c r="F2613" i="3" s="1"/>
  <c r="F2607" i="3"/>
  <c r="E2607" i="3"/>
  <c r="E2604" i="3"/>
  <c r="F2604" i="3" s="1"/>
  <c r="F2599" i="3"/>
  <c r="E2599" i="3"/>
  <c r="F2596" i="3"/>
  <c r="E2596" i="3"/>
  <c r="E2580" i="3"/>
  <c r="F2580" i="3" s="1"/>
  <c r="E2575" i="3"/>
  <c r="F2575" i="3" s="1"/>
  <c r="F2574" i="3"/>
  <c r="E2574" i="3"/>
  <c r="E2563" i="3"/>
  <c r="F2563" i="3" s="1"/>
  <c r="E2556" i="3"/>
  <c r="F2556" i="3" s="1"/>
  <c r="F2551" i="3"/>
  <c r="E2551" i="3"/>
  <c r="E2548" i="3"/>
  <c r="F2548" i="3" s="1"/>
  <c r="E2546" i="3"/>
  <c r="F2546" i="3" s="1"/>
  <c r="E2537" i="3"/>
  <c r="F2537" i="3" s="1"/>
  <c r="E2536" i="3"/>
  <c r="F2536" i="3" s="1"/>
  <c r="E2531" i="3"/>
  <c r="F2531" i="3" s="1"/>
  <c r="E2530" i="3"/>
  <c r="F2530" i="3" s="1"/>
  <c r="F2527" i="3"/>
  <c r="E2527" i="3"/>
  <c r="E2523" i="3"/>
  <c r="F2523" i="3" s="1"/>
  <c r="E2522" i="3"/>
  <c r="F2522" i="3" s="1"/>
  <c r="E2509" i="3"/>
  <c r="F2509" i="3" s="1"/>
  <c r="E2504" i="3"/>
  <c r="F2504" i="3" s="1"/>
  <c r="E2501" i="3"/>
  <c r="F2501" i="3" s="1"/>
  <c r="E2499" i="3"/>
  <c r="F2499" i="3" s="1"/>
  <c r="F2496" i="3"/>
  <c r="E2496" i="3"/>
  <c r="E2495" i="3"/>
  <c r="F2495" i="3" s="1"/>
  <c r="E2483" i="3"/>
  <c r="F2483" i="3" s="1"/>
  <c r="E2477" i="3"/>
  <c r="F2477" i="3" s="1"/>
  <c r="F2476" i="3"/>
  <c r="E2476" i="3"/>
  <c r="E2472" i="3"/>
  <c r="F2472" i="3" s="1"/>
  <c r="F2471" i="3"/>
  <c r="E2471" i="3"/>
  <c r="E2470" i="3"/>
  <c r="F2470" i="3" s="1"/>
  <c r="E2469" i="3"/>
  <c r="F2469" i="3" s="1"/>
  <c r="E2466" i="3"/>
  <c r="F2466" i="3" s="1"/>
  <c r="E2454" i="3"/>
  <c r="F2454" i="3" s="1"/>
  <c r="E2453" i="3"/>
  <c r="F2453" i="3" s="1"/>
  <c r="E2451" i="3"/>
  <c r="F2451" i="3" s="1"/>
  <c r="E2450" i="3"/>
  <c r="F2450" i="3" s="1"/>
  <c r="E2434" i="3"/>
  <c r="F2434" i="3" s="1"/>
  <c r="E2429" i="3"/>
  <c r="F2429" i="3" s="1"/>
  <c r="E2427" i="3"/>
  <c r="F2427" i="3" s="1"/>
  <c r="E2426" i="3"/>
  <c r="F2426" i="3" s="1"/>
  <c r="E2421" i="3"/>
  <c r="F2421" i="3" s="1"/>
  <c r="E2419" i="3"/>
  <c r="F2419" i="3" s="1"/>
  <c r="E2399" i="3"/>
  <c r="F2399" i="3" s="1"/>
  <c r="E2395" i="3"/>
  <c r="F2395" i="3" s="1"/>
  <c r="E2389" i="3"/>
  <c r="F2389" i="3" s="1"/>
  <c r="F2382" i="3"/>
  <c r="E2382" i="3"/>
  <c r="E2373" i="3"/>
  <c r="F2373" i="3" s="1"/>
  <c r="F2366" i="3"/>
  <c r="E2366" i="3"/>
  <c r="E2363" i="3"/>
  <c r="F2363" i="3" s="1"/>
  <c r="E2357" i="3"/>
  <c r="F2357" i="3" s="1"/>
  <c r="E2355" i="3"/>
  <c r="F2355" i="3" s="1"/>
  <c r="F2343" i="3"/>
  <c r="E2343" i="3"/>
  <c r="E2340" i="3"/>
  <c r="F2340" i="3" s="1"/>
  <c r="E2322" i="3"/>
  <c r="F2322" i="3" s="1"/>
  <c r="E2319" i="3"/>
  <c r="F2319" i="3" s="1"/>
  <c r="E2309" i="3"/>
  <c r="F2309" i="3" s="1"/>
  <c r="F2302" i="3"/>
  <c r="E2302" i="3"/>
  <c r="E2294" i="3"/>
  <c r="F2294" i="3" s="1"/>
  <c r="E2293" i="3"/>
  <c r="F2293" i="3" s="1"/>
  <c r="E2290" i="3"/>
  <c r="F2290" i="3" s="1"/>
  <c r="E2283" i="3"/>
  <c r="F2283" i="3" s="1"/>
  <c r="E2280" i="3"/>
  <c r="F2280" i="3" s="1"/>
  <c r="E2273" i="3"/>
  <c r="F2273" i="3" s="1"/>
  <c r="F2272" i="3"/>
  <c r="E2272" i="3"/>
  <c r="E2271" i="3"/>
  <c r="F2271" i="3" s="1"/>
  <c r="F2256" i="3"/>
  <c r="E2256" i="3"/>
  <c r="F2252" i="3"/>
  <c r="E2252" i="3"/>
  <c r="E2251" i="3"/>
  <c r="F2251" i="3" s="1"/>
  <c r="E2245" i="3"/>
  <c r="F2245" i="3" s="1"/>
  <c r="E2244" i="3"/>
  <c r="F2244" i="3" s="1"/>
  <c r="E2234" i="3"/>
  <c r="F2234" i="3" s="1"/>
  <c r="E2227" i="3"/>
  <c r="F2227" i="3" s="1"/>
  <c r="E2212" i="3"/>
  <c r="F2212" i="3" s="1"/>
  <c r="E2211" i="3"/>
  <c r="F2211" i="3" s="1"/>
  <c r="E2209" i="3"/>
  <c r="F2209" i="3" s="1"/>
  <c r="E2194" i="3"/>
  <c r="F2194" i="3" s="1"/>
  <c r="E2193" i="3"/>
  <c r="F2193" i="3" s="1"/>
  <c r="E2184" i="3"/>
  <c r="F2184" i="3" s="1"/>
  <c r="E2181" i="3"/>
  <c r="F2181" i="3" s="1"/>
  <c r="E2173" i="3"/>
  <c r="F2173" i="3" s="1"/>
  <c r="E2165" i="3"/>
  <c r="F2165" i="3" s="1"/>
  <c r="E2156" i="3"/>
  <c r="F2156" i="3" s="1"/>
  <c r="E2155" i="3"/>
  <c r="F2155" i="3" s="1"/>
  <c r="E2152" i="3"/>
  <c r="F2152" i="3" s="1"/>
  <c r="E2148" i="3"/>
  <c r="F2148" i="3" s="1"/>
  <c r="F2138" i="3"/>
  <c r="E2138" i="3"/>
  <c r="E2137" i="3"/>
  <c r="F2137" i="3" s="1"/>
  <c r="E2123" i="3"/>
  <c r="F2123" i="3" s="1"/>
  <c r="E2122" i="3"/>
  <c r="F2122" i="3" s="1"/>
  <c r="E2117" i="3"/>
  <c r="F2117" i="3" s="1"/>
  <c r="F2103" i="3"/>
  <c r="E2103" i="3"/>
  <c r="E2091" i="3"/>
  <c r="F2091" i="3" s="1"/>
  <c r="E2090" i="3"/>
  <c r="F2090" i="3" s="1"/>
  <c r="F2088" i="3"/>
  <c r="E2088" i="3"/>
  <c r="E2074" i="3"/>
  <c r="F2074" i="3" s="1"/>
  <c r="E2069" i="3"/>
  <c r="F2069" i="3" s="1"/>
  <c r="E2068" i="3"/>
  <c r="F2068" i="3" s="1"/>
  <c r="E2065" i="3"/>
  <c r="F2065" i="3" s="1"/>
  <c r="E2061" i="3"/>
  <c r="F2061" i="3" s="1"/>
  <c r="F2048" i="3"/>
  <c r="E2048" i="3"/>
  <c r="E2044" i="3"/>
  <c r="F2044" i="3" s="1"/>
  <c r="E2041" i="3"/>
  <c r="F2041" i="3" s="1"/>
  <c r="F2039" i="3"/>
  <c r="E2039" i="3"/>
  <c r="E2025" i="3"/>
  <c r="F2025" i="3" s="1"/>
  <c r="E2024" i="3"/>
  <c r="F2024" i="3" s="1"/>
  <c r="E2021" i="3"/>
  <c r="F2021" i="3" s="1"/>
  <c r="E2020" i="3"/>
  <c r="F2020" i="3" s="1"/>
  <c r="E2017" i="3"/>
  <c r="F2017" i="3" s="1"/>
  <c r="E2005" i="3"/>
  <c r="F2005" i="3" s="1"/>
  <c r="E2003" i="3"/>
  <c r="F2003" i="3" s="1"/>
  <c r="E1997" i="3"/>
  <c r="F1997" i="3" s="1"/>
  <c r="E1995" i="3"/>
  <c r="F1995" i="3" s="1"/>
  <c r="F1991" i="3"/>
  <c r="E1991" i="3"/>
  <c r="E1988" i="3"/>
  <c r="F1988" i="3" s="1"/>
  <c r="E1983" i="3"/>
  <c r="F1983" i="3" s="1"/>
  <c r="E1973" i="3"/>
  <c r="F1973" i="3" s="1"/>
  <c r="E1971" i="3"/>
  <c r="F1971" i="3" s="1"/>
  <c r="E1970" i="3"/>
  <c r="F1970" i="3" s="1"/>
  <c r="F1967" i="3"/>
  <c r="E1967" i="3"/>
  <c r="F1966" i="3"/>
  <c r="E1966" i="3"/>
  <c r="E1964" i="3"/>
  <c r="F1964" i="3" s="1"/>
  <c r="E1961" i="3"/>
  <c r="F1961" i="3" s="1"/>
  <c r="E1948" i="3"/>
  <c r="F1948" i="3" s="1"/>
  <c r="F1934" i="3"/>
  <c r="E1934" i="3"/>
  <c r="E1933" i="3"/>
  <c r="F1933" i="3" s="1"/>
  <c r="F1926" i="3"/>
  <c r="E1926" i="3"/>
  <c r="F1918" i="3"/>
  <c r="E1918" i="3"/>
  <c r="E1909" i="3"/>
  <c r="F1909" i="3" s="1"/>
  <c r="F1896" i="3"/>
  <c r="E1896" i="3"/>
  <c r="F1894" i="3"/>
  <c r="E1894" i="3"/>
  <c r="E1883" i="3"/>
  <c r="F1883" i="3" s="1"/>
  <c r="E1882" i="3"/>
  <c r="F1882" i="3" s="1"/>
  <c r="F1879" i="3"/>
  <c r="E1879" i="3"/>
  <c r="E1867" i="3"/>
  <c r="F1867" i="3" s="1"/>
  <c r="E1855" i="3"/>
  <c r="F1855" i="3" s="1"/>
  <c r="E1842" i="3"/>
  <c r="F1842" i="3" s="1"/>
  <c r="F1839" i="3"/>
  <c r="E1839" i="3"/>
  <c r="E1837" i="3"/>
  <c r="F1837" i="3" s="1"/>
  <c r="F1831" i="3"/>
  <c r="E1831" i="3"/>
  <c r="E1823" i="3"/>
  <c r="F1823" i="3" s="1"/>
  <c r="F1822" i="3"/>
  <c r="E1822" i="3"/>
  <c r="F1807" i="3"/>
  <c r="E1807" i="3"/>
  <c r="E1802" i="3"/>
  <c r="F1802" i="3" s="1"/>
  <c r="E1801" i="3"/>
  <c r="F1801" i="3" s="1"/>
  <c r="F1784" i="3"/>
  <c r="E1784" i="3"/>
  <c r="E1779" i="3"/>
  <c r="F1779" i="3" s="1"/>
  <c r="E1777" i="3"/>
  <c r="F1777" i="3" s="1"/>
  <c r="E1765" i="3"/>
  <c r="F1765" i="3" s="1"/>
  <c r="E1764" i="3"/>
  <c r="F1764" i="3" s="1"/>
  <c r="E1761" i="3"/>
  <c r="F1761" i="3" s="1"/>
  <c r="E1747" i="3"/>
  <c r="F1747" i="3" s="1"/>
  <c r="E1737" i="3"/>
  <c r="F1737" i="3" s="1"/>
  <c r="E1733" i="3"/>
  <c r="F1733" i="3" s="1"/>
  <c r="E1732" i="3"/>
  <c r="F1732" i="3" s="1"/>
  <c r="E1729" i="3"/>
  <c r="F1729" i="3" s="1"/>
  <c r="E1715" i="3"/>
  <c r="F1715" i="3" s="1"/>
  <c r="E1708" i="3"/>
  <c r="F1708" i="3" s="1"/>
  <c r="E1707" i="3"/>
  <c r="F1707" i="3" s="1"/>
  <c r="E1706" i="3"/>
  <c r="F1706" i="3" s="1"/>
  <c r="F1703" i="3"/>
  <c r="E1703" i="3"/>
  <c r="E1690" i="3"/>
  <c r="F1690" i="3" s="1"/>
  <c r="E1688" i="3"/>
  <c r="F1688" i="3" s="1"/>
  <c r="F1687" i="3"/>
  <c r="E1687" i="3"/>
  <c r="E1681" i="3"/>
  <c r="F1681" i="3" s="1"/>
  <c r="E1669" i="3"/>
  <c r="F1669" i="3" s="1"/>
  <c r="E1667" i="3"/>
  <c r="F1667" i="3" s="1"/>
  <c r="E1660" i="3"/>
  <c r="F1660" i="3" s="1"/>
  <c r="E1657" i="3"/>
  <c r="F1657" i="3" s="1"/>
  <c r="E1650" i="3"/>
  <c r="F1650" i="3" s="1"/>
  <c r="E1649" i="3"/>
  <c r="F1649" i="3" s="1"/>
  <c r="E1631" i="3"/>
  <c r="F1631" i="3" s="1"/>
  <c r="E1627" i="3"/>
  <c r="F1627" i="3" s="1"/>
  <c r="F1623" i="3"/>
  <c r="E1623" i="3"/>
  <c r="F1622" i="3"/>
  <c r="E1622" i="3"/>
  <c r="E1621" i="3"/>
  <c r="F1621" i="3" s="1"/>
  <c r="E1613" i="3"/>
  <c r="F1613" i="3" s="1"/>
  <c r="E1605" i="3"/>
  <c r="F1605" i="3" s="1"/>
  <c r="F1598" i="3"/>
  <c r="E1598" i="3"/>
  <c r="E1596" i="3"/>
  <c r="F1596" i="3" s="1"/>
  <c r="E1587" i="3"/>
  <c r="F1587" i="3" s="1"/>
  <c r="F1582" i="3"/>
  <c r="E1582" i="3"/>
  <c r="E1581" i="3"/>
  <c r="F1581" i="3" s="1"/>
  <c r="E1580" i="3"/>
  <c r="F1580" i="3" s="1"/>
  <c r="E1578" i="3"/>
  <c r="F1578" i="3" s="1"/>
  <c r="E1574" i="3"/>
  <c r="F1574" i="3" s="1"/>
  <c r="F1562" i="3"/>
  <c r="E1562" i="3"/>
  <c r="F1552" i="3"/>
  <c r="E1552" i="3"/>
  <c r="F1548" i="3"/>
  <c r="E1548" i="3"/>
  <c r="E1540" i="3"/>
  <c r="F1540" i="3" s="1"/>
  <c r="F1535" i="3"/>
  <c r="E1535" i="3"/>
  <c r="E1533" i="3"/>
  <c r="F1533" i="3" s="1"/>
  <c r="E1523" i="3"/>
  <c r="F1523" i="3" s="1"/>
  <c r="E1517" i="3"/>
  <c r="F1517" i="3" s="1"/>
  <c r="E1506" i="3"/>
  <c r="F1506" i="3" s="1"/>
  <c r="E1505" i="3"/>
  <c r="F1505" i="3" s="1"/>
  <c r="E1493" i="3"/>
  <c r="F1493" i="3" s="1"/>
  <c r="E1490" i="3"/>
  <c r="F1490" i="3" s="1"/>
  <c r="E1483" i="3"/>
  <c r="F1483" i="3" s="1"/>
  <c r="E1480" i="3"/>
  <c r="F1480" i="3" s="1"/>
  <c r="E1478" i="3"/>
  <c r="F1478" i="3" s="1"/>
  <c r="E1477" i="3"/>
  <c r="F1477" i="3" s="1"/>
  <c r="E1476" i="3"/>
  <c r="F1476" i="3" s="1"/>
  <c r="E1473" i="3"/>
  <c r="F1473" i="3" s="1"/>
  <c r="E1467" i="3"/>
  <c r="F1467" i="3" s="1"/>
  <c r="F1466" i="3"/>
  <c r="E1466" i="3"/>
  <c r="E1465" i="3"/>
  <c r="F1465" i="3" s="1"/>
  <c r="F1454" i="3"/>
  <c r="E1454" i="3"/>
  <c r="E1449" i="3"/>
  <c r="F1449" i="3" s="1"/>
  <c r="E1443" i="3"/>
  <c r="F1443" i="3" s="1"/>
  <c r="E1432" i="3"/>
  <c r="F1432" i="3" s="1"/>
  <c r="E1427" i="3"/>
  <c r="F1427" i="3" s="1"/>
  <c r="E1426" i="3"/>
  <c r="F1426" i="3" s="1"/>
  <c r="E1425" i="3"/>
  <c r="F1425" i="3" s="1"/>
  <c r="E1413" i="3"/>
  <c r="F1413" i="3" s="1"/>
  <c r="E1412" i="3"/>
  <c r="F1412" i="3" s="1"/>
  <c r="E1411" i="3"/>
  <c r="F1411" i="3" s="1"/>
  <c r="E1410" i="3"/>
  <c r="F1410" i="3" s="1"/>
  <c r="F1406" i="3"/>
  <c r="E1406" i="3"/>
  <c r="F1402" i="3"/>
  <c r="E1402" i="3"/>
  <c r="E1386" i="3"/>
  <c r="F1386" i="3" s="1"/>
  <c r="F1384" i="3"/>
  <c r="E1384" i="3"/>
  <c r="E1382" i="3"/>
  <c r="F1382" i="3" s="1"/>
  <c r="E1362" i="3"/>
  <c r="F1362" i="3" s="1"/>
  <c r="E1361" i="3"/>
  <c r="F1361" i="3" s="1"/>
  <c r="F1360" i="3"/>
  <c r="E1360" i="3"/>
  <c r="E1357" i="3"/>
  <c r="F1357" i="3" s="1"/>
  <c r="E1346" i="3"/>
  <c r="F1346" i="3" s="1"/>
  <c r="E1332" i="3"/>
  <c r="F1332" i="3" s="1"/>
  <c r="E1331" i="3"/>
  <c r="F1331" i="3" s="1"/>
  <c r="E1326" i="3"/>
  <c r="F1326" i="3" s="1"/>
  <c r="E1323" i="3"/>
  <c r="F1323" i="3" s="1"/>
  <c r="E1321" i="3"/>
  <c r="F1321" i="3" s="1"/>
  <c r="E1317" i="3"/>
  <c r="F1317" i="3" s="1"/>
  <c r="E1312" i="3"/>
  <c r="F1312" i="3" s="1"/>
  <c r="F1311" i="3"/>
  <c r="E1311" i="3"/>
  <c r="E1310" i="3"/>
  <c r="F1310" i="3" s="1"/>
  <c r="E1303" i="3"/>
  <c r="F1303" i="3" s="1"/>
  <c r="E1298" i="3"/>
  <c r="F1298" i="3" s="1"/>
  <c r="E1295" i="3"/>
  <c r="F1295" i="3" s="1"/>
  <c r="F1291" i="3"/>
  <c r="E1291" i="3"/>
  <c r="F1289" i="3"/>
  <c r="E1289" i="3"/>
  <c r="E1280" i="3"/>
  <c r="F1280" i="3" s="1"/>
  <c r="E1276" i="3"/>
  <c r="F1276" i="3" s="1"/>
  <c r="F1275" i="3"/>
  <c r="E1275" i="3"/>
  <c r="F1270" i="3"/>
  <c r="E1270" i="3"/>
  <c r="E1269" i="3"/>
  <c r="F1269" i="3" s="1"/>
  <c r="E1262" i="3"/>
  <c r="F1262" i="3" s="1"/>
  <c r="E1256" i="3"/>
  <c r="F1256" i="3" s="1"/>
  <c r="E1255" i="3"/>
  <c r="F1255" i="3" s="1"/>
  <c r="F1253" i="3"/>
  <c r="E1253" i="3"/>
  <c r="E1252" i="3"/>
  <c r="F1252" i="3" s="1"/>
  <c r="E1248" i="3"/>
  <c r="F1248" i="3" s="1"/>
  <c r="E1244" i="3"/>
  <c r="F1244" i="3" s="1"/>
  <c r="E1235" i="3"/>
  <c r="F1235" i="3" s="1"/>
  <c r="E1230" i="3"/>
  <c r="F1230" i="3" s="1"/>
  <c r="E1229" i="3"/>
  <c r="F1229" i="3" s="1"/>
  <c r="E1217" i="3"/>
  <c r="F1217" i="3" s="1"/>
  <c r="E1216" i="3"/>
  <c r="F1216" i="3" s="1"/>
  <c r="E1205" i="3"/>
  <c r="F1205" i="3" s="1"/>
  <c r="E1204" i="3"/>
  <c r="F1204" i="3" s="1"/>
  <c r="E1203" i="3"/>
  <c r="F1203" i="3" s="1"/>
  <c r="E1202" i="3"/>
  <c r="F1202" i="3" s="1"/>
  <c r="E1200" i="3"/>
  <c r="F1200" i="3" s="1"/>
  <c r="F1186" i="3"/>
  <c r="E1186" i="3"/>
  <c r="E1185" i="3"/>
  <c r="F1185" i="3" s="1"/>
  <c r="E1179" i="3"/>
  <c r="F1179" i="3" s="1"/>
  <c r="E1173" i="3"/>
  <c r="F1173" i="3" s="1"/>
  <c r="E1170" i="3"/>
  <c r="F1170" i="3" s="1"/>
  <c r="E1167" i="3"/>
  <c r="F1167" i="3" s="1"/>
  <c r="E1162" i="3"/>
  <c r="F1162" i="3" s="1"/>
  <c r="F1161" i="3"/>
  <c r="E1161" i="3"/>
  <c r="E1158" i="3"/>
  <c r="F1158" i="3" s="1"/>
  <c r="E1157" i="3"/>
  <c r="F1157" i="3" s="1"/>
  <c r="E1156" i="3"/>
  <c r="F1156" i="3" s="1"/>
  <c r="E1152" i="3"/>
  <c r="F1152" i="3" s="1"/>
  <c r="E1150" i="3"/>
  <c r="F1150" i="3" s="1"/>
  <c r="E1148" i="3"/>
  <c r="F1148" i="3" s="1"/>
  <c r="E1147" i="3"/>
  <c r="F1147" i="3" s="1"/>
  <c r="E1140" i="3"/>
  <c r="F1140" i="3" s="1"/>
  <c r="E1139" i="3"/>
  <c r="F1139" i="3" s="1"/>
  <c r="E1138" i="3"/>
  <c r="F1138" i="3" s="1"/>
  <c r="E1129" i="3"/>
  <c r="F1129" i="3" s="1"/>
  <c r="E1127" i="3"/>
  <c r="F1127" i="3" s="1"/>
  <c r="E1124" i="3"/>
  <c r="F1124" i="3" s="1"/>
  <c r="F1122" i="3"/>
  <c r="E1122" i="3"/>
  <c r="E1117" i="3"/>
  <c r="F1117" i="3" s="1"/>
  <c r="F1115" i="3"/>
  <c r="E1115" i="3"/>
  <c r="E1110" i="3"/>
  <c r="F1110" i="3" s="1"/>
  <c r="E1101" i="3"/>
  <c r="F1101" i="3" s="1"/>
  <c r="E1098" i="3"/>
  <c r="F1098" i="3" s="1"/>
  <c r="E1096" i="3"/>
  <c r="F1096" i="3" s="1"/>
  <c r="F1091" i="3"/>
  <c r="E1091" i="3"/>
  <c r="E1089" i="3"/>
  <c r="F1089" i="3" s="1"/>
  <c r="E1088" i="3"/>
  <c r="F1088" i="3" s="1"/>
  <c r="E1083" i="3"/>
  <c r="F1083" i="3" s="1"/>
  <c r="F1081" i="3"/>
  <c r="E1081" i="3"/>
  <c r="E1075" i="3"/>
  <c r="F1075" i="3" s="1"/>
  <c r="E1074" i="3"/>
  <c r="F1074" i="3" s="1"/>
  <c r="E1071" i="3"/>
  <c r="F1071" i="3" s="1"/>
  <c r="F1067" i="3"/>
  <c r="E1067" i="3"/>
  <c r="E1066" i="3"/>
  <c r="F1066" i="3" s="1"/>
  <c r="E1061" i="3"/>
  <c r="F1061" i="3" s="1"/>
  <c r="E1057" i="3"/>
  <c r="F1057" i="3" s="1"/>
  <c r="F1047" i="3"/>
  <c r="E1047" i="3"/>
  <c r="E1045" i="3"/>
  <c r="F1045" i="3" s="1"/>
  <c r="E1042" i="3"/>
  <c r="F1042" i="3" s="1"/>
  <c r="F1041" i="3"/>
  <c r="E1041" i="3"/>
  <c r="E1038" i="3"/>
  <c r="F1038" i="3" s="1"/>
  <c r="E1037" i="3"/>
  <c r="F1037" i="3" s="1"/>
  <c r="E1033" i="3"/>
  <c r="F1033" i="3" s="1"/>
  <c r="E1023" i="3"/>
  <c r="F1023" i="3" s="1"/>
  <c r="F1017" i="3"/>
  <c r="E1017" i="3"/>
  <c r="E1016" i="3"/>
  <c r="F1016" i="3" s="1"/>
  <c r="F1015" i="3"/>
  <c r="E1015" i="3"/>
  <c r="E1011" i="3"/>
  <c r="F1011" i="3" s="1"/>
  <c r="E1010" i="3"/>
  <c r="F1010" i="3" s="1"/>
  <c r="E1002" i="3"/>
  <c r="F1002" i="3" s="1"/>
  <c r="E1001" i="3"/>
  <c r="F1001" i="3" s="1"/>
  <c r="E996" i="3"/>
  <c r="F996" i="3" s="1"/>
  <c r="F995" i="3"/>
  <c r="E995" i="3"/>
  <c r="E992" i="3"/>
  <c r="F992" i="3" s="1"/>
  <c r="F991" i="3"/>
  <c r="E991" i="3"/>
  <c r="E983" i="3"/>
  <c r="F983" i="3" s="1"/>
  <c r="E982" i="3"/>
  <c r="F982" i="3" s="1"/>
  <c r="E979" i="3"/>
  <c r="F979" i="3" s="1"/>
  <c r="E974" i="3"/>
  <c r="F974" i="3" s="1"/>
  <c r="E973" i="3"/>
  <c r="F973" i="3" s="1"/>
  <c r="E965" i="3"/>
  <c r="F965" i="3" s="1"/>
  <c r="E959" i="3"/>
  <c r="F959" i="3" s="1"/>
  <c r="E958" i="3"/>
  <c r="F958" i="3" s="1"/>
  <c r="F955" i="3"/>
  <c r="E955" i="3"/>
  <c r="F950" i="3"/>
  <c r="E950" i="3"/>
  <c r="E946" i="3"/>
  <c r="F946" i="3" s="1"/>
  <c r="E938" i="3"/>
  <c r="F938" i="3" s="1"/>
  <c r="E937" i="3"/>
  <c r="F937" i="3" s="1"/>
  <c r="E932" i="3"/>
  <c r="F932" i="3" s="1"/>
  <c r="E929" i="3"/>
  <c r="F929" i="3" s="1"/>
  <c r="F919" i="3"/>
  <c r="E919" i="3"/>
  <c r="E914" i="3"/>
  <c r="F914" i="3" s="1"/>
  <c r="F901" i="3"/>
  <c r="E901" i="3"/>
  <c r="F895" i="3"/>
  <c r="E895" i="3"/>
  <c r="E892" i="3"/>
  <c r="F892" i="3" s="1"/>
  <c r="F886" i="3"/>
  <c r="E885" i="3"/>
  <c r="F885" i="3" s="1"/>
  <c r="E883" i="3"/>
  <c r="F883" i="3" s="1"/>
  <c r="E879" i="3"/>
  <c r="F879" i="3" s="1"/>
  <c r="F877" i="3"/>
  <c r="E877" i="3"/>
  <c r="E868" i="3"/>
  <c r="F868" i="3" s="1"/>
  <c r="F867" i="3"/>
  <c r="E867" i="3"/>
  <c r="F859" i="3"/>
  <c r="E859" i="3"/>
  <c r="E854" i="3"/>
  <c r="F854" i="3" s="1"/>
  <c r="E850" i="3"/>
  <c r="F850" i="3" s="1"/>
  <c r="E845" i="3"/>
  <c r="F845" i="3" s="1"/>
  <c r="E844" i="3"/>
  <c r="F844" i="3" s="1"/>
  <c r="E842" i="3"/>
  <c r="F842" i="3" s="1"/>
  <c r="E836" i="3"/>
  <c r="F836" i="3" s="1"/>
  <c r="E832" i="3"/>
  <c r="F832" i="3" s="1"/>
  <c r="E827" i="3"/>
  <c r="F827" i="3" s="1"/>
  <c r="F826" i="3"/>
  <c r="E826" i="3"/>
  <c r="E823" i="3"/>
  <c r="F823" i="3" s="1"/>
  <c r="E819" i="3"/>
  <c r="F819" i="3" s="1"/>
  <c r="F818" i="3"/>
  <c r="E818" i="3"/>
  <c r="F817" i="3"/>
  <c r="E817" i="3"/>
  <c r="E810" i="3"/>
  <c r="F810" i="3" s="1"/>
  <c r="E809" i="3"/>
  <c r="F809" i="3" s="1"/>
  <c r="E808" i="3"/>
  <c r="F808" i="3" s="1"/>
  <c r="F802" i="3"/>
  <c r="E802" i="3"/>
  <c r="E801" i="3"/>
  <c r="F801" i="3" s="1"/>
  <c r="E800" i="3"/>
  <c r="F800" i="3" s="1"/>
  <c r="E798" i="3"/>
  <c r="F798" i="3" s="1"/>
  <c r="F794" i="3"/>
  <c r="E794" i="3"/>
  <c r="E786" i="3"/>
  <c r="F786" i="3" s="1"/>
  <c r="E778" i="3"/>
  <c r="F778" i="3" s="1"/>
  <c r="E777" i="3"/>
  <c r="F777" i="3" s="1"/>
  <c r="E772" i="3"/>
  <c r="F772" i="3" s="1"/>
  <c r="E769" i="3"/>
  <c r="F769" i="3" s="1"/>
  <c r="E768" i="3"/>
  <c r="F768" i="3" s="1"/>
  <c r="F767" i="3"/>
  <c r="E767" i="3"/>
  <c r="E764" i="3"/>
  <c r="F764" i="3" s="1"/>
  <c r="E760" i="3"/>
  <c r="F760" i="3" s="1"/>
  <c r="E758" i="3"/>
  <c r="F758" i="3" s="1"/>
  <c r="E750" i="3"/>
  <c r="F750" i="3" s="1"/>
  <c r="E743" i="3"/>
  <c r="F743" i="3" s="1"/>
  <c r="E742" i="3"/>
  <c r="F742" i="3" s="1"/>
  <c r="E737" i="3"/>
  <c r="F737" i="3" s="1"/>
  <c r="E736" i="3"/>
  <c r="F736" i="3" s="1"/>
  <c r="E735" i="3"/>
  <c r="F735" i="3" s="1"/>
  <c r="E726" i="3"/>
  <c r="F726" i="3" s="1"/>
  <c r="E724" i="3"/>
  <c r="F724" i="3" s="1"/>
  <c r="E723" i="3"/>
  <c r="F723" i="3" s="1"/>
  <c r="E711" i="3"/>
  <c r="F711" i="3" s="1"/>
  <c r="E710" i="3"/>
  <c r="F710" i="3" s="1"/>
  <c r="E709" i="3"/>
  <c r="F709" i="3" s="1"/>
  <c r="E708" i="3"/>
  <c r="F708" i="3" s="1"/>
  <c r="F703" i="3"/>
  <c r="E703" i="3"/>
  <c r="E699" i="3"/>
  <c r="F699" i="3" s="1"/>
  <c r="F698" i="3"/>
  <c r="E698" i="3"/>
  <c r="E695" i="3"/>
  <c r="F695" i="3" s="1"/>
  <c r="E694" i="3"/>
  <c r="F694" i="3" s="1"/>
  <c r="E693" i="3"/>
  <c r="F693" i="3" s="1"/>
  <c r="E687" i="3"/>
  <c r="F687" i="3" s="1"/>
  <c r="E686" i="3"/>
  <c r="F686" i="3" s="1"/>
  <c r="E685" i="3"/>
  <c r="F685" i="3" s="1"/>
  <c r="E680" i="3"/>
  <c r="F680" i="3" s="1"/>
  <c r="E677" i="3"/>
  <c r="F677" i="3" s="1"/>
  <c r="F667" i="3"/>
  <c r="F666" i="3"/>
  <c r="E666" i="3"/>
  <c r="F662" i="3"/>
  <c r="E662" i="3"/>
  <c r="E658" i="3"/>
  <c r="F658" i="3" s="1"/>
  <c r="E650" i="3"/>
  <c r="F650" i="3" s="1"/>
  <c r="E649" i="3"/>
  <c r="F649" i="3" s="1"/>
  <c r="F642" i="3"/>
  <c r="E642" i="3"/>
  <c r="E641" i="3"/>
  <c r="F641" i="3" s="1"/>
  <c r="E636" i="3"/>
  <c r="F636" i="3" s="1"/>
  <c r="E635" i="3"/>
  <c r="F635" i="3" s="1"/>
  <c r="E626" i="3"/>
  <c r="F626" i="3" s="1"/>
  <c r="E617" i="3"/>
  <c r="F617" i="3" s="1"/>
  <c r="E616" i="3"/>
  <c r="F616" i="3" s="1"/>
  <c r="E609" i="3"/>
  <c r="F609" i="3" s="1"/>
  <c r="E604" i="3"/>
  <c r="F604" i="3" s="1"/>
  <c r="E600" i="3"/>
  <c r="F600" i="3" s="1"/>
  <c r="E599" i="3"/>
  <c r="F599" i="3" s="1"/>
  <c r="E598" i="3"/>
  <c r="F598" i="3" s="1"/>
  <c r="E584" i="3"/>
  <c r="F584" i="3" s="1"/>
  <c r="E581" i="3"/>
  <c r="F581" i="3" s="1"/>
  <c r="E580" i="3"/>
  <c r="F580" i="3" s="1"/>
  <c r="E577" i="3"/>
  <c r="F577" i="3" s="1"/>
  <c r="E575" i="3"/>
  <c r="F575" i="3" s="1"/>
  <c r="E571" i="3"/>
  <c r="F571" i="3" s="1"/>
  <c r="E565" i="3"/>
  <c r="F565" i="3" s="1"/>
  <c r="E563" i="3"/>
  <c r="F563" i="3" s="1"/>
  <c r="F557" i="3"/>
  <c r="E557" i="3"/>
  <c r="E553" i="3"/>
  <c r="F553" i="3" s="1"/>
  <c r="E548" i="3"/>
  <c r="F548" i="3" s="1"/>
  <c r="E544" i="3"/>
  <c r="F544" i="3" s="1"/>
  <c r="E539" i="3"/>
  <c r="F539" i="3" s="1"/>
  <c r="F537" i="3"/>
  <c r="E537" i="3"/>
  <c r="E531" i="3"/>
  <c r="F531" i="3" s="1"/>
  <c r="E522" i="3"/>
  <c r="F522" i="3" s="1"/>
  <c r="E520" i="3"/>
  <c r="F520" i="3" s="1"/>
  <c r="E519" i="3"/>
  <c r="F519" i="3" s="1"/>
  <c r="E513" i="3"/>
  <c r="F513" i="3" s="1"/>
  <c r="E511" i="3"/>
  <c r="F511" i="3" s="1"/>
  <c r="E503" i="3"/>
  <c r="F503" i="3" s="1"/>
  <c r="E502" i="3"/>
  <c r="F502" i="3" s="1"/>
  <c r="E493" i="3"/>
  <c r="F493" i="3" s="1"/>
  <c r="E485" i="3"/>
  <c r="F485" i="3" s="1"/>
  <c r="E479" i="3"/>
  <c r="F479" i="3" s="1"/>
  <c r="F474" i="3"/>
  <c r="E474" i="3"/>
  <c r="F470" i="3"/>
  <c r="E470" i="3"/>
  <c r="E467" i="3"/>
  <c r="F467" i="3" s="1"/>
  <c r="E466" i="3"/>
  <c r="F466" i="3" s="1"/>
  <c r="E457" i="3"/>
  <c r="F457" i="3" s="1"/>
  <c r="E452" i="3"/>
  <c r="F452" i="3" s="1"/>
  <c r="E449" i="3"/>
  <c r="F449" i="3" s="1"/>
  <c r="E448" i="3"/>
  <c r="F448" i="3" s="1"/>
  <c r="F447" i="3"/>
  <c r="E447" i="3"/>
  <c r="E443" i="3"/>
  <c r="F443" i="3" s="1"/>
  <c r="E439" i="3"/>
  <c r="F439" i="3" s="1"/>
  <c r="F430" i="3"/>
  <c r="E430" i="3"/>
  <c r="E425" i="3"/>
  <c r="F425" i="3" s="1"/>
  <c r="E423" i="3"/>
  <c r="F423" i="3" s="1"/>
  <c r="F421" i="3"/>
  <c r="E421" i="3"/>
  <c r="E417" i="3"/>
  <c r="F417" i="3" s="1"/>
  <c r="E416" i="3"/>
  <c r="F416" i="3" s="1"/>
  <c r="F415" i="3"/>
  <c r="E415" i="3"/>
  <c r="E411" i="3"/>
  <c r="F411" i="3" s="1"/>
  <c r="E408" i="3"/>
  <c r="F408" i="3" s="1"/>
  <c r="F407" i="3"/>
  <c r="E407" i="3"/>
  <c r="E405" i="3"/>
  <c r="F405" i="3" s="1"/>
  <c r="F402" i="3"/>
  <c r="E402" i="3"/>
  <c r="F398" i="3"/>
  <c r="E398" i="3"/>
  <c r="F397" i="3"/>
  <c r="E397" i="3"/>
  <c r="E391" i="3"/>
  <c r="F391" i="3" s="1"/>
  <c r="E390" i="3"/>
  <c r="F390" i="3" s="1"/>
  <c r="E384" i="3"/>
  <c r="F384" i="3" s="1"/>
  <c r="E380" i="3"/>
  <c r="F380" i="3" s="1"/>
  <c r="F378" i="3"/>
  <c r="E378" i="3"/>
  <c r="E374" i="3"/>
  <c r="F374" i="3" s="1"/>
  <c r="E373" i="3"/>
  <c r="F373" i="3" s="1"/>
  <c r="F367" i="3"/>
  <c r="E367" i="3"/>
  <c r="F359" i="3"/>
  <c r="E359" i="3"/>
  <c r="E358" i="3"/>
  <c r="F358" i="3" s="1"/>
  <c r="F356" i="3"/>
  <c r="E356" i="3"/>
  <c r="E351" i="3"/>
  <c r="F351" i="3" s="1"/>
  <c r="F347" i="3"/>
  <c r="E347" i="3"/>
  <c r="F346" i="3"/>
  <c r="E346" i="3"/>
  <c r="F344" i="3"/>
  <c r="E344" i="3"/>
  <c r="F343" i="3"/>
  <c r="E343" i="3"/>
  <c r="E339" i="3"/>
  <c r="F339" i="3" s="1"/>
  <c r="E332" i="3"/>
  <c r="F332" i="3" s="1"/>
  <c r="E330" i="3"/>
  <c r="F330" i="3" s="1"/>
  <c r="F324" i="3"/>
  <c r="E324" i="3"/>
  <c r="E323" i="3"/>
  <c r="F323" i="3" s="1"/>
  <c r="E320" i="3"/>
  <c r="F320" i="3" s="1"/>
  <c r="E316" i="3"/>
  <c r="F316" i="3" s="1"/>
  <c r="E315" i="3"/>
  <c r="F315" i="3" s="1"/>
  <c r="E314" i="3"/>
  <c r="F314" i="3" s="1"/>
  <c r="E311" i="3"/>
  <c r="F311" i="3" s="1"/>
  <c r="E310" i="3"/>
  <c r="F310" i="3" s="1"/>
  <c r="E307" i="3"/>
  <c r="F307" i="3" s="1"/>
  <c r="F302" i="3"/>
  <c r="E302" i="3"/>
  <c r="F300" i="3"/>
  <c r="E300" i="3"/>
  <c r="E298" i="3"/>
  <c r="F298" i="3" s="1"/>
  <c r="F296" i="3"/>
  <c r="E296" i="3"/>
  <c r="F291" i="3"/>
  <c r="E291" i="3"/>
  <c r="F288" i="3"/>
  <c r="E288" i="3"/>
  <c r="E284" i="3"/>
  <c r="F284" i="3" s="1"/>
  <c r="E283" i="3"/>
  <c r="F283" i="3" s="1"/>
  <c r="F280" i="3"/>
  <c r="E280" i="3"/>
  <c r="F278" i="3"/>
  <c r="E278" i="3"/>
  <c r="E272" i="3"/>
  <c r="F272" i="3" s="1"/>
  <c r="E271" i="3"/>
  <c r="F271" i="3" s="1"/>
  <c r="F265" i="3"/>
  <c r="E265" i="3"/>
  <c r="E264" i="3"/>
  <c r="F264" i="3" s="1"/>
  <c r="F259" i="3"/>
  <c r="E259" i="3"/>
  <c r="E255" i="3"/>
  <c r="F255" i="3" s="1"/>
  <c r="F252" i="3"/>
  <c r="E252" i="3"/>
  <c r="F250" i="3"/>
  <c r="E250" i="3"/>
  <c r="E247" i="3"/>
  <c r="F247" i="3" s="1"/>
  <c r="E244" i="3"/>
  <c r="F244" i="3" s="1"/>
  <c r="E243" i="3"/>
  <c r="F243" i="3" s="1"/>
  <c r="E240" i="3"/>
  <c r="F240" i="3" s="1"/>
  <c r="F239" i="3"/>
  <c r="E239" i="3"/>
  <c r="F238" i="3"/>
  <c r="E238" i="3"/>
  <c r="F236" i="3"/>
  <c r="E236" i="3"/>
  <c r="E235" i="3"/>
  <c r="F235" i="3" s="1"/>
  <c r="E232" i="3"/>
  <c r="F232" i="3" s="1"/>
  <c r="F230" i="3"/>
  <c r="E230" i="3"/>
  <c r="F224" i="3"/>
  <c r="E224" i="3"/>
  <c r="F222" i="3"/>
  <c r="E222" i="3"/>
  <c r="E217" i="3"/>
  <c r="F217" i="3" s="1"/>
  <c r="F216" i="3"/>
  <c r="E216" i="3"/>
  <c r="E213" i="3"/>
  <c r="F213" i="3" s="1"/>
  <c r="E212" i="3"/>
  <c r="F212" i="3" s="1"/>
  <c r="F210" i="3"/>
  <c r="E210" i="3"/>
  <c r="F208" i="3"/>
  <c r="E208" i="3"/>
  <c r="F207" i="3"/>
  <c r="E207" i="3"/>
  <c r="E204" i="3"/>
  <c r="F204" i="3" s="1"/>
  <c r="E196" i="3"/>
  <c r="F196" i="3" s="1"/>
  <c r="E195" i="3"/>
  <c r="F195" i="3" s="1"/>
  <c r="F191" i="3"/>
  <c r="E191" i="3"/>
  <c r="F190" i="3"/>
  <c r="E190" i="3"/>
  <c r="D185" i="3"/>
  <c r="E2298" i="3" s="1"/>
  <c r="F2298" i="3" s="1"/>
  <c r="D184" i="3"/>
  <c r="D183" i="3"/>
  <c r="D182" i="3"/>
  <c r="D181" i="3"/>
  <c r="D180" i="3"/>
  <c r="D179" i="3"/>
  <c r="D178" i="3"/>
  <c r="E886" i="3" s="1"/>
  <c r="D177" i="3"/>
  <c r="E3114" i="3" s="1"/>
  <c r="F3114" i="3" s="1"/>
  <c r="D176" i="3"/>
  <c r="E2107" i="3" s="1"/>
  <c r="F2107" i="3" s="1"/>
  <c r="D175" i="3"/>
  <c r="D174" i="3"/>
  <c r="E2948" i="3" s="1"/>
  <c r="F2948" i="3" s="1"/>
  <c r="D173" i="3"/>
  <c r="D172" i="3"/>
  <c r="D171" i="3"/>
  <c r="E3108" i="3" s="1"/>
  <c r="F3108" i="3" s="1"/>
  <c r="D170" i="3"/>
  <c r="E576" i="3" s="1"/>
  <c r="F576" i="3" s="1"/>
  <c r="D169" i="3"/>
  <c r="E269" i="3" s="1"/>
  <c r="F269" i="3" s="1"/>
  <c r="D168" i="3"/>
  <c r="D167" i="3"/>
  <c r="D166" i="3"/>
  <c r="D165" i="3"/>
  <c r="D164" i="3"/>
  <c r="D163" i="3"/>
  <c r="E964" i="3" s="1"/>
  <c r="F964" i="3" s="1"/>
  <c r="D162" i="3"/>
  <c r="E2939" i="3" s="1"/>
  <c r="F2939" i="3" s="1"/>
  <c r="D161" i="3"/>
  <c r="E2092" i="3" s="1"/>
  <c r="F2092" i="3" s="1"/>
  <c r="D160" i="3"/>
  <c r="E2937" i="3" s="1"/>
  <c r="F2937" i="3" s="1"/>
  <c r="D159" i="3"/>
  <c r="D158" i="3"/>
  <c r="E2408" i="3" s="1"/>
  <c r="F2408" i="3" s="1"/>
  <c r="D157" i="3"/>
  <c r="D156" i="3"/>
  <c r="D155" i="3"/>
  <c r="E385" i="3" s="1"/>
  <c r="F385" i="3" s="1"/>
  <c r="D154" i="3"/>
  <c r="E2084" i="3" s="1"/>
  <c r="F2084" i="3" s="1"/>
  <c r="D153" i="3"/>
  <c r="D152" i="3"/>
  <c r="D151" i="3"/>
  <c r="D150" i="3"/>
  <c r="D149" i="3"/>
  <c r="D148" i="3"/>
  <c r="D147" i="3"/>
  <c r="D146" i="3"/>
  <c r="E1299" i="3" s="1"/>
  <c r="F1299" i="3" s="1"/>
  <c r="D145" i="3"/>
  <c r="E1125" i="3" s="1"/>
  <c r="F1125" i="3" s="1"/>
  <c r="D144" i="3"/>
  <c r="D143" i="3"/>
  <c r="D142" i="3"/>
  <c r="E1121" i="3" s="1"/>
  <c r="F1121" i="3" s="1"/>
  <c r="D141" i="3"/>
  <c r="D140" i="3"/>
  <c r="D139" i="3"/>
  <c r="E375" i="3" s="1"/>
  <c r="F375" i="3" s="1"/>
  <c r="D138" i="3"/>
  <c r="E1800" i="3" s="1"/>
  <c r="F1800" i="3" s="1"/>
  <c r="D137" i="3"/>
  <c r="E3250" i="3" s="1"/>
  <c r="F3250" i="3" s="1"/>
  <c r="D136" i="3"/>
  <c r="D135" i="3"/>
  <c r="D134" i="3"/>
  <c r="D133" i="3"/>
  <c r="D132" i="3"/>
  <c r="E1444" i="3" s="1"/>
  <c r="F1444" i="3" s="1"/>
  <c r="D131" i="3"/>
  <c r="D130" i="3"/>
  <c r="E1284" i="3" s="1"/>
  <c r="F1284" i="3" s="1"/>
  <c r="D129" i="3"/>
  <c r="D128" i="3"/>
  <c r="E1900" i="3" s="1"/>
  <c r="F1900" i="3" s="1"/>
  <c r="D127" i="3"/>
  <c r="D126" i="3"/>
  <c r="D125" i="3"/>
  <c r="D124" i="3"/>
  <c r="D123" i="3"/>
  <c r="E947" i="3" s="1"/>
  <c r="F947" i="3" s="1"/>
  <c r="D122" i="3"/>
  <c r="E2236" i="3" s="1"/>
  <c r="F2236" i="3" s="1"/>
  <c r="D121" i="3"/>
  <c r="E2235" i="3" s="1"/>
  <c r="F2235" i="3" s="1"/>
  <c r="D120" i="3"/>
  <c r="D119" i="3"/>
  <c r="D118" i="3"/>
  <c r="E1603" i="3" s="1"/>
  <c r="F1603" i="3" s="1"/>
  <c r="D117" i="3"/>
  <c r="D116" i="3"/>
  <c r="D115" i="3"/>
  <c r="D114" i="3"/>
  <c r="E1092" i="3" s="1"/>
  <c r="F1092" i="3" s="1"/>
  <c r="D113" i="3"/>
  <c r="D112" i="3"/>
  <c r="E1595" i="3" s="1"/>
  <c r="F1595" i="3" s="1"/>
  <c r="D111" i="3"/>
  <c r="D110" i="3"/>
  <c r="D109" i="3"/>
  <c r="D108" i="3"/>
  <c r="E2372" i="3" s="1"/>
  <c r="F2372" i="3" s="1"/>
  <c r="D107" i="3"/>
  <c r="D106" i="3"/>
  <c r="E1420" i="3" s="1"/>
  <c r="F1420" i="3" s="1"/>
  <c r="D105" i="3"/>
  <c r="E2218" i="3" s="1"/>
  <c r="F2218" i="3" s="1"/>
  <c r="D104" i="3"/>
  <c r="D103" i="3"/>
  <c r="D102" i="3"/>
  <c r="D101" i="3"/>
  <c r="D100" i="3"/>
  <c r="E667" i="3" s="1"/>
  <c r="D99" i="3"/>
  <c r="D98" i="3"/>
  <c r="E3044" i="3" s="1"/>
  <c r="F3044" i="3" s="1"/>
  <c r="D97" i="3"/>
  <c r="E2364" i="3" s="1"/>
  <c r="F2364" i="3" s="1"/>
  <c r="D96" i="3"/>
  <c r="D95" i="3"/>
  <c r="D94" i="3"/>
  <c r="D93" i="3"/>
  <c r="D92" i="3"/>
  <c r="D91" i="3"/>
  <c r="E231" i="3" s="1"/>
  <c r="F231" i="3" s="1"/>
  <c r="D90" i="3"/>
  <c r="E790" i="3" s="1"/>
  <c r="F790" i="3" s="1"/>
  <c r="D89" i="3"/>
  <c r="E2012" i="3" s="1"/>
  <c r="F2012" i="3" s="1"/>
  <c r="D88" i="3"/>
  <c r="E3201" i="3" s="1"/>
  <c r="F3201" i="3" s="1"/>
  <c r="D87" i="3"/>
  <c r="D86" i="3"/>
  <c r="D85" i="3"/>
  <c r="D84" i="3"/>
  <c r="D83" i="3"/>
  <c r="E2692" i="3" s="1"/>
  <c r="F2692" i="3" s="1"/>
  <c r="D82" i="3"/>
  <c r="E1394" i="3" s="1"/>
  <c r="F1394" i="3" s="1"/>
  <c r="D81" i="3"/>
  <c r="E1393" i="3" s="1"/>
  <c r="F1393" i="3" s="1"/>
  <c r="D80" i="3"/>
  <c r="D79" i="3"/>
  <c r="D78" i="3"/>
  <c r="D77" i="3"/>
  <c r="D76" i="3"/>
  <c r="D75" i="3"/>
  <c r="D74" i="3"/>
  <c r="E2346" i="3" s="1"/>
  <c r="F2346" i="3" s="1"/>
  <c r="D73" i="3"/>
  <c r="E654" i="3" s="1"/>
  <c r="F654" i="3" s="1"/>
  <c r="D72" i="3"/>
  <c r="E1738" i="3" s="1"/>
  <c r="F1738" i="3" s="1"/>
  <c r="D71" i="3"/>
  <c r="D70" i="3"/>
  <c r="E1043" i="3" s="1"/>
  <c r="F1043" i="3" s="1"/>
  <c r="D69" i="3"/>
  <c r="E923" i="3" s="1"/>
  <c r="F923" i="3" s="1"/>
  <c r="D68" i="3"/>
  <c r="D67" i="3"/>
  <c r="D66" i="3"/>
  <c r="E1224" i="3" s="1"/>
  <c r="F1224" i="3" s="1"/>
  <c r="D65" i="3"/>
  <c r="D64" i="3"/>
  <c r="D63" i="3"/>
  <c r="D62" i="3"/>
  <c r="E434" i="3" s="1"/>
  <c r="F434" i="3" s="1"/>
  <c r="D61" i="3"/>
  <c r="E1032" i="3" s="1"/>
  <c r="F1032" i="3" s="1"/>
  <c r="D60" i="3"/>
  <c r="D59" i="3"/>
  <c r="D58" i="3"/>
  <c r="E1029" i="3" s="1"/>
  <c r="F1029" i="3" s="1"/>
  <c r="D57" i="3"/>
  <c r="E1028" i="3" s="1"/>
  <c r="F1028" i="3" s="1"/>
  <c r="D56" i="3"/>
  <c r="D55" i="3"/>
  <c r="D54" i="3"/>
  <c r="E1717" i="3" s="1"/>
  <c r="F1717" i="3" s="1"/>
  <c r="D53" i="3"/>
  <c r="E1024" i="3" s="1"/>
  <c r="F1024" i="3" s="1"/>
  <c r="D52" i="3"/>
  <c r="D51" i="3"/>
  <c r="D50" i="3"/>
  <c r="E1713" i="3" s="1"/>
  <c r="F1713" i="3" s="1"/>
  <c r="D49" i="3"/>
  <c r="D48" i="3"/>
  <c r="E1526" i="3" s="1"/>
  <c r="F1526" i="3" s="1"/>
  <c r="D47" i="3"/>
  <c r="D46" i="3"/>
  <c r="E2157" i="3" s="1"/>
  <c r="F2157" i="3" s="1"/>
  <c r="D45" i="3"/>
  <c r="E2468" i="3" s="1"/>
  <c r="F2468" i="3" s="1"/>
  <c r="D44" i="3"/>
  <c r="D43" i="3"/>
  <c r="D42" i="3"/>
  <c r="D41" i="3"/>
  <c r="D40" i="3"/>
  <c r="D39" i="3"/>
  <c r="D38" i="3"/>
  <c r="D37" i="3"/>
  <c r="E618" i="3" s="1"/>
  <c r="F618" i="3" s="1"/>
  <c r="D36" i="3"/>
  <c r="D35" i="3"/>
  <c r="D34" i="3"/>
  <c r="E2813" i="3" s="1"/>
  <c r="F2813" i="3" s="1"/>
  <c r="D33" i="3"/>
  <c r="D32" i="3"/>
  <c r="D31" i="3"/>
  <c r="D30" i="3"/>
  <c r="E727" i="3" s="1"/>
  <c r="F727" i="3" s="1"/>
  <c r="D29" i="3"/>
  <c r="D28" i="3"/>
  <c r="D27" i="3"/>
  <c r="D26" i="3"/>
  <c r="E1685" i="3" s="1"/>
  <c r="F1685" i="3" s="1"/>
  <c r="D25" i="3"/>
  <c r="D24" i="3"/>
  <c r="E1683" i="3" s="1"/>
  <c r="F1683" i="3" s="1"/>
  <c r="D23" i="3"/>
  <c r="D22" i="3"/>
  <c r="E2133" i="3" s="1"/>
  <c r="F2133" i="3" s="1"/>
  <c r="D21" i="3"/>
  <c r="D20" i="3"/>
  <c r="D19" i="3"/>
  <c r="D18" i="3"/>
  <c r="E1339" i="3" s="1"/>
  <c r="F1339" i="3" s="1"/>
  <c r="D17" i="3"/>
  <c r="E1938" i="3" s="1"/>
  <c r="F1938" i="3" s="1"/>
  <c r="D16" i="3"/>
  <c r="E1937" i="3" s="1"/>
  <c r="F1937" i="3" s="1"/>
  <c r="D15" i="3"/>
  <c r="D14" i="3"/>
  <c r="D13" i="3"/>
  <c r="E2435" i="3" s="1"/>
  <c r="F2435" i="3" s="1"/>
  <c r="D12" i="3"/>
  <c r="D11" i="3"/>
  <c r="D10" i="3"/>
  <c r="E1846" i="3" s="1"/>
  <c r="F1846" i="3" s="1"/>
  <c r="D9" i="3"/>
  <c r="D8" i="3"/>
  <c r="D7" i="3"/>
  <c r="D6" i="3"/>
  <c r="AA801" i="2"/>
  <c r="W801" i="2"/>
  <c r="S801" i="2"/>
  <c r="O801" i="2"/>
  <c r="K801" i="2"/>
  <c r="G801" i="2"/>
  <c r="C801" i="2"/>
  <c r="AA800" i="2"/>
  <c r="W800" i="2"/>
  <c r="S800" i="2"/>
  <c r="O800" i="2"/>
  <c r="K800" i="2"/>
  <c r="G800" i="2"/>
  <c r="C800" i="2"/>
  <c r="AA799" i="2"/>
  <c r="W799" i="2"/>
  <c r="S799" i="2"/>
  <c r="O799" i="2"/>
  <c r="K799" i="2"/>
  <c r="G799" i="2"/>
  <c r="C799" i="2"/>
  <c r="AA798" i="2"/>
  <c r="W798" i="2"/>
  <c r="S798" i="2"/>
  <c r="O798" i="2"/>
  <c r="K798" i="2"/>
  <c r="G798" i="2"/>
  <c r="C798" i="2"/>
  <c r="AA797" i="2"/>
  <c r="X797" i="2"/>
  <c r="W797" i="2"/>
  <c r="S797" i="2"/>
  <c r="O797" i="2"/>
  <c r="K797" i="2"/>
  <c r="G797" i="2"/>
  <c r="C797" i="2"/>
  <c r="AA796" i="2"/>
  <c r="W796" i="2"/>
  <c r="S796" i="2"/>
  <c r="O796" i="2"/>
  <c r="K796" i="2"/>
  <c r="G796" i="2"/>
  <c r="C796" i="2"/>
  <c r="AA795" i="2"/>
  <c r="W795" i="2"/>
  <c r="S795" i="2"/>
  <c r="O795" i="2"/>
  <c r="K795" i="2"/>
  <c r="G795" i="2"/>
  <c r="C795" i="2"/>
  <c r="AA794" i="2"/>
  <c r="W794" i="2"/>
  <c r="S794" i="2"/>
  <c r="O794" i="2"/>
  <c r="K794" i="2"/>
  <c r="G794" i="2"/>
  <c r="C794" i="2"/>
  <c r="AA793" i="2"/>
  <c r="W793" i="2"/>
  <c r="S793" i="2"/>
  <c r="O793" i="2"/>
  <c r="K793" i="2"/>
  <c r="G793" i="2"/>
  <c r="C793" i="2"/>
  <c r="AA792" i="2"/>
  <c r="W792" i="2"/>
  <c r="S792" i="2"/>
  <c r="O792" i="2"/>
  <c r="K792" i="2"/>
  <c r="G792" i="2"/>
  <c r="C792" i="2"/>
  <c r="AA791" i="2"/>
  <c r="W791" i="2"/>
  <c r="S791" i="2"/>
  <c r="O791" i="2"/>
  <c r="K791" i="2"/>
  <c r="G791" i="2"/>
  <c r="C791" i="2"/>
  <c r="AA790" i="2"/>
  <c r="W790" i="2"/>
  <c r="S790" i="2"/>
  <c r="O790" i="2"/>
  <c r="K790" i="2"/>
  <c r="G790" i="2"/>
  <c r="C790" i="2"/>
  <c r="AA789" i="2"/>
  <c r="W789" i="2"/>
  <c r="S789" i="2"/>
  <c r="O789" i="2"/>
  <c r="K789" i="2"/>
  <c r="G789" i="2"/>
  <c r="C789" i="2"/>
  <c r="AA788" i="2"/>
  <c r="W788" i="2"/>
  <c r="S788" i="2"/>
  <c r="O788" i="2"/>
  <c r="K788" i="2"/>
  <c r="G788" i="2"/>
  <c r="C788" i="2"/>
  <c r="AA787" i="2"/>
  <c r="W787" i="2"/>
  <c r="S787" i="2"/>
  <c r="O787" i="2"/>
  <c r="K787" i="2"/>
  <c r="G787" i="2"/>
  <c r="C787" i="2"/>
  <c r="AA786" i="2"/>
  <c r="W786" i="2"/>
  <c r="S786" i="2"/>
  <c r="O786" i="2"/>
  <c r="K786" i="2"/>
  <c r="G786" i="2"/>
  <c r="C786" i="2"/>
  <c r="AA785" i="2"/>
  <c r="W785" i="2"/>
  <c r="S785" i="2"/>
  <c r="O785" i="2"/>
  <c r="K785" i="2"/>
  <c r="G785" i="2"/>
  <c r="C785" i="2"/>
  <c r="AA784" i="2"/>
  <c r="W784" i="2"/>
  <c r="S784" i="2"/>
  <c r="O784" i="2"/>
  <c r="K784" i="2"/>
  <c r="G784" i="2"/>
  <c r="C784" i="2"/>
  <c r="AA783" i="2"/>
  <c r="W783" i="2"/>
  <c r="S783" i="2"/>
  <c r="O783" i="2"/>
  <c r="K783" i="2"/>
  <c r="G783" i="2"/>
  <c r="C783" i="2"/>
  <c r="AA782" i="2"/>
  <c r="W782" i="2"/>
  <c r="S782" i="2"/>
  <c r="O782" i="2"/>
  <c r="K782" i="2"/>
  <c r="G782" i="2"/>
  <c r="C782" i="2"/>
  <c r="AA781" i="2"/>
  <c r="W781" i="2"/>
  <c r="S781" i="2"/>
  <c r="O781" i="2"/>
  <c r="K781" i="2"/>
  <c r="G781" i="2"/>
  <c r="C781" i="2"/>
  <c r="AA780" i="2"/>
  <c r="W780" i="2"/>
  <c r="S780" i="2"/>
  <c r="O780" i="2"/>
  <c r="K780" i="2"/>
  <c r="G780" i="2"/>
  <c r="C780" i="2"/>
  <c r="AA779" i="2"/>
  <c r="W779" i="2"/>
  <c r="S779" i="2"/>
  <c r="O779" i="2"/>
  <c r="K779" i="2"/>
  <c r="G779" i="2"/>
  <c r="C779" i="2"/>
  <c r="AA778" i="2"/>
  <c r="W778" i="2"/>
  <c r="S778" i="2"/>
  <c r="O778" i="2"/>
  <c r="K778" i="2"/>
  <c r="G778" i="2"/>
  <c r="C778" i="2"/>
  <c r="AA777" i="2"/>
  <c r="W777" i="2"/>
  <c r="S777" i="2"/>
  <c r="O777" i="2"/>
  <c r="K777" i="2"/>
  <c r="G777" i="2"/>
  <c r="C777" i="2"/>
  <c r="AA776" i="2"/>
  <c r="W776" i="2"/>
  <c r="S776" i="2"/>
  <c r="O776" i="2"/>
  <c r="K776" i="2"/>
  <c r="G776" i="2"/>
  <c r="C776" i="2"/>
  <c r="AA775" i="2"/>
  <c r="W775" i="2"/>
  <c r="S775" i="2"/>
  <c r="O775" i="2"/>
  <c r="K775" i="2"/>
  <c r="G775" i="2"/>
  <c r="C775" i="2"/>
  <c r="AA774" i="2"/>
  <c r="W774" i="2"/>
  <c r="S774" i="2"/>
  <c r="O774" i="2"/>
  <c r="K774" i="2"/>
  <c r="G774" i="2"/>
  <c r="C774" i="2"/>
  <c r="AA773" i="2"/>
  <c r="W773" i="2"/>
  <c r="S773" i="2"/>
  <c r="O773" i="2"/>
  <c r="K773" i="2"/>
  <c r="G773" i="2"/>
  <c r="C773" i="2"/>
  <c r="AA772" i="2"/>
  <c r="W772" i="2"/>
  <c r="S772" i="2"/>
  <c r="O772" i="2"/>
  <c r="K772" i="2"/>
  <c r="G772" i="2"/>
  <c r="C772" i="2"/>
  <c r="AA771" i="2"/>
  <c r="W771" i="2"/>
  <c r="S771" i="2"/>
  <c r="O771" i="2"/>
  <c r="K771" i="2"/>
  <c r="G771" i="2"/>
  <c r="C771" i="2"/>
  <c r="AA770" i="2"/>
  <c r="W770" i="2"/>
  <c r="S770" i="2"/>
  <c r="O770" i="2"/>
  <c r="K770" i="2"/>
  <c r="G770" i="2"/>
  <c r="C770" i="2"/>
  <c r="AA769" i="2"/>
  <c r="W769" i="2"/>
  <c r="S769" i="2"/>
  <c r="O769" i="2"/>
  <c r="K769" i="2"/>
  <c r="G769" i="2"/>
  <c r="C769" i="2"/>
  <c r="AA768" i="2"/>
  <c r="W768" i="2"/>
  <c r="S768" i="2"/>
  <c r="O768" i="2"/>
  <c r="K768" i="2"/>
  <c r="G768" i="2"/>
  <c r="C768" i="2"/>
  <c r="AA767" i="2"/>
  <c r="W767" i="2"/>
  <c r="S767" i="2"/>
  <c r="O767" i="2"/>
  <c r="K767" i="2"/>
  <c r="G767" i="2"/>
  <c r="C767" i="2"/>
  <c r="AA766" i="2"/>
  <c r="W766" i="2"/>
  <c r="S766" i="2"/>
  <c r="O766" i="2"/>
  <c r="K766" i="2"/>
  <c r="G766" i="2"/>
  <c r="C766" i="2"/>
  <c r="AA765" i="2"/>
  <c r="W765" i="2"/>
  <c r="S765" i="2"/>
  <c r="O765" i="2"/>
  <c r="K765" i="2"/>
  <c r="G765" i="2"/>
  <c r="C765" i="2"/>
  <c r="AA764" i="2"/>
  <c r="W764" i="2"/>
  <c r="S764" i="2"/>
  <c r="O764" i="2"/>
  <c r="K764" i="2"/>
  <c r="G764" i="2"/>
  <c r="C764" i="2"/>
  <c r="AA763" i="2"/>
  <c r="W763" i="2"/>
  <c r="S763" i="2"/>
  <c r="P763" i="2"/>
  <c r="O763" i="2"/>
  <c r="K763" i="2"/>
  <c r="G763" i="2"/>
  <c r="C763" i="2"/>
  <c r="AA762" i="2"/>
  <c r="W762" i="2"/>
  <c r="S762" i="2"/>
  <c r="O762" i="2"/>
  <c r="K762" i="2"/>
  <c r="G762" i="2"/>
  <c r="C762" i="2"/>
  <c r="AA761" i="2"/>
  <c r="W761" i="2"/>
  <c r="S761" i="2"/>
  <c r="O761" i="2"/>
  <c r="K761" i="2"/>
  <c r="G761" i="2"/>
  <c r="C761" i="2"/>
  <c r="AA760" i="2"/>
  <c r="W760" i="2"/>
  <c r="S760" i="2"/>
  <c r="O760" i="2"/>
  <c r="K760" i="2"/>
  <c r="G760" i="2"/>
  <c r="C760" i="2"/>
  <c r="AA759" i="2"/>
  <c r="W759" i="2"/>
  <c r="S759" i="2"/>
  <c r="O759" i="2"/>
  <c r="K759" i="2"/>
  <c r="G759" i="2"/>
  <c r="C759" i="2"/>
  <c r="AA758" i="2"/>
  <c r="W758" i="2"/>
  <c r="S758" i="2"/>
  <c r="O758" i="2"/>
  <c r="K758" i="2"/>
  <c r="G758" i="2"/>
  <c r="C758" i="2"/>
  <c r="AA757" i="2"/>
  <c r="W757" i="2"/>
  <c r="S757" i="2"/>
  <c r="O757" i="2"/>
  <c r="K757" i="2"/>
  <c r="G757" i="2"/>
  <c r="C757" i="2"/>
  <c r="AA756" i="2"/>
  <c r="W756" i="2"/>
  <c r="S756" i="2"/>
  <c r="O756" i="2"/>
  <c r="K756" i="2"/>
  <c r="G756" i="2"/>
  <c r="C756" i="2"/>
  <c r="AA755" i="2"/>
  <c r="W755" i="2"/>
  <c r="S755" i="2"/>
  <c r="O755" i="2"/>
  <c r="L755" i="2"/>
  <c r="K755" i="2"/>
  <c r="G755" i="2"/>
  <c r="C755" i="2"/>
  <c r="AA754" i="2"/>
  <c r="W754" i="2"/>
  <c r="S754" i="2"/>
  <c r="O754" i="2"/>
  <c r="L754" i="2"/>
  <c r="K754" i="2"/>
  <c r="G754" i="2"/>
  <c r="C754" i="2"/>
  <c r="AA753" i="2"/>
  <c r="W753" i="2"/>
  <c r="S753" i="2"/>
  <c r="O753" i="2"/>
  <c r="K753" i="2"/>
  <c r="G753" i="2"/>
  <c r="C753" i="2"/>
  <c r="AA752" i="2"/>
  <c r="W752" i="2"/>
  <c r="S752" i="2"/>
  <c r="O752" i="2"/>
  <c r="K752" i="2"/>
  <c r="G752" i="2"/>
  <c r="C752" i="2"/>
  <c r="AA751" i="2"/>
  <c r="W751" i="2"/>
  <c r="S751" i="2"/>
  <c r="O751" i="2"/>
  <c r="K751" i="2"/>
  <c r="G751" i="2"/>
  <c r="C751" i="2"/>
  <c r="AA750" i="2"/>
  <c r="W750" i="2"/>
  <c r="S750" i="2"/>
  <c r="O750" i="2"/>
  <c r="K750" i="2"/>
  <c r="G750" i="2"/>
  <c r="C750" i="2"/>
  <c r="AA749" i="2"/>
  <c r="W749" i="2"/>
  <c r="X795" i="2" s="1"/>
  <c r="S749" i="2"/>
  <c r="O749" i="2"/>
  <c r="K749" i="2"/>
  <c r="G749" i="2"/>
  <c r="C749" i="2"/>
  <c r="AA748" i="2"/>
  <c r="W748" i="2"/>
  <c r="S748" i="2"/>
  <c r="O748" i="2"/>
  <c r="K748" i="2"/>
  <c r="G748" i="2"/>
  <c r="C748" i="2"/>
  <c r="AA747" i="2"/>
  <c r="W747" i="2"/>
  <c r="S747" i="2"/>
  <c r="O747" i="2"/>
  <c r="K747" i="2"/>
  <c r="G747" i="2"/>
  <c r="C747" i="2"/>
  <c r="AA746" i="2"/>
  <c r="W746" i="2"/>
  <c r="T746" i="2"/>
  <c r="S746" i="2"/>
  <c r="O746" i="2"/>
  <c r="K746" i="2"/>
  <c r="G746" i="2"/>
  <c r="C746" i="2"/>
  <c r="AA745" i="2"/>
  <c r="W745" i="2"/>
  <c r="X793" i="2" s="1"/>
  <c r="Y793" i="2" s="1"/>
  <c r="S745" i="2"/>
  <c r="O745" i="2"/>
  <c r="K745" i="2"/>
  <c r="G745" i="2"/>
  <c r="C745" i="2"/>
  <c r="AA744" i="2"/>
  <c r="W744" i="2"/>
  <c r="S744" i="2"/>
  <c r="O744" i="2"/>
  <c r="K744" i="2"/>
  <c r="G744" i="2"/>
  <c r="C744" i="2"/>
  <c r="AB743" i="2"/>
  <c r="AA743" i="2"/>
  <c r="W743" i="2"/>
  <c r="S743" i="2"/>
  <c r="O743" i="2"/>
  <c r="K743" i="2"/>
  <c r="G743" i="2"/>
  <c r="C743" i="2"/>
  <c r="AA742" i="2"/>
  <c r="W742" i="2"/>
  <c r="S742" i="2"/>
  <c r="P742" i="2"/>
  <c r="O742" i="2"/>
  <c r="K742" i="2"/>
  <c r="G742" i="2"/>
  <c r="C742" i="2"/>
  <c r="AA741" i="2"/>
  <c r="W741" i="2"/>
  <c r="T741" i="2"/>
  <c r="S741" i="2"/>
  <c r="O741" i="2"/>
  <c r="K741" i="2"/>
  <c r="G741" i="2"/>
  <c r="D741" i="2"/>
  <c r="C741" i="2"/>
  <c r="AA740" i="2"/>
  <c r="W740" i="2"/>
  <c r="S740" i="2"/>
  <c r="P740" i="2"/>
  <c r="O740" i="2"/>
  <c r="Q740" i="2" s="1"/>
  <c r="M740" i="2"/>
  <c r="K740" i="2"/>
  <c r="G740" i="2"/>
  <c r="C740" i="2"/>
  <c r="AB739" i="2"/>
  <c r="AC739" i="2" s="1"/>
  <c r="AA739" i="2"/>
  <c r="W739" i="2"/>
  <c r="S739" i="2"/>
  <c r="O739" i="2"/>
  <c r="L739" i="2"/>
  <c r="K739" i="2"/>
  <c r="I739" i="2"/>
  <c r="G739" i="2"/>
  <c r="C739" i="2"/>
  <c r="AA738" i="2"/>
  <c r="X738" i="2"/>
  <c r="Y738" i="2" s="1"/>
  <c r="W738" i="2"/>
  <c r="S738" i="2"/>
  <c r="O738" i="2"/>
  <c r="K738" i="2"/>
  <c r="H738" i="2"/>
  <c r="G738" i="2"/>
  <c r="E738" i="2"/>
  <c r="C738" i="2"/>
  <c r="AA737" i="2"/>
  <c r="W737" i="2"/>
  <c r="U737" i="2"/>
  <c r="T737" i="2"/>
  <c r="S737" i="2"/>
  <c r="O737" i="2"/>
  <c r="K737" i="2"/>
  <c r="G737" i="2"/>
  <c r="D737" i="2"/>
  <c r="C737" i="2"/>
  <c r="AA736" i="2"/>
  <c r="W736" i="2"/>
  <c r="S736" i="2"/>
  <c r="Q736" i="2"/>
  <c r="P736" i="2"/>
  <c r="O736" i="2"/>
  <c r="K736" i="2"/>
  <c r="G736" i="2"/>
  <c r="C736" i="2"/>
  <c r="AB735" i="2"/>
  <c r="AA735" i="2"/>
  <c r="AC735" i="2" s="1"/>
  <c r="Y735" i="2"/>
  <c r="W735" i="2"/>
  <c r="S735" i="2"/>
  <c r="O735" i="2"/>
  <c r="L735" i="2"/>
  <c r="M735" i="2" s="1"/>
  <c r="K735" i="2"/>
  <c r="G735" i="2"/>
  <c r="C735" i="2"/>
  <c r="AA734" i="2"/>
  <c r="X734" i="2"/>
  <c r="W734" i="2"/>
  <c r="U734" i="2"/>
  <c r="S734" i="2"/>
  <c r="O734" i="2"/>
  <c r="K734" i="2"/>
  <c r="H734" i="2"/>
  <c r="I734" i="2" s="1"/>
  <c r="G734" i="2"/>
  <c r="C734" i="2"/>
  <c r="AA733" i="2"/>
  <c r="W733" i="2"/>
  <c r="T733" i="2"/>
  <c r="S733" i="2"/>
  <c r="Q733" i="2"/>
  <c r="O733" i="2"/>
  <c r="K733" i="2"/>
  <c r="G733" i="2"/>
  <c r="D733" i="2"/>
  <c r="E733" i="2" s="1"/>
  <c r="C733" i="2"/>
  <c r="AA732" i="2"/>
  <c r="W732" i="2"/>
  <c r="S732" i="2"/>
  <c r="P732" i="2"/>
  <c r="O732" i="2"/>
  <c r="K732" i="2"/>
  <c r="G732" i="2"/>
  <c r="C732" i="2"/>
  <c r="AB731" i="2"/>
  <c r="AC731" i="2" s="1"/>
  <c r="AA731" i="2"/>
  <c r="W731" i="2"/>
  <c r="S731" i="2"/>
  <c r="O731" i="2"/>
  <c r="L731" i="2"/>
  <c r="K731" i="2"/>
  <c r="M731" i="2" s="1"/>
  <c r="I731" i="2"/>
  <c r="G731" i="2"/>
  <c r="C731" i="2"/>
  <c r="AA730" i="2"/>
  <c r="X730" i="2"/>
  <c r="Y730" i="2" s="1"/>
  <c r="W730" i="2"/>
  <c r="S730" i="2"/>
  <c r="O730" i="2"/>
  <c r="K730" i="2"/>
  <c r="H730" i="2"/>
  <c r="G730" i="2"/>
  <c r="E730" i="2"/>
  <c r="C730" i="2"/>
  <c r="AA729" i="2"/>
  <c r="W729" i="2"/>
  <c r="T729" i="2"/>
  <c r="U729" i="2" s="1"/>
  <c r="S729" i="2"/>
  <c r="O729" i="2"/>
  <c r="K729" i="2"/>
  <c r="G729" i="2"/>
  <c r="D729" i="2"/>
  <c r="C729" i="2"/>
  <c r="AC728" i="2"/>
  <c r="AA728" i="2"/>
  <c r="W728" i="2"/>
  <c r="S728" i="2"/>
  <c r="P728" i="2"/>
  <c r="Q728" i="2" s="1"/>
  <c r="O728" i="2"/>
  <c r="K728" i="2"/>
  <c r="G728" i="2"/>
  <c r="C728" i="2"/>
  <c r="AB727" i="2"/>
  <c r="AA727" i="2"/>
  <c r="W727" i="2"/>
  <c r="S727" i="2"/>
  <c r="O727" i="2"/>
  <c r="L727" i="2"/>
  <c r="M727" i="2" s="1"/>
  <c r="K727" i="2"/>
  <c r="G727" i="2"/>
  <c r="C727" i="2"/>
  <c r="AA726" i="2"/>
  <c r="X726" i="2"/>
  <c r="W726" i="2"/>
  <c r="U726" i="2"/>
  <c r="S726" i="2"/>
  <c r="O726" i="2"/>
  <c r="K726" i="2"/>
  <c r="H726" i="2"/>
  <c r="I726" i="2" s="1"/>
  <c r="G726" i="2"/>
  <c r="C726" i="2"/>
  <c r="AA725" i="2"/>
  <c r="W725" i="2"/>
  <c r="T725" i="2"/>
  <c r="S725" i="2"/>
  <c r="Q725" i="2"/>
  <c r="O725" i="2"/>
  <c r="K725" i="2"/>
  <c r="G725" i="2"/>
  <c r="D725" i="2"/>
  <c r="E725" i="2" s="1"/>
  <c r="C725" i="2"/>
  <c r="AA724" i="2"/>
  <c r="W724" i="2"/>
  <c r="S724" i="2"/>
  <c r="P724" i="2"/>
  <c r="O724" i="2"/>
  <c r="M724" i="2"/>
  <c r="K724" i="2"/>
  <c r="G724" i="2"/>
  <c r="C724" i="2"/>
  <c r="AB723" i="2"/>
  <c r="AC723" i="2" s="1"/>
  <c r="AA723" i="2"/>
  <c r="W723" i="2"/>
  <c r="S723" i="2"/>
  <c r="O723" i="2"/>
  <c r="L723" i="2"/>
  <c r="K723" i="2"/>
  <c r="G723" i="2"/>
  <c r="C723" i="2"/>
  <c r="AA722" i="2"/>
  <c r="X722" i="2"/>
  <c r="Y722" i="2" s="1"/>
  <c r="W722" i="2"/>
  <c r="S722" i="2"/>
  <c r="O722" i="2"/>
  <c r="K722" i="2"/>
  <c r="H722" i="2"/>
  <c r="G722" i="2"/>
  <c r="I722" i="2" s="1"/>
  <c r="E722" i="2"/>
  <c r="C722" i="2"/>
  <c r="AA721" i="2"/>
  <c r="W721" i="2"/>
  <c r="T721" i="2"/>
  <c r="U721" i="2" s="1"/>
  <c r="S721" i="2"/>
  <c r="O721" i="2"/>
  <c r="K721" i="2"/>
  <c r="G721" i="2"/>
  <c r="D721" i="2"/>
  <c r="C721" i="2"/>
  <c r="AC720" i="2"/>
  <c r="AA720" i="2"/>
  <c r="W720" i="2"/>
  <c r="S720" i="2"/>
  <c r="P720" i="2"/>
  <c r="Q720" i="2" s="1"/>
  <c r="O720" i="2"/>
  <c r="K720" i="2"/>
  <c r="G720" i="2"/>
  <c r="C720" i="2"/>
  <c r="AB719" i="2"/>
  <c r="AA719" i="2"/>
  <c r="Y719" i="2"/>
  <c r="W719" i="2"/>
  <c r="S719" i="2"/>
  <c r="O719" i="2"/>
  <c r="L719" i="2"/>
  <c r="M719" i="2" s="1"/>
  <c r="K719" i="2"/>
  <c r="G719" i="2"/>
  <c r="C719" i="2"/>
  <c r="AA718" i="2"/>
  <c r="X718" i="2"/>
  <c r="W718" i="2"/>
  <c r="S718" i="2"/>
  <c r="O718" i="2"/>
  <c r="K718" i="2"/>
  <c r="L765" i="2" s="1"/>
  <c r="I718" i="2"/>
  <c r="H718" i="2"/>
  <c r="G718" i="2"/>
  <c r="C718" i="2"/>
  <c r="AA717" i="2"/>
  <c r="W717" i="2"/>
  <c r="T717" i="2"/>
  <c r="S717" i="2"/>
  <c r="T765" i="2" s="1"/>
  <c r="U765" i="2" s="1"/>
  <c r="Q717" i="2"/>
  <c r="O717" i="2"/>
  <c r="K717" i="2"/>
  <c r="G717" i="2"/>
  <c r="D717" i="2"/>
  <c r="E717" i="2" s="1"/>
  <c r="C717" i="2"/>
  <c r="AA716" i="2"/>
  <c r="W716" i="2"/>
  <c r="S716" i="2"/>
  <c r="P716" i="2"/>
  <c r="O716" i="2"/>
  <c r="M716" i="2"/>
  <c r="K716" i="2"/>
  <c r="G716" i="2"/>
  <c r="C716" i="2"/>
  <c r="AB715" i="2"/>
  <c r="AC715" i="2" s="1"/>
  <c r="AA715" i="2"/>
  <c r="W715" i="2"/>
  <c r="S715" i="2"/>
  <c r="O715" i="2"/>
  <c r="L715" i="2"/>
  <c r="K715" i="2"/>
  <c r="I715" i="2"/>
  <c r="G715" i="2"/>
  <c r="C715" i="2"/>
  <c r="AA714" i="2"/>
  <c r="X714" i="2"/>
  <c r="Y714" i="2" s="1"/>
  <c r="W714" i="2"/>
  <c r="S714" i="2"/>
  <c r="O714" i="2"/>
  <c r="K714" i="2"/>
  <c r="H714" i="2"/>
  <c r="G714" i="2"/>
  <c r="C714" i="2"/>
  <c r="AA713" i="2"/>
  <c r="W713" i="2"/>
  <c r="U713" i="2"/>
  <c r="T713" i="2"/>
  <c r="S713" i="2"/>
  <c r="O713" i="2"/>
  <c r="K713" i="2"/>
  <c r="G713" i="2"/>
  <c r="D713" i="2"/>
  <c r="C713" i="2"/>
  <c r="AC712" i="2"/>
  <c r="AA712" i="2"/>
  <c r="W712" i="2"/>
  <c r="S712" i="2"/>
  <c r="P712" i="2"/>
  <c r="Q712" i="2" s="1"/>
  <c r="O712" i="2"/>
  <c r="K712" i="2"/>
  <c r="L760" i="2" s="1"/>
  <c r="G712" i="2"/>
  <c r="C712" i="2"/>
  <c r="AB711" i="2"/>
  <c r="AA711" i="2"/>
  <c r="Y711" i="2"/>
  <c r="W711" i="2"/>
  <c r="S711" i="2"/>
  <c r="O711" i="2"/>
  <c r="L711" i="2"/>
  <c r="M711" i="2" s="1"/>
  <c r="K711" i="2"/>
  <c r="G711" i="2"/>
  <c r="C711" i="2"/>
  <c r="AA710" i="2"/>
  <c r="X710" i="2"/>
  <c r="W710" i="2"/>
  <c r="U710" i="2"/>
  <c r="S710" i="2"/>
  <c r="O710" i="2"/>
  <c r="K710" i="2"/>
  <c r="H710" i="2"/>
  <c r="I710" i="2" s="1"/>
  <c r="G710" i="2"/>
  <c r="C710" i="2"/>
  <c r="AA709" i="2"/>
  <c r="W709" i="2"/>
  <c r="T709" i="2"/>
  <c r="S709" i="2"/>
  <c r="O709" i="2"/>
  <c r="K709" i="2"/>
  <c r="G709" i="2"/>
  <c r="H756" i="2" s="1"/>
  <c r="D709" i="2"/>
  <c r="E709" i="2" s="1"/>
  <c r="C709" i="2"/>
  <c r="AA708" i="2"/>
  <c r="W708" i="2"/>
  <c r="S708" i="2"/>
  <c r="P708" i="2"/>
  <c r="O708" i="2"/>
  <c r="P756" i="2" s="1"/>
  <c r="Q756" i="2" s="1"/>
  <c r="M708" i="2"/>
  <c r="K708" i="2"/>
  <c r="G708" i="2"/>
  <c r="C708" i="2"/>
  <c r="AB707" i="2"/>
  <c r="AC707" i="2" s="1"/>
  <c r="AA707" i="2"/>
  <c r="W707" i="2"/>
  <c r="S707" i="2"/>
  <c r="O707" i="2"/>
  <c r="L707" i="2"/>
  <c r="K707" i="2"/>
  <c r="I707" i="2"/>
  <c r="G707" i="2"/>
  <c r="C707" i="2"/>
  <c r="AA706" i="2"/>
  <c r="X706" i="2"/>
  <c r="Y706" i="2" s="1"/>
  <c r="W706" i="2"/>
  <c r="S706" i="2"/>
  <c r="O706" i="2"/>
  <c r="K706" i="2"/>
  <c r="H706" i="2"/>
  <c r="G706" i="2"/>
  <c r="E706" i="2"/>
  <c r="C706" i="2"/>
  <c r="AA705" i="2"/>
  <c r="W705" i="2"/>
  <c r="T705" i="2"/>
  <c r="U705" i="2" s="1"/>
  <c r="S705" i="2"/>
  <c r="O705" i="2"/>
  <c r="K705" i="2"/>
  <c r="G705" i="2"/>
  <c r="D705" i="2"/>
  <c r="C705" i="2"/>
  <c r="AA704" i="2"/>
  <c r="W704" i="2"/>
  <c r="S704" i="2"/>
  <c r="T752" i="2" s="1"/>
  <c r="Q704" i="2"/>
  <c r="P704" i="2"/>
  <c r="O704" i="2"/>
  <c r="K704" i="2"/>
  <c r="G704" i="2"/>
  <c r="C704" i="2"/>
  <c r="AB703" i="2"/>
  <c r="AA703" i="2"/>
  <c r="AB751" i="2" s="1"/>
  <c r="AC751" i="2" s="1"/>
  <c r="Y703" i="2"/>
  <c r="W703" i="2"/>
  <c r="S703" i="2"/>
  <c r="O703" i="2"/>
  <c r="L703" i="2"/>
  <c r="M703" i="2" s="1"/>
  <c r="K703" i="2"/>
  <c r="G703" i="2"/>
  <c r="C703" i="2"/>
  <c r="AA702" i="2"/>
  <c r="X702" i="2"/>
  <c r="W702" i="2"/>
  <c r="U702" i="2"/>
  <c r="S702" i="2"/>
  <c r="O702" i="2"/>
  <c r="K702" i="2"/>
  <c r="H702" i="2"/>
  <c r="I702" i="2" s="1"/>
  <c r="G702" i="2"/>
  <c r="C702" i="2"/>
  <c r="AA701" i="2"/>
  <c r="W701" i="2"/>
  <c r="T701" i="2"/>
  <c r="S701" i="2"/>
  <c r="Q701" i="2"/>
  <c r="O701" i="2"/>
  <c r="P747" i="2" s="1"/>
  <c r="K701" i="2"/>
  <c r="G701" i="2"/>
  <c r="D701" i="2"/>
  <c r="E701" i="2" s="1"/>
  <c r="C701" i="2"/>
  <c r="AA700" i="2"/>
  <c r="W700" i="2"/>
  <c r="S700" i="2"/>
  <c r="P700" i="2"/>
  <c r="O700" i="2"/>
  <c r="K700" i="2"/>
  <c r="G700" i="2"/>
  <c r="C700" i="2"/>
  <c r="AC699" i="2"/>
  <c r="AB699" i="2"/>
  <c r="AA699" i="2"/>
  <c r="W699" i="2"/>
  <c r="S699" i="2"/>
  <c r="O699" i="2"/>
  <c r="L699" i="2"/>
  <c r="K699" i="2"/>
  <c r="L747" i="2" s="1"/>
  <c r="M747" i="2" s="1"/>
  <c r="I699" i="2"/>
  <c r="G699" i="2"/>
  <c r="C699" i="2"/>
  <c r="AA698" i="2"/>
  <c r="X698" i="2"/>
  <c r="Y698" i="2" s="1"/>
  <c r="W698" i="2"/>
  <c r="S698" i="2"/>
  <c r="O698" i="2"/>
  <c r="K698" i="2"/>
  <c r="H698" i="2"/>
  <c r="G698" i="2"/>
  <c r="E698" i="2"/>
  <c r="C698" i="2"/>
  <c r="AA697" i="2"/>
  <c r="W697" i="2"/>
  <c r="T697" i="2"/>
  <c r="U697" i="2" s="1"/>
  <c r="S697" i="2"/>
  <c r="O697" i="2"/>
  <c r="K697" i="2"/>
  <c r="G697" i="2"/>
  <c r="D697" i="2"/>
  <c r="C697" i="2"/>
  <c r="AC696" i="2"/>
  <c r="AA696" i="2"/>
  <c r="W696" i="2"/>
  <c r="S696" i="2"/>
  <c r="P696" i="2"/>
  <c r="Q696" i="2" s="1"/>
  <c r="O696" i="2"/>
  <c r="K696" i="2"/>
  <c r="G696" i="2"/>
  <c r="C696" i="2"/>
  <c r="AB695" i="2"/>
  <c r="AA695" i="2"/>
  <c r="W695" i="2"/>
  <c r="S695" i="2"/>
  <c r="O695" i="2"/>
  <c r="P743" i="2" s="1"/>
  <c r="L695" i="2"/>
  <c r="M695" i="2" s="1"/>
  <c r="K695" i="2"/>
  <c r="G695" i="2"/>
  <c r="C695" i="2"/>
  <c r="AA694" i="2"/>
  <c r="X694" i="2"/>
  <c r="W694" i="2"/>
  <c r="X742" i="2" s="1"/>
  <c r="Y742" i="2" s="1"/>
  <c r="U694" i="2"/>
  <c r="S694" i="2"/>
  <c r="O694" i="2"/>
  <c r="K694" i="2"/>
  <c r="H694" i="2"/>
  <c r="I694" i="2" s="1"/>
  <c r="G694" i="2"/>
  <c r="C694" i="2"/>
  <c r="D742" i="2" s="1"/>
  <c r="AA693" i="2"/>
  <c r="W693" i="2"/>
  <c r="T693" i="2"/>
  <c r="S693" i="2"/>
  <c r="Q693" i="2"/>
  <c r="O693" i="2"/>
  <c r="K693" i="2"/>
  <c r="G693" i="2"/>
  <c r="D693" i="2"/>
  <c r="E693" i="2" s="1"/>
  <c r="C693" i="2"/>
  <c r="AA692" i="2"/>
  <c r="W692" i="2"/>
  <c r="S692" i="2"/>
  <c r="P692" i="2"/>
  <c r="O692" i="2"/>
  <c r="M692" i="2"/>
  <c r="K692" i="2"/>
  <c r="L740" i="2" s="1"/>
  <c r="G692" i="2"/>
  <c r="C692" i="2"/>
  <c r="AB691" i="2"/>
  <c r="AC691" i="2" s="1"/>
  <c r="AA691" i="2"/>
  <c r="W691" i="2"/>
  <c r="S691" i="2"/>
  <c r="O691" i="2"/>
  <c r="L691" i="2"/>
  <c r="K691" i="2"/>
  <c r="G691" i="2"/>
  <c r="H739" i="2" s="1"/>
  <c r="C691" i="2"/>
  <c r="AA690" i="2"/>
  <c r="X690" i="2"/>
  <c r="Y690" i="2" s="1"/>
  <c r="W690" i="2"/>
  <c r="S690" i="2"/>
  <c r="O690" i="2"/>
  <c r="K690" i="2"/>
  <c r="H690" i="2"/>
  <c r="G690" i="2"/>
  <c r="I690" i="2" s="1"/>
  <c r="E690" i="2"/>
  <c r="C690" i="2"/>
  <c r="D738" i="2" s="1"/>
  <c r="AA689" i="2"/>
  <c r="W689" i="2"/>
  <c r="T689" i="2"/>
  <c r="U689" i="2" s="1"/>
  <c r="S689" i="2"/>
  <c r="O689" i="2"/>
  <c r="K689" i="2"/>
  <c r="G689" i="2"/>
  <c r="D689" i="2"/>
  <c r="C689" i="2"/>
  <c r="AC688" i="2"/>
  <c r="AA688" i="2"/>
  <c r="AB736" i="2" s="1"/>
  <c r="AC736" i="2" s="1"/>
  <c r="W688" i="2"/>
  <c r="S688" i="2"/>
  <c r="P688" i="2"/>
  <c r="Q688" i="2" s="1"/>
  <c r="O688" i="2"/>
  <c r="K688" i="2"/>
  <c r="G688" i="2"/>
  <c r="C688" i="2"/>
  <c r="AB687" i="2"/>
  <c r="AA687" i="2"/>
  <c r="Y687" i="2"/>
  <c r="W687" i="2"/>
  <c r="X735" i="2" s="1"/>
  <c r="S687" i="2"/>
  <c r="O687" i="2"/>
  <c r="L687" i="2"/>
  <c r="M687" i="2" s="1"/>
  <c r="K687" i="2"/>
  <c r="G687" i="2"/>
  <c r="C687" i="2"/>
  <c r="AA686" i="2"/>
  <c r="X686" i="2"/>
  <c r="W686" i="2"/>
  <c r="S686" i="2"/>
  <c r="T734" i="2" s="1"/>
  <c r="O686" i="2"/>
  <c r="K686" i="2"/>
  <c r="H686" i="2"/>
  <c r="I686" i="2" s="1"/>
  <c r="G686" i="2"/>
  <c r="C686" i="2"/>
  <c r="AA685" i="2"/>
  <c r="W685" i="2"/>
  <c r="T685" i="2"/>
  <c r="S685" i="2"/>
  <c r="U685" i="2" s="1"/>
  <c r="Q685" i="2"/>
  <c r="O685" i="2"/>
  <c r="P733" i="2" s="1"/>
  <c r="K685" i="2"/>
  <c r="G685" i="2"/>
  <c r="D685" i="2"/>
  <c r="E685" i="2" s="1"/>
  <c r="C685" i="2"/>
  <c r="AA684" i="2"/>
  <c r="W684" i="2"/>
  <c r="S684" i="2"/>
  <c r="P684" i="2"/>
  <c r="O684" i="2"/>
  <c r="M684" i="2"/>
  <c r="K684" i="2"/>
  <c r="L732" i="2" s="1"/>
  <c r="M732" i="2" s="1"/>
  <c r="G684" i="2"/>
  <c r="C684" i="2"/>
  <c r="AB683" i="2"/>
  <c r="AC683" i="2" s="1"/>
  <c r="AA683" i="2"/>
  <c r="W683" i="2"/>
  <c r="S683" i="2"/>
  <c r="O683" i="2"/>
  <c r="L683" i="2"/>
  <c r="K683" i="2"/>
  <c r="I683" i="2"/>
  <c r="G683" i="2"/>
  <c r="H731" i="2" s="1"/>
  <c r="C683" i="2"/>
  <c r="AA682" i="2"/>
  <c r="X682" i="2"/>
  <c r="Y682" i="2" s="1"/>
  <c r="W682" i="2"/>
  <c r="S682" i="2"/>
  <c r="O682" i="2"/>
  <c r="K682" i="2"/>
  <c r="H682" i="2"/>
  <c r="G682" i="2"/>
  <c r="C682" i="2"/>
  <c r="D730" i="2" s="1"/>
  <c r="AA681" i="2"/>
  <c r="W681" i="2"/>
  <c r="T681" i="2"/>
  <c r="U681" i="2" s="1"/>
  <c r="S681" i="2"/>
  <c r="O681" i="2"/>
  <c r="K681" i="2"/>
  <c r="G681" i="2"/>
  <c r="D681" i="2"/>
  <c r="C681" i="2"/>
  <c r="E681" i="2" s="1"/>
  <c r="AC680" i="2"/>
  <c r="AA680" i="2"/>
  <c r="AB728" i="2" s="1"/>
  <c r="W680" i="2"/>
  <c r="S680" i="2"/>
  <c r="P680" i="2"/>
  <c r="Q680" i="2" s="1"/>
  <c r="O680" i="2"/>
  <c r="K680" i="2"/>
  <c r="G680" i="2"/>
  <c r="C680" i="2"/>
  <c r="AB679" i="2"/>
  <c r="AA679" i="2"/>
  <c r="Y679" i="2"/>
  <c r="W679" i="2"/>
  <c r="X727" i="2" s="1"/>
  <c r="Y727" i="2" s="1"/>
  <c r="S679" i="2"/>
  <c r="O679" i="2"/>
  <c r="L679" i="2"/>
  <c r="M679" i="2" s="1"/>
  <c r="K679" i="2"/>
  <c r="G679" i="2"/>
  <c r="C679" i="2"/>
  <c r="AA678" i="2"/>
  <c r="X678" i="2"/>
  <c r="W678" i="2"/>
  <c r="U678" i="2"/>
  <c r="S678" i="2"/>
  <c r="T726" i="2" s="1"/>
  <c r="O678" i="2"/>
  <c r="K678" i="2"/>
  <c r="H678" i="2"/>
  <c r="I678" i="2" s="1"/>
  <c r="G678" i="2"/>
  <c r="C678" i="2"/>
  <c r="AA677" i="2"/>
  <c r="W677" i="2"/>
  <c r="T677" i="2"/>
  <c r="S677" i="2"/>
  <c r="O677" i="2"/>
  <c r="P725" i="2" s="1"/>
  <c r="K677" i="2"/>
  <c r="G677" i="2"/>
  <c r="D677" i="2"/>
  <c r="E677" i="2" s="1"/>
  <c r="C677" i="2"/>
  <c r="AA676" i="2"/>
  <c r="W676" i="2"/>
  <c r="S676" i="2"/>
  <c r="P676" i="2"/>
  <c r="O676" i="2"/>
  <c r="Q676" i="2" s="1"/>
  <c r="M676" i="2"/>
  <c r="K676" i="2"/>
  <c r="L724" i="2" s="1"/>
  <c r="G676" i="2"/>
  <c r="C676" i="2"/>
  <c r="AB675" i="2"/>
  <c r="AC675" i="2" s="1"/>
  <c r="AA675" i="2"/>
  <c r="W675" i="2"/>
  <c r="S675" i="2"/>
  <c r="O675" i="2"/>
  <c r="L675" i="2"/>
  <c r="K675" i="2"/>
  <c r="I675" i="2"/>
  <c r="G675" i="2"/>
  <c r="H723" i="2" s="1"/>
  <c r="I723" i="2" s="1"/>
  <c r="C675" i="2"/>
  <c r="AA674" i="2"/>
  <c r="X674" i="2"/>
  <c r="Y674" i="2" s="1"/>
  <c r="W674" i="2"/>
  <c r="S674" i="2"/>
  <c r="O674" i="2"/>
  <c r="K674" i="2"/>
  <c r="H674" i="2"/>
  <c r="G674" i="2"/>
  <c r="E674" i="2"/>
  <c r="C674" i="2"/>
  <c r="D722" i="2" s="1"/>
  <c r="AA673" i="2"/>
  <c r="W673" i="2"/>
  <c r="T673" i="2"/>
  <c r="U673" i="2" s="1"/>
  <c r="S673" i="2"/>
  <c r="O673" i="2"/>
  <c r="K673" i="2"/>
  <c r="G673" i="2"/>
  <c r="D673" i="2"/>
  <c r="C673" i="2"/>
  <c r="AA672" i="2"/>
  <c r="AB720" i="2" s="1"/>
  <c r="W672" i="2"/>
  <c r="S672" i="2"/>
  <c r="P672" i="2"/>
  <c r="Q672" i="2" s="1"/>
  <c r="O672" i="2"/>
  <c r="K672" i="2"/>
  <c r="G672" i="2"/>
  <c r="C672" i="2"/>
  <c r="AB671" i="2"/>
  <c r="AA671" i="2"/>
  <c r="AC671" i="2" s="1"/>
  <c r="Y671" i="2"/>
  <c r="W671" i="2"/>
  <c r="X719" i="2" s="1"/>
  <c r="S671" i="2"/>
  <c r="O671" i="2"/>
  <c r="L671" i="2"/>
  <c r="M671" i="2" s="1"/>
  <c r="K671" i="2"/>
  <c r="G671" i="2"/>
  <c r="C671" i="2"/>
  <c r="AA670" i="2"/>
  <c r="X670" i="2"/>
  <c r="W670" i="2"/>
  <c r="U670" i="2"/>
  <c r="S670" i="2"/>
  <c r="T718" i="2" s="1"/>
  <c r="U718" i="2" s="1"/>
  <c r="O670" i="2"/>
  <c r="K670" i="2"/>
  <c r="H670" i="2"/>
  <c r="I670" i="2" s="1"/>
  <c r="G670" i="2"/>
  <c r="C670" i="2"/>
  <c r="AA669" i="2"/>
  <c r="W669" i="2"/>
  <c r="T669" i="2"/>
  <c r="S669" i="2"/>
  <c r="Q669" i="2"/>
  <c r="O669" i="2"/>
  <c r="P717" i="2" s="1"/>
  <c r="K669" i="2"/>
  <c r="G669" i="2"/>
  <c r="D669" i="2"/>
  <c r="E669" i="2" s="1"/>
  <c r="C669" i="2"/>
  <c r="AA668" i="2"/>
  <c r="W668" i="2"/>
  <c r="S668" i="2"/>
  <c r="P668" i="2"/>
  <c r="O668" i="2"/>
  <c r="K668" i="2"/>
  <c r="L716" i="2" s="1"/>
  <c r="G668" i="2"/>
  <c r="C668" i="2"/>
  <c r="AB667" i="2"/>
  <c r="AC667" i="2" s="1"/>
  <c r="AA667" i="2"/>
  <c r="W667" i="2"/>
  <c r="S667" i="2"/>
  <c r="O667" i="2"/>
  <c r="L667" i="2"/>
  <c r="K667" i="2"/>
  <c r="M667" i="2" s="1"/>
  <c r="I667" i="2"/>
  <c r="G667" i="2"/>
  <c r="H715" i="2" s="1"/>
  <c r="C667" i="2"/>
  <c r="AA666" i="2"/>
  <c r="X666" i="2"/>
  <c r="Y666" i="2" s="1"/>
  <c r="W666" i="2"/>
  <c r="S666" i="2"/>
  <c r="O666" i="2"/>
  <c r="K666" i="2"/>
  <c r="H666" i="2"/>
  <c r="G666" i="2"/>
  <c r="E666" i="2"/>
  <c r="C666" i="2"/>
  <c r="D714" i="2" s="1"/>
  <c r="E714" i="2" s="1"/>
  <c r="AA665" i="2"/>
  <c r="W665" i="2"/>
  <c r="T665" i="2"/>
  <c r="U665" i="2" s="1"/>
  <c r="S665" i="2"/>
  <c r="O665" i="2"/>
  <c r="K665" i="2"/>
  <c r="G665" i="2"/>
  <c r="D665" i="2"/>
  <c r="C665" i="2"/>
  <c r="AC664" i="2"/>
  <c r="AA664" i="2"/>
  <c r="AB712" i="2" s="1"/>
  <c r="W664" i="2"/>
  <c r="S664" i="2"/>
  <c r="P664" i="2"/>
  <c r="Q664" i="2" s="1"/>
  <c r="O664" i="2"/>
  <c r="K664" i="2"/>
  <c r="G664" i="2"/>
  <c r="C664" i="2"/>
  <c r="AB663" i="2"/>
  <c r="AA663" i="2"/>
  <c r="W663" i="2"/>
  <c r="X711" i="2" s="1"/>
  <c r="S663" i="2"/>
  <c r="O663" i="2"/>
  <c r="M663" i="2"/>
  <c r="L663" i="2"/>
  <c r="K663" i="2"/>
  <c r="G663" i="2"/>
  <c r="C663" i="2"/>
  <c r="AA662" i="2"/>
  <c r="X662" i="2"/>
  <c r="W662" i="2"/>
  <c r="Y662" i="2" s="1"/>
  <c r="U662" i="2"/>
  <c r="S662" i="2"/>
  <c r="T710" i="2" s="1"/>
  <c r="O662" i="2"/>
  <c r="K662" i="2"/>
  <c r="H662" i="2"/>
  <c r="I662" i="2" s="1"/>
  <c r="G662" i="2"/>
  <c r="C662" i="2"/>
  <c r="AA661" i="2"/>
  <c r="Y661" i="2"/>
  <c r="W661" i="2"/>
  <c r="T661" i="2"/>
  <c r="S661" i="2"/>
  <c r="Q661" i="2"/>
  <c r="O661" i="2"/>
  <c r="P709" i="2" s="1"/>
  <c r="Q709" i="2" s="1"/>
  <c r="K661" i="2"/>
  <c r="I661" i="2"/>
  <c r="G661" i="2"/>
  <c r="D661" i="2"/>
  <c r="E661" i="2" s="1"/>
  <c r="C661" i="2"/>
  <c r="AA660" i="2"/>
  <c r="W660" i="2"/>
  <c r="U660" i="2"/>
  <c r="S660" i="2"/>
  <c r="P660" i="2"/>
  <c r="O660" i="2"/>
  <c r="M660" i="2"/>
  <c r="K660" i="2"/>
  <c r="L708" i="2" s="1"/>
  <c r="G660" i="2"/>
  <c r="E660" i="2"/>
  <c r="C660" i="2"/>
  <c r="AB659" i="2"/>
  <c r="AC659" i="2" s="1"/>
  <c r="AA659" i="2"/>
  <c r="W659" i="2"/>
  <c r="S659" i="2"/>
  <c r="Q659" i="2"/>
  <c r="O659" i="2"/>
  <c r="L659" i="2"/>
  <c r="K659" i="2"/>
  <c r="G659" i="2"/>
  <c r="H707" i="2" s="1"/>
  <c r="C659" i="2"/>
  <c r="AC658" i="2"/>
  <c r="AA658" i="2"/>
  <c r="Y658" i="2"/>
  <c r="X658" i="2"/>
  <c r="W658" i="2"/>
  <c r="S658" i="2"/>
  <c r="O658" i="2"/>
  <c r="M658" i="2"/>
  <c r="K658" i="2"/>
  <c r="H658" i="2"/>
  <c r="G658" i="2"/>
  <c r="E658" i="2"/>
  <c r="C658" i="2"/>
  <c r="D706" i="2" s="1"/>
  <c r="AA657" i="2"/>
  <c r="Y657" i="2"/>
  <c r="W657" i="2"/>
  <c r="T657" i="2"/>
  <c r="U657" i="2" s="1"/>
  <c r="S657" i="2"/>
  <c r="O657" i="2"/>
  <c r="K657" i="2"/>
  <c r="I657" i="2"/>
  <c r="G657" i="2"/>
  <c r="D657" i="2"/>
  <c r="C657" i="2"/>
  <c r="AC656" i="2"/>
  <c r="AA656" i="2"/>
  <c r="AB704" i="2" s="1"/>
  <c r="AC704" i="2" s="1"/>
  <c r="W656" i="2"/>
  <c r="U656" i="2"/>
  <c r="S656" i="2"/>
  <c r="P656" i="2"/>
  <c r="Q656" i="2" s="1"/>
  <c r="O656" i="2"/>
  <c r="K656" i="2"/>
  <c r="G656" i="2"/>
  <c r="E656" i="2"/>
  <c r="C656" i="2"/>
  <c r="AB655" i="2"/>
  <c r="AA655" i="2"/>
  <c r="Y655" i="2"/>
  <c r="W655" i="2"/>
  <c r="X703" i="2" s="1"/>
  <c r="S655" i="2"/>
  <c r="Q655" i="2"/>
  <c r="O655" i="2"/>
  <c r="L655" i="2"/>
  <c r="M655" i="2" s="1"/>
  <c r="K655" i="2"/>
  <c r="G655" i="2"/>
  <c r="C655" i="2"/>
  <c r="AC654" i="2"/>
  <c r="AA654" i="2"/>
  <c r="X654" i="2"/>
  <c r="W654" i="2"/>
  <c r="S654" i="2"/>
  <c r="T702" i="2" s="1"/>
  <c r="O654" i="2"/>
  <c r="M654" i="2"/>
  <c r="K654" i="2"/>
  <c r="H654" i="2"/>
  <c r="I654" i="2" s="1"/>
  <c r="G654" i="2"/>
  <c r="C654" i="2"/>
  <c r="AA653" i="2"/>
  <c r="Y653" i="2"/>
  <c r="W653" i="2"/>
  <c r="T653" i="2"/>
  <c r="S653" i="2"/>
  <c r="Q653" i="2"/>
  <c r="O653" i="2"/>
  <c r="P701" i="2" s="1"/>
  <c r="K653" i="2"/>
  <c r="I653" i="2"/>
  <c r="G653" i="2"/>
  <c r="D653" i="2"/>
  <c r="E653" i="2" s="1"/>
  <c r="C653" i="2"/>
  <c r="AA652" i="2"/>
  <c r="W652" i="2"/>
  <c r="U652" i="2"/>
  <c r="S652" i="2"/>
  <c r="P652" i="2"/>
  <c r="O652" i="2"/>
  <c r="M652" i="2"/>
  <c r="K652" i="2"/>
  <c r="L700" i="2" s="1"/>
  <c r="M700" i="2" s="1"/>
  <c r="G652" i="2"/>
  <c r="E652" i="2"/>
  <c r="C652" i="2"/>
  <c r="AB651" i="2"/>
  <c r="AC651" i="2" s="1"/>
  <c r="AA651" i="2"/>
  <c r="W651" i="2"/>
  <c r="S651" i="2"/>
  <c r="Q651" i="2"/>
  <c r="O651" i="2"/>
  <c r="L651" i="2"/>
  <c r="K651" i="2"/>
  <c r="I651" i="2"/>
  <c r="G651" i="2"/>
  <c r="H699" i="2" s="1"/>
  <c r="C651" i="2"/>
  <c r="AC650" i="2"/>
  <c r="AA650" i="2"/>
  <c r="X650" i="2"/>
  <c r="Y650" i="2" s="1"/>
  <c r="W650" i="2"/>
  <c r="S650" i="2"/>
  <c r="O650" i="2"/>
  <c r="M650" i="2"/>
  <c r="K650" i="2"/>
  <c r="H650" i="2"/>
  <c r="G650" i="2"/>
  <c r="C650" i="2"/>
  <c r="D698" i="2" s="1"/>
  <c r="AA649" i="2"/>
  <c r="Y649" i="2"/>
  <c r="W649" i="2"/>
  <c r="U649" i="2"/>
  <c r="T649" i="2"/>
  <c r="S649" i="2"/>
  <c r="O649" i="2"/>
  <c r="K649" i="2"/>
  <c r="I649" i="2"/>
  <c r="G649" i="2"/>
  <c r="D649" i="2"/>
  <c r="C649" i="2"/>
  <c r="E649" i="2" s="1"/>
  <c r="AC648" i="2"/>
  <c r="AA648" i="2"/>
  <c r="AB696" i="2" s="1"/>
  <c r="W648" i="2"/>
  <c r="U648" i="2"/>
  <c r="S648" i="2"/>
  <c r="P648" i="2"/>
  <c r="Q648" i="2" s="1"/>
  <c r="O648" i="2"/>
  <c r="K648" i="2"/>
  <c r="G648" i="2"/>
  <c r="E648" i="2"/>
  <c r="C648" i="2"/>
  <c r="AB647" i="2"/>
  <c r="AA647" i="2"/>
  <c r="Y647" i="2"/>
  <c r="W647" i="2"/>
  <c r="X695" i="2" s="1"/>
  <c r="Y695" i="2" s="1"/>
  <c r="S647" i="2"/>
  <c r="Q647" i="2"/>
  <c r="O647" i="2"/>
  <c r="L647" i="2"/>
  <c r="M647" i="2" s="1"/>
  <c r="K647" i="2"/>
  <c r="G647" i="2"/>
  <c r="C647" i="2"/>
  <c r="AC646" i="2"/>
  <c r="AA646" i="2"/>
  <c r="X646" i="2"/>
  <c r="W646" i="2"/>
  <c r="U646" i="2"/>
  <c r="S646" i="2"/>
  <c r="T694" i="2" s="1"/>
  <c r="O646" i="2"/>
  <c r="M646" i="2"/>
  <c r="K646" i="2"/>
  <c r="H646" i="2"/>
  <c r="I646" i="2" s="1"/>
  <c r="G646" i="2"/>
  <c r="C646" i="2"/>
  <c r="AA645" i="2"/>
  <c r="Y645" i="2"/>
  <c r="W645" i="2"/>
  <c r="T645" i="2"/>
  <c r="S645" i="2"/>
  <c r="O645" i="2"/>
  <c r="P693" i="2" s="1"/>
  <c r="K645" i="2"/>
  <c r="I645" i="2"/>
  <c r="G645" i="2"/>
  <c r="D645" i="2"/>
  <c r="E645" i="2" s="1"/>
  <c r="C645" i="2"/>
  <c r="AA644" i="2"/>
  <c r="W644" i="2"/>
  <c r="U644" i="2"/>
  <c r="S644" i="2"/>
  <c r="P644" i="2"/>
  <c r="O644" i="2"/>
  <c r="M644" i="2"/>
  <c r="K644" i="2"/>
  <c r="L692" i="2" s="1"/>
  <c r="G644" i="2"/>
  <c r="E644" i="2"/>
  <c r="C644" i="2"/>
  <c r="AB643" i="2"/>
  <c r="AC643" i="2" s="1"/>
  <c r="AA643" i="2"/>
  <c r="W643" i="2"/>
  <c r="S643" i="2"/>
  <c r="Q643" i="2"/>
  <c r="O643" i="2"/>
  <c r="L643" i="2"/>
  <c r="K643" i="2"/>
  <c r="I643" i="2"/>
  <c r="G643" i="2"/>
  <c r="H691" i="2" s="1"/>
  <c r="I691" i="2" s="1"/>
  <c r="C643" i="2"/>
  <c r="AC642" i="2"/>
  <c r="AA642" i="2"/>
  <c r="X642" i="2"/>
  <c r="Y642" i="2" s="1"/>
  <c r="W642" i="2"/>
  <c r="S642" i="2"/>
  <c r="O642" i="2"/>
  <c r="M642" i="2"/>
  <c r="K642" i="2"/>
  <c r="H642" i="2"/>
  <c r="G642" i="2"/>
  <c r="E642" i="2"/>
  <c r="C642" i="2"/>
  <c r="D690" i="2" s="1"/>
  <c r="AA641" i="2"/>
  <c r="Y641" i="2"/>
  <c r="W641" i="2"/>
  <c r="T641" i="2"/>
  <c r="U641" i="2" s="1"/>
  <c r="S641" i="2"/>
  <c r="O641" i="2"/>
  <c r="K641" i="2"/>
  <c r="I641" i="2"/>
  <c r="G641" i="2"/>
  <c r="D641" i="2"/>
  <c r="C641" i="2"/>
  <c r="AA640" i="2"/>
  <c r="AB688" i="2" s="1"/>
  <c r="W640" i="2"/>
  <c r="U640" i="2"/>
  <c r="S640" i="2"/>
  <c r="Q640" i="2"/>
  <c r="P640" i="2"/>
  <c r="O640" i="2"/>
  <c r="K640" i="2"/>
  <c r="G640" i="2"/>
  <c r="E640" i="2"/>
  <c r="C640" i="2"/>
  <c r="AB639" i="2"/>
  <c r="AA639" i="2"/>
  <c r="Y639" i="2"/>
  <c r="W639" i="2"/>
  <c r="X687" i="2" s="1"/>
  <c r="S639" i="2"/>
  <c r="Q639" i="2"/>
  <c r="O639" i="2"/>
  <c r="L639" i="2"/>
  <c r="M639" i="2" s="1"/>
  <c r="K639" i="2"/>
  <c r="G639" i="2"/>
  <c r="C639" i="2"/>
  <c r="AC638" i="2"/>
  <c r="AA638" i="2"/>
  <c r="X638" i="2"/>
  <c r="W638" i="2"/>
  <c r="U638" i="2"/>
  <c r="S638" i="2"/>
  <c r="T686" i="2" s="1"/>
  <c r="U686" i="2" s="1"/>
  <c r="O638" i="2"/>
  <c r="M638" i="2"/>
  <c r="K638" i="2"/>
  <c r="H638" i="2"/>
  <c r="I638" i="2" s="1"/>
  <c r="G638" i="2"/>
  <c r="C638" i="2"/>
  <c r="AA637" i="2"/>
  <c r="Y637" i="2"/>
  <c r="W637" i="2"/>
  <c r="T637" i="2"/>
  <c r="S637" i="2"/>
  <c r="Q637" i="2"/>
  <c r="O637" i="2"/>
  <c r="P685" i="2" s="1"/>
  <c r="K637" i="2"/>
  <c r="I637" i="2"/>
  <c r="G637" i="2"/>
  <c r="D637" i="2"/>
  <c r="E637" i="2" s="1"/>
  <c r="C637" i="2"/>
  <c r="AA636" i="2"/>
  <c r="W636" i="2"/>
  <c r="U636" i="2"/>
  <c r="S636" i="2"/>
  <c r="P636" i="2"/>
  <c r="O636" i="2"/>
  <c r="K636" i="2"/>
  <c r="L684" i="2" s="1"/>
  <c r="G636" i="2"/>
  <c r="E636" i="2"/>
  <c r="C636" i="2"/>
  <c r="AB635" i="2"/>
  <c r="AC635" i="2" s="1"/>
  <c r="AA635" i="2"/>
  <c r="W635" i="2"/>
  <c r="S635" i="2"/>
  <c r="Q635" i="2"/>
  <c r="O635" i="2"/>
  <c r="L635" i="2"/>
  <c r="K635" i="2"/>
  <c r="I635" i="2"/>
  <c r="G635" i="2"/>
  <c r="H683" i="2" s="1"/>
  <c r="C635" i="2"/>
  <c r="AC634" i="2"/>
  <c r="AA634" i="2"/>
  <c r="X634" i="2"/>
  <c r="Y634" i="2" s="1"/>
  <c r="W634" i="2"/>
  <c r="S634" i="2"/>
  <c r="O634" i="2"/>
  <c r="M634" i="2"/>
  <c r="K634" i="2"/>
  <c r="H634" i="2"/>
  <c r="G634" i="2"/>
  <c r="E634" i="2"/>
  <c r="C634" i="2"/>
  <c r="D682" i="2" s="1"/>
  <c r="E682" i="2" s="1"/>
  <c r="AA633" i="2"/>
  <c r="Y633" i="2"/>
  <c r="W633" i="2"/>
  <c r="T633" i="2"/>
  <c r="U633" i="2" s="1"/>
  <c r="S633" i="2"/>
  <c r="O633" i="2"/>
  <c r="K633" i="2"/>
  <c r="I633" i="2"/>
  <c r="G633" i="2"/>
  <c r="D633" i="2"/>
  <c r="C633" i="2"/>
  <c r="AC632" i="2"/>
  <c r="AA632" i="2"/>
  <c r="AB680" i="2" s="1"/>
  <c r="W632" i="2"/>
  <c r="U632" i="2"/>
  <c r="S632" i="2"/>
  <c r="P632" i="2"/>
  <c r="Q632" i="2" s="1"/>
  <c r="O632" i="2"/>
  <c r="K632" i="2"/>
  <c r="G632" i="2"/>
  <c r="E632" i="2"/>
  <c r="C632" i="2"/>
  <c r="AB631" i="2"/>
  <c r="AA631" i="2"/>
  <c r="W631" i="2"/>
  <c r="X679" i="2" s="1"/>
  <c r="S631" i="2"/>
  <c r="Q631" i="2"/>
  <c r="O631" i="2"/>
  <c r="M631" i="2"/>
  <c r="L631" i="2"/>
  <c r="K631" i="2"/>
  <c r="G631" i="2"/>
  <c r="C631" i="2"/>
  <c r="AC630" i="2"/>
  <c r="AA630" i="2"/>
  <c r="X630" i="2"/>
  <c r="W630" i="2"/>
  <c r="Y630" i="2" s="1"/>
  <c r="U630" i="2"/>
  <c r="S630" i="2"/>
  <c r="T678" i="2" s="1"/>
  <c r="O630" i="2"/>
  <c r="M630" i="2"/>
  <c r="K630" i="2"/>
  <c r="H630" i="2"/>
  <c r="I630" i="2" s="1"/>
  <c r="G630" i="2"/>
  <c r="C630" i="2"/>
  <c r="AA629" i="2"/>
  <c r="Y629" i="2"/>
  <c r="W629" i="2"/>
  <c r="T629" i="2"/>
  <c r="S629" i="2"/>
  <c r="Q629" i="2"/>
  <c r="O629" i="2"/>
  <c r="P677" i="2" s="1"/>
  <c r="Q677" i="2" s="1"/>
  <c r="K629" i="2"/>
  <c r="I629" i="2"/>
  <c r="G629" i="2"/>
  <c r="D629" i="2"/>
  <c r="E629" i="2" s="1"/>
  <c r="C629" i="2"/>
  <c r="AA628" i="2"/>
  <c r="W628" i="2"/>
  <c r="U628" i="2"/>
  <c r="S628" i="2"/>
  <c r="P628" i="2"/>
  <c r="O628" i="2"/>
  <c r="M628" i="2"/>
  <c r="K628" i="2"/>
  <c r="L676" i="2" s="1"/>
  <c r="G628" i="2"/>
  <c r="E628" i="2"/>
  <c r="C628" i="2"/>
  <c r="AB627" i="2"/>
  <c r="AC627" i="2" s="1"/>
  <c r="AA627" i="2"/>
  <c r="W627" i="2"/>
  <c r="S627" i="2"/>
  <c r="Q627" i="2"/>
  <c r="O627" i="2"/>
  <c r="L627" i="2"/>
  <c r="K627" i="2"/>
  <c r="G627" i="2"/>
  <c r="H675" i="2" s="1"/>
  <c r="C627" i="2"/>
  <c r="AC626" i="2"/>
  <c r="AA626" i="2"/>
  <c r="X626" i="2"/>
  <c r="Y626" i="2" s="1"/>
  <c r="W626" i="2"/>
  <c r="S626" i="2"/>
  <c r="O626" i="2"/>
  <c r="M626" i="2"/>
  <c r="K626" i="2"/>
  <c r="H626" i="2"/>
  <c r="G626" i="2"/>
  <c r="E626" i="2"/>
  <c r="C626" i="2"/>
  <c r="D674" i="2" s="1"/>
  <c r="AA625" i="2"/>
  <c r="Y625" i="2"/>
  <c r="W625" i="2"/>
  <c r="T625" i="2"/>
  <c r="U625" i="2" s="1"/>
  <c r="S625" i="2"/>
  <c r="O625" i="2"/>
  <c r="K625" i="2"/>
  <c r="I625" i="2"/>
  <c r="G625" i="2"/>
  <c r="D625" i="2"/>
  <c r="C625" i="2"/>
  <c r="AC624" i="2"/>
  <c r="AA624" i="2"/>
  <c r="AB672" i="2" s="1"/>
  <c r="AC672" i="2" s="1"/>
  <c r="W624" i="2"/>
  <c r="U624" i="2"/>
  <c r="S624" i="2"/>
  <c r="P624" i="2"/>
  <c r="Q624" i="2" s="1"/>
  <c r="O624" i="2"/>
  <c r="K624" i="2"/>
  <c r="G624" i="2"/>
  <c r="E624" i="2"/>
  <c r="C624" i="2"/>
  <c r="AB623" i="2"/>
  <c r="AA623" i="2"/>
  <c r="Y623" i="2"/>
  <c r="W623" i="2"/>
  <c r="X671" i="2" s="1"/>
  <c r="S623" i="2"/>
  <c r="Q623" i="2"/>
  <c r="O623" i="2"/>
  <c r="L623" i="2"/>
  <c r="M623" i="2" s="1"/>
  <c r="K623" i="2"/>
  <c r="G623" i="2"/>
  <c r="C623" i="2"/>
  <c r="AC622" i="2"/>
  <c r="AA622" i="2"/>
  <c r="X622" i="2"/>
  <c r="W622" i="2"/>
  <c r="S622" i="2"/>
  <c r="T670" i="2" s="1"/>
  <c r="O622" i="2"/>
  <c r="M622" i="2"/>
  <c r="K622" i="2"/>
  <c r="I622" i="2"/>
  <c r="H622" i="2"/>
  <c r="G622" i="2"/>
  <c r="C622" i="2"/>
  <c r="AA621" i="2"/>
  <c r="Y621" i="2"/>
  <c r="W621" i="2"/>
  <c r="T621" i="2"/>
  <c r="S621" i="2"/>
  <c r="U621" i="2" s="1"/>
  <c r="Q621" i="2"/>
  <c r="O621" i="2"/>
  <c r="P669" i="2" s="1"/>
  <c r="K621" i="2"/>
  <c r="I621" i="2"/>
  <c r="G621" i="2"/>
  <c r="D621" i="2"/>
  <c r="E621" i="2" s="1"/>
  <c r="C621" i="2"/>
  <c r="AA620" i="2"/>
  <c r="W620" i="2"/>
  <c r="U620" i="2"/>
  <c r="S620" i="2"/>
  <c r="P620" i="2"/>
  <c r="O620" i="2"/>
  <c r="M620" i="2"/>
  <c r="K620" i="2"/>
  <c r="L668" i="2" s="1"/>
  <c r="M668" i="2" s="1"/>
  <c r="G620" i="2"/>
  <c r="E620" i="2"/>
  <c r="C620" i="2"/>
  <c r="AB619" i="2"/>
  <c r="AC619" i="2" s="1"/>
  <c r="AA619" i="2"/>
  <c r="W619" i="2"/>
  <c r="S619" i="2"/>
  <c r="Q619" i="2"/>
  <c r="O619" i="2"/>
  <c r="L619" i="2"/>
  <c r="K619" i="2"/>
  <c r="I619" i="2"/>
  <c r="G619" i="2"/>
  <c r="H667" i="2" s="1"/>
  <c r="C619" i="2"/>
  <c r="AC618" i="2"/>
  <c r="AA618" i="2"/>
  <c r="X618" i="2"/>
  <c r="Y618" i="2" s="1"/>
  <c r="W618" i="2"/>
  <c r="S618" i="2"/>
  <c r="O618" i="2"/>
  <c r="M618" i="2"/>
  <c r="K618" i="2"/>
  <c r="H618" i="2"/>
  <c r="G618" i="2"/>
  <c r="C618" i="2"/>
  <c r="D666" i="2" s="1"/>
  <c r="AA617" i="2"/>
  <c r="Y617" i="2"/>
  <c r="W617" i="2"/>
  <c r="T617" i="2"/>
  <c r="U617" i="2" s="1"/>
  <c r="S617" i="2"/>
  <c r="O617" i="2"/>
  <c r="K617" i="2"/>
  <c r="I617" i="2"/>
  <c r="G617" i="2"/>
  <c r="D617" i="2"/>
  <c r="C617" i="2"/>
  <c r="AC616" i="2"/>
  <c r="AA616" i="2"/>
  <c r="AB664" i="2" s="1"/>
  <c r="W616" i="2"/>
  <c r="U616" i="2"/>
  <c r="S616" i="2"/>
  <c r="P616" i="2"/>
  <c r="Q616" i="2" s="1"/>
  <c r="O616" i="2"/>
  <c r="K616" i="2"/>
  <c r="G616" i="2"/>
  <c r="E616" i="2"/>
  <c r="C616" i="2"/>
  <c r="AB615" i="2"/>
  <c r="AA615" i="2"/>
  <c r="Y615" i="2"/>
  <c r="W615" i="2"/>
  <c r="X663" i="2" s="1"/>
  <c r="Y663" i="2" s="1"/>
  <c r="S615" i="2"/>
  <c r="Q615" i="2"/>
  <c r="O615" i="2"/>
  <c r="L615" i="2"/>
  <c r="M615" i="2" s="1"/>
  <c r="K615" i="2"/>
  <c r="G615" i="2"/>
  <c r="C615" i="2"/>
  <c r="AC614" i="2"/>
  <c r="AA614" i="2"/>
  <c r="X614" i="2"/>
  <c r="W614" i="2"/>
  <c r="U614" i="2"/>
  <c r="S614" i="2"/>
  <c r="T662" i="2" s="1"/>
  <c r="O614" i="2"/>
  <c r="M614" i="2"/>
  <c r="K614" i="2"/>
  <c r="H614" i="2"/>
  <c r="I614" i="2" s="1"/>
  <c r="G614" i="2"/>
  <c r="C614" i="2"/>
  <c r="AA613" i="2"/>
  <c r="Y613" i="2"/>
  <c r="W613" i="2"/>
  <c r="X661" i="2" s="1"/>
  <c r="T613" i="2"/>
  <c r="S613" i="2"/>
  <c r="O613" i="2"/>
  <c r="P661" i="2" s="1"/>
  <c r="K613" i="2"/>
  <c r="I613" i="2"/>
  <c r="G613" i="2"/>
  <c r="H661" i="2" s="1"/>
  <c r="E613" i="2"/>
  <c r="D613" i="2"/>
  <c r="C613" i="2"/>
  <c r="AA612" i="2"/>
  <c r="W612" i="2"/>
  <c r="U612" i="2"/>
  <c r="S612" i="2"/>
  <c r="T660" i="2" s="1"/>
  <c r="P612" i="2"/>
  <c r="O612" i="2"/>
  <c r="M612" i="2"/>
  <c r="K612" i="2"/>
  <c r="L660" i="2" s="1"/>
  <c r="G612" i="2"/>
  <c r="E612" i="2"/>
  <c r="C612" i="2"/>
  <c r="D660" i="2" s="1"/>
  <c r="AB611" i="2"/>
  <c r="AC611" i="2" s="1"/>
  <c r="AA611" i="2"/>
  <c r="W611" i="2"/>
  <c r="S611" i="2"/>
  <c r="Q611" i="2"/>
  <c r="O611" i="2"/>
  <c r="P659" i="2" s="1"/>
  <c r="L611" i="2"/>
  <c r="K611" i="2"/>
  <c r="I611" i="2"/>
  <c r="G611" i="2"/>
  <c r="H659" i="2" s="1"/>
  <c r="I659" i="2" s="1"/>
  <c r="C611" i="2"/>
  <c r="AC610" i="2"/>
  <c r="AA610" i="2"/>
  <c r="AB658" i="2" s="1"/>
  <c r="X610" i="2"/>
  <c r="Y610" i="2" s="1"/>
  <c r="W610" i="2"/>
  <c r="S610" i="2"/>
  <c r="O610" i="2"/>
  <c r="M610" i="2"/>
  <c r="K610" i="2"/>
  <c r="L658" i="2" s="1"/>
  <c r="H610" i="2"/>
  <c r="G610" i="2"/>
  <c r="E610" i="2"/>
  <c r="C610" i="2"/>
  <c r="D658" i="2" s="1"/>
  <c r="AA609" i="2"/>
  <c r="Y609" i="2"/>
  <c r="W609" i="2"/>
  <c r="X657" i="2" s="1"/>
  <c r="T609" i="2"/>
  <c r="U609" i="2" s="1"/>
  <c r="S609" i="2"/>
  <c r="O609" i="2"/>
  <c r="K609" i="2"/>
  <c r="I609" i="2"/>
  <c r="G609" i="2"/>
  <c r="H657" i="2" s="1"/>
  <c r="D609" i="2"/>
  <c r="C609" i="2"/>
  <c r="AA608" i="2"/>
  <c r="AB656" i="2" s="1"/>
  <c r="W608" i="2"/>
  <c r="U608" i="2"/>
  <c r="S608" i="2"/>
  <c r="T656" i="2" s="1"/>
  <c r="P608" i="2"/>
  <c r="Q608" i="2" s="1"/>
  <c r="O608" i="2"/>
  <c r="K608" i="2"/>
  <c r="G608" i="2"/>
  <c r="E608" i="2"/>
  <c r="C608" i="2"/>
  <c r="D656" i="2" s="1"/>
  <c r="AB607" i="2"/>
  <c r="AA607" i="2"/>
  <c r="Y607" i="2"/>
  <c r="W607" i="2"/>
  <c r="X655" i="2" s="1"/>
  <c r="S607" i="2"/>
  <c r="Q607" i="2"/>
  <c r="O607" i="2"/>
  <c r="P655" i="2" s="1"/>
  <c r="L607" i="2"/>
  <c r="M607" i="2" s="1"/>
  <c r="K607" i="2"/>
  <c r="G607" i="2"/>
  <c r="C607" i="2"/>
  <c r="AC606" i="2"/>
  <c r="AA606" i="2"/>
  <c r="AB654" i="2" s="1"/>
  <c r="X606" i="2"/>
  <c r="W606" i="2"/>
  <c r="U606" i="2"/>
  <c r="S606" i="2"/>
  <c r="T654" i="2" s="1"/>
  <c r="U654" i="2" s="1"/>
  <c r="O606" i="2"/>
  <c r="M606" i="2"/>
  <c r="K606" i="2"/>
  <c r="L654" i="2" s="1"/>
  <c r="H606" i="2"/>
  <c r="I606" i="2" s="1"/>
  <c r="G606" i="2"/>
  <c r="C606" i="2"/>
  <c r="AA605" i="2"/>
  <c r="Y605" i="2"/>
  <c r="W605" i="2"/>
  <c r="X653" i="2" s="1"/>
  <c r="T605" i="2"/>
  <c r="S605" i="2"/>
  <c r="Q605" i="2"/>
  <c r="O605" i="2"/>
  <c r="P653" i="2" s="1"/>
  <c r="K605" i="2"/>
  <c r="I605" i="2"/>
  <c r="G605" i="2"/>
  <c r="H653" i="2" s="1"/>
  <c r="D605" i="2"/>
  <c r="E605" i="2" s="1"/>
  <c r="C605" i="2"/>
  <c r="AA604" i="2"/>
  <c r="W604" i="2"/>
  <c r="U604" i="2"/>
  <c r="S604" i="2"/>
  <c r="T652" i="2" s="1"/>
  <c r="P604" i="2"/>
  <c r="O604" i="2"/>
  <c r="K604" i="2"/>
  <c r="L652" i="2" s="1"/>
  <c r="G604" i="2"/>
  <c r="E604" i="2"/>
  <c r="C604" i="2"/>
  <c r="D652" i="2" s="1"/>
  <c r="AC603" i="2"/>
  <c r="AB603" i="2"/>
  <c r="AA603" i="2"/>
  <c r="W603" i="2"/>
  <c r="S603" i="2"/>
  <c r="Q603" i="2"/>
  <c r="O603" i="2"/>
  <c r="P651" i="2" s="1"/>
  <c r="L603" i="2"/>
  <c r="K603" i="2"/>
  <c r="M603" i="2" s="1"/>
  <c r="I603" i="2"/>
  <c r="G603" i="2"/>
  <c r="H651" i="2" s="1"/>
  <c r="C603" i="2"/>
  <c r="AC602" i="2"/>
  <c r="AA602" i="2"/>
  <c r="AB650" i="2" s="1"/>
  <c r="X602" i="2"/>
  <c r="Y602" i="2" s="1"/>
  <c r="W602" i="2"/>
  <c r="S602" i="2"/>
  <c r="O602" i="2"/>
  <c r="M602" i="2"/>
  <c r="K602" i="2"/>
  <c r="L650" i="2" s="1"/>
  <c r="H602" i="2"/>
  <c r="G602" i="2"/>
  <c r="E602" i="2"/>
  <c r="C602" i="2"/>
  <c r="D650" i="2" s="1"/>
  <c r="E650" i="2" s="1"/>
  <c r="AA601" i="2"/>
  <c r="Y601" i="2"/>
  <c r="W601" i="2"/>
  <c r="X649" i="2" s="1"/>
  <c r="T601" i="2"/>
  <c r="U601" i="2" s="1"/>
  <c r="S601" i="2"/>
  <c r="O601" i="2"/>
  <c r="K601" i="2"/>
  <c r="I601" i="2"/>
  <c r="G601" i="2"/>
  <c r="H649" i="2" s="1"/>
  <c r="D601" i="2"/>
  <c r="C601" i="2"/>
  <c r="AC600" i="2"/>
  <c r="AA600" i="2"/>
  <c r="AB648" i="2" s="1"/>
  <c r="W600" i="2"/>
  <c r="U600" i="2"/>
  <c r="S600" i="2"/>
  <c r="T648" i="2" s="1"/>
  <c r="P600" i="2"/>
  <c r="Q600" i="2" s="1"/>
  <c r="O600" i="2"/>
  <c r="K600" i="2"/>
  <c r="G600" i="2"/>
  <c r="E600" i="2"/>
  <c r="C600" i="2"/>
  <c r="D648" i="2" s="1"/>
  <c r="AB599" i="2"/>
  <c r="AA599" i="2"/>
  <c r="W599" i="2"/>
  <c r="X647" i="2" s="1"/>
  <c r="S599" i="2"/>
  <c r="Q599" i="2"/>
  <c r="O599" i="2"/>
  <c r="P647" i="2" s="1"/>
  <c r="L599" i="2"/>
  <c r="M599" i="2" s="1"/>
  <c r="K599" i="2"/>
  <c r="G599" i="2"/>
  <c r="C599" i="2"/>
  <c r="AC598" i="2"/>
  <c r="AA598" i="2"/>
  <c r="AB646" i="2" s="1"/>
  <c r="X598" i="2"/>
  <c r="W598" i="2"/>
  <c r="U598" i="2"/>
  <c r="S598" i="2"/>
  <c r="T646" i="2" s="1"/>
  <c r="O598" i="2"/>
  <c r="M598" i="2"/>
  <c r="K598" i="2"/>
  <c r="L646" i="2" s="1"/>
  <c r="H598" i="2"/>
  <c r="I598" i="2" s="1"/>
  <c r="G598" i="2"/>
  <c r="C598" i="2"/>
  <c r="AA597" i="2"/>
  <c r="Y597" i="2"/>
  <c r="W597" i="2"/>
  <c r="X645" i="2" s="1"/>
  <c r="T597" i="2"/>
  <c r="S597" i="2"/>
  <c r="Q597" i="2"/>
  <c r="O597" i="2"/>
  <c r="P645" i="2" s="1"/>
  <c r="Q645" i="2" s="1"/>
  <c r="K597" i="2"/>
  <c r="I597" i="2"/>
  <c r="G597" i="2"/>
  <c r="H645" i="2" s="1"/>
  <c r="D597" i="2"/>
  <c r="E597" i="2" s="1"/>
  <c r="C597" i="2"/>
  <c r="AA596" i="2"/>
  <c r="W596" i="2"/>
  <c r="U596" i="2"/>
  <c r="S596" i="2"/>
  <c r="T644" i="2" s="1"/>
  <c r="P596" i="2"/>
  <c r="O596" i="2"/>
  <c r="M596" i="2"/>
  <c r="K596" i="2"/>
  <c r="L644" i="2" s="1"/>
  <c r="G596" i="2"/>
  <c r="C596" i="2"/>
  <c r="D644" i="2" s="1"/>
  <c r="AB595" i="2"/>
  <c r="AC595" i="2" s="1"/>
  <c r="AA595" i="2"/>
  <c r="W595" i="2"/>
  <c r="S595" i="2"/>
  <c r="Q595" i="2"/>
  <c r="O595" i="2"/>
  <c r="P643" i="2" s="1"/>
  <c r="L595" i="2"/>
  <c r="K595" i="2"/>
  <c r="G595" i="2"/>
  <c r="H643" i="2" s="1"/>
  <c r="C595" i="2"/>
  <c r="AA594" i="2"/>
  <c r="AB642" i="2" s="1"/>
  <c r="X594" i="2"/>
  <c r="Y594" i="2" s="1"/>
  <c r="W594" i="2"/>
  <c r="S594" i="2"/>
  <c r="O594" i="2"/>
  <c r="M594" i="2"/>
  <c r="K594" i="2"/>
  <c r="L642" i="2" s="1"/>
  <c r="H594" i="2"/>
  <c r="G594" i="2"/>
  <c r="I594" i="2" s="1"/>
  <c r="C594" i="2"/>
  <c r="D642" i="2" s="1"/>
  <c r="AA593" i="2"/>
  <c r="W593" i="2"/>
  <c r="X641" i="2" s="1"/>
  <c r="T593" i="2"/>
  <c r="U593" i="2" s="1"/>
  <c r="S593" i="2"/>
  <c r="O593" i="2"/>
  <c r="K593" i="2"/>
  <c r="G593" i="2"/>
  <c r="H641" i="2" s="1"/>
  <c r="C593" i="2"/>
  <c r="AA592" i="2"/>
  <c r="AB640" i="2" s="1"/>
  <c r="AC640" i="2" s="1"/>
  <c r="W592" i="2"/>
  <c r="S592" i="2"/>
  <c r="T640" i="2" s="1"/>
  <c r="P592" i="2"/>
  <c r="Q592" i="2" s="1"/>
  <c r="O592" i="2"/>
  <c r="K592" i="2"/>
  <c r="G592" i="2"/>
  <c r="C592" i="2"/>
  <c r="D640" i="2" s="1"/>
  <c r="AA591" i="2"/>
  <c r="W591" i="2"/>
  <c r="X639" i="2" s="1"/>
  <c r="S591" i="2"/>
  <c r="O591" i="2"/>
  <c r="P639" i="2" s="1"/>
  <c r="L591" i="2"/>
  <c r="M591" i="2" s="1"/>
  <c r="K591" i="2"/>
  <c r="G591" i="2"/>
  <c r="C591" i="2"/>
  <c r="AA590" i="2"/>
  <c r="AB638" i="2" s="1"/>
  <c r="W590" i="2"/>
  <c r="S590" i="2"/>
  <c r="T638" i="2" s="1"/>
  <c r="O590" i="2"/>
  <c r="K590" i="2"/>
  <c r="L638" i="2" s="1"/>
  <c r="H590" i="2"/>
  <c r="I590" i="2" s="1"/>
  <c r="G590" i="2"/>
  <c r="C590" i="2"/>
  <c r="AA589" i="2"/>
  <c r="W589" i="2"/>
  <c r="X637" i="2" s="1"/>
  <c r="S589" i="2"/>
  <c r="O589" i="2"/>
  <c r="P637" i="2" s="1"/>
  <c r="K589" i="2"/>
  <c r="G589" i="2"/>
  <c r="H637" i="2" s="1"/>
  <c r="C589" i="2"/>
  <c r="AA588" i="2"/>
  <c r="W588" i="2"/>
  <c r="S588" i="2"/>
  <c r="T636" i="2" s="1"/>
  <c r="P588" i="2"/>
  <c r="O588" i="2"/>
  <c r="K588" i="2"/>
  <c r="L636" i="2" s="1"/>
  <c r="M636" i="2" s="1"/>
  <c r="G588" i="2"/>
  <c r="C588" i="2"/>
  <c r="D636" i="2" s="1"/>
  <c r="AB587" i="2"/>
  <c r="AC587" i="2" s="1"/>
  <c r="AA587" i="2"/>
  <c r="W587" i="2"/>
  <c r="S587" i="2"/>
  <c r="O587" i="2"/>
  <c r="P635" i="2" s="1"/>
  <c r="K587" i="2"/>
  <c r="G587" i="2"/>
  <c r="H635" i="2" s="1"/>
  <c r="C587" i="2"/>
  <c r="AA586" i="2"/>
  <c r="AB634" i="2" s="1"/>
  <c r="W586" i="2"/>
  <c r="S586" i="2"/>
  <c r="O586" i="2"/>
  <c r="K586" i="2"/>
  <c r="L634" i="2" s="1"/>
  <c r="H586" i="2"/>
  <c r="G586" i="2"/>
  <c r="C586" i="2"/>
  <c r="D634" i="2" s="1"/>
  <c r="AA585" i="2"/>
  <c r="W585" i="2"/>
  <c r="X633" i="2" s="1"/>
  <c r="S585" i="2"/>
  <c r="O585" i="2"/>
  <c r="K585" i="2"/>
  <c r="G585" i="2"/>
  <c r="H633" i="2" s="1"/>
  <c r="C585" i="2"/>
  <c r="AA584" i="2"/>
  <c r="AB632" i="2" s="1"/>
  <c r="W584" i="2"/>
  <c r="S584" i="2"/>
  <c r="T632" i="2" s="1"/>
  <c r="O584" i="2"/>
  <c r="K584" i="2"/>
  <c r="G584" i="2"/>
  <c r="C584" i="2"/>
  <c r="D632" i="2" s="1"/>
  <c r="AB583" i="2"/>
  <c r="AA583" i="2"/>
  <c r="W583" i="2"/>
  <c r="X631" i="2" s="1"/>
  <c r="Y631" i="2" s="1"/>
  <c r="S583" i="2"/>
  <c r="O583" i="2"/>
  <c r="P631" i="2" s="1"/>
  <c r="L583" i="2"/>
  <c r="M583" i="2" s="1"/>
  <c r="K583" i="2"/>
  <c r="G583" i="2"/>
  <c r="C583" i="2"/>
  <c r="AA582" i="2"/>
  <c r="AB630" i="2" s="1"/>
  <c r="W582" i="2"/>
  <c r="S582" i="2"/>
  <c r="T630" i="2" s="1"/>
  <c r="O582" i="2"/>
  <c r="K582" i="2"/>
  <c r="L630" i="2" s="1"/>
  <c r="G582" i="2"/>
  <c r="C582" i="2"/>
  <c r="AA581" i="2"/>
  <c r="W581" i="2"/>
  <c r="X629" i="2" s="1"/>
  <c r="S581" i="2"/>
  <c r="O581" i="2"/>
  <c r="P629" i="2" s="1"/>
  <c r="K581" i="2"/>
  <c r="G581" i="2"/>
  <c r="H629" i="2" s="1"/>
  <c r="C581" i="2"/>
  <c r="AA580" i="2"/>
  <c r="W580" i="2"/>
  <c r="S580" i="2"/>
  <c r="T628" i="2" s="1"/>
  <c r="O580" i="2"/>
  <c r="K580" i="2"/>
  <c r="L628" i="2" s="1"/>
  <c r="G580" i="2"/>
  <c r="C580" i="2"/>
  <c r="D628" i="2" s="1"/>
  <c r="AB579" i="2"/>
  <c r="AC579" i="2" s="1"/>
  <c r="AA579" i="2"/>
  <c r="W579" i="2"/>
  <c r="S579" i="2"/>
  <c r="O579" i="2"/>
  <c r="P627" i="2" s="1"/>
  <c r="K579" i="2"/>
  <c r="G579" i="2"/>
  <c r="H627" i="2" s="1"/>
  <c r="I627" i="2" s="1"/>
  <c r="C579" i="2"/>
  <c r="AA578" i="2"/>
  <c r="AB626" i="2" s="1"/>
  <c r="X578" i="2"/>
  <c r="Y578" i="2" s="1"/>
  <c r="W578" i="2"/>
  <c r="S578" i="2"/>
  <c r="O578" i="2"/>
  <c r="K578" i="2"/>
  <c r="L626" i="2" s="1"/>
  <c r="G578" i="2"/>
  <c r="C578" i="2"/>
  <c r="D626" i="2" s="1"/>
  <c r="AA577" i="2"/>
  <c r="W577" i="2"/>
  <c r="X625" i="2" s="1"/>
  <c r="S577" i="2"/>
  <c r="O577" i="2"/>
  <c r="K577" i="2"/>
  <c r="G577" i="2"/>
  <c r="H625" i="2" s="1"/>
  <c r="C577" i="2"/>
  <c r="AA576" i="2"/>
  <c r="AB624" i="2" s="1"/>
  <c r="W576" i="2"/>
  <c r="S576" i="2"/>
  <c r="T624" i="2" s="1"/>
  <c r="O576" i="2"/>
  <c r="K576" i="2"/>
  <c r="G576" i="2"/>
  <c r="C576" i="2"/>
  <c r="D624" i="2" s="1"/>
  <c r="AA575" i="2"/>
  <c r="W575" i="2"/>
  <c r="X623" i="2" s="1"/>
  <c r="S575" i="2"/>
  <c r="O575" i="2"/>
  <c r="P623" i="2" s="1"/>
  <c r="K575" i="2"/>
  <c r="G575" i="2"/>
  <c r="C575" i="2"/>
  <c r="AA574" i="2"/>
  <c r="AB622" i="2" s="1"/>
  <c r="W574" i="2"/>
  <c r="S574" i="2"/>
  <c r="T622" i="2" s="1"/>
  <c r="U622" i="2" s="1"/>
  <c r="O574" i="2"/>
  <c r="K574" i="2"/>
  <c r="L622" i="2" s="1"/>
  <c r="H574" i="2"/>
  <c r="I574" i="2" s="1"/>
  <c r="G574" i="2"/>
  <c r="C574" i="2"/>
  <c r="AA573" i="2"/>
  <c r="W573" i="2"/>
  <c r="X621" i="2" s="1"/>
  <c r="S573" i="2"/>
  <c r="O573" i="2"/>
  <c r="P621" i="2" s="1"/>
  <c r="K573" i="2"/>
  <c r="G573" i="2"/>
  <c r="H621" i="2" s="1"/>
  <c r="C573" i="2"/>
  <c r="AA572" i="2"/>
  <c r="W572" i="2"/>
  <c r="S572" i="2"/>
  <c r="T620" i="2" s="1"/>
  <c r="O572" i="2"/>
  <c r="K572" i="2"/>
  <c r="L620" i="2" s="1"/>
  <c r="G572" i="2"/>
  <c r="C572" i="2"/>
  <c r="D620" i="2" s="1"/>
  <c r="AB571" i="2"/>
  <c r="AC571" i="2" s="1"/>
  <c r="AA571" i="2"/>
  <c r="W571" i="2"/>
  <c r="S571" i="2"/>
  <c r="O571" i="2"/>
  <c r="P619" i="2" s="1"/>
  <c r="K571" i="2"/>
  <c r="G571" i="2"/>
  <c r="H619" i="2" s="1"/>
  <c r="C571" i="2"/>
  <c r="AA570" i="2"/>
  <c r="AB618" i="2" s="1"/>
  <c r="W570" i="2"/>
  <c r="S570" i="2"/>
  <c r="O570" i="2"/>
  <c r="K570" i="2"/>
  <c r="L618" i="2" s="1"/>
  <c r="H570" i="2"/>
  <c r="G570" i="2"/>
  <c r="C570" i="2"/>
  <c r="D618" i="2" s="1"/>
  <c r="E618" i="2" s="1"/>
  <c r="AA569" i="2"/>
  <c r="W569" i="2"/>
  <c r="X617" i="2" s="1"/>
  <c r="S569" i="2"/>
  <c r="O569" i="2"/>
  <c r="K569" i="2"/>
  <c r="G569" i="2"/>
  <c r="H617" i="2" s="1"/>
  <c r="C569" i="2"/>
  <c r="AA568" i="2"/>
  <c r="AB616" i="2" s="1"/>
  <c r="W568" i="2"/>
  <c r="S568" i="2"/>
  <c r="T616" i="2" s="1"/>
  <c r="O568" i="2"/>
  <c r="K568" i="2"/>
  <c r="G568" i="2"/>
  <c r="C568" i="2"/>
  <c r="D616" i="2" s="1"/>
  <c r="AA567" i="2"/>
  <c r="W567" i="2"/>
  <c r="X615" i="2" s="1"/>
  <c r="S567" i="2"/>
  <c r="O567" i="2"/>
  <c r="P615" i="2" s="1"/>
  <c r="K567" i="2"/>
  <c r="G567" i="2"/>
  <c r="C567" i="2"/>
  <c r="AA566" i="2"/>
  <c r="AB614" i="2" s="1"/>
  <c r="X566" i="2"/>
  <c r="W566" i="2"/>
  <c r="S566" i="2"/>
  <c r="T614" i="2" s="1"/>
  <c r="O566" i="2"/>
  <c r="K566" i="2"/>
  <c r="L614" i="2" s="1"/>
  <c r="G566" i="2"/>
  <c r="C566" i="2"/>
  <c r="AA565" i="2"/>
  <c r="W565" i="2"/>
  <c r="X613" i="2" s="1"/>
  <c r="S565" i="2"/>
  <c r="O565" i="2"/>
  <c r="P613" i="2" s="1"/>
  <c r="Q613" i="2" s="1"/>
  <c r="K565" i="2"/>
  <c r="G565" i="2"/>
  <c r="H613" i="2" s="1"/>
  <c r="C565" i="2"/>
  <c r="AA564" i="2"/>
  <c r="W564" i="2"/>
  <c r="S564" i="2"/>
  <c r="T612" i="2" s="1"/>
  <c r="O564" i="2"/>
  <c r="K564" i="2"/>
  <c r="L612" i="2" s="1"/>
  <c r="G564" i="2"/>
  <c r="C564" i="2"/>
  <c r="D612" i="2" s="1"/>
  <c r="AA563" i="2"/>
  <c r="W563" i="2"/>
  <c r="S563" i="2"/>
  <c r="O563" i="2"/>
  <c r="P611" i="2" s="1"/>
  <c r="K563" i="2"/>
  <c r="G563" i="2"/>
  <c r="H611" i="2" s="1"/>
  <c r="C563" i="2"/>
  <c r="AA562" i="2"/>
  <c r="AB610" i="2" s="1"/>
  <c r="X562" i="2"/>
  <c r="Y562" i="2" s="1"/>
  <c r="W562" i="2"/>
  <c r="S562" i="2"/>
  <c r="O562" i="2"/>
  <c r="K562" i="2"/>
  <c r="L610" i="2" s="1"/>
  <c r="G562" i="2"/>
  <c r="I562" i="2" s="1"/>
  <c r="C562" i="2"/>
  <c r="D610" i="2" s="1"/>
  <c r="AA561" i="2"/>
  <c r="W561" i="2"/>
  <c r="X609" i="2" s="1"/>
  <c r="T561" i="2"/>
  <c r="U561" i="2" s="1"/>
  <c r="S561" i="2"/>
  <c r="O561" i="2"/>
  <c r="K561" i="2"/>
  <c r="G561" i="2"/>
  <c r="H609" i="2" s="1"/>
  <c r="C561" i="2"/>
  <c r="AA560" i="2"/>
  <c r="AB608" i="2" s="1"/>
  <c r="AC608" i="2" s="1"/>
  <c r="W560" i="2"/>
  <c r="S560" i="2"/>
  <c r="T608" i="2" s="1"/>
  <c r="P560" i="2"/>
  <c r="Q560" i="2" s="1"/>
  <c r="O560" i="2"/>
  <c r="K560" i="2"/>
  <c r="G560" i="2"/>
  <c r="C560" i="2"/>
  <c r="D608" i="2" s="1"/>
  <c r="AA559" i="2"/>
  <c r="W559" i="2"/>
  <c r="X607" i="2" s="1"/>
  <c r="S559" i="2"/>
  <c r="O559" i="2"/>
  <c r="P607" i="2" s="1"/>
  <c r="K559" i="2"/>
  <c r="G559" i="2"/>
  <c r="C559" i="2"/>
  <c r="AA558" i="2"/>
  <c r="AB606" i="2" s="1"/>
  <c r="X558" i="2"/>
  <c r="W558" i="2"/>
  <c r="S558" i="2"/>
  <c r="T606" i="2" s="1"/>
  <c r="O558" i="2"/>
  <c r="K558" i="2"/>
  <c r="L606" i="2" s="1"/>
  <c r="G558" i="2"/>
  <c r="C558" i="2"/>
  <c r="AA557" i="2"/>
  <c r="W557" i="2"/>
  <c r="X605" i="2" s="1"/>
  <c r="T557" i="2"/>
  <c r="S557" i="2"/>
  <c r="U557" i="2" s="1"/>
  <c r="O557" i="2"/>
  <c r="P605" i="2" s="1"/>
  <c r="K557" i="2"/>
  <c r="G557" i="2"/>
  <c r="H605" i="2" s="1"/>
  <c r="C557" i="2"/>
  <c r="AA556" i="2"/>
  <c r="W556" i="2"/>
  <c r="S556" i="2"/>
  <c r="T604" i="2" s="1"/>
  <c r="O556" i="2"/>
  <c r="K556" i="2"/>
  <c r="L604" i="2" s="1"/>
  <c r="M604" i="2" s="1"/>
  <c r="G556" i="2"/>
  <c r="C556" i="2"/>
  <c r="D604" i="2" s="1"/>
  <c r="AA555" i="2"/>
  <c r="W555" i="2"/>
  <c r="S555" i="2"/>
  <c r="O555" i="2"/>
  <c r="P603" i="2" s="1"/>
  <c r="K555" i="2"/>
  <c r="G555" i="2"/>
  <c r="H603" i="2" s="1"/>
  <c r="C555" i="2"/>
  <c r="AA554" i="2"/>
  <c r="AB602" i="2" s="1"/>
  <c r="W554" i="2"/>
  <c r="S554" i="2"/>
  <c r="O554" i="2"/>
  <c r="K554" i="2"/>
  <c r="L602" i="2" s="1"/>
  <c r="G554" i="2"/>
  <c r="C554" i="2"/>
  <c r="D602" i="2" s="1"/>
  <c r="AA553" i="2"/>
  <c r="W553" i="2"/>
  <c r="X601" i="2" s="1"/>
  <c r="S553" i="2"/>
  <c r="O553" i="2"/>
  <c r="K553" i="2"/>
  <c r="G553" i="2"/>
  <c r="H601" i="2" s="1"/>
  <c r="C553" i="2"/>
  <c r="AA552" i="2"/>
  <c r="AB600" i="2" s="1"/>
  <c r="W552" i="2"/>
  <c r="S552" i="2"/>
  <c r="T600" i="2" s="1"/>
  <c r="O552" i="2"/>
  <c r="K552" i="2"/>
  <c r="G552" i="2"/>
  <c r="C552" i="2"/>
  <c r="D600" i="2" s="1"/>
  <c r="AA551" i="2"/>
  <c r="W551" i="2"/>
  <c r="X599" i="2" s="1"/>
  <c r="Y599" i="2" s="1"/>
  <c r="S551" i="2"/>
  <c r="O551" i="2"/>
  <c r="P599" i="2" s="1"/>
  <c r="K551" i="2"/>
  <c r="G551" i="2"/>
  <c r="C551" i="2"/>
  <c r="AA550" i="2"/>
  <c r="AB598" i="2" s="1"/>
  <c r="W550" i="2"/>
  <c r="S550" i="2"/>
  <c r="T598" i="2" s="1"/>
  <c r="O550" i="2"/>
  <c r="K550" i="2"/>
  <c r="L598" i="2" s="1"/>
  <c r="G550" i="2"/>
  <c r="C550" i="2"/>
  <c r="AA549" i="2"/>
  <c r="W549" i="2"/>
  <c r="X597" i="2" s="1"/>
  <c r="T549" i="2"/>
  <c r="S549" i="2"/>
  <c r="O549" i="2"/>
  <c r="P597" i="2" s="1"/>
  <c r="K549" i="2"/>
  <c r="G549" i="2"/>
  <c r="H597" i="2" s="1"/>
  <c r="C549" i="2"/>
  <c r="AA548" i="2"/>
  <c r="W548" i="2"/>
  <c r="S548" i="2"/>
  <c r="T596" i="2" s="1"/>
  <c r="O548" i="2"/>
  <c r="K548" i="2"/>
  <c r="L596" i="2" s="1"/>
  <c r="G548" i="2"/>
  <c r="C548" i="2"/>
  <c r="AA547" i="2"/>
  <c r="W547" i="2"/>
  <c r="S547" i="2"/>
  <c r="O547" i="2"/>
  <c r="P595" i="2" s="1"/>
  <c r="K547" i="2"/>
  <c r="G547" i="2"/>
  <c r="H595" i="2" s="1"/>
  <c r="I595" i="2" s="1"/>
  <c r="C547" i="2"/>
  <c r="AA546" i="2"/>
  <c r="AB594" i="2" s="1"/>
  <c r="AC594" i="2" s="1"/>
  <c r="W546" i="2"/>
  <c r="S546" i="2"/>
  <c r="O546" i="2"/>
  <c r="K546" i="2"/>
  <c r="L594" i="2" s="1"/>
  <c r="G546" i="2"/>
  <c r="C546" i="2"/>
  <c r="AA545" i="2"/>
  <c r="W545" i="2"/>
  <c r="S545" i="2"/>
  <c r="O545" i="2"/>
  <c r="K545" i="2"/>
  <c r="G545" i="2"/>
  <c r="H593" i="2" s="1"/>
  <c r="I593" i="2" s="1"/>
  <c r="C545" i="2"/>
  <c r="AA544" i="2"/>
  <c r="W544" i="2"/>
  <c r="S544" i="2"/>
  <c r="P544" i="2"/>
  <c r="Q544" i="2" s="1"/>
  <c r="O544" i="2"/>
  <c r="K544" i="2"/>
  <c r="G544" i="2"/>
  <c r="C544" i="2"/>
  <c r="AA543" i="2"/>
  <c r="W543" i="2"/>
  <c r="S543" i="2"/>
  <c r="O543" i="2"/>
  <c r="P584" i="2" s="1"/>
  <c r="Q584" i="2" s="1"/>
  <c r="K543" i="2"/>
  <c r="G543" i="2"/>
  <c r="C543" i="2"/>
  <c r="AA542" i="2"/>
  <c r="W542" i="2"/>
  <c r="S542" i="2"/>
  <c r="T590" i="2" s="1"/>
  <c r="U590" i="2" s="1"/>
  <c r="O542" i="2"/>
  <c r="K542" i="2"/>
  <c r="L590" i="2" s="1"/>
  <c r="M590" i="2" s="1"/>
  <c r="G542" i="2"/>
  <c r="C542" i="2"/>
  <c r="AA541" i="2"/>
  <c r="W541" i="2"/>
  <c r="S541" i="2"/>
  <c r="O541" i="2"/>
  <c r="K541" i="2"/>
  <c r="G541" i="2"/>
  <c r="C541" i="2"/>
  <c r="AA540" i="2"/>
  <c r="W540" i="2"/>
  <c r="S540" i="2"/>
  <c r="T588" i="2" s="1"/>
  <c r="U588" i="2" s="1"/>
  <c r="O540" i="2"/>
  <c r="K540" i="2"/>
  <c r="G540" i="2"/>
  <c r="C540" i="2"/>
  <c r="AA539" i="2"/>
  <c r="W539" i="2"/>
  <c r="S539" i="2"/>
  <c r="O539" i="2"/>
  <c r="K539" i="2"/>
  <c r="G539" i="2"/>
  <c r="C539" i="2"/>
  <c r="AA538" i="2"/>
  <c r="W538" i="2"/>
  <c r="S538" i="2"/>
  <c r="O538" i="2"/>
  <c r="K538" i="2"/>
  <c r="G538" i="2"/>
  <c r="C538" i="2"/>
  <c r="AA537" i="2"/>
  <c r="W537" i="2"/>
  <c r="S537" i="2"/>
  <c r="O537" i="2"/>
  <c r="K537" i="2"/>
  <c r="G537" i="2"/>
  <c r="C537" i="2"/>
  <c r="AA536" i="2"/>
  <c r="W536" i="2"/>
  <c r="S536" i="2"/>
  <c r="O536" i="2"/>
  <c r="K536" i="2"/>
  <c r="G536" i="2"/>
  <c r="C536" i="2"/>
  <c r="D584" i="2" s="1"/>
  <c r="E584" i="2" s="1"/>
  <c r="AA535" i="2"/>
  <c r="W535" i="2"/>
  <c r="S535" i="2"/>
  <c r="O535" i="2"/>
  <c r="P580" i="2" s="1"/>
  <c r="L535" i="2"/>
  <c r="M535" i="2" s="1"/>
  <c r="K535" i="2"/>
  <c r="G535" i="2"/>
  <c r="C535" i="2"/>
  <c r="AA534" i="2"/>
  <c r="W534" i="2"/>
  <c r="S534" i="2"/>
  <c r="O534" i="2"/>
  <c r="K534" i="2"/>
  <c r="G534" i="2"/>
  <c r="C534" i="2"/>
  <c r="AA533" i="2"/>
  <c r="W533" i="2"/>
  <c r="S533" i="2"/>
  <c r="O533" i="2"/>
  <c r="P581" i="2" s="1"/>
  <c r="Q581" i="2" s="1"/>
  <c r="K533" i="2"/>
  <c r="G533" i="2"/>
  <c r="C533" i="2"/>
  <c r="AA532" i="2"/>
  <c r="W532" i="2"/>
  <c r="S532" i="2"/>
  <c r="O532" i="2"/>
  <c r="K532" i="2"/>
  <c r="G532" i="2"/>
  <c r="C532" i="2"/>
  <c r="AA531" i="2"/>
  <c r="W531" i="2"/>
  <c r="S531" i="2"/>
  <c r="O531" i="2"/>
  <c r="P579" i="2" s="1"/>
  <c r="Q579" i="2" s="1"/>
  <c r="K531" i="2"/>
  <c r="G531" i="2"/>
  <c r="C531" i="2"/>
  <c r="AA530" i="2"/>
  <c r="W530" i="2"/>
  <c r="S530" i="2"/>
  <c r="O530" i="2"/>
  <c r="K530" i="2"/>
  <c r="G530" i="2"/>
  <c r="C530" i="2"/>
  <c r="AA529" i="2"/>
  <c r="W529" i="2"/>
  <c r="S529" i="2"/>
  <c r="O529" i="2"/>
  <c r="K529" i="2"/>
  <c r="G529" i="2"/>
  <c r="C529" i="2"/>
  <c r="AA528" i="2"/>
  <c r="W528" i="2"/>
  <c r="S528" i="2"/>
  <c r="O528" i="2"/>
  <c r="K528" i="2"/>
  <c r="G528" i="2"/>
  <c r="C528" i="2"/>
  <c r="AA527" i="2"/>
  <c r="W527" i="2"/>
  <c r="S527" i="2"/>
  <c r="O527" i="2"/>
  <c r="K527" i="2"/>
  <c r="G527" i="2"/>
  <c r="C527" i="2"/>
  <c r="AA526" i="2"/>
  <c r="W526" i="2"/>
  <c r="S526" i="2"/>
  <c r="O526" i="2"/>
  <c r="K526" i="2"/>
  <c r="G526" i="2"/>
  <c r="C526" i="2"/>
  <c r="AA525" i="2"/>
  <c r="W525" i="2"/>
  <c r="S525" i="2"/>
  <c r="O525" i="2"/>
  <c r="K525" i="2"/>
  <c r="G525" i="2"/>
  <c r="H566" i="2" s="1"/>
  <c r="I566" i="2" s="1"/>
  <c r="C525" i="2"/>
  <c r="AA524" i="2"/>
  <c r="W524" i="2"/>
  <c r="S524" i="2"/>
  <c r="O524" i="2"/>
  <c r="K524" i="2"/>
  <c r="L572" i="2" s="1"/>
  <c r="M572" i="2" s="1"/>
  <c r="G524" i="2"/>
  <c r="C524" i="2"/>
  <c r="AB523" i="2"/>
  <c r="AC523" i="2" s="1"/>
  <c r="AA523" i="2"/>
  <c r="W523" i="2"/>
  <c r="S523" i="2"/>
  <c r="O523" i="2"/>
  <c r="K523" i="2"/>
  <c r="G523" i="2"/>
  <c r="C523" i="2"/>
  <c r="AA522" i="2"/>
  <c r="W522" i="2"/>
  <c r="S522" i="2"/>
  <c r="O522" i="2"/>
  <c r="K522" i="2"/>
  <c r="L570" i="2" s="1"/>
  <c r="M570" i="2" s="1"/>
  <c r="G522" i="2"/>
  <c r="C522" i="2"/>
  <c r="AA521" i="2"/>
  <c r="W521" i="2"/>
  <c r="S521" i="2"/>
  <c r="O521" i="2"/>
  <c r="K521" i="2"/>
  <c r="G521" i="2"/>
  <c r="C521" i="2"/>
  <c r="AA520" i="2"/>
  <c r="W520" i="2"/>
  <c r="S520" i="2"/>
  <c r="O520" i="2"/>
  <c r="K520" i="2"/>
  <c r="G520" i="2"/>
  <c r="C520" i="2"/>
  <c r="AA519" i="2"/>
  <c r="W519" i="2"/>
  <c r="S519" i="2"/>
  <c r="O519" i="2"/>
  <c r="K519" i="2"/>
  <c r="G519" i="2"/>
  <c r="C519" i="2"/>
  <c r="AA518" i="2"/>
  <c r="W518" i="2"/>
  <c r="S518" i="2"/>
  <c r="O518" i="2"/>
  <c r="K518" i="2"/>
  <c r="G518" i="2"/>
  <c r="C518" i="2"/>
  <c r="AA517" i="2"/>
  <c r="W517" i="2"/>
  <c r="X565" i="2" s="1"/>
  <c r="Y565" i="2" s="1"/>
  <c r="S517" i="2"/>
  <c r="O517" i="2"/>
  <c r="K517" i="2"/>
  <c r="G517" i="2"/>
  <c r="H562" i="2" s="1"/>
  <c r="C517" i="2"/>
  <c r="AA516" i="2"/>
  <c r="W516" i="2"/>
  <c r="S516" i="2"/>
  <c r="O516" i="2"/>
  <c r="K516" i="2"/>
  <c r="G516" i="2"/>
  <c r="C516" i="2"/>
  <c r="AA515" i="2"/>
  <c r="W515" i="2"/>
  <c r="S515" i="2"/>
  <c r="O515" i="2"/>
  <c r="K515" i="2"/>
  <c r="G515" i="2"/>
  <c r="H563" i="2" s="1"/>
  <c r="I563" i="2" s="1"/>
  <c r="C515" i="2"/>
  <c r="AA514" i="2"/>
  <c r="W514" i="2"/>
  <c r="S514" i="2"/>
  <c r="O514" i="2"/>
  <c r="K514" i="2"/>
  <c r="G514" i="2"/>
  <c r="C514" i="2"/>
  <c r="AA513" i="2"/>
  <c r="W513" i="2"/>
  <c r="S513" i="2"/>
  <c r="O513" i="2"/>
  <c r="K513" i="2"/>
  <c r="G513" i="2"/>
  <c r="H561" i="2" s="1"/>
  <c r="I561" i="2" s="1"/>
  <c r="C513" i="2"/>
  <c r="AA512" i="2"/>
  <c r="W512" i="2"/>
  <c r="S512" i="2"/>
  <c r="O512" i="2"/>
  <c r="K512" i="2"/>
  <c r="G512" i="2"/>
  <c r="C512" i="2"/>
  <c r="AA511" i="2"/>
  <c r="W511" i="2"/>
  <c r="S511" i="2"/>
  <c r="O511" i="2"/>
  <c r="K511" i="2"/>
  <c r="G511" i="2"/>
  <c r="C511" i="2"/>
  <c r="AA510" i="2"/>
  <c r="W510" i="2"/>
  <c r="S510" i="2"/>
  <c r="O510" i="2"/>
  <c r="K510" i="2"/>
  <c r="G510" i="2"/>
  <c r="C510" i="2"/>
  <c r="AA509" i="2"/>
  <c r="W509" i="2"/>
  <c r="S509" i="2"/>
  <c r="O509" i="2"/>
  <c r="K509" i="2"/>
  <c r="G509" i="2"/>
  <c r="C509" i="2"/>
  <c r="AA508" i="2"/>
  <c r="W508" i="2"/>
  <c r="S508" i="2"/>
  <c r="O508" i="2"/>
  <c r="K508" i="2"/>
  <c r="G508" i="2"/>
  <c r="C508" i="2"/>
  <c r="AA507" i="2"/>
  <c r="W507" i="2"/>
  <c r="S507" i="2"/>
  <c r="O507" i="2"/>
  <c r="K507" i="2"/>
  <c r="G507" i="2"/>
  <c r="C507" i="2"/>
  <c r="AA506" i="2"/>
  <c r="W506" i="2"/>
  <c r="S506" i="2"/>
  <c r="O506" i="2"/>
  <c r="K506" i="2"/>
  <c r="G506" i="2"/>
  <c r="C506" i="2"/>
  <c r="AA505" i="2"/>
  <c r="W505" i="2"/>
  <c r="S505" i="2"/>
  <c r="O505" i="2"/>
  <c r="K505" i="2"/>
  <c r="G505" i="2"/>
  <c r="C505" i="2"/>
  <c r="AA504" i="2"/>
  <c r="W504" i="2"/>
  <c r="S504" i="2"/>
  <c r="O504" i="2"/>
  <c r="K504" i="2"/>
  <c r="G504" i="2"/>
  <c r="C504" i="2"/>
  <c r="D552" i="2" s="1"/>
  <c r="E552" i="2" s="1"/>
  <c r="AA503" i="2"/>
  <c r="W503" i="2"/>
  <c r="S503" i="2"/>
  <c r="O503" i="2"/>
  <c r="K503" i="2"/>
  <c r="G503" i="2"/>
  <c r="C503" i="2"/>
  <c r="AA502" i="2"/>
  <c r="W502" i="2"/>
  <c r="S502" i="2"/>
  <c r="O502" i="2"/>
  <c r="K502" i="2"/>
  <c r="G502" i="2"/>
  <c r="C502" i="2"/>
  <c r="AA501" i="2"/>
  <c r="W501" i="2"/>
  <c r="S501" i="2"/>
  <c r="O501" i="2"/>
  <c r="K501" i="2"/>
  <c r="G501" i="2"/>
  <c r="C501" i="2"/>
  <c r="AA500" i="2"/>
  <c r="W500" i="2"/>
  <c r="S500" i="2"/>
  <c r="O500" i="2"/>
  <c r="K500" i="2"/>
  <c r="G500" i="2"/>
  <c r="C500" i="2"/>
  <c r="AA499" i="2"/>
  <c r="W499" i="2"/>
  <c r="S499" i="2"/>
  <c r="O499" i="2"/>
  <c r="K499" i="2"/>
  <c r="G499" i="2"/>
  <c r="C499" i="2"/>
  <c r="AA498" i="2"/>
  <c r="AB543" i="2" s="1"/>
  <c r="W498" i="2"/>
  <c r="S498" i="2"/>
  <c r="O498" i="2"/>
  <c r="K498" i="2"/>
  <c r="G498" i="2"/>
  <c r="C498" i="2"/>
  <c r="AA497" i="2"/>
  <c r="W497" i="2"/>
  <c r="X545" i="2" s="1"/>
  <c r="S497" i="2"/>
  <c r="O497" i="2"/>
  <c r="K497" i="2"/>
  <c r="G497" i="2"/>
  <c r="C497" i="2"/>
  <c r="AA496" i="2"/>
  <c r="W496" i="2"/>
  <c r="S496" i="2"/>
  <c r="O496" i="2"/>
  <c r="K496" i="2"/>
  <c r="G496" i="2"/>
  <c r="C496" i="2"/>
  <c r="AA495" i="2"/>
  <c r="X495" i="2"/>
  <c r="W495" i="2"/>
  <c r="S495" i="2"/>
  <c r="O495" i="2"/>
  <c r="K495" i="2"/>
  <c r="G495" i="2"/>
  <c r="C495" i="2"/>
  <c r="AA494" i="2"/>
  <c r="W494" i="2"/>
  <c r="S494" i="2"/>
  <c r="O494" i="2"/>
  <c r="K494" i="2"/>
  <c r="G494" i="2"/>
  <c r="C494" i="2"/>
  <c r="AA493" i="2"/>
  <c r="W493" i="2"/>
  <c r="S493" i="2"/>
  <c r="O493" i="2"/>
  <c r="K493" i="2"/>
  <c r="G493" i="2"/>
  <c r="H526" i="2" s="1"/>
  <c r="I526" i="2" s="1"/>
  <c r="C493" i="2"/>
  <c r="AA492" i="2"/>
  <c r="W492" i="2"/>
  <c r="S492" i="2"/>
  <c r="O492" i="2"/>
  <c r="K492" i="2"/>
  <c r="G492" i="2"/>
  <c r="C492" i="2"/>
  <c r="AA491" i="2"/>
  <c r="W491" i="2"/>
  <c r="S491" i="2"/>
  <c r="O491" i="2"/>
  <c r="K491" i="2"/>
  <c r="G491" i="2"/>
  <c r="C491" i="2"/>
  <c r="AA490" i="2"/>
  <c r="W490" i="2"/>
  <c r="S490" i="2"/>
  <c r="O490" i="2"/>
  <c r="K490" i="2"/>
  <c r="G490" i="2"/>
  <c r="C490" i="2"/>
  <c r="AA489" i="2"/>
  <c r="W489" i="2"/>
  <c r="S489" i="2"/>
  <c r="O489" i="2"/>
  <c r="K489" i="2"/>
  <c r="G489" i="2"/>
  <c r="C489" i="2"/>
  <c r="AA488" i="2"/>
  <c r="W488" i="2"/>
  <c r="S488" i="2"/>
  <c r="O488" i="2"/>
  <c r="K488" i="2"/>
  <c r="G488" i="2"/>
  <c r="C488" i="2"/>
  <c r="AA487" i="2"/>
  <c r="W487" i="2"/>
  <c r="S487" i="2"/>
  <c r="O487" i="2"/>
  <c r="K487" i="2"/>
  <c r="G487" i="2"/>
  <c r="C487" i="2"/>
  <c r="D535" i="2" s="1"/>
  <c r="AA486" i="2"/>
  <c r="W486" i="2"/>
  <c r="S486" i="2"/>
  <c r="O486" i="2"/>
  <c r="K486" i="2"/>
  <c r="G486" i="2"/>
  <c r="C486" i="2"/>
  <c r="AA485" i="2"/>
  <c r="W485" i="2"/>
  <c r="S485" i="2"/>
  <c r="O485" i="2"/>
  <c r="K485" i="2"/>
  <c r="G485" i="2"/>
  <c r="C485" i="2"/>
  <c r="AA484" i="2"/>
  <c r="W484" i="2"/>
  <c r="S484" i="2"/>
  <c r="O484" i="2"/>
  <c r="K484" i="2"/>
  <c r="G484" i="2"/>
  <c r="C484" i="2"/>
  <c r="AA483" i="2"/>
  <c r="W483" i="2"/>
  <c r="S483" i="2"/>
  <c r="O483" i="2"/>
  <c r="K483" i="2"/>
  <c r="G483" i="2"/>
  <c r="C483" i="2"/>
  <c r="AA482" i="2"/>
  <c r="W482" i="2"/>
  <c r="S482" i="2"/>
  <c r="O482" i="2"/>
  <c r="K482" i="2"/>
  <c r="G482" i="2"/>
  <c r="C482" i="2"/>
  <c r="AA481" i="2"/>
  <c r="W481" i="2"/>
  <c r="S481" i="2"/>
  <c r="O481" i="2"/>
  <c r="K481" i="2"/>
  <c r="G481" i="2"/>
  <c r="C481" i="2"/>
  <c r="AA480" i="2"/>
  <c r="W480" i="2"/>
  <c r="S480" i="2"/>
  <c r="O480" i="2"/>
  <c r="K480" i="2"/>
  <c r="G480" i="2"/>
  <c r="C480" i="2"/>
  <c r="AA479" i="2"/>
  <c r="W479" i="2"/>
  <c r="S479" i="2"/>
  <c r="O479" i="2"/>
  <c r="K479" i="2"/>
  <c r="G479" i="2"/>
  <c r="C479" i="2"/>
  <c r="AA478" i="2"/>
  <c r="W478" i="2"/>
  <c r="S478" i="2"/>
  <c r="O478" i="2"/>
  <c r="K478" i="2"/>
  <c r="G478" i="2"/>
  <c r="C478" i="2"/>
  <c r="AA477" i="2"/>
  <c r="W477" i="2"/>
  <c r="S477" i="2"/>
  <c r="O477" i="2"/>
  <c r="K477" i="2"/>
  <c r="G477" i="2"/>
  <c r="C477" i="2"/>
  <c r="AA476" i="2"/>
  <c r="W476" i="2"/>
  <c r="S476" i="2"/>
  <c r="O476" i="2"/>
  <c r="K476" i="2"/>
  <c r="G476" i="2"/>
  <c r="C476" i="2"/>
  <c r="AA475" i="2"/>
  <c r="W475" i="2"/>
  <c r="S475" i="2"/>
  <c r="O475" i="2"/>
  <c r="K475" i="2"/>
  <c r="G475" i="2"/>
  <c r="C475" i="2"/>
  <c r="AA474" i="2"/>
  <c r="W474" i="2"/>
  <c r="S474" i="2"/>
  <c r="O474" i="2"/>
  <c r="K474" i="2"/>
  <c r="G474" i="2"/>
  <c r="C474" i="2"/>
  <c r="AA473" i="2"/>
  <c r="W473" i="2"/>
  <c r="S473" i="2"/>
  <c r="O473" i="2"/>
  <c r="K473" i="2"/>
  <c r="G473" i="2"/>
  <c r="C473" i="2"/>
  <c r="AA472" i="2"/>
  <c r="W472" i="2"/>
  <c r="S472" i="2"/>
  <c r="O472" i="2"/>
  <c r="K472" i="2"/>
  <c r="G472" i="2"/>
  <c r="C472" i="2"/>
  <c r="AA471" i="2"/>
  <c r="W471" i="2"/>
  <c r="S471" i="2"/>
  <c r="O471" i="2"/>
  <c r="K471" i="2"/>
  <c r="G471" i="2"/>
  <c r="C471" i="2"/>
  <c r="D513" i="2" s="1"/>
  <c r="AA470" i="2"/>
  <c r="W470" i="2"/>
  <c r="S470" i="2"/>
  <c r="O470" i="2"/>
  <c r="K470" i="2"/>
  <c r="G470" i="2"/>
  <c r="C470" i="2"/>
  <c r="AA469" i="2"/>
  <c r="W469" i="2"/>
  <c r="S469" i="2"/>
  <c r="O469" i="2"/>
  <c r="K469" i="2"/>
  <c r="G469" i="2"/>
  <c r="C469" i="2"/>
  <c r="AA468" i="2"/>
  <c r="W468" i="2"/>
  <c r="S468" i="2"/>
  <c r="P468" i="2"/>
  <c r="O468" i="2"/>
  <c r="K468" i="2"/>
  <c r="G468" i="2"/>
  <c r="C468" i="2"/>
  <c r="AA467" i="2"/>
  <c r="W467" i="2"/>
  <c r="S467" i="2"/>
  <c r="O467" i="2"/>
  <c r="K467" i="2"/>
  <c r="G467" i="2"/>
  <c r="C467" i="2"/>
  <c r="AA466" i="2"/>
  <c r="W466" i="2"/>
  <c r="S466" i="2"/>
  <c r="O466" i="2"/>
  <c r="K466" i="2"/>
  <c r="G466" i="2"/>
  <c r="C466" i="2"/>
  <c r="AA465" i="2"/>
  <c r="W465" i="2"/>
  <c r="S465" i="2"/>
  <c r="O465" i="2"/>
  <c r="K465" i="2"/>
  <c r="G465" i="2"/>
  <c r="C465" i="2"/>
  <c r="AA464" i="2"/>
  <c r="W464" i="2"/>
  <c r="S464" i="2"/>
  <c r="P464" i="2"/>
  <c r="Q464" i="2" s="1"/>
  <c r="O464" i="2"/>
  <c r="K464" i="2"/>
  <c r="G464" i="2"/>
  <c r="C464" i="2"/>
  <c r="AA463" i="2"/>
  <c r="W463" i="2"/>
  <c r="S463" i="2"/>
  <c r="O463" i="2"/>
  <c r="K463" i="2"/>
  <c r="G463" i="2"/>
  <c r="C463" i="2"/>
  <c r="AA462" i="2"/>
  <c r="W462" i="2"/>
  <c r="S462" i="2"/>
  <c r="O462" i="2"/>
  <c r="K462" i="2"/>
  <c r="G462" i="2"/>
  <c r="C462" i="2"/>
  <c r="AA461" i="2"/>
  <c r="W461" i="2"/>
  <c r="S461" i="2"/>
  <c r="O461" i="2"/>
  <c r="K461" i="2"/>
  <c r="G461" i="2"/>
  <c r="C461" i="2"/>
  <c r="AA460" i="2"/>
  <c r="W460" i="2"/>
  <c r="S460" i="2"/>
  <c r="O460" i="2"/>
  <c r="K460" i="2"/>
  <c r="G460" i="2"/>
  <c r="C460" i="2"/>
  <c r="AA459" i="2"/>
  <c r="W459" i="2"/>
  <c r="S459" i="2"/>
  <c r="O459" i="2"/>
  <c r="K459" i="2"/>
  <c r="G459" i="2"/>
  <c r="C459" i="2"/>
  <c r="AA458" i="2"/>
  <c r="W458" i="2"/>
  <c r="S458" i="2"/>
  <c r="O458" i="2"/>
  <c r="K458" i="2"/>
  <c r="G458" i="2"/>
  <c r="C458" i="2"/>
  <c r="AA457" i="2"/>
  <c r="W457" i="2"/>
  <c r="S457" i="2"/>
  <c r="O457" i="2"/>
  <c r="K457" i="2"/>
  <c r="G457" i="2"/>
  <c r="C457" i="2"/>
  <c r="AA456" i="2"/>
  <c r="W456" i="2"/>
  <c r="S456" i="2"/>
  <c r="O456" i="2"/>
  <c r="K456" i="2"/>
  <c r="G456" i="2"/>
  <c r="C456" i="2"/>
  <c r="AA455" i="2"/>
  <c r="W455" i="2"/>
  <c r="S455" i="2"/>
  <c r="O455" i="2"/>
  <c r="K455" i="2"/>
  <c r="G455" i="2"/>
  <c r="C455" i="2"/>
  <c r="AA454" i="2"/>
  <c r="W454" i="2"/>
  <c r="S454" i="2"/>
  <c r="O454" i="2"/>
  <c r="K454" i="2"/>
  <c r="G454" i="2"/>
  <c r="C454" i="2"/>
  <c r="AA453" i="2"/>
  <c r="W453" i="2"/>
  <c r="S453" i="2"/>
  <c r="O453" i="2"/>
  <c r="K453" i="2"/>
  <c r="G453" i="2"/>
  <c r="C453" i="2"/>
  <c r="AA452" i="2"/>
  <c r="W452" i="2"/>
  <c r="S452" i="2"/>
  <c r="O452" i="2"/>
  <c r="K452" i="2"/>
  <c r="G452" i="2"/>
  <c r="C452" i="2"/>
  <c r="AA451" i="2"/>
  <c r="W451" i="2"/>
  <c r="S451" i="2"/>
  <c r="O451" i="2"/>
  <c r="K451" i="2"/>
  <c r="G451" i="2"/>
  <c r="H488" i="2" s="1"/>
  <c r="C451" i="2"/>
  <c r="AA450" i="2"/>
  <c r="W450" i="2"/>
  <c r="S450" i="2"/>
  <c r="O450" i="2"/>
  <c r="K450" i="2"/>
  <c r="G450" i="2"/>
  <c r="C450" i="2"/>
  <c r="AA449" i="2"/>
  <c r="W449" i="2"/>
  <c r="S449" i="2"/>
  <c r="O449" i="2"/>
  <c r="K449" i="2"/>
  <c r="G449" i="2"/>
  <c r="C449" i="2"/>
  <c r="AA448" i="2"/>
  <c r="W448" i="2"/>
  <c r="S448" i="2"/>
  <c r="O448" i="2"/>
  <c r="K448" i="2"/>
  <c r="H448" i="2"/>
  <c r="G448" i="2"/>
  <c r="C448" i="2"/>
  <c r="AA447" i="2"/>
  <c r="W447" i="2"/>
  <c r="S447" i="2"/>
  <c r="O447" i="2"/>
  <c r="K447" i="2"/>
  <c r="G447" i="2"/>
  <c r="C447" i="2"/>
  <c r="AA446" i="2"/>
  <c r="W446" i="2"/>
  <c r="S446" i="2"/>
  <c r="O446" i="2"/>
  <c r="K446" i="2"/>
  <c r="G446" i="2"/>
  <c r="C446" i="2"/>
  <c r="AA445" i="2"/>
  <c r="W445" i="2"/>
  <c r="S445" i="2"/>
  <c r="O445" i="2"/>
  <c r="K445" i="2"/>
  <c r="G445" i="2"/>
  <c r="C445" i="2"/>
  <c r="AA444" i="2"/>
  <c r="W444" i="2"/>
  <c r="S444" i="2"/>
  <c r="O444" i="2"/>
  <c r="K444" i="2"/>
  <c r="G444" i="2"/>
  <c r="C444" i="2"/>
  <c r="AA443" i="2"/>
  <c r="W443" i="2"/>
  <c r="S443" i="2"/>
  <c r="O443" i="2"/>
  <c r="K443" i="2"/>
  <c r="G443" i="2"/>
  <c r="C443" i="2"/>
  <c r="AA442" i="2"/>
  <c r="W442" i="2"/>
  <c r="S442" i="2"/>
  <c r="O442" i="2"/>
  <c r="K442" i="2"/>
  <c r="H442" i="2"/>
  <c r="G442" i="2"/>
  <c r="C442" i="2"/>
  <c r="AA441" i="2"/>
  <c r="W441" i="2"/>
  <c r="S441" i="2"/>
  <c r="O441" i="2"/>
  <c r="K441" i="2"/>
  <c r="G441" i="2"/>
  <c r="C441" i="2"/>
  <c r="AA440" i="2"/>
  <c r="W440" i="2"/>
  <c r="S440" i="2"/>
  <c r="O440" i="2"/>
  <c r="K440" i="2"/>
  <c r="G440" i="2"/>
  <c r="C440" i="2"/>
  <c r="AA439" i="2"/>
  <c r="W439" i="2"/>
  <c r="S439" i="2"/>
  <c r="O439" i="2"/>
  <c r="K439" i="2"/>
  <c r="G439" i="2"/>
  <c r="C439" i="2"/>
  <c r="AA438" i="2"/>
  <c r="W438" i="2"/>
  <c r="S438" i="2"/>
  <c r="O438" i="2"/>
  <c r="K438" i="2"/>
  <c r="G438" i="2"/>
  <c r="C438" i="2"/>
  <c r="AA437" i="2"/>
  <c r="W437" i="2"/>
  <c r="S437" i="2"/>
  <c r="O437" i="2"/>
  <c r="K437" i="2"/>
  <c r="G437" i="2"/>
  <c r="C437" i="2"/>
  <c r="AA436" i="2"/>
  <c r="W436" i="2"/>
  <c r="S436" i="2"/>
  <c r="O436" i="2"/>
  <c r="K436" i="2"/>
  <c r="G436" i="2"/>
  <c r="C436" i="2"/>
  <c r="AA435" i="2"/>
  <c r="W435" i="2"/>
  <c r="S435" i="2"/>
  <c r="O435" i="2"/>
  <c r="K435" i="2"/>
  <c r="G435" i="2"/>
  <c r="C435" i="2"/>
  <c r="AA434" i="2"/>
  <c r="W434" i="2"/>
  <c r="S434" i="2"/>
  <c r="O434" i="2"/>
  <c r="K434" i="2"/>
  <c r="G434" i="2"/>
  <c r="C434" i="2"/>
  <c r="AA433" i="2"/>
  <c r="W433" i="2"/>
  <c r="S433" i="2"/>
  <c r="O433" i="2"/>
  <c r="K433" i="2"/>
  <c r="G433" i="2"/>
  <c r="C433" i="2"/>
  <c r="AA432" i="2"/>
  <c r="AB479" i="2" s="1"/>
  <c r="W432" i="2"/>
  <c r="S432" i="2"/>
  <c r="O432" i="2"/>
  <c r="K432" i="2"/>
  <c r="G432" i="2"/>
  <c r="C432" i="2"/>
  <c r="AA431" i="2"/>
  <c r="W431" i="2"/>
  <c r="S431" i="2"/>
  <c r="O431" i="2"/>
  <c r="K431" i="2"/>
  <c r="G431" i="2"/>
  <c r="C431" i="2"/>
  <c r="AA430" i="2"/>
  <c r="W430" i="2"/>
  <c r="S430" i="2"/>
  <c r="O430" i="2"/>
  <c r="K430" i="2"/>
  <c r="G430" i="2"/>
  <c r="C430" i="2"/>
  <c r="AA429" i="2"/>
  <c r="W429" i="2"/>
  <c r="S429" i="2"/>
  <c r="O429" i="2"/>
  <c r="K429" i="2"/>
  <c r="G429" i="2"/>
  <c r="D429" i="2"/>
  <c r="E429" i="2" s="1"/>
  <c r="C429" i="2"/>
  <c r="AA428" i="2"/>
  <c r="W428" i="2"/>
  <c r="S428" i="2"/>
  <c r="O428" i="2"/>
  <c r="K428" i="2"/>
  <c r="G428" i="2"/>
  <c r="C428" i="2"/>
  <c r="AA427" i="2"/>
  <c r="W427" i="2"/>
  <c r="S427" i="2"/>
  <c r="O427" i="2"/>
  <c r="K427" i="2"/>
  <c r="G427" i="2"/>
  <c r="C427" i="2"/>
  <c r="AA426" i="2"/>
  <c r="W426" i="2"/>
  <c r="S426" i="2"/>
  <c r="O426" i="2"/>
  <c r="K426" i="2"/>
  <c r="G426" i="2"/>
  <c r="C426" i="2"/>
  <c r="AA425" i="2"/>
  <c r="W425" i="2"/>
  <c r="S425" i="2"/>
  <c r="O425" i="2"/>
  <c r="K425" i="2"/>
  <c r="G425" i="2"/>
  <c r="C425" i="2"/>
  <c r="AA424" i="2"/>
  <c r="W424" i="2"/>
  <c r="S424" i="2"/>
  <c r="T472" i="2" s="1"/>
  <c r="U472" i="2" s="1"/>
  <c r="O424" i="2"/>
  <c r="K424" i="2"/>
  <c r="G424" i="2"/>
  <c r="C424" i="2"/>
  <c r="AA423" i="2"/>
  <c r="W423" i="2"/>
  <c r="S423" i="2"/>
  <c r="O423" i="2"/>
  <c r="K423" i="2"/>
  <c r="G423" i="2"/>
  <c r="C423" i="2"/>
  <c r="AA422" i="2"/>
  <c r="W422" i="2"/>
  <c r="S422" i="2"/>
  <c r="O422" i="2"/>
  <c r="K422" i="2"/>
  <c r="G422" i="2"/>
  <c r="C422" i="2"/>
  <c r="AA421" i="2"/>
  <c r="W421" i="2"/>
  <c r="S421" i="2"/>
  <c r="O421" i="2"/>
  <c r="P469" i="2" s="1"/>
  <c r="K421" i="2"/>
  <c r="G421" i="2"/>
  <c r="C421" i="2"/>
  <c r="AA420" i="2"/>
  <c r="W420" i="2"/>
  <c r="S420" i="2"/>
  <c r="O420" i="2"/>
  <c r="K420" i="2"/>
  <c r="G420" i="2"/>
  <c r="C420" i="2"/>
  <c r="AA419" i="2"/>
  <c r="W419" i="2"/>
  <c r="S419" i="2"/>
  <c r="O419" i="2"/>
  <c r="K419" i="2"/>
  <c r="G419" i="2"/>
  <c r="C419" i="2"/>
  <c r="AA418" i="2"/>
  <c r="W418" i="2"/>
  <c r="S418" i="2"/>
  <c r="O418" i="2"/>
  <c r="K418" i="2"/>
  <c r="G418" i="2"/>
  <c r="C418" i="2"/>
  <c r="AA417" i="2"/>
  <c r="W417" i="2"/>
  <c r="S417" i="2"/>
  <c r="O417" i="2"/>
  <c r="K417" i="2"/>
  <c r="G417" i="2"/>
  <c r="C417" i="2"/>
  <c r="AA416" i="2"/>
  <c r="W416" i="2"/>
  <c r="S416" i="2"/>
  <c r="O416" i="2"/>
  <c r="K416" i="2"/>
  <c r="G416" i="2"/>
  <c r="C416" i="2"/>
  <c r="AA415" i="2"/>
  <c r="W415" i="2"/>
  <c r="S415" i="2"/>
  <c r="O415" i="2"/>
  <c r="K415" i="2"/>
  <c r="G415" i="2"/>
  <c r="C415" i="2"/>
  <c r="AA414" i="2"/>
  <c r="W414" i="2"/>
  <c r="S414" i="2"/>
  <c r="O414" i="2"/>
  <c r="K414" i="2"/>
  <c r="G414" i="2"/>
  <c r="C414" i="2"/>
  <c r="AA413" i="2"/>
  <c r="W413" i="2"/>
  <c r="T413" i="2"/>
  <c r="S413" i="2"/>
  <c r="O413" i="2"/>
  <c r="K413" i="2"/>
  <c r="G413" i="2"/>
  <c r="C413" i="2"/>
  <c r="AA412" i="2"/>
  <c r="W412" i="2"/>
  <c r="S412" i="2"/>
  <c r="O412" i="2"/>
  <c r="K412" i="2"/>
  <c r="G412" i="2"/>
  <c r="C412" i="2"/>
  <c r="AA411" i="2"/>
  <c r="W411" i="2"/>
  <c r="S411" i="2"/>
  <c r="O411" i="2"/>
  <c r="K411" i="2"/>
  <c r="G411" i="2"/>
  <c r="C411" i="2"/>
  <c r="AA410" i="2"/>
  <c r="W410" i="2"/>
  <c r="S410" i="2"/>
  <c r="O410" i="2"/>
  <c r="K410" i="2"/>
  <c r="G410" i="2"/>
  <c r="C410" i="2"/>
  <c r="AA409" i="2"/>
  <c r="W409" i="2"/>
  <c r="S409" i="2"/>
  <c r="O409" i="2"/>
  <c r="K409" i="2"/>
  <c r="G409" i="2"/>
  <c r="C409" i="2"/>
  <c r="AA408" i="2"/>
  <c r="W408" i="2"/>
  <c r="S408" i="2"/>
  <c r="O408" i="2"/>
  <c r="K408" i="2"/>
  <c r="G408" i="2"/>
  <c r="H456" i="2" s="1"/>
  <c r="I456" i="2" s="1"/>
  <c r="C408" i="2"/>
  <c r="AA407" i="2"/>
  <c r="W407" i="2"/>
  <c r="S407" i="2"/>
  <c r="O407" i="2"/>
  <c r="K407" i="2"/>
  <c r="G407" i="2"/>
  <c r="C407" i="2"/>
  <c r="AA406" i="2"/>
  <c r="W406" i="2"/>
  <c r="S406" i="2"/>
  <c r="O406" i="2"/>
  <c r="K406" i="2"/>
  <c r="G406" i="2"/>
  <c r="C406" i="2"/>
  <c r="AA405" i="2"/>
  <c r="W405" i="2"/>
  <c r="S405" i="2"/>
  <c r="O405" i="2"/>
  <c r="K405" i="2"/>
  <c r="G405" i="2"/>
  <c r="C405" i="2"/>
  <c r="AA404" i="2"/>
  <c r="W404" i="2"/>
  <c r="S404" i="2"/>
  <c r="O404" i="2"/>
  <c r="K404" i="2"/>
  <c r="G404" i="2"/>
  <c r="C404" i="2"/>
  <c r="AA403" i="2"/>
  <c r="W403" i="2"/>
  <c r="S403" i="2"/>
  <c r="O403" i="2"/>
  <c r="K403" i="2"/>
  <c r="G403" i="2"/>
  <c r="C403" i="2"/>
  <c r="AA402" i="2"/>
  <c r="W402" i="2"/>
  <c r="S402" i="2"/>
  <c r="O402" i="2"/>
  <c r="K402" i="2"/>
  <c r="G402" i="2"/>
  <c r="C402" i="2"/>
  <c r="AA401" i="2"/>
  <c r="W401" i="2"/>
  <c r="S401" i="2"/>
  <c r="O401" i="2"/>
  <c r="K401" i="2"/>
  <c r="L449" i="2" s="1"/>
  <c r="M449" i="2" s="1"/>
  <c r="G401" i="2"/>
  <c r="C401" i="2"/>
  <c r="AA400" i="2"/>
  <c r="W400" i="2"/>
  <c r="S400" i="2"/>
  <c r="O400" i="2"/>
  <c r="K400" i="2"/>
  <c r="G400" i="2"/>
  <c r="C400" i="2"/>
  <c r="AA399" i="2"/>
  <c r="W399" i="2"/>
  <c r="S399" i="2"/>
  <c r="O399" i="2"/>
  <c r="K399" i="2"/>
  <c r="G399" i="2"/>
  <c r="C399" i="2"/>
  <c r="AA398" i="2"/>
  <c r="W398" i="2"/>
  <c r="S398" i="2"/>
  <c r="O398" i="2"/>
  <c r="K398" i="2"/>
  <c r="G398" i="2"/>
  <c r="C398" i="2"/>
  <c r="AA397" i="2"/>
  <c r="W397" i="2"/>
  <c r="S397" i="2"/>
  <c r="O397" i="2"/>
  <c r="K397" i="2"/>
  <c r="G397" i="2"/>
  <c r="C397" i="2"/>
  <c r="AA396" i="2"/>
  <c r="W396" i="2"/>
  <c r="S396" i="2"/>
  <c r="O396" i="2"/>
  <c r="K396" i="2"/>
  <c r="G396" i="2"/>
  <c r="C396" i="2"/>
  <c r="AA395" i="2"/>
  <c r="W395" i="2"/>
  <c r="S395" i="2"/>
  <c r="O395" i="2"/>
  <c r="K395" i="2"/>
  <c r="G395" i="2"/>
  <c r="C395" i="2"/>
  <c r="AA394" i="2"/>
  <c r="W394" i="2"/>
  <c r="S394" i="2"/>
  <c r="O394" i="2"/>
  <c r="K394" i="2"/>
  <c r="G394" i="2"/>
  <c r="C394" i="2"/>
  <c r="AA393" i="2"/>
  <c r="W393" i="2"/>
  <c r="S393" i="2"/>
  <c r="O393" i="2"/>
  <c r="K393" i="2"/>
  <c r="G393" i="2"/>
  <c r="C393" i="2"/>
  <c r="AA392" i="2"/>
  <c r="W392" i="2"/>
  <c r="S392" i="2"/>
  <c r="O392" i="2"/>
  <c r="K392" i="2"/>
  <c r="G392" i="2"/>
  <c r="C392" i="2"/>
  <c r="AA391" i="2"/>
  <c r="W391" i="2"/>
  <c r="S391" i="2"/>
  <c r="O391" i="2"/>
  <c r="K391" i="2"/>
  <c r="G391" i="2"/>
  <c r="C391" i="2"/>
  <c r="AA390" i="2"/>
  <c r="W390" i="2"/>
  <c r="S390" i="2"/>
  <c r="O390" i="2"/>
  <c r="K390" i="2"/>
  <c r="G390" i="2"/>
  <c r="C390" i="2"/>
  <c r="AA389" i="2"/>
  <c r="W389" i="2"/>
  <c r="S389" i="2"/>
  <c r="O389" i="2"/>
  <c r="K389" i="2"/>
  <c r="G389" i="2"/>
  <c r="C389" i="2"/>
  <c r="AA388" i="2"/>
  <c r="W388" i="2"/>
  <c r="S388" i="2"/>
  <c r="O388" i="2"/>
  <c r="K388" i="2"/>
  <c r="G388" i="2"/>
  <c r="C388" i="2"/>
  <c r="AA387" i="2"/>
  <c r="W387" i="2"/>
  <c r="S387" i="2"/>
  <c r="O387" i="2"/>
  <c r="K387" i="2"/>
  <c r="G387" i="2"/>
  <c r="C387" i="2"/>
  <c r="AA386" i="2"/>
  <c r="W386" i="2"/>
  <c r="S386" i="2"/>
  <c r="O386" i="2"/>
  <c r="K386" i="2"/>
  <c r="H386" i="2"/>
  <c r="G386" i="2"/>
  <c r="C386" i="2"/>
  <c r="AA385" i="2"/>
  <c r="W385" i="2"/>
  <c r="S385" i="2"/>
  <c r="O385" i="2"/>
  <c r="K385" i="2"/>
  <c r="G385" i="2"/>
  <c r="C385" i="2"/>
  <c r="AA384" i="2"/>
  <c r="W384" i="2"/>
  <c r="S384" i="2"/>
  <c r="O384" i="2"/>
  <c r="K384" i="2"/>
  <c r="G384" i="2"/>
  <c r="C384" i="2"/>
  <c r="AA383" i="2"/>
  <c r="W383" i="2"/>
  <c r="S383" i="2"/>
  <c r="O383" i="2"/>
  <c r="K383" i="2"/>
  <c r="G383" i="2"/>
  <c r="C383" i="2"/>
  <c r="AA382" i="2"/>
  <c r="W382" i="2"/>
  <c r="S382" i="2"/>
  <c r="O382" i="2"/>
  <c r="P430" i="2" s="1"/>
  <c r="Q430" i="2" s="1"/>
  <c r="K382" i="2"/>
  <c r="G382" i="2"/>
  <c r="C382" i="2"/>
  <c r="D430" i="2" s="1"/>
  <c r="AA381" i="2"/>
  <c r="W381" i="2"/>
  <c r="S381" i="2"/>
  <c r="O381" i="2"/>
  <c r="K381" i="2"/>
  <c r="G381" i="2"/>
  <c r="C381" i="2"/>
  <c r="AA380" i="2"/>
  <c r="W380" i="2"/>
  <c r="S380" i="2"/>
  <c r="O380" i="2"/>
  <c r="K380" i="2"/>
  <c r="G380" i="2"/>
  <c r="C380" i="2"/>
  <c r="AA379" i="2"/>
  <c r="W379" i="2"/>
  <c r="S379" i="2"/>
  <c r="O379" i="2"/>
  <c r="K379" i="2"/>
  <c r="G379" i="2"/>
  <c r="C379" i="2"/>
  <c r="AA378" i="2"/>
  <c r="W378" i="2"/>
  <c r="S378" i="2"/>
  <c r="O378" i="2"/>
  <c r="K378" i="2"/>
  <c r="G378" i="2"/>
  <c r="C378" i="2"/>
  <c r="AA377" i="2"/>
  <c r="W377" i="2"/>
  <c r="S377" i="2"/>
  <c r="O377" i="2"/>
  <c r="K377" i="2"/>
  <c r="G377" i="2"/>
  <c r="C377" i="2"/>
  <c r="AA376" i="2"/>
  <c r="W376" i="2"/>
  <c r="S376" i="2"/>
  <c r="O376" i="2"/>
  <c r="K376" i="2"/>
  <c r="G376" i="2"/>
  <c r="C376" i="2"/>
  <c r="AA375" i="2"/>
  <c r="W375" i="2"/>
  <c r="S375" i="2"/>
  <c r="O375" i="2"/>
  <c r="L375" i="2"/>
  <c r="M375" i="2" s="1"/>
  <c r="K375" i="2"/>
  <c r="G375" i="2"/>
  <c r="C375" i="2"/>
  <c r="AA374" i="2"/>
  <c r="W374" i="2"/>
  <c r="S374" i="2"/>
  <c r="O374" i="2"/>
  <c r="K374" i="2"/>
  <c r="L422" i="2" s="1"/>
  <c r="G374" i="2"/>
  <c r="C374" i="2"/>
  <c r="AA373" i="2"/>
  <c r="W373" i="2"/>
  <c r="S373" i="2"/>
  <c r="O373" i="2"/>
  <c r="K373" i="2"/>
  <c r="G373" i="2"/>
  <c r="C373" i="2"/>
  <c r="AA372" i="2"/>
  <c r="W372" i="2"/>
  <c r="S372" i="2"/>
  <c r="O372" i="2"/>
  <c r="K372" i="2"/>
  <c r="G372" i="2"/>
  <c r="C372" i="2"/>
  <c r="D420" i="2" s="1"/>
  <c r="E420" i="2" s="1"/>
  <c r="AA371" i="2"/>
  <c r="W371" i="2"/>
  <c r="S371" i="2"/>
  <c r="O371" i="2"/>
  <c r="K371" i="2"/>
  <c r="G371" i="2"/>
  <c r="C371" i="2"/>
  <c r="AA370" i="2"/>
  <c r="W370" i="2"/>
  <c r="S370" i="2"/>
  <c r="O370" i="2"/>
  <c r="K370" i="2"/>
  <c r="G370" i="2"/>
  <c r="C370" i="2"/>
  <c r="AB369" i="2"/>
  <c r="AA369" i="2"/>
  <c r="W369" i="2"/>
  <c r="S369" i="2"/>
  <c r="O369" i="2"/>
  <c r="K369" i="2"/>
  <c r="G369" i="2"/>
  <c r="C369" i="2"/>
  <c r="AA368" i="2"/>
  <c r="W368" i="2"/>
  <c r="S368" i="2"/>
  <c r="O368" i="2"/>
  <c r="K368" i="2"/>
  <c r="G368" i="2"/>
  <c r="C368" i="2"/>
  <c r="AA367" i="2"/>
  <c r="W367" i="2"/>
  <c r="S367" i="2"/>
  <c r="O367" i="2"/>
  <c r="P415" i="2" s="1"/>
  <c r="Q415" i="2" s="1"/>
  <c r="K367" i="2"/>
  <c r="G367" i="2"/>
  <c r="C367" i="2"/>
  <c r="AA366" i="2"/>
  <c r="W366" i="2"/>
  <c r="S366" i="2"/>
  <c r="O366" i="2"/>
  <c r="K366" i="2"/>
  <c r="G366" i="2"/>
  <c r="C366" i="2"/>
  <c r="AA365" i="2"/>
  <c r="W365" i="2"/>
  <c r="S365" i="2"/>
  <c r="O365" i="2"/>
  <c r="K365" i="2"/>
  <c r="G365" i="2"/>
  <c r="C365" i="2"/>
  <c r="AA364" i="2"/>
  <c r="W364" i="2"/>
  <c r="S364" i="2"/>
  <c r="O364" i="2"/>
  <c r="K364" i="2"/>
  <c r="G364" i="2"/>
  <c r="C364" i="2"/>
  <c r="AA363" i="2"/>
  <c r="W363" i="2"/>
  <c r="S363" i="2"/>
  <c r="O363" i="2"/>
  <c r="K363" i="2"/>
  <c r="G363" i="2"/>
  <c r="C363" i="2"/>
  <c r="AA362" i="2"/>
  <c r="W362" i="2"/>
  <c r="S362" i="2"/>
  <c r="O362" i="2"/>
  <c r="K362" i="2"/>
  <c r="G362" i="2"/>
  <c r="C362" i="2"/>
  <c r="AA361" i="2"/>
  <c r="W361" i="2"/>
  <c r="S361" i="2"/>
  <c r="O361" i="2"/>
  <c r="K361" i="2"/>
  <c r="G361" i="2"/>
  <c r="C361" i="2"/>
  <c r="AA360" i="2"/>
  <c r="W360" i="2"/>
  <c r="S360" i="2"/>
  <c r="O360" i="2"/>
  <c r="K360" i="2"/>
  <c r="G360" i="2"/>
  <c r="C360" i="2"/>
  <c r="AA359" i="2"/>
  <c r="W359" i="2"/>
  <c r="S359" i="2"/>
  <c r="O359" i="2"/>
  <c r="K359" i="2"/>
  <c r="G359" i="2"/>
  <c r="C359" i="2"/>
  <c r="AA358" i="2"/>
  <c r="W358" i="2"/>
  <c r="S358" i="2"/>
  <c r="O358" i="2"/>
  <c r="K358" i="2"/>
  <c r="G358" i="2"/>
  <c r="C358" i="2"/>
  <c r="AA357" i="2"/>
  <c r="AB405" i="2" s="1"/>
  <c r="W357" i="2"/>
  <c r="S357" i="2"/>
  <c r="O357" i="2"/>
  <c r="K357" i="2"/>
  <c r="G357" i="2"/>
  <c r="C357" i="2"/>
  <c r="AA356" i="2"/>
  <c r="W356" i="2"/>
  <c r="S356" i="2"/>
  <c r="O356" i="2"/>
  <c r="K356" i="2"/>
  <c r="G356" i="2"/>
  <c r="C356" i="2"/>
  <c r="AA355" i="2"/>
  <c r="W355" i="2"/>
  <c r="S355" i="2"/>
  <c r="O355" i="2"/>
  <c r="K355" i="2"/>
  <c r="G355" i="2"/>
  <c r="C355" i="2"/>
  <c r="AA354" i="2"/>
  <c r="W354" i="2"/>
  <c r="S354" i="2"/>
  <c r="O354" i="2"/>
  <c r="K354" i="2"/>
  <c r="G354" i="2"/>
  <c r="C354" i="2"/>
  <c r="AA353" i="2"/>
  <c r="W353" i="2"/>
  <c r="S353" i="2"/>
  <c r="O353" i="2"/>
  <c r="K353" i="2"/>
  <c r="G353" i="2"/>
  <c r="C353" i="2"/>
  <c r="AA352" i="2"/>
  <c r="W352" i="2"/>
  <c r="S352" i="2"/>
  <c r="O352" i="2"/>
  <c r="K352" i="2"/>
  <c r="G352" i="2"/>
  <c r="C352" i="2"/>
  <c r="AA351" i="2"/>
  <c r="W351" i="2"/>
  <c r="S351" i="2"/>
  <c r="O351" i="2"/>
  <c r="K351" i="2"/>
  <c r="G351" i="2"/>
  <c r="C351" i="2"/>
  <c r="AA350" i="2"/>
  <c r="W350" i="2"/>
  <c r="S350" i="2"/>
  <c r="O350" i="2"/>
  <c r="K350" i="2"/>
  <c r="G350" i="2"/>
  <c r="C350" i="2"/>
  <c r="AA349" i="2"/>
  <c r="W349" i="2"/>
  <c r="S349" i="2"/>
  <c r="O349" i="2"/>
  <c r="K349" i="2"/>
  <c r="G349" i="2"/>
  <c r="C349" i="2"/>
  <c r="AA348" i="2"/>
  <c r="W348" i="2"/>
  <c r="S348" i="2"/>
  <c r="O348" i="2"/>
  <c r="K348" i="2"/>
  <c r="G348" i="2"/>
  <c r="C348" i="2"/>
  <c r="D396" i="2" s="1"/>
  <c r="E396" i="2" s="1"/>
  <c r="AA347" i="2"/>
  <c r="W347" i="2"/>
  <c r="S347" i="2"/>
  <c r="O347" i="2"/>
  <c r="K347" i="2"/>
  <c r="G347" i="2"/>
  <c r="C347" i="2"/>
  <c r="AA346" i="2"/>
  <c r="W346" i="2"/>
  <c r="S346" i="2"/>
  <c r="O346" i="2"/>
  <c r="K346" i="2"/>
  <c r="G346" i="2"/>
  <c r="C346" i="2"/>
  <c r="AB345" i="2"/>
  <c r="AA345" i="2"/>
  <c r="W345" i="2"/>
  <c r="T345" i="2"/>
  <c r="S345" i="2"/>
  <c r="O345" i="2"/>
  <c r="K345" i="2"/>
  <c r="G345" i="2"/>
  <c r="C345" i="2"/>
  <c r="AA344" i="2"/>
  <c r="W344" i="2"/>
  <c r="S344" i="2"/>
  <c r="T392" i="2" s="1"/>
  <c r="O344" i="2"/>
  <c r="K344" i="2"/>
  <c r="G344" i="2"/>
  <c r="C344" i="2"/>
  <c r="AA343" i="2"/>
  <c r="W343" i="2"/>
  <c r="S343" i="2"/>
  <c r="O343" i="2"/>
  <c r="K343" i="2"/>
  <c r="G343" i="2"/>
  <c r="C343" i="2"/>
  <c r="AA342" i="2"/>
  <c r="W342" i="2"/>
  <c r="S342" i="2"/>
  <c r="O342" i="2"/>
  <c r="K342" i="2"/>
  <c r="G342" i="2"/>
  <c r="C342" i="2"/>
  <c r="AA341" i="2"/>
  <c r="W341" i="2"/>
  <c r="S341" i="2"/>
  <c r="O341" i="2"/>
  <c r="K341" i="2"/>
  <c r="G341" i="2"/>
  <c r="C341" i="2"/>
  <c r="AA340" i="2"/>
  <c r="W340" i="2"/>
  <c r="S340" i="2"/>
  <c r="T361" i="2" s="1"/>
  <c r="O340" i="2"/>
  <c r="K340" i="2"/>
  <c r="G340" i="2"/>
  <c r="C340" i="2"/>
  <c r="AA339" i="2"/>
  <c r="W339" i="2"/>
  <c r="S339" i="2"/>
  <c r="O339" i="2"/>
  <c r="K339" i="2"/>
  <c r="G339" i="2"/>
  <c r="C339" i="2"/>
  <c r="AA338" i="2"/>
  <c r="AB386" i="2" s="1"/>
  <c r="AC386" i="2" s="1"/>
  <c r="W338" i="2"/>
  <c r="S338" i="2"/>
  <c r="O338" i="2"/>
  <c r="K338" i="2"/>
  <c r="G338" i="2"/>
  <c r="C338" i="2"/>
  <c r="AA337" i="2"/>
  <c r="W337" i="2"/>
  <c r="S337" i="2"/>
  <c r="O337" i="2"/>
  <c r="K337" i="2"/>
  <c r="G337" i="2"/>
  <c r="C337" i="2"/>
  <c r="AA336" i="2"/>
  <c r="X336" i="2"/>
  <c r="W336" i="2"/>
  <c r="S336" i="2"/>
  <c r="O336" i="2"/>
  <c r="K336" i="2"/>
  <c r="G336" i="2"/>
  <c r="C336" i="2"/>
  <c r="AA335" i="2"/>
  <c r="W335" i="2"/>
  <c r="S335" i="2"/>
  <c r="O335" i="2"/>
  <c r="K335" i="2"/>
  <c r="G335" i="2"/>
  <c r="C335" i="2"/>
  <c r="AA334" i="2"/>
  <c r="W334" i="2"/>
  <c r="S334" i="2"/>
  <c r="O334" i="2"/>
  <c r="K334" i="2"/>
  <c r="G334" i="2"/>
  <c r="C334" i="2"/>
  <c r="AA333" i="2"/>
  <c r="W333" i="2"/>
  <c r="S333" i="2"/>
  <c r="O333" i="2"/>
  <c r="K333" i="2"/>
  <c r="G333" i="2"/>
  <c r="C333" i="2"/>
  <c r="AA332" i="2"/>
  <c r="W332" i="2"/>
  <c r="S332" i="2"/>
  <c r="O332" i="2"/>
  <c r="K332" i="2"/>
  <c r="G332" i="2"/>
  <c r="C332" i="2"/>
  <c r="AA331" i="2"/>
  <c r="W331" i="2"/>
  <c r="S331" i="2"/>
  <c r="O331" i="2"/>
  <c r="K331" i="2"/>
  <c r="G331" i="2"/>
  <c r="C331" i="2"/>
  <c r="AA330" i="2"/>
  <c r="W330" i="2"/>
  <c r="S330" i="2"/>
  <c r="O330" i="2"/>
  <c r="K330" i="2"/>
  <c r="G330" i="2"/>
  <c r="C330" i="2"/>
  <c r="AA329" i="2"/>
  <c r="W329" i="2"/>
  <c r="S329" i="2"/>
  <c r="O329" i="2"/>
  <c r="P374" i="2" s="1"/>
  <c r="K329" i="2"/>
  <c r="G329" i="2"/>
  <c r="C329" i="2"/>
  <c r="AA328" i="2"/>
  <c r="W328" i="2"/>
  <c r="S328" i="2"/>
  <c r="O328" i="2"/>
  <c r="K328" i="2"/>
  <c r="G328" i="2"/>
  <c r="C328" i="2"/>
  <c r="AA327" i="2"/>
  <c r="W327" i="2"/>
  <c r="S327" i="2"/>
  <c r="O327" i="2"/>
  <c r="K327" i="2"/>
  <c r="G327" i="2"/>
  <c r="C327" i="2"/>
  <c r="AA326" i="2"/>
  <c r="W326" i="2"/>
  <c r="S326" i="2"/>
  <c r="O326" i="2"/>
  <c r="K326" i="2"/>
  <c r="G326" i="2"/>
  <c r="C326" i="2"/>
  <c r="AA325" i="2"/>
  <c r="W325" i="2"/>
  <c r="S325" i="2"/>
  <c r="O325" i="2"/>
  <c r="K325" i="2"/>
  <c r="G325" i="2"/>
  <c r="C325" i="2"/>
  <c r="AA324" i="2"/>
  <c r="W324" i="2"/>
  <c r="S324" i="2"/>
  <c r="O324" i="2"/>
  <c r="K324" i="2"/>
  <c r="G324" i="2"/>
  <c r="C324" i="2"/>
  <c r="AA323" i="2"/>
  <c r="W323" i="2"/>
  <c r="S323" i="2"/>
  <c r="O323" i="2"/>
  <c r="K323" i="2"/>
  <c r="G323" i="2"/>
  <c r="C323" i="2"/>
  <c r="AA322" i="2"/>
  <c r="W322" i="2"/>
  <c r="S322" i="2"/>
  <c r="O322" i="2"/>
  <c r="K322" i="2"/>
  <c r="G322" i="2"/>
  <c r="C322" i="2"/>
  <c r="AA321" i="2"/>
  <c r="W321" i="2"/>
  <c r="S321" i="2"/>
  <c r="O321" i="2"/>
  <c r="K321" i="2"/>
  <c r="G321" i="2"/>
  <c r="C321" i="2"/>
  <c r="AA320" i="2"/>
  <c r="W320" i="2"/>
  <c r="S320" i="2"/>
  <c r="O320" i="2"/>
  <c r="K320" i="2"/>
  <c r="G320" i="2"/>
  <c r="C320" i="2"/>
  <c r="AA319" i="2"/>
  <c r="W319" i="2"/>
  <c r="S319" i="2"/>
  <c r="O319" i="2"/>
  <c r="K319" i="2"/>
  <c r="G319" i="2"/>
  <c r="C319" i="2"/>
  <c r="AA318" i="2"/>
  <c r="W318" i="2"/>
  <c r="S318" i="2"/>
  <c r="O318" i="2"/>
  <c r="K318" i="2"/>
  <c r="G318" i="2"/>
  <c r="C318" i="2"/>
  <c r="AA317" i="2"/>
  <c r="W317" i="2"/>
  <c r="S317" i="2"/>
  <c r="O317" i="2"/>
  <c r="K317" i="2"/>
  <c r="G317" i="2"/>
  <c r="H365" i="2" s="1"/>
  <c r="I365" i="2" s="1"/>
  <c r="C317" i="2"/>
  <c r="AA316" i="2"/>
  <c r="W316" i="2"/>
  <c r="S316" i="2"/>
  <c r="O316" i="2"/>
  <c r="K316" i="2"/>
  <c r="G316" i="2"/>
  <c r="C316" i="2"/>
  <c r="AA315" i="2"/>
  <c r="W315" i="2"/>
  <c r="S315" i="2"/>
  <c r="O315" i="2"/>
  <c r="K315" i="2"/>
  <c r="G315" i="2"/>
  <c r="C315" i="2"/>
  <c r="AA314" i="2"/>
  <c r="W314" i="2"/>
  <c r="S314" i="2"/>
  <c r="O314" i="2"/>
  <c r="K314" i="2"/>
  <c r="G314" i="2"/>
  <c r="C314" i="2"/>
  <c r="AA313" i="2"/>
  <c r="W313" i="2"/>
  <c r="S313" i="2"/>
  <c r="O313" i="2"/>
  <c r="K313" i="2"/>
  <c r="G313" i="2"/>
  <c r="C313" i="2"/>
  <c r="AA312" i="2"/>
  <c r="W312" i="2"/>
  <c r="S312" i="2"/>
  <c r="O312" i="2"/>
  <c r="K312" i="2"/>
  <c r="G312" i="2"/>
  <c r="C312" i="2"/>
  <c r="AA311" i="2"/>
  <c r="W311" i="2"/>
  <c r="S311" i="2"/>
  <c r="O311" i="2"/>
  <c r="K311" i="2"/>
  <c r="G311" i="2"/>
  <c r="C311" i="2"/>
  <c r="AA310" i="2"/>
  <c r="W310" i="2"/>
  <c r="S310" i="2"/>
  <c r="O310" i="2"/>
  <c r="K310" i="2"/>
  <c r="G310" i="2"/>
  <c r="C310" i="2"/>
  <c r="D357" i="2" s="1"/>
  <c r="AA309" i="2"/>
  <c r="W309" i="2"/>
  <c r="S309" i="2"/>
  <c r="O309" i="2"/>
  <c r="K309" i="2"/>
  <c r="G309" i="2"/>
  <c r="D309" i="2"/>
  <c r="C309" i="2"/>
  <c r="AA308" i="2"/>
  <c r="W308" i="2"/>
  <c r="S308" i="2"/>
  <c r="O308" i="2"/>
  <c r="K308" i="2"/>
  <c r="G308" i="2"/>
  <c r="C308" i="2"/>
  <c r="D356" i="2" s="1"/>
  <c r="E356" i="2" s="1"/>
  <c r="AA307" i="2"/>
  <c r="W307" i="2"/>
  <c r="S307" i="2"/>
  <c r="O307" i="2"/>
  <c r="K307" i="2"/>
  <c r="G307" i="2"/>
  <c r="C307" i="2"/>
  <c r="AA306" i="2"/>
  <c r="W306" i="2"/>
  <c r="S306" i="2"/>
  <c r="O306" i="2"/>
  <c r="K306" i="2"/>
  <c r="G306" i="2"/>
  <c r="C306" i="2"/>
  <c r="AA305" i="2"/>
  <c r="W305" i="2"/>
  <c r="S305" i="2"/>
  <c r="O305" i="2"/>
  <c r="K305" i="2"/>
  <c r="G305" i="2"/>
  <c r="C305" i="2"/>
  <c r="AA304" i="2"/>
  <c r="W304" i="2"/>
  <c r="S304" i="2"/>
  <c r="O304" i="2"/>
  <c r="K304" i="2"/>
  <c r="G304" i="2"/>
  <c r="C304" i="2"/>
  <c r="AA303" i="2"/>
  <c r="W303" i="2"/>
  <c r="S303" i="2"/>
  <c r="O303" i="2"/>
  <c r="K303" i="2"/>
  <c r="G303" i="2"/>
  <c r="C303" i="2"/>
  <c r="AA302" i="2"/>
  <c r="W302" i="2"/>
  <c r="S302" i="2"/>
  <c r="O302" i="2"/>
  <c r="K302" i="2"/>
  <c r="G302" i="2"/>
  <c r="C302" i="2"/>
  <c r="AA301" i="2"/>
  <c r="W301" i="2"/>
  <c r="S301" i="2"/>
  <c r="O301" i="2"/>
  <c r="K301" i="2"/>
  <c r="G301" i="2"/>
  <c r="H349" i="2" s="1"/>
  <c r="I349" i="2" s="1"/>
  <c r="C301" i="2"/>
  <c r="AA300" i="2"/>
  <c r="AB347" i="2" s="1"/>
  <c r="W300" i="2"/>
  <c r="S300" i="2"/>
  <c r="O300" i="2"/>
  <c r="K300" i="2"/>
  <c r="H300" i="2"/>
  <c r="G300" i="2"/>
  <c r="C300" i="2"/>
  <c r="AA299" i="2"/>
  <c r="W299" i="2"/>
  <c r="S299" i="2"/>
  <c r="O299" i="2"/>
  <c r="K299" i="2"/>
  <c r="G299" i="2"/>
  <c r="C299" i="2"/>
  <c r="AA298" i="2"/>
  <c r="AB346" i="2" s="1"/>
  <c r="AC346" i="2" s="1"/>
  <c r="W298" i="2"/>
  <c r="S298" i="2"/>
  <c r="O298" i="2"/>
  <c r="K298" i="2"/>
  <c r="G298" i="2"/>
  <c r="C298" i="2"/>
  <c r="AA297" i="2"/>
  <c r="W297" i="2"/>
  <c r="S297" i="2"/>
  <c r="O297" i="2"/>
  <c r="K297" i="2"/>
  <c r="G297" i="2"/>
  <c r="C297" i="2"/>
  <c r="AA296" i="2"/>
  <c r="W296" i="2"/>
  <c r="S296" i="2"/>
  <c r="O296" i="2"/>
  <c r="K296" i="2"/>
  <c r="G296" i="2"/>
  <c r="C296" i="2"/>
  <c r="AA295" i="2"/>
  <c r="W295" i="2"/>
  <c r="S295" i="2"/>
  <c r="O295" i="2"/>
  <c r="K295" i="2"/>
  <c r="H295" i="2"/>
  <c r="G295" i="2"/>
  <c r="C295" i="2"/>
  <c r="AA294" i="2"/>
  <c r="W294" i="2"/>
  <c r="S294" i="2"/>
  <c r="O294" i="2"/>
  <c r="K294" i="2"/>
  <c r="G294" i="2"/>
  <c r="C294" i="2"/>
  <c r="AA293" i="2"/>
  <c r="W293" i="2"/>
  <c r="S293" i="2"/>
  <c r="O293" i="2"/>
  <c r="K293" i="2"/>
  <c r="G293" i="2"/>
  <c r="C293" i="2"/>
  <c r="AA292" i="2"/>
  <c r="W292" i="2"/>
  <c r="S292" i="2"/>
  <c r="O292" i="2"/>
  <c r="K292" i="2"/>
  <c r="G292" i="2"/>
  <c r="C292" i="2"/>
  <c r="AA291" i="2"/>
  <c r="W291" i="2"/>
  <c r="S291" i="2"/>
  <c r="O291" i="2"/>
  <c r="K291" i="2"/>
  <c r="G291" i="2"/>
  <c r="C291" i="2"/>
  <c r="AA290" i="2"/>
  <c r="AB338" i="2" s="1"/>
  <c r="AC338" i="2" s="1"/>
  <c r="W290" i="2"/>
  <c r="S290" i="2"/>
  <c r="O290" i="2"/>
  <c r="K290" i="2"/>
  <c r="G290" i="2"/>
  <c r="C290" i="2"/>
  <c r="AA289" i="2"/>
  <c r="W289" i="2"/>
  <c r="X337" i="2" s="1"/>
  <c r="Y337" i="2" s="1"/>
  <c r="S289" i="2"/>
  <c r="O289" i="2"/>
  <c r="K289" i="2"/>
  <c r="G289" i="2"/>
  <c r="C289" i="2"/>
  <c r="AA288" i="2"/>
  <c r="W288" i="2"/>
  <c r="S288" i="2"/>
  <c r="O288" i="2"/>
  <c r="K288" i="2"/>
  <c r="G288" i="2"/>
  <c r="C288" i="2"/>
  <c r="AA287" i="2"/>
  <c r="W287" i="2"/>
  <c r="S287" i="2"/>
  <c r="O287" i="2"/>
  <c r="K287" i="2"/>
  <c r="G287" i="2"/>
  <c r="C287" i="2"/>
  <c r="AA286" i="2"/>
  <c r="W286" i="2"/>
  <c r="S286" i="2"/>
  <c r="O286" i="2"/>
  <c r="K286" i="2"/>
  <c r="G286" i="2"/>
  <c r="C286" i="2"/>
  <c r="AA285" i="2"/>
  <c r="W285" i="2"/>
  <c r="S285" i="2"/>
  <c r="O285" i="2"/>
  <c r="K285" i="2"/>
  <c r="G285" i="2"/>
  <c r="C285" i="2"/>
  <c r="AA284" i="2"/>
  <c r="W284" i="2"/>
  <c r="S284" i="2"/>
  <c r="O284" i="2"/>
  <c r="K284" i="2"/>
  <c r="G284" i="2"/>
  <c r="C284" i="2"/>
  <c r="AA283" i="2"/>
  <c r="W283" i="2"/>
  <c r="S283" i="2"/>
  <c r="O283" i="2"/>
  <c r="K283" i="2"/>
  <c r="G283" i="2"/>
  <c r="C283" i="2"/>
  <c r="AA282" i="2"/>
  <c r="W282" i="2"/>
  <c r="S282" i="2"/>
  <c r="T329" i="2" s="1"/>
  <c r="O282" i="2"/>
  <c r="K282" i="2"/>
  <c r="G282" i="2"/>
  <c r="C282" i="2"/>
  <c r="AA281" i="2"/>
  <c r="AB329" i="2" s="1"/>
  <c r="W281" i="2"/>
  <c r="S281" i="2"/>
  <c r="O281" i="2"/>
  <c r="K281" i="2"/>
  <c r="G281" i="2"/>
  <c r="C281" i="2"/>
  <c r="AA280" i="2"/>
  <c r="W280" i="2"/>
  <c r="S280" i="2"/>
  <c r="O280" i="2"/>
  <c r="K280" i="2"/>
  <c r="G280" i="2"/>
  <c r="C280" i="2"/>
  <c r="AA279" i="2"/>
  <c r="W279" i="2"/>
  <c r="S279" i="2"/>
  <c r="O279" i="2"/>
  <c r="K279" i="2"/>
  <c r="G279" i="2"/>
  <c r="C279" i="2"/>
  <c r="AA278" i="2"/>
  <c r="W278" i="2"/>
  <c r="S278" i="2"/>
  <c r="O278" i="2"/>
  <c r="K278" i="2"/>
  <c r="G278" i="2"/>
  <c r="C278" i="2"/>
  <c r="AA277" i="2"/>
  <c r="W277" i="2"/>
  <c r="S277" i="2"/>
  <c r="O277" i="2"/>
  <c r="K277" i="2"/>
  <c r="G277" i="2"/>
  <c r="C277" i="2"/>
  <c r="AA276" i="2"/>
  <c r="W276" i="2"/>
  <c r="S276" i="2"/>
  <c r="O276" i="2"/>
  <c r="K276" i="2"/>
  <c r="L309" i="2" s="1"/>
  <c r="G276" i="2"/>
  <c r="C276" i="2"/>
  <c r="AA275" i="2"/>
  <c r="W275" i="2"/>
  <c r="S275" i="2"/>
  <c r="O275" i="2"/>
  <c r="K275" i="2"/>
  <c r="G275" i="2"/>
  <c r="C275" i="2"/>
  <c r="AA274" i="2"/>
  <c r="W274" i="2"/>
  <c r="S274" i="2"/>
  <c r="O274" i="2"/>
  <c r="K274" i="2"/>
  <c r="G274" i="2"/>
  <c r="C274" i="2"/>
  <c r="AA273" i="2"/>
  <c r="W273" i="2"/>
  <c r="S273" i="2"/>
  <c r="O273" i="2"/>
  <c r="K273" i="2"/>
  <c r="G273" i="2"/>
  <c r="H318" i="2" s="1"/>
  <c r="C273" i="2"/>
  <c r="AA272" i="2"/>
  <c r="W272" i="2"/>
  <c r="X320" i="2" s="1"/>
  <c r="S272" i="2"/>
  <c r="O272" i="2"/>
  <c r="K272" i="2"/>
  <c r="G272" i="2"/>
  <c r="C272" i="2"/>
  <c r="AA271" i="2"/>
  <c r="W271" i="2"/>
  <c r="S271" i="2"/>
  <c r="T319" i="2" s="1"/>
  <c r="O271" i="2"/>
  <c r="K271" i="2"/>
  <c r="G271" i="2"/>
  <c r="C271" i="2"/>
  <c r="AA270" i="2"/>
  <c r="W270" i="2"/>
  <c r="S270" i="2"/>
  <c r="O270" i="2"/>
  <c r="K270" i="2"/>
  <c r="G270" i="2"/>
  <c r="C270" i="2"/>
  <c r="AA269" i="2"/>
  <c r="W269" i="2"/>
  <c r="S269" i="2"/>
  <c r="O269" i="2"/>
  <c r="K269" i="2"/>
  <c r="G269" i="2"/>
  <c r="C269" i="2"/>
  <c r="AA268" i="2"/>
  <c r="W268" i="2"/>
  <c r="S268" i="2"/>
  <c r="O268" i="2"/>
  <c r="K268" i="2"/>
  <c r="G268" i="2"/>
  <c r="C268" i="2"/>
  <c r="AA267" i="2"/>
  <c r="W267" i="2"/>
  <c r="S267" i="2"/>
  <c r="O267" i="2"/>
  <c r="K267" i="2"/>
  <c r="G267" i="2"/>
  <c r="C267" i="2"/>
  <c r="AA266" i="2"/>
  <c r="W266" i="2"/>
  <c r="S266" i="2"/>
  <c r="O266" i="2"/>
  <c r="K266" i="2"/>
  <c r="G266" i="2"/>
  <c r="C266" i="2"/>
  <c r="AA265" i="2"/>
  <c r="W265" i="2"/>
  <c r="S265" i="2"/>
  <c r="O265" i="2"/>
  <c r="K265" i="2"/>
  <c r="G265" i="2"/>
  <c r="C265" i="2"/>
  <c r="AA264" i="2"/>
  <c r="W264" i="2"/>
  <c r="S264" i="2"/>
  <c r="P264" i="2"/>
  <c r="O264" i="2"/>
  <c r="K264" i="2"/>
  <c r="G264" i="2"/>
  <c r="C264" i="2"/>
  <c r="AA263" i="2"/>
  <c r="W263" i="2"/>
  <c r="S263" i="2"/>
  <c r="T311" i="2" s="1"/>
  <c r="O263" i="2"/>
  <c r="K263" i="2"/>
  <c r="G263" i="2"/>
  <c r="C263" i="2"/>
  <c r="AA262" i="2"/>
  <c r="W262" i="2"/>
  <c r="S262" i="2"/>
  <c r="O262" i="2"/>
  <c r="K262" i="2"/>
  <c r="G262" i="2"/>
  <c r="C262" i="2"/>
  <c r="AA261" i="2"/>
  <c r="W261" i="2"/>
  <c r="S261" i="2"/>
  <c r="O261" i="2"/>
  <c r="K261" i="2"/>
  <c r="G261" i="2"/>
  <c r="C261" i="2"/>
  <c r="AA260" i="2"/>
  <c r="W260" i="2"/>
  <c r="S260" i="2"/>
  <c r="O260" i="2"/>
  <c r="K260" i="2"/>
  <c r="G260" i="2"/>
  <c r="C260" i="2"/>
  <c r="AA259" i="2"/>
  <c r="W259" i="2"/>
  <c r="S259" i="2"/>
  <c r="O259" i="2"/>
  <c r="K259" i="2"/>
  <c r="G259" i="2"/>
  <c r="C259" i="2"/>
  <c r="AA258" i="2"/>
  <c r="W258" i="2"/>
  <c r="S258" i="2"/>
  <c r="O258" i="2"/>
  <c r="K258" i="2"/>
  <c r="G258" i="2"/>
  <c r="C258" i="2"/>
  <c r="AA257" i="2"/>
  <c r="W257" i="2"/>
  <c r="S257" i="2"/>
  <c r="O257" i="2"/>
  <c r="K257" i="2"/>
  <c r="G257" i="2"/>
  <c r="C257" i="2"/>
  <c r="AA256" i="2"/>
  <c r="W256" i="2"/>
  <c r="S256" i="2"/>
  <c r="O256" i="2"/>
  <c r="K256" i="2"/>
  <c r="G256" i="2"/>
  <c r="C256" i="2"/>
  <c r="AA255" i="2"/>
  <c r="W255" i="2"/>
  <c r="S255" i="2"/>
  <c r="O255" i="2"/>
  <c r="K255" i="2"/>
  <c r="G255" i="2"/>
  <c r="C255" i="2"/>
  <c r="AA254" i="2"/>
  <c r="W254" i="2"/>
  <c r="S254" i="2"/>
  <c r="O254" i="2"/>
  <c r="K254" i="2"/>
  <c r="G254" i="2"/>
  <c r="C254" i="2"/>
  <c r="AA253" i="2"/>
  <c r="W253" i="2"/>
  <c r="S253" i="2"/>
  <c r="O253" i="2"/>
  <c r="K253" i="2"/>
  <c r="G253" i="2"/>
  <c r="C253" i="2"/>
  <c r="AA252" i="2"/>
  <c r="AB299" i="2" s="1"/>
  <c r="W252" i="2"/>
  <c r="S252" i="2"/>
  <c r="O252" i="2"/>
  <c r="K252" i="2"/>
  <c r="G252" i="2"/>
  <c r="C252" i="2"/>
  <c r="AA251" i="2"/>
  <c r="W251" i="2"/>
  <c r="S251" i="2"/>
  <c r="O251" i="2"/>
  <c r="K251" i="2"/>
  <c r="G251" i="2"/>
  <c r="C251" i="2"/>
  <c r="AA250" i="2"/>
  <c r="W250" i="2"/>
  <c r="S250" i="2"/>
  <c r="T295" i="2" s="1"/>
  <c r="O250" i="2"/>
  <c r="K250" i="2"/>
  <c r="G250" i="2"/>
  <c r="C250" i="2"/>
  <c r="AA249" i="2"/>
  <c r="W249" i="2"/>
  <c r="S249" i="2"/>
  <c r="O249" i="2"/>
  <c r="K249" i="2"/>
  <c r="G249" i="2"/>
  <c r="C249" i="2"/>
  <c r="AA248" i="2"/>
  <c r="W248" i="2"/>
  <c r="S248" i="2"/>
  <c r="P248" i="2"/>
  <c r="O248" i="2"/>
  <c r="K248" i="2"/>
  <c r="G248" i="2"/>
  <c r="C248" i="2"/>
  <c r="AA247" i="2"/>
  <c r="W247" i="2"/>
  <c r="S247" i="2"/>
  <c r="O247" i="2"/>
  <c r="K247" i="2"/>
  <c r="G247" i="2"/>
  <c r="C247" i="2"/>
  <c r="AA246" i="2"/>
  <c r="W246" i="2"/>
  <c r="S246" i="2"/>
  <c r="O246" i="2"/>
  <c r="K246" i="2"/>
  <c r="G246" i="2"/>
  <c r="C246" i="2"/>
  <c r="AA245" i="2"/>
  <c r="W245" i="2"/>
  <c r="S245" i="2"/>
  <c r="O245" i="2"/>
  <c r="K245" i="2"/>
  <c r="G245" i="2"/>
  <c r="C245" i="2"/>
  <c r="AA244" i="2"/>
  <c r="W244" i="2"/>
  <c r="S244" i="2"/>
  <c r="O244" i="2"/>
  <c r="K244" i="2"/>
  <c r="G244" i="2"/>
  <c r="C244" i="2"/>
  <c r="AA243" i="2"/>
  <c r="W243" i="2"/>
  <c r="S243" i="2"/>
  <c r="O243" i="2"/>
  <c r="K243" i="2"/>
  <c r="G243" i="2"/>
  <c r="C243" i="2"/>
  <c r="AA242" i="2"/>
  <c r="X242" i="2"/>
  <c r="W242" i="2"/>
  <c r="S242" i="2"/>
  <c r="O242" i="2"/>
  <c r="K242" i="2"/>
  <c r="G242" i="2"/>
  <c r="C242" i="2"/>
  <c r="AA241" i="2"/>
  <c r="W241" i="2"/>
  <c r="S241" i="2"/>
  <c r="O241" i="2"/>
  <c r="K241" i="2"/>
  <c r="G241" i="2"/>
  <c r="C241" i="2"/>
  <c r="AA240" i="2"/>
  <c r="W240" i="2"/>
  <c r="X288" i="2" s="1"/>
  <c r="S240" i="2"/>
  <c r="O240" i="2"/>
  <c r="K240" i="2"/>
  <c r="G240" i="2"/>
  <c r="H288" i="2" s="1"/>
  <c r="C240" i="2"/>
  <c r="AA239" i="2"/>
  <c r="W239" i="2"/>
  <c r="S239" i="2"/>
  <c r="O239" i="2"/>
  <c r="K239" i="2"/>
  <c r="G239" i="2"/>
  <c r="C239" i="2"/>
  <c r="AA238" i="2"/>
  <c r="W238" i="2"/>
  <c r="S238" i="2"/>
  <c r="O238" i="2"/>
  <c r="K238" i="2"/>
  <c r="L286" i="2" s="1"/>
  <c r="M286" i="2" s="1"/>
  <c r="G238" i="2"/>
  <c r="C238" i="2"/>
  <c r="D285" i="2" s="1"/>
  <c r="AA237" i="2"/>
  <c r="W237" i="2"/>
  <c r="X267" i="2" s="1"/>
  <c r="Y267" i="2" s="1"/>
  <c r="S237" i="2"/>
  <c r="O237" i="2"/>
  <c r="K237" i="2"/>
  <c r="G237" i="2"/>
  <c r="C237" i="2"/>
  <c r="AA236" i="2"/>
  <c r="W236" i="2"/>
  <c r="S236" i="2"/>
  <c r="O236" i="2"/>
  <c r="K236" i="2"/>
  <c r="G236" i="2"/>
  <c r="C236" i="2"/>
  <c r="AA235" i="2"/>
  <c r="W235" i="2"/>
  <c r="S235" i="2"/>
  <c r="O235" i="2"/>
  <c r="K235" i="2"/>
  <c r="G235" i="2"/>
  <c r="C235" i="2"/>
  <c r="AA234" i="2"/>
  <c r="W234" i="2"/>
  <c r="S234" i="2"/>
  <c r="O234" i="2"/>
  <c r="K234" i="2"/>
  <c r="G234" i="2"/>
  <c r="C234" i="2"/>
  <c r="AA233" i="2"/>
  <c r="W233" i="2"/>
  <c r="S233" i="2"/>
  <c r="P233" i="2"/>
  <c r="Q233" i="2" s="1"/>
  <c r="O233" i="2"/>
  <c r="K233" i="2"/>
  <c r="G233" i="2"/>
  <c r="C233" i="2"/>
  <c r="AA232" i="2"/>
  <c r="W232" i="2"/>
  <c r="S232" i="2"/>
  <c r="O232" i="2"/>
  <c r="K232" i="2"/>
  <c r="G232" i="2"/>
  <c r="C232" i="2"/>
  <c r="AA231" i="2"/>
  <c r="W231" i="2"/>
  <c r="S231" i="2"/>
  <c r="O231" i="2"/>
  <c r="K231" i="2"/>
  <c r="G231" i="2"/>
  <c r="C231" i="2"/>
  <c r="AA230" i="2"/>
  <c r="W230" i="2"/>
  <c r="S230" i="2"/>
  <c r="O230" i="2"/>
  <c r="K230" i="2"/>
  <c r="G230" i="2"/>
  <c r="C230" i="2"/>
  <c r="AA229" i="2"/>
  <c r="W229" i="2"/>
  <c r="S229" i="2"/>
  <c r="O229" i="2"/>
  <c r="K229" i="2"/>
  <c r="G229" i="2"/>
  <c r="C229" i="2"/>
  <c r="AA228" i="2"/>
  <c r="W228" i="2"/>
  <c r="S228" i="2"/>
  <c r="O228" i="2"/>
  <c r="K228" i="2"/>
  <c r="G228" i="2"/>
  <c r="C228" i="2"/>
  <c r="AA227" i="2"/>
  <c r="W227" i="2"/>
  <c r="S227" i="2"/>
  <c r="O227" i="2"/>
  <c r="K227" i="2"/>
  <c r="G227" i="2"/>
  <c r="C227" i="2"/>
  <c r="AA226" i="2"/>
  <c r="W226" i="2"/>
  <c r="S226" i="2"/>
  <c r="O226" i="2"/>
  <c r="K226" i="2"/>
  <c r="G226" i="2"/>
  <c r="C226" i="2"/>
  <c r="AA225" i="2"/>
  <c r="W225" i="2"/>
  <c r="S225" i="2"/>
  <c r="O225" i="2"/>
  <c r="K225" i="2"/>
  <c r="G225" i="2"/>
  <c r="C225" i="2"/>
  <c r="AA224" i="2"/>
  <c r="W224" i="2"/>
  <c r="S224" i="2"/>
  <c r="O224" i="2"/>
  <c r="K224" i="2"/>
  <c r="G224" i="2"/>
  <c r="C224" i="2"/>
  <c r="AA223" i="2"/>
  <c r="W223" i="2"/>
  <c r="S223" i="2"/>
  <c r="O223" i="2"/>
  <c r="K223" i="2"/>
  <c r="G223" i="2"/>
  <c r="C223" i="2"/>
  <c r="AA222" i="2"/>
  <c r="W222" i="2"/>
  <c r="S222" i="2"/>
  <c r="O222" i="2"/>
  <c r="K222" i="2"/>
  <c r="G222" i="2"/>
  <c r="C222" i="2"/>
  <c r="AA221" i="2"/>
  <c r="W221" i="2"/>
  <c r="S221" i="2"/>
  <c r="O221" i="2"/>
  <c r="K221" i="2"/>
  <c r="G221" i="2"/>
  <c r="C221" i="2"/>
  <c r="AA220" i="2"/>
  <c r="W220" i="2"/>
  <c r="S220" i="2"/>
  <c r="O220" i="2"/>
  <c r="K220" i="2"/>
  <c r="G220" i="2"/>
  <c r="C220" i="2"/>
  <c r="AA219" i="2"/>
  <c r="W219" i="2"/>
  <c r="S219" i="2"/>
  <c r="O219" i="2"/>
  <c r="K219" i="2"/>
  <c r="G219" i="2"/>
  <c r="C219" i="2"/>
  <c r="AA218" i="2"/>
  <c r="W218" i="2"/>
  <c r="S218" i="2"/>
  <c r="O218" i="2"/>
  <c r="P262" i="2" s="1"/>
  <c r="K218" i="2"/>
  <c r="G218" i="2"/>
  <c r="C218" i="2"/>
  <c r="AA217" i="2"/>
  <c r="W217" i="2"/>
  <c r="S217" i="2"/>
  <c r="O217" i="2"/>
  <c r="K217" i="2"/>
  <c r="G217" i="2"/>
  <c r="C217" i="2"/>
  <c r="AA216" i="2"/>
  <c r="W216" i="2"/>
  <c r="S216" i="2"/>
  <c r="O216" i="2"/>
  <c r="K216" i="2"/>
  <c r="G216" i="2"/>
  <c r="C216" i="2"/>
  <c r="AA215" i="2"/>
  <c r="X215" i="2"/>
  <c r="W215" i="2"/>
  <c r="S215" i="2"/>
  <c r="O215" i="2"/>
  <c r="K215" i="2"/>
  <c r="G215" i="2"/>
  <c r="C215" i="2"/>
  <c r="AA214" i="2"/>
  <c r="W214" i="2"/>
  <c r="S214" i="2"/>
  <c r="O214" i="2"/>
  <c r="K214" i="2"/>
  <c r="L262" i="2" s="1"/>
  <c r="M262" i="2" s="1"/>
  <c r="G214" i="2"/>
  <c r="C214" i="2"/>
  <c r="AA213" i="2"/>
  <c r="W213" i="2"/>
  <c r="S213" i="2"/>
  <c r="O213" i="2"/>
  <c r="K213" i="2"/>
  <c r="G213" i="2"/>
  <c r="D213" i="2"/>
  <c r="E213" i="2" s="1"/>
  <c r="C213" i="2"/>
  <c r="AA212" i="2"/>
  <c r="W212" i="2"/>
  <c r="S212" i="2"/>
  <c r="O212" i="2"/>
  <c r="K212" i="2"/>
  <c r="G212" i="2"/>
  <c r="C212" i="2"/>
  <c r="AA211" i="2"/>
  <c r="W211" i="2"/>
  <c r="X259" i="2" s="1"/>
  <c r="S211" i="2"/>
  <c r="O211" i="2"/>
  <c r="K211" i="2"/>
  <c r="G211" i="2"/>
  <c r="C211" i="2"/>
  <c r="AA210" i="2"/>
  <c r="W210" i="2"/>
  <c r="S210" i="2"/>
  <c r="T255" i="2" s="1"/>
  <c r="O210" i="2"/>
  <c r="K210" i="2"/>
  <c r="H210" i="2"/>
  <c r="I210" i="2" s="1"/>
  <c r="G210" i="2"/>
  <c r="C210" i="2"/>
  <c r="AA209" i="2"/>
  <c r="W209" i="2"/>
  <c r="S209" i="2"/>
  <c r="O209" i="2"/>
  <c r="K209" i="2"/>
  <c r="G209" i="2"/>
  <c r="C209" i="2"/>
  <c r="AA208" i="2"/>
  <c r="W208" i="2"/>
  <c r="S208" i="2"/>
  <c r="O208" i="2"/>
  <c r="K208" i="2"/>
  <c r="G208" i="2"/>
  <c r="C208" i="2"/>
  <c r="AB207" i="2"/>
  <c r="AC207" i="2" s="1"/>
  <c r="AA207" i="2"/>
  <c r="W207" i="2"/>
  <c r="S207" i="2"/>
  <c r="O207" i="2"/>
  <c r="K207" i="2"/>
  <c r="L255" i="2" s="1"/>
  <c r="G207" i="2"/>
  <c r="H252" i="2" s="1"/>
  <c r="C207" i="2"/>
  <c r="AA206" i="2"/>
  <c r="W206" i="2"/>
  <c r="S206" i="2"/>
  <c r="O206" i="2"/>
  <c r="K206" i="2"/>
  <c r="G206" i="2"/>
  <c r="C206" i="2"/>
  <c r="AA205" i="2"/>
  <c r="W205" i="2"/>
  <c r="T205" i="2"/>
  <c r="U205" i="2" s="1"/>
  <c r="S205" i="2"/>
  <c r="O205" i="2"/>
  <c r="K205" i="2"/>
  <c r="G205" i="2"/>
  <c r="C205" i="2"/>
  <c r="AA204" i="2"/>
  <c r="AB252" i="2" s="1"/>
  <c r="AC252" i="2" s="1"/>
  <c r="W204" i="2"/>
  <c r="S204" i="2"/>
  <c r="O204" i="2"/>
  <c r="K204" i="2"/>
  <c r="G204" i="2"/>
  <c r="C204" i="2"/>
  <c r="AA203" i="2"/>
  <c r="W203" i="2"/>
  <c r="S203" i="2"/>
  <c r="O203" i="2"/>
  <c r="L203" i="2"/>
  <c r="M203" i="2" s="1"/>
  <c r="K203" i="2"/>
  <c r="G203" i="2"/>
  <c r="C203" i="2"/>
  <c r="AA202" i="2"/>
  <c r="W202" i="2"/>
  <c r="X250" i="2" s="1"/>
  <c r="S202" i="2"/>
  <c r="O202" i="2"/>
  <c r="K202" i="2"/>
  <c r="G202" i="2"/>
  <c r="C202" i="2"/>
  <c r="AA201" i="2"/>
  <c r="W201" i="2"/>
  <c r="S201" i="2"/>
  <c r="O201" i="2"/>
  <c r="K201" i="2"/>
  <c r="G201" i="2"/>
  <c r="D201" i="2"/>
  <c r="E201" i="2" s="1"/>
  <c r="C201" i="2"/>
  <c r="AA200" i="2"/>
  <c r="W200" i="2"/>
  <c r="S200" i="2"/>
  <c r="O200" i="2"/>
  <c r="K200" i="2"/>
  <c r="L248" i="2" s="1"/>
  <c r="M248" i="2" s="1"/>
  <c r="G200" i="2"/>
  <c r="C200" i="2"/>
  <c r="AA199" i="2"/>
  <c r="W199" i="2"/>
  <c r="S199" i="2"/>
  <c r="O199" i="2"/>
  <c r="K199" i="2"/>
  <c r="G199" i="2"/>
  <c r="H239" i="2" s="1"/>
  <c r="I239" i="2" s="1"/>
  <c r="C199" i="2"/>
  <c r="AA198" i="2"/>
  <c r="X198" i="2"/>
  <c r="Y198" i="2" s="1"/>
  <c r="W198" i="2"/>
  <c r="S198" i="2"/>
  <c r="O198" i="2"/>
  <c r="K198" i="2"/>
  <c r="G198" i="2"/>
  <c r="H246" i="2" s="1"/>
  <c r="C198" i="2"/>
  <c r="AA197" i="2"/>
  <c r="W197" i="2"/>
  <c r="S197" i="2"/>
  <c r="O197" i="2"/>
  <c r="K197" i="2"/>
  <c r="G197" i="2"/>
  <c r="C197" i="2"/>
  <c r="AA196" i="2"/>
  <c r="W196" i="2"/>
  <c r="S196" i="2"/>
  <c r="P196" i="2"/>
  <c r="Q196" i="2" s="1"/>
  <c r="O196" i="2"/>
  <c r="K196" i="2"/>
  <c r="G196" i="2"/>
  <c r="C196" i="2"/>
  <c r="AA195" i="2"/>
  <c r="AB243" i="2" s="1"/>
  <c r="W195" i="2"/>
  <c r="S195" i="2"/>
  <c r="O195" i="2"/>
  <c r="K195" i="2"/>
  <c r="G195" i="2"/>
  <c r="C195" i="2"/>
  <c r="D243" i="2" s="1"/>
  <c r="AA194" i="2"/>
  <c r="W194" i="2"/>
  <c r="S194" i="2"/>
  <c r="T242" i="2" s="1"/>
  <c r="U242" i="2" s="1"/>
  <c r="O194" i="2"/>
  <c r="K194" i="2"/>
  <c r="H194" i="2"/>
  <c r="I194" i="2" s="1"/>
  <c r="G194" i="2"/>
  <c r="C194" i="2"/>
  <c r="AA193" i="2"/>
  <c r="W193" i="2"/>
  <c r="S193" i="2"/>
  <c r="O193" i="2"/>
  <c r="P238" i="2" s="1"/>
  <c r="K193" i="2"/>
  <c r="G193" i="2"/>
  <c r="C193" i="2"/>
  <c r="AA192" i="2"/>
  <c r="W192" i="2"/>
  <c r="S192" i="2"/>
  <c r="O192" i="2"/>
  <c r="K192" i="2"/>
  <c r="G192" i="2"/>
  <c r="C192" i="2"/>
  <c r="AB191" i="2"/>
  <c r="AC191" i="2" s="1"/>
  <c r="AA191" i="2"/>
  <c r="W191" i="2"/>
  <c r="S191" i="2"/>
  <c r="O191" i="2"/>
  <c r="K191" i="2"/>
  <c r="L239" i="2" s="1"/>
  <c r="G191" i="2"/>
  <c r="C191" i="2"/>
  <c r="AA190" i="2"/>
  <c r="W190" i="2"/>
  <c r="S190" i="2"/>
  <c r="O190" i="2"/>
  <c r="K190" i="2"/>
  <c r="G190" i="2"/>
  <c r="C190" i="2"/>
  <c r="D230" i="2" s="1"/>
  <c r="E230" i="2" s="1"/>
  <c r="AA189" i="2"/>
  <c r="W189" i="2"/>
  <c r="T189" i="2"/>
  <c r="U189" i="2" s="1"/>
  <c r="S189" i="2"/>
  <c r="O189" i="2"/>
  <c r="K189" i="2"/>
  <c r="G189" i="2"/>
  <c r="C189" i="2"/>
  <c r="AA188" i="2"/>
  <c r="W188" i="2"/>
  <c r="S188" i="2"/>
  <c r="O188" i="2"/>
  <c r="K188" i="2"/>
  <c r="G188" i="2"/>
  <c r="C188" i="2"/>
  <c r="AA187" i="2"/>
  <c r="W187" i="2"/>
  <c r="X232" i="2" s="1"/>
  <c r="S187" i="2"/>
  <c r="O187" i="2"/>
  <c r="K187" i="2"/>
  <c r="G187" i="2"/>
  <c r="C187" i="2"/>
  <c r="AA186" i="2"/>
  <c r="W186" i="2"/>
  <c r="X234" i="2" s="1"/>
  <c r="S186" i="2"/>
  <c r="T233" i="2" s="1"/>
  <c r="O186" i="2"/>
  <c r="K186" i="2"/>
  <c r="G186" i="2"/>
  <c r="C186" i="2"/>
  <c r="AA185" i="2"/>
  <c r="AB233" i="2" s="1"/>
  <c r="W185" i="2"/>
  <c r="S185" i="2"/>
  <c r="O185" i="2"/>
  <c r="K185" i="2"/>
  <c r="G185" i="2"/>
  <c r="D185" i="2"/>
  <c r="E185" i="2" s="1"/>
  <c r="C185" i="2"/>
  <c r="AA184" i="2"/>
  <c r="W184" i="2"/>
  <c r="S184" i="2"/>
  <c r="O184" i="2"/>
  <c r="K184" i="2"/>
  <c r="G184" i="2"/>
  <c r="C184" i="2"/>
  <c r="AA183" i="2"/>
  <c r="W183" i="2"/>
  <c r="S183" i="2"/>
  <c r="O183" i="2"/>
  <c r="K183" i="2"/>
  <c r="G183" i="2"/>
  <c r="H217" i="2" s="1"/>
  <c r="I217" i="2" s="1"/>
  <c r="C183" i="2"/>
  <c r="AA182" i="2"/>
  <c r="W182" i="2"/>
  <c r="S182" i="2"/>
  <c r="O182" i="2"/>
  <c r="K182" i="2"/>
  <c r="G182" i="2"/>
  <c r="H230" i="2" s="1"/>
  <c r="C182" i="2"/>
  <c r="AA181" i="2"/>
  <c r="W181" i="2"/>
  <c r="S181" i="2"/>
  <c r="O181" i="2"/>
  <c r="K181" i="2"/>
  <c r="G181" i="2"/>
  <c r="C181" i="2"/>
  <c r="AA180" i="2"/>
  <c r="AB227" i="2" s="1"/>
  <c r="W180" i="2"/>
  <c r="S180" i="2"/>
  <c r="P180" i="2"/>
  <c r="Q180" i="2" s="1"/>
  <c r="O180" i="2"/>
  <c r="K180" i="2"/>
  <c r="G180" i="2"/>
  <c r="C180" i="2"/>
  <c r="AA179" i="2"/>
  <c r="W179" i="2"/>
  <c r="S179" i="2"/>
  <c r="O179" i="2"/>
  <c r="K179" i="2"/>
  <c r="G179" i="2"/>
  <c r="C179" i="2"/>
  <c r="AA178" i="2"/>
  <c r="W178" i="2"/>
  <c r="S178" i="2"/>
  <c r="T212" i="2" s="1"/>
  <c r="U212" i="2" s="1"/>
  <c r="O178" i="2"/>
  <c r="K178" i="2"/>
  <c r="G178" i="2"/>
  <c r="C178" i="2"/>
  <c r="AA177" i="2"/>
  <c r="W177" i="2"/>
  <c r="S177" i="2"/>
  <c r="T225" i="2" s="1"/>
  <c r="O177" i="2"/>
  <c r="P224" i="2" s="1"/>
  <c r="Q224" i="2" s="1"/>
  <c r="K177" i="2"/>
  <c r="G177" i="2"/>
  <c r="C177" i="2"/>
  <c r="AA176" i="2"/>
  <c r="W176" i="2"/>
  <c r="S176" i="2"/>
  <c r="O176" i="2"/>
  <c r="K176" i="2"/>
  <c r="G176" i="2"/>
  <c r="C176" i="2"/>
  <c r="AB175" i="2"/>
  <c r="AC175" i="2" s="1"/>
  <c r="AA175" i="2"/>
  <c r="W175" i="2"/>
  <c r="S175" i="2"/>
  <c r="O175" i="2"/>
  <c r="K175" i="2"/>
  <c r="L223" i="2" s="1"/>
  <c r="G175" i="2"/>
  <c r="C175" i="2"/>
  <c r="AA174" i="2"/>
  <c r="W174" i="2"/>
  <c r="S174" i="2"/>
  <c r="O174" i="2"/>
  <c r="P222" i="2" s="1"/>
  <c r="K174" i="2"/>
  <c r="G174" i="2"/>
  <c r="C174" i="2"/>
  <c r="D212" i="2" s="1"/>
  <c r="E212" i="2" s="1"/>
  <c r="AA173" i="2"/>
  <c r="W173" i="2"/>
  <c r="S173" i="2"/>
  <c r="O173" i="2"/>
  <c r="K173" i="2"/>
  <c r="G173" i="2"/>
  <c r="C173" i="2"/>
  <c r="AA172" i="2"/>
  <c r="W172" i="2"/>
  <c r="S172" i="2"/>
  <c r="O172" i="2"/>
  <c r="K172" i="2"/>
  <c r="G172" i="2"/>
  <c r="C172" i="2"/>
  <c r="AA171" i="2"/>
  <c r="W171" i="2"/>
  <c r="S171" i="2"/>
  <c r="O171" i="2"/>
  <c r="K171" i="2"/>
  <c r="G171" i="2"/>
  <c r="C171" i="2"/>
  <c r="AA170" i="2"/>
  <c r="W170" i="2"/>
  <c r="S170" i="2"/>
  <c r="T217" i="2" s="1"/>
  <c r="U217" i="2" s="1"/>
  <c r="O170" i="2"/>
  <c r="K170" i="2"/>
  <c r="G170" i="2"/>
  <c r="C170" i="2"/>
  <c r="AA169" i="2"/>
  <c r="W169" i="2"/>
  <c r="S169" i="2"/>
  <c r="O169" i="2"/>
  <c r="P217" i="2" s="1"/>
  <c r="Q217" i="2" s="1"/>
  <c r="K169" i="2"/>
  <c r="G169" i="2"/>
  <c r="C169" i="2"/>
  <c r="AA168" i="2"/>
  <c r="W168" i="2"/>
  <c r="S168" i="2"/>
  <c r="O168" i="2"/>
  <c r="P216" i="2" s="1"/>
  <c r="K168" i="2"/>
  <c r="G168" i="2"/>
  <c r="C168" i="2"/>
  <c r="AA167" i="2"/>
  <c r="AB215" i="2" s="1"/>
  <c r="AC215" i="2" s="1"/>
  <c r="W167" i="2"/>
  <c r="S167" i="2"/>
  <c r="O167" i="2"/>
  <c r="K167" i="2"/>
  <c r="G167" i="2"/>
  <c r="H212" i="2" s="1"/>
  <c r="I212" i="2" s="1"/>
  <c r="C167" i="2"/>
  <c r="AA166" i="2"/>
  <c r="W166" i="2"/>
  <c r="S166" i="2"/>
  <c r="O166" i="2"/>
  <c r="K166" i="2"/>
  <c r="G166" i="2"/>
  <c r="C166" i="2"/>
  <c r="D210" i="2" s="1"/>
  <c r="E210" i="2" s="1"/>
  <c r="AA165" i="2"/>
  <c r="W165" i="2"/>
  <c r="S165" i="2"/>
  <c r="T213" i="2" s="1"/>
  <c r="U213" i="2" s="1"/>
  <c r="O165" i="2"/>
  <c r="K165" i="2"/>
  <c r="G165" i="2"/>
  <c r="C165" i="2"/>
  <c r="AA164" i="2"/>
  <c r="AB208" i="2" s="1"/>
  <c r="AC208" i="2" s="1"/>
  <c r="W164" i="2"/>
  <c r="S164" i="2"/>
  <c r="O164" i="2"/>
  <c r="K164" i="2"/>
  <c r="G164" i="2"/>
  <c r="C164" i="2"/>
  <c r="AA163" i="2"/>
  <c r="AB211" i="2" s="1"/>
  <c r="W163" i="2"/>
  <c r="X207" i="2" s="1"/>
  <c r="Y207" i="2" s="1"/>
  <c r="S163" i="2"/>
  <c r="O163" i="2"/>
  <c r="K163" i="2"/>
  <c r="L211" i="2" s="1"/>
  <c r="M211" i="2" s="1"/>
  <c r="G163" i="2"/>
  <c r="C163" i="2"/>
  <c r="AA162" i="2"/>
  <c r="W162" i="2"/>
  <c r="S162" i="2"/>
  <c r="T206" i="2" s="1"/>
  <c r="U206" i="2" s="1"/>
  <c r="O162" i="2"/>
  <c r="K162" i="2"/>
  <c r="G162" i="2"/>
  <c r="C162" i="2"/>
  <c r="AA161" i="2"/>
  <c r="W161" i="2"/>
  <c r="S161" i="2"/>
  <c r="T209" i="2" s="1"/>
  <c r="U209" i="2" s="1"/>
  <c r="O161" i="2"/>
  <c r="P205" i="2" s="1"/>
  <c r="Q205" i="2" s="1"/>
  <c r="K161" i="2"/>
  <c r="G161" i="2"/>
  <c r="C161" i="2"/>
  <c r="AA160" i="2"/>
  <c r="W160" i="2"/>
  <c r="S160" i="2"/>
  <c r="O160" i="2"/>
  <c r="K160" i="2"/>
  <c r="L195" i="2" s="1"/>
  <c r="M195" i="2" s="1"/>
  <c r="G160" i="2"/>
  <c r="C160" i="2"/>
  <c r="AA159" i="2"/>
  <c r="W159" i="2"/>
  <c r="S159" i="2"/>
  <c r="O159" i="2"/>
  <c r="K159" i="2"/>
  <c r="L207" i="2" s="1"/>
  <c r="M207" i="2" s="1"/>
  <c r="G159" i="2"/>
  <c r="H203" i="2" s="1"/>
  <c r="I203" i="2" s="1"/>
  <c r="C159" i="2"/>
  <c r="AA158" i="2"/>
  <c r="W158" i="2"/>
  <c r="S158" i="2"/>
  <c r="O158" i="2"/>
  <c r="K158" i="2"/>
  <c r="G158" i="2"/>
  <c r="C158" i="2"/>
  <c r="D202" i="2" s="1"/>
  <c r="E202" i="2" s="1"/>
  <c r="AA157" i="2"/>
  <c r="W157" i="2"/>
  <c r="S157" i="2"/>
  <c r="O157" i="2"/>
  <c r="K157" i="2"/>
  <c r="G157" i="2"/>
  <c r="C157" i="2"/>
  <c r="D205" i="2" s="1"/>
  <c r="E205" i="2" s="1"/>
  <c r="AA156" i="2"/>
  <c r="AB200" i="2" s="1"/>
  <c r="AC200" i="2" s="1"/>
  <c r="W156" i="2"/>
  <c r="S156" i="2"/>
  <c r="O156" i="2"/>
  <c r="K156" i="2"/>
  <c r="G156" i="2"/>
  <c r="C156" i="2"/>
  <c r="AA155" i="2"/>
  <c r="W155" i="2"/>
  <c r="X190" i="2" s="1"/>
  <c r="Y190" i="2" s="1"/>
  <c r="S155" i="2"/>
  <c r="O155" i="2"/>
  <c r="K155" i="2"/>
  <c r="G155" i="2"/>
  <c r="C155" i="2"/>
  <c r="AA154" i="2"/>
  <c r="W154" i="2"/>
  <c r="X202" i="2" s="1"/>
  <c r="Y202" i="2" s="1"/>
  <c r="S154" i="2"/>
  <c r="T198" i="2" s="1"/>
  <c r="U198" i="2" s="1"/>
  <c r="O154" i="2"/>
  <c r="K154" i="2"/>
  <c r="G154" i="2"/>
  <c r="C154" i="2"/>
  <c r="AA153" i="2"/>
  <c r="W153" i="2"/>
  <c r="S153" i="2"/>
  <c r="O153" i="2"/>
  <c r="P197" i="2" s="1"/>
  <c r="Q197" i="2" s="1"/>
  <c r="K153" i="2"/>
  <c r="G153" i="2"/>
  <c r="C153" i="2"/>
  <c r="AA152" i="2"/>
  <c r="W152" i="2"/>
  <c r="S152" i="2"/>
  <c r="O152" i="2"/>
  <c r="P200" i="2" s="1"/>
  <c r="Q200" i="2" s="1"/>
  <c r="K152" i="2"/>
  <c r="L196" i="2" s="1"/>
  <c r="M196" i="2" s="1"/>
  <c r="G152" i="2"/>
  <c r="C152" i="2"/>
  <c r="AA151" i="2"/>
  <c r="W151" i="2"/>
  <c r="S151" i="2"/>
  <c r="O151" i="2"/>
  <c r="K151" i="2"/>
  <c r="G151" i="2"/>
  <c r="H195" i="2" s="1"/>
  <c r="I195" i="2" s="1"/>
  <c r="C151" i="2"/>
  <c r="AA150" i="2"/>
  <c r="W150" i="2"/>
  <c r="S150" i="2"/>
  <c r="O150" i="2"/>
  <c r="K150" i="2"/>
  <c r="G150" i="2"/>
  <c r="H198" i="2" s="1"/>
  <c r="I198" i="2" s="1"/>
  <c r="C150" i="2"/>
  <c r="D194" i="2" s="1"/>
  <c r="E194" i="2" s="1"/>
  <c r="AA149" i="2"/>
  <c r="W149" i="2"/>
  <c r="S149" i="2"/>
  <c r="O149" i="2"/>
  <c r="K149" i="2"/>
  <c r="G149" i="2"/>
  <c r="C149" i="2"/>
  <c r="AA148" i="2"/>
  <c r="AB192" i="2" s="1"/>
  <c r="AC192" i="2" s="1"/>
  <c r="W148" i="2"/>
  <c r="S148" i="2"/>
  <c r="O148" i="2"/>
  <c r="K148" i="2"/>
  <c r="G148" i="2"/>
  <c r="C148" i="2"/>
  <c r="AA147" i="2"/>
  <c r="AB195" i="2" s="1"/>
  <c r="AC195" i="2" s="1"/>
  <c r="W147" i="2"/>
  <c r="S147" i="2"/>
  <c r="O147" i="2"/>
  <c r="K147" i="2"/>
  <c r="G147" i="2"/>
  <c r="C147" i="2"/>
  <c r="AA146" i="2"/>
  <c r="W146" i="2"/>
  <c r="S146" i="2"/>
  <c r="O146" i="2"/>
  <c r="K146" i="2"/>
  <c r="G146" i="2"/>
  <c r="C146" i="2"/>
  <c r="AA145" i="2"/>
  <c r="W145" i="2"/>
  <c r="S145" i="2"/>
  <c r="T193" i="2" s="1"/>
  <c r="U193" i="2" s="1"/>
  <c r="O145" i="2"/>
  <c r="K145" i="2"/>
  <c r="G145" i="2"/>
  <c r="C145" i="2"/>
  <c r="AA144" i="2"/>
  <c r="W144" i="2"/>
  <c r="S144" i="2"/>
  <c r="T190" i="2" s="1"/>
  <c r="U190" i="2" s="1"/>
  <c r="O144" i="2"/>
  <c r="K144" i="2"/>
  <c r="G144" i="2"/>
  <c r="C144" i="2"/>
  <c r="AA143" i="2"/>
  <c r="W143" i="2"/>
  <c r="S143" i="2"/>
  <c r="O143" i="2"/>
  <c r="K143" i="2"/>
  <c r="G143" i="2"/>
  <c r="C143" i="2"/>
  <c r="AA142" i="2"/>
  <c r="AB190" i="2" s="1"/>
  <c r="AC190" i="2" s="1"/>
  <c r="W142" i="2"/>
  <c r="S142" i="2"/>
  <c r="O142" i="2"/>
  <c r="K142" i="2"/>
  <c r="L190" i="2" s="1"/>
  <c r="M190" i="2" s="1"/>
  <c r="G142" i="2"/>
  <c r="C142" i="2"/>
  <c r="AA141" i="2"/>
  <c r="W141" i="2"/>
  <c r="S141" i="2"/>
  <c r="O141" i="2"/>
  <c r="K141" i="2"/>
  <c r="G141" i="2"/>
  <c r="C141" i="2"/>
  <c r="D189" i="2" s="1"/>
  <c r="E189" i="2" s="1"/>
  <c r="AA140" i="2"/>
  <c r="W140" i="2"/>
  <c r="S140" i="2"/>
  <c r="O140" i="2"/>
  <c r="K140" i="2"/>
  <c r="G140" i="2"/>
  <c r="C140" i="2"/>
  <c r="E140" i="2" s="1"/>
  <c r="AA139" i="2"/>
  <c r="W139" i="2"/>
  <c r="S139" i="2"/>
  <c r="O139" i="2"/>
  <c r="K139" i="2"/>
  <c r="G139" i="2"/>
  <c r="C139" i="2"/>
  <c r="AA138" i="2"/>
  <c r="W138" i="2"/>
  <c r="S138" i="2"/>
  <c r="T181" i="2" s="1"/>
  <c r="U181" i="2" s="1"/>
  <c r="O138" i="2"/>
  <c r="K138" i="2"/>
  <c r="L186" i="2" s="1"/>
  <c r="M186" i="2" s="1"/>
  <c r="G138" i="2"/>
  <c r="C138" i="2"/>
  <c r="AA137" i="2"/>
  <c r="W137" i="2"/>
  <c r="X185" i="2" s="1"/>
  <c r="Y185" i="2" s="1"/>
  <c r="S137" i="2"/>
  <c r="O137" i="2"/>
  <c r="K137" i="2"/>
  <c r="G137" i="2"/>
  <c r="C137" i="2"/>
  <c r="AA136" i="2"/>
  <c r="W136" i="2"/>
  <c r="S136" i="2"/>
  <c r="O136" i="2"/>
  <c r="P184" i="2" s="1"/>
  <c r="Q184" i="2" s="1"/>
  <c r="K136" i="2"/>
  <c r="G136" i="2"/>
  <c r="C136" i="2"/>
  <c r="AA135" i="2"/>
  <c r="W135" i="2"/>
  <c r="S135" i="2"/>
  <c r="O135" i="2"/>
  <c r="Q135" i="2" s="1"/>
  <c r="K135" i="2"/>
  <c r="G135" i="2"/>
  <c r="C135" i="2"/>
  <c r="AA134" i="2"/>
  <c r="W134" i="2"/>
  <c r="S134" i="2"/>
  <c r="O134" i="2"/>
  <c r="K134" i="2"/>
  <c r="G134" i="2"/>
  <c r="C134" i="2"/>
  <c r="AA133" i="2"/>
  <c r="W133" i="2"/>
  <c r="X181" i="2" s="1"/>
  <c r="Y181" i="2" s="1"/>
  <c r="S133" i="2"/>
  <c r="O133" i="2"/>
  <c r="K133" i="2"/>
  <c r="G133" i="2"/>
  <c r="H181" i="2" s="1"/>
  <c r="I181" i="2" s="1"/>
  <c r="C133" i="2"/>
  <c r="AA132" i="2"/>
  <c r="W132" i="2"/>
  <c r="X174" i="2" s="1"/>
  <c r="Y174" i="2" s="1"/>
  <c r="S132" i="2"/>
  <c r="O132" i="2"/>
  <c r="K132" i="2"/>
  <c r="G132" i="2"/>
  <c r="C132" i="2"/>
  <c r="AA131" i="2"/>
  <c r="AB179" i="2" s="1"/>
  <c r="AC179" i="2" s="1"/>
  <c r="W131" i="2"/>
  <c r="S131" i="2"/>
  <c r="O131" i="2"/>
  <c r="K131" i="2"/>
  <c r="G131" i="2"/>
  <c r="C131" i="2"/>
  <c r="AA130" i="2"/>
  <c r="AB176" i="2" s="1"/>
  <c r="AC176" i="2" s="1"/>
  <c r="W130" i="2"/>
  <c r="S130" i="2"/>
  <c r="O130" i="2"/>
  <c r="K130" i="2"/>
  <c r="G130" i="2"/>
  <c r="C130" i="2"/>
  <c r="AA129" i="2"/>
  <c r="W129" i="2"/>
  <c r="S129" i="2"/>
  <c r="O129" i="2"/>
  <c r="K129" i="2"/>
  <c r="G129" i="2"/>
  <c r="H177" i="2" s="1"/>
  <c r="I177" i="2" s="1"/>
  <c r="C129" i="2"/>
  <c r="AA128" i="2"/>
  <c r="W128" i="2"/>
  <c r="S128" i="2"/>
  <c r="T176" i="2" s="1"/>
  <c r="U176" i="2" s="1"/>
  <c r="O128" i="2"/>
  <c r="K128" i="2"/>
  <c r="G128" i="2"/>
  <c r="H170" i="2" s="1"/>
  <c r="I170" i="2" s="1"/>
  <c r="C128" i="2"/>
  <c r="AA127" i="2"/>
  <c r="W127" i="2"/>
  <c r="S127" i="2"/>
  <c r="O127" i="2"/>
  <c r="K127" i="2"/>
  <c r="L175" i="2" s="1"/>
  <c r="M175" i="2" s="1"/>
  <c r="G127" i="2"/>
  <c r="C127" i="2"/>
  <c r="AA126" i="2"/>
  <c r="W126" i="2"/>
  <c r="S126" i="2"/>
  <c r="O126" i="2"/>
  <c r="K126" i="2"/>
  <c r="L172" i="2" s="1"/>
  <c r="M172" i="2" s="1"/>
  <c r="G126" i="2"/>
  <c r="C126" i="2"/>
  <c r="AA125" i="2"/>
  <c r="W125" i="2"/>
  <c r="S125" i="2"/>
  <c r="O125" i="2"/>
  <c r="K125" i="2"/>
  <c r="G125" i="2"/>
  <c r="C125" i="2"/>
  <c r="AA124" i="2"/>
  <c r="W124" i="2"/>
  <c r="S124" i="2"/>
  <c r="T172" i="2" s="1"/>
  <c r="U172" i="2" s="1"/>
  <c r="O124" i="2"/>
  <c r="K124" i="2"/>
  <c r="G124" i="2"/>
  <c r="C124" i="2"/>
  <c r="D172" i="2" s="1"/>
  <c r="E172" i="2" s="1"/>
  <c r="AA123" i="2"/>
  <c r="W123" i="2"/>
  <c r="S123" i="2"/>
  <c r="O123" i="2"/>
  <c r="K123" i="2"/>
  <c r="G123" i="2"/>
  <c r="C123" i="2"/>
  <c r="AA122" i="2"/>
  <c r="W122" i="2"/>
  <c r="X170" i="2" s="1"/>
  <c r="Y170" i="2" s="1"/>
  <c r="S122" i="2"/>
  <c r="O122" i="2"/>
  <c r="K122" i="2"/>
  <c r="G122" i="2"/>
  <c r="C122" i="2"/>
  <c r="AA121" i="2"/>
  <c r="W121" i="2"/>
  <c r="X167" i="2" s="1"/>
  <c r="Y167" i="2" s="1"/>
  <c r="S121" i="2"/>
  <c r="O121" i="2"/>
  <c r="K121" i="2"/>
  <c r="G121" i="2"/>
  <c r="C121" i="2"/>
  <c r="AA120" i="2"/>
  <c r="W120" i="2"/>
  <c r="S120" i="2"/>
  <c r="O120" i="2"/>
  <c r="K120" i="2"/>
  <c r="G120" i="2"/>
  <c r="C120" i="2"/>
  <c r="D168" i="2" s="1"/>
  <c r="E168" i="2" s="1"/>
  <c r="AA119" i="2"/>
  <c r="W119" i="2"/>
  <c r="S119" i="2"/>
  <c r="O119" i="2"/>
  <c r="P167" i="2" s="1"/>
  <c r="Q167" i="2" s="1"/>
  <c r="K119" i="2"/>
  <c r="G119" i="2"/>
  <c r="C119" i="2"/>
  <c r="D161" i="2" s="1"/>
  <c r="E161" i="2" s="1"/>
  <c r="AA118" i="2"/>
  <c r="W118" i="2"/>
  <c r="S118" i="2"/>
  <c r="O118" i="2"/>
  <c r="K118" i="2"/>
  <c r="G118" i="2"/>
  <c r="H166" i="2" s="1"/>
  <c r="I166" i="2" s="1"/>
  <c r="C118" i="2"/>
  <c r="AA117" i="2"/>
  <c r="W117" i="2"/>
  <c r="S117" i="2"/>
  <c r="O117" i="2"/>
  <c r="K117" i="2"/>
  <c r="G117" i="2"/>
  <c r="H163" i="2" s="1"/>
  <c r="I163" i="2" s="1"/>
  <c r="C117" i="2"/>
  <c r="AA116" i="2"/>
  <c r="W116" i="2"/>
  <c r="S116" i="2"/>
  <c r="O116" i="2"/>
  <c r="K116" i="2"/>
  <c r="G116" i="2"/>
  <c r="C116" i="2"/>
  <c r="AA115" i="2"/>
  <c r="W115" i="2"/>
  <c r="S115" i="2"/>
  <c r="O115" i="2"/>
  <c r="P163" i="2" s="1"/>
  <c r="Q163" i="2" s="1"/>
  <c r="K115" i="2"/>
  <c r="G115" i="2"/>
  <c r="C115" i="2"/>
  <c r="AA114" i="2"/>
  <c r="AB162" i="2" s="1"/>
  <c r="AC162" i="2" s="1"/>
  <c r="W114" i="2"/>
  <c r="S114" i="2"/>
  <c r="O114" i="2"/>
  <c r="K114" i="2"/>
  <c r="G114" i="2"/>
  <c r="C114" i="2"/>
  <c r="AA113" i="2"/>
  <c r="W113" i="2"/>
  <c r="S113" i="2"/>
  <c r="T161" i="2" s="1"/>
  <c r="U161" i="2" s="1"/>
  <c r="O113" i="2"/>
  <c r="K113" i="2"/>
  <c r="G113" i="2"/>
  <c r="C113" i="2"/>
  <c r="AA112" i="2"/>
  <c r="W112" i="2"/>
  <c r="S112" i="2"/>
  <c r="O112" i="2"/>
  <c r="K112" i="2"/>
  <c r="G112" i="2"/>
  <c r="C112" i="2"/>
  <c r="AA111" i="2"/>
  <c r="W111" i="2"/>
  <c r="S111" i="2"/>
  <c r="O111" i="2"/>
  <c r="K111" i="2"/>
  <c r="G111" i="2"/>
  <c r="C111" i="2"/>
  <c r="AA110" i="2"/>
  <c r="AB158" i="2" s="1"/>
  <c r="AC158" i="2" s="1"/>
  <c r="W110" i="2"/>
  <c r="S110" i="2"/>
  <c r="O110" i="2"/>
  <c r="K110" i="2"/>
  <c r="L158" i="2" s="1"/>
  <c r="M158" i="2" s="1"/>
  <c r="G110" i="2"/>
  <c r="C110" i="2"/>
  <c r="AA109" i="2"/>
  <c r="AB151" i="2" s="1"/>
  <c r="AC151" i="2" s="1"/>
  <c r="W109" i="2"/>
  <c r="S109" i="2"/>
  <c r="O109" i="2"/>
  <c r="K109" i="2"/>
  <c r="G109" i="2"/>
  <c r="C109" i="2"/>
  <c r="D157" i="2" s="1"/>
  <c r="E157" i="2" s="1"/>
  <c r="AA108" i="2"/>
  <c r="W108" i="2"/>
  <c r="S108" i="2"/>
  <c r="O108" i="2"/>
  <c r="K108" i="2"/>
  <c r="G108" i="2"/>
  <c r="C108" i="2"/>
  <c r="D154" i="2" s="1"/>
  <c r="E154" i="2" s="1"/>
  <c r="AA107" i="2"/>
  <c r="W107" i="2"/>
  <c r="S107" i="2"/>
  <c r="O107" i="2"/>
  <c r="K107" i="2"/>
  <c r="G107" i="2"/>
  <c r="C107" i="2"/>
  <c r="AA106" i="2"/>
  <c r="W106" i="2"/>
  <c r="S106" i="2"/>
  <c r="T149" i="2" s="1"/>
  <c r="U149" i="2" s="1"/>
  <c r="O106" i="2"/>
  <c r="K106" i="2"/>
  <c r="L154" i="2" s="1"/>
  <c r="M154" i="2" s="1"/>
  <c r="G106" i="2"/>
  <c r="C106" i="2"/>
  <c r="AA105" i="2"/>
  <c r="W105" i="2"/>
  <c r="X153" i="2" s="1"/>
  <c r="Y153" i="2" s="1"/>
  <c r="S105" i="2"/>
  <c r="O105" i="2"/>
  <c r="K105" i="2"/>
  <c r="L147" i="2" s="1"/>
  <c r="M147" i="2" s="1"/>
  <c r="G105" i="2"/>
  <c r="C105" i="2"/>
  <c r="AA104" i="2"/>
  <c r="W104" i="2"/>
  <c r="S104" i="2"/>
  <c r="O104" i="2"/>
  <c r="P152" i="2" s="1"/>
  <c r="Q152" i="2" s="1"/>
  <c r="K104" i="2"/>
  <c r="G104" i="2"/>
  <c r="C104" i="2"/>
  <c r="AA103" i="2"/>
  <c r="W103" i="2"/>
  <c r="S103" i="2"/>
  <c r="O103" i="2"/>
  <c r="K103" i="2"/>
  <c r="G103" i="2"/>
  <c r="C103" i="2"/>
  <c r="AA102" i="2"/>
  <c r="W102" i="2"/>
  <c r="S102" i="2"/>
  <c r="O102" i="2"/>
  <c r="K102" i="2"/>
  <c r="G102" i="2"/>
  <c r="C102" i="2"/>
  <c r="AA101" i="2"/>
  <c r="W101" i="2"/>
  <c r="S101" i="2"/>
  <c r="O101" i="2"/>
  <c r="K101" i="2"/>
  <c r="G101" i="2"/>
  <c r="H149" i="2" s="1"/>
  <c r="I149" i="2" s="1"/>
  <c r="C101" i="2"/>
  <c r="AA100" i="2"/>
  <c r="W100" i="2"/>
  <c r="S100" i="2"/>
  <c r="O100" i="2"/>
  <c r="K100" i="2"/>
  <c r="G100" i="2"/>
  <c r="C100" i="2"/>
  <c r="AA99" i="2"/>
  <c r="AB147" i="2" s="1"/>
  <c r="AC147" i="2" s="1"/>
  <c r="W99" i="2"/>
  <c r="S99" i="2"/>
  <c r="O99" i="2"/>
  <c r="K99" i="2"/>
  <c r="G99" i="2"/>
  <c r="C99" i="2"/>
  <c r="AA98" i="2"/>
  <c r="W98" i="2"/>
  <c r="S98" i="2"/>
  <c r="O98" i="2"/>
  <c r="K98" i="2"/>
  <c r="G98" i="2"/>
  <c r="C98" i="2"/>
  <c r="AA97" i="2"/>
  <c r="W97" i="2"/>
  <c r="X143" i="2" s="1"/>
  <c r="Y143" i="2" s="1"/>
  <c r="S97" i="2"/>
  <c r="O97" i="2"/>
  <c r="K97" i="2"/>
  <c r="G97" i="2"/>
  <c r="H145" i="2" s="1"/>
  <c r="I145" i="2" s="1"/>
  <c r="C97" i="2"/>
  <c r="AA96" i="2"/>
  <c r="W96" i="2"/>
  <c r="S96" i="2"/>
  <c r="T144" i="2" s="1"/>
  <c r="O96" i="2"/>
  <c r="K96" i="2"/>
  <c r="G96" i="2"/>
  <c r="C96" i="2"/>
  <c r="AA95" i="2"/>
  <c r="W95" i="2"/>
  <c r="S95" i="2"/>
  <c r="O95" i="2"/>
  <c r="K95" i="2"/>
  <c r="L143" i="2" s="1"/>
  <c r="M143" i="2" s="1"/>
  <c r="G95" i="2"/>
  <c r="C95" i="2"/>
  <c r="AA94" i="2"/>
  <c r="W94" i="2"/>
  <c r="T94" i="2"/>
  <c r="U94" i="2" s="1"/>
  <c r="S94" i="2"/>
  <c r="O94" i="2"/>
  <c r="K94" i="2"/>
  <c r="L139" i="2" s="1"/>
  <c r="M139" i="2" s="1"/>
  <c r="G94" i="2"/>
  <c r="C94" i="2"/>
  <c r="AA93" i="2"/>
  <c r="W93" i="2"/>
  <c r="S93" i="2"/>
  <c r="O93" i="2"/>
  <c r="K93" i="2"/>
  <c r="G93" i="2"/>
  <c r="H139" i="2" s="1"/>
  <c r="I139" i="2" s="1"/>
  <c r="C93" i="2"/>
  <c r="AA92" i="2"/>
  <c r="W92" i="2"/>
  <c r="S92" i="2"/>
  <c r="T140" i="2" s="1"/>
  <c r="U140" i="2" s="1"/>
  <c r="O92" i="2"/>
  <c r="K92" i="2"/>
  <c r="G92" i="2"/>
  <c r="C92" i="2"/>
  <c r="D140" i="2" s="1"/>
  <c r="AA91" i="2"/>
  <c r="W91" i="2"/>
  <c r="S91" i="2"/>
  <c r="O91" i="2"/>
  <c r="K91" i="2"/>
  <c r="G91" i="2"/>
  <c r="C91" i="2"/>
  <c r="AA90" i="2"/>
  <c r="W90" i="2"/>
  <c r="X138" i="2" s="1"/>
  <c r="Y138" i="2" s="1"/>
  <c r="S90" i="2"/>
  <c r="O90" i="2"/>
  <c r="K90" i="2"/>
  <c r="G90" i="2"/>
  <c r="D90" i="2"/>
  <c r="E90" i="2" s="1"/>
  <c r="C90" i="2"/>
  <c r="AA89" i="2"/>
  <c r="W89" i="2"/>
  <c r="S89" i="2"/>
  <c r="O89" i="2"/>
  <c r="K89" i="2"/>
  <c r="G89" i="2"/>
  <c r="C89" i="2"/>
  <c r="AA88" i="2"/>
  <c r="W88" i="2"/>
  <c r="S88" i="2"/>
  <c r="T134" i="2" s="1"/>
  <c r="U134" i="2" s="1"/>
  <c r="O88" i="2"/>
  <c r="K88" i="2"/>
  <c r="G88" i="2"/>
  <c r="C88" i="2"/>
  <c r="D136" i="2" s="1"/>
  <c r="E136" i="2" s="1"/>
  <c r="AA87" i="2"/>
  <c r="W87" i="2"/>
  <c r="S87" i="2"/>
  <c r="O87" i="2"/>
  <c r="P135" i="2" s="1"/>
  <c r="K87" i="2"/>
  <c r="G87" i="2"/>
  <c r="C87" i="2"/>
  <c r="AA86" i="2"/>
  <c r="W86" i="2"/>
  <c r="S86" i="2"/>
  <c r="O86" i="2"/>
  <c r="K86" i="2"/>
  <c r="G86" i="2"/>
  <c r="H134" i="2" s="1"/>
  <c r="I134" i="2" s="1"/>
  <c r="C86" i="2"/>
  <c r="AA85" i="2"/>
  <c r="W85" i="2"/>
  <c r="S85" i="2"/>
  <c r="P85" i="2"/>
  <c r="Q85" i="2" s="1"/>
  <c r="O85" i="2"/>
  <c r="K85" i="2"/>
  <c r="G85" i="2"/>
  <c r="H130" i="2" s="1"/>
  <c r="I130" i="2" s="1"/>
  <c r="C85" i="2"/>
  <c r="AA84" i="2"/>
  <c r="W84" i="2"/>
  <c r="S84" i="2"/>
  <c r="O84" i="2"/>
  <c r="K84" i="2"/>
  <c r="G84" i="2"/>
  <c r="C84" i="2"/>
  <c r="D130" i="2" s="1"/>
  <c r="E130" i="2" s="1"/>
  <c r="AA83" i="2"/>
  <c r="W83" i="2"/>
  <c r="S83" i="2"/>
  <c r="O83" i="2"/>
  <c r="K83" i="2"/>
  <c r="G83" i="2"/>
  <c r="C83" i="2"/>
  <c r="AA82" i="2"/>
  <c r="AB130" i="2" s="1"/>
  <c r="W82" i="2"/>
  <c r="S82" i="2"/>
  <c r="O82" i="2"/>
  <c r="K82" i="2"/>
  <c r="G82" i="2"/>
  <c r="C82" i="2"/>
  <c r="AA81" i="2"/>
  <c r="W81" i="2"/>
  <c r="S81" i="2"/>
  <c r="T129" i="2" s="1"/>
  <c r="U129" i="2" s="1"/>
  <c r="O81" i="2"/>
  <c r="K81" i="2"/>
  <c r="G81" i="2"/>
  <c r="C81" i="2"/>
  <c r="AB80" i="2"/>
  <c r="AC80" i="2" s="1"/>
  <c r="AA80" i="2"/>
  <c r="W80" i="2"/>
  <c r="S80" i="2"/>
  <c r="T125" i="2" s="1"/>
  <c r="U125" i="2" s="1"/>
  <c r="O80" i="2"/>
  <c r="K80" i="2"/>
  <c r="G80" i="2"/>
  <c r="C80" i="2"/>
  <c r="AA79" i="2"/>
  <c r="W79" i="2"/>
  <c r="S79" i="2"/>
  <c r="O79" i="2"/>
  <c r="P125" i="2" s="1"/>
  <c r="Q125" i="2" s="1"/>
  <c r="K79" i="2"/>
  <c r="G79" i="2"/>
  <c r="C79" i="2"/>
  <c r="AA78" i="2"/>
  <c r="AB126" i="2" s="1"/>
  <c r="AC126" i="2" s="1"/>
  <c r="W78" i="2"/>
  <c r="S78" i="2"/>
  <c r="O78" i="2"/>
  <c r="K78" i="2"/>
  <c r="L126" i="2" s="1"/>
  <c r="G78" i="2"/>
  <c r="C78" i="2"/>
  <c r="AA77" i="2"/>
  <c r="W77" i="2"/>
  <c r="S77" i="2"/>
  <c r="O77" i="2"/>
  <c r="K77" i="2"/>
  <c r="G77" i="2"/>
  <c r="C77" i="2"/>
  <c r="D125" i="2" s="1"/>
  <c r="E125" i="2" s="1"/>
  <c r="AA76" i="2"/>
  <c r="W76" i="2"/>
  <c r="S76" i="2"/>
  <c r="O76" i="2"/>
  <c r="L76" i="2"/>
  <c r="M76" i="2" s="1"/>
  <c r="K76" i="2"/>
  <c r="G76" i="2"/>
  <c r="C76" i="2"/>
  <c r="AA75" i="2"/>
  <c r="W75" i="2"/>
  <c r="T75" i="2"/>
  <c r="S75" i="2"/>
  <c r="O75" i="2"/>
  <c r="K75" i="2"/>
  <c r="G75" i="2"/>
  <c r="C75" i="2"/>
  <c r="AA74" i="2"/>
  <c r="AB120" i="2" s="1"/>
  <c r="AC120" i="2" s="1"/>
  <c r="W74" i="2"/>
  <c r="S74" i="2"/>
  <c r="O74" i="2"/>
  <c r="K74" i="2"/>
  <c r="L122" i="2" s="1"/>
  <c r="M122" i="2" s="1"/>
  <c r="G74" i="2"/>
  <c r="C74" i="2"/>
  <c r="AA73" i="2"/>
  <c r="W73" i="2"/>
  <c r="X121" i="2" s="1"/>
  <c r="S73" i="2"/>
  <c r="O73" i="2"/>
  <c r="K73" i="2"/>
  <c r="G73" i="2"/>
  <c r="D73" i="2"/>
  <c r="E73" i="2" s="1"/>
  <c r="C73" i="2"/>
  <c r="AA72" i="2"/>
  <c r="W72" i="2"/>
  <c r="S72" i="2"/>
  <c r="O72" i="2"/>
  <c r="P120" i="2" s="1"/>
  <c r="Q120" i="2" s="1"/>
  <c r="K72" i="2"/>
  <c r="G72" i="2"/>
  <c r="C72" i="2"/>
  <c r="AA71" i="2"/>
  <c r="X71" i="2"/>
  <c r="Y71" i="2" s="1"/>
  <c r="W71" i="2"/>
  <c r="S71" i="2"/>
  <c r="O71" i="2"/>
  <c r="K71" i="2"/>
  <c r="G71" i="2"/>
  <c r="D71" i="2"/>
  <c r="C71" i="2"/>
  <c r="AA70" i="2"/>
  <c r="W70" i="2"/>
  <c r="S70" i="2"/>
  <c r="O70" i="2"/>
  <c r="K70" i="2"/>
  <c r="L116" i="2" s="1"/>
  <c r="M116" i="2" s="1"/>
  <c r="G70" i="2"/>
  <c r="C70" i="2"/>
  <c r="D113" i="2" s="1"/>
  <c r="E113" i="2" s="1"/>
  <c r="AA69" i="2"/>
  <c r="AB103" i="2" s="1"/>
  <c r="AC103" i="2" s="1"/>
  <c r="W69" i="2"/>
  <c r="X117" i="2" s="1"/>
  <c r="Y117" i="2" s="1"/>
  <c r="S69" i="2"/>
  <c r="O69" i="2"/>
  <c r="K69" i="2"/>
  <c r="G69" i="2"/>
  <c r="H117" i="2" s="1"/>
  <c r="C69" i="2"/>
  <c r="AA68" i="2"/>
  <c r="W68" i="2"/>
  <c r="S68" i="2"/>
  <c r="P68" i="2"/>
  <c r="Q68" i="2" s="1"/>
  <c r="O68" i="2"/>
  <c r="K68" i="2"/>
  <c r="G68" i="2"/>
  <c r="C68" i="2"/>
  <c r="AA67" i="2"/>
  <c r="AB115" i="2" s="1"/>
  <c r="AC115" i="2" s="1"/>
  <c r="W67" i="2"/>
  <c r="S67" i="2"/>
  <c r="O67" i="2"/>
  <c r="K67" i="2"/>
  <c r="H67" i="2"/>
  <c r="I67" i="2" s="1"/>
  <c r="G67" i="2"/>
  <c r="C67" i="2"/>
  <c r="AA66" i="2"/>
  <c r="AC66" i="2" s="1"/>
  <c r="W66" i="2"/>
  <c r="S66" i="2"/>
  <c r="T109" i="2" s="1"/>
  <c r="U109" i="2" s="1"/>
  <c r="P66" i="2"/>
  <c r="O66" i="2"/>
  <c r="K66" i="2"/>
  <c r="G66" i="2"/>
  <c r="C66" i="2"/>
  <c r="AA65" i="2"/>
  <c r="AC65" i="2" s="1"/>
  <c r="W65" i="2"/>
  <c r="S65" i="2"/>
  <c r="O65" i="2"/>
  <c r="P108" i="2" s="1"/>
  <c r="Q108" i="2" s="1"/>
  <c r="K65" i="2"/>
  <c r="L113" i="2" s="1"/>
  <c r="G65" i="2"/>
  <c r="H113" i="2" s="1"/>
  <c r="I113" i="2" s="1"/>
  <c r="C65" i="2"/>
  <c r="AA64" i="2"/>
  <c r="AB111" i="2" s="1"/>
  <c r="AC111" i="2" s="1"/>
  <c r="W64" i="2"/>
  <c r="X111" i="2" s="1"/>
  <c r="Y111" i="2" s="1"/>
  <c r="S64" i="2"/>
  <c r="O64" i="2"/>
  <c r="K64" i="2"/>
  <c r="G64" i="2"/>
  <c r="H111" i="2" s="1"/>
  <c r="C64" i="2"/>
  <c r="D111" i="2" s="1"/>
  <c r="AA63" i="2"/>
  <c r="W63" i="2"/>
  <c r="X110" i="2" s="1"/>
  <c r="Y110" i="2" s="1"/>
  <c r="S63" i="2"/>
  <c r="T110" i="2" s="1"/>
  <c r="U110" i="2" s="1"/>
  <c r="O63" i="2"/>
  <c r="K63" i="2"/>
  <c r="G63" i="2"/>
  <c r="C63" i="2"/>
  <c r="D110" i="2" s="1"/>
  <c r="AA62" i="2"/>
  <c r="W62" i="2"/>
  <c r="S62" i="2"/>
  <c r="O62" i="2"/>
  <c r="K62" i="2"/>
  <c r="G62" i="2"/>
  <c r="C62" i="2"/>
  <c r="AA61" i="2"/>
  <c r="AB108" i="2" s="1"/>
  <c r="W61" i="2"/>
  <c r="X108" i="2" s="1"/>
  <c r="S61" i="2"/>
  <c r="O61" i="2"/>
  <c r="P109" i="2" s="1"/>
  <c r="Q109" i="2" s="1"/>
  <c r="K61" i="2"/>
  <c r="G61" i="2"/>
  <c r="C61" i="2"/>
  <c r="AA60" i="2"/>
  <c r="W60" i="2"/>
  <c r="X107" i="2" s="1"/>
  <c r="S60" i="2"/>
  <c r="O60" i="2"/>
  <c r="K60" i="2"/>
  <c r="L107" i="2" s="1"/>
  <c r="M107" i="2" s="1"/>
  <c r="G60" i="2"/>
  <c r="H107" i="2" s="1"/>
  <c r="I107" i="2" s="1"/>
  <c r="C60" i="2"/>
  <c r="AA59" i="2"/>
  <c r="W59" i="2"/>
  <c r="S59" i="2"/>
  <c r="T106" i="2" s="1"/>
  <c r="O59" i="2"/>
  <c r="P106" i="2" s="1"/>
  <c r="K59" i="2"/>
  <c r="G59" i="2"/>
  <c r="H106" i="2" s="1"/>
  <c r="I106" i="2" s="1"/>
  <c r="C59" i="2"/>
  <c r="AA58" i="2"/>
  <c r="W58" i="2"/>
  <c r="S58" i="2"/>
  <c r="O58" i="2"/>
  <c r="P105" i="2" s="1"/>
  <c r="K58" i="2"/>
  <c r="G58" i="2"/>
  <c r="C58" i="2"/>
  <c r="AA57" i="2"/>
  <c r="W57" i="2"/>
  <c r="S57" i="2"/>
  <c r="O57" i="2"/>
  <c r="K57" i="2"/>
  <c r="L104" i="2" s="1"/>
  <c r="G57" i="2"/>
  <c r="H104" i="2" s="1"/>
  <c r="C57" i="2"/>
  <c r="AA56" i="2"/>
  <c r="AB104" i="2" s="1"/>
  <c r="AC104" i="2" s="1"/>
  <c r="W56" i="2"/>
  <c r="S56" i="2"/>
  <c r="O56" i="2"/>
  <c r="K56" i="2"/>
  <c r="G56" i="2"/>
  <c r="H103" i="2" s="1"/>
  <c r="C56" i="2"/>
  <c r="AA55" i="2"/>
  <c r="W55" i="2"/>
  <c r="X102" i="2" s="1"/>
  <c r="Y102" i="2" s="1"/>
  <c r="S55" i="2"/>
  <c r="T102" i="2" s="1"/>
  <c r="U102" i="2" s="1"/>
  <c r="O55" i="2"/>
  <c r="K55" i="2"/>
  <c r="G55" i="2"/>
  <c r="C55" i="2"/>
  <c r="D102" i="2" s="1"/>
  <c r="AA54" i="2"/>
  <c r="AB101" i="2" s="1"/>
  <c r="W54" i="2"/>
  <c r="S54" i="2"/>
  <c r="T101" i="2" s="1"/>
  <c r="U101" i="2" s="1"/>
  <c r="O54" i="2"/>
  <c r="P101" i="2" s="1"/>
  <c r="Q101" i="2" s="1"/>
  <c r="K54" i="2"/>
  <c r="G54" i="2"/>
  <c r="C54" i="2"/>
  <c r="AA53" i="2"/>
  <c r="AB100" i="2" s="1"/>
  <c r="W53" i="2"/>
  <c r="S53" i="2"/>
  <c r="O53" i="2"/>
  <c r="K53" i="2"/>
  <c r="G53" i="2"/>
  <c r="C53" i="2"/>
  <c r="AA52" i="2"/>
  <c r="W52" i="2"/>
  <c r="X99" i="2" s="1"/>
  <c r="S52" i="2"/>
  <c r="T99" i="2" s="1"/>
  <c r="O52" i="2"/>
  <c r="K52" i="2"/>
  <c r="L100" i="2" s="1"/>
  <c r="M100" i="2" s="1"/>
  <c r="G52" i="2"/>
  <c r="C52" i="2"/>
  <c r="AA51" i="2"/>
  <c r="W51" i="2"/>
  <c r="S51" i="2"/>
  <c r="T98" i="2" s="1"/>
  <c r="O51" i="2"/>
  <c r="K51" i="2"/>
  <c r="G51" i="2"/>
  <c r="H98" i="2" s="1"/>
  <c r="I98" i="2" s="1"/>
  <c r="C51" i="2"/>
  <c r="D98" i="2" s="1"/>
  <c r="E98" i="2" s="1"/>
  <c r="AA50" i="2"/>
  <c r="W50" i="2"/>
  <c r="S50" i="2"/>
  <c r="O50" i="2"/>
  <c r="P97" i="2" s="1"/>
  <c r="K50" i="2"/>
  <c r="L97" i="2" s="1"/>
  <c r="G50" i="2"/>
  <c r="C50" i="2"/>
  <c r="D97" i="2" s="1"/>
  <c r="E97" i="2" s="1"/>
  <c r="AA49" i="2"/>
  <c r="W49" i="2"/>
  <c r="S49" i="2"/>
  <c r="O49" i="2"/>
  <c r="K49" i="2"/>
  <c r="L96" i="2" s="1"/>
  <c r="G49" i="2"/>
  <c r="C49" i="2"/>
  <c r="AA48" i="2"/>
  <c r="W48" i="2"/>
  <c r="S48" i="2"/>
  <c r="O48" i="2"/>
  <c r="K48" i="2"/>
  <c r="G48" i="2"/>
  <c r="H95" i="2" s="1"/>
  <c r="C48" i="2"/>
  <c r="D95" i="2" s="1"/>
  <c r="AA47" i="2"/>
  <c r="W47" i="2"/>
  <c r="X95" i="2" s="1"/>
  <c r="Y95" i="2" s="1"/>
  <c r="S47" i="2"/>
  <c r="O47" i="2"/>
  <c r="K47" i="2"/>
  <c r="G47" i="2"/>
  <c r="C47" i="2"/>
  <c r="D94" i="2" s="1"/>
  <c r="AA46" i="2"/>
  <c r="W46" i="2"/>
  <c r="S46" i="2"/>
  <c r="T93" i="2" s="1"/>
  <c r="U93" i="2" s="1"/>
  <c r="O46" i="2"/>
  <c r="P93" i="2" s="1"/>
  <c r="Q93" i="2" s="1"/>
  <c r="K46" i="2"/>
  <c r="G46" i="2"/>
  <c r="C46" i="2"/>
  <c r="AA45" i="2"/>
  <c r="AB92" i="2" s="1"/>
  <c r="W45" i="2"/>
  <c r="X92" i="2" s="1"/>
  <c r="S45" i="2"/>
  <c r="O45" i="2"/>
  <c r="P92" i="2" s="1"/>
  <c r="Q92" i="2" s="1"/>
  <c r="K45" i="2"/>
  <c r="G45" i="2"/>
  <c r="C45" i="2"/>
  <c r="AA44" i="2"/>
  <c r="W44" i="2"/>
  <c r="X91" i="2" s="1"/>
  <c r="S44" i="2"/>
  <c r="O44" i="2"/>
  <c r="K44" i="2"/>
  <c r="G44" i="2"/>
  <c r="C44" i="2"/>
  <c r="AA43" i="2"/>
  <c r="W43" i="2"/>
  <c r="S43" i="2"/>
  <c r="T90" i="2" s="1"/>
  <c r="O43" i="2"/>
  <c r="P90" i="2" s="1"/>
  <c r="K43" i="2"/>
  <c r="G43" i="2"/>
  <c r="H91" i="2" s="1"/>
  <c r="I91" i="2" s="1"/>
  <c r="C43" i="2"/>
  <c r="AA42" i="2"/>
  <c r="W42" i="2"/>
  <c r="S42" i="2"/>
  <c r="O42" i="2"/>
  <c r="P89" i="2" s="1"/>
  <c r="K42" i="2"/>
  <c r="G42" i="2"/>
  <c r="C42" i="2"/>
  <c r="D89" i="2" s="1"/>
  <c r="E89" i="2" s="1"/>
  <c r="AA41" i="2"/>
  <c r="AB88" i="2" s="1"/>
  <c r="AC88" i="2" s="1"/>
  <c r="W41" i="2"/>
  <c r="S41" i="2"/>
  <c r="O41" i="2"/>
  <c r="K41" i="2"/>
  <c r="L88" i="2" s="1"/>
  <c r="G41" i="2"/>
  <c r="H88" i="2" s="1"/>
  <c r="C41" i="2"/>
  <c r="AA40" i="2"/>
  <c r="AB87" i="2" s="1"/>
  <c r="AC87" i="2" s="1"/>
  <c r="W40" i="2"/>
  <c r="S40" i="2"/>
  <c r="O40" i="2"/>
  <c r="K40" i="2"/>
  <c r="G40" i="2"/>
  <c r="H87" i="2" s="1"/>
  <c r="C40" i="2"/>
  <c r="AA39" i="2"/>
  <c r="W39" i="2"/>
  <c r="S39" i="2"/>
  <c r="O39" i="2"/>
  <c r="K39" i="2"/>
  <c r="G39" i="2"/>
  <c r="C39" i="2"/>
  <c r="D86" i="2" s="1"/>
  <c r="AA38" i="2"/>
  <c r="AB85" i="2" s="1"/>
  <c r="W38" i="2"/>
  <c r="S38" i="2"/>
  <c r="T86" i="2" s="1"/>
  <c r="U86" i="2" s="1"/>
  <c r="O38" i="2"/>
  <c r="K38" i="2"/>
  <c r="G38" i="2"/>
  <c r="C38" i="2"/>
  <c r="AA37" i="2"/>
  <c r="AB84" i="2" s="1"/>
  <c r="W37" i="2"/>
  <c r="S37" i="2"/>
  <c r="O37" i="2"/>
  <c r="P84" i="2" s="1"/>
  <c r="Q84" i="2" s="1"/>
  <c r="K37" i="2"/>
  <c r="L84" i="2" s="1"/>
  <c r="M84" i="2" s="1"/>
  <c r="G37" i="2"/>
  <c r="C37" i="2"/>
  <c r="AA36" i="2"/>
  <c r="W36" i="2"/>
  <c r="X83" i="2" s="1"/>
  <c r="S36" i="2"/>
  <c r="T83" i="2" s="1"/>
  <c r="O36" i="2"/>
  <c r="K36" i="2"/>
  <c r="L83" i="2" s="1"/>
  <c r="M83" i="2" s="1"/>
  <c r="G36" i="2"/>
  <c r="C36" i="2"/>
  <c r="AA35" i="2"/>
  <c r="W35" i="2"/>
  <c r="S35" i="2"/>
  <c r="T82" i="2" s="1"/>
  <c r="O35" i="2"/>
  <c r="K35" i="2"/>
  <c r="G35" i="2"/>
  <c r="C35" i="2"/>
  <c r="AA34" i="2"/>
  <c r="W34" i="2"/>
  <c r="S34" i="2"/>
  <c r="O34" i="2"/>
  <c r="P81" i="2" s="1"/>
  <c r="K34" i="2"/>
  <c r="L81" i="2" s="1"/>
  <c r="G34" i="2"/>
  <c r="C34" i="2"/>
  <c r="D82" i="2" s="1"/>
  <c r="E82" i="2" s="1"/>
  <c r="AA33" i="2"/>
  <c r="AB77" i="2" s="1"/>
  <c r="W33" i="2"/>
  <c r="S33" i="2"/>
  <c r="O33" i="2"/>
  <c r="K33" i="2"/>
  <c r="L80" i="2" s="1"/>
  <c r="G33" i="2"/>
  <c r="C33" i="2"/>
  <c r="AA32" i="2"/>
  <c r="AB79" i="2" s="1"/>
  <c r="AC79" i="2" s="1"/>
  <c r="W32" i="2"/>
  <c r="X79" i="2" s="1"/>
  <c r="Y79" i="2" s="1"/>
  <c r="S32" i="2"/>
  <c r="O32" i="2"/>
  <c r="K32" i="2"/>
  <c r="G32" i="2"/>
  <c r="H79" i="2" s="1"/>
  <c r="C32" i="2"/>
  <c r="D79" i="2" s="1"/>
  <c r="AA31" i="2"/>
  <c r="W31" i="2"/>
  <c r="X78" i="2" s="1"/>
  <c r="Y78" i="2" s="1"/>
  <c r="S31" i="2"/>
  <c r="O31" i="2"/>
  <c r="K31" i="2"/>
  <c r="G31" i="2"/>
  <c r="C31" i="2"/>
  <c r="D78" i="2" s="1"/>
  <c r="AA30" i="2"/>
  <c r="W30" i="2"/>
  <c r="S30" i="2"/>
  <c r="O30" i="2"/>
  <c r="P77" i="2" s="1"/>
  <c r="Q77" i="2" s="1"/>
  <c r="K30" i="2"/>
  <c r="G30" i="2"/>
  <c r="C30" i="2"/>
  <c r="AA29" i="2"/>
  <c r="AB76" i="2" s="1"/>
  <c r="W29" i="2"/>
  <c r="X76" i="2" s="1"/>
  <c r="S29" i="2"/>
  <c r="O29" i="2"/>
  <c r="K29" i="2"/>
  <c r="G29" i="2"/>
  <c r="C29" i="2"/>
  <c r="AA28" i="2"/>
  <c r="W28" i="2"/>
  <c r="X75" i="2" s="1"/>
  <c r="S28" i="2"/>
  <c r="O28" i="2"/>
  <c r="K28" i="2"/>
  <c r="L75" i="2" s="1"/>
  <c r="M75" i="2" s="1"/>
  <c r="G28" i="2"/>
  <c r="H75" i="2" s="1"/>
  <c r="I75" i="2" s="1"/>
  <c r="C28" i="2"/>
  <c r="D76" i="2" s="1"/>
  <c r="AA27" i="2"/>
  <c r="W27" i="2"/>
  <c r="S27" i="2"/>
  <c r="T74" i="2" s="1"/>
  <c r="O27" i="2"/>
  <c r="P74" i="2" s="1"/>
  <c r="K27" i="2"/>
  <c r="G27" i="2"/>
  <c r="H74" i="2" s="1"/>
  <c r="I74" i="2" s="1"/>
  <c r="C27" i="2"/>
  <c r="AA26" i="2"/>
  <c r="W26" i="2"/>
  <c r="S26" i="2"/>
  <c r="O26" i="2"/>
  <c r="P73" i="2" s="1"/>
  <c r="K26" i="2"/>
  <c r="G26" i="2"/>
  <c r="C26" i="2"/>
  <c r="AA25" i="2"/>
  <c r="W25" i="2"/>
  <c r="X73" i="2" s="1"/>
  <c r="S25" i="2"/>
  <c r="O25" i="2"/>
  <c r="K25" i="2"/>
  <c r="L72" i="2" s="1"/>
  <c r="G25" i="2"/>
  <c r="H72" i="2" s="1"/>
  <c r="C25" i="2"/>
  <c r="AA24" i="2"/>
  <c r="W24" i="2"/>
  <c r="X68" i="2" s="1"/>
  <c r="S24" i="2"/>
  <c r="O24" i="2"/>
  <c r="K24" i="2"/>
  <c r="G24" i="2"/>
  <c r="H71" i="2" s="1"/>
  <c r="C24" i="2"/>
  <c r="AA23" i="2"/>
  <c r="W23" i="2"/>
  <c r="X70" i="2" s="1"/>
  <c r="Y70" i="2" s="1"/>
  <c r="S23" i="2"/>
  <c r="T70" i="2" s="1"/>
  <c r="U70" i="2" s="1"/>
  <c r="O23" i="2"/>
  <c r="P71" i="2" s="1"/>
  <c r="K23" i="2"/>
  <c r="G23" i="2"/>
  <c r="C23" i="2"/>
  <c r="D70" i="2" s="1"/>
  <c r="AA22" i="2"/>
  <c r="AB69" i="2" s="1"/>
  <c r="W22" i="2"/>
  <c r="S22" i="2"/>
  <c r="T69" i="2" s="1"/>
  <c r="U69" i="2" s="1"/>
  <c r="O22" i="2"/>
  <c r="K22" i="2"/>
  <c r="G22" i="2"/>
  <c r="C22" i="2"/>
  <c r="AA21" i="2"/>
  <c r="AB68" i="2" s="1"/>
  <c r="W21" i="2"/>
  <c r="S21" i="2"/>
  <c r="O21" i="2"/>
  <c r="K21" i="2"/>
  <c r="G21" i="2"/>
  <c r="H69" i="2" s="1"/>
  <c r="C21" i="2"/>
  <c r="AA20" i="2"/>
  <c r="W20" i="2"/>
  <c r="X67" i="2" s="1"/>
  <c r="S20" i="2"/>
  <c r="T67" i="2" s="1"/>
  <c r="O20" i="2"/>
  <c r="K20" i="2"/>
  <c r="G20" i="2"/>
  <c r="H68" i="2" s="1"/>
  <c r="C20" i="2"/>
  <c r="D68" i="2" s="1"/>
  <c r="E68" i="2" s="1"/>
  <c r="AA19" i="2"/>
  <c r="W19" i="2"/>
  <c r="S19" i="2"/>
  <c r="T66" i="2" s="1"/>
  <c r="O19" i="2"/>
  <c r="K19" i="2"/>
  <c r="G19" i="2"/>
  <c r="H66" i="2" s="1"/>
  <c r="I66" i="2" s="1"/>
  <c r="C19" i="2"/>
  <c r="D67" i="2" s="1"/>
  <c r="AA18" i="2"/>
  <c r="AB66" i="2" s="1"/>
  <c r="W18" i="2"/>
  <c r="S18" i="2"/>
  <c r="O18" i="2"/>
  <c r="P65" i="2" s="1"/>
  <c r="K18" i="2"/>
  <c r="L65" i="2" s="1"/>
  <c r="G18" i="2"/>
  <c r="C18" i="2"/>
  <c r="D65" i="2" s="1"/>
  <c r="E65" i="2" s="1"/>
  <c r="AA17" i="2"/>
  <c r="AB65" i="2" s="1"/>
  <c r="W17" i="2"/>
  <c r="X65" i="2" s="1"/>
  <c r="S17" i="2"/>
  <c r="O17" i="2"/>
  <c r="K17" i="2"/>
  <c r="G17" i="2"/>
  <c r="C17" i="2"/>
  <c r="L108" i="2" l="1"/>
  <c r="M108" i="2" s="1"/>
  <c r="L121" i="2"/>
  <c r="D122" i="2"/>
  <c r="E122" i="2" s="1"/>
  <c r="X135" i="2"/>
  <c r="Y135" i="2" s="1"/>
  <c r="P148" i="2"/>
  <c r="Q148" i="2" s="1"/>
  <c r="AB159" i="2"/>
  <c r="AC159" i="2" s="1"/>
  <c r="H162" i="2"/>
  <c r="I162" i="2" s="1"/>
  <c r="P164" i="2"/>
  <c r="Q164" i="2" s="1"/>
  <c r="X84" i="2"/>
  <c r="L89" i="2"/>
  <c r="M89" i="2" s="1"/>
  <c r="M93" i="2"/>
  <c r="T126" i="2"/>
  <c r="U126" i="2" s="1"/>
  <c r="T139" i="2"/>
  <c r="L140" i="2"/>
  <c r="M140" i="2" s="1"/>
  <c r="AB144" i="2"/>
  <c r="AC144" i="2" s="1"/>
  <c r="X150" i="2"/>
  <c r="Y150" i="2" s="1"/>
  <c r="D153" i="2"/>
  <c r="E153" i="2" s="1"/>
  <c r="L155" i="2"/>
  <c r="M155" i="2" s="1"/>
  <c r="I156" i="2"/>
  <c r="Q158" i="2"/>
  <c r="D169" i="2"/>
  <c r="E169" i="2" s="1"/>
  <c r="T173" i="2"/>
  <c r="U173" i="2" s="1"/>
  <c r="Y208" i="2"/>
  <c r="H262" i="2"/>
  <c r="H260" i="2"/>
  <c r="AB265" i="2"/>
  <c r="AB275" i="2"/>
  <c r="AB276" i="2"/>
  <c r="AC276" i="2" s="1"/>
  <c r="X293" i="2"/>
  <c r="Y293" i="2" s="1"/>
  <c r="P325" i="2"/>
  <c r="P324" i="2"/>
  <c r="Q324" i="2" s="1"/>
  <c r="H359" i="2"/>
  <c r="I359" i="2" s="1"/>
  <c r="H358" i="2"/>
  <c r="H350" i="2"/>
  <c r="L370" i="2"/>
  <c r="P381" i="2"/>
  <c r="Q381" i="2" s="1"/>
  <c r="P380" i="2"/>
  <c r="X395" i="2"/>
  <c r="Y347" i="2"/>
  <c r="X376" i="2"/>
  <c r="X352" i="2"/>
  <c r="I71" i="2"/>
  <c r="H119" i="2"/>
  <c r="I119" i="2" s="1"/>
  <c r="Y73" i="2"/>
  <c r="X123" i="2"/>
  <c r="Y75" i="2"/>
  <c r="T77" i="2"/>
  <c r="U77" i="2" s="1"/>
  <c r="E79" i="2"/>
  <c r="L128" i="2"/>
  <c r="M80" i="2"/>
  <c r="H82" i="2"/>
  <c r="I82" i="2" s="1"/>
  <c r="AC82" i="2"/>
  <c r="U83" i="2"/>
  <c r="AB132" i="2"/>
  <c r="AC132" i="2" s="1"/>
  <c r="AC84" i="2"/>
  <c r="X86" i="2"/>
  <c r="Y86" i="2" s="1"/>
  <c r="I88" i="2"/>
  <c r="Q89" i="2"/>
  <c r="P137" i="2"/>
  <c r="Q137" i="2" s="1"/>
  <c r="L91" i="2"/>
  <c r="M91" i="2" s="1"/>
  <c r="E92" i="2"/>
  <c r="Y92" i="2"/>
  <c r="D142" i="2"/>
  <c r="E94" i="2"/>
  <c r="AB95" i="2"/>
  <c r="AC95" i="2" s="1"/>
  <c r="M97" i="2"/>
  <c r="T146" i="2"/>
  <c r="U98" i="2"/>
  <c r="P100" i="2"/>
  <c r="Q100" i="2" s="1"/>
  <c r="AC101" i="2"/>
  <c r="AB149" i="2"/>
  <c r="I103" i="2"/>
  <c r="H151" i="2"/>
  <c r="I151" i="2" s="1"/>
  <c r="D105" i="2"/>
  <c r="E105" i="2" s="1"/>
  <c r="Y105" i="2"/>
  <c r="Q106" i="2"/>
  <c r="P154" i="2"/>
  <c r="Y107" i="2"/>
  <c r="X155" i="2"/>
  <c r="E111" i="2"/>
  <c r="D159" i="2"/>
  <c r="M112" i="2"/>
  <c r="L160" i="2"/>
  <c r="M160" i="2" s="1"/>
  <c r="H114" i="2"/>
  <c r="I114" i="2" s="1"/>
  <c r="T163" i="2"/>
  <c r="U163" i="2" s="1"/>
  <c r="AC116" i="2"/>
  <c r="AB164" i="2"/>
  <c r="X118" i="2"/>
  <c r="Y118" i="2" s="1"/>
  <c r="H168" i="2"/>
  <c r="P169" i="2"/>
  <c r="Q169" i="2" s="1"/>
  <c r="L123" i="2"/>
  <c r="M123" i="2" s="1"/>
  <c r="Y124" i="2"/>
  <c r="X172" i="2"/>
  <c r="Y172" i="2" s="1"/>
  <c r="D174" i="2"/>
  <c r="AB127" i="2"/>
  <c r="AC127" i="2" s="1"/>
  <c r="U128" i="2"/>
  <c r="M129" i="2"/>
  <c r="L177" i="2"/>
  <c r="U130" i="2"/>
  <c r="T178" i="2"/>
  <c r="U178" i="2" s="1"/>
  <c r="P132" i="2"/>
  <c r="Q132" i="2" s="1"/>
  <c r="AB181" i="2"/>
  <c r="AC181" i="2" s="1"/>
  <c r="H183" i="2"/>
  <c r="I183" i="2" s="1"/>
  <c r="D137" i="2"/>
  <c r="E137" i="2" s="1"/>
  <c r="Y137" i="2"/>
  <c r="P186" i="2"/>
  <c r="X187" i="2"/>
  <c r="T141" i="2"/>
  <c r="U141" i="2" s="1"/>
  <c r="E143" i="2"/>
  <c r="D191" i="2"/>
  <c r="E191" i="2" s="1"/>
  <c r="L192" i="2"/>
  <c r="L194" i="2"/>
  <c r="M194" i="2" s="1"/>
  <c r="T196" i="2"/>
  <c r="U196" i="2" s="1"/>
  <c r="AB198" i="2"/>
  <c r="AC198" i="2" s="1"/>
  <c r="H201" i="2"/>
  <c r="I201" i="2" s="1"/>
  <c r="P203" i="2"/>
  <c r="Q203" i="2" s="1"/>
  <c r="X205" i="2"/>
  <c r="Y205" i="2" s="1"/>
  <c r="D208" i="2"/>
  <c r="E208" i="2" s="1"/>
  <c r="L210" i="2"/>
  <c r="M210" i="2" s="1"/>
  <c r="AB214" i="2"/>
  <c r="AC214" i="2" s="1"/>
  <c r="P219" i="2"/>
  <c r="Q219" i="2" s="1"/>
  <c r="P212" i="2"/>
  <c r="Q212" i="2" s="1"/>
  <c r="E218" i="2"/>
  <c r="D266" i="2"/>
  <c r="E266" i="2" s="1"/>
  <c r="X222" i="2"/>
  <c r="Y222" i="2" s="1"/>
  <c r="H273" i="2"/>
  <c r="M237" i="2"/>
  <c r="L302" i="2"/>
  <c r="M302" i="2" s="1"/>
  <c r="AB259" i="2"/>
  <c r="AB260" i="2"/>
  <c r="AC260" i="2" s="1"/>
  <c r="D310" i="2"/>
  <c r="E310" i="2" s="1"/>
  <c r="D307" i="2"/>
  <c r="T318" i="2"/>
  <c r="T317" i="2"/>
  <c r="U317" i="2" s="1"/>
  <c r="X280" i="2"/>
  <c r="Y280" i="2" s="1"/>
  <c r="L287" i="2"/>
  <c r="M287" i="2" s="1"/>
  <c r="L288" i="2"/>
  <c r="P347" i="2"/>
  <c r="AB445" i="2"/>
  <c r="AC445" i="2" s="1"/>
  <c r="T510" i="2"/>
  <c r="U510" i="2" s="1"/>
  <c r="T509" i="2"/>
  <c r="U509" i="2" s="1"/>
  <c r="T469" i="2"/>
  <c r="T505" i="2"/>
  <c r="U505" i="2" s="1"/>
  <c r="T65" i="2"/>
  <c r="U65" i="2" s="1"/>
  <c r="X66" i="2"/>
  <c r="Y66" i="2" s="1"/>
  <c r="AB67" i="2"/>
  <c r="AC67" i="2" s="1"/>
  <c r="D69" i="2"/>
  <c r="E69" i="2" s="1"/>
  <c r="H70" i="2"/>
  <c r="I70" i="2" s="1"/>
  <c r="L71" i="2"/>
  <c r="M71" i="2" s="1"/>
  <c r="P72" i="2"/>
  <c r="Q72" i="2" s="1"/>
  <c r="T73" i="2"/>
  <c r="U73" i="2" s="1"/>
  <c r="X74" i="2"/>
  <c r="Y74" i="2" s="1"/>
  <c r="AB75" i="2"/>
  <c r="AC75" i="2" s="1"/>
  <c r="D77" i="2"/>
  <c r="E77" i="2" s="1"/>
  <c r="H78" i="2"/>
  <c r="I78" i="2" s="1"/>
  <c r="L79" i="2"/>
  <c r="M79" i="2" s="1"/>
  <c r="P80" i="2"/>
  <c r="Q80" i="2" s="1"/>
  <c r="T81" i="2"/>
  <c r="U81" i="2" s="1"/>
  <c r="X82" i="2"/>
  <c r="Y82" i="2" s="1"/>
  <c r="AB83" i="2"/>
  <c r="AC83" i="2" s="1"/>
  <c r="D85" i="2"/>
  <c r="E85" i="2" s="1"/>
  <c r="H86" i="2"/>
  <c r="I86" i="2" s="1"/>
  <c r="L87" i="2"/>
  <c r="M87" i="2" s="1"/>
  <c r="P88" i="2"/>
  <c r="Q88" i="2" s="1"/>
  <c r="T89" i="2"/>
  <c r="U89" i="2" s="1"/>
  <c r="X90" i="2"/>
  <c r="Y90" i="2" s="1"/>
  <c r="AB91" i="2"/>
  <c r="AC91" i="2" s="1"/>
  <c r="D93" i="2"/>
  <c r="E93" i="2" s="1"/>
  <c r="H94" i="2"/>
  <c r="I94" i="2" s="1"/>
  <c r="L95" i="2"/>
  <c r="M95" i="2" s="1"/>
  <c r="P96" i="2"/>
  <c r="Q96" i="2" s="1"/>
  <c r="T97" i="2"/>
  <c r="U97" i="2" s="1"/>
  <c r="X98" i="2"/>
  <c r="Y98" i="2" s="1"/>
  <c r="AB99" i="2"/>
  <c r="AC99" i="2" s="1"/>
  <c r="D101" i="2"/>
  <c r="E101" i="2" s="1"/>
  <c r="H102" i="2"/>
  <c r="I102" i="2" s="1"/>
  <c r="L103" i="2"/>
  <c r="M103" i="2" s="1"/>
  <c r="P104" i="2"/>
  <c r="Q104" i="2" s="1"/>
  <c r="T105" i="2"/>
  <c r="U105" i="2" s="1"/>
  <c r="X106" i="2"/>
  <c r="Y106" i="2" s="1"/>
  <c r="AB107" i="2"/>
  <c r="AC107" i="2" s="1"/>
  <c r="D109" i="2"/>
  <c r="E109" i="2" s="1"/>
  <c r="H110" i="2"/>
  <c r="I110" i="2" s="1"/>
  <c r="L111" i="2"/>
  <c r="M111" i="2" s="1"/>
  <c r="P112" i="2"/>
  <c r="Q112" i="2" s="1"/>
  <c r="D66" i="2"/>
  <c r="E66" i="2" s="1"/>
  <c r="X114" i="2"/>
  <c r="Y114" i="2" s="1"/>
  <c r="D116" i="2"/>
  <c r="T116" i="2"/>
  <c r="U116" i="2" s="1"/>
  <c r="L119" i="2"/>
  <c r="M119" i="2" s="1"/>
  <c r="T120" i="2"/>
  <c r="U120" i="2" s="1"/>
  <c r="H121" i="2"/>
  <c r="I121" i="2" s="1"/>
  <c r="AB123" i="2"/>
  <c r="AC123" i="2" s="1"/>
  <c r="H125" i="2"/>
  <c r="I125" i="2" s="1"/>
  <c r="X125" i="2"/>
  <c r="Y125" i="2" s="1"/>
  <c r="P128" i="2"/>
  <c r="Q128" i="2" s="1"/>
  <c r="X129" i="2"/>
  <c r="Y129" i="2" s="1"/>
  <c r="L130" i="2"/>
  <c r="M130" i="2" s="1"/>
  <c r="D133" i="2"/>
  <c r="E133" i="2" s="1"/>
  <c r="L134" i="2"/>
  <c r="AB134" i="2"/>
  <c r="AC134" i="2" s="1"/>
  <c r="T137" i="2"/>
  <c r="U137" i="2" s="1"/>
  <c r="AB138" i="2"/>
  <c r="AC138" i="2" s="1"/>
  <c r="P139" i="2"/>
  <c r="Q139" i="2" s="1"/>
  <c r="H142" i="2"/>
  <c r="I142" i="2" s="1"/>
  <c r="P143" i="2"/>
  <c r="Q143" i="2" s="1"/>
  <c r="D144" i="2"/>
  <c r="E144" i="2" s="1"/>
  <c r="X146" i="2"/>
  <c r="Y146" i="2" s="1"/>
  <c r="D148" i="2"/>
  <c r="E148" i="2" s="1"/>
  <c r="T148" i="2"/>
  <c r="U148" i="2" s="1"/>
  <c r="L151" i="2"/>
  <c r="M151" i="2" s="1"/>
  <c r="T152" i="2"/>
  <c r="U152" i="2" s="1"/>
  <c r="H153" i="2"/>
  <c r="I153" i="2" s="1"/>
  <c r="AB155" i="2"/>
  <c r="AC155" i="2" s="1"/>
  <c r="H157" i="2"/>
  <c r="I157" i="2" s="1"/>
  <c r="X157" i="2"/>
  <c r="Y157" i="2" s="1"/>
  <c r="P160" i="2"/>
  <c r="Q160" i="2" s="1"/>
  <c r="X161" i="2"/>
  <c r="Y161" i="2" s="1"/>
  <c r="L162" i="2"/>
  <c r="M162" i="2" s="1"/>
  <c r="T115" i="2"/>
  <c r="U115" i="2" s="1"/>
  <c r="D165" i="2"/>
  <c r="E165" i="2" s="1"/>
  <c r="L166" i="2"/>
  <c r="M166" i="2" s="1"/>
  <c r="AB166" i="2"/>
  <c r="AC166" i="2" s="1"/>
  <c r="U119" i="2"/>
  <c r="H120" i="2"/>
  <c r="I120" i="2" s="1"/>
  <c r="T169" i="2"/>
  <c r="U169" i="2" s="1"/>
  <c r="AB170" i="2"/>
  <c r="AC170" i="2" s="1"/>
  <c r="P171" i="2"/>
  <c r="Q171" i="2" s="1"/>
  <c r="X124" i="2"/>
  <c r="H174" i="2"/>
  <c r="I174" i="2" s="1"/>
  <c r="P175" i="2"/>
  <c r="Q175" i="2" s="1"/>
  <c r="D176" i="2"/>
  <c r="E176" i="2" s="1"/>
  <c r="L129" i="2"/>
  <c r="X178" i="2"/>
  <c r="Y178" i="2" s="1"/>
  <c r="D180" i="2"/>
  <c r="E180" i="2" s="1"/>
  <c r="T180" i="2"/>
  <c r="U180" i="2" s="1"/>
  <c r="AB133" i="2"/>
  <c r="AC133" i="2" s="1"/>
  <c r="L183" i="2"/>
  <c r="M183" i="2" s="1"/>
  <c r="T184" i="2"/>
  <c r="U184" i="2" s="1"/>
  <c r="H185" i="2"/>
  <c r="I185" i="2" s="1"/>
  <c r="P138" i="2"/>
  <c r="Q138" i="2" s="1"/>
  <c r="AB187" i="2"/>
  <c r="AC187" i="2" s="1"/>
  <c r="H189" i="2"/>
  <c r="I189" i="2" s="1"/>
  <c r="X189" i="2"/>
  <c r="Y189" i="2" s="1"/>
  <c r="D143" i="2"/>
  <c r="P192" i="2"/>
  <c r="Q192" i="2" s="1"/>
  <c r="X193" i="2"/>
  <c r="Y193" i="2" s="1"/>
  <c r="P194" i="2"/>
  <c r="Q194" i="2" s="1"/>
  <c r="H147" i="2"/>
  <c r="I147" i="2" s="1"/>
  <c r="D196" i="2"/>
  <c r="E196" i="2" s="1"/>
  <c r="Y148" i="2"/>
  <c r="X196" i="2"/>
  <c r="P149" i="2"/>
  <c r="Q149" i="2" s="1"/>
  <c r="L198" i="2"/>
  <c r="M198" i="2" s="1"/>
  <c r="E151" i="2"/>
  <c r="D199" i="2"/>
  <c r="X151" i="2"/>
  <c r="Y151" i="2" s="1"/>
  <c r="T200" i="2"/>
  <c r="U200" i="2" s="1"/>
  <c r="M153" i="2"/>
  <c r="L201" i="2"/>
  <c r="AB202" i="2"/>
  <c r="AC202" i="2" s="1"/>
  <c r="T203" i="2"/>
  <c r="U203" i="2" s="1"/>
  <c r="L156" i="2"/>
  <c r="M156" i="2" s="1"/>
  <c r="H205" i="2"/>
  <c r="I205" i="2" s="1"/>
  <c r="AC157" i="2"/>
  <c r="AB205" i="2"/>
  <c r="AC205" i="2" s="1"/>
  <c r="T158" i="2"/>
  <c r="U158" i="2" s="1"/>
  <c r="P207" i="2"/>
  <c r="Q207" i="2" s="1"/>
  <c r="H208" i="2"/>
  <c r="AB160" i="2"/>
  <c r="AC160" i="2" s="1"/>
  <c r="X209" i="2"/>
  <c r="Y209" i="2" s="1"/>
  <c r="Q162" i="2"/>
  <c r="P210" i="2"/>
  <c r="Q210" i="2" s="1"/>
  <c r="X212" i="2"/>
  <c r="Y212" i="2" s="1"/>
  <c r="P165" i="2"/>
  <c r="Q165" i="2" s="1"/>
  <c r="L214" i="2"/>
  <c r="M214" i="2" s="1"/>
  <c r="D215" i="2"/>
  <c r="E215" i="2" s="1"/>
  <c r="L217" i="2"/>
  <c r="M217" i="2" s="1"/>
  <c r="D170" i="2"/>
  <c r="E170" i="2" s="1"/>
  <c r="AB218" i="2"/>
  <c r="AC218" i="2" s="1"/>
  <c r="T219" i="2"/>
  <c r="H221" i="2"/>
  <c r="I221" i="2" s="1"/>
  <c r="AB221" i="2"/>
  <c r="AC221" i="2" s="1"/>
  <c r="AC173" i="2"/>
  <c r="T174" i="2"/>
  <c r="U174" i="2" s="1"/>
  <c r="P223" i="2"/>
  <c r="Q223" i="2" s="1"/>
  <c r="H224" i="2"/>
  <c r="P226" i="2"/>
  <c r="Q226" i="2" s="1"/>
  <c r="H179" i="2"/>
  <c r="I179" i="2" s="1"/>
  <c r="D224" i="2"/>
  <c r="X228" i="2"/>
  <c r="Y228" i="2" s="1"/>
  <c r="P181" i="2"/>
  <c r="Q181" i="2" s="1"/>
  <c r="D231" i="2"/>
  <c r="E183" i="2"/>
  <c r="X183" i="2"/>
  <c r="Y183" i="2" s="1"/>
  <c r="L233" i="2"/>
  <c r="M185" i="2"/>
  <c r="D186" i="2"/>
  <c r="E186" i="2" s="1"/>
  <c r="T235" i="2"/>
  <c r="L188" i="2"/>
  <c r="M188" i="2" s="1"/>
  <c r="AB237" i="2"/>
  <c r="AC237" i="2" s="1"/>
  <c r="AC189" i="2"/>
  <c r="H240" i="2"/>
  <c r="I240" i="2" s="1"/>
  <c r="I192" i="2"/>
  <c r="P242" i="2"/>
  <c r="X244" i="2"/>
  <c r="Y196" i="2"/>
  <c r="D247" i="2"/>
  <c r="E247" i="2" s="1"/>
  <c r="E199" i="2"/>
  <c r="X199" i="2"/>
  <c r="Y199" i="2" s="1"/>
  <c r="L249" i="2"/>
  <c r="M249" i="2" s="1"/>
  <c r="M201" i="2"/>
  <c r="T251" i="2"/>
  <c r="L204" i="2"/>
  <c r="M204" i="2" s="1"/>
  <c r="AB253" i="2"/>
  <c r="H256" i="2"/>
  <c r="I208" i="2"/>
  <c r="P258" i="2"/>
  <c r="Q258" i="2" s="1"/>
  <c r="H211" i="2"/>
  <c r="AC211" i="2"/>
  <c r="L261" i="2"/>
  <c r="T216" i="2"/>
  <c r="U216" i="2" s="1"/>
  <c r="AB268" i="2"/>
  <c r="AC268" i="2" s="1"/>
  <c r="AC220" i="2"/>
  <c r="AB269" i="2"/>
  <c r="T271" i="2"/>
  <c r="H277" i="2"/>
  <c r="I277" i="2" s="1"/>
  <c r="D292" i="2"/>
  <c r="E292" i="2" s="1"/>
  <c r="D293" i="2"/>
  <c r="D294" i="2"/>
  <c r="P301" i="2"/>
  <c r="Q301" i="2" s="1"/>
  <c r="P300" i="2"/>
  <c r="Q300" i="2" s="1"/>
  <c r="P303" i="2"/>
  <c r="Q303" i="2" s="1"/>
  <c r="L306" i="2"/>
  <c r="X312" i="2"/>
  <c r="AB320" i="2"/>
  <c r="AB319" i="2"/>
  <c r="AC319" i="2" s="1"/>
  <c r="AB322" i="2"/>
  <c r="AC322" i="2" s="1"/>
  <c r="T281" i="2"/>
  <c r="Y283" i="2"/>
  <c r="X330" i="2"/>
  <c r="X331" i="2"/>
  <c r="X322" i="2"/>
  <c r="P334" i="2"/>
  <c r="P341" i="2"/>
  <c r="Q341" i="2" s="1"/>
  <c r="P340" i="2"/>
  <c r="Q340" i="2" s="1"/>
  <c r="P294" i="2"/>
  <c r="D354" i="2"/>
  <c r="D353" i="2"/>
  <c r="E353" i="2" s="1"/>
  <c r="P359" i="2"/>
  <c r="Q359" i="2" s="1"/>
  <c r="H367" i="2"/>
  <c r="I367" i="2" s="1"/>
  <c r="H366" i="2"/>
  <c r="I366" i="2" s="1"/>
  <c r="L368" i="2"/>
  <c r="L365" i="2"/>
  <c r="L367" i="2"/>
  <c r="M367" i="2" s="1"/>
  <c r="P379" i="2"/>
  <c r="Q379" i="2" s="1"/>
  <c r="T390" i="2"/>
  <c r="U390" i="2" s="1"/>
  <c r="T389" i="2"/>
  <c r="X401" i="2"/>
  <c r="AB402" i="2"/>
  <c r="L410" i="2"/>
  <c r="L407" i="2"/>
  <c r="M407" i="2" s="1"/>
  <c r="L387" i="2"/>
  <c r="P411" i="2"/>
  <c r="Q411" i="2" s="1"/>
  <c r="P404" i="2"/>
  <c r="T377" i="2"/>
  <c r="U377" i="2" s="1"/>
  <c r="X380" i="2"/>
  <c r="D476" i="2"/>
  <c r="E476" i="2" s="1"/>
  <c r="T514" i="2"/>
  <c r="U466" i="2"/>
  <c r="T513" i="2"/>
  <c r="U513" i="2" s="1"/>
  <c r="P541" i="2"/>
  <c r="Q541" i="2" s="1"/>
  <c r="P536" i="2"/>
  <c r="Q536" i="2" s="1"/>
  <c r="P532" i="2"/>
  <c r="P540" i="2"/>
  <c r="X792" i="2"/>
  <c r="X755" i="2"/>
  <c r="Y755" i="2" s="1"/>
  <c r="X769" i="2"/>
  <c r="Y769" i="2" s="1"/>
  <c r="X760" i="2"/>
  <c r="Y760" i="2" s="1"/>
  <c r="X773" i="2"/>
  <c r="X116" i="2"/>
  <c r="Y116" i="2" s="1"/>
  <c r="D135" i="2"/>
  <c r="E135" i="2" s="1"/>
  <c r="T114" i="2"/>
  <c r="U66" i="2"/>
  <c r="L70" i="2"/>
  <c r="L78" i="2"/>
  <c r="D92" i="2"/>
  <c r="L102" i="2"/>
  <c r="T112" i="2"/>
  <c r="U112" i="2" s="1"/>
  <c r="D150" i="2"/>
  <c r="E102" i="2"/>
  <c r="Q114" i="2"/>
  <c r="P162" i="2"/>
  <c r="P177" i="2"/>
  <c r="X235" i="2"/>
  <c r="Y235" i="2" s="1"/>
  <c r="Y187" i="2"/>
  <c r="D254" i="2"/>
  <c r="E254" i="2" s="1"/>
  <c r="P261" i="2"/>
  <c r="L266" i="2"/>
  <c r="L267" i="2"/>
  <c r="M267" i="2" s="1"/>
  <c r="I228" i="2"/>
  <c r="H276" i="2"/>
  <c r="I276" i="2" s="1"/>
  <c r="E231" i="2"/>
  <c r="P288" i="2"/>
  <c r="P280" i="2"/>
  <c r="I243" i="2"/>
  <c r="H291" i="2"/>
  <c r="H290" i="2"/>
  <c r="I290" i="2" s="1"/>
  <c r="E248" i="2"/>
  <c r="AB296" i="2"/>
  <c r="AB295" i="2"/>
  <c r="AC295" i="2" s="1"/>
  <c r="AB291" i="2"/>
  <c r="AC249" i="2"/>
  <c r="AB297" i="2"/>
  <c r="L256" i="2"/>
  <c r="M256" i="2" s="1"/>
  <c r="P305" i="2"/>
  <c r="Q305" i="2" s="1"/>
  <c r="P304" i="2"/>
  <c r="P302" i="2"/>
  <c r="I260" i="2"/>
  <c r="H308" i="2"/>
  <c r="I308" i="2" s="1"/>
  <c r="H302" i="2"/>
  <c r="X275" i="2"/>
  <c r="Y275" i="2" s="1"/>
  <c r="U287" i="2"/>
  <c r="T335" i="2"/>
  <c r="X413" i="2"/>
  <c r="Y413" i="2" s="1"/>
  <c r="Y365" i="2"/>
  <c r="AB442" i="2"/>
  <c r="AC442" i="2" s="1"/>
  <c r="AC394" i="2"/>
  <c r="AB427" i="2"/>
  <c r="AC427" i="2" s="1"/>
  <c r="AB439" i="2"/>
  <c r="AB431" i="2"/>
  <c r="X463" i="2"/>
  <c r="Y463" i="2" s="1"/>
  <c r="X460" i="2"/>
  <c r="Y460" i="2" s="1"/>
  <c r="X462" i="2"/>
  <c r="X455" i="2"/>
  <c r="Y455" i="2" s="1"/>
  <c r="X454" i="2"/>
  <c r="Y454" i="2" s="1"/>
  <c r="AB464" i="2"/>
  <c r="AC464" i="2" s="1"/>
  <c r="AB463" i="2"/>
  <c r="AB461" i="2"/>
  <c r="AB459" i="2"/>
  <c r="AC459" i="2" s="1"/>
  <c r="T465" i="2"/>
  <c r="U465" i="2" s="1"/>
  <c r="P98" i="2"/>
  <c r="Q98" i="2" s="1"/>
  <c r="AB125" i="2"/>
  <c r="AC125" i="2" s="1"/>
  <c r="H77" i="2"/>
  <c r="I77" i="2" s="1"/>
  <c r="P87" i="2"/>
  <c r="Q87" i="2" s="1"/>
  <c r="D100" i="2"/>
  <c r="E100" i="2" s="1"/>
  <c r="L67" i="2"/>
  <c r="M67" i="2" s="1"/>
  <c r="H90" i="2"/>
  <c r="I90" i="2" s="1"/>
  <c r="U123" i="2"/>
  <c r="T171" i="2"/>
  <c r="U171" i="2" s="1"/>
  <c r="D182" i="2"/>
  <c r="E182" i="2" s="1"/>
  <c r="P70" i="2"/>
  <c r="D83" i="2"/>
  <c r="E83" i="2" s="1"/>
  <c r="T95" i="2"/>
  <c r="U95" i="2" s="1"/>
  <c r="H108" i="2"/>
  <c r="I108" i="2" s="1"/>
  <c r="T124" i="2"/>
  <c r="U124" i="2" s="1"/>
  <c r="X133" i="2"/>
  <c r="Y133" i="2" s="1"/>
  <c r="AB142" i="2"/>
  <c r="AC142" i="2" s="1"/>
  <c r="H150" i="2"/>
  <c r="I150" i="2" s="1"/>
  <c r="X165" i="2"/>
  <c r="Y165" i="2" s="1"/>
  <c r="T123" i="2"/>
  <c r="AB128" i="2"/>
  <c r="AC128" i="2" s="1"/>
  <c r="T192" i="2"/>
  <c r="U192" i="2" s="1"/>
  <c r="P172" i="2"/>
  <c r="Q172" i="2" s="1"/>
  <c r="X248" i="2"/>
  <c r="Y248" i="2" s="1"/>
  <c r="H321" i="2"/>
  <c r="I273" i="2"/>
  <c r="X392" i="2"/>
  <c r="Y392" i="2" s="1"/>
  <c r="AC69" i="2"/>
  <c r="M78" i="2"/>
  <c r="T80" i="2"/>
  <c r="D84" i="2"/>
  <c r="T88" i="2"/>
  <c r="U88" i="2" s="1"/>
  <c r="H93" i="2"/>
  <c r="X97" i="2"/>
  <c r="X105" i="2"/>
  <c r="P111" i="2"/>
  <c r="Q111" i="2" s="1"/>
  <c r="Y68" i="2"/>
  <c r="AB71" i="2"/>
  <c r="AC71" i="2" s="1"/>
  <c r="U74" i="2"/>
  <c r="T122" i="2"/>
  <c r="U122" i="2" s="1"/>
  <c r="AC77" i="2"/>
  <c r="D81" i="2"/>
  <c r="E81" i="2" s="1"/>
  <c r="L136" i="2"/>
  <c r="M88" i="2"/>
  <c r="L99" i="2"/>
  <c r="M99" i="2" s="1"/>
  <c r="T117" i="2"/>
  <c r="U117" i="2" s="1"/>
  <c r="L168" i="2"/>
  <c r="M168" i="2" s="1"/>
  <c r="M120" i="2"/>
  <c r="AB172" i="2"/>
  <c r="L185" i="2"/>
  <c r="AB189" i="2"/>
  <c r="AC148" i="2"/>
  <c r="AB196" i="2"/>
  <c r="AC196" i="2" s="1"/>
  <c r="X219" i="2"/>
  <c r="X218" i="2"/>
  <c r="T226" i="2"/>
  <c r="U226" i="2" s="1"/>
  <c r="P232" i="2"/>
  <c r="Q185" i="2"/>
  <c r="D238" i="2"/>
  <c r="E238" i="2" s="1"/>
  <c r="H247" i="2"/>
  <c r="X72" i="2"/>
  <c r="H76" i="2"/>
  <c r="T79" i="2"/>
  <c r="H84" i="2"/>
  <c r="I84" i="2" s="1"/>
  <c r="T87" i="2"/>
  <c r="U87" i="2" s="1"/>
  <c r="D91" i="2"/>
  <c r="L93" i="2"/>
  <c r="AB97" i="2"/>
  <c r="AC97" i="2" s="1"/>
  <c r="L101" i="2"/>
  <c r="M101" i="2" s="1"/>
  <c r="X104" i="2"/>
  <c r="Y104" i="2" s="1"/>
  <c r="L109" i="2"/>
  <c r="X112" i="2"/>
  <c r="P119" i="2"/>
  <c r="Q119" i="2" s="1"/>
  <c r="D124" i="2"/>
  <c r="E124" i="2" s="1"/>
  <c r="T78" i="2"/>
  <c r="U78" i="2" s="1"/>
  <c r="AB131" i="2"/>
  <c r="AC131" i="2" s="1"/>
  <c r="Q86" i="2"/>
  <c r="X137" i="2"/>
  <c r="E91" i="2"/>
  <c r="D141" i="2"/>
  <c r="E141" i="2" s="1"/>
  <c r="AB146" i="2"/>
  <c r="AC146" i="2" s="1"/>
  <c r="D156" i="2"/>
  <c r="E156" i="2" s="1"/>
  <c r="AB109" i="2"/>
  <c r="H165" i="2"/>
  <c r="I165" i="2" s="1"/>
  <c r="X169" i="2"/>
  <c r="Y169" i="2" s="1"/>
  <c r="L174" i="2"/>
  <c r="M174" i="2" s="1"/>
  <c r="AB178" i="2"/>
  <c r="AC178" i="2" s="1"/>
  <c r="X132" i="2"/>
  <c r="H182" i="2"/>
  <c r="I182" i="2" s="1"/>
  <c r="L137" i="2"/>
  <c r="M137" i="2" s="1"/>
  <c r="X186" i="2"/>
  <c r="Y186" i="2" s="1"/>
  <c r="M141" i="2"/>
  <c r="L191" i="2"/>
  <c r="M191" i="2" s="1"/>
  <c r="X194" i="2"/>
  <c r="Y194" i="2" s="1"/>
  <c r="AB203" i="2"/>
  <c r="AC203" i="2" s="1"/>
  <c r="H206" i="2"/>
  <c r="I206" i="2" s="1"/>
  <c r="P208" i="2"/>
  <c r="Q208" i="2" s="1"/>
  <c r="X210" i="2"/>
  <c r="Y210" i="2" s="1"/>
  <c r="I164" i="2"/>
  <c r="L215" i="2"/>
  <c r="M215" i="2" s="1"/>
  <c r="H228" i="2"/>
  <c r="D235" i="2"/>
  <c r="L237" i="2"/>
  <c r="H244" i="2"/>
  <c r="I244" i="2" s="1"/>
  <c r="L253" i="2"/>
  <c r="P256" i="2"/>
  <c r="H263" i="2"/>
  <c r="I263" i="2" s="1"/>
  <c r="E267" i="2"/>
  <c r="D315" i="2"/>
  <c r="M328" i="2"/>
  <c r="L376" i="2"/>
  <c r="M376" i="2" s="1"/>
  <c r="D486" i="2"/>
  <c r="D485" i="2"/>
  <c r="E485" i="2" s="1"/>
  <c r="H557" i="2"/>
  <c r="I557" i="2" s="1"/>
  <c r="H550" i="2"/>
  <c r="I550" i="2" s="1"/>
  <c r="H554" i="2"/>
  <c r="H542" i="2"/>
  <c r="I542" i="2" s="1"/>
  <c r="H530" i="2"/>
  <c r="H538" i="2"/>
  <c r="H534" i="2"/>
  <c r="I534" i="2" s="1"/>
  <c r="U67" i="2"/>
  <c r="AC68" i="2"/>
  <c r="AB116" i="2"/>
  <c r="Q71" i="2"/>
  <c r="I72" i="2"/>
  <c r="Q73" i="2"/>
  <c r="P121" i="2"/>
  <c r="Q121" i="2" s="1"/>
  <c r="E76" i="2"/>
  <c r="Y76" i="2"/>
  <c r="D126" i="2"/>
  <c r="E126" i="2" s="1"/>
  <c r="E78" i="2"/>
  <c r="U80" i="2"/>
  <c r="M81" i="2"/>
  <c r="U82" i="2"/>
  <c r="T130" i="2"/>
  <c r="AC85" i="2"/>
  <c r="I87" i="2"/>
  <c r="H135" i="2"/>
  <c r="I135" i="2" s="1"/>
  <c r="Y89" i="2"/>
  <c r="Q90" i="2"/>
  <c r="Y91" i="2"/>
  <c r="X139" i="2"/>
  <c r="Y139" i="2" s="1"/>
  <c r="E95" i="2"/>
  <c r="M96" i="2"/>
  <c r="L144" i="2"/>
  <c r="M144" i="2" s="1"/>
  <c r="AC98" i="2"/>
  <c r="U99" i="2"/>
  <c r="T147" i="2"/>
  <c r="AC100" i="2"/>
  <c r="AB148" i="2"/>
  <c r="I104" i="2"/>
  <c r="H152" i="2"/>
  <c r="Q105" i="2"/>
  <c r="P153" i="2"/>
  <c r="Q153" i="2" s="1"/>
  <c r="E108" i="2"/>
  <c r="Y108" i="2"/>
  <c r="X156" i="2"/>
  <c r="D158" i="2"/>
  <c r="E110" i="2"/>
  <c r="M113" i="2"/>
  <c r="L161" i="2"/>
  <c r="T162" i="2"/>
  <c r="U114" i="2"/>
  <c r="P116" i="2"/>
  <c r="Q116" i="2" s="1"/>
  <c r="I117" i="2"/>
  <c r="AB165" i="2"/>
  <c r="H167" i="2"/>
  <c r="I167" i="2" s="1"/>
  <c r="D121" i="2"/>
  <c r="E121" i="2" s="1"/>
  <c r="Y121" i="2"/>
  <c r="P170" i="2"/>
  <c r="X171" i="2"/>
  <c r="Y171" i="2" s="1"/>
  <c r="Y123" i="2"/>
  <c r="M126" i="2"/>
  <c r="D175" i="2"/>
  <c r="E175" i="2" s="1"/>
  <c r="M128" i="2"/>
  <c r="L176" i="2"/>
  <c r="AC130" i="2"/>
  <c r="T179" i="2"/>
  <c r="U179" i="2" s="1"/>
  <c r="AB180" i="2"/>
  <c r="X134" i="2"/>
  <c r="Y134" i="2" s="1"/>
  <c r="I136" i="2"/>
  <c r="H184" i="2"/>
  <c r="P185" i="2"/>
  <c r="Y140" i="2"/>
  <c r="X188" i="2"/>
  <c r="D190" i="2"/>
  <c r="E190" i="2" s="1"/>
  <c r="E142" i="2"/>
  <c r="AB143" i="2"/>
  <c r="AC143" i="2" s="1"/>
  <c r="U144" i="2"/>
  <c r="L193" i="2"/>
  <c r="P195" i="2"/>
  <c r="Q195" i="2" s="1"/>
  <c r="X197" i="2"/>
  <c r="Y197" i="2" s="1"/>
  <c r="D200" i="2"/>
  <c r="E200" i="2" s="1"/>
  <c r="L202" i="2"/>
  <c r="M202" i="2" s="1"/>
  <c r="T204" i="2"/>
  <c r="U204" i="2" s="1"/>
  <c r="AB206" i="2"/>
  <c r="AC206" i="2" s="1"/>
  <c r="H209" i="2"/>
  <c r="I209" i="2" s="1"/>
  <c r="P211" i="2"/>
  <c r="L212" i="2"/>
  <c r="M212" i="2" s="1"/>
  <c r="T214" i="2"/>
  <c r="U214" i="2" s="1"/>
  <c r="D216" i="2"/>
  <c r="AB216" i="2"/>
  <c r="H219" i="2"/>
  <c r="I219" i="2" s="1"/>
  <c r="AB222" i="2"/>
  <c r="X261" i="2"/>
  <c r="Y261" i="2" s="1"/>
  <c r="X262" i="2"/>
  <c r="Y262" i="2" s="1"/>
  <c r="T265" i="2"/>
  <c r="L270" i="2"/>
  <c r="M270" i="2" s="1"/>
  <c r="H270" i="2"/>
  <c r="I270" i="2" s="1"/>
  <c r="T274" i="2"/>
  <c r="L279" i="2"/>
  <c r="L280" i="2"/>
  <c r="M280" i="2" s="1"/>
  <c r="L272" i="2"/>
  <c r="M272" i="2" s="1"/>
  <c r="I233" i="2"/>
  <c r="E234" i="2"/>
  <c r="D282" i="2"/>
  <c r="D281" i="2"/>
  <c r="E281" i="2" s="1"/>
  <c r="T290" i="2"/>
  <c r="P291" i="2"/>
  <c r="Q291" i="2" s="1"/>
  <c r="Q243" i="2"/>
  <c r="L295" i="2"/>
  <c r="M295" i="2" s="1"/>
  <c r="H313" i="2"/>
  <c r="I313" i="2" s="1"/>
  <c r="H311" i="2"/>
  <c r="I311" i="2" s="1"/>
  <c r="D317" i="2"/>
  <c r="D318" i="2"/>
  <c r="E270" i="2"/>
  <c r="AB334" i="2"/>
  <c r="AC334" i="2" s="1"/>
  <c r="AB331" i="2"/>
  <c r="T344" i="2"/>
  <c r="U344" i="2" s="1"/>
  <c r="P318" i="2"/>
  <c r="AB412" i="2"/>
  <c r="AB406" i="2"/>
  <c r="AC406" i="2" s="1"/>
  <c r="X446" i="2"/>
  <c r="H501" i="2"/>
  <c r="L502" i="2"/>
  <c r="X507" i="2"/>
  <c r="X506" i="2"/>
  <c r="Y506" i="2" s="1"/>
  <c r="AB508" i="2"/>
  <c r="AB507" i="2"/>
  <c r="AC507" i="2" s="1"/>
  <c r="AB541" i="2"/>
  <c r="AC493" i="2"/>
  <c r="AB539" i="2"/>
  <c r="AC539" i="2" s="1"/>
  <c r="AB519" i="2"/>
  <c r="AC519" i="2" s="1"/>
  <c r="AB515" i="2"/>
  <c r="AC515" i="2" s="1"/>
  <c r="H80" i="2"/>
  <c r="P131" i="2"/>
  <c r="Q131" i="2" s="1"/>
  <c r="X103" i="2"/>
  <c r="Y103" i="2" s="1"/>
  <c r="H144" i="2"/>
  <c r="T157" i="2"/>
  <c r="U157" i="2" s="1"/>
  <c r="E179" i="2"/>
  <c r="X182" i="2"/>
  <c r="Y182" i="2" s="1"/>
  <c r="Q216" i="2"/>
  <c r="T278" i="2"/>
  <c r="T277" i="2"/>
  <c r="U277" i="2" s="1"/>
  <c r="L324" i="2"/>
  <c r="L323" i="2"/>
  <c r="M323" i="2" s="1"/>
  <c r="P281" i="2"/>
  <c r="Q281" i="2" s="1"/>
  <c r="L285" i="2"/>
  <c r="T394" i="2"/>
  <c r="U394" i="2" s="1"/>
  <c r="T393" i="2"/>
  <c r="U393" i="2" s="1"/>
  <c r="U346" i="2"/>
  <c r="I69" i="2"/>
  <c r="Q74" i="2"/>
  <c r="P79" i="2"/>
  <c r="AB82" i="2"/>
  <c r="L86" i="2"/>
  <c r="M86" i="2" s="1"/>
  <c r="X89" i="2"/>
  <c r="L94" i="2"/>
  <c r="M94" i="2" s="1"/>
  <c r="T96" i="2"/>
  <c r="U96" i="2" s="1"/>
  <c r="H101" i="2"/>
  <c r="I101" i="2" s="1"/>
  <c r="T104" i="2"/>
  <c r="U104" i="2" s="1"/>
  <c r="AB106" i="2"/>
  <c r="D108" i="2"/>
  <c r="L110" i="2"/>
  <c r="M110" i="2" s="1"/>
  <c r="Q65" i="2"/>
  <c r="P113" i="2"/>
  <c r="E70" i="2"/>
  <c r="D118" i="2"/>
  <c r="E118" i="2" s="1"/>
  <c r="I79" i="2"/>
  <c r="H127" i="2"/>
  <c r="Y83" i="2"/>
  <c r="X131" i="2"/>
  <c r="X94" i="2"/>
  <c r="Y94" i="2" s="1"/>
  <c r="P145" i="2"/>
  <c r="Q97" i="2"/>
  <c r="T154" i="2"/>
  <c r="U106" i="2"/>
  <c r="H159" i="2"/>
  <c r="I111" i="2"/>
  <c r="Y115" i="2"/>
  <c r="X163" i="2"/>
  <c r="X126" i="2"/>
  <c r="Y126" i="2" s="1"/>
  <c r="L131" i="2"/>
  <c r="M131" i="2" s="1"/>
  <c r="D145" i="2"/>
  <c r="E145" i="2" s="1"/>
  <c r="H199" i="2"/>
  <c r="I199" i="2" s="1"/>
  <c r="P201" i="2"/>
  <c r="Q201" i="2" s="1"/>
  <c r="E158" i="2"/>
  <c r="D206" i="2"/>
  <c r="E206" i="2" s="1"/>
  <c r="U162" i="2"/>
  <c r="T210" i="2"/>
  <c r="AC164" i="2"/>
  <c r="L224" i="2"/>
  <c r="M224" i="2" s="1"/>
  <c r="M176" i="2"/>
  <c r="H231" i="2"/>
  <c r="I231" i="2" s="1"/>
  <c r="M192" i="2"/>
  <c r="L240" i="2"/>
  <c r="M240" i="2" s="1"/>
  <c r="AB244" i="2"/>
  <c r="AC244" i="2" s="1"/>
  <c r="P249" i="2"/>
  <c r="Q249" i="2" s="1"/>
  <c r="T258" i="2"/>
  <c r="U258" i="2" s="1"/>
  <c r="T257" i="2"/>
  <c r="U257" i="2" s="1"/>
  <c r="U210" i="2"/>
  <c r="L69" i="2"/>
  <c r="M69" i="2" s="1"/>
  <c r="AB73" i="2"/>
  <c r="AC73" i="2" s="1"/>
  <c r="L77" i="2"/>
  <c r="X80" i="2"/>
  <c r="Y80" i="2" s="1"/>
  <c r="L85" i="2"/>
  <c r="X88" i="2"/>
  <c r="Y88" i="2" s="1"/>
  <c r="H92" i="2"/>
  <c r="I92" i="2" s="1"/>
  <c r="X96" i="2"/>
  <c r="Y96" i="2" s="1"/>
  <c r="H100" i="2"/>
  <c r="I100" i="2" s="1"/>
  <c r="T103" i="2"/>
  <c r="D107" i="2"/>
  <c r="E107" i="2" s="1"/>
  <c r="T111" i="2"/>
  <c r="T113" i="2"/>
  <c r="U113" i="2" s="1"/>
  <c r="P115" i="2"/>
  <c r="Q115" i="2" s="1"/>
  <c r="H118" i="2"/>
  <c r="I118" i="2" s="1"/>
  <c r="X122" i="2"/>
  <c r="Y122" i="2" s="1"/>
  <c r="T128" i="2"/>
  <c r="H133" i="2"/>
  <c r="I133" i="2" s="1"/>
  <c r="X87" i="2"/>
  <c r="Y87" i="2" s="1"/>
  <c r="L142" i="2"/>
  <c r="M142" i="2" s="1"/>
  <c r="AB96" i="2"/>
  <c r="AC96" i="2" s="1"/>
  <c r="P147" i="2"/>
  <c r="Q147" i="2" s="1"/>
  <c r="P151" i="2"/>
  <c r="Q151" i="2" s="1"/>
  <c r="D106" i="2"/>
  <c r="E106" i="2" s="1"/>
  <c r="T156" i="2"/>
  <c r="U156" i="2" s="1"/>
  <c r="T160" i="2"/>
  <c r="U160" i="2" s="1"/>
  <c r="H115" i="2"/>
  <c r="I115" i="2" s="1"/>
  <c r="D119" i="2"/>
  <c r="E119" i="2" s="1"/>
  <c r="P168" i="2"/>
  <c r="Q168" i="2" s="1"/>
  <c r="L170" i="2"/>
  <c r="M170" i="2" s="1"/>
  <c r="D173" i="2"/>
  <c r="E173" i="2" s="1"/>
  <c r="AB174" i="2"/>
  <c r="AC174" i="2" s="1"/>
  <c r="H128" i="2"/>
  <c r="P179" i="2"/>
  <c r="Q179" i="2" s="1"/>
  <c r="P133" i="2"/>
  <c r="Q133" i="2" s="1"/>
  <c r="D184" i="2"/>
  <c r="E184" i="2" s="1"/>
  <c r="D138" i="2"/>
  <c r="E138" i="2" s="1"/>
  <c r="T188" i="2"/>
  <c r="U188" i="2" s="1"/>
  <c r="AB141" i="2"/>
  <c r="AC141" i="2" s="1"/>
  <c r="H193" i="2"/>
  <c r="I193" i="2" s="1"/>
  <c r="L199" i="2"/>
  <c r="M199" i="2" s="1"/>
  <c r="T201" i="2"/>
  <c r="U201" i="2" s="1"/>
  <c r="P156" i="2"/>
  <c r="Q156" i="2" s="1"/>
  <c r="X158" i="2"/>
  <c r="Y158" i="2" s="1"/>
  <c r="L163" i="2"/>
  <c r="M163" i="2" s="1"/>
  <c r="T165" i="2"/>
  <c r="U165" i="2" s="1"/>
  <c r="AB167" i="2"/>
  <c r="AC167" i="2" s="1"/>
  <c r="D219" i="2"/>
  <c r="E219" i="2" s="1"/>
  <c r="AB225" i="2"/>
  <c r="L179" i="2"/>
  <c r="M179" i="2" s="1"/>
  <c r="AB183" i="2"/>
  <c r="AC183" i="2" s="1"/>
  <c r="H238" i="2"/>
  <c r="D193" i="2"/>
  <c r="E193" i="2" s="1"/>
  <c r="AB251" i="2"/>
  <c r="X206" i="2"/>
  <c r="Y206" i="2" s="1"/>
  <c r="X216" i="2"/>
  <c r="Y216" i="2" s="1"/>
  <c r="H268" i="2"/>
  <c r="I268" i="2" s="1"/>
  <c r="L229" i="2"/>
  <c r="AB282" i="2"/>
  <c r="AC282" i="2" s="1"/>
  <c r="X285" i="2"/>
  <c r="Y285" i="2" s="1"/>
  <c r="X282" i="2"/>
  <c r="X283" i="2"/>
  <c r="D251" i="2"/>
  <c r="X301" i="2"/>
  <c r="D314" i="2"/>
  <c r="D313" i="2"/>
  <c r="E313" i="2" s="1"/>
  <c r="D275" i="2"/>
  <c r="T340" i="2"/>
  <c r="U340" i="2" s="1"/>
  <c r="U292" i="2"/>
  <c r="L327" i="2"/>
  <c r="H487" i="2"/>
  <c r="I487" i="2" s="1"/>
  <c r="H486" i="2"/>
  <c r="I486" i="2" s="1"/>
  <c r="H483" i="2"/>
  <c r="X113" i="2"/>
  <c r="Y113" i="2" s="1"/>
  <c r="L114" i="2"/>
  <c r="M114" i="2" s="1"/>
  <c r="E67" i="2"/>
  <c r="L68" i="2"/>
  <c r="M68" i="2" s="1"/>
  <c r="D117" i="2"/>
  <c r="E117" i="2" s="1"/>
  <c r="L118" i="2"/>
  <c r="M118" i="2" s="1"/>
  <c r="AB118" i="2"/>
  <c r="AC118" i="2" s="1"/>
  <c r="AB72" i="2"/>
  <c r="AC72" i="2" s="1"/>
  <c r="T121" i="2"/>
  <c r="U121" i="2" s="1"/>
  <c r="AB122" i="2"/>
  <c r="AC122" i="2" s="1"/>
  <c r="P123" i="2"/>
  <c r="Q123" i="2" s="1"/>
  <c r="I76" i="2"/>
  <c r="H126" i="2"/>
  <c r="I126" i="2" s="1"/>
  <c r="P127" i="2"/>
  <c r="Q127" i="2" s="1"/>
  <c r="D128" i="2"/>
  <c r="E128" i="2" s="1"/>
  <c r="X130" i="2"/>
  <c r="Y130" i="2" s="1"/>
  <c r="D132" i="2"/>
  <c r="E132" i="2" s="1"/>
  <c r="T132" i="2"/>
  <c r="U132" i="2" s="1"/>
  <c r="M85" i="2"/>
  <c r="L135" i="2"/>
  <c r="M135" i="2" s="1"/>
  <c r="T136" i="2"/>
  <c r="U136" i="2" s="1"/>
  <c r="H137" i="2"/>
  <c r="I137" i="2" s="1"/>
  <c r="AB139" i="2"/>
  <c r="AC139" i="2" s="1"/>
  <c r="H141" i="2"/>
  <c r="I141" i="2" s="1"/>
  <c r="X141" i="2"/>
  <c r="Y141" i="2" s="1"/>
  <c r="Q94" i="2"/>
  <c r="P144" i="2"/>
  <c r="Q144" i="2" s="1"/>
  <c r="X145" i="2"/>
  <c r="Y145" i="2" s="1"/>
  <c r="L146" i="2"/>
  <c r="M146" i="2" s="1"/>
  <c r="D149" i="2"/>
  <c r="E149" i="2" s="1"/>
  <c r="L150" i="2"/>
  <c r="M150" i="2" s="1"/>
  <c r="AB150" i="2"/>
  <c r="AC150" i="2" s="1"/>
  <c r="U103" i="2"/>
  <c r="T153" i="2"/>
  <c r="U153" i="2" s="1"/>
  <c r="AB154" i="2"/>
  <c r="AC154" i="2" s="1"/>
  <c r="P155" i="2"/>
  <c r="Q155" i="2" s="1"/>
  <c r="H158" i="2"/>
  <c r="I158" i="2" s="1"/>
  <c r="P159" i="2"/>
  <c r="Q159" i="2" s="1"/>
  <c r="D160" i="2"/>
  <c r="E160" i="2" s="1"/>
  <c r="Y112" i="2"/>
  <c r="D114" i="2"/>
  <c r="E114" i="2" s="1"/>
  <c r="X162" i="2"/>
  <c r="Y162" i="2" s="1"/>
  <c r="D164" i="2"/>
  <c r="E164" i="2" s="1"/>
  <c r="T164" i="2"/>
  <c r="U164" i="2" s="1"/>
  <c r="M117" i="2"/>
  <c r="AB117" i="2"/>
  <c r="AC117" i="2" s="1"/>
  <c r="T118" i="2"/>
  <c r="U118" i="2" s="1"/>
  <c r="L167" i="2"/>
  <c r="M167" i="2" s="1"/>
  <c r="T168" i="2"/>
  <c r="U168" i="2" s="1"/>
  <c r="H169" i="2"/>
  <c r="I169" i="2" s="1"/>
  <c r="P122" i="2"/>
  <c r="Q122" i="2" s="1"/>
  <c r="H123" i="2"/>
  <c r="I123" i="2" s="1"/>
  <c r="AB171" i="2"/>
  <c r="AC171" i="2" s="1"/>
  <c r="H173" i="2"/>
  <c r="I173" i="2" s="1"/>
  <c r="X173" i="2"/>
  <c r="Y173" i="2" s="1"/>
  <c r="Q126" i="2"/>
  <c r="D127" i="2"/>
  <c r="E127" i="2" s="1"/>
  <c r="X127" i="2"/>
  <c r="Y127" i="2" s="1"/>
  <c r="P176" i="2"/>
  <c r="Q176" i="2" s="1"/>
  <c r="X177" i="2"/>
  <c r="Y177" i="2" s="1"/>
  <c r="L178" i="2"/>
  <c r="M178" i="2" s="1"/>
  <c r="T131" i="2"/>
  <c r="U131" i="2" s="1"/>
  <c r="L132" i="2"/>
  <c r="M132" i="2" s="1"/>
  <c r="D181" i="2"/>
  <c r="E181" i="2" s="1"/>
  <c r="L182" i="2"/>
  <c r="M182" i="2" s="1"/>
  <c r="AB182" i="2"/>
  <c r="AC182" i="2" s="1"/>
  <c r="U135" i="2"/>
  <c r="H136" i="2"/>
  <c r="AB136" i="2"/>
  <c r="AC136" i="2" s="1"/>
  <c r="T185" i="2"/>
  <c r="U185" i="2" s="1"/>
  <c r="AB186" i="2"/>
  <c r="AC186" i="2" s="1"/>
  <c r="P187" i="2"/>
  <c r="Q187" i="2" s="1"/>
  <c r="X140" i="2"/>
  <c r="P141" i="2"/>
  <c r="Q141" i="2" s="1"/>
  <c r="H190" i="2"/>
  <c r="I190" i="2" s="1"/>
  <c r="P191" i="2"/>
  <c r="Q191" i="2" s="1"/>
  <c r="D192" i="2"/>
  <c r="E192" i="2" s="1"/>
  <c r="Y144" i="2"/>
  <c r="L145" i="2"/>
  <c r="M145" i="2" s="1"/>
  <c r="D146" i="2"/>
  <c r="E146" i="2" s="1"/>
  <c r="AB194" i="2"/>
  <c r="AC194" i="2" s="1"/>
  <c r="U147" i="2"/>
  <c r="T195" i="2"/>
  <c r="L148" i="2"/>
  <c r="M148" i="2" s="1"/>
  <c r="H197" i="2"/>
  <c r="I197" i="2" s="1"/>
  <c r="AC149" i="2"/>
  <c r="AB197" i="2"/>
  <c r="T150" i="2"/>
  <c r="U150" i="2" s="1"/>
  <c r="P199" i="2"/>
  <c r="Q199" i="2" s="1"/>
  <c r="I152" i="2"/>
  <c r="H200" i="2"/>
  <c r="I200" i="2" s="1"/>
  <c r="AB152" i="2"/>
  <c r="AC152" i="2" s="1"/>
  <c r="X201" i="2"/>
  <c r="Y201" i="2" s="1"/>
  <c r="Q154" i="2"/>
  <c r="P202" i="2"/>
  <c r="H155" i="2"/>
  <c r="I155" i="2" s="1"/>
  <c r="D204" i="2"/>
  <c r="E204" i="2" s="1"/>
  <c r="Y156" i="2"/>
  <c r="X204" i="2"/>
  <c r="P157" i="2"/>
  <c r="Q157" i="2" s="1"/>
  <c r="L206" i="2"/>
  <c r="M206" i="2" s="1"/>
  <c r="E159" i="2"/>
  <c r="D207" i="2"/>
  <c r="X159" i="2"/>
  <c r="Y159" i="2" s="1"/>
  <c r="T208" i="2"/>
  <c r="U208" i="2" s="1"/>
  <c r="M161" i="2"/>
  <c r="L209" i="2"/>
  <c r="M209" i="2" s="1"/>
  <c r="D162" i="2"/>
  <c r="E162" i="2" s="1"/>
  <c r="AB210" i="2"/>
  <c r="AC210" i="2" s="1"/>
  <c r="T211" i="2"/>
  <c r="U211" i="2" s="1"/>
  <c r="L164" i="2"/>
  <c r="M164" i="2" s="1"/>
  <c r="H213" i="2"/>
  <c r="I213" i="2" s="1"/>
  <c r="AB213" i="2"/>
  <c r="AC213" i="2" s="1"/>
  <c r="AC165" i="2"/>
  <c r="T166" i="2"/>
  <c r="U166" i="2" s="1"/>
  <c r="P215" i="2"/>
  <c r="Q215" i="2" s="1"/>
  <c r="H216" i="2"/>
  <c r="I216" i="2" s="1"/>
  <c r="I168" i="2"/>
  <c r="AB168" i="2"/>
  <c r="AC168" i="2" s="1"/>
  <c r="X217" i="2"/>
  <c r="Y217" i="2" s="1"/>
  <c r="P218" i="2"/>
  <c r="Q218" i="2" s="1"/>
  <c r="Q170" i="2"/>
  <c r="H171" i="2"/>
  <c r="I171" i="2" s="1"/>
  <c r="D220" i="2"/>
  <c r="E220" i="2" s="1"/>
  <c r="X220" i="2"/>
  <c r="Y220" i="2" s="1"/>
  <c r="P173" i="2"/>
  <c r="Q173" i="2" s="1"/>
  <c r="L222" i="2"/>
  <c r="M222" i="2" s="1"/>
  <c r="D223" i="2"/>
  <c r="E223" i="2" s="1"/>
  <c r="X175" i="2"/>
  <c r="Y175" i="2" s="1"/>
  <c r="L225" i="2"/>
  <c r="M225" i="2" s="1"/>
  <c r="M177" i="2"/>
  <c r="D178" i="2"/>
  <c r="E178" i="2" s="1"/>
  <c r="T227" i="2"/>
  <c r="L180" i="2"/>
  <c r="M180" i="2" s="1"/>
  <c r="AB229" i="2"/>
  <c r="AC229" i="2" s="1"/>
  <c r="T182" i="2"/>
  <c r="U182" i="2" s="1"/>
  <c r="H232" i="2"/>
  <c r="I232" i="2" s="1"/>
  <c r="I184" i="2"/>
  <c r="AB184" i="2"/>
  <c r="AC184" i="2" s="1"/>
  <c r="P234" i="2"/>
  <c r="Q186" i="2"/>
  <c r="H187" i="2"/>
  <c r="I187" i="2" s="1"/>
  <c r="X236" i="2"/>
  <c r="Y188" i="2"/>
  <c r="P189" i="2"/>
  <c r="Q189" i="2" s="1"/>
  <c r="D239" i="2"/>
  <c r="X191" i="2"/>
  <c r="Y191" i="2" s="1"/>
  <c r="L241" i="2"/>
  <c r="M241" i="2" s="1"/>
  <c r="M193" i="2"/>
  <c r="T243" i="2"/>
  <c r="U195" i="2"/>
  <c r="AB245" i="2"/>
  <c r="AC197" i="2"/>
  <c r="H248" i="2"/>
  <c r="P250" i="2"/>
  <c r="Q250" i="2" s="1"/>
  <c r="Q202" i="2"/>
  <c r="X252" i="2"/>
  <c r="Y204" i="2"/>
  <c r="D255" i="2"/>
  <c r="E255" i="2" s="1"/>
  <c r="E207" i="2"/>
  <c r="L257" i="2"/>
  <c r="AB212" i="2"/>
  <c r="AC212" i="2" s="1"/>
  <c r="AB261" i="2"/>
  <c r="AC261" i="2" s="1"/>
  <c r="X266" i="2"/>
  <c r="X264" i="2"/>
  <c r="Y264" i="2" s="1"/>
  <c r="Y218" i="2"/>
  <c r="L220" i="2"/>
  <c r="P270" i="2"/>
  <c r="Q270" i="2" s="1"/>
  <c r="D272" i="2"/>
  <c r="E272" i="2" s="1"/>
  <c r="D270" i="2"/>
  <c r="E224" i="2"/>
  <c r="D269" i="2"/>
  <c r="E269" i="2" s="1"/>
  <c r="D267" i="2"/>
  <c r="X273" i="2"/>
  <c r="Y273" i="2" s="1"/>
  <c r="U227" i="2"/>
  <c r="T276" i="2"/>
  <c r="U276" i="2" s="1"/>
  <c r="T273" i="2"/>
  <c r="D283" i="2"/>
  <c r="E283" i="2" s="1"/>
  <c r="X287" i="2"/>
  <c r="X286" i="2"/>
  <c r="Y286" i="2" s="1"/>
  <c r="AB289" i="2"/>
  <c r="AC289" i="2" s="1"/>
  <c r="X304" i="2"/>
  <c r="U259" i="2"/>
  <c r="T308" i="2"/>
  <c r="L263" i="2"/>
  <c r="M263" i="2" s="1"/>
  <c r="L311" i="2"/>
  <c r="L319" i="2"/>
  <c r="P320" i="2"/>
  <c r="I283" i="2"/>
  <c r="H331" i="2"/>
  <c r="I331" i="2" s="1"/>
  <c r="H330" i="2"/>
  <c r="I330" i="2" s="1"/>
  <c r="D336" i="2"/>
  <c r="H361" i="2"/>
  <c r="M324" i="2"/>
  <c r="L372" i="2"/>
  <c r="M372" i="2" s="1"/>
  <c r="L371" i="2"/>
  <c r="M371" i="2" s="1"/>
  <c r="X377" i="2"/>
  <c r="Y377" i="2" s="1"/>
  <c r="P383" i="2"/>
  <c r="P336" i="2"/>
  <c r="P385" i="2"/>
  <c r="Q385" i="2" s="1"/>
  <c r="Q337" i="2"/>
  <c r="P384" i="2"/>
  <c r="Q384" i="2" s="1"/>
  <c r="T386" i="2"/>
  <c r="U338" i="2"/>
  <c r="T343" i="2"/>
  <c r="T396" i="2"/>
  <c r="X397" i="2"/>
  <c r="Y397" i="2" s="1"/>
  <c r="Y349" i="2"/>
  <c r="Y360" i="2"/>
  <c r="X408" i="2"/>
  <c r="Y408" i="2" s="1"/>
  <c r="X402" i="2"/>
  <c r="Y402" i="2" s="1"/>
  <c r="X448" i="2"/>
  <c r="Y448" i="2" s="1"/>
  <c r="P455" i="2"/>
  <c r="P437" i="2"/>
  <c r="Q437" i="2" s="1"/>
  <c r="H464" i="2"/>
  <c r="I464" i="2" s="1"/>
  <c r="I416" i="2"/>
  <c r="H458" i="2"/>
  <c r="H446" i="2"/>
  <c r="I446" i="2" s="1"/>
  <c r="H450" i="2"/>
  <c r="I450" i="2" s="1"/>
  <c r="AB482" i="2"/>
  <c r="AC482" i="2" s="1"/>
  <c r="T538" i="2"/>
  <c r="T537" i="2"/>
  <c r="U537" i="2" s="1"/>
  <c r="T533" i="2"/>
  <c r="T501" i="2"/>
  <c r="Q70" i="2"/>
  <c r="U79" i="2"/>
  <c r="AB93" i="2"/>
  <c r="H99" i="2"/>
  <c r="I99" i="2" s="1"/>
  <c r="X149" i="2"/>
  <c r="Y149" i="2" s="1"/>
  <c r="D103" i="2"/>
  <c r="T107" i="2"/>
  <c r="U107" i="2" s="1"/>
  <c r="U111" i="2"/>
  <c r="H112" i="2"/>
  <c r="AB112" i="2"/>
  <c r="AC112" i="2" s="1"/>
  <c r="P117" i="2"/>
  <c r="Q117" i="2" s="1"/>
  <c r="P130" i="2"/>
  <c r="Q130" i="2" s="1"/>
  <c r="H131" i="2"/>
  <c r="I131" i="2" s="1"/>
  <c r="H146" i="2"/>
  <c r="I146" i="2" s="1"/>
  <c r="Y160" i="2"/>
  <c r="X166" i="2"/>
  <c r="Y166" i="2" s="1"/>
  <c r="L171" i="2"/>
  <c r="M171" i="2" s="1"/>
  <c r="H178" i="2"/>
  <c r="I178" i="2" s="1"/>
  <c r="L187" i="2"/>
  <c r="M187" i="2" s="1"/>
  <c r="Y192" i="2"/>
  <c r="Q206" i="2"/>
  <c r="T268" i="2"/>
  <c r="U268" i="2" s="1"/>
  <c r="U231" i="2"/>
  <c r="T279" i="2"/>
  <c r="U279" i="2" s="1"/>
  <c r="T298" i="2"/>
  <c r="U250" i="2"/>
  <c r="T297" i="2"/>
  <c r="U297" i="2" s="1"/>
  <c r="U251" i="2"/>
  <c r="D358" i="2"/>
  <c r="E358" i="2" s="1"/>
  <c r="L112" i="2"/>
  <c r="M65" i="2"/>
  <c r="T72" i="2"/>
  <c r="U72" i="2" s="1"/>
  <c r="AB74" i="2"/>
  <c r="AC74" i="2" s="1"/>
  <c r="X81" i="2"/>
  <c r="Y81" i="2" s="1"/>
  <c r="H85" i="2"/>
  <c r="I85" i="2" s="1"/>
  <c r="AB90" i="2"/>
  <c r="AC90" i="2" s="1"/>
  <c r="P95" i="2"/>
  <c r="Q95" i="2" s="1"/>
  <c r="AB98" i="2"/>
  <c r="P103" i="2"/>
  <c r="Q103" i="2" s="1"/>
  <c r="H109" i="2"/>
  <c r="I109" i="2" s="1"/>
  <c r="M73" i="2"/>
  <c r="P76" i="2"/>
  <c r="Q76" i="2" s="1"/>
  <c r="T85" i="2"/>
  <c r="U85" i="2" s="1"/>
  <c r="AB140" i="2"/>
  <c r="AC140" i="2" s="1"/>
  <c r="AC92" i="2"/>
  <c r="I96" i="2"/>
  <c r="Y100" i="2"/>
  <c r="X148" i="2"/>
  <c r="L153" i="2"/>
  <c r="AC109" i="2"/>
  <c r="AB157" i="2"/>
  <c r="D167" i="2"/>
  <c r="E167" i="2" s="1"/>
  <c r="H122" i="2"/>
  <c r="I122" i="2" s="1"/>
  <c r="I128" i="2"/>
  <c r="H176" i="2"/>
  <c r="I176" i="2" s="1"/>
  <c r="Y132" i="2"/>
  <c r="X180" i="2"/>
  <c r="Y180" i="2" s="1"/>
  <c r="AB135" i="2"/>
  <c r="AC135" i="2" s="1"/>
  <c r="T186" i="2"/>
  <c r="U138" i="2"/>
  <c r="P140" i="2"/>
  <c r="Q140" i="2" s="1"/>
  <c r="H191" i="2"/>
  <c r="T194" i="2"/>
  <c r="U194" i="2" s="1"/>
  <c r="U146" i="2"/>
  <c r="X203" i="2"/>
  <c r="Y203" i="2" s="1"/>
  <c r="Y155" i="2"/>
  <c r="L208" i="2"/>
  <c r="M208" i="2" s="1"/>
  <c r="H215" i="2"/>
  <c r="I215" i="2" s="1"/>
  <c r="H214" i="2"/>
  <c r="I214" i="2" s="1"/>
  <c r="H218" i="2"/>
  <c r="I218" i="2" s="1"/>
  <c r="D222" i="2"/>
  <c r="E222" i="2" s="1"/>
  <c r="E174" i="2"/>
  <c r="AB228" i="2"/>
  <c r="AC228" i="2" s="1"/>
  <c r="AC180" i="2"/>
  <c r="T241" i="2"/>
  <c r="X251" i="2"/>
  <c r="Y251" i="2" s="1"/>
  <c r="T71" i="2"/>
  <c r="U71" i="2" s="1"/>
  <c r="D75" i="2"/>
  <c r="E75" i="2" s="1"/>
  <c r="P78" i="2"/>
  <c r="Q78" i="2" s="1"/>
  <c r="AB81" i="2"/>
  <c r="AC81" i="2" s="1"/>
  <c r="P86" i="2"/>
  <c r="AB89" i="2"/>
  <c r="AC89" i="2" s="1"/>
  <c r="P94" i="2"/>
  <c r="D99" i="2"/>
  <c r="E99" i="2" s="1"/>
  <c r="P102" i="2"/>
  <c r="Q102" i="2" s="1"/>
  <c r="AB105" i="2"/>
  <c r="AC105" i="2" s="1"/>
  <c r="P110" i="2"/>
  <c r="Q110" i="2" s="1"/>
  <c r="AB114" i="2"/>
  <c r="AC114" i="2" s="1"/>
  <c r="I68" i="2"/>
  <c r="P69" i="2"/>
  <c r="Q69" i="2" s="1"/>
  <c r="D120" i="2"/>
  <c r="E120" i="2" s="1"/>
  <c r="Y72" i="2"/>
  <c r="L73" i="2"/>
  <c r="D74" i="2"/>
  <c r="E74" i="2" s="1"/>
  <c r="M77" i="2"/>
  <c r="L127" i="2"/>
  <c r="M127" i="2" s="1"/>
  <c r="H129" i="2"/>
  <c r="I129" i="2" s="1"/>
  <c r="P82" i="2"/>
  <c r="Q82" i="2" s="1"/>
  <c r="H83" i="2"/>
  <c r="I83" i="2" s="1"/>
  <c r="D87" i="2"/>
  <c r="E87" i="2" s="1"/>
  <c r="P136" i="2"/>
  <c r="Q136" i="2" s="1"/>
  <c r="L138" i="2"/>
  <c r="M138" i="2" s="1"/>
  <c r="T91" i="2"/>
  <c r="U91" i="2" s="1"/>
  <c r="L92" i="2"/>
  <c r="M92" i="2" s="1"/>
  <c r="H96" i="2"/>
  <c r="T145" i="2"/>
  <c r="U145" i="2" s="1"/>
  <c r="X100" i="2"/>
  <c r="D152" i="2"/>
  <c r="E152" i="2" s="1"/>
  <c r="L105" i="2"/>
  <c r="M105" i="2" s="1"/>
  <c r="X154" i="2"/>
  <c r="Y154" i="2" s="1"/>
  <c r="M109" i="2"/>
  <c r="L159" i="2"/>
  <c r="M159" i="2" s="1"/>
  <c r="H161" i="2"/>
  <c r="I161" i="2" s="1"/>
  <c r="P114" i="2"/>
  <c r="AB163" i="2"/>
  <c r="AC163" i="2" s="1"/>
  <c r="Q118" i="2"/>
  <c r="X119" i="2"/>
  <c r="Y119" i="2" s="1"/>
  <c r="L124" i="2"/>
  <c r="M124" i="2" s="1"/>
  <c r="U127" i="2"/>
  <c r="T177" i="2"/>
  <c r="U177" i="2" s="1"/>
  <c r="P183" i="2"/>
  <c r="Q183" i="2" s="1"/>
  <c r="Y136" i="2"/>
  <c r="D188" i="2"/>
  <c r="E188" i="2" s="1"/>
  <c r="T142" i="2"/>
  <c r="U142" i="2" s="1"/>
  <c r="AC145" i="2"/>
  <c r="I148" i="2"/>
  <c r="D197" i="2"/>
  <c r="E197" i="2" s="1"/>
  <c r="H154" i="2"/>
  <c r="I154" i="2" s="1"/>
  <c r="U159" i="2"/>
  <c r="P214" i="2"/>
  <c r="Q214" i="2" s="1"/>
  <c r="AB219" i="2"/>
  <c r="AC219" i="2" s="1"/>
  <c r="D177" i="2"/>
  <c r="E177" i="2" s="1"/>
  <c r="D229" i="2"/>
  <c r="L231" i="2"/>
  <c r="H186" i="2"/>
  <c r="I186" i="2" s="1"/>
  <c r="P188" i="2"/>
  <c r="Q188" i="2" s="1"/>
  <c r="P240" i="2"/>
  <c r="AC193" i="2"/>
  <c r="T197" i="2"/>
  <c r="U197" i="2" s="1"/>
  <c r="AB199" i="2"/>
  <c r="AC199" i="2" s="1"/>
  <c r="H202" i="2"/>
  <c r="I202" i="2" s="1"/>
  <c r="P204" i="2"/>
  <c r="Q204" i="2" s="1"/>
  <c r="H254" i="2"/>
  <c r="I254" i="2" s="1"/>
  <c r="D209" i="2"/>
  <c r="E209" i="2" s="1"/>
  <c r="P266" i="2"/>
  <c r="Q266" i="2" s="1"/>
  <c r="P265" i="2"/>
  <c r="D221" i="2"/>
  <c r="E221" i="2" s="1"/>
  <c r="Y236" i="2"/>
  <c r="M261" i="2"/>
  <c r="D316" i="2"/>
  <c r="E316" i="2" s="1"/>
  <c r="AB323" i="2"/>
  <c r="AC323" i="2" s="1"/>
  <c r="AB324" i="2"/>
  <c r="AC324" i="2" s="1"/>
  <c r="D332" i="2"/>
  <c r="E332" i="2" s="1"/>
  <c r="P289" i="2"/>
  <c r="X299" i="2"/>
  <c r="Y299" i="2" s="1"/>
  <c r="D352" i="2"/>
  <c r="E352" i="2" s="1"/>
  <c r="D341" i="2"/>
  <c r="I315" i="2"/>
  <c r="H363" i="2"/>
  <c r="H362" i="2"/>
  <c r="I362" i="2" s="1"/>
  <c r="T368" i="2"/>
  <c r="U368" i="2" s="1"/>
  <c r="L374" i="2"/>
  <c r="M374" i="2" s="1"/>
  <c r="P377" i="2"/>
  <c r="P376" i="2"/>
  <c r="Q376" i="2" s="1"/>
  <c r="P368" i="2"/>
  <c r="Q368" i="2" s="1"/>
  <c r="P358" i="2"/>
  <c r="T388" i="2"/>
  <c r="U388" i="2" s="1"/>
  <c r="X399" i="2"/>
  <c r="Y399" i="2" s="1"/>
  <c r="Y351" i="2"/>
  <c r="X398" i="2"/>
  <c r="H356" i="2"/>
  <c r="I356" i="2" s="1"/>
  <c r="L359" i="2"/>
  <c r="L418" i="2"/>
  <c r="M418" i="2" s="1"/>
  <c r="L417" i="2"/>
  <c r="M417" i="2" s="1"/>
  <c r="M370" i="2"/>
  <c r="X412" i="2"/>
  <c r="Y412" i="2" s="1"/>
  <c r="H65" i="2"/>
  <c r="I65" i="2" s="1"/>
  <c r="L66" i="2"/>
  <c r="M66" i="2" s="1"/>
  <c r="P67" i="2"/>
  <c r="Q67" i="2" s="1"/>
  <c r="T68" i="2"/>
  <c r="U68" i="2" s="1"/>
  <c r="X69" i="2"/>
  <c r="Y69" i="2" s="1"/>
  <c r="AB70" i="2"/>
  <c r="AC70" i="2" s="1"/>
  <c r="D72" i="2"/>
  <c r="E72" i="2" s="1"/>
  <c r="H73" i="2"/>
  <c r="I73" i="2" s="1"/>
  <c r="L74" i="2"/>
  <c r="M74" i="2" s="1"/>
  <c r="P75" i="2"/>
  <c r="Q75" i="2" s="1"/>
  <c r="T76" i="2"/>
  <c r="U76" i="2" s="1"/>
  <c r="X77" i="2"/>
  <c r="Y77" i="2" s="1"/>
  <c r="AB78" i="2"/>
  <c r="AC78" i="2" s="1"/>
  <c r="D80" i="2"/>
  <c r="E80" i="2" s="1"/>
  <c r="H81" i="2"/>
  <c r="I81" i="2" s="1"/>
  <c r="L82" i="2"/>
  <c r="M82" i="2" s="1"/>
  <c r="P83" i="2"/>
  <c r="Q83" i="2" s="1"/>
  <c r="T84" i="2"/>
  <c r="U84" i="2" s="1"/>
  <c r="X85" i="2"/>
  <c r="Y85" i="2" s="1"/>
  <c r="AB86" i="2"/>
  <c r="AC86" i="2" s="1"/>
  <c r="D88" i="2"/>
  <c r="E88" i="2" s="1"/>
  <c r="H89" i="2"/>
  <c r="I89" i="2" s="1"/>
  <c r="L90" i="2"/>
  <c r="M90" i="2" s="1"/>
  <c r="P91" i="2"/>
  <c r="Q91" i="2" s="1"/>
  <c r="T92" i="2"/>
  <c r="U92" i="2" s="1"/>
  <c r="X93" i="2"/>
  <c r="Y93" i="2" s="1"/>
  <c r="AB94" i="2"/>
  <c r="AC94" i="2" s="1"/>
  <c r="D96" i="2"/>
  <c r="E96" i="2" s="1"/>
  <c r="H97" i="2"/>
  <c r="I97" i="2" s="1"/>
  <c r="L98" i="2"/>
  <c r="M98" i="2" s="1"/>
  <c r="P99" i="2"/>
  <c r="Q99" i="2" s="1"/>
  <c r="T100" i="2"/>
  <c r="U100" i="2" s="1"/>
  <c r="X101" i="2"/>
  <c r="Y101" i="2" s="1"/>
  <c r="AB102" i="2"/>
  <c r="AC102" i="2" s="1"/>
  <c r="D104" i="2"/>
  <c r="E104" i="2" s="1"/>
  <c r="H105" i="2"/>
  <c r="I105" i="2" s="1"/>
  <c r="L106" i="2"/>
  <c r="M106" i="2" s="1"/>
  <c r="P107" i="2"/>
  <c r="Q107" i="2" s="1"/>
  <c r="T108" i="2"/>
  <c r="U108" i="2" s="1"/>
  <c r="X109" i="2"/>
  <c r="Y109" i="2" s="1"/>
  <c r="AB110" i="2"/>
  <c r="AC110" i="2" s="1"/>
  <c r="D112" i="2"/>
  <c r="E112" i="2" s="1"/>
  <c r="Y65" i="2"/>
  <c r="Q66" i="2"/>
  <c r="Y67" i="2"/>
  <c r="X115" i="2"/>
  <c r="M70" i="2"/>
  <c r="E71" i="2"/>
  <c r="M72" i="2"/>
  <c r="L120" i="2"/>
  <c r="U75" i="2"/>
  <c r="AB124" i="2"/>
  <c r="AC124" i="2" s="1"/>
  <c r="AC76" i="2"/>
  <c r="Q79" i="2"/>
  <c r="I80" i="2"/>
  <c r="Q81" i="2"/>
  <c r="P129" i="2"/>
  <c r="Q129" i="2" s="1"/>
  <c r="E84" i="2"/>
  <c r="Y84" i="2"/>
  <c r="D134" i="2"/>
  <c r="E134" i="2" s="1"/>
  <c r="E86" i="2"/>
  <c r="U90" i="2"/>
  <c r="T138" i="2"/>
  <c r="I93" i="2"/>
  <c r="AC93" i="2"/>
  <c r="I95" i="2"/>
  <c r="H143" i="2"/>
  <c r="I143" i="2" s="1"/>
  <c r="Y97" i="2"/>
  <c r="P146" i="2"/>
  <c r="Q146" i="2" s="1"/>
  <c r="X147" i="2"/>
  <c r="Y147" i="2" s="1"/>
  <c r="Y99" i="2"/>
  <c r="M102" i="2"/>
  <c r="E103" i="2"/>
  <c r="D151" i="2"/>
  <c r="L152" i="2"/>
  <c r="M104" i="2"/>
  <c r="AC106" i="2"/>
  <c r="T155" i="2"/>
  <c r="U155" i="2" s="1"/>
  <c r="AC108" i="2"/>
  <c r="AB156" i="2"/>
  <c r="I112" i="2"/>
  <c r="H160" i="2"/>
  <c r="I160" i="2" s="1"/>
  <c r="Q113" i="2"/>
  <c r="P161" i="2"/>
  <c r="L115" i="2"/>
  <c r="M115" i="2" s="1"/>
  <c r="E116" i="2"/>
  <c r="X164" i="2"/>
  <c r="Y164" i="2" s="1"/>
  <c r="D166" i="2"/>
  <c r="E166" i="2" s="1"/>
  <c r="AB119" i="2"/>
  <c r="AC119" i="2" s="1"/>
  <c r="M121" i="2"/>
  <c r="L169" i="2"/>
  <c r="M169" i="2" s="1"/>
  <c r="T170" i="2"/>
  <c r="P124" i="2"/>
  <c r="Q124" i="2" s="1"/>
  <c r="AB173" i="2"/>
  <c r="I127" i="2"/>
  <c r="H175" i="2"/>
  <c r="I175" i="2" s="1"/>
  <c r="D129" i="2"/>
  <c r="E129" i="2" s="1"/>
  <c r="P178" i="2"/>
  <c r="Q178" i="2" s="1"/>
  <c r="Y131" i="2"/>
  <c r="X179" i="2"/>
  <c r="Y179" i="2" s="1"/>
  <c r="T133" i="2"/>
  <c r="U133" i="2" s="1"/>
  <c r="M134" i="2"/>
  <c r="D183" i="2"/>
  <c r="M136" i="2"/>
  <c r="L184" i="2"/>
  <c r="H138" i="2"/>
  <c r="I138" i="2" s="1"/>
  <c r="U139" i="2"/>
  <c r="T187" i="2"/>
  <c r="U187" i="2" s="1"/>
  <c r="AB188" i="2"/>
  <c r="X142" i="2"/>
  <c r="Y142" i="2" s="1"/>
  <c r="I144" i="2"/>
  <c r="H192" i="2"/>
  <c r="P193" i="2"/>
  <c r="Q193" i="2" s="1"/>
  <c r="Q145" i="2"/>
  <c r="X195" i="2"/>
  <c r="D198" i="2"/>
  <c r="E150" i="2"/>
  <c r="M152" i="2"/>
  <c r="L200" i="2"/>
  <c r="T202" i="2"/>
  <c r="U202" i="2" s="1"/>
  <c r="U154" i="2"/>
  <c r="AC156" i="2"/>
  <c r="AB204" i="2"/>
  <c r="I159" i="2"/>
  <c r="H207" i="2"/>
  <c r="I207" i="2" s="1"/>
  <c r="P209" i="2"/>
  <c r="Q209" i="2" s="1"/>
  <c r="Q161" i="2"/>
  <c r="Y163" i="2"/>
  <c r="X211" i="2"/>
  <c r="Y211" i="2" s="1"/>
  <c r="D214" i="2"/>
  <c r="E214" i="2" s="1"/>
  <c r="L216" i="2"/>
  <c r="M216" i="2" s="1"/>
  <c r="T218" i="2"/>
  <c r="U218" i="2" s="1"/>
  <c r="U170" i="2"/>
  <c r="AB220" i="2"/>
  <c r="AC172" i="2"/>
  <c r="T221" i="2"/>
  <c r="U221" i="2" s="1"/>
  <c r="H223" i="2"/>
  <c r="I223" i="2" s="1"/>
  <c r="H222" i="2"/>
  <c r="I222" i="2" s="1"/>
  <c r="AB223" i="2"/>
  <c r="AC223" i="2" s="1"/>
  <c r="P225" i="2"/>
  <c r="Q225" i="2" s="1"/>
  <c r="Q177" i="2"/>
  <c r="X227" i="2"/>
  <c r="Y227" i="2" s="1"/>
  <c r="X226" i="2"/>
  <c r="M184" i="2"/>
  <c r="L232" i="2"/>
  <c r="M232" i="2" s="1"/>
  <c r="T234" i="2"/>
  <c r="U234" i="2" s="1"/>
  <c r="U186" i="2"/>
  <c r="AB236" i="2"/>
  <c r="AC236" i="2" s="1"/>
  <c r="AC188" i="2"/>
  <c r="AB235" i="2"/>
  <c r="I191" i="2"/>
  <c r="P241" i="2"/>
  <c r="Q241" i="2" s="1"/>
  <c r="X243" i="2"/>
  <c r="Y243" i="2" s="1"/>
  <c r="Y195" i="2"/>
  <c r="D246" i="2"/>
  <c r="E246" i="2" s="1"/>
  <c r="E198" i="2"/>
  <c r="D245" i="2"/>
  <c r="L247" i="2"/>
  <c r="M200" i="2"/>
  <c r="T250" i="2"/>
  <c r="AC204" i="2"/>
  <c r="H255" i="2"/>
  <c r="I255" i="2" s="1"/>
  <c r="P257" i="2"/>
  <c r="Q257" i="2" s="1"/>
  <c r="D261" i="2"/>
  <c r="D217" i="2"/>
  <c r="E217" i="2" s="1"/>
  <c r="AB266" i="2"/>
  <c r="AC266" i="2" s="1"/>
  <c r="Y219" i="2"/>
  <c r="Q221" i="2"/>
  <c r="P269" i="2"/>
  <c r="T270" i="2"/>
  <c r="U270" i="2" s="1"/>
  <c r="H272" i="2"/>
  <c r="I224" i="2"/>
  <c r="AB224" i="2"/>
  <c r="X274" i="2"/>
  <c r="L282" i="2"/>
  <c r="M282" i="2" s="1"/>
  <c r="H284" i="2"/>
  <c r="D237" i="2"/>
  <c r="AB241" i="2"/>
  <c r="T247" i="2"/>
  <c r="D253" i="2"/>
  <c r="AB257" i="2"/>
  <c r="AC257" i="2" s="1"/>
  <c r="P312" i="2"/>
  <c r="Q265" i="2"/>
  <c r="P313" i="2"/>
  <c r="Q267" i="2"/>
  <c r="L318" i="2"/>
  <c r="M318" i="2" s="1"/>
  <c r="Q274" i="2"/>
  <c r="P327" i="2"/>
  <c r="Q327" i="2" s="1"/>
  <c r="D286" i="2"/>
  <c r="T327" i="2"/>
  <c r="E351" i="2"/>
  <c r="T434" i="2"/>
  <c r="T433" i="2"/>
  <c r="U433" i="2" s="1"/>
  <c r="U386" i="2"/>
  <c r="H440" i="2"/>
  <c r="I440" i="2" s="1"/>
  <c r="AB480" i="2"/>
  <c r="AC480" i="2" s="1"/>
  <c r="AB469" i="2"/>
  <c r="AC469" i="2" s="1"/>
  <c r="D532" i="2"/>
  <c r="E532" i="2" s="1"/>
  <c r="E484" i="2"/>
  <c r="AB226" i="2"/>
  <c r="AC226" i="2" s="1"/>
  <c r="P231" i="2"/>
  <c r="Q231" i="2" s="1"/>
  <c r="D236" i="2"/>
  <c r="E236" i="2" s="1"/>
  <c r="T240" i="2"/>
  <c r="U240" i="2" s="1"/>
  <c r="D244" i="2"/>
  <c r="E244" i="2" s="1"/>
  <c r="L246" i="2"/>
  <c r="M246" i="2" s="1"/>
  <c r="P255" i="2"/>
  <c r="Q255" i="2" s="1"/>
  <c r="AB258" i="2"/>
  <c r="AC258" i="2" s="1"/>
  <c r="AB263" i="2"/>
  <c r="AC263" i="2" s="1"/>
  <c r="T267" i="2"/>
  <c r="U267" i="2" s="1"/>
  <c r="T284" i="2"/>
  <c r="U284" i="2" s="1"/>
  <c r="I247" i="2"/>
  <c r="H294" i="2"/>
  <c r="I256" i="2"/>
  <c r="T314" i="2"/>
  <c r="H319" i="2"/>
  <c r="I319" i="2" s="1"/>
  <c r="H324" i="2"/>
  <c r="I324" i="2" s="1"/>
  <c r="L328" i="2"/>
  <c r="D331" i="2"/>
  <c r="E291" i="2"/>
  <c r="X344" i="2"/>
  <c r="Y344" i="2" s="1"/>
  <c r="H316" i="2"/>
  <c r="I316" i="2" s="1"/>
  <c r="X393" i="2"/>
  <c r="P410" i="2"/>
  <c r="L421" i="2"/>
  <c r="M421" i="2" s="1"/>
  <c r="M373" i="2"/>
  <c r="I423" i="2"/>
  <c r="H471" i="2"/>
  <c r="H470" i="2"/>
  <c r="I470" i="2" s="1"/>
  <c r="D478" i="2"/>
  <c r="E478" i="2" s="1"/>
  <c r="E430" i="2"/>
  <c r="D477" i="2"/>
  <c r="E477" i="2" s="1"/>
  <c r="L491" i="2"/>
  <c r="L496" i="2"/>
  <c r="M448" i="2"/>
  <c r="AB578" i="2"/>
  <c r="AC578" i="2" s="1"/>
  <c r="AC530" i="2"/>
  <c r="AB567" i="2"/>
  <c r="AB551" i="2"/>
  <c r="AB575" i="2"/>
  <c r="T224" i="2"/>
  <c r="U224" i="2" s="1"/>
  <c r="X225" i="2"/>
  <c r="Y225" i="2" s="1"/>
  <c r="D228" i="2"/>
  <c r="E228" i="2" s="1"/>
  <c r="H229" i="2"/>
  <c r="I229" i="2" s="1"/>
  <c r="L230" i="2"/>
  <c r="M230" i="2" s="1"/>
  <c r="T232" i="2"/>
  <c r="U232" i="2" s="1"/>
  <c r="X233" i="2"/>
  <c r="Y233" i="2" s="1"/>
  <c r="AB234" i="2"/>
  <c r="AC234" i="2" s="1"/>
  <c r="H237" i="2"/>
  <c r="I237" i="2" s="1"/>
  <c r="L238" i="2"/>
  <c r="M238" i="2" s="1"/>
  <c r="P239" i="2"/>
  <c r="Q239" i="2" s="1"/>
  <c r="X241" i="2"/>
  <c r="Y241" i="2" s="1"/>
  <c r="AB242" i="2"/>
  <c r="AC242" i="2" s="1"/>
  <c r="H245" i="2"/>
  <c r="I245" i="2" s="1"/>
  <c r="P247" i="2"/>
  <c r="Q247" i="2" s="1"/>
  <c r="T248" i="2"/>
  <c r="U248" i="2" s="1"/>
  <c r="X249" i="2"/>
  <c r="Y249" i="2" s="1"/>
  <c r="AB250" i="2"/>
  <c r="AC250" i="2" s="1"/>
  <c r="D252" i="2"/>
  <c r="E252" i="2" s="1"/>
  <c r="H253" i="2"/>
  <c r="I253" i="2" s="1"/>
  <c r="L254" i="2"/>
  <c r="M254" i="2" s="1"/>
  <c r="T256" i="2"/>
  <c r="U256" i="2" s="1"/>
  <c r="X257" i="2"/>
  <c r="Y257" i="2" s="1"/>
  <c r="L259" i="2"/>
  <c r="M259" i="2" s="1"/>
  <c r="L213" i="2"/>
  <c r="M213" i="2" s="1"/>
  <c r="X213" i="2"/>
  <c r="Y213" i="2" s="1"/>
  <c r="T262" i="2"/>
  <c r="U262" i="2" s="1"/>
  <c r="D263" i="2"/>
  <c r="E263" i="2" s="1"/>
  <c r="P263" i="2"/>
  <c r="Q263" i="2" s="1"/>
  <c r="L264" i="2"/>
  <c r="M264" i="2" s="1"/>
  <c r="AB217" i="2"/>
  <c r="AC217" i="2" s="1"/>
  <c r="L218" i="2"/>
  <c r="M218" i="2" s="1"/>
  <c r="H267" i="2"/>
  <c r="D268" i="2"/>
  <c r="E268" i="2" s="1"/>
  <c r="P268" i="2"/>
  <c r="Q268" i="2" s="1"/>
  <c r="L221" i="2"/>
  <c r="M221" i="2" s="1"/>
  <c r="X221" i="2"/>
  <c r="Y221" i="2" s="1"/>
  <c r="T222" i="2"/>
  <c r="U222" i="2" s="1"/>
  <c r="P275" i="2"/>
  <c r="Q275" i="2" s="1"/>
  <c r="D276" i="2"/>
  <c r="E276" i="2" s="1"/>
  <c r="H279" i="2"/>
  <c r="I279" i="2" s="1"/>
  <c r="T231" i="2"/>
  <c r="AB280" i="2"/>
  <c r="AB279" i="2"/>
  <c r="AC279" i="2" s="1"/>
  <c r="H285" i="2"/>
  <c r="I285" i="2" s="1"/>
  <c r="E239" i="2"/>
  <c r="U239" i="2"/>
  <c r="X240" i="2"/>
  <c r="Y240" i="2" s="1"/>
  <c r="D290" i="2"/>
  <c r="D289" i="2"/>
  <c r="E289" i="2" s="1"/>
  <c r="Q246" i="2"/>
  <c r="Y247" i="2"/>
  <c r="X295" i="2"/>
  <c r="X294" i="2"/>
  <c r="Y294" i="2" s="1"/>
  <c r="X297" i="2"/>
  <c r="Y297" i="2" s="1"/>
  <c r="X298" i="2"/>
  <c r="L300" i="2"/>
  <c r="L299" i="2"/>
  <c r="M299" i="2" s="1"/>
  <c r="AB302" i="2"/>
  <c r="X256" i="2"/>
  <c r="Y256" i="2" s="1"/>
  <c r="D306" i="2"/>
  <c r="E306" i="2" s="1"/>
  <c r="D305" i="2"/>
  <c r="E305" i="2" s="1"/>
  <c r="D262" i="2"/>
  <c r="E262" i="2" s="1"/>
  <c r="T310" i="2"/>
  <c r="U310" i="2" s="1"/>
  <c r="T309" i="2"/>
  <c r="U309" i="2" s="1"/>
  <c r="T312" i="2"/>
  <c r="U312" i="2" s="1"/>
  <c r="AC265" i="2"/>
  <c r="X317" i="2"/>
  <c r="Y317" i="2" s="1"/>
  <c r="L322" i="2"/>
  <c r="M322" i="2" s="1"/>
  <c r="L320" i="2"/>
  <c r="M320" i="2" s="1"/>
  <c r="U275" i="2"/>
  <c r="AC280" i="2"/>
  <c r="AB328" i="2"/>
  <c r="AC328" i="2" s="1"/>
  <c r="AB327" i="2"/>
  <c r="AC327" i="2" s="1"/>
  <c r="L330" i="2"/>
  <c r="H333" i="2"/>
  <c r="I333" i="2" s="1"/>
  <c r="T334" i="2"/>
  <c r="U334" i="2" s="1"/>
  <c r="T333" i="2"/>
  <c r="U333" i="2" s="1"/>
  <c r="I288" i="2"/>
  <c r="AC288" i="2"/>
  <c r="AB336" i="2"/>
  <c r="AB335" i="2"/>
  <c r="AC335" i="2" s="1"/>
  <c r="L338" i="2"/>
  <c r="Y292" i="2"/>
  <c r="L342" i="2"/>
  <c r="M342" i="2" s="1"/>
  <c r="M301" i="2"/>
  <c r="L349" i="2"/>
  <c r="H357" i="2"/>
  <c r="I357" i="2" s="1"/>
  <c r="L366" i="2"/>
  <c r="M366" i="2" s="1"/>
  <c r="M321" i="2"/>
  <c r="L325" i="2"/>
  <c r="P375" i="2"/>
  <c r="Q375" i="2" s="1"/>
  <c r="Q330" i="2"/>
  <c r="T384" i="2"/>
  <c r="D403" i="2"/>
  <c r="E403" i="2" s="1"/>
  <c r="AB404" i="2"/>
  <c r="AC356" i="2"/>
  <c r="D419" i="2"/>
  <c r="E419" i="2" s="1"/>
  <c r="H423" i="2"/>
  <c r="H422" i="2"/>
  <c r="I422" i="2" s="1"/>
  <c r="H421" i="2"/>
  <c r="I421" i="2" s="1"/>
  <c r="L430" i="2"/>
  <c r="M430" i="2" s="1"/>
  <c r="L431" i="2"/>
  <c r="M431" i="2" s="1"/>
  <c r="D442" i="2"/>
  <c r="D411" i="2"/>
  <c r="E411" i="2" s="1"/>
  <c r="L472" i="2"/>
  <c r="L471" i="2"/>
  <c r="M471" i="2" s="1"/>
  <c r="H499" i="2"/>
  <c r="I499" i="2" s="1"/>
  <c r="H493" i="2"/>
  <c r="I493" i="2" s="1"/>
  <c r="AB555" i="2"/>
  <c r="AC555" i="2" s="1"/>
  <c r="P220" i="2"/>
  <c r="D225" i="2"/>
  <c r="E225" i="2" s="1"/>
  <c r="H226" i="2"/>
  <c r="I226" i="2" s="1"/>
  <c r="L227" i="2"/>
  <c r="M227" i="2" s="1"/>
  <c r="P228" i="2"/>
  <c r="Q228" i="2" s="1"/>
  <c r="T229" i="2"/>
  <c r="U229" i="2" s="1"/>
  <c r="X230" i="2"/>
  <c r="Y230" i="2" s="1"/>
  <c r="AB231" i="2"/>
  <c r="AC231" i="2" s="1"/>
  <c r="D233" i="2"/>
  <c r="E233" i="2" s="1"/>
  <c r="H234" i="2"/>
  <c r="I234" i="2" s="1"/>
  <c r="L235" i="2"/>
  <c r="M235" i="2" s="1"/>
  <c r="P236" i="2"/>
  <c r="Q236" i="2" s="1"/>
  <c r="T237" i="2"/>
  <c r="U237" i="2" s="1"/>
  <c r="X238" i="2"/>
  <c r="Y238" i="2" s="1"/>
  <c r="AB239" i="2"/>
  <c r="AC239" i="2" s="1"/>
  <c r="D241" i="2"/>
  <c r="E241" i="2" s="1"/>
  <c r="H242" i="2"/>
  <c r="I242" i="2" s="1"/>
  <c r="L243" i="2"/>
  <c r="M243" i="2" s="1"/>
  <c r="P244" i="2"/>
  <c r="Q244" i="2" s="1"/>
  <c r="T245" i="2"/>
  <c r="U245" i="2" s="1"/>
  <c r="X246" i="2"/>
  <c r="Y246" i="2" s="1"/>
  <c r="AB247" i="2"/>
  <c r="AC247" i="2" s="1"/>
  <c r="D249" i="2"/>
  <c r="E249" i="2" s="1"/>
  <c r="H250" i="2"/>
  <c r="I250" i="2" s="1"/>
  <c r="L251" i="2"/>
  <c r="M251" i="2" s="1"/>
  <c r="P252" i="2"/>
  <c r="Q252" i="2" s="1"/>
  <c r="T253" i="2"/>
  <c r="U253" i="2" s="1"/>
  <c r="X254" i="2"/>
  <c r="Y254" i="2" s="1"/>
  <c r="AB255" i="2"/>
  <c r="AC255" i="2" s="1"/>
  <c r="D257" i="2"/>
  <c r="E257" i="2" s="1"/>
  <c r="H258" i="2"/>
  <c r="I258" i="2" s="1"/>
  <c r="T260" i="2"/>
  <c r="U260" i="2" s="1"/>
  <c r="H265" i="2"/>
  <c r="I265" i="2" s="1"/>
  <c r="U219" i="2"/>
  <c r="Q220" i="2"/>
  <c r="X270" i="2"/>
  <c r="Y270" i="2" s="1"/>
  <c r="T223" i="2"/>
  <c r="U223" i="2" s="1"/>
  <c r="T272" i="2"/>
  <c r="U272" i="2" s="1"/>
  <c r="L274" i="2"/>
  <c r="AB274" i="2"/>
  <c r="AC274" i="2" s="1"/>
  <c r="M229" i="2"/>
  <c r="D277" i="2"/>
  <c r="P230" i="2"/>
  <c r="Q230" i="2" s="1"/>
  <c r="X279" i="2"/>
  <c r="X278" i="2"/>
  <c r="Y278" i="2" s="1"/>
  <c r="P283" i="2"/>
  <c r="D284" i="2"/>
  <c r="E284" i="2" s="1"/>
  <c r="U236" i="2"/>
  <c r="Q238" i="2"/>
  <c r="P286" i="2"/>
  <c r="Q286" i="2" s="1"/>
  <c r="H287" i="2"/>
  <c r="T239" i="2"/>
  <c r="AB288" i="2"/>
  <c r="AB287" i="2"/>
  <c r="AC287" i="2" s="1"/>
  <c r="T292" i="2"/>
  <c r="H293" i="2"/>
  <c r="I293" i="2" s="1"/>
  <c r="AC245" i="2"/>
  <c r="P246" i="2"/>
  <c r="H297" i="2"/>
  <c r="E251" i="2"/>
  <c r="D299" i="2"/>
  <c r="E299" i="2" s="1"/>
  <c r="U255" i="2"/>
  <c r="T303" i="2"/>
  <c r="L303" i="2"/>
  <c r="L304" i="2"/>
  <c r="AC256" i="2"/>
  <c r="AB304" i="2"/>
  <c r="AB303" i="2"/>
  <c r="AC303" i="2" s="1"/>
  <c r="AB306" i="2"/>
  <c r="AC306" i="2" s="1"/>
  <c r="AB307" i="2"/>
  <c r="AB308" i="2"/>
  <c r="Q261" i="2"/>
  <c r="P309" i="2"/>
  <c r="P308" i="2"/>
  <c r="Q308" i="2" s="1"/>
  <c r="D312" i="2"/>
  <c r="T266" i="2"/>
  <c r="U266" i="2" s="1"/>
  <c r="I267" i="2"/>
  <c r="H315" i="2"/>
  <c r="H314" i="2"/>
  <c r="I314" i="2" s="1"/>
  <c r="AC269" i="2"/>
  <c r="H271" i="2"/>
  <c r="I271" i="2" s="1"/>
  <c r="X319" i="2"/>
  <c r="X318" i="2"/>
  <c r="Y318" i="2" s="1"/>
  <c r="X321" i="2"/>
  <c r="Y321" i="2" s="1"/>
  <c r="M274" i="2"/>
  <c r="E275" i="2"/>
  <c r="X323" i="2"/>
  <c r="H278" i="2"/>
  <c r="I278" i="2" s="1"/>
  <c r="AB326" i="2"/>
  <c r="M285" i="2"/>
  <c r="L333" i="2"/>
  <c r="E286" i="2"/>
  <c r="D333" i="2"/>
  <c r="D334" i="2"/>
  <c r="E334" i="2" s="1"/>
  <c r="M288" i="2"/>
  <c r="L335" i="2"/>
  <c r="L336" i="2"/>
  <c r="T289" i="2"/>
  <c r="U289" i="2" s="1"/>
  <c r="I291" i="2"/>
  <c r="H339" i="2"/>
  <c r="H338" i="2"/>
  <c r="I338" i="2" s="1"/>
  <c r="AB339" i="2"/>
  <c r="AB340" i="2"/>
  <c r="AC340" i="2" s="1"/>
  <c r="Q294" i="2"/>
  <c r="P342" i="2"/>
  <c r="I295" i="2"/>
  <c r="H342" i="2"/>
  <c r="H343" i="2"/>
  <c r="I343" i="2" s="1"/>
  <c r="AC296" i="2"/>
  <c r="AB344" i="2"/>
  <c r="AB343" i="2"/>
  <c r="AC343" i="2" s="1"/>
  <c r="X345" i="2"/>
  <c r="Y345" i="2" s="1"/>
  <c r="U298" i="2"/>
  <c r="T346" i="2"/>
  <c r="X346" i="2"/>
  <c r="X347" i="2"/>
  <c r="P349" i="2"/>
  <c r="Q349" i="2" s="1"/>
  <c r="P348" i="2"/>
  <c r="Q348" i="2" s="1"/>
  <c r="L350" i="2"/>
  <c r="M350" i="2" s="1"/>
  <c r="H351" i="2"/>
  <c r="M304" i="2"/>
  <c r="L351" i="2"/>
  <c r="M351" i="2" s="1"/>
  <c r="L352" i="2"/>
  <c r="L354" i="2"/>
  <c r="M306" i="2"/>
  <c r="L356" i="2"/>
  <c r="L355" i="2"/>
  <c r="M355" i="2" s="1"/>
  <c r="L358" i="2"/>
  <c r="M358" i="2" s="1"/>
  <c r="L360" i="2"/>
  <c r="Q313" i="2"/>
  <c r="P361" i="2"/>
  <c r="P360" i="2"/>
  <c r="P363" i="2"/>
  <c r="Q363" i="2" s="1"/>
  <c r="Q317" i="2"/>
  <c r="P365" i="2"/>
  <c r="P364" i="2"/>
  <c r="Q364" i="2" s="1"/>
  <c r="P367" i="2"/>
  <c r="Q367" i="2" s="1"/>
  <c r="Q321" i="2"/>
  <c r="P369" i="2"/>
  <c r="T370" i="2"/>
  <c r="T369" i="2"/>
  <c r="U369" i="2" s="1"/>
  <c r="T372" i="2"/>
  <c r="U372" i="2" s="1"/>
  <c r="U326" i="2"/>
  <c r="T374" i="2"/>
  <c r="U374" i="2" s="1"/>
  <c r="T373" i="2"/>
  <c r="U373" i="2" s="1"/>
  <c r="T376" i="2"/>
  <c r="U376" i="2" s="1"/>
  <c r="T378" i="2"/>
  <c r="U378" i="2" s="1"/>
  <c r="X379" i="2"/>
  <c r="Y379" i="2" s="1"/>
  <c r="X378" i="2"/>
  <c r="Y331" i="2"/>
  <c r="Y333" i="2"/>
  <c r="X381" i="2"/>
  <c r="Y381" i="2" s="1"/>
  <c r="X383" i="2"/>
  <c r="X382" i="2"/>
  <c r="Y382" i="2" s="1"/>
  <c r="X338" i="2"/>
  <c r="Y338" i="2" s="1"/>
  <c r="X387" i="2"/>
  <c r="Y387" i="2" s="1"/>
  <c r="X385" i="2"/>
  <c r="Y385" i="2" s="1"/>
  <c r="X386" i="2"/>
  <c r="Y386" i="2" s="1"/>
  <c r="AB388" i="2"/>
  <c r="AC388" i="2" s="1"/>
  <c r="AB387" i="2"/>
  <c r="AC387" i="2" s="1"/>
  <c r="AB389" i="2"/>
  <c r="AC389" i="2" s="1"/>
  <c r="AB390" i="2"/>
  <c r="AC390" i="2" s="1"/>
  <c r="AC344" i="2"/>
  <c r="AB392" i="2"/>
  <c r="AB391" i="2"/>
  <c r="AB396" i="2"/>
  <c r="AC396" i="2" s="1"/>
  <c r="AC348" i="2"/>
  <c r="AB394" i="2"/>
  <c r="AB395" i="2"/>
  <c r="AC395" i="2" s="1"/>
  <c r="D398" i="2"/>
  <c r="E398" i="2" s="1"/>
  <c r="D397" i="2"/>
  <c r="D400" i="2"/>
  <c r="E400" i="2" s="1"/>
  <c r="D399" i="2"/>
  <c r="E354" i="2"/>
  <c r="D402" i="2"/>
  <c r="D401" i="2"/>
  <c r="E401" i="2" s="1"/>
  <c r="T407" i="2"/>
  <c r="U407" i="2" s="1"/>
  <c r="T408" i="2"/>
  <c r="U408" i="2" s="1"/>
  <c r="X411" i="2"/>
  <c r="X410" i="2"/>
  <c r="Y410" i="2" s="1"/>
  <c r="P366" i="2"/>
  <c r="L416" i="2"/>
  <c r="M416" i="2" s="1"/>
  <c r="L415" i="2"/>
  <c r="M415" i="2" s="1"/>
  <c r="M368" i="2"/>
  <c r="H416" i="2"/>
  <c r="AB425" i="2"/>
  <c r="AC425" i="2" s="1"/>
  <c r="AC377" i="2"/>
  <c r="AB423" i="2"/>
  <c r="AC423" i="2" s="1"/>
  <c r="X425" i="2"/>
  <c r="P428" i="2"/>
  <c r="H444" i="2"/>
  <c r="I444" i="2" s="1"/>
  <c r="H410" i="2"/>
  <c r="H465" i="2"/>
  <c r="I465" i="2" s="1"/>
  <c r="H418" i="2"/>
  <c r="H419" i="2"/>
  <c r="I419" i="2" s="1"/>
  <c r="L468" i="2"/>
  <c r="M468" i="2" s="1"/>
  <c r="L465" i="2"/>
  <c r="M465" i="2" s="1"/>
  <c r="L467" i="2"/>
  <c r="L460" i="2"/>
  <c r="L462" i="2"/>
  <c r="H478" i="2"/>
  <c r="I478" i="2" s="1"/>
  <c r="D433" i="2"/>
  <c r="D479" i="2"/>
  <c r="E479" i="2" s="1"/>
  <c r="D482" i="2"/>
  <c r="D481" i="2"/>
  <c r="E481" i="2" s="1"/>
  <c r="E434" i="2"/>
  <c r="P489" i="2"/>
  <c r="T493" i="2"/>
  <c r="L500" i="2"/>
  <c r="M500" i="2" s="1"/>
  <c r="L497" i="2"/>
  <c r="M497" i="2" s="1"/>
  <c r="L499" i="2"/>
  <c r="M499" i="2" s="1"/>
  <c r="M452" i="2"/>
  <c r="P501" i="2"/>
  <c r="Q501" i="2" s="1"/>
  <c r="P500" i="2"/>
  <c r="P517" i="2"/>
  <c r="Q517" i="2" s="1"/>
  <c r="Q469" i="2"/>
  <c r="P519" i="2"/>
  <c r="Q471" i="2"/>
  <c r="T522" i="2"/>
  <c r="U522" i="2" s="1"/>
  <c r="T521" i="2"/>
  <c r="U521" i="2" s="1"/>
  <c r="X523" i="2"/>
  <c r="Y475" i="2"/>
  <c r="X522" i="2"/>
  <c r="Y522" i="2" s="1"/>
  <c r="AB524" i="2"/>
  <c r="AC524" i="2" s="1"/>
  <c r="H529" i="2"/>
  <c r="I529" i="2" s="1"/>
  <c r="P559" i="2"/>
  <c r="Q559" i="2" s="1"/>
  <c r="X593" i="2"/>
  <c r="Y593" i="2" s="1"/>
  <c r="X586" i="2"/>
  <c r="Y586" i="2" s="1"/>
  <c r="Y545" i="2"/>
  <c r="X590" i="2"/>
  <c r="E742" i="2"/>
  <c r="D748" i="2"/>
  <c r="D788" i="2"/>
  <c r="E788" i="2" s="1"/>
  <c r="D753" i="2"/>
  <c r="D768" i="2"/>
  <c r="D782" i="2"/>
  <c r="D784" i="2"/>
  <c r="D790" i="2"/>
  <c r="E790" i="2" s="1"/>
  <c r="I757" i="2"/>
  <c r="M223" i="2"/>
  <c r="T286" i="2"/>
  <c r="U286" i="2" s="1"/>
  <c r="T285" i="2"/>
  <c r="U285" i="2" s="1"/>
  <c r="AB249" i="2"/>
  <c r="AC273" i="2"/>
  <c r="AB321" i="2"/>
  <c r="P353" i="2"/>
  <c r="X363" i="2"/>
  <c r="Y363" i="2" s="1"/>
  <c r="X362" i="2"/>
  <c r="AB372" i="2"/>
  <c r="AC372" i="2" s="1"/>
  <c r="AB371" i="2"/>
  <c r="AC371" i="2" s="1"/>
  <c r="AB380" i="2"/>
  <c r="AC380" i="2" s="1"/>
  <c r="AB379" i="2"/>
  <c r="AC379" i="2" s="1"/>
  <c r="D390" i="2"/>
  <c r="E390" i="2" s="1"/>
  <c r="E342" i="2"/>
  <c r="D389" i="2"/>
  <c r="E389" i="2" s="1"/>
  <c r="L402" i="2"/>
  <c r="M402" i="2" s="1"/>
  <c r="M354" i="2"/>
  <c r="T420" i="2"/>
  <c r="U420" i="2" s="1"/>
  <c r="T419" i="2"/>
  <c r="U419" i="2" s="1"/>
  <c r="P484" i="2"/>
  <c r="AB504" i="2"/>
  <c r="AC504" i="2" s="1"/>
  <c r="AC456" i="2"/>
  <c r="AB503" i="2"/>
  <c r="AC503" i="2" s="1"/>
  <c r="AB493" i="2"/>
  <c r="AB496" i="2"/>
  <c r="AC496" i="2" s="1"/>
  <c r="AB511" i="2"/>
  <c r="T518" i="2"/>
  <c r="U518" i="2" s="1"/>
  <c r="T517" i="2"/>
  <c r="U517" i="2" s="1"/>
  <c r="U470" i="2"/>
  <c r="D596" i="2"/>
  <c r="E596" i="2" s="1"/>
  <c r="D593" i="2"/>
  <c r="D589" i="2"/>
  <c r="E589" i="2" s="1"/>
  <c r="AB798" i="2"/>
  <c r="P259" i="2"/>
  <c r="Q259" i="2" s="1"/>
  <c r="P213" i="2"/>
  <c r="Q213" i="2" s="1"/>
  <c r="X214" i="2"/>
  <c r="Y214" i="2" s="1"/>
  <c r="L219" i="2"/>
  <c r="M219" i="2" s="1"/>
  <c r="T220" i="2"/>
  <c r="U220" i="2" s="1"/>
  <c r="X271" i="2"/>
  <c r="Y271" i="2" s="1"/>
  <c r="Q229" i="2"/>
  <c r="P277" i="2"/>
  <c r="Q277" i="2" s="1"/>
  <c r="P276" i="2"/>
  <c r="Q276" i="2" s="1"/>
  <c r="AB283" i="2"/>
  <c r="L290" i="2"/>
  <c r="M290" i="2" s="1"/>
  <c r="T296" i="2"/>
  <c r="U296" i="2" s="1"/>
  <c r="H303" i="2"/>
  <c r="I303" i="2" s="1"/>
  <c r="P311" i="2"/>
  <c r="Q311" i="2" s="1"/>
  <c r="Y268" i="2"/>
  <c r="P272" i="2"/>
  <c r="T321" i="2"/>
  <c r="U274" i="2"/>
  <c r="T322" i="2"/>
  <c r="U322" i="2" s="1"/>
  <c r="X329" i="2"/>
  <c r="Y329" i="2" s="1"/>
  <c r="T287" i="2"/>
  <c r="U290" i="2"/>
  <c r="T337" i="2"/>
  <c r="T338" i="2"/>
  <c r="H340" i="2"/>
  <c r="I340" i="2" s="1"/>
  <c r="H341" i="2"/>
  <c r="I341" i="2" s="1"/>
  <c r="X349" i="2"/>
  <c r="Y301" i="2"/>
  <c r="T354" i="2"/>
  <c r="T353" i="2"/>
  <c r="T358" i="2"/>
  <c r="U358" i="2" s="1"/>
  <c r="T357" i="2"/>
  <c r="U357" i="2" s="1"/>
  <c r="T360" i="2"/>
  <c r="U360" i="2" s="1"/>
  <c r="U314" i="2"/>
  <c r="T362" i="2"/>
  <c r="U362" i="2" s="1"/>
  <c r="X368" i="2"/>
  <c r="Y323" i="2"/>
  <c r="X371" i="2"/>
  <c r="AB376" i="2"/>
  <c r="AB375" i="2"/>
  <c r="AC375" i="2" s="1"/>
  <c r="AB378" i="2"/>
  <c r="D382" i="2"/>
  <c r="E382" i="2" s="1"/>
  <c r="D384" i="2"/>
  <c r="E384" i="2" s="1"/>
  <c r="E336" i="2"/>
  <c r="D386" i="2"/>
  <c r="E386" i="2" s="1"/>
  <c r="E338" i="2"/>
  <c r="D385" i="2"/>
  <c r="D388" i="2"/>
  <c r="E388" i="2" s="1"/>
  <c r="H391" i="2"/>
  <c r="I391" i="2" s="1"/>
  <c r="D392" i="2"/>
  <c r="H393" i="2"/>
  <c r="I393" i="2" s="1"/>
  <c r="H395" i="2"/>
  <c r="I395" i="2" s="1"/>
  <c r="H394" i="2"/>
  <c r="H397" i="2"/>
  <c r="I397" i="2" s="1"/>
  <c r="H399" i="2"/>
  <c r="I399" i="2" s="1"/>
  <c r="I351" i="2"/>
  <c r="H398" i="2"/>
  <c r="I398" i="2" s="1"/>
  <c r="L400" i="2"/>
  <c r="M400" i="2" s="1"/>
  <c r="M352" i="2"/>
  <c r="X360" i="2"/>
  <c r="AB410" i="2"/>
  <c r="AC410" i="2" s="1"/>
  <c r="P419" i="2"/>
  <c r="Q419" i="2" s="1"/>
  <c r="D379" i="2"/>
  <c r="E379" i="2" s="1"/>
  <c r="X431" i="2"/>
  <c r="Y431" i="2" s="1"/>
  <c r="Y383" i="2"/>
  <c r="X430" i="2"/>
  <c r="Y430" i="2" s="1"/>
  <c r="L390" i="2"/>
  <c r="M390" i="2" s="1"/>
  <c r="L441" i="2"/>
  <c r="M441" i="2" s="1"/>
  <c r="M393" i="2"/>
  <c r="L433" i="2"/>
  <c r="M433" i="2" s="1"/>
  <c r="L395" i="2"/>
  <c r="L397" i="2"/>
  <c r="M397" i="2" s="1"/>
  <c r="L447" i="2"/>
  <c r="M447" i="2" s="1"/>
  <c r="T405" i="2"/>
  <c r="Q410" i="2"/>
  <c r="P456" i="2"/>
  <c r="Q456" i="2" s="1"/>
  <c r="P458" i="2"/>
  <c r="Q458" i="2" s="1"/>
  <c r="T470" i="2"/>
  <c r="X473" i="2"/>
  <c r="Y425" i="2"/>
  <c r="X486" i="2"/>
  <c r="AB113" i="2"/>
  <c r="AC113" i="2" s="1"/>
  <c r="D115" i="2"/>
  <c r="E115" i="2" s="1"/>
  <c r="H116" i="2"/>
  <c r="I116" i="2" s="1"/>
  <c r="L117" i="2"/>
  <c r="P118" i="2"/>
  <c r="T119" i="2"/>
  <c r="X120" i="2"/>
  <c r="Y120" i="2" s="1"/>
  <c r="AB121" i="2"/>
  <c r="AC121" i="2" s="1"/>
  <c r="D123" i="2"/>
  <c r="E123" i="2" s="1"/>
  <c r="H124" i="2"/>
  <c r="I124" i="2" s="1"/>
  <c r="L125" i="2"/>
  <c r="M125" i="2" s="1"/>
  <c r="P126" i="2"/>
  <c r="T127" i="2"/>
  <c r="X128" i="2"/>
  <c r="Y128" i="2" s="1"/>
  <c r="AB129" i="2"/>
  <c r="AC129" i="2" s="1"/>
  <c r="D131" i="2"/>
  <c r="E131" i="2" s="1"/>
  <c r="H132" i="2"/>
  <c r="I132" i="2" s="1"/>
  <c r="L133" i="2"/>
  <c r="M133" i="2" s="1"/>
  <c r="P134" i="2"/>
  <c r="Q134" i="2" s="1"/>
  <c r="T135" i="2"/>
  <c r="X136" i="2"/>
  <c r="AB137" i="2"/>
  <c r="AC137" i="2" s="1"/>
  <c r="D139" i="2"/>
  <c r="E139" i="2" s="1"/>
  <c r="H140" i="2"/>
  <c r="I140" i="2" s="1"/>
  <c r="L141" i="2"/>
  <c r="P142" i="2"/>
  <c r="Q142" i="2" s="1"/>
  <c r="T143" i="2"/>
  <c r="U143" i="2" s="1"/>
  <c r="X144" i="2"/>
  <c r="AB145" i="2"/>
  <c r="D147" i="2"/>
  <c r="E147" i="2" s="1"/>
  <c r="H148" i="2"/>
  <c r="L149" i="2"/>
  <c r="M149" i="2" s="1"/>
  <c r="P150" i="2"/>
  <c r="Q150" i="2" s="1"/>
  <c r="T151" i="2"/>
  <c r="U151" i="2" s="1"/>
  <c r="X152" i="2"/>
  <c r="Y152" i="2" s="1"/>
  <c r="AB153" i="2"/>
  <c r="AC153" i="2" s="1"/>
  <c r="D155" i="2"/>
  <c r="E155" i="2" s="1"/>
  <c r="H156" i="2"/>
  <c r="L157" i="2"/>
  <c r="M157" i="2" s="1"/>
  <c r="P158" i="2"/>
  <c r="T159" i="2"/>
  <c r="X160" i="2"/>
  <c r="AB161" i="2"/>
  <c r="AC161" i="2" s="1"/>
  <c r="D163" i="2"/>
  <c r="E163" i="2" s="1"/>
  <c r="H164" i="2"/>
  <c r="L165" i="2"/>
  <c r="M165" i="2" s="1"/>
  <c r="P166" i="2"/>
  <c r="T167" i="2"/>
  <c r="U167" i="2" s="1"/>
  <c r="X168" i="2"/>
  <c r="Y168" i="2" s="1"/>
  <c r="AB169" i="2"/>
  <c r="AC169" i="2" s="1"/>
  <c r="D171" i="2"/>
  <c r="H172" i="2"/>
  <c r="I172" i="2" s="1"/>
  <c r="L173" i="2"/>
  <c r="M173" i="2" s="1"/>
  <c r="P174" i="2"/>
  <c r="T175" i="2"/>
  <c r="U175" i="2" s="1"/>
  <c r="X176" i="2"/>
  <c r="Y176" i="2" s="1"/>
  <c r="H225" i="2"/>
  <c r="I225" i="2" s="1"/>
  <c r="AB177" i="2"/>
  <c r="AC177" i="2" s="1"/>
  <c r="L226" i="2"/>
  <c r="M226" i="2" s="1"/>
  <c r="D179" i="2"/>
  <c r="P227" i="2"/>
  <c r="Q227" i="2" s="1"/>
  <c r="H180" i="2"/>
  <c r="T228" i="2"/>
  <c r="U228" i="2" s="1"/>
  <c r="L181" i="2"/>
  <c r="M181" i="2" s="1"/>
  <c r="X229" i="2"/>
  <c r="Y229" i="2" s="1"/>
  <c r="P182" i="2"/>
  <c r="Q182" i="2" s="1"/>
  <c r="AB230" i="2"/>
  <c r="AC230" i="2" s="1"/>
  <c r="T183" i="2"/>
  <c r="U183" i="2" s="1"/>
  <c r="D232" i="2"/>
  <c r="E232" i="2" s="1"/>
  <c r="X184" i="2"/>
  <c r="Y184" i="2" s="1"/>
  <c r="H233" i="2"/>
  <c r="AB185" i="2"/>
  <c r="L234" i="2"/>
  <c r="M234" i="2" s="1"/>
  <c r="D187" i="2"/>
  <c r="E187" i="2" s="1"/>
  <c r="P235" i="2"/>
  <c r="Q235" i="2" s="1"/>
  <c r="H188" i="2"/>
  <c r="I188" i="2" s="1"/>
  <c r="T236" i="2"/>
  <c r="L189" i="2"/>
  <c r="X237" i="2"/>
  <c r="Y237" i="2" s="1"/>
  <c r="P190" i="2"/>
  <c r="Q190" i="2" s="1"/>
  <c r="AB238" i="2"/>
  <c r="AC238" i="2" s="1"/>
  <c r="T191" i="2"/>
  <c r="U191" i="2" s="1"/>
  <c r="D240" i="2"/>
  <c r="E240" i="2" s="1"/>
  <c r="X192" i="2"/>
  <c r="H241" i="2"/>
  <c r="I241" i="2" s="1"/>
  <c r="AB193" i="2"/>
  <c r="L242" i="2"/>
  <c r="D195" i="2"/>
  <c r="P243" i="2"/>
  <c r="H196" i="2"/>
  <c r="T244" i="2"/>
  <c r="U244" i="2" s="1"/>
  <c r="L197" i="2"/>
  <c r="X245" i="2"/>
  <c r="Y245" i="2" s="1"/>
  <c r="P198" i="2"/>
  <c r="Q198" i="2" s="1"/>
  <c r="AB246" i="2"/>
  <c r="T199" i="2"/>
  <c r="U199" i="2" s="1"/>
  <c r="D248" i="2"/>
  <c r="X200" i="2"/>
  <c r="Y200" i="2" s="1"/>
  <c r="H249" i="2"/>
  <c r="I249" i="2" s="1"/>
  <c r="AB201" i="2"/>
  <c r="AC201" i="2" s="1"/>
  <c r="L250" i="2"/>
  <c r="M250" i="2" s="1"/>
  <c r="D203" i="2"/>
  <c r="E203" i="2" s="1"/>
  <c r="P251" i="2"/>
  <c r="H204" i="2"/>
  <c r="I204" i="2" s="1"/>
  <c r="T252" i="2"/>
  <c r="U252" i="2" s="1"/>
  <c r="L205" i="2"/>
  <c r="M205" i="2" s="1"/>
  <c r="X253" i="2"/>
  <c r="Y253" i="2" s="1"/>
  <c r="P206" i="2"/>
  <c r="AB254" i="2"/>
  <c r="AC254" i="2" s="1"/>
  <c r="T207" i="2"/>
  <c r="U207" i="2" s="1"/>
  <c r="D256" i="2"/>
  <c r="E256" i="2" s="1"/>
  <c r="X208" i="2"/>
  <c r="H257" i="2"/>
  <c r="I257" i="2" s="1"/>
  <c r="AB209" i="2"/>
  <c r="AC209" i="2" s="1"/>
  <c r="L258" i="2"/>
  <c r="M258" i="2" s="1"/>
  <c r="D211" i="2"/>
  <c r="E211" i="2" s="1"/>
  <c r="L260" i="2"/>
  <c r="X260" i="2"/>
  <c r="Y260" i="2" s="1"/>
  <c r="H261" i="2"/>
  <c r="I261" i="2" s="1"/>
  <c r="T261" i="2"/>
  <c r="U261" i="2" s="1"/>
  <c r="T215" i="2"/>
  <c r="U215" i="2" s="1"/>
  <c r="AC216" i="2"/>
  <c r="AB264" i="2"/>
  <c r="L265" i="2"/>
  <c r="M265" i="2" s="1"/>
  <c r="X265" i="2"/>
  <c r="Y265" i="2" s="1"/>
  <c r="H266" i="2"/>
  <c r="I266" i="2" s="1"/>
  <c r="H220" i="2"/>
  <c r="I220" i="2" s="1"/>
  <c r="H269" i="2"/>
  <c r="I269" i="2" s="1"/>
  <c r="T269" i="2"/>
  <c r="U269" i="2" s="1"/>
  <c r="AB270" i="2"/>
  <c r="AC270" i="2" s="1"/>
  <c r="AC222" i="2"/>
  <c r="AB271" i="2"/>
  <c r="AC271" i="2" s="1"/>
  <c r="X224" i="2"/>
  <c r="Y224" i="2" s="1"/>
  <c r="AC225" i="2"/>
  <c r="D227" i="2"/>
  <c r="M228" i="2"/>
  <c r="L276" i="2"/>
  <c r="M276" i="2" s="1"/>
  <c r="L275" i="2"/>
  <c r="M275" i="2" s="1"/>
  <c r="D280" i="2"/>
  <c r="T280" i="2"/>
  <c r="U280" i="2" s="1"/>
  <c r="Q234" i="2"/>
  <c r="E235" i="2"/>
  <c r="H236" i="2"/>
  <c r="Q237" i="2"/>
  <c r="P285" i="2"/>
  <c r="Q285" i="2" s="1"/>
  <c r="P284" i="2"/>
  <c r="Q284" i="2" s="1"/>
  <c r="H289" i="2"/>
  <c r="I289" i="2" s="1"/>
  <c r="X289" i="2"/>
  <c r="Y289" i="2" s="1"/>
  <c r="M242" i="2"/>
  <c r="U243" i="2"/>
  <c r="H292" i="2"/>
  <c r="I292" i="2" s="1"/>
  <c r="AB292" i="2"/>
  <c r="AC292" i="2" s="1"/>
  <c r="P293" i="2"/>
  <c r="Q293" i="2" s="1"/>
  <c r="P292" i="2"/>
  <c r="Q292" i="2" s="1"/>
  <c r="P295" i="2"/>
  <c r="Q295" i="2" s="1"/>
  <c r="P296" i="2"/>
  <c r="Q296" i="2" s="1"/>
  <c r="D298" i="2"/>
  <c r="E298" i="2" s="1"/>
  <c r="D297" i="2"/>
  <c r="E297" i="2" s="1"/>
  <c r="AC253" i="2"/>
  <c r="H305" i="2"/>
  <c r="I305" i="2" s="1"/>
  <c r="X305" i="2"/>
  <c r="Y305" i="2" s="1"/>
  <c r="D259" i="2"/>
  <c r="E259" i="2" s="1"/>
  <c r="M260" i="2"/>
  <c r="L308" i="2"/>
  <c r="M308" i="2" s="1"/>
  <c r="L307" i="2"/>
  <c r="M307" i="2" s="1"/>
  <c r="X309" i="2"/>
  <c r="L310" i="2"/>
  <c r="M310" i="2" s="1"/>
  <c r="L312" i="2"/>
  <c r="M312" i="2" s="1"/>
  <c r="AB316" i="2"/>
  <c r="L269" i="2"/>
  <c r="M269" i="2" s="1"/>
  <c r="L271" i="2"/>
  <c r="D320" i="2"/>
  <c r="T320" i="2"/>
  <c r="U320" i="2" s="1"/>
  <c r="M273" i="2"/>
  <c r="AB273" i="2"/>
  <c r="T324" i="2"/>
  <c r="U324" i="2" s="1"/>
  <c r="Q278" i="2"/>
  <c r="P326" i="2"/>
  <c r="T328" i="2"/>
  <c r="U328" i="2" s="1"/>
  <c r="H286" i="2"/>
  <c r="D335" i="2"/>
  <c r="Y287" i="2"/>
  <c r="X335" i="2"/>
  <c r="Y335" i="2" s="1"/>
  <c r="X334" i="2"/>
  <c r="Y334" i="2" s="1"/>
  <c r="T336" i="2"/>
  <c r="U336" i="2" s="1"/>
  <c r="L340" i="2"/>
  <c r="L339" i="2"/>
  <c r="M339" i="2" s="1"/>
  <c r="AC293" i="2"/>
  <c r="D347" i="2"/>
  <c r="T352" i="2"/>
  <c r="U352" i="2" s="1"/>
  <c r="X361" i="2"/>
  <c r="Y361" i="2" s="1"/>
  <c r="X364" i="2"/>
  <c r="Y364" i="2" s="1"/>
  <c r="AB370" i="2"/>
  <c r="AC370" i="2" s="1"/>
  <c r="D380" i="2"/>
  <c r="E380" i="2" s="1"/>
  <c r="E335" i="2"/>
  <c r="D339" i="2"/>
  <c r="H389" i="2"/>
  <c r="I389" i="2" s="1"/>
  <c r="H348" i="2"/>
  <c r="I348" i="2" s="1"/>
  <c r="L398" i="2"/>
  <c r="M398" i="2" s="1"/>
  <c r="L405" i="2"/>
  <c r="M405" i="2" s="1"/>
  <c r="D407" i="2"/>
  <c r="E407" i="2" s="1"/>
  <c r="AB409" i="2"/>
  <c r="AC409" i="2" s="1"/>
  <c r="H412" i="2"/>
  <c r="I412" i="2" s="1"/>
  <c r="I364" i="2"/>
  <c r="H413" i="2"/>
  <c r="D414" i="2"/>
  <c r="D412" i="2"/>
  <c r="E412" i="2" s="1"/>
  <c r="E366" i="2"/>
  <c r="D413" i="2"/>
  <c r="E413" i="2" s="1"/>
  <c r="T367" i="2"/>
  <c r="L426" i="2"/>
  <c r="M426" i="2" s="1"/>
  <c r="M378" i="2"/>
  <c r="L425" i="2"/>
  <c r="AB432" i="2"/>
  <c r="AC432" i="2" s="1"/>
  <c r="AB429" i="2"/>
  <c r="AC429" i="2" s="1"/>
  <c r="T444" i="2"/>
  <c r="U444" i="2" s="1"/>
  <c r="U396" i="2"/>
  <c r="T443" i="2"/>
  <c r="T441" i="2"/>
  <c r="U441" i="2" s="1"/>
  <c r="T446" i="2"/>
  <c r="U446" i="2" s="1"/>
  <c r="D452" i="2"/>
  <c r="E452" i="2" s="1"/>
  <c r="E404" i="2"/>
  <c r="AB452" i="2"/>
  <c r="AC452" i="2" s="1"/>
  <c r="AB451" i="2"/>
  <c r="AC451" i="2" s="1"/>
  <c r="AC404" i="2"/>
  <c r="X452" i="2"/>
  <c r="Y452" i="2" s="1"/>
  <c r="P412" i="2"/>
  <c r="X469" i="2"/>
  <c r="Y469" i="2" s="1"/>
  <c r="X471" i="2"/>
  <c r="Y423" i="2"/>
  <c r="Q434" i="2"/>
  <c r="P482" i="2"/>
  <c r="Q482" i="2" s="1"/>
  <c r="P466" i="2"/>
  <c r="P460" i="2"/>
  <c r="P474" i="2"/>
  <c r="Q474" i="2" s="1"/>
  <c r="P472" i="2"/>
  <c r="Q472" i="2" s="1"/>
  <c r="D494" i="2"/>
  <c r="E446" i="2"/>
  <c r="X500" i="2"/>
  <c r="X487" i="2"/>
  <c r="Y487" i="2" s="1"/>
  <c r="AB538" i="2"/>
  <c r="AC490" i="2"/>
  <c r="AB535" i="2"/>
  <c r="AC535" i="2" s="1"/>
  <c r="P551" i="2"/>
  <c r="Q551" i="2" s="1"/>
  <c r="Q503" i="2"/>
  <c r="P548" i="2"/>
  <c r="L245" i="2"/>
  <c r="M245" i="2" s="1"/>
  <c r="D264" i="2"/>
  <c r="E264" i="2" s="1"/>
  <c r="X281" i="2"/>
  <c r="Y281" i="2" s="1"/>
  <c r="U235" i="2"/>
  <c r="H299" i="2"/>
  <c r="I299" i="2" s="1"/>
  <c r="H298" i="2"/>
  <c r="I298" i="2" s="1"/>
  <c r="H301" i="2"/>
  <c r="I301" i="2" s="1"/>
  <c r="X307" i="2"/>
  <c r="AB310" i="2"/>
  <c r="L317" i="2"/>
  <c r="M317" i="2" s="1"/>
  <c r="H325" i="2"/>
  <c r="I325" i="2" s="1"/>
  <c r="H329" i="2"/>
  <c r="I329" i="2" s="1"/>
  <c r="P339" i="2"/>
  <c r="Q339" i="2" s="1"/>
  <c r="P351" i="2"/>
  <c r="Q351" i="2" s="1"/>
  <c r="T356" i="2"/>
  <c r="U308" i="2"/>
  <c r="T359" i="2"/>
  <c r="U359" i="2" s="1"/>
  <c r="T313" i="2"/>
  <c r="X365" i="2"/>
  <c r="Y319" i="2"/>
  <c r="X367" i="2"/>
  <c r="X366" i="2"/>
  <c r="Y366" i="2" s="1"/>
  <c r="X369" i="2"/>
  <c r="Y369" i="2" s="1"/>
  <c r="AB374" i="2"/>
  <c r="AC326" i="2"/>
  <c r="AB377" i="2"/>
  <c r="Q166" i="2"/>
  <c r="E171" i="2"/>
  <c r="Q174" i="2"/>
  <c r="I180" i="2"/>
  <c r="AC185" i="2"/>
  <c r="M189" i="2"/>
  <c r="E195" i="2"/>
  <c r="I196" i="2"/>
  <c r="M197" i="2"/>
  <c r="T249" i="2"/>
  <c r="X258" i="2"/>
  <c r="Y258" i="2" s="1"/>
  <c r="Q211" i="2"/>
  <c r="AB262" i="2"/>
  <c r="AC262" i="2" s="1"/>
  <c r="E216" i="2"/>
  <c r="P267" i="2"/>
  <c r="AB267" i="2"/>
  <c r="X268" i="2"/>
  <c r="Q222" i="2"/>
  <c r="P271" i="2"/>
  <c r="Q271" i="2" s="1"/>
  <c r="P273" i="2"/>
  <c r="I227" i="2"/>
  <c r="H275" i="2"/>
  <c r="H274" i="2"/>
  <c r="I274" i="2" s="1"/>
  <c r="AB278" i="2"/>
  <c r="AC278" i="2" s="1"/>
  <c r="P279" i="2"/>
  <c r="Q279" i="2" s="1"/>
  <c r="M233" i="2"/>
  <c r="AC233" i="2"/>
  <c r="AB281" i="2"/>
  <c r="AC281" i="2" s="1"/>
  <c r="T282" i="2"/>
  <c r="L284" i="2"/>
  <c r="L283" i="2"/>
  <c r="M283" i="2" s="1"/>
  <c r="D288" i="2"/>
  <c r="E288" i="2" s="1"/>
  <c r="T288" i="2"/>
  <c r="U288" i="2" s="1"/>
  <c r="Q242" i="2"/>
  <c r="E243" i="2"/>
  <c r="D291" i="2"/>
  <c r="X291" i="2"/>
  <c r="AB294" i="2"/>
  <c r="AC294" i="2" s="1"/>
  <c r="I248" i="2"/>
  <c r="X296" i="2"/>
  <c r="Y296" i="2" s="1"/>
  <c r="D300" i="2"/>
  <c r="E300" i="2" s="1"/>
  <c r="L301" i="2"/>
  <c r="D301" i="2"/>
  <c r="E301" i="2" s="1"/>
  <c r="T302" i="2"/>
  <c r="T301" i="2"/>
  <c r="U301" i="2" s="1"/>
  <c r="T304" i="2"/>
  <c r="U304" i="2" s="1"/>
  <c r="T305" i="2"/>
  <c r="U305" i="2" s="1"/>
  <c r="T306" i="2"/>
  <c r="U306" i="2" s="1"/>
  <c r="H307" i="2"/>
  <c r="H306" i="2"/>
  <c r="I306" i="2" s="1"/>
  <c r="Y259" i="2"/>
  <c r="U263" i="2"/>
  <c r="L314" i="2"/>
  <c r="M314" i="2" s="1"/>
  <c r="AB314" i="2"/>
  <c r="AC314" i="2" s="1"/>
  <c r="Q269" i="2"/>
  <c r="P317" i="2"/>
  <c r="P316" i="2"/>
  <c r="Q316" i="2" s="1"/>
  <c r="AB318" i="2"/>
  <c r="AC318" i="2" s="1"/>
  <c r="P319" i="2"/>
  <c r="Q319" i="2" s="1"/>
  <c r="P321" i="2"/>
  <c r="M277" i="2"/>
  <c r="D326" i="2"/>
  <c r="P278" i="2"/>
  <c r="D328" i="2"/>
  <c r="P331" i="2"/>
  <c r="Q331" i="2" s="1"/>
  <c r="Q283" i="2"/>
  <c r="P329" i="2"/>
  <c r="Q329" i="2" s="1"/>
  <c r="AB284" i="2"/>
  <c r="L334" i="2"/>
  <c r="M334" i="2" s="1"/>
  <c r="I287" i="2"/>
  <c r="H335" i="2"/>
  <c r="I335" i="2" s="1"/>
  <c r="M289" i="2"/>
  <c r="P343" i="2"/>
  <c r="Q343" i="2" s="1"/>
  <c r="M296" i="2"/>
  <c r="L344" i="2"/>
  <c r="M344" i="2" s="1"/>
  <c r="P344" i="2"/>
  <c r="P345" i="2"/>
  <c r="H347" i="2"/>
  <c r="I347" i="2" s="1"/>
  <c r="H346" i="2"/>
  <c r="I346" i="2" s="1"/>
  <c r="D348" i="2"/>
  <c r="E348" i="2" s="1"/>
  <c r="AC300" i="2"/>
  <c r="AB348" i="2"/>
  <c r="D349" i="2"/>
  <c r="D350" i="2"/>
  <c r="E350" i="2" s="1"/>
  <c r="Y303" i="2"/>
  <c r="X351" i="2"/>
  <c r="X350" i="2"/>
  <c r="Y350" i="2" s="1"/>
  <c r="X353" i="2"/>
  <c r="Y353" i="2" s="1"/>
  <c r="X306" i="2"/>
  <c r="Y307" i="2"/>
  <c r="X355" i="2"/>
  <c r="X354" i="2"/>
  <c r="Y354" i="2" s="1"/>
  <c r="AC308" i="2"/>
  <c r="AB356" i="2"/>
  <c r="AB355" i="2"/>
  <c r="AC355" i="2" s="1"/>
  <c r="AB358" i="2"/>
  <c r="AC358" i="2" s="1"/>
  <c r="AC310" i="2"/>
  <c r="AB360" i="2"/>
  <c r="AB359" i="2"/>
  <c r="AC359" i="2" s="1"/>
  <c r="AB362" i="2"/>
  <c r="AC362" i="2" s="1"/>
  <c r="AB315" i="2"/>
  <c r="AC316" i="2"/>
  <c r="AB364" i="2"/>
  <c r="AC364" i="2" s="1"/>
  <c r="AB363" i="2"/>
  <c r="AC363" i="2" s="1"/>
  <c r="E318" i="2"/>
  <c r="D366" i="2"/>
  <c r="D365" i="2"/>
  <c r="E365" i="2" s="1"/>
  <c r="D368" i="2"/>
  <c r="E368" i="2" s="1"/>
  <c r="E320" i="2"/>
  <c r="E322" i="2"/>
  <c r="D370" i="2"/>
  <c r="E370" i="2" s="1"/>
  <c r="D369" i="2"/>
  <c r="E369" i="2" s="1"/>
  <c r="D372" i="2"/>
  <c r="E372" i="2" s="1"/>
  <c r="D325" i="2"/>
  <c r="E326" i="2"/>
  <c r="D374" i="2"/>
  <c r="E374" i="2" s="1"/>
  <c r="D373" i="2"/>
  <c r="E373" i="2" s="1"/>
  <c r="I327" i="2"/>
  <c r="H375" i="2"/>
  <c r="I375" i="2" s="1"/>
  <c r="H374" i="2"/>
  <c r="I374" i="2" s="1"/>
  <c r="H377" i="2"/>
  <c r="H379" i="2"/>
  <c r="I379" i="2" s="1"/>
  <c r="H378" i="2"/>
  <c r="H334" i="2"/>
  <c r="H383" i="2"/>
  <c r="I383" i="2" s="1"/>
  <c r="H381" i="2"/>
  <c r="I381" i="2" s="1"/>
  <c r="H382" i="2"/>
  <c r="I382" i="2" s="1"/>
  <c r="L384" i="2"/>
  <c r="M384" i="2" s="1"/>
  <c r="M336" i="2"/>
  <c r="L383" i="2"/>
  <c r="M383" i="2" s="1"/>
  <c r="L385" i="2"/>
  <c r="M385" i="2" s="1"/>
  <c r="L386" i="2"/>
  <c r="M386" i="2" s="1"/>
  <c r="M338" i="2"/>
  <c r="M340" i="2"/>
  <c r="L388" i="2"/>
  <c r="M388" i="2" s="1"/>
  <c r="L343" i="2"/>
  <c r="L392" i="2"/>
  <c r="M392" i="2" s="1"/>
  <c r="L391" i="2"/>
  <c r="M391" i="2" s="1"/>
  <c r="P393" i="2"/>
  <c r="Q393" i="2" s="1"/>
  <c r="Q345" i="2"/>
  <c r="P392" i="2"/>
  <c r="P395" i="2"/>
  <c r="Q395" i="2" s="1"/>
  <c r="Q347" i="2"/>
  <c r="P394" i="2"/>
  <c r="Q394" i="2" s="1"/>
  <c r="P397" i="2"/>
  <c r="Q397" i="2" s="1"/>
  <c r="P396" i="2"/>
  <c r="P352" i="2"/>
  <c r="P401" i="2"/>
  <c r="Q401" i="2" s="1"/>
  <c r="P399" i="2"/>
  <c r="Q399" i="2" s="1"/>
  <c r="P400" i="2"/>
  <c r="Q400" i="2" s="1"/>
  <c r="Q353" i="2"/>
  <c r="T402" i="2"/>
  <c r="U402" i="2" s="1"/>
  <c r="U354" i="2"/>
  <c r="L357" i="2"/>
  <c r="M357" i="2" s="1"/>
  <c r="H407" i="2"/>
  <c r="I407" i="2" s="1"/>
  <c r="H406" i="2"/>
  <c r="H404" i="2"/>
  <c r="I404" i="2" s="1"/>
  <c r="D409" i="2"/>
  <c r="X416" i="2"/>
  <c r="Y416" i="2" s="1"/>
  <c r="Y368" i="2"/>
  <c r="X414" i="2"/>
  <c r="Y414" i="2" s="1"/>
  <c r="AB420" i="2"/>
  <c r="AB419" i="2"/>
  <c r="AC419" i="2" s="1"/>
  <c r="T375" i="2"/>
  <c r="U375" i="2" s="1"/>
  <c r="P425" i="2"/>
  <c r="Q377" i="2"/>
  <c r="P424" i="2"/>
  <c r="Q424" i="2" s="1"/>
  <c r="AB435" i="2"/>
  <c r="AC435" i="2" s="1"/>
  <c r="U392" i="2"/>
  <c r="T440" i="2"/>
  <c r="T437" i="2"/>
  <c r="T449" i="2"/>
  <c r="U449" i="2" s="1"/>
  <c r="H403" i="2"/>
  <c r="I403" i="2" s="1"/>
  <c r="I803" i="2" s="1"/>
  <c r="I805" i="2" s="1"/>
  <c r="T411" i="2"/>
  <c r="T464" i="2"/>
  <c r="U464" i="2" s="1"/>
  <c r="X465" i="2"/>
  <c r="Y465" i="2" s="1"/>
  <c r="D465" i="2"/>
  <c r="D463" i="2"/>
  <c r="E463" i="2" s="1"/>
  <c r="D473" i="2"/>
  <c r="D471" i="2"/>
  <c r="E471" i="2" s="1"/>
  <c r="D461" i="2"/>
  <c r="E461" i="2" s="1"/>
  <c r="D469" i="2"/>
  <c r="E469" i="2" s="1"/>
  <c r="D490" i="2"/>
  <c r="E490" i="2" s="1"/>
  <c r="E442" i="2"/>
  <c r="D489" i="2"/>
  <c r="E489" i="2" s="1"/>
  <c r="L510" i="2"/>
  <c r="M462" i="2"/>
  <c r="E473" i="2"/>
  <c r="D521" i="2"/>
  <c r="E521" i="2" s="1"/>
  <c r="D474" i="2"/>
  <c r="E474" i="2" s="1"/>
  <c r="P525" i="2"/>
  <c r="Q525" i="2" s="1"/>
  <c r="P524" i="2"/>
  <c r="T480" i="2"/>
  <c r="U480" i="2" s="1"/>
  <c r="H541" i="2"/>
  <c r="AB547" i="2"/>
  <c r="AC547" i="2" s="1"/>
  <c r="H522" i="2"/>
  <c r="P552" i="2"/>
  <c r="Q552" i="2" s="1"/>
  <c r="P556" i="2"/>
  <c r="X570" i="2"/>
  <c r="Y570" i="2" s="1"/>
  <c r="Q763" i="2"/>
  <c r="P779" i="2"/>
  <c r="P795" i="2"/>
  <c r="Q795" i="2" s="1"/>
  <c r="P793" i="2"/>
  <c r="Q793" i="2" s="1"/>
  <c r="P254" i="2"/>
  <c r="Q254" i="2" s="1"/>
  <c r="T263" i="2"/>
  <c r="D218" i="2"/>
  <c r="P221" i="2"/>
  <c r="X272" i="2"/>
  <c r="Y272" i="2" s="1"/>
  <c r="E227" i="2"/>
  <c r="H281" i="2"/>
  <c r="I281" i="2" s="1"/>
  <c r="I236" i="2"/>
  <c r="AB290" i="2"/>
  <c r="AC290" i="2" s="1"/>
  <c r="Y244" i="2"/>
  <c r="D296" i="2"/>
  <c r="T300" i="2"/>
  <c r="U300" i="2" s="1"/>
  <c r="P315" i="2"/>
  <c r="Q315" i="2" s="1"/>
  <c r="I275" i="2"/>
  <c r="H323" i="2"/>
  <c r="H322" i="2"/>
  <c r="I322" i="2" s="1"/>
  <c r="H326" i="2"/>
  <c r="H327" i="2"/>
  <c r="U282" i="2"/>
  <c r="T330" i="2"/>
  <c r="U330" i="2" s="1"/>
  <c r="AB337" i="2"/>
  <c r="AC337" i="2" s="1"/>
  <c r="H345" i="2"/>
  <c r="I345" i="2" s="1"/>
  <c r="I297" i="2"/>
  <c r="X223" i="2"/>
  <c r="Y223" i="2" s="1"/>
  <c r="D226" i="2"/>
  <c r="H227" i="2"/>
  <c r="L228" i="2"/>
  <c r="P229" i="2"/>
  <c r="T230" i="2"/>
  <c r="U230" i="2" s="1"/>
  <c r="X231" i="2"/>
  <c r="Y231" i="2" s="1"/>
  <c r="AB232" i="2"/>
  <c r="AC232" i="2" s="1"/>
  <c r="D234" i="2"/>
  <c r="H235" i="2"/>
  <c r="L236" i="2"/>
  <c r="M236" i="2" s="1"/>
  <c r="P237" i="2"/>
  <c r="T238" i="2"/>
  <c r="U238" i="2" s="1"/>
  <c r="X239" i="2"/>
  <c r="Y239" i="2" s="1"/>
  <c r="AB240" i="2"/>
  <c r="AC240" i="2" s="1"/>
  <c r="D242" i="2"/>
  <c r="E242" i="2" s="1"/>
  <c r="H243" i="2"/>
  <c r="L244" i="2"/>
  <c r="P245" i="2"/>
  <c r="Q245" i="2" s="1"/>
  <c r="T246" i="2"/>
  <c r="U246" i="2" s="1"/>
  <c r="X247" i="2"/>
  <c r="AB248" i="2"/>
  <c r="AC248" i="2" s="1"/>
  <c r="D250" i="2"/>
  <c r="E250" i="2" s="1"/>
  <c r="H251" i="2"/>
  <c r="I251" i="2" s="1"/>
  <c r="L252" i="2"/>
  <c r="M252" i="2" s="1"/>
  <c r="P253" i="2"/>
  <c r="Q253" i="2" s="1"/>
  <c r="T254" i="2"/>
  <c r="U254" i="2" s="1"/>
  <c r="X255" i="2"/>
  <c r="AB256" i="2"/>
  <c r="D258" i="2"/>
  <c r="E258" i="2" s="1"/>
  <c r="I211" i="2"/>
  <c r="H259" i="2"/>
  <c r="I259" i="2" s="1"/>
  <c r="T259" i="2"/>
  <c r="D260" i="2"/>
  <c r="E260" i="2" s="1"/>
  <c r="P260" i="2"/>
  <c r="Q260" i="2" s="1"/>
  <c r="Y215" i="2"/>
  <c r="X263" i="2"/>
  <c r="Y263" i="2" s="1"/>
  <c r="H264" i="2"/>
  <c r="I264" i="2" s="1"/>
  <c r="T264" i="2"/>
  <c r="U264" i="2" s="1"/>
  <c r="D265" i="2"/>
  <c r="E265" i="2" s="1"/>
  <c r="M220" i="2"/>
  <c r="L268" i="2"/>
  <c r="D271" i="2"/>
  <c r="E271" i="2" s="1"/>
  <c r="AC224" i="2"/>
  <c r="AB272" i="2"/>
  <c r="AC272" i="2" s="1"/>
  <c r="E226" i="2"/>
  <c r="D274" i="2"/>
  <c r="D273" i="2"/>
  <c r="E273" i="2" s="1"/>
  <c r="X277" i="2"/>
  <c r="Y277" i="2" s="1"/>
  <c r="L278" i="2"/>
  <c r="M278" i="2" s="1"/>
  <c r="Y232" i="2"/>
  <c r="I235" i="2"/>
  <c r="H283" i="2"/>
  <c r="H282" i="2"/>
  <c r="I282" i="2" s="1"/>
  <c r="AB286" i="2"/>
  <c r="AC286" i="2" s="1"/>
  <c r="P287" i="2"/>
  <c r="Q287" i="2" s="1"/>
  <c r="AC241" i="2"/>
  <c r="M244" i="2"/>
  <c r="L292" i="2"/>
  <c r="M292" i="2" s="1"/>
  <c r="L291" i="2"/>
  <c r="M291" i="2" s="1"/>
  <c r="L294" i="2"/>
  <c r="M294" i="2" s="1"/>
  <c r="AC246" i="2"/>
  <c r="U247" i="2"/>
  <c r="L296" i="2"/>
  <c r="P299" i="2"/>
  <c r="Q299" i="2" s="1"/>
  <c r="Q251" i="2"/>
  <c r="I252" i="2"/>
  <c r="AB300" i="2"/>
  <c r="D304" i="2"/>
  <c r="E304" i="2" s="1"/>
  <c r="M257" i="2"/>
  <c r="AB305" i="2"/>
  <c r="H309" i="2"/>
  <c r="I309" i="2" s="1"/>
  <c r="P310" i="2"/>
  <c r="Q310" i="2" s="1"/>
  <c r="H310" i="2"/>
  <c r="X311" i="2"/>
  <c r="X310" i="2"/>
  <c r="Y310" i="2" s="1"/>
  <c r="X313" i="2"/>
  <c r="Y313" i="2" s="1"/>
  <c r="M266" i="2"/>
  <c r="X314" i="2"/>
  <c r="Y314" i="2" s="1"/>
  <c r="X315" i="2"/>
  <c r="Y315" i="2" s="1"/>
  <c r="M268" i="2"/>
  <c r="L316" i="2"/>
  <c r="L315" i="2"/>
  <c r="M315" i="2" s="1"/>
  <c r="I272" i="2"/>
  <c r="Q273" i="2"/>
  <c r="P323" i="2"/>
  <c r="Q323" i="2" s="1"/>
  <c r="D324" i="2"/>
  <c r="E324" i="2" s="1"/>
  <c r="L277" i="2"/>
  <c r="D278" i="2"/>
  <c r="E278" i="2" s="1"/>
  <c r="U278" i="2"/>
  <c r="T326" i="2"/>
  <c r="T325" i="2"/>
  <c r="U325" i="2" s="1"/>
  <c r="E280" i="2"/>
  <c r="X328" i="2"/>
  <c r="P328" i="2"/>
  <c r="E282" i="2"/>
  <c r="D330" i="2"/>
  <c r="D329" i="2"/>
  <c r="E329" i="2" s="1"/>
  <c r="M284" i="2"/>
  <c r="L332" i="2"/>
  <c r="L331" i="2"/>
  <c r="M331" i="2" s="1"/>
  <c r="X333" i="2"/>
  <c r="X290" i="2"/>
  <c r="Y291" i="2"/>
  <c r="X339" i="2"/>
  <c r="Y339" i="2" s="1"/>
  <c r="L293" i="2"/>
  <c r="P297" i="2"/>
  <c r="Q297" i="2" s="1"/>
  <c r="D302" i="2"/>
  <c r="E302" i="2" s="1"/>
  <c r="AB354" i="2"/>
  <c r="AC354" i="2" s="1"/>
  <c r="AB313" i="2"/>
  <c r="D364" i="2"/>
  <c r="E364" i="2" s="1"/>
  <c r="D367" i="2"/>
  <c r="E367" i="2" s="1"/>
  <c r="D323" i="2"/>
  <c r="H373" i="2"/>
  <c r="I373" i="2" s="1"/>
  <c r="H332" i="2"/>
  <c r="L382" i="2"/>
  <c r="M382" i="2" s="1"/>
  <c r="L341" i="2"/>
  <c r="P391" i="2"/>
  <c r="Q391" i="2" s="1"/>
  <c r="P350" i="2"/>
  <c r="Q350" i="2" s="1"/>
  <c r="T400" i="2"/>
  <c r="U400" i="2" s="1"/>
  <c r="X403" i="2"/>
  <c r="Y403" i="2" s="1"/>
  <c r="Y355" i="2"/>
  <c r="T403" i="2"/>
  <c r="U403" i="2" s="1"/>
  <c r="T404" i="2"/>
  <c r="U404" i="2" s="1"/>
  <c r="U356" i="2"/>
  <c r="L406" i="2"/>
  <c r="H408" i="2"/>
  <c r="I408" i="2" s="1"/>
  <c r="I361" i="2"/>
  <c r="H409" i="2"/>
  <c r="I409" i="2" s="1"/>
  <c r="AB417" i="2"/>
  <c r="AC417" i="2" s="1"/>
  <c r="AC369" i="2"/>
  <c r="X370" i="2"/>
  <c r="Y370" i="2" s="1"/>
  <c r="D422" i="2"/>
  <c r="E422" i="2" s="1"/>
  <c r="AB422" i="2"/>
  <c r="AC422" i="2" s="1"/>
  <c r="AC374" i="2"/>
  <c r="AB421" i="2"/>
  <c r="AC421" i="2" s="1"/>
  <c r="T424" i="2"/>
  <c r="U424" i="2" s="1"/>
  <c r="L428" i="2"/>
  <c r="M428" i="2" s="1"/>
  <c r="E383" i="2"/>
  <c r="D431" i="2"/>
  <c r="E431" i="2" s="1"/>
  <c r="I386" i="2"/>
  <c r="H434" i="2"/>
  <c r="I434" i="2" s="1"/>
  <c r="I387" i="2"/>
  <c r="H435" i="2"/>
  <c r="D436" i="2"/>
  <c r="E436" i="2" s="1"/>
  <c r="X438" i="2"/>
  <c r="Y438" i="2" s="1"/>
  <c r="X441" i="2"/>
  <c r="Y393" i="2"/>
  <c r="AB443" i="2"/>
  <c r="AC443" i="2" s="1"/>
  <c r="T401" i="2"/>
  <c r="L452" i="2"/>
  <c r="D405" i="2"/>
  <c r="E405" i="2" s="1"/>
  <c r="Y411" i="2"/>
  <c r="X459" i="2"/>
  <c r="Y459" i="2" s="1"/>
  <c r="X457" i="2"/>
  <c r="Y457" i="2" s="1"/>
  <c r="T462" i="2"/>
  <c r="U462" i="2" s="1"/>
  <c r="U414" i="2"/>
  <c r="T451" i="2"/>
  <c r="U451" i="2" s="1"/>
  <c r="D492" i="2"/>
  <c r="E492" i="2" s="1"/>
  <c r="D449" i="2"/>
  <c r="E449" i="2" s="1"/>
  <c r="L507" i="2"/>
  <c r="L508" i="2"/>
  <c r="M508" i="2" s="1"/>
  <c r="M460" i="2"/>
  <c r="D519" i="2"/>
  <c r="D517" i="2"/>
  <c r="E517" i="2" s="1"/>
  <c r="D501" i="2"/>
  <c r="E501" i="2" s="1"/>
  <c r="L495" i="2"/>
  <c r="M495" i="2" s="1"/>
  <c r="M496" i="2"/>
  <c r="L544" i="2"/>
  <c r="L531" i="2"/>
  <c r="M531" i="2" s="1"/>
  <c r="L515" i="2"/>
  <c r="L543" i="2"/>
  <c r="M543" i="2" s="1"/>
  <c r="L539" i="2"/>
  <c r="M539" i="2" s="1"/>
  <c r="P498" i="2"/>
  <c r="P547" i="2"/>
  <c r="Q547" i="2" s="1"/>
  <c r="L519" i="2"/>
  <c r="M519" i="2" s="1"/>
  <c r="D588" i="2"/>
  <c r="E588" i="2" s="1"/>
  <c r="D577" i="2"/>
  <c r="X574" i="2"/>
  <c r="AC575" i="2"/>
  <c r="D581" i="2"/>
  <c r="E581" i="2" s="1"/>
  <c r="D585" i="2"/>
  <c r="E585" i="2" s="1"/>
  <c r="T801" i="2"/>
  <c r="U801" i="2" s="1"/>
  <c r="U303" i="2"/>
  <c r="AC305" i="2"/>
  <c r="Y312" i="2"/>
  <c r="E315" i="2"/>
  <c r="U319" i="2"/>
  <c r="AC321" i="2"/>
  <c r="Q326" i="2"/>
  <c r="Y328" i="2"/>
  <c r="E331" i="2"/>
  <c r="M333" i="2"/>
  <c r="L381" i="2"/>
  <c r="M381" i="2" s="1"/>
  <c r="U335" i="2"/>
  <c r="T383" i="2"/>
  <c r="U383" i="2" s="1"/>
  <c r="H388" i="2"/>
  <c r="I388" i="2" s="1"/>
  <c r="Q342" i="2"/>
  <c r="P390" i="2"/>
  <c r="Q390" i="2" s="1"/>
  <c r="E347" i="2"/>
  <c r="M349" i="2"/>
  <c r="T399" i="2"/>
  <c r="U399" i="2" s="1"/>
  <c r="AB401" i="2"/>
  <c r="AC401" i="2" s="1"/>
  <c r="P403" i="2"/>
  <c r="Q403" i="2" s="1"/>
  <c r="H405" i="2"/>
  <c r="I405" i="2" s="1"/>
  <c r="D406" i="2"/>
  <c r="E406" i="2" s="1"/>
  <c r="D404" i="2"/>
  <c r="L409" i="2"/>
  <c r="M409" i="2" s="1"/>
  <c r="T412" i="2"/>
  <c r="U412" i="2" s="1"/>
  <c r="L414" i="2"/>
  <c r="M414" i="2" s="1"/>
  <c r="H415" i="2"/>
  <c r="I415" i="2" s="1"/>
  <c r="P418" i="2"/>
  <c r="Q418" i="2" s="1"/>
  <c r="H420" i="2"/>
  <c r="I420" i="2" s="1"/>
  <c r="I372" i="2"/>
  <c r="X421" i="2"/>
  <c r="Y421" i="2" s="1"/>
  <c r="X420" i="2"/>
  <c r="Y373" i="2"/>
  <c r="P423" i="2"/>
  <c r="Q423" i="2" s="1"/>
  <c r="L424" i="2"/>
  <c r="M424" i="2" s="1"/>
  <c r="L423" i="2"/>
  <c r="M423" i="2" s="1"/>
  <c r="L380" i="2"/>
  <c r="M380" i="2" s="1"/>
  <c r="U382" i="2"/>
  <c r="T430" i="2"/>
  <c r="AB385" i="2"/>
  <c r="AC385" i="2" s="1"/>
  <c r="P435" i="2"/>
  <c r="Q435" i="2" s="1"/>
  <c r="P442" i="2"/>
  <c r="Q442" i="2" s="1"/>
  <c r="D395" i="2"/>
  <c r="E395" i="2" s="1"/>
  <c r="P445" i="2"/>
  <c r="Q445" i="2" s="1"/>
  <c r="P444" i="2"/>
  <c r="D447" i="2"/>
  <c r="E447" i="2" s="1"/>
  <c r="E399" i="2"/>
  <c r="X447" i="2"/>
  <c r="P448" i="2"/>
  <c r="Q448" i="2" s="1"/>
  <c r="I406" i="2"/>
  <c r="H453" i="2"/>
  <c r="I453" i="2" s="1"/>
  <c r="P463" i="2"/>
  <c r="Q463" i="2" s="1"/>
  <c r="AC418" i="2"/>
  <c r="AB466" i="2"/>
  <c r="AC466" i="2" s="1"/>
  <c r="L470" i="2"/>
  <c r="M470" i="2" s="1"/>
  <c r="M422" i="2"/>
  <c r="P432" i="2"/>
  <c r="Q432" i="2" s="1"/>
  <c r="P439" i="2"/>
  <c r="Q439" i="2" s="1"/>
  <c r="X442" i="2"/>
  <c r="Y442" i="2" s="1"/>
  <c r="T491" i="2"/>
  <c r="U491" i="2" s="1"/>
  <c r="U443" i="2"/>
  <c r="L494" i="2"/>
  <c r="M494" i="2" s="1"/>
  <c r="P503" i="2"/>
  <c r="Q455" i="2"/>
  <c r="AB506" i="2"/>
  <c r="D528" i="2"/>
  <c r="E528" i="2" s="1"/>
  <c r="D530" i="2"/>
  <c r="E530" i="2" s="1"/>
  <c r="D529" i="2"/>
  <c r="E529" i="2" s="1"/>
  <c r="T529" i="2"/>
  <c r="U529" i="2" s="1"/>
  <c r="L566" i="2"/>
  <c r="M566" i="2" s="1"/>
  <c r="L559" i="2"/>
  <c r="M559" i="2" s="1"/>
  <c r="L563" i="2"/>
  <c r="L551" i="2"/>
  <c r="M551" i="2" s="1"/>
  <c r="L547" i="2"/>
  <c r="D525" i="2"/>
  <c r="E525" i="2" s="1"/>
  <c r="L582" i="2"/>
  <c r="M582" i="2" s="1"/>
  <c r="M534" i="2"/>
  <c r="L579" i="2"/>
  <c r="L575" i="2"/>
  <c r="M575" i="2" s="1"/>
  <c r="Y279" i="2"/>
  <c r="X327" i="2"/>
  <c r="X326" i="2"/>
  <c r="Y326" i="2" s="1"/>
  <c r="AB330" i="2"/>
  <c r="AC330" i="2" s="1"/>
  <c r="I284" i="2"/>
  <c r="AC284" i="2"/>
  <c r="P333" i="2"/>
  <c r="Q333" i="2" s="1"/>
  <c r="P332" i="2"/>
  <c r="Q332" i="2" s="1"/>
  <c r="P335" i="2"/>
  <c r="Q335" i="2" s="1"/>
  <c r="Y288" i="2"/>
  <c r="Q289" i="2"/>
  <c r="E290" i="2"/>
  <c r="D338" i="2"/>
  <c r="D337" i="2"/>
  <c r="E337" i="2" s="1"/>
  <c r="D340" i="2"/>
  <c r="E340" i="2" s="1"/>
  <c r="M293" i="2"/>
  <c r="E294" i="2"/>
  <c r="T342" i="2"/>
  <c r="U342" i="2" s="1"/>
  <c r="T341" i="2"/>
  <c r="U341" i="2" s="1"/>
  <c r="D344" i="2"/>
  <c r="E344" i="2" s="1"/>
  <c r="E296" i="2"/>
  <c r="L346" i="2"/>
  <c r="M298" i="2"/>
  <c r="T348" i="2"/>
  <c r="AB350" i="2"/>
  <c r="AC302" i="2"/>
  <c r="H353" i="2"/>
  <c r="I353" i="2" s="1"/>
  <c r="P355" i="2"/>
  <c r="Q355" i="2" s="1"/>
  <c r="X357" i="2"/>
  <c r="Y309" i="2"/>
  <c r="D360" i="2"/>
  <c r="E360" i="2" s="1"/>
  <c r="E312" i="2"/>
  <c r="L362" i="2"/>
  <c r="M362" i="2" s="1"/>
  <c r="T364" i="2"/>
  <c r="U364" i="2" s="1"/>
  <c r="AB366" i="2"/>
  <c r="H369" i="2"/>
  <c r="I321" i="2"/>
  <c r="P371" i="2"/>
  <c r="Q371" i="2" s="1"/>
  <c r="X373" i="2"/>
  <c r="Y325" i="2"/>
  <c r="D376" i="2"/>
  <c r="E328" i="2"/>
  <c r="M330" i="2"/>
  <c r="T380" i="2"/>
  <c r="U380" i="2" s="1"/>
  <c r="AB382" i="2"/>
  <c r="H385" i="2"/>
  <c r="I385" i="2" s="1"/>
  <c r="I337" i="2"/>
  <c r="P387" i="2"/>
  <c r="Q387" i="2" s="1"/>
  <c r="X389" i="2"/>
  <c r="Y389" i="2" s="1"/>
  <c r="L394" i="2"/>
  <c r="M394" i="2" s="1"/>
  <c r="M346" i="2"/>
  <c r="U348" i="2"/>
  <c r="AB398" i="2"/>
  <c r="AC398" i="2" s="1"/>
  <c r="AC350" i="2"/>
  <c r="T351" i="2"/>
  <c r="U351" i="2" s="1"/>
  <c r="H401" i="2"/>
  <c r="AB353" i="2"/>
  <c r="AC353" i="2" s="1"/>
  <c r="P409" i="2"/>
  <c r="Q409" i="2" s="1"/>
  <c r="Q361" i="2"/>
  <c r="D363" i="2"/>
  <c r="E363" i="2" s="1"/>
  <c r="P414" i="2"/>
  <c r="Q414" i="2" s="1"/>
  <c r="Q366" i="2"/>
  <c r="D416" i="2"/>
  <c r="E416" i="2" s="1"/>
  <c r="X417" i="2"/>
  <c r="Y417" i="2" s="1"/>
  <c r="T418" i="2"/>
  <c r="U370" i="2"/>
  <c r="T416" i="2"/>
  <c r="U416" i="2" s="1"/>
  <c r="H372" i="2"/>
  <c r="T423" i="2"/>
  <c r="U423" i="2" s="1"/>
  <c r="H425" i="2"/>
  <c r="I425" i="2" s="1"/>
  <c r="H424" i="2"/>
  <c r="I424" i="2" s="1"/>
  <c r="I377" i="2"/>
  <c r="T427" i="2"/>
  <c r="U427" i="2" s="1"/>
  <c r="D434" i="2"/>
  <c r="H437" i="2"/>
  <c r="H438" i="2"/>
  <c r="I438" i="2" s="1"/>
  <c r="U401" i="2"/>
  <c r="T448" i="2"/>
  <c r="U448" i="2" s="1"/>
  <c r="H451" i="2"/>
  <c r="I451" i="2" s="1"/>
  <c r="P453" i="2"/>
  <c r="Q453" i="2" s="1"/>
  <c r="M406" i="2"/>
  <c r="L454" i="2"/>
  <c r="M454" i="2" s="1"/>
  <c r="AB458" i="2"/>
  <c r="AC458" i="2" s="1"/>
  <c r="AB455" i="2"/>
  <c r="AC455" i="2" s="1"/>
  <c r="I418" i="2"/>
  <c r="H466" i="2"/>
  <c r="X467" i="2"/>
  <c r="Y467" i="2" s="1"/>
  <c r="X466" i="2"/>
  <c r="Y466" i="2" s="1"/>
  <c r="AC420" i="2"/>
  <c r="AB468" i="2"/>
  <c r="AC468" i="2" s="1"/>
  <c r="T421" i="2"/>
  <c r="U421" i="2" s="1"/>
  <c r="P471" i="2"/>
  <c r="X475" i="2"/>
  <c r="X474" i="2"/>
  <c r="Y474" i="2" s="1"/>
  <c r="P477" i="2"/>
  <c r="Q477" i="2" s="1"/>
  <c r="H482" i="2"/>
  <c r="I435" i="2"/>
  <c r="H480" i="2"/>
  <c r="H474" i="2"/>
  <c r="H472" i="2"/>
  <c r="I472" i="2" s="1"/>
  <c r="D484" i="2"/>
  <c r="T486" i="2"/>
  <c r="T485" i="2"/>
  <c r="X490" i="2"/>
  <c r="Y490" i="2" s="1"/>
  <c r="L451" i="2"/>
  <c r="M451" i="2" s="1"/>
  <c r="L504" i="2"/>
  <c r="L503" i="2"/>
  <c r="M503" i="2" s="1"/>
  <c r="P505" i="2"/>
  <c r="P504" i="2"/>
  <c r="Q504" i="2" s="1"/>
  <c r="L512" i="2"/>
  <c r="L511" i="2"/>
  <c r="M511" i="2" s="1"/>
  <c r="T467" i="2"/>
  <c r="U467" i="2" s="1"/>
  <c r="X519" i="2"/>
  <c r="Y519" i="2" s="1"/>
  <c r="X518" i="2"/>
  <c r="Y471" i="2"/>
  <c r="X514" i="2"/>
  <c r="Y514" i="2" s="1"/>
  <c r="X510" i="2"/>
  <c r="Y510" i="2" s="1"/>
  <c r="T520" i="2"/>
  <c r="H523" i="2"/>
  <c r="I523" i="2" s="1"/>
  <c r="D526" i="2"/>
  <c r="H527" i="2"/>
  <c r="I527" i="2" s="1"/>
  <c r="E482" i="2"/>
  <c r="H531" i="2"/>
  <c r="I531" i="2" s="1"/>
  <c r="I483" i="2"/>
  <c r="T534" i="2"/>
  <c r="U534" i="2" s="1"/>
  <c r="U486" i="2"/>
  <c r="L489" i="2"/>
  <c r="M489" i="2" s="1"/>
  <c r="M507" i="2"/>
  <c r="M518" i="2"/>
  <c r="X577" i="2"/>
  <c r="Y577" i="2" s="1"/>
  <c r="AC543" i="2"/>
  <c r="Q580" i="2"/>
  <c r="Q612" i="2"/>
  <c r="M765" i="2"/>
  <c r="L781" i="2"/>
  <c r="M781" i="2" s="1"/>
  <c r="AB342" i="2"/>
  <c r="AC342" i="2" s="1"/>
  <c r="U295" i="2"/>
  <c r="AC297" i="2"/>
  <c r="I300" i="2"/>
  <c r="Q302" i="2"/>
  <c r="Y304" i="2"/>
  <c r="E307" i="2"/>
  <c r="M309" i="2"/>
  <c r="U311" i="2"/>
  <c r="AC313" i="2"/>
  <c r="Q318" i="2"/>
  <c r="Y320" i="2"/>
  <c r="E323" i="2"/>
  <c r="M325" i="2"/>
  <c r="U327" i="2"/>
  <c r="AC329" i="2"/>
  <c r="H380" i="2"/>
  <c r="I380" i="2" s="1"/>
  <c r="I332" i="2"/>
  <c r="AB332" i="2"/>
  <c r="AC332" i="2" s="1"/>
  <c r="Q334" i="2"/>
  <c r="P382" i="2"/>
  <c r="Q382" i="2" s="1"/>
  <c r="X384" i="2"/>
  <c r="Y384" i="2" s="1"/>
  <c r="Y336" i="2"/>
  <c r="P337" i="2"/>
  <c r="E339" i="2"/>
  <c r="L389" i="2"/>
  <c r="M389" i="2" s="1"/>
  <c r="M341" i="2"/>
  <c r="D342" i="2"/>
  <c r="U343" i="2"/>
  <c r="T391" i="2"/>
  <c r="U391" i="2" s="1"/>
  <c r="AB393" i="2"/>
  <c r="AC393" i="2" s="1"/>
  <c r="AC345" i="2"/>
  <c r="P398" i="2"/>
  <c r="Q398" i="2" s="1"/>
  <c r="Y352" i="2"/>
  <c r="X400" i="2"/>
  <c r="Y400" i="2" s="1"/>
  <c r="D355" i="2"/>
  <c r="E355" i="2" s="1"/>
  <c r="X404" i="2"/>
  <c r="Y404" i="2" s="1"/>
  <c r="Q358" i="2"/>
  <c r="P406" i="2"/>
  <c r="Q406" i="2" s="1"/>
  <c r="D408" i="2"/>
  <c r="E408" i="2" s="1"/>
  <c r="AB407" i="2"/>
  <c r="X409" i="2"/>
  <c r="Y409" i="2" s="1"/>
  <c r="T410" i="2"/>
  <c r="U410" i="2" s="1"/>
  <c r="T409" i="2"/>
  <c r="U409" i="2" s="1"/>
  <c r="H364" i="2"/>
  <c r="AB413" i="2"/>
  <c r="AC413" i="2" s="1"/>
  <c r="T415" i="2"/>
  <c r="U415" i="2" s="1"/>
  <c r="U367" i="2"/>
  <c r="H417" i="2"/>
  <c r="I417" i="2" s="1"/>
  <c r="I369" i="2"/>
  <c r="D417" i="2"/>
  <c r="AB418" i="2"/>
  <c r="X419" i="2"/>
  <c r="Y419" i="2" s="1"/>
  <c r="X418" i="2"/>
  <c r="Y418" i="2" s="1"/>
  <c r="Y371" i="2"/>
  <c r="L373" i="2"/>
  <c r="D423" i="2"/>
  <c r="E423" i="2" s="1"/>
  <c r="X424" i="2"/>
  <c r="Y424" i="2" s="1"/>
  <c r="Y376" i="2"/>
  <c r="L378" i="2"/>
  <c r="H427" i="2"/>
  <c r="I427" i="2" s="1"/>
  <c r="H426" i="2"/>
  <c r="X428" i="2"/>
  <c r="Y428" i="2" s="1"/>
  <c r="Y380" i="2"/>
  <c r="P429" i="2"/>
  <c r="Q429" i="2" s="1"/>
  <c r="D387" i="2"/>
  <c r="E387" i="2" s="1"/>
  <c r="AB434" i="2"/>
  <c r="AC434" i="2" s="1"/>
  <c r="D441" i="2"/>
  <c r="E394" i="2"/>
  <c r="H396" i="2"/>
  <c r="I396" i="2" s="1"/>
  <c r="T398" i="2"/>
  <c r="U398" i="2" s="1"/>
  <c r="AC400" i="2"/>
  <c r="AB448" i="2"/>
  <c r="L403" i="2"/>
  <c r="X453" i="2"/>
  <c r="Y453" i="2" s="1"/>
  <c r="P461" i="2"/>
  <c r="Q461" i="2" s="1"/>
  <c r="H414" i="2"/>
  <c r="I414" i="2" s="1"/>
  <c r="D415" i="2"/>
  <c r="E415" i="2" s="1"/>
  <c r="T417" i="2"/>
  <c r="U417" i="2" s="1"/>
  <c r="H468" i="2"/>
  <c r="I468" i="2" s="1"/>
  <c r="X423" i="2"/>
  <c r="L473" i="2"/>
  <c r="M473" i="2" s="1"/>
  <c r="M425" i="2"/>
  <c r="P434" i="2"/>
  <c r="I437" i="2"/>
  <c r="AB437" i="2"/>
  <c r="AC437" i="2" s="1"/>
  <c r="T488" i="2"/>
  <c r="U488" i="2" s="1"/>
  <c r="U440" i="2"/>
  <c r="D444" i="2"/>
  <c r="E444" i="2" s="1"/>
  <c r="X450" i="2"/>
  <c r="Y450" i="2" s="1"/>
  <c r="H454" i="2"/>
  <c r="I454" i="2" s="1"/>
  <c r="AB509" i="2"/>
  <c r="AC461" i="2"/>
  <c r="T512" i="2"/>
  <c r="U512" i="2" s="1"/>
  <c r="AB467" i="2"/>
  <c r="AC467" i="2" s="1"/>
  <c r="X521" i="2"/>
  <c r="Y473" i="2"/>
  <c r="T528" i="2"/>
  <c r="T525" i="2"/>
  <c r="U525" i="2" s="1"/>
  <c r="Q481" i="2"/>
  <c r="P529" i="2"/>
  <c r="P528" i="2"/>
  <c r="Q528" i="2" s="1"/>
  <c r="P530" i="2"/>
  <c r="H485" i="2"/>
  <c r="I485" i="2" s="1"/>
  <c r="D548" i="2"/>
  <c r="E548" i="2" s="1"/>
  <c r="D545" i="2"/>
  <c r="D533" i="2"/>
  <c r="E533" i="2" s="1"/>
  <c r="X502" i="2"/>
  <c r="Y502" i="2" s="1"/>
  <c r="D564" i="2"/>
  <c r="E564" i="2" s="1"/>
  <c r="D561" i="2"/>
  <c r="D557" i="2"/>
  <c r="E557" i="2" s="1"/>
  <c r="T584" i="2"/>
  <c r="U584" i="2" s="1"/>
  <c r="T577" i="2"/>
  <c r="U577" i="2" s="1"/>
  <c r="T581" i="2"/>
  <c r="U581" i="2" s="1"/>
  <c r="T569" i="2"/>
  <c r="U569" i="2" s="1"/>
  <c r="T565" i="2"/>
  <c r="I658" i="2"/>
  <c r="H796" i="2"/>
  <c r="I796" i="2" s="1"/>
  <c r="E758" i="2"/>
  <c r="T294" i="2"/>
  <c r="U294" i="2" s="1"/>
  <c r="T293" i="2"/>
  <c r="U293" i="2" s="1"/>
  <c r="L298" i="2"/>
  <c r="AB298" i="2"/>
  <c r="AC298" i="2" s="1"/>
  <c r="Y252" i="2"/>
  <c r="M253" i="2"/>
  <c r="Y255" i="2"/>
  <c r="X303" i="2"/>
  <c r="X302" i="2"/>
  <c r="Y302" i="2" s="1"/>
  <c r="P307" i="2"/>
  <c r="Q307" i="2" s="1"/>
  <c r="D308" i="2"/>
  <c r="E308" i="2" s="1"/>
  <c r="Q262" i="2"/>
  <c r="AC264" i="2"/>
  <c r="AB312" i="2"/>
  <c r="AC312" i="2" s="1"/>
  <c r="AB311" i="2"/>
  <c r="AC311" i="2" s="1"/>
  <c r="T316" i="2"/>
  <c r="U316" i="2" s="1"/>
  <c r="H317" i="2"/>
  <c r="I317" i="2" s="1"/>
  <c r="D319" i="2"/>
  <c r="E319" i="2" s="1"/>
  <c r="U271" i="2"/>
  <c r="E274" i="2"/>
  <c r="D322" i="2"/>
  <c r="D321" i="2"/>
  <c r="E321" i="2" s="1"/>
  <c r="X325" i="2"/>
  <c r="L326" i="2"/>
  <c r="M326" i="2" s="1"/>
  <c r="T332" i="2"/>
  <c r="U332" i="2" s="1"/>
  <c r="H337" i="2"/>
  <c r="X341" i="2"/>
  <c r="Y341" i="2" s="1"/>
  <c r="E295" i="2"/>
  <c r="Y295" i="2"/>
  <c r="X343" i="2"/>
  <c r="X342" i="2"/>
  <c r="Y342" i="2" s="1"/>
  <c r="D346" i="2"/>
  <c r="E346" i="2" s="1"/>
  <c r="D345" i="2"/>
  <c r="E345" i="2" s="1"/>
  <c r="M300" i="2"/>
  <c r="L348" i="2"/>
  <c r="L347" i="2"/>
  <c r="M347" i="2" s="1"/>
  <c r="U302" i="2"/>
  <c r="T350" i="2"/>
  <c r="T349" i="2"/>
  <c r="U349" i="2" s="1"/>
  <c r="I304" i="2"/>
  <c r="AC304" i="2"/>
  <c r="AB352" i="2"/>
  <c r="AC352" i="2" s="1"/>
  <c r="AB351" i="2"/>
  <c r="AC351" i="2" s="1"/>
  <c r="I307" i="2"/>
  <c r="H355" i="2"/>
  <c r="I355" i="2" s="1"/>
  <c r="H354" i="2"/>
  <c r="I354" i="2" s="1"/>
  <c r="Q309" i="2"/>
  <c r="P357" i="2"/>
  <c r="P356" i="2"/>
  <c r="Q356" i="2" s="1"/>
  <c r="Y311" i="2"/>
  <c r="X359" i="2"/>
  <c r="Y359" i="2" s="1"/>
  <c r="X358" i="2"/>
  <c r="Y358" i="2" s="1"/>
  <c r="M313" i="2"/>
  <c r="E314" i="2"/>
  <c r="D362" i="2"/>
  <c r="D361" i="2"/>
  <c r="E361" i="2" s="1"/>
  <c r="M316" i="2"/>
  <c r="L364" i="2"/>
  <c r="M364" i="2" s="1"/>
  <c r="L363" i="2"/>
  <c r="M363" i="2" s="1"/>
  <c r="AB365" i="2"/>
  <c r="AC365" i="2" s="1"/>
  <c r="U318" i="2"/>
  <c r="T366" i="2"/>
  <c r="T365" i="2"/>
  <c r="U365" i="2" s="1"/>
  <c r="AC320" i="2"/>
  <c r="AB368" i="2"/>
  <c r="AC368" i="2" s="1"/>
  <c r="AB367" i="2"/>
  <c r="AC367" i="2" s="1"/>
  <c r="Q322" i="2"/>
  <c r="I323" i="2"/>
  <c r="H371" i="2"/>
  <c r="H370" i="2"/>
  <c r="I370" i="2" s="1"/>
  <c r="Q325" i="2"/>
  <c r="P373" i="2"/>
  <c r="P372" i="2"/>
  <c r="Q372" i="2" s="1"/>
  <c r="E327" i="2"/>
  <c r="Y327" i="2"/>
  <c r="X375" i="2"/>
  <c r="X374" i="2"/>
  <c r="Y374" i="2" s="1"/>
  <c r="E330" i="2"/>
  <c r="D378" i="2"/>
  <c r="D377" i="2"/>
  <c r="E377" i="2" s="1"/>
  <c r="U331" i="2"/>
  <c r="M332" i="2"/>
  <c r="AB381" i="2"/>
  <c r="AC381" i="2" s="1"/>
  <c r="T382" i="2"/>
  <c r="T381" i="2"/>
  <c r="U381" i="2" s="1"/>
  <c r="AC336" i="2"/>
  <c r="P386" i="2"/>
  <c r="Q386" i="2" s="1"/>
  <c r="I339" i="2"/>
  <c r="H387" i="2"/>
  <c r="P389" i="2"/>
  <c r="Q389" i="2" s="1"/>
  <c r="D391" i="2"/>
  <c r="E391" i="2" s="1"/>
  <c r="Y343" i="2"/>
  <c r="X391" i="2"/>
  <c r="Y391" i="2" s="1"/>
  <c r="X390" i="2"/>
  <c r="Y390" i="2" s="1"/>
  <c r="D394" i="2"/>
  <c r="T395" i="2"/>
  <c r="U395" i="2" s="1"/>
  <c r="M348" i="2"/>
  <c r="L396" i="2"/>
  <c r="AC349" i="2"/>
  <c r="U350" i="2"/>
  <c r="H400" i="2"/>
  <c r="I400" i="2" s="1"/>
  <c r="AB400" i="2"/>
  <c r="AB399" i="2"/>
  <c r="AC399" i="2" s="1"/>
  <c r="X405" i="2"/>
  <c r="Y405" i="2" s="1"/>
  <c r="Y357" i="2"/>
  <c r="P407" i="2"/>
  <c r="Q407" i="2" s="1"/>
  <c r="L408" i="2"/>
  <c r="M408" i="2" s="1"/>
  <c r="M360" i="2"/>
  <c r="AB361" i="2"/>
  <c r="AC361" i="2" s="1"/>
  <c r="L413" i="2"/>
  <c r="M413" i="2" s="1"/>
  <c r="M365" i="2"/>
  <c r="AB414" i="2"/>
  <c r="AC414" i="2" s="1"/>
  <c r="AC366" i="2"/>
  <c r="P417" i="2"/>
  <c r="Q369" i="2"/>
  <c r="D371" i="2"/>
  <c r="E371" i="2" s="1"/>
  <c r="P422" i="2"/>
  <c r="Q422" i="2" s="1"/>
  <c r="Q374" i="2"/>
  <c r="D424" i="2"/>
  <c r="E424" i="2" s="1"/>
  <c r="E376" i="2"/>
  <c r="AB384" i="2"/>
  <c r="AC384" i="2" s="1"/>
  <c r="X433" i="2"/>
  <c r="Y433" i="2" s="1"/>
  <c r="L448" i="2"/>
  <c r="D450" i="2"/>
  <c r="E450" i="2" s="1"/>
  <c r="E402" i="2"/>
  <c r="Q404" i="2"/>
  <c r="P452" i="2"/>
  <c r="Q452" i="2" s="1"/>
  <c r="E409" i="2"/>
  <c r="D457" i="2"/>
  <c r="L475" i="2"/>
  <c r="P436" i="2"/>
  <c r="Q436" i="2" s="1"/>
  <c r="T490" i="2"/>
  <c r="U490" i="2" s="1"/>
  <c r="T489" i="2"/>
  <c r="U489" i="2" s="1"/>
  <c r="L492" i="2"/>
  <c r="M492" i="2" s="1"/>
  <c r="P496" i="2"/>
  <c r="Q496" i="2" s="1"/>
  <c r="AC463" i="2"/>
  <c r="X524" i="2"/>
  <c r="Y524" i="2" s="1"/>
  <c r="T483" i="2"/>
  <c r="U483" i="2" s="1"/>
  <c r="H536" i="2"/>
  <c r="I488" i="2"/>
  <c r="X543" i="2"/>
  <c r="Y543" i="2" s="1"/>
  <c r="X542" i="2"/>
  <c r="X538" i="2"/>
  <c r="Y538" i="2" s="1"/>
  <c r="X534" i="2"/>
  <c r="Y495" i="2"/>
  <c r="D554" i="2"/>
  <c r="E554" i="2" s="1"/>
  <c r="T560" i="2"/>
  <c r="U560" i="2" s="1"/>
  <c r="X569" i="2"/>
  <c r="Y569" i="2" s="1"/>
  <c r="Y521" i="2"/>
  <c r="P575" i="2"/>
  <c r="Q575" i="2" s="1"/>
  <c r="P568" i="2"/>
  <c r="Q568" i="2" s="1"/>
  <c r="Q527" i="2"/>
  <c r="P572" i="2"/>
  <c r="Q572" i="2" s="1"/>
  <c r="T553" i="2"/>
  <c r="U553" i="2" s="1"/>
  <c r="AC639" i="2"/>
  <c r="I741" i="2"/>
  <c r="H789" i="2"/>
  <c r="I789" i="2" s="1"/>
  <c r="H762" i="2"/>
  <c r="H746" i="2"/>
  <c r="H775" i="2"/>
  <c r="I775" i="2" s="1"/>
  <c r="H745" i="2"/>
  <c r="H773" i="2"/>
  <c r="I773" i="2" s="1"/>
  <c r="H777" i="2"/>
  <c r="I756" i="2"/>
  <c r="H757" i="2"/>
  <c r="L438" i="2"/>
  <c r="M438" i="2" s="1"/>
  <c r="D440" i="2"/>
  <c r="E440" i="2" s="1"/>
  <c r="E392" i="2"/>
  <c r="T456" i="2"/>
  <c r="U456" i="2" s="1"/>
  <c r="L458" i="2"/>
  <c r="M458" i="2" s="1"/>
  <c r="M410" i="2"/>
  <c r="T459" i="2"/>
  <c r="U459" i="2" s="1"/>
  <c r="T457" i="2"/>
  <c r="U457" i="2" s="1"/>
  <c r="U411" i="2"/>
  <c r="U413" i="2"/>
  <c r="T461" i="2"/>
  <c r="U461" i="2" s="1"/>
  <c r="T463" i="2"/>
  <c r="U463" i="2" s="1"/>
  <c r="L464" i="2"/>
  <c r="M464" i="2" s="1"/>
  <c r="H467" i="2"/>
  <c r="H469" i="2"/>
  <c r="P426" i="2"/>
  <c r="Q426" i="2" s="1"/>
  <c r="H475" i="2"/>
  <c r="I475" i="2" s="1"/>
  <c r="AB475" i="2"/>
  <c r="AC475" i="2" s="1"/>
  <c r="AB477" i="2"/>
  <c r="AC477" i="2" s="1"/>
  <c r="U430" i="2"/>
  <c r="AC431" i="2"/>
  <c r="T482" i="2"/>
  <c r="U482" i="2" s="1"/>
  <c r="U434" i="2"/>
  <c r="T481" i="2"/>
  <c r="U481" i="2" s="1"/>
  <c r="L435" i="2"/>
  <c r="P485" i="2"/>
  <c r="Q485" i="2" s="1"/>
  <c r="P487" i="2"/>
  <c r="Q487" i="2" s="1"/>
  <c r="X444" i="2"/>
  <c r="Y444" i="2" s="1"/>
  <c r="H496" i="2"/>
  <c r="I496" i="2" s="1"/>
  <c r="I448" i="2"/>
  <c r="AC448" i="2"/>
  <c r="AB500" i="2"/>
  <c r="AB499" i="2"/>
  <c r="AC499" i="2" s="1"/>
  <c r="T453" i="2"/>
  <c r="X503" i="2"/>
  <c r="Y503" i="2" s="1"/>
  <c r="X505" i="2"/>
  <c r="P514" i="2"/>
  <c r="Q466" i="2"/>
  <c r="H515" i="2"/>
  <c r="I515" i="2" s="1"/>
  <c r="H514" i="2"/>
  <c r="I467" i="2"/>
  <c r="Q468" i="2"/>
  <c r="H517" i="2"/>
  <c r="I469" i="2"/>
  <c r="H519" i="2"/>
  <c r="I471" i="2"/>
  <c r="H518" i="2"/>
  <c r="I518" i="2" s="1"/>
  <c r="AB471" i="2"/>
  <c r="AC471" i="2" s="1"/>
  <c r="D522" i="2"/>
  <c r="E522" i="2" s="1"/>
  <c r="Y483" i="2"/>
  <c r="X531" i="2"/>
  <c r="Y531" i="2" s="1"/>
  <c r="L536" i="2"/>
  <c r="D538" i="2"/>
  <c r="E538" i="2" s="1"/>
  <c r="T539" i="2"/>
  <c r="D556" i="2"/>
  <c r="E556" i="2" s="1"/>
  <c r="E508" i="2"/>
  <c r="T558" i="2"/>
  <c r="U558" i="2" s="1"/>
  <c r="X561" i="2"/>
  <c r="Y561" i="2" s="1"/>
  <c r="X554" i="2"/>
  <c r="Y554" i="2" s="1"/>
  <c r="L574" i="2"/>
  <c r="M574" i="2" s="1"/>
  <c r="AB576" i="2"/>
  <c r="AC576" i="2" s="1"/>
  <c r="D580" i="2"/>
  <c r="E580" i="2" s="1"/>
  <c r="D573" i="2"/>
  <c r="E573" i="2" s="1"/>
  <c r="T592" i="2"/>
  <c r="U592" i="2" s="1"/>
  <c r="H558" i="2"/>
  <c r="I558" i="2" s="1"/>
  <c r="P576" i="2"/>
  <c r="Q576" i="2" s="1"/>
  <c r="D761" i="2"/>
  <c r="E761" i="2" s="1"/>
  <c r="X761" i="2"/>
  <c r="Y761" i="2" s="1"/>
  <c r="AB791" i="2"/>
  <c r="AC791" i="2" s="1"/>
  <c r="AC743" i="2"/>
  <c r="AB790" i="2"/>
  <c r="AB764" i="2"/>
  <c r="H799" i="2"/>
  <c r="M757" i="2"/>
  <c r="I790" i="2"/>
  <c r="E2963" i="3"/>
  <c r="F2963" i="3" s="1"/>
  <c r="E3126" i="3"/>
  <c r="F3126" i="3" s="1"/>
  <c r="E1927" i="3"/>
  <c r="F1927" i="3" s="1"/>
  <c r="E1488" i="3"/>
  <c r="F1488" i="3" s="1"/>
  <c r="E2118" i="3"/>
  <c r="F2118" i="3" s="1"/>
  <c r="E972" i="3"/>
  <c r="F972" i="3" s="1"/>
  <c r="E2624" i="3"/>
  <c r="F2624" i="3" s="1"/>
  <c r="E1330" i="3"/>
  <c r="F1330" i="3" s="1"/>
  <c r="E2790" i="3"/>
  <c r="F2790" i="3" s="1"/>
  <c r="E2299" i="3"/>
  <c r="F2299" i="3" s="1"/>
  <c r="E1668" i="3"/>
  <c r="F1668" i="3" s="1"/>
  <c r="E2428" i="3"/>
  <c r="F2428" i="3" s="1"/>
  <c r="E1166" i="3"/>
  <c r="F1166" i="3" s="1"/>
  <c r="E704" i="3"/>
  <c r="F704" i="3" s="1"/>
  <c r="E279" i="3"/>
  <c r="F279" i="3" s="1"/>
  <c r="C3302" i="3" s="1"/>
  <c r="E3302" i="3" s="1"/>
  <c r="E3132" i="3"/>
  <c r="F3132" i="3" s="1"/>
  <c r="E2796" i="3"/>
  <c r="F2796" i="3" s="1"/>
  <c r="E1936" i="3"/>
  <c r="F1936" i="3" s="1"/>
  <c r="E2971" i="3"/>
  <c r="F2971" i="3" s="1"/>
  <c r="E2304" i="3"/>
  <c r="F2304" i="3" s="1"/>
  <c r="E2126" i="3"/>
  <c r="F2126" i="3" s="1"/>
  <c r="E1495" i="3"/>
  <c r="F1495" i="3" s="1"/>
  <c r="E1338" i="3"/>
  <c r="F1338" i="3" s="1"/>
  <c r="E2437" i="3"/>
  <c r="F2437" i="3" s="1"/>
  <c r="E491" i="3"/>
  <c r="F491" i="3" s="1"/>
  <c r="E1176" i="3"/>
  <c r="F1176" i="3" s="1"/>
  <c r="E194" i="3"/>
  <c r="F194" i="3" s="1"/>
  <c r="E1676" i="3"/>
  <c r="F1676" i="3" s="1"/>
  <c r="E714" i="3"/>
  <c r="F714" i="3" s="1"/>
  <c r="E2630" i="3"/>
  <c r="F2630" i="3" s="1"/>
  <c r="E900" i="3"/>
  <c r="F900" i="3" s="1"/>
  <c r="E2975" i="3"/>
  <c r="F2975" i="3" s="1"/>
  <c r="E1501" i="3"/>
  <c r="F1501" i="3" s="1"/>
  <c r="E2802" i="3"/>
  <c r="F2802" i="3" s="1"/>
  <c r="E1944" i="3"/>
  <c r="F1944" i="3" s="1"/>
  <c r="E721" i="3"/>
  <c r="F721" i="3" s="1"/>
  <c r="E2636" i="3"/>
  <c r="F2636" i="3" s="1"/>
  <c r="E2308" i="3"/>
  <c r="F2308" i="3" s="1"/>
  <c r="E1182" i="3"/>
  <c r="F1182" i="3" s="1"/>
  <c r="E496" i="3"/>
  <c r="F496" i="3" s="1"/>
  <c r="E2445" i="3"/>
  <c r="F2445" i="3" s="1"/>
  <c r="E989" i="3"/>
  <c r="F989" i="3" s="1"/>
  <c r="E632" i="3"/>
  <c r="F632" i="3" s="1"/>
  <c r="E3138" i="3"/>
  <c r="F3138" i="3" s="1"/>
  <c r="E290" i="3"/>
  <c r="F290" i="3" s="1"/>
  <c r="E1682" i="3"/>
  <c r="F1682" i="3" s="1"/>
  <c r="E905" i="3"/>
  <c r="F905" i="3" s="1"/>
  <c r="E200" i="3"/>
  <c r="F200" i="3" s="1"/>
  <c r="E414" i="3"/>
  <c r="F414" i="3" s="1"/>
  <c r="E2134" i="3"/>
  <c r="F2134" i="3" s="1"/>
  <c r="E1343" i="3"/>
  <c r="F1343" i="3" s="1"/>
  <c r="E2810" i="3"/>
  <c r="F2810" i="3" s="1"/>
  <c r="E1350" i="3"/>
  <c r="F1350" i="3" s="1"/>
  <c r="E3147" i="3"/>
  <c r="F3147" i="3" s="1"/>
  <c r="E2455" i="3"/>
  <c r="F2455" i="3" s="1"/>
  <c r="E1692" i="3"/>
  <c r="F1692" i="3" s="1"/>
  <c r="E1000" i="3"/>
  <c r="F1000" i="3" s="1"/>
  <c r="E203" i="3"/>
  <c r="F203" i="3" s="1"/>
  <c r="E2651" i="3"/>
  <c r="F2651" i="3" s="1"/>
  <c r="E2988" i="3"/>
  <c r="F2988" i="3" s="1"/>
  <c r="E1958" i="3"/>
  <c r="F1958" i="3" s="1"/>
  <c r="E2317" i="3"/>
  <c r="F2317" i="3" s="1"/>
  <c r="E1008" i="3"/>
  <c r="F1008" i="3" s="1"/>
  <c r="E734" i="3"/>
  <c r="F734" i="3" s="1"/>
  <c r="E2818" i="3"/>
  <c r="F2818" i="3" s="1"/>
  <c r="E1700" i="3"/>
  <c r="F1700" i="3" s="1"/>
  <c r="E2463" i="3"/>
  <c r="F2463" i="3" s="1"/>
  <c r="E1516" i="3"/>
  <c r="F1516" i="3" s="1"/>
  <c r="E299" i="3"/>
  <c r="F299" i="3" s="1"/>
  <c r="E1197" i="3"/>
  <c r="F1197" i="3" s="1"/>
  <c r="E3154" i="3"/>
  <c r="F3154" i="3" s="1"/>
  <c r="E3164" i="3"/>
  <c r="F3164" i="3" s="1"/>
  <c r="E2830" i="3"/>
  <c r="F2830" i="3" s="1"/>
  <c r="E2997" i="3"/>
  <c r="F2997" i="3" s="1"/>
  <c r="E1364" i="3"/>
  <c r="F1364" i="3" s="1"/>
  <c r="E2158" i="3"/>
  <c r="F2158" i="3" s="1"/>
  <c r="E1710" i="3"/>
  <c r="F1710" i="3" s="1"/>
  <c r="E506" i="3"/>
  <c r="F506" i="3" s="1"/>
  <c r="E912" i="3"/>
  <c r="F912" i="3" s="1"/>
  <c r="E2658" i="3"/>
  <c r="F2658" i="3" s="1"/>
  <c r="E2323" i="3"/>
  <c r="F2323" i="3" s="1"/>
  <c r="E2474" i="3"/>
  <c r="F2474" i="3" s="1"/>
  <c r="E1969" i="3"/>
  <c r="F1969" i="3" s="1"/>
  <c r="E1019" i="3"/>
  <c r="F1019" i="3" s="1"/>
  <c r="E745" i="3"/>
  <c r="F745" i="3" s="1"/>
  <c r="E1525" i="3"/>
  <c r="F1525" i="3" s="1"/>
  <c r="E1207" i="3"/>
  <c r="F1207" i="3" s="1"/>
  <c r="E211" i="3"/>
  <c r="F211" i="3" s="1"/>
  <c r="E424" i="3"/>
  <c r="F424" i="3" s="1"/>
  <c r="E306" i="3"/>
  <c r="F306" i="3" s="1"/>
  <c r="E3004" i="3"/>
  <c r="F3004" i="3" s="1"/>
  <c r="E3171" i="3"/>
  <c r="F3171" i="3" s="1"/>
  <c r="E2837" i="3"/>
  <c r="F2837" i="3" s="1"/>
  <c r="E2665" i="3"/>
  <c r="F2665" i="3" s="1"/>
  <c r="E1976" i="3"/>
  <c r="F1976" i="3" s="1"/>
  <c r="E2482" i="3"/>
  <c r="F2482" i="3" s="1"/>
  <c r="E1532" i="3"/>
  <c r="F1532" i="3" s="1"/>
  <c r="E1372" i="3"/>
  <c r="F1372" i="3" s="1"/>
  <c r="E753" i="3"/>
  <c r="F753" i="3" s="1"/>
  <c r="E313" i="3"/>
  <c r="F313" i="3" s="1"/>
  <c r="E1214" i="3"/>
  <c r="F1214" i="3" s="1"/>
  <c r="E1026" i="3"/>
  <c r="F1026" i="3" s="1"/>
  <c r="E1718" i="3"/>
  <c r="F1718" i="3" s="1"/>
  <c r="E646" i="3"/>
  <c r="F646" i="3" s="1"/>
  <c r="E429" i="3"/>
  <c r="F429" i="3" s="1"/>
  <c r="E915" i="3"/>
  <c r="F915" i="3" s="1"/>
  <c r="E2331" i="3"/>
  <c r="F2331" i="3" s="1"/>
  <c r="E2166" i="3"/>
  <c r="F2166" i="3" s="1"/>
  <c r="E512" i="3"/>
  <c r="F512" i="3" s="1"/>
  <c r="E215" i="3"/>
  <c r="F215" i="3" s="1"/>
  <c r="E2844" i="3"/>
  <c r="F2844" i="3" s="1"/>
  <c r="E3011" i="3"/>
  <c r="F3011" i="3" s="1"/>
  <c r="E2673" i="3"/>
  <c r="F2673" i="3" s="1"/>
  <c r="E1726" i="3"/>
  <c r="F1726" i="3" s="1"/>
  <c r="E1985" i="3"/>
  <c r="F1985" i="3" s="1"/>
  <c r="E1542" i="3"/>
  <c r="F1542" i="3" s="1"/>
  <c r="E2491" i="3"/>
  <c r="F2491" i="3" s="1"/>
  <c r="E762" i="3"/>
  <c r="F762" i="3" s="1"/>
  <c r="E3178" i="3"/>
  <c r="F3178" i="3" s="1"/>
  <c r="E1035" i="3"/>
  <c r="F1035" i="3" s="1"/>
  <c r="E651" i="3"/>
  <c r="F651" i="3" s="1"/>
  <c r="E1379" i="3"/>
  <c r="F1379" i="3" s="1"/>
  <c r="E920" i="3"/>
  <c r="F920" i="3" s="1"/>
  <c r="E2339" i="3"/>
  <c r="F2339" i="3" s="1"/>
  <c r="E1864" i="3"/>
  <c r="F1864" i="3" s="1"/>
  <c r="E435" i="3"/>
  <c r="F435" i="3" s="1"/>
  <c r="E516" i="3"/>
  <c r="F516" i="3" s="1"/>
  <c r="E1221" i="3"/>
  <c r="F1221" i="3" s="1"/>
  <c r="E220" i="3"/>
  <c r="F220" i="3" s="1"/>
  <c r="E2175" i="3"/>
  <c r="F2175" i="3" s="1"/>
  <c r="E319" i="3"/>
  <c r="F319" i="3" s="1"/>
  <c r="E3185" i="3"/>
  <c r="F3185" i="3" s="1"/>
  <c r="E2183" i="3"/>
  <c r="F2183" i="3" s="1"/>
  <c r="E2342" i="3"/>
  <c r="F2342" i="3" s="1"/>
  <c r="E1551" i="3"/>
  <c r="F1551" i="3" s="1"/>
  <c r="E1385" i="3"/>
  <c r="F1385" i="3" s="1"/>
  <c r="E3018" i="3"/>
  <c r="F3018" i="3" s="1"/>
  <c r="E1994" i="3"/>
  <c r="F1994" i="3" s="1"/>
  <c r="E1228" i="3"/>
  <c r="F1228" i="3" s="1"/>
  <c r="E771" i="3"/>
  <c r="F771" i="3" s="1"/>
  <c r="E2854" i="3"/>
  <c r="F2854" i="3" s="1"/>
  <c r="E1736" i="3"/>
  <c r="F1736" i="3" s="1"/>
  <c r="E1044" i="3"/>
  <c r="F1044" i="3" s="1"/>
  <c r="E2500" i="3"/>
  <c r="F2500" i="3" s="1"/>
  <c r="E322" i="3"/>
  <c r="F322" i="3" s="1"/>
  <c r="E2680" i="3"/>
  <c r="F2680" i="3" s="1"/>
  <c r="E1866" i="3"/>
  <c r="F1866" i="3" s="1"/>
  <c r="E2862" i="3"/>
  <c r="F2862" i="3" s="1"/>
  <c r="E1744" i="3"/>
  <c r="F1744" i="3" s="1"/>
  <c r="E3026" i="3"/>
  <c r="F3026" i="3" s="1"/>
  <c r="E2688" i="3"/>
  <c r="F2688" i="3" s="1"/>
  <c r="E2191" i="3"/>
  <c r="F2191" i="3" s="1"/>
  <c r="E1871" i="3"/>
  <c r="F1871" i="3" s="1"/>
  <c r="E1391" i="3"/>
  <c r="F1391" i="3" s="1"/>
  <c r="E1559" i="3"/>
  <c r="F1559" i="3" s="1"/>
  <c r="E2002" i="3"/>
  <c r="F2002" i="3" s="1"/>
  <c r="E2508" i="3"/>
  <c r="F2508" i="3" s="1"/>
  <c r="E656" i="3"/>
  <c r="F656" i="3" s="1"/>
  <c r="E3192" i="3"/>
  <c r="F3192" i="3" s="1"/>
  <c r="E779" i="3"/>
  <c r="F779" i="3" s="1"/>
  <c r="E523" i="3"/>
  <c r="F523" i="3" s="1"/>
  <c r="E1234" i="3"/>
  <c r="F1234" i="3" s="1"/>
  <c r="E2348" i="3"/>
  <c r="F2348" i="3" s="1"/>
  <c r="E1052" i="3"/>
  <c r="F1052" i="3" s="1"/>
  <c r="E594" i="3"/>
  <c r="F594" i="3" s="1"/>
  <c r="E928" i="3"/>
  <c r="F928" i="3" s="1"/>
  <c r="E223" i="3"/>
  <c r="F223" i="3" s="1"/>
  <c r="E2696" i="3"/>
  <c r="F2696" i="3" s="1"/>
  <c r="E2516" i="3"/>
  <c r="F2516" i="3" s="1"/>
  <c r="E3033" i="3"/>
  <c r="F3033" i="3" s="1"/>
  <c r="E1752" i="3"/>
  <c r="F1752" i="3" s="1"/>
  <c r="E3200" i="3"/>
  <c r="F3200" i="3" s="1"/>
  <c r="E2870" i="3"/>
  <c r="F2870" i="3" s="1"/>
  <c r="E2199" i="3"/>
  <c r="F2199" i="3" s="1"/>
  <c r="E1399" i="3"/>
  <c r="F1399" i="3" s="1"/>
  <c r="E1567" i="3"/>
  <c r="F1567" i="3" s="1"/>
  <c r="E1242" i="3"/>
  <c r="F1242" i="3" s="1"/>
  <c r="E931" i="3"/>
  <c r="F931" i="3" s="1"/>
  <c r="E2010" i="3"/>
  <c r="F2010" i="3" s="1"/>
  <c r="E1875" i="3"/>
  <c r="F1875" i="3" s="1"/>
  <c r="E1060" i="3"/>
  <c r="F1060" i="3" s="1"/>
  <c r="E530" i="3"/>
  <c r="F530" i="3" s="1"/>
  <c r="E787" i="3"/>
  <c r="F787" i="3" s="1"/>
  <c r="E334" i="3"/>
  <c r="F334" i="3" s="1"/>
  <c r="E2354" i="3"/>
  <c r="F2354" i="3" s="1"/>
  <c r="E2879" i="3"/>
  <c r="F2879" i="3" s="1"/>
  <c r="E2704" i="3"/>
  <c r="F2704" i="3" s="1"/>
  <c r="E2361" i="3"/>
  <c r="F2361" i="3" s="1"/>
  <c r="E3041" i="3"/>
  <c r="F3041" i="3" s="1"/>
  <c r="E2525" i="3"/>
  <c r="F2525" i="3" s="1"/>
  <c r="E3209" i="3"/>
  <c r="F3209" i="3" s="1"/>
  <c r="E1408" i="3"/>
  <c r="F1408" i="3" s="1"/>
  <c r="E2207" i="3"/>
  <c r="F2207" i="3" s="1"/>
  <c r="E2019" i="3"/>
  <c r="F2019" i="3" s="1"/>
  <c r="E446" i="3"/>
  <c r="F446" i="3" s="1"/>
  <c r="E1250" i="3"/>
  <c r="F1250" i="3" s="1"/>
  <c r="E665" i="3"/>
  <c r="F665" i="3" s="1"/>
  <c r="E536" i="3"/>
  <c r="F536" i="3" s="1"/>
  <c r="E1576" i="3"/>
  <c r="F1576" i="3" s="1"/>
  <c r="E234" i="3"/>
  <c r="F234" i="3" s="1"/>
  <c r="E1759" i="3"/>
  <c r="F1759" i="3" s="1"/>
  <c r="E796" i="3"/>
  <c r="F796" i="3" s="1"/>
  <c r="E1069" i="3"/>
  <c r="F1069" i="3" s="1"/>
  <c r="E342" i="3"/>
  <c r="F342" i="3" s="1"/>
  <c r="E3219" i="3"/>
  <c r="F3219" i="3" s="1"/>
  <c r="E2888" i="3"/>
  <c r="F2888" i="3" s="1"/>
  <c r="E2535" i="3"/>
  <c r="F2535" i="3" s="1"/>
  <c r="E1417" i="3"/>
  <c r="F1417" i="3" s="1"/>
  <c r="E2216" i="3"/>
  <c r="F2216" i="3" s="1"/>
  <c r="E1260" i="3"/>
  <c r="F1260" i="3" s="1"/>
  <c r="E940" i="3"/>
  <c r="F940" i="3" s="1"/>
  <c r="E349" i="3"/>
  <c r="F349" i="3" s="1"/>
  <c r="E3049" i="3"/>
  <c r="F3049" i="3" s="1"/>
  <c r="E450" i="3"/>
  <c r="F450" i="3" s="1"/>
  <c r="E806" i="3"/>
  <c r="F806" i="3" s="1"/>
  <c r="E541" i="3"/>
  <c r="F541" i="3" s="1"/>
  <c r="E1079" i="3"/>
  <c r="F1079" i="3" s="1"/>
  <c r="E1768" i="3"/>
  <c r="F1768" i="3" s="1"/>
  <c r="E1586" i="3"/>
  <c r="F1586" i="3" s="1"/>
  <c r="E2029" i="3"/>
  <c r="F2029" i="3" s="1"/>
  <c r="E2713" i="3"/>
  <c r="F2713" i="3" s="1"/>
  <c r="E2894" i="3"/>
  <c r="F2894" i="3" s="1"/>
  <c r="E3226" i="3"/>
  <c r="F3226" i="3" s="1"/>
  <c r="E3055" i="3"/>
  <c r="F3055" i="3" s="1"/>
  <c r="E2544" i="3"/>
  <c r="F2544" i="3" s="1"/>
  <c r="E2375" i="3"/>
  <c r="F2375" i="3" s="1"/>
  <c r="E2224" i="3"/>
  <c r="F2224" i="3" s="1"/>
  <c r="E1775" i="3"/>
  <c r="F1775" i="3" s="1"/>
  <c r="E1423" i="3"/>
  <c r="F1423" i="3" s="1"/>
  <c r="E2037" i="3"/>
  <c r="F2037" i="3" s="1"/>
  <c r="E547" i="3"/>
  <c r="F547" i="3" s="1"/>
  <c r="E815" i="3"/>
  <c r="F815" i="3" s="1"/>
  <c r="E1087" i="3"/>
  <c r="F1087" i="3" s="1"/>
  <c r="E1266" i="3"/>
  <c r="F1266" i="3" s="1"/>
  <c r="E671" i="3"/>
  <c r="F671" i="3" s="1"/>
  <c r="E354" i="3"/>
  <c r="F354" i="3" s="1"/>
  <c r="E1594" i="3"/>
  <c r="F1594" i="3" s="1"/>
  <c r="E3061" i="3"/>
  <c r="F3061" i="3" s="1"/>
  <c r="E2901" i="3"/>
  <c r="F2901" i="3" s="1"/>
  <c r="E2233" i="3"/>
  <c r="F2233" i="3" s="1"/>
  <c r="E1783" i="3"/>
  <c r="F1783" i="3" s="1"/>
  <c r="E1431" i="3"/>
  <c r="F1431" i="3" s="1"/>
  <c r="E1274" i="3"/>
  <c r="F1274" i="3" s="1"/>
  <c r="E2726" i="3"/>
  <c r="F2726" i="3" s="1"/>
  <c r="E551" i="3"/>
  <c r="F551" i="3" s="1"/>
  <c r="E825" i="3"/>
  <c r="F825" i="3" s="1"/>
  <c r="E2555" i="3"/>
  <c r="F2555" i="3" s="1"/>
  <c r="E1893" i="3"/>
  <c r="F1893" i="3" s="1"/>
  <c r="E3233" i="3"/>
  <c r="F3233" i="3" s="1"/>
  <c r="E2381" i="3"/>
  <c r="F2381" i="3" s="1"/>
  <c r="E1604" i="3"/>
  <c r="F1604" i="3" s="1"/>
  <c r="E676" i="3"/>
  <c r="F676" i="3" s="1"/>
  <c r="E2047" i="3"/>
  <c r="F2047" i="3" s="1"/>
  <c r="E1097" i="3"/>
  <c r="F1097" i="3" s="1"/>
  <c r="E2909" i="3"/>
  <c r="F2909" i="3" s="1"/>
  <c r="E2733" i="3"/>
  <c r="F2733" i="3" s="1"/>
  <c r="E1790" i="3"/>
  <c r="F1790" i="3" s="1"/>
  <c r="E1899" i="3"/>
  <c r="F1899" i="3" s="1"/>
  <c r="E1611" i="3"/>
  <c r="F1611" i="3" s="1"/>
  <c r="E2240" i="3"/>
  <c r="F2240" i="3" s="1"/>
  <c r="E365" i="3"/>
  <c r="F365" i="3" s="1"/>
  <c r="E3241" i="3"/>
  <c r="F3241" i="3" s="1"/>
  <c r="E2386" i="3"/>
  <c r="F2386" i="3" s="1"/>
  <c r="E949" i="3"/>
  <c r="F949" i="3" s="1"/>
  <c r="E1439" i="3"/>
  <c r="F1439" i="3" s="1"/>
  <c r="E603" i="3"/>
  <c r="F603" i="3" s="1"/>
  <c r="E1281" i="3"/>
  <c r="F1281" i="3" s="1"/>
  <c r="E2056" i="3"/>
  <c r="F2056" i="3" s="1"/>
  <c r="E1106" i="3"/>
  <c r="F1106" i="3" s="1"/>
  <c r="E3069" i="3"/>
  <c r="F3069" i="3" s="1"/>
  <c r="E554" i="3"/>
  <c r="F554" i="3" s="1"/>
  <c r="E248" i="3"/>
  <c r="F248" i="3" s="1"/>
  <c r="E833" i="3"/>
  <c r="F833" i="3" s="1"/>
  <c r="E458" i="3"/>
  <c r="F458" i="3" s="1"/>
  <c r="E3077" i="3"/>
  <c r="F3077" i="3" s="1"/>
  <c r="E2917" i="3"/>
  <c r="F2917" i="3" s="1"/>
  <c r="E3249" i="3"/>
  <c r="F3249" i="3" s="1"/>
  <c r="E2740" i="3"/>
  <c r="F2740" i="3" s="1"/>
  <c r="E2393" i="3"/>
  <c r="F2393" i="3" s="1"/>
  <c r="E2064" i="3"/>
  <c r="F2064" i="3" s="1"/>
  <c r="E2571" i="3"/>
  <c r="F2571" i="3" s="1"/>
  <c r="E1798" i="3"/>
  <c r="F1798" i="3" s="1"/>
  <c r="E1446" i="3"/>
  <c r="F1446" i="3" s="1"/>
  <c r="E1114" i="3"/>
  <c r="F1114" i="3" s="1"/>
  <c r="E684" i="3"/>
  <c r="F684" i="3" s="1"/>
  <c r="E560" i="3"/>
  <c r="F560" i="3" s="1"/>
  <c r="E464" i="3"/>
  <c r="F464" i="3" s="1"/>
  <c r="E953" i="3"/>
  <c r="F953" i="3" s="1"/>
  <c r="E371" i="3"/>
  <c r="F371" i="3" s="1"/>
  <c r="E254" i="3"/>
  <c r="F254" i="3" s="1"/>
  <c r="E1906" i="3"/>
  <c r="F1906" i="3" s="1"/>
  <c r="E2248" i="3"/>
  <c r="F2248" i="3" s="1"/>
  <c r="E607" i="3"/>
  <c r="F607" i="3" s="1"/>
  <c r="E841" i="3"/>
  <c r="F841" i="3" s="1"/>
  <c r="E1288" i="3"/>
  <c r="F1288" i="3" s="1"/>
  <c r="E1619" i="3"/>
  <c r="F1619" i="3" s="1"/>
  <c r="E3086" i="3"/>
  <c r="F3086" i="3" s="1"/>
  <c r="E3258" i="3"/>
  <c r="F3258" i="3" s="1"/>
  <c r="E2750" i="3"/>
  <c r="F2750" i="3" s="1"/>
  <c r="E1808" i="3"/>
  <c r="F1808" i="3" s="1"/>
  <c r="E1455" i="3"/>
  <c r="F1455" i="3" s="1"/>
  <c r="E2400" i="3"/>
  <c r="F2400" i="3" s="1"/>
  <c r="E1123" i="3"/>
  <c r="F1123" i="3" s="1"/>
  <c r="E1296" i="3"/>
  <c r="F1296" i="3" s="1"/>
  <c r="E688" i="3"/>
  <c r="F688" i="3" s="1"/>
  <c r="E2581" i="3"/>
  <c r="F2581" i="3" s="1"/>
  <c r="E2257" i="3"/>
  <c r="F2257" i="3" s="1"/>
  <c r="E2075" i="3"/>
  <c r="F2075" i="3" s="1"/>
  <c r="E468" i="3"/>
  <c r="F468" i="3" s="1"/>
  <c r="E1910" i="3"/>
  <c r="F1910" i="3" s="1"/>
  <c r="E851" i="3"/>
  <c r="F851" i="3" s="1"/>
  <c r="E379" i="3"/>
  <c r="F379" i="3" s="1"/>
  <c r="E260" i="3"/>
  <c r="F260" i="3" s="1"/>
  <c r="E566" i="3"/>
  <c r="F566" i="3" s="1"/>
  <c r="E2925" i="3"/>
  <c r="F2925" i="3" s="1"/>
  <c r="E1628" i="3"/>
  <c r="F1628" i="3" s="1"/>
  <c r="E2757" i="3"/>
  <c r="F2757" i="3" s="1"/>
  <c r="E3093" i="3"/>
  <c r="F3093" i="3" s="1"/>
  <c r="E2082" i="3"/>
  <c r="F2082" i="3" s="1"/>
  <c r="E2264" i="3"/>
  <c r="F2264" i="3" s="1"/>
  <c r="E2588" i="3"/>
  <c r="F2588" i="3" s="1"/>
  <c r="E1815" i="3"/>
  <c r="F1815" i="3" s="1"/>
  <c r="E858" i="3"/>
  <c r="F858" i="3" s="1"/>
  <c r="E1635" i="3"/>
  <c r="F1635" i="3" s="1"/>
  <c r="E1131" i="3"/>
  <c r="F1131" i="3" s="1"/>
  <c r="E1302" i="3"/>
  <c r="F1302" i="3" s="1"/>
  <c r="E383" i="3"/>
  <c r="F383" i="3" s="1"/>
  <c r="E1459" i="3"/>
  <c r="F1459" i="3" s="1"/>
  <c r="E3265" i="3"/>
  <c r="F3265" i="3" s="1"/>
  <c r="E3271" i="3"/>
  <c r="F3271" i="3" s="1"/>
  <c r="E2270" i="3"/>
  <c r="F2270" i="3" s="1"/>
  <c r="E2936" i="3"/>
  <c r="F2936" i="3" s="1"/>
  <c r="E2089" i="3"/>
  <c r="F2089" i="3" s="1"/>
  <c r="E1137" i="3"/>
  <c r="F1137" i="3" s="1"/>
  <c r="E473" i="3"/>
  <c r="F473" i="3" s="1"/>
  <c r="E865" i="3"/>
  <c r="F865" i="3" s="1"/>
  <c r="E389" i="3"/>
  <c r="F389" i="3" s="1"/>
  <c r="E1640" i="3"/>
  <c r="F1640" i="3" s="1"/>
  <c r="E1308" i="3"/>
  <c r="F1308" i="3" s="1"/>
  <c r="E2763" i="3"/>
  <c r="F2763" i="3" s="1"/>
  <c r="E2594" i="3"/>
  <c r="F2594" i="3" s="1"/>
  <c r="E2942" i="3"/>
  <c r="F2942" i="3" s="1"/>
  <c r="E2278" i="3"/>
  <c r="F2278" i="3" s="1"/>
  <c r="E1646" i="3"/>
  <c r="F1646" i="3" s="1"/>
  <c r="E2413" i="3"/>
  <c r="F2413" i="3" s="1"/>
  <c r="E1145" i="3"/>
  <c r="F1145" i="3" s="1"/>
  <c r="E1827" i="3"/>
  <c r="F1827" i="3" s="1"/>
  <c r="E3104" i="3"/>
  <c r="F3104" i="3" s="1"/>
  <c r="E2098" i="3"/>
  <c r="F2098" i="3" s="1"/>
  <c r="E2770" i="3"/>
  <c r="F2770" i="3" s="1"/>
  <c r="E2602" i="3"/>
  <c r="F2602" i="3" s="1"/>
  <c r="E874" i="3"/>
  <c r="F874" i="3" s="1"/>
  <c r="E2949" i="3"/>
  <c r="F2949" i="3" s="1"/>
  <c r="E3286" i="3"/>
  <c r="F3286" i="3" s="1"/>
  <c r="E3112" i="3"/>
  <c r="F3112" i="3" s="1"/>
  <c r="E2778" i="3"/>
  <c r="F2778" i="3" s="1"/>
  <c r="E2610" i="3"/>
  <c r="F2610" i="3" s="1"/>
  <c r="E2286" i="3"/>
  <c r="F2286" i="3" s="1"/>
  <c r="E1653" i="3"/>
  <c r="F1653" i="3" s="1"/>
  <c r="E1919" i="3"/>
  <c r="F1919" i="3" s="1"/>
  <c r="E578" i="3"/>
  <c r="F578" i="3" s="1"/>
  <c r="E1834" i="3"/>
  <c r="F1834" i="3" s="1"/>
  <c r="E2418" i="3"/>
  <c r="F2418" i="3" s="1"/>
  <c r="E882" i="3"/>
  <c r="F882" i="3" s="1"/>
  <c r="E1475" i="3"/>
  <c r="F1475" i="3" s="1"/>
  <c r="E480" i="3"/>
  <c r="F480" i="3" s="1"/>
  <c r="E399" i="3"/>
  <c r="F399" i="3" s="1"/>
  <c r="E2106" i="3"/>
  <c r="F2106" i="3" s="1"/>
  <c r="E1320" i="3"/>
  <c r="F1320" i="3" s="1"/>
  <c r="E1153" i="3"/>
  <c r="F1153" i="3" s="1"/>
  <c r="E3296" i="3"/>
  <c r="F3296" i="3" s="1"/>
  <c r="E2425" i="3"/>
  <c r="F2425" i="3" s="1"/>
  <c r="E2114" i="3"/>
  <c r="F2114" i="3" s="1"/>
  <c r="E1844" i="3"/>
  <c r="F1844" i="3" s="1"/>
  <c r="E2296" i="3"/>
  <c r="F2296" i="3" s="1"/>
  <c r="E2960" i="3"/>
  <c r="F2960" i="3" s="1"/>
  <c r="E1164" i="3"/>
  <c r="F1164" i="3" s="1"/>
  <c r="E583" i="3"/>
  <c r="F583" i="3" s="1"/>
  <c r="E2786" i="3"/>
  <c r="F2786" i="3" s="1"/>
  <c r="E1485" i="3"/>
  <c r="F1485" i="3" s="1"/>
  <c r="E2621" i="3"/>
  <c r="F2621" i="3" s="1"/>
  <c r="E970" i="3"/>
  <c r="F970" i="3" s="1"/>
  <c r="E406" i="3"/>
  <c r="F406" i="3" s="1"/>
  <c r="E3122" i="3"/>
  <c r="F3122" i="3" s="1"/>
  <c r="E1924" i="3"/>
  <c r="F1924" i="3" s="1"/>
  <c r="E891" i="3"/>
  <c r="F891" i="3" s="1"/>
  <c r="E1328" i="3"/>
  <c r="F1328" i="3" s="1"/>
  <c r="E484" i="3"/>
  <c r="F484" i="3" s="1"/>
  <c r="E276" i="3"/>
  <c r="F276" i="3" s="1"/>
  <c r="E1663" i="3"/>
  <c r="F1663" i="3" s="1"/>
  <c r="E2149" i="3"/>
  <c r="F2149" i="3" s="1"/>
  <c r="D791" i="2"/>
  <c r="E791" i="2" s="1"/>
  <c r="D797" i="2"/>
  <c r="D792" i="2"/>
  <c r="H798" i="2"/>
  <c r="H797" i="2"/>
  <c r="I797" i="2" s="1"/>
  <c r="Q788" i="2"/>
  <c r="I801" i="2"/>
  <c r="L404" i="2"/>
  <c r="M404" i="2" s="1"/>
  <c r="M356" i="2"/>
  <c r="Q357" i="2"/>
  <c r="P405" i="2"/>
  <c r="Q405" i="2" s="1"/>
  <c r="T406" i="2"/>
  <c r="U406" i="2" s="1"/>
  <c r="AB408" i="2"/>
  <c r="AC408" i="2" s="1"/>
  <c r="AC360" i="2"/>
  <c r="E362" i="2"/>
  <c r="D410" i="2"/>
  <c r="E410" i="2" s="1"/>
  <c r="I363" i="2"/>
  <c r="H411" i="2"/>
  <c r="I411" i="2" s="1"/>
  <c r="L412" i="2"/>
  <c r="M412" i="2" s="1"/>
  <c r="P413" i="2"/>
  <c r="Q413" i="2" s="1"/>
  <c r="Q365" i="2"/>
  <c r="U366" i="2"/>
  <c r="Y367" i="2"/>
  <c r="X415" i="2"/>
  <c r="Y415" i="2" s="1"/>
  <c r="AB416" i="2"/>
  <c r="AC416" i="2" s="1"/>
  <c r="D418" i="2"/>
  <c r="E418" i="2" s="1"/>
  <c r="I371" i="2"/>
  <c r="L420" i="2"/>
  <c r="M420" i="2" s="1"/>
  <c r="Q373" i="2"/>
  <c r="P421" i="2"/>
  <c r="Q421" i="2" s="1"/>
  <c r="T422" i="2"/>
  <c r="U422" i="2" s="1"/>
  <c r="Y375" i="2"/>
  <c r="AC376" i="2"/>
  <c r="AB424" i="2"/>
  <c r="AC424" i="2" s="1"/>
  <c r="E378" i="2"/>
  <c r="D426" i="2"/>
  <c r="E426" i="2" s="1"/>
  <c r="Y378" i="2"/>
  <c r="T429" i="2"/>
  <c r="H430" i="2"/>
  <c r="I430" i="2" s="1"/>
  <c r="Q383" i="2"/>
  <c r="P431" i="2"/>
  <c r="T432" i="2"/>
  <c r="U432" i="2" s="1"/>
  <c r="X436" i="2"/>
  <c r="Y436" i="2" s="1"/>
  <c r="T439" i="2"/>
  <c r="U439" i="2" s="1"/>
  <c r="L439" i="2"/>
  <c r="M439" i="2" s="1"/>
  <c r="AB440" i="2"/>
  <c r="AC440" i="2" s="1"/>
  <c r="H443" i="2"/>
  <c r="I443" i="2" s="1"/>
  <c r="X443" i="2"/>
  <c r="Y443" i="2" s="1"/>
  <c r="M396" i="2"/>
  <c r="L444" i="2"/>
  <c r="M444" i="2" s="1"/>
  <c r="E397" i="2"/>
  <c r="AB447" i="2"/>
  <c r="Y401" i="2"/>
  <c r="X449" i="2"/>
  <c r="Y449" i="2" s="1"/>
  <c r="AB450" i="2"/>
  <c r="AC450" i="2" s="1"/>
  <c r="D455" i="2"/>
  <c r="E455" i="2" s="1"/>
  <c r="D453" i="2"/>
  <c r="E453" i="2" s="1"/>
  <c r="AB457" i="2"/>
  <c r="AC457" i="2" s="1"/>
  <c r="H459" i="2"/>
  <c r="I459" i="2" s="1"/>
  <c r="T460" i="2"/>
  <c r="U460" i="2" s="1"/>
  <c r="H461" i="2"/>
  <c r="I461" i="2" s="1"/>
  <c r="T414" i="2"/>
  <c r="H463" i="2"/>
  <c r="H462" i="2"/>
  <c r="I462" i="2" s="1"/>
  <c r="U418" i="2"/>
  <c r="T466" i="2"/>
  <c r="X426" i="2"/>
  <c r="Y426" i="2" s="1"/>
  <c r="L427" i="2"/>
  <c r="M427" i="2" s="1"/>
  <c r="P476" i="2"/>
  <c r="Q476" i="2" s="1"/>
  <c r="P479" i="2"/>
  <c r="P481" i="2"/>
  <c r="Q433" i="2"/>
  <c r="P480" i="2"/>
  <c r="Q480" i="2" s="1"/>
  <c r="AB484" i="2"/>
  <c r="D445" i="2"/>
  <c r="E445" i="2" s="1"/>
  <c r="T445" i="2"/>
  <c r="U445" i="2" s="1"/>
  <c r="X494" i="2"/>
  <c r="X497" i="2"/>
  <c r="Y497" i="2" s="1"/>
  <c r="X499" i="2"/>
  <c r="Y499" i="2" s="1"/>
  <c r="Y451" i="2"/>
  <c r="X498" i="2"/>
  <c r="Y498" i="2" s="1"/>
  <c r="H503" i="2"/>
  <c r="L463" i="2"/>
  <c r="M463" i="2" s="1"/>
  <c r="D514" i="2"/>
  <c r="E514" i="2" s="1"/>
  <c r="D516" i="2"/>
  <c r="E516" i="2" s="1"/>
  <c r="D518" i="2"/>
  <c r="E518" i="2" s="1"/>
  <c r="E470" i="2"/>
  <c r="P521" i="2"/>
  <c r="H524" i="2"/>
  <c r="I524" i="2" s="1"/>
  <c r="T477" i="2"/>
  <c r="U485" i="2"/>
  <c r="H490" i="2"/>
  <c r="AB491" i="2"/>
  <c r="AC491" i="2" s="1"/>
  <c r="X492" i="2"/>
  <c r="Y492" i="2" s="1"/>
  <c r="D543" i="2"/>
  <c r="H498" i="2"/>
  <c r="AB546" i="2"/>
  <c r="AB554" i="2"/>
  <c r="AC554" i="2" s="1"/>
  <c r="AC506" i="2"/>
  <c r="Q516" i="2"/>
  <c r="H573" i="2"/>
  <c r="I573" i="2" s="1"/>
  <c r="Y534" i="2"/>
  <c r="P591" i="2"/>
  <c r="Q591" i="2" s="1"/>
  <c r="E553" i="2"/>
  <c r="D747" i="2"/>
  <c r="H751" i="2"/>
  <c r="I751" i="2" s="1"/>
  <c r="AB772" i="2"/>
  <c r="L789" i="2"/>
  <c r="M789" i="2" s="1"/>
  <c r="L768" i="2"/>
  <c r="L786" i="2"/>
  <c r="L779" i="2"/>
  <c r="M779" i="2" s="1"/>
  <c r="L766" i="2"/>
  <c r="M766" i="2" s="1"/>
  <c r="T797" i="2"/>
  <c r="U797" i="2" s="1"/>
  <c r="U752" i="2"/>
  <c r="T800" i="2"/>
  <c r="U800" i="2" s="1"/>
  <c r="T788" i="2"/>
  <c r="L800" i="2"/>
  <c r="M800" i="2" s="1"/>
  <c r="E228" i="3"/>
  <c r="F228" i="3" s="1"/>
  <c r="E328" i="3"/>
  <c r="F328" i="3" s="1"/>
  <c r="L379" i="2"/>
  <c r="AB383" i="2"/>
  <c r="P388" i="2"/>
  <c r="D393" i="2"/>
  <c r="E393" i="2" s="1"/>
  <c r="T397" i="2"/>
  <c r="H402" i="2"/>
  <c r="I402" i="2" s="1"/>
  <c r="X406" i="2"/>
  <c r="Y406" i="2" s="1"/>
  <c r="L411" i="2"/>
  <c r="AB415" i="2"/>
  <c r="P420" i="2"/>
  <c r="D425" i="2"/>
  <c r="H429" i="2"/>
  <c r="I429" i="2" s="1"/>
  <c r="AB430" i="2"/>
  <c r="AC430" i="2" s="1"/>
  <c r="AC382" i="2"/>
  <c r="U384" i="2"/>
  <c r="AC392" i="2"/>
  <c r="Y395" i="2"/>
  <c r="P447" i="2"/>
  <c r="Q447" i="2" s="1"/>
  <c r="H449" i="2"/>
  <c r="I449" i="2" s="1"/>
  <c r="I401" i="2"/>
  <c r="AC402" i="2"/>
  <c r="AC405" i="2"/>
  <c r="D460" i="2"/>
  <c r="I413" i="2"/>
  <c r="D466" i="2"/>
  <c r="L419" i="2"/>
  <c r="D468" i="2"/>
  <c r="E468" i="2" s="1"/>
  <c r="X468" i="2"/>
  <c r="Y468" i="2" s="1"/>
  <c r="Y420" i="2"/>
  <c r="X470" i="2"/>
  <c r="Y470" i="2" s="1"/>
  <c r="X472" i="2"/>
  <c r="Y472" i="2" s="1"/>
  <c r="Q425" i="2"/>
  <c r="P473" i="2"/>
  <c r="Q473" i="2" s="1"/>
  <c r="L476" i="2"/>
  <c r="M476" i="2" s="1"/>
  <c r="L478" i="2"/>
  <c r="M478" i="2" s="1"/>
  <c r="Q431" i="2"/>
  <c r="T435" i="2"/>
  <c r="U435" i="2" s="1"/>
  <c r="D487" i="2"/>
  <c r="E487" i="2" s="1"/>
  <c r="E439" i="2"/>
  <c r="X484" i="2"/>
  <c r="Y484" i="2" s="1"/>
  <c r="E441" i="2"/>
  <c r="X489" i="2"/>
  <c r="Y489" i="2" s="1"/>
  <c r="Y441" i="2"/>
  <c r="X491" i="2"/>
  <c r="T494" i="2"/>
  <c r="U494" i="2" s="1"/>
  <c r="Y447" i="2"/>
  <c r="T496" i="2"/>
  <c r="U496" i="2" s="1"/>
  <c r="AB453" i="2"/>
  <c r="AC453" i="2" s="1"/>
  <c r="L505" i="2"/>
  <c r="M457" i="2"/>
  <c r="D506" i="2"/>
  <c r="E506" i="2" s="1"/>
  <c r="D505" i="2"/>
  <c r="E505" i="2" s="1"/>
  <c r="E458" i="2"/>
  <c r="D508" i="2"/>
  <c r="E460" i="2"/>
  <c r="D510" i="2"/>
  <c r="D509" i="2"/>
  <c r="E509" i="2" s="1"/>
  <c r="AB512" i="2"/>
  <c r="AC512" i="2" s="1"/>
  <c r="E466" i="2"/>
  <c r="AB514" i="2"/>
  <c r="T523" i="2"/>
  <c r="U475" i="2"/>
  <c r="T478" i="2"/>
  <c r="U478" i="2" s="1"/>
  <c r="P527" i="2"/>
  <c r="X529" i="2"/>
  <c r="Y529" i="2" s="1"/>
  <c r="Y481" i="2"/>
  <c r="L532" i="2"/>
  <c r="M532" i="2" s="1"/>
  <c r="L527" i="2"/>
  <c r="M527" i="2" s="1"/>
  <c r="L523" i="2"/>
  <c r="M523" i="2" s="1"/>
  <c r="L534" i="2"/>
  <c r="I495" i="2"/>
  <c r="H543" i="2"/>
  <c r="P545" i="2"/>
  <c r="L546" i="2"/>
  <c r="M546" i="2" s="1"/>
  <c r="AB498" i="2"/>
  <c r="AC498" i="2" s="1"/>
  <c r="P549" i="2"/>
  <c r="Q549" i="2" s="1"/>
  <c r="H502" i="2"/>
  <c r="I502" i="2" s="1"/>
  <c r="T552" i="2"/>
  <c r="U552" i="2" s="1"/>
  <c r="T545" i="2"/>
  <c r="U545" i="2" s="1"/>
  <c r="T541" i="2"/>
  <c r="P508" i="2"/>
  <c r="P512" i="2"/>
  <c r="Q512" i="2" s="1"/>
  <c r="P516" i="2"/>
  <c r="H565" i="2"/>
  <c r="I565" i="2" s="1"/>
  <c r="I517" i="2"/>
  <c r="X567" i="2"/>
  <c r="Y567" i="2" s="1"/>
  <c r="P520" i="2"/>
  <c r="Q520" i="2" s="1"/>
  <c r="AB570" i="2"/>
  <c r="AC570" i="2" s="1"/>
  <c r="AB563" i="2"/>
  <c r="AC563" i="2" s="1"/>
  <c r="X526" i="2"/>
  <c r="Y526" i="2" s="1"/>
  <c r="X530" i="2"/>
  <c r="Y530" i="2" s="1"/>
  <c r="P583" i="2"/>
  <c r="Q583" i="2" s="1"/>
  <c r="D586" i="2"/>
  <c r="E586" i="2" s="1"/>
  <c r="H589" i="2"/>
  <c r="I589" i="2" s="1"/>
  <c r="H582" i="2"/>
  <c r="I582" i="2" s="1"/>
  <c r="D549" i="2"/>
  <c r="E549" i="2" s="1"/>
  <c r="D553" i="2"/>
  <c r="L567" i="2"/>
  <c r="M567" i="2" s="1"/>
  <c r="L571" i="2"/>
  <c r="M571" i="2" s="1"/>
  <c r="T585" i="2"/>
  <c r="U585" i="2" s="1"/>
  <c r="T589" i="2"/>
  <c r="U589" i="2" s="1"/>
  <c r="D780" i="2"/>
  <c r="E780" i="2" s="1"/>
  <c r="P791" i="2"/>
  <c r="Q791" i="2" s="1"/>
  <c r="L795" i="2"/>
  <c r="AC758" i="2"/>
  <c r="AB759" i="2"/>
  <c r="AC759" i="2" s="1"/>
  <c r="E765" i="2"/>
  <c r="L770" i="2"/>
  <c r="T786" i="2"/>
  <c r="Y792" i="2"/>
  <c r="T799" i="2"/>
  <c r="U799" i="2" s="1"/>
  <c r="X269" i="2"/>
  <c r="Y269" i="2" s="1"/>
  <c r="U225" i="2"/>
  <c r="Y226" i="2"/>
  <c r="AC227" i="2"/>
  <c r="E229" i="2"/>
  <c r="I230" i="2"/>
  <c r="M231" i="2"/>
  <c r="Q232" i="2"/>
  <c r="U233" i="2"/>
  <c r="Y234" i="2"/>
  <c r="AC235" i="2"/>
  <c r="E237" i="2"/>
  <c r="I238" i="2"/>
  <c r="M239" i="2"/>
  <c r="Q240" i="2"/>
  <c r="U241" i="2"/>
  <c r="Y242" i="2"/>
  <c r="AC243" i="2"/>
  <c r="E245" i="2"/>
  <c r="I246" i="2"/>
  <c r="M247" i="2"/>
  <c r="Q248" i="2"/>
  <c r="U249" i="2"/>
  <c r="Y250" i="2"/>
  <c r="AC251" i="2"/>
  <c r="E253" i="2"/>
  <c r="M255" i="2"/>
  <c r="Q256" i="2"/>
  <c r="AC259" i="2"/>
  <c r="E261" i="2"/>
  <c r="I262" i="2"/>
  <c r="Q264" i="2"/>
  <c r="U265" i="2"/>
  <c r="Y266" i="2"/>
  <c r="AC267" i="2"/>
  <c r="M271" i="2"/>
  <c r="Q272" i="2"/>
  <c r="U273" i="2"/>
  <c r="Y274" i="2"/>
  <c r="AC275" i="2"/>
  <c r="E277" i="2"/>
  <c r="M279" i="2"/>
  <c r="Q280" i="2"/>
  <c r="U281" i="2"/>
  <c r="Y282" i="2"/>
  <c r="AC283" i="2"/>
  <c r="E285" i="2"/>
  <c r="I286" i="2"/>
  <c r="Q288" i="2"/>
  <c r="Y290" i="2"/>
  <c r="AC291" i="2"/>
  <c r="E293" i="2"/>
  <c r="I294" i="2"/>
  <c r="Y298" i="2"/>
  <c r="AC299" i="2"/>
  <c r="I302" i="2"/>
  <c r="M303" i="2"/>
  <c r="Q304" i="2"/>
  <c r="Y306" i="2"/>
  <c r="AC307" i="2"/>
  <c r="E309" i="2"/>
  <c r="I310" i="2"/>
  <c r="M311" i="2"/>
  <c r="Q312" i="2"/>
  <c r="U313" i="2"/>
  <c r="AC315" i="2"/>
  <c r="E317" i="2"/>
  <c r="I318" i="2"/>
  <c r="M319" i="2"/>
  <c r="Q320" i="2"/>
  <c r="U321" i="2"/>
  <c r="Y322" i="2"/>
  <c r="E325" i="2"/>
  <c r="I326" i="2"/>
  <c r="M327" i="2"/>
  <c r="Q328" i="2"/>
  <c r="U329" i="2"/>
  <c r="Y330" i="2"/>
  <c r="AC331" i="2"/>
  <c r="D381" i="2"/>
  <c r="E381" i="2" s="1"/>
  <c r="I334" i="2"/>
  <c r="M335" i="2"/>
  <c r="Q336" i="2"/>
  <c r="T385" i="2"/>
  <c r="U385" i="2" s="1"/>
  <c r="AC339" i="2"/>
  <c r="E341" i="2"/>
  <c r="H390" i="2"/>
  <c r="I390" i="2" s="1"/>
  <c r="M343" i="2"/>
  <c r="Q344" i="2"/>
  <c r="U345" i="2"/>
  <c r="X394" i="2"/>
  <c r="Y394" i="2" s="1"/>
  <c r="AC347" i="2"/>
  <c r="E349" i="2"/>
  <c r="I350" i="2"/>
  <c r="L399" i="2"/>
  <c r="M399" i="2" s="1"/>
  <c r="Q352" i="2"/>
  <c r="U353" i="2"/>
  <c r="AB403" i="2"/>
  <c r="AC403" i="2" s="1"/>
  <c r="E357" i="2"/>
  <c r="I358" i="2"/>
  <c r="M359" i="2"/>
  <c r="P408" i="2"/>
  <c r="Q408" i="2" s="1"/>
  <c r="U361" i="2"/>
  <c r="Y362" i="2"/>
  <c r="AB411" i="2"/>
  <c r="AC411" i="2" s="1"/>
  <c r="P416" i="2"/>
  <c r="Q416" i="2" s="1"/>
  <c r="D421" i="2"/>
  <c r="E421" i="2" s="1"/>
  <c r="T425" i="2"/>
  <c r="U425" i="2" s="1"/>
  <c r="AC378" i="2"/>
  <c r="AB426" i="2"/>
  <c r="AC426" i="2" s="1"/>
  <c r="D428" i="2"/>
  <c r="E428" i="2" s="1"/>
  <c r="H432" i="2"/>
  <c r="I432" i="2" s="1"/>
  <c r="D435" i="2"/>
  <c r="E435" i="2" s="1"/>
  <c r="X434" i="2"/>
  <c r="Y434" i="2" s="1"/>
  <c r="L436" i="2"/>
  <c r="M436" i="2" s="1"/>
  <c r="T438" i="2"/>
  <c r="U438" i="2" s="1"/>
  <c r="H439" i="2"/>
  <c r="I439" i="2" s="1"/>
  <c r="X439" i="2"/>
  <c r="Y439" i="2" s="1"/>
  <c r="Q392" i="2"/>
  <c r="M395" i="2"/>
  <c r="L443" i="2"/>
  <c r="H445" i="2"/>
  <c r="I445" i="2" s="1"/>
  <c r="L446" i="2"/>
  <c r="M446" i="2" s="1"/>
  <c r="P450" i="2"/>
  <c r="Q450" i="2" s="1"/>
  <c r="L453" i="2"/>
  <c r="M453" i="2" s="1"/>
  <c r="T454" i="2"/>
  <c r="U454" i="2" s="1"/>
  <c r="X407" i="2"/>
  <c r="Y407" i="2" s="1"/>
  <c r="AB456" i="2"/>
  <c r="P457" i="2"/>
  <c r="Q457" i="2" s="1"/>
  <c r="D458" i="2"/>
  <c r="E414" i="2"/>
  <c r="D462" i="2"/>
  <c r="E462" i="2" s="1"/>
  <c r="X422" i="2"/>
  <c r="Y422" i="2" s="1"/>
  <c r="AB472" i="2"/>
  <c r="AC472" i="2" s="1"/>
  <c r="L474" i="2"/>
  <c r="M474" i="2" s="1"/>
  <c r="AB474" i="2"/>
  <c r="AC474" i="2" s="1"/>
  <c r="AB476" i="2"/>
  <c r="AC476" i="2" s="1"/>
  <c r="L480" i="2"/>
  <c r="M432" i="2"/>
  <c r="X482" i="2"/>
  <c r="Y482" i="2" s="1"/>
  <c r="D437" i="2"/>
  <c r="E437" i="2" s="1"/>
  <c r="D439" i="2"/>
  <c r="P440" i="2"/>
  <c r="Q440" i="2" s="1"/>
  <c r="H491" i="2"/>
  <c r="I491" i="2" s="1"/>
  <c r="H495" i="2"/>
  <c r="I447" i="2"/>
  <c r="H494" i="2"/>
  <c r="I494" i="2" s="1"/>
  <c r="T498" i="2"/>
  <c r="L455" i="2"/>
  <c r="M455" i="2" s="1"/>
  <c r="L457" i="2"/>
  <c r="X458" i="2"/>
  <c r="Y458" i="2" s="1"/>
  <c r="L459" i="2"/>
  <c r="M459" i="2" s="1"/>
  <c r="P509" i="2"/>
  <c r="Q509" i="2" s="1"/>
  <c r="P511" i="2"/>
  <c r="Q511" i="2" s="1"/>
  <c r="P513" i="2"/>
  <c r="AB516" i="2"/>
  <c r="T473" i="2"/>
  <c r="U473" i="2" s="1"/>
  <c r="T475" i="2"/>
  <c r="Q479" i="2"/>
  <c r="AB536" i="2"/>
  <c r="AC536" i="2" s="1"/>
  <c r="AB531" i="2"/>
  <c r="AC531" i="2" s="1"/>
  <c r="AB527" i="2"/>
  <c r="M491" i="2"/>
  <c r="AB495" i="2"/>
  <c r="L550" i="2"/>
  <c r="M550" i="2" s="1"/>
  <c r="M502" i="2"/>
  <c r="H506" i="2"/>
  <c r="T556" i="2"/>
  <c r="U556" i="2" s="1"/>
  <c r="H510" i="2"/>
  <c r="I510" i="2" s="1"/>
  <c r="AC511" i="2"/>
  <c r="T568" i="2"/>
  <c r="U568" i="2" s="1"/>
  <c r="U520" i="2"/>
  <c r="AC522" i="2"/>
  <c r="AB574" i="2"/>
  <c r="AC574" i="2" s="1"/>
  <c r="I530" i="2"/>
  <c r="AB586" i="2"/>
  <c r="AC586" i="2" s="1"/>
  <c r="AC538" i="2"/>
  <c r="I541" i="2"/>
  <c r="X546" i="2"/>
  <c r="Y546" i="2" s="1"/>
  <c r="Q548" i="2"/>
  <c r="D565" i="2"/>
  <c r="E565" i="2" s="1"/>
  <c r="Y566" i="2"/>
  <c r="Y598" i="2"/>
  <c r="AC607" i="2"/>
  <c r="E617" i="2"/>
  <c r="I626" i="2"/>
  <c r="M635" i="2"/>
  <c r="Q644" i="2"/>
  <c r="U653" i="2"/>
  <c r="Y726" i="2"/>
  <c r="P775" i="2"/>
  <c r="Q775" i="2" s="1"/>
  <c r="U746" i="2"/>
  <c r="T794" i="2"/>
  <c r="U794" i="2" s="1"/>
  <c r="T792" i="2"/>
  <c r="U792" i="2" s="1"/>
  <c r="T784" i="2"/>
  <c r="U784" i="2" s="1"/>
  <c r="T751" i="2"/>
  <c r="U751" i="2" s="1"/>
  <c r="T772" i="2"/>
  <c r="Q747" i="2"/>
  <c r="P777" i="2"/>
  <c r="Y773" i="2"/>
  <c r="T379" i="2"/>
  <c r="U379" i="2" s="1"/>
  <c r="Q380" i="2"/>
  <c r="AB428" i="2"/>
  <c r="AC428" i="2" s="1"/>
  <c r="L429" i="2"/>
  <c r="M429" i="2" s="1"/>
  <c r="X429" i="2"/>
  <c r="Y429" i="2" s="1"/>
  <c r="H384" i="2"/>
  <c r="I384" i="2" s="1"/>
  <c r="E385" i="2"/>
  <c r="P433" i="2"/>
  <c r="AB433" i="2"/>
  <c r="AC433" i="2" s="1"/>
  <c r="L434" i="2"/>
  <c r="M434" i="2" s="1"/>
  <c r="X388" i="2"/>
  <c r="Y388" i="2" s="1"/>
  <c r="U389" i="2"/>
  <c r="D438" i="2"/>
  <c r="E438" i="2" s="1"/>
  <c r="P438" i="2"/>
  <c r="Q438" i="2" s="1"/>
  <c r="AB438" i="2"/>
  <c r="AC438" i="2" s="1"/>
  <c r="L393" i="2"/>
  <c r="I394" i="2"/>
  <c r="T442" i="2"/>
  <c r="U442" i="2" s="1"/>
  <c r="D443" i="2"/>
  <c r="E443" i="2" s="1"/>
  <c r="P443" i="2"/>
  <c r="Q443" i="2" s="1"/>
  <c r="AB397" i="2"/>
  <c r="AC397" i="2" s="1"/>
  <c r="Y398" i="2"/>
  <c r="H447" i="2"/>
  <c r="T447" i="2"/>
  <c r="U447" i="2" s="1"/>
  <c r="D448" i="2"/>
  <c r="E448" i="2" s="1"/>
  <c r="P402" i="2"/>
  <c r="Q402" i="2" s="1"/>
  <c r="M403" i="2"/>
  <c r="X451" i="2"/>
  <c r="H452" i="2"/>
  <c r="I452" i="2" s="1"/>
  <c r="T452" i="2"/>
  <c r="U452" i="2" s="1"/>
  <c r="AC407" i="2"/>
  <c r="L456" i="2"/>
  <c r="M456" i="2" s="1"/>
  <c r="X456" i="2"/>
  <c r="Y456" i="2" s="1"/>
  <c r="H457" i="2"/>
  <c r="I457" i="2" s="1"/>
  <c r="H460" i="2"/>
  <c r="I460" i="2" s="1"/>
  <c r="X461" i="2"/>
  <c r="Y461" i="2" s="1"/>
  <c r="X464" i="2"/>
  <c r="Y464" i="2" s="1"/>
  <c r="L466" i="2"/>
  <c r="M466" i="2" s="1"/>
  <c r="M419" i="2"/>
  <c r="L469" i="2"/>
  <c r="M469" i="2" s="1"/>
  <c r="AB470" i="2"/>
  <c r="AC470" i="2" s="1"/>
  <c r="AB473" i="2"/>
  <c r="AC473" i="2" s="1"/>
  <c r="P475" i="2"/>
  <c r="Q475" i="2" s="1"/>
  <c r="Q428" i="2"/>
  <c r="E433" i="2"/>
  <c r="U437" i="2"/>
  <c r="I442" i="2"/>
  <c r="Y446" i="2"/>
  <c r="AB501" i="2"/>
  <c r="P506" i="2"/>
  <c r="Q506" i="2" s="1"/>
  <c r="Q460" i="2"/>
  <c r="D511" i="2"/>
  <c r="E465" i="2"/>
  <c r="T515" i="2"/>
  <c r="U515" i="2" s="1"/>
  <c r="U469" i="2"/>
  <c r="H520" i="2"/>
  <c r="I474" i="2"/>
  <c r="L524" i="2"/>
  <c r="M524" i="2" s="1"/>
  <c r="U477" i="2"/>
  <c r="H528" i="2"/>
  <c r="I480" i="2"/>
  <c r="L529" i="2"/>
  <c r="M529" i="2" s="1"/>
  <c r="T530" i="2"/>
  <c r="T532" i="2"/>
  <c r="U532" i="2" s="1"/>
  <c r="H533" i="2"/>
  <c r="X533" i="2"/>
  <c r="Y533" i="2" s="1"/>
  <c r="X535" i="2"/>
  <c r="Y535" i="2" s="1"/>
  <c r="I490" i="2"/>
  <c r="X540" i="2"/>
  <c r="Y540" i="2" s="1"/>
  <c r="T542" i="2"/>
  <c r="U542" i="2" s="1"/>
  <c r="AC495" i="2"/>
  <c r="P546" i="2"/>
  <c r="Q498" i="2"/>
  <c r="L548" i="2"/>
  <c r="M548" i="2" s="1"/>
  <c r="U501" i="2"/>
  <c r="AB550" i="2"/>
  <c r="AC550" i="2" s="1"/>
  <c r="AB552" i="2"/>
  <c r="AC552" i="2" s="1"/>
  <c r="I506" i="2"/>
  <c r="P555" i="2"/>
  <c r="Q555" i="2" s="1"/>
  <c r="P557" i="2"/>
  <c r="Q557" i="2" s="1"/>
  <c r="D560" i="2"/>
  <c r="E560" i="2" s="1"/>
  <c r="D562" i="2"/>
  <c r="E562" i="2" s="1"/>
  <c r="M515" i="2"/>
  <c r="T564" i="2"/>
  <c r="U564" i="2" s="1"/>
  <c r="T566" i="2"/>
  <c r="U566" i="2" s="1"/>
  <c r="H569" i="2"/>
  <c r="I569" i="2" s="1"/>
  <c r="H571" i="2"/>
  <c r="I571" i="2" s="1"/>
  <c r="Q524" i="2"/>
  <c r="X573" i="2"/>
  <c r="Y573" i="2" s="1"/>
  <c r="X575" i="2"/>
  <c r="Y575" i="2" s="1"/>
  <c r="L578" i="2"/>
  <c r="M578" i="2" s="1"/>
  <c r="L580" i="2"/>
  <c r="M580" i="2" s="1"/>
  <c r="U533" i="2"/>
  <c r="AB582" i="2"/>
  <c r="AC582" i="2" s="1"/>
  <c r="AB584" i="2"/>
  <c r="AC584" i="2" s="1"/>
  <c r="I538" i="2"/>
  <c r="P587" i="2"/>
  <c r="Q587" i="2" s="1"/>
  <c r="P589" i="2"/>
  <c r="Q589" i="2" s="1"/>
  <c r="Y542" i="2"/>
  <c r="D592" i="2"/>
  <c r="E592" i="2" s="1"/>
  <c r="D594" i="2"/>
  <c r="E594" i="2" s="1"/>
  <c r="M547" i="2"/>
  <c r="AC551" i="2"/>
  <c r="Q556" i="2"/>
  <c r="E561" i="2"/>
  <c r="U565" i="2"/>
  <c r="I570" i="2"/>
  <c r="Y574" i="2"/>
  <c r="M579" i="2"/>
  <c r="AC583" i="2"/>
  <c r="Q588" i="2"/>
  <c r="E593" i="2"/>
  <c r="U597" i="2"/>
  <c r="I602" i="2"/>
  <c r="Y606" i="2"/>
  <c r="M611" i="2"/>
  <c r="AC615" i="2"/>
  <c r="Q620" i="2"/>
  <c r="E625" i="2"/>
  <c r="U629" i="2"/>
  <c r="I634" i="2"/>
  <c r="Y638" i="2"/>
  <c r="M643" i="2"/>
  <c r="AC647" i="2"/>
  <c r="Q652" i="2"/>
  <c r="E657" i="2"/>
  <c r="U661" i="2"/>
  <c r="I666" i="2"/>
  <c r="Y670" i="2"/>
  <c r="M675" i="2"/>
  <c r="AC679" i="2"/>
  <c r="Q684" i="2"/>
  <c r="E689" i="2"/>
  <c r="U693" i="2"/>
  <c r="I698" i="2"/>
  <c r="Y702" i="2"/>
  <c r="M707" i="2"/>
  <c r="T756" i="2"/>
  <c r="AC711" i="2"/>
  <c r="Q716" i="2"/>
  <c r="X765" i="2"/>
  <c r="Y765" i="2" s="1"/>
  <c r="D769" i="2"/>
  <c r="E769" i="2" s="1"/>
  <c r="T773" i="2"/>
  <c r="U773" i="2" s="1"/>
  <c r="H778" i="2"/>
  <c r="I778" i="2" s="1"/>
  <c r="X782" i="2"/>
  <c r="Y782" i="2" s="1"/>
  <c r="L787" i="2"/>
  <c r="M787" i="2" s="1"/>
  <c r="P790" i="2"/>
  <c r="P788" i="2"/>
  <c r="P787" i="2"/>
  <c r="Q787" i="2" s="1"/>
  <c r="AB793" i="2"/>
  <c r="AC793" i="2" s="1"/>
  <c r="T795" i="2"/>
  <c r="U795" i="2" s="1"/>
  <c r="M750" i="2"/>
  <c r="L798" i="2"/>
  <c r="M798" i="2" s="1"/>
  <c r="AB801" i="2"/>
  <c r="X801" i="2"/>
  <c r="Y801" i="2" s="1"/>
  <c r="P764" i="2"/>
  <c r="Q772" i="2"/>
  <c r="U781" i="2"/>
  <c r="Q790" i="2"/>
  <c r="E792" i="2"/>
  <c r="Y794" i="2"/>
  <c r="AB748" i="2"/>
  <c r="D758" i="2"/>
  <c r="H767" i="2"/>
  <c r="I767" i="2" s="1"/>
  <c r="AB780" i="2"/>
  <c r="AC780" i="2" s="1"/>
  <c r="P785" i="2"/>
  <c r="X794" i="2"/>
  <c r="P798" i="2"/>
  <c r="Q798" i="2" s="1"/>
  <c r="H800" i="2"/>
  <c r="I800" i="2" s="1"/>
  <c r="D801" i="2"/>
  <c r="E801" i="2" s="1"/>
  <c r="E753" i="2"/>
  <c r="D798" i="2"/>
  <c r="E798" i="2" s="1"/>
  <c r="U756" i="2"/>
  <c r="M759" i="2"/>
  <c r="M760" i="2"/>
  <c r="AC769" i="2"/>
  <c r="E333" i="2"/>
  <c r="U337" i="2"/>
  <c r="I342" i="2"/>
  <c r="Y346" i="2"/>
  <c r="Q360" i="2"/>
  <c r="P378" i="2"/>
  <c r="Q378" i="2" s="1"/>
  <c r="M379" i="2"/>
  <c r="X427" i="2"/>
  <c r="Y427" i="2" s="1"/>
  <c r="H428" i="2"/>
  <c r="I428" i="2" s="1"/>
  <c r="T428" i="2"/>
  <c r="U428" i="2" s="1"/>
  <c r="D383" i="2"/>
  <c r="AC383" i="2"/>
  <c r="L432" i="2"/>
  <c r="X432" i="2"/>
  <c r="Y432" i="2" s="1"/>
  <c r="H433" i="2"/>
  <c r="I433" i="2" s="1"/>
  <c r="T387" i="2"/>
  <c r="U387" i="2" s="1"/>
  <c r="Q388" i="2"/>
  <c r="AB436" i="2"/>
  <c r="AC436" i="2" s="1"/>
  <c r="L437" i="2"/>
  <c r="M437" i="2" s="1"/>
  <c r="X437" i="2"/>
  <c r="Y437" i="2" s="1"/>
  <c r="H392" i="2"/>
  <c r="I392" i="2" s="1"/>
  <c r="P441" i="2"/>
  <c r="Q441" i="2" s="1"/>
  <c r="AB441" i="2"/>
  <c r="AC441" i="2" s="1"/>
  <c r="L442" i="2"/>
  <c r="M442" i="2" s="1"/>
  <c r="X396" i="2"/>
  <c r="Y396" i="2" s="1"/>
  <c r="U397" i="2"/>
  <c r="D446" i="2"/>
  <c r="P446" i="2"/>
  <c r="Q446" i="2" s="1"/>
  <c r="AB446" i="2"/>
  <c r="AC446" i="2" s="1"/>
  <c r="L401" i="2"/>
  <c r="M401" i="2" s="1"/>
  <c r="T450" i="2"/>
  <c r="U450" i="2" s="1"/>
  <c r="D451" i="2"/>
  <c r="E451" i="2" s="1"/>
  <c r="P451" i="2"/>
  <c r="Q451" i="2" s="1"/>
  <c r="H455" i="2"/>
  <c r="I455" i="2" s="1"/>
  <c r="T455" i="2"/>
  <c r="U455" i="2" s="1"/>
  <c r="D456" i="2"/>
  <c r="E456" i="2" s="1"/>
  <c r="M411" i="2"/>
  <c r="L461" i="2"/>
  <c r="M461" i="2" s="1"/>
  <c r="AB462" i="2"/>
  <c r="AC462" i="2" s="1"/>
  <c r="AC415" i="2"/>
  <c r="AB465" i="2"/>
  <c r="AC465" i="2" s="1"/>
  <c r="P467" i="2"/>
  <c r="Q467" i="2" s="1"/>
  <c r="Q420" i="2"/>
  <c r="P470" i="2"/>
  <c r="Q470" i="2" s="1"/>
  <c r="D472" i="2"/>
  <c r="E472" i="2" s="1"/>
  <c r="E425" i="2"/>
  <c r="D475" i="2"/>
  <c r="E475" i="2" s="1"/>
  <c r="U429" i="2"/>
  <c r="M443" i="2"/>
  <c r="AC447" i="2"/>
  <c r="D503" i="2"/>
  <c r="E457" i="2"/>
  <c r="T507" i="2"/>
  <c r="H512" i="2"/>
  <c r="I466" i="2"/>
  <c r="X516" i="2"/>
  <c r="L521" i="2"/>
  <c r="M475" i="2"/>
  <c r="D527" i="2"/>
  <c r="AB528" i="2"/>
  <c r="AC528" i="2" s="1"/>
  <c r="I482" i="2"/>
  <c r="X532" i="2"/>
  <c r="AB533" i="2"/>
  <c r="AC533" i="2" s="1"/>
  <c r="H535" i="2"/>
  <c r="H537" i="2"/>
  <c r="I537" i="2" s="1"/>
  <c r="X537" i="2"/>
  <c r="L538" i="2"/>
  <c r="M538" i="2" s="1"/>
  <c r="L540" i="2"/>
  <c r="M540" i="2" s="1"/>
  <c r="Y494" i="2"/>
  <c r="L545" i="2"/>
  <c r="M545" i="2" s="1"/>
  <c r="H547" i="2"/>
  <c r="I547" i="2" s="1"/>
  <c r="Q500" i="2"/>
  <c r="X549" i="2"/>
  <c r="Y549" i="2" s="1"/>
  <c r="X551" i="2"/>
  <c r="Y551" i="2" s="1"/>
  <c r="L554" i="2"/>
  <c r="M554" i="2" s="1"/>
  <c r="L556" i="2"/>
  <c r="M556" i="2" s="1"/>
  <c r="AB558" i="2"/>
  <c r="AC558" i="2" s="1"/>
  <c r="AB560" i="2"/>
  <c r="AC560" i="2" s="1"/>
  <c r="I514" i="2"/>
  <c r="P563" i="2"/>
  <c r="Q563" i="2" s="1"/>
  <c r="P565" i="2"/>
  <c r="Q565" i="2" s="1"/>
  <c r="Y518" i="2"/>
  <c r="D568" i="2"/>
  <c r="E568" i="2" s="1"/>
  <c r="D570" i="2"/>
  <c r="E570" i="2" s="1"/>
  <c r="T572" i="2"/>
  <c r="U572" i="2" s="1"/>
  <c r="T574" i="2"/>
  <c r="U574" i="2" s="1"/>
  <c r="AC527" i="2"/>
  <c r="H577" i="2"/>
  <c r="I577" i="2" s="1"/>
  <c r="H579" i="2"/>
  <c r="I579" i="2" s="1"/>
  <c r="Q532" i="2"/>
  <c r="X581" i="2"/>
  <c r="Y581" i="2" s="1"/>
  <c r="X583" i="2"/>
  <c r="Y583" i="2" s="1"/>
  <c r="E537" i="2"/>
  <c r="L586" i="2"/>
  <c r="M586" i="2" s="1"/>
  <c r="L588" i="2"/>
  <c r="M588" i="2" s="1"/>
  <c r="U541" i="2"/>
  <c r="AB590" i="2"/>
  <c r="AC590" i="2" s="1"/>
  <c r="AB592" i="2"/>
  <c r="AC592" i="2" s="1"/>
  <c r="Q564" i="2"/>
  <c r="E569" i="2"/>
  <c r="U573" i="2"/>
  <c r="I578" i="2"/>
  <c r="Q596" i="2"/>
  <c r="E601" i="2"/>
  <c r="U605" i="2"/>
  <c r="I610" i="2"/>
  <c r="Y614" i="2"/>
  <c r="M619" i="2"/>
  <c r="AC623" i="2"/>
  <c r="Q628" i="2"/>
  <c r="E633" i="2"/>
  <c r="U637" i="2"/>
  <c r="I642" i="2"/>
  <c r="Y646" i="2"/>
  <c r="M651" i="2"/>
  <c r="AC655" i="2"/>
  <c r="Q660" i="2"/>
  <c r="E665" i="2"/>
  <c r="U669" i="2"/>
  <c r="I674" i="2"/>
  <c r="Y678" i="2"/>
  <c r="M683" i="2"/>
  <c r="AC687" i="2"/>
  <c r="Q692" i="2"/>
  <c r="D745" i="2"/>
  <c r="E745" i="2" s="1"/>
  <c r="T749" i="2"/>
  <c r="U749" i="2" s="1"/>
  <c r="H754" i="2"/>
  <c r="I754" i="2" s="1"/>
  <c r="X758" i="2"/>
  <c r="Y758" i="2" s="1"/>
  <c r="L763" i="2"/>
  <c r="M763" i="2" s="1"/>
  <c r="AB767" i="2"/>
  <c r="AC767" i="2" s="1"/>
  <c r="H770" i="2"/>
  <c r="I770" i="2" s="1"/>
  <c r="P772" i="2"/>
  <c r="X774" i="2"/>
  <c r="Y774" i="2" s="1"/>
  <c r="D777" i="2"/>
  <c r="T781" i="2"/>
  <c r="AB782" i="2"/>
  <c r="H786" i="2"/>
  <c r="I786" i="2" s="1"/>
  <c r="Q742" i="2"/>
  <c r="I745" i="2"/>
  <c r="H793" i="2"/>
  <c r="H791" i="2"/>
  <c r="Y771" i="2"/>
  <c r="Q785" i="2"/>
  <c r="AC799" i="2"/>
  <c r="L273" i="2"/>
  <c r="P274" i="2"/>
  <c r="T275" i="2"/>
  <c r="X276" i="2"/>
  <c r="Y276" i="2" s="1"/>
  <c r="AB277" i="2"/>
  <c r="AC277" i="2" s="1"/>
  <c r="D279" i="2"/>
  <c r="E279" i="2" s="1"/>
  <c r="H280" i="2"/>
  <c r="I280" i="2" s="1"/>
  <c r="L281" i="2"/>
  <c r="M281" i="2" s="1"/>
  <c r="P282" i="2"/>
  <c r="Q282" i="2" s="1"/>
  <c r="T283" i="2"/>
  <c r="U283" i="2" s="1"/>
  <c r="X284" i="2"/>
  <c r="Y284" i="2" s="1"/>
  <c r="AB285" i="2"/>
  <c r="AC285" i="2" s="1"/>
  <c r="D287" i="2"/>
  <c r="E287" i="2" s="1"/>
  <c r="L289" i="2"/>
  <c r="P290" i="2"/>
  <c r="Q290" i="2" s="1"/>
  <c r="T291" i="2"/>
  <c r="U291" i="2" s="1"/>
  <c r="X292" i="2"/>
  <c r="AB293" i="2"/>
  <c r="D295" i="2"/>
  <c r="H296" i="2"/>
  <c r="I296" i="2" s="1"/>
  <c r="L297" i="2"/>
  <c r="M297" i="2" s="1"/>
  <c r="P298" i="2"/>
  <c r="Q298" i="2" s="1"/>
  <c r="T299" i="2"/>
  <c r="U299" i="2" s="1"/>
  <c r="X300" i="2"/>
  <c r="Y300" i="2" s="1"/>
  <c r="AB301" i="2"/>
  <c r="AC301" i="2" s="1"/>
  <c r="D303" i="2"/>
  <c r="E303" i="2" s="1"/>
  <c r="H304" i="2"/>
  <c r="L305" i="2"/>
  <c r="M305" i="2" s="1"/>
  <c r="P306" i="2"/>
  <c r="Q306" i="2" s="1"/>
  <c r="T307" i="2"/>
  <c r="U307" i="2" s="1"/>
  <c r="X308" i="2"/>
  <c r="Y308" i="2" s="1"/>
  <c r="AB309" i="2"/>
  <c r="AC309" i="2" s="1"/>
  <c r="D311" i="2"/>
  <c r="E311" i="2" s="1"/>
  <c r="H312" i="2"/>
  <c r="I312" i="2" s="1"/>
  <c r="L313" i="2"/>
  <c r="P314" i="2"/>
  <c r="Q314" i="2" s="1"/>
  <c r="T315" i="2"/>
  <c r="U315" i="2" s="1"/>
  <c r="X316" i="2"/>
  <c r="Y316" i="2" s="1"/>
  <c r="AB317" i="2"/>
  <c r="AC317" i="2" s="1"/>
  <c r="H320" i="2"/>
  <c r="I320" i="2" s="1"/>
  <c r="L321" i="2"/>
  <c r="P322" i="2"/>
  <c r="T323" i="2"/>
  <c r="U323" i="2" s="1"/>
  <c r="X324" i="2"/>
  <c r="Y324" i="2" s="1"/>
  <c r="AB325" i="2"/>
  <c r="AC325" i="2" s="1"/>
  <c r="D327" i="2"/>
  <c r="H328" i="2"/>
  <c r="I328" i="2" s="1"/>
  <c r="L329" i="2"/>
  <c r="M329" i="2" s="1"/>
  <c r="P330" i="2"/>
  <c r="T331" i="2"/>
  <c r="X332" i="2"/>
  <c r="Y332" i="2" s="1"/>
  <c r="AB333" i="2"/>
  <c r="AC333" i="2" s="1"/>
  <c r="H336" i="2"/>
  <c r="I336" i="2" s="1"/>
  <c r="L337" i="2"/>
  <c r="M337" i="2" s="1"/>
  <c r="P338" i="2"/>
  <c r="Q338" i="2" s="1"/>
  <c r="T339" i="2"/>
  <c r="U339" i="2" s="1"/>
  <c r="X340" i="2"/>
  <c r="Y340" i="2" s="1"/>
  <c r="AB341" i="2"/>
  <c r="AC341" i="2" s="1"/>
  <c r="D343" i="2"/>
  <c r="H344" i="2"/>
  <c r="I344" i="2" s="1"/>
  <c r="L345" i="2"/>
  <c r="M345" i="2" s="1"/>
  <c r="P346" i="2"/>
  <c r="Q346" i="2" s="1"/>
  <c r="T347" i="2"/>
  <c r="U347" i="2" s="1"/>
  <c r="X348" i="2"/>
  <c r="Y348" i="2" s="1"/>
  <c r="AB349" i="2"/>
  <c r="D351" i="2"/>
  <c r="H352" i="2"/>
  <c r="L353" i="2"/>
  <c r="M353" i="2" s="1"/>
  <c r="P354" i="2"/>
  <c r="Q354" i="2" s="1"/>
  <c r="T355" i="2"/>
  <c r="U355" i="2" s="1"/>
  <c r="X356" i="2"/>
  <c r="Y356" i="2" s="1"/>
  <c r="AB357" i="2"/>
  <c r="AC357" i="2" s="1"/>
  <c r="D359" i="2"/>
  <c r="E359" i="2" s="1"/>
  <c r="H360" i="2"/>
  <c r="I360" i="2" s="1"/>
  <c r="L361" i="2"/>
  <c r="M361" i="2" s="1"/>
  <c r="P362" i="2"/>
  <c r="Q362" i="2" s="1"/>
  <c r="T363" i="2"/>
  <c r="U363" i="2" s="1"/>
  <c r="H368" i="2"/>
  <c r="I368" i="2" s="1"/>
  <c r="L369" i="2"/>
  <c r="M369" i="2" s="1"/>
  <c r="P370" i="2"/>
  <c r="Q370" i="2" s="1"/>
  <c r="T371" i="2"/>
  <c r="U371" i="2" s="1"/>
  <c r="X372" i="2"/>
  <c r="Y372" i="2" s="1"/>
  <c r="AB373" i="2"/>
  <c r="AC373" i="2" s="1"/>
  <c r="D375" i="2"/>
  <c r="E375" i="2" s="1"/>
  <c r="H376" i="2"/>
  <c r="I376" i="2" s="1"/>
  <c r="L377" i="2"/>
  <c r="M377" i="2" s="1"/>
  <c r="AC412" i="2"/>
  <c r="AB460" i="2"/>
  <c r="AC460" i="2" s="1"/>
  <c r="Q417" i="2"/>
  <c r="P465" i="2"/>
  <c r="Q465" i="2" s="1"/>
  <c r="D470" i="2"/>
  <c r="T474" i="2"/>
  <c r="U474" i="2" s="1"/>
  <c r="H477" i="2"/>
  <c r="I477" i="2" s="1"/>
  <c r="H479" i="2"/>
  <c r="I479" i="2" s="1"/>
  <c r="X479" i="2"/>
  <c r="X481" i="2"/>
  <c r="X483" i="2"/>
  <c r="L484" i="2"/>
  <c r="M484" i="2" s="1"/>
  <c r="L486" i="2"/>
  <c r="M486" i="2" s="1"/>
  <c r="L488" i="2"/>
  <c r="M488" i="2" s="1"/>
  <c r="AB488" i="2"/>
  <c r="AC488" i="2" s="1"/>
  <c r="AB490" i="2"/>
  <c r="AB492" i="2"/>
  <c r="AC492" i="2" s="1"/>
  <c r="P493" i="2"/>
  <c r="Q493" i="2" s="1"/>
  <c r="P495" i="2"/>
  <c r="Q495" i="2" s="1"/>
  <c r="P497" i="2"/>
  <c r="Q497" i="2" s="1"/>
  <c r="D498" i="2"/>
  <c r="D500" i="2"/>
  <c r="E500" i="2" s="1"/>
  <c r="D502" i="2"/>
  <c r="E502" i="2" s="1"/>
  <c r="T502" i="2"/>
  <c r="U502" i="2" s="1"/>
  <c r="T504" i="2"/>
  <c r="U504" i="2" s="1"/>
  <c r="T506" i="2"/>
  <c r="U506" i="2" s="1"/>
  <c r="H507" i="2"/>
  <c r="I507" i="2" s="1"/>
  <c r="H509" i="2"/>
  <c r="I509" i="2" s="1"/>
  <c r="H511" i="2"/>
  <c r="I511" i="2" s="1"/>
  <c r="I463" i="2"/>
  <c r="X511" i="2"/>
  <c r="Y511" i="2" s="1"/>
  <c r="X513" i="2"/>
  <c r="Y513" i="2" s="1"/>
  <c r="X515" i="2"/>
  <c r="Y515" i="2" s="1"/>
  <c r="L516" i="2"/>
  <c r="M516" i="2" s="1"/>
  <c r="L518" i="2"/>
  <c r="L520" i="2"/>
  <c r="M520" i="2" s="1"/>
  <c r="M472" i="2"/>
  <c r="AB520" i="2"/>
  <c r="AC520" i="2" s="1"/>
  <c r="AB522" i="2"/>
  <c r="H525" i="2"/>
  <c r="I525" i="2" s="1"/>
  <c r="AB525" i="2"/>
  <c r="X527" i="2"/>
  <c r="Y527" i="2" s="1"/>
  <c r="Y479" i="2"/>
  <c r="E486" i="2"/>
  <c r="D534" i="2"/>
  <c r="E534" i="2" s="1"/>
  <c r="T536" i="2"/>
  <c r="U536" i="2" s="1"/>
  <c r="H539" i="2"/>
  <c r="I539" i="2" s="1"/>
  <c r="AB540" i="2"/>
  <c r="P543" i="2"/>
  <c r="Q543" i="2" s="1"/>
  <c r="H544" i="2"/>
  <c r="Y496" i="2"/>
  <c r="D546" i="2"/>
  <c r="E546" i="2" s="1"/>
  <c r="E498" i="2"/>
  <c r="H549" i="2"/>
  <c r="I549" i="2" s="1"/>
  <c r="X553" i="2"/>
  <c r="Y553" i="2" s="1"/>
  <c r="L558" i="2"/>
  <c r="M558" i="2" s="1"/>
  <c r="AB562" i="2"/>
  <c r="AC562" i="2" s="1"/>
  <c r="P567" i="2"/>
  <c r="Q567" i="2" s="1"/>
  <c r="D572" i="2"/>
  <c r="E572" i="2" s="1"/>
  <c r="T576" i="2"/>
  <c r="U576" i="2" s="1"/>
  <c r="H581" i="2"/>
  <c r="I581" i="2" s="1"/>
  <c r="D537" i="2"/>
  <c r="X585" i="2"/>
  <c r="Y585" i="2" s="1"/>
  <c r="D541" i="2"/>
  <c r="E541" i="2" s="1"/>
  <c r="H546" i="2"/>
  <c r="I546" i="2" s="1"/>
  <c r="X550" i="2"/>
  <c r="Y550" i="2" s="1"/>
  <c r="L555" i="2"/>
  <c r="M555" i="2" s="1"/>
  <c r="AB559" i="2"/>
  <c r="AC559" i="2" s="1"/>
  <c r="P564" i="2"/>
  <c r="D569" i="2"/>
  <c r="T573" i="2"/>
  <c r="H578" i="2"/>
  <c r="X582" i="2"/>
  <c r="Y582" i="2" s="1"/>
  <c r="L587" i="2"/>
  <c r="M587" i="2" s="1"/>
  <c r="AB591" i="2"/>
  <c r="AC591" i="2" s="1"/>
  <c r="X745" i="2"/>
  <c r="Y745" i="2" s="1"/>
  <c r="L749" i="2"/>
  <c r="M749" i="2" s="1"/>
  <c r="AB754" i="2"/>
  <c r="P758" i="2"/>
  <c r="Q758" i="2" s="1"/>
  <c r="D763" i="2"/>
  <c r="E763" i="2" s="1"/>
  <c r="T768" i="2"/>
  <c r="U768" i="2" s="1"/>
  <c r="T770" i="2"/>
  <c r="U770" i="2" s="1"/>
  <c r="H772" i="2"/>
  <c r="I772" i="2" s="1"/>
  <c r="X776" i="2"/>
  <c r="Y776" i="2" s="1"/>
  <c r="L782" i="2"/>
  <c r="M782" i="2" s="1"/>
  <c r="L784" i="2"/>
  <c r="M784" i="2" s="1"/>
  <c r="AB786" i="2"/>
  <c r="AC786" i="2" s="1"/>
  <c r="AB788" i="2"/>
  <c r="AC788" i="2" s="1"/>
  <c r="X789" i="2"/>
  <c r="Q743" i="2"/>
  <c r="E747" i="2"/>
  <c r="D795" i="2"/>
  <c r="E795" i="2" s="1"/>
  <c r="D793" i="2"/>
  <c r="E793" i="2" s="1"/>
  <c r="E748" i="2"/>
  <c r="D796" i="2"/>
  <c r="E796" i="2" s="1"/>
  <c r="AC755" i="2"/>
  <c r="I762" i="2"/>
  <c r="AC764" i="2"/>
  <c r="X771" i="2"/>
  <c r="I798" i="2"/>
  <c r="I799" i="2"/>
  <c r="AC801" i="2"/>
  <c r="E343" i="2"/>
  <c r="I352" i="2"/>
  <c r="I378" i="2"/>
  <c r="T426" i="2"/>
  <c r="U426" i="2" s="1"/>
  <c r="D427" i="2"/>
  <c r="E427" i="2" s="1"/>
  <c r="P427" i="2"/>
  <c r="Q427" i="2" s="1"/>
  <c r="H431" i="2"/>
  <c r="I431" i="2" s="1"/>
  <c r="T431" i="2"/>
  <c r="U431" i="2" s="1"/>
  <c r="D432" i="2"/>
  <c r="E432" i="2" s="1"/>
  <c r="M387" i="2"/>
  <c r="X435" i="2"/>
  <c r="Y435" i="2" s="1"/>
  <c r="H436" i="2"/>
  <c r="I436" i="2" s="1"/>
  <c r="T436" i="2"/>
  <c r="U436" i="2" s="1"/>
  <c r="AC391" i="2"/>
  <c r="L440" i="2"/>
  <c r="M440" i="2" s="1"/>
  <c r="X440" i="2"/>
  <c r="Y440" i="2" s="1"/>
  <c r="H441" i="2"/>
  <c r="I441" i="2" s="1"/>
  <c r="Q396" i="2"/>
  <c r="AB444" i="2"/>
  <c r="AC444" i="2" s="1"/>
  <c r="L445" i="2"/>
  <c r="M445" i="2" s="1"/>
  <c r="X445" i="2"/>
  <c r="Y445" i="2" s="1"/>
  <c r="P449" i="2"/>
  <c r="Q449" i="2" s="1"/>
  <c r="AB449" i="2"/>
  <c r="AC449" i="2" s="1"/>
  <c r="L450" i="2"/>
  <c r="M450" i="2" s="1"/>
  <c r="U405" i="2"/>
  <c r="D454" i="2"/>
  <c r="E454" i="2" s="1"/>
  <c r="P454" i="2"/>
  <c r="Q454" i="2" s="1"/>
  <c r="AB454" i="2"/>
  <c r="AC454" i="2" s="1"/>
  <c r="I410" i="2"/>
  <c r="T458" i="2"/>
  <c r="U458" i="2" s="1"/>
  <c r="D459" i="2"/>
  <c r="E459" i="2" s="1"/>
  <c r="P459" i="2"/>
  <c r="Q459" i="2" s="1"/>
  <c r="Q412" i="2"/>
  <c r="P462" i="2"/>
  <c r="Q462" i="2" s="1"/>
  <c r="D464" i="2"/>
  <c r="E464" i="2" s="1"/>
  <c r="E417" i="2"/>
  <c r="D467" i="2"/>
  <c r="E467" i="2" s="1"/>
  <c r="T468" i="2"/>
  <c r="U468" i="2" s="1"/>
  <c r="T471" i="2"/>
  <c r="U471" i="2" s="1"/>
  <c r="H473" i="2"/>
  <c r="I473" i="2" s="1"/>
  <c r="I426" i="2"/>
  <c r="X476" i="2"/>
  <c r="Y476" i="2" s="1"/>
  <c r="X478" i="2"/>
  <c r="L479" i="2"/>
  <c r="M479" i="2" s="1"/>
  <c r="L481" i="2"/>
  <c r="M481" i="2" s="1"/>
  <c r="L483" i="2"/>
  <c r="M435" i="2"/>
  <c r="AB483" i="2"/>
  <c r="AC483" i="2" s="1"/>
  <c r="AB485" i="2"/>
  <c r="AC485" i="2" s="1"/>
  <c r="AB487" i="2"/>
  <c r="AC439" i="2"/>
  <c r="P488" i="2"/>
  <c r="Q488" i="2" s="1"/>
  <c r="P490" i="2"/>
  <c r="Q490" i="2" s="1"/>
  <c r="P492" i="2"/>
  <c r="Q444" i="2"/>
  <c r="D493" i="2"/>
  <c r="E493" i="2" s="1"/>
  <c r="D495" i="2"/>
  <c r="E495" i="2" s="1"/>
  <c r="D497" i="2"/>
  <c r="T497" i="2"/>
  <c r="U497" i="2" s="1"/>
  <c r="T499" i="2"/>
  <c r="U499" i="2" s="1"/>
  <c r="U453" i="2"/>
  <c r="H504" i="2"/>
  <c r="I504" i="2" s="1"/>
  <c r="I458" i="2"/>
  <c r="X508" i="2"/>
  <c r="Y462" i="2"/>
  <c r="L513" i="2"/>
  <c r="M513" i="2" s="1"/>
  <c r="M467" i="2"/>
  <c r="AB517" i="2"/>
  <c r="AC517" i="2" s="1"/>
  <c r="P522" i="2"/>
  <c r="Q522" i="2" s="1"/>
  <c r="D524" i="2"/>
  <c r="T524" i="2"/>
  <c r="U524" i="2" s="1"/>
  <c r="T526" i="2"/>
  <c r="U526" i="2" s="1"/>
  <c r="T531" i="2"/>
  <c r="U531" i="2" s="1"/>
  <c r="P533" i="2"/>
  <c r="Q533" i="2" s="1"/>
  <c r="Y486" i="2"/>
  <c r="L487" i="2"/>
  <c r="M487" i="2" s="1"/>
  <c r="L537" i="2"/>
  <c r="P538" i="2"/>
  <c r="Y491" i="2"/>
  <c r="X539" i="2"/>
  <c r="X541" i="2"/>
  <c r="Y541" i="2" s="1"/>
  <c r="L542" i="2"/>
  <c r="AB542" i="2"/>
  <c r="AC542" i="2" s="1"/>
  <c r="AB544" i="2"/>
  <c r="AC544" i="2" s="1"/>
  <c r="T548" i="2"/>
  <c r="U548" i="2" s="1"/>
  <c r="I501" i="2"/>
  <c r="T550" i="2"/>
  <c r="U550" i="2" s="1"/>
  <c r="H553" i="2"/>
  <c r="I553" i="2" s="1"/>
  <c r="Y505" i="2"/>
  <c r="H555" i="2"/>
  <c r="I555" i="2" s="1"/>
  <c r="Q508" i="2"/>
  <c r="X557" i="2"/>
  <c r="Y557" i="2" s="1"/>
  <c r="M510" i="2"/>
  <c r="X559" i="2"/>
  <c r="Y559" i="2" s="1"/>
  <c r="E513" i="2"/>
  <c r="L562" i="2"/>
  <c r="M562" i="2" s="1"/>
  <c r="AC514" i="2"/>
  <c r="L564" i="2"/>
  <c r="M564" i="2" s="1"/>
  <c r="AB566" i="2"/>
  <c r="AC566" i="2" s="1"/>
  <c r="Q519" i="2"/>
  <c r="AB568" i="2"/>
  <c r="AC568" i="2" s="1"/>
  <c r="I522" i="2"/>
  <c r="P571" i="2"/>
  <c r="Q571" i="2" s="1"/>
  <c r="E524" i="2"/>
  <c r="P573" i="2"/>
  <c r="Q573" i="2" s="1"/>
  <c r="D576" i="2"/>
  <c r="E576" i="2" s="1"/>
  <c r="U528" i="2"/>
  <c r="D578" i="2"/>
  <c r="E578" i="2" s="1"/>
  <c r="T580" i="2"/>
  <c r="U580" i="2" s="1"/>
  <c r="I533" i="2"/>
  <c r="T582" i="2"/>
  <c r="U582" i="2" s="1"/>
  <c r="H585" i="2"/>
  <c r="I585" i="2" s="1"/>
  <c r="Y537" i="2"/>
  <c r="H587" i="2"/>
  <c r="I587" i="2" s="1"/>
  <c r="Q540" i="2"/>
  <c r="X589" i="2"/>
  <c r="Y589" i="2" s="1"/>
  <c r="M542" i="2"/>
  <c r="X591" i="2"/>
  <c r="Y591" i="2" s="1"/>
  <c r="E545" i="2"/>
  <c r="AC546" i="2"/>
  <c r="U549" i="2"/>
  <c r="I554" i="2"/>
  <c r="Y558" i="2"/>
  <c r="M563" i="2"/>
  <c r="AC567" i="2"/>
  <c r="E577" i="2"/>
  <c r="I586" i="2"/>
  <c r="Y590" i="2"/>
  <c r="M595" i="2"/>
  <c r="AC599" i="2"/>
  <c r="Q604" i="2"/>
  <c r="E609" i="2"/>
  <c r="U613" i="2"/>
  <c r="I618" i="2"/>
  <c r="Y622" i="2"/>
  <c r="M627" i="2"/>
  <c r="AC631" i="2"/>
  <c r="Q636" i="2"/>
  <c r="E641" i="2"/>
  <c r="U645" i="2"/>
  <c r="I650" i="2"/>
  <c r="Y654" i="2"/>
  <c r="M659" i="2"/>
  <c r="AC663" i="2"/>
  <c r="Q668" i="2"/>
  <c r="E673" i="2"/>
  <c r="U677" i="2"/>
  <c r="I682" i="2"/>
  <c r="Y686" i="2"/>
  <c r="M691" i="2"/>
  <c r="AC695" i="2"/>
  <c r="Q700" i="2"/>
  <c r="X749" i="2"/>
  <c r="E705" i="2"/>
  <c r="U709" i="2"/>
  <c r="AB758" i="2"/>
  <c r="I714" i="2"/>
  <c r="Y718" i="2"/>
  <c r="M723" i="2"/>
  <c r="AC727" i="2"/>
  <c r="Q732" i="2"/>
  <c r="E737" i="2"/>
  <c r="P792" i="2"/>
  <c r="L793" i="2"/>
  <c r="M793" i="2" s="1"/>
  <c r="AB796" i="2"/>
  <c r="AC796" i="2" s="1"/>
  <c r="AC748" i="2"/>
  <c r="Y749" i="2"/>
  <c r="X750" i="2"/>
  <c r="M754" i="2"/>
  <c r="E782" i="2"/>
  <c r="AC782" i="2"/>
  <c r="B1419" i="4"/>
  <c r="D1419" i="4" s="1"/>
  <c r="L662" i="2"/>
  <c r="M662" i="2" s="1"/>
  <c r="AB662" i="2"/>
  <c r="AC662" i="2" s="1"/>
  <c r="P663" i="2"/>
  <c r="Q663" i="2" s="1"/>
  <c r="D664" i="2"/>
  <c r="E664" i="2" s="1"/>
  <c r="T664" i="2"/>
  <c r="U664" i="2" s="1"/>
  <c r="H665" i="2"/>
  <c r="I665" i="2" s="1"/>
  <c r="X665" i="2"/>
  <c r="Y665" i="2" s="1"/>
  <c r="L666" i="2"/>
  <c r="M666" i="2" s="1"/>
  <c r="AB666" i="2"/>
  <c r="AC666" i="2" s="1"/>
  <c r="P667" i="2"/>
  <c r="Q667" i="2" s="1"/>
  <c r="D668" i="2"/>
  <c r="E668" i="2" s="1"/>
  <c r="T668" i="2"/>
  <c r="U668" i="2" s="1"/>
  <c r="H669" i="2"/>
  <c r="I669" i="2" s="1"/>
  <c r="X669" i="2"/>
  <c r="Y669" i="2" s="1"/>
  <c r="L670" i="2"/>
  <c r="M670" i="2" s="1"/>
  <c r="AB670" i="2"/>
  <c r="AC670" i="2" s="1"/>
  <c r="P671" i="2"/>
  <c r="Q671" i="2" s="1"/>
  <c r="D672" i="2"/>
  <c r="E672" i="2" s="1"/>
  <c r="T672" i="2"/>
  <c r="U672" i="2" s="1"/>
  <c r="H673" i="2"/>
  <c r="I673" i="2" s="1"/>
  <c r="X673" i="2"/>
  <c r="Y673" i="2" s="1"/>
  <c r="L674" i="2"/>
  <c r="M674" i="2" s="1"/>
  <c r="AB674" i="2"/>
  <c r="AC674" i="2" s="1"/>
  <c r="P675" i="2"/>
  <c r="Q675" i="2" s="1"/>
  <c r="D676" i="2"/>
  <c r="E676" i="2" s="1"/>
  <c r="T676" i="2"/>
  <c r="U676" i="2" s="1"/>
  <c r="H677" i="2"/>
  <c r="I677" i="2" s="1"/>
  <c r="X677" i="2"/>
  <c r="Y677" i="2" s="1"/>
  <c r="L678" i="2"/>
  <c r="M678" i="2" s="1"/>
  <c r="AB678" i="2"/>
  <c r="AC678" i="2" s="1"/>
  <c r="P679" i="2"/>
  <c r="Q679" i="2" s="1"/>
  <c r="D680" i="2"/>
  <c r="E680" i="2" s="1"/>
  <c r="T680" i="2"/>
  <c r="U680" i="2" s="1"/>
  <c r="H681" i="2"/>
  <c r="I681" i="2" s="1"/>
  <c r="X681" i="2"/>
  <c r="Y681" i="2" s="1"/>
  <c r="L682" i="2"/>
  <c r="M682" i="2" s="1"/>
  <c r="AB682" i="2"/>
  <c r="AC682" i="2" s="1"/>
  <c r="P683" i="2"/>
  <c r="Q683" i="2" s="1"/>
  <c r="D684" i="2"/>
  <c r="E684" i="2" s="1"/>
  <c r="T684" i="2"/>
  <c r="U684" i="2" s="1"/>
  <c r="H685" i="2"/>
  <c r="I685" i="2" s="1"/>
  <c r="X685" i="2"/>
  <c r="Y685" i="2" s="1"/>
  <c r="L686" i="2"/>
  <c r="M686" i="2" s="1"/>
  <c r="AB686" i="2"/>
  <c r="AC686" i="2" s="1"/>
  <c r="P687" i="2"/>
  <c r="Q687" i="2" s="1"/>
  <c r="D688" i="2"/>
  <c r="E688" i="2" s="1"/>
  <c r="T688" i="2"/>
  <c r="U688" i="2" s="1"/>
  <c r="H689" i="2"/>
  <c r="I689" i="2" s="1"/>
  <c r="X689" i="2"/>
  <c r="Y689" i="2" s="1"/>
  <c r="L690" i="2"/>
  <c r="M690" i="2" s="1"/>
  <c r="AB690" i="2"/>
  <c r="AC690" i="2" s="1"/>
  <c r="P691" i="2"/>
  <c r="Q691" i="2" s="1"/>
  <c r="D692" i="2"/>
  <c r="E692" i="2" s="1"/>
  <c r="T692" i="2"/>
  <c r="U692" i="2" s="1"/>
  <c r="H693" i="2"/>
  <c r="I693" i="2" s="1"/>
  <c r="X693" i="2"/>
  <c r="Y693" i="2" s="1"/>
  <c r="L694" i="2"/>
  <c r="M694" i="2" s="1"/>
  <c r="AB694" i="2"/>
  <c r="AC694" i="2" s="1"/>
  <c r="P695" i="2"/>
  <c r="Q695" i="2" s="1"/>
  <c r="D696" i="2"/>
  <c r="E696" i="2" s="1"/>
  <c r="T696" i="2"/>
  <c r="U696" i="2" s="1"/>
  <c r="H697" i="2"/>
  <c r="I697" i="2" s="1"/>
  <c r="X697" i="2"/>
  <c r="Y697" i="2" s="1"/>
  <c r="L698" i="2"/>
  <c r="M698" i="2" s="1"/>
  <c r="AB698" i="2"/>
  <c r="AC698" i="2" s="1"/>
  <c r="P699" i="2"/>
  <c r="Q699" i="2" s="1"/>
  <c r="D700" i="2"/>
  <c r="E700" i="2" s="1"/>
  <c r="T700" i="2"/>
  <c r="U700" i="2" s="1"/>
  <c r="H701" i="2"/>
  <c r="I701" i="2" s="1"/>
  <c r="X701" i="2"/>
  <c r="Y701" i="2" s="1"/>
  <c r="L702" i="2"/>
  <c r="M702" i="2" s="1"/>
  <c r="AB702" i="2"/>
  <c r="AC702" i="2" s="1"/>
  <c r="P703" i="2"/>
  <c r="Q703" i="2" s="1"/>
  <c r="D704" i="2"/>
  <c r="E704" i="2" s="1"/>
  <c r="T704" i="2"/>
  <c r="U704" i="2" s="1"/>
  <c r="H705" i="2"/>
  <c r="I705" i="2" s="1"/>
  <c r="X705" i="2"/>
  <c r="Y705" i="2" s="1"/>
  <c r="L706" i="2"/>
  <c r="M706" i="2" s="1"/>
  <c r="AB706" i="2"/>
  <c r="AC706" i="2" s="1"/>
  <c r="P707" i="2"/>
  <c r="Q707" i="2" s="1"/>
  <c r="D708" i="2"/>
  <c r="E708" i="2" s="1"/>
  <c r="T708" i="2"/>
  <c r="U708" i="2" s="1"/>
  <c r="H708" i="2"/>
  <c r="I708" i="2" s="1"/>
  <c r="H709" i="2"/>
  <c r="I709" i="2" s="1"/>
  <c r="X709" i="2"/>
  <c r="Y709" i="2" s="1"/>
  <c r="L709" i="2"/>
  <c r="M709" i="2" s="1"/>
  <c r="L710" i="2"/>
  <c r="M710" i="2" s="1"/>
  <c r="AB710" i="2"/>
  <c r="AC710" i="2" s="1"/>
  <c r="P710" i="2"/>
  <c r="Q710" i="2" s="1"/>
  <c r="P711" i="2"/>
  <c r="Q711" i="2" s="1"/>
  <c r="D712" i="2"/>
  <c r="E712" i="2" s="1"/>
  <c r="T711" i="2"/>
  <c r="U711" i="2" s="1"/>
  <c r="T712" i="2"/>
  <c r="U712" i="2" s="1"/>
  <c r="H713" i="2"/>
  <c r="I713" i="2" s="1"/>
  <c r="X712" i="2"/>
  <c r="Y712" i="2" s="1"/>
  <c r="X713" i="2"/>
  <c r="Y713" i="2" s="1"/>
  <c r="L714" i="2"/>
  <c r="M714" i="2" s="1"/>
  <c r="AB713" i="2"/>
  <c r="AC713" i="2" s="1"/>
  <c r="AB714" i="2"/>
  <c r="AC714" i="2" s="1"/>
  <c r="P715" i="2"/>
  <c r="Q715" i="2" s="1"/>
  <c r="D715" i="2"/>
  <c r="E715" i="2" s="1"/>
  <c r="D716" i="2"/>
  <c r="E716" i="2" s="1"/>
  <c r="T716" i="2"/>
  <c r="U716" i="2" s="1"/>
  <c r="H716" i="2"/>
  <c r="I716" i="2" s="1"/>
  <c r="H717" i="2"/>
  <c r="I717" i="2" s="1"/>
  <c r="X717" i="2"/>
  <c r="Y717" i="2" s="1"/>
  <c r="L717" i="2"/>
  <c r="M717" i="2" s="1"/>
  <c r="L718" i="2"/>
  <c r="M718" i="2" s="1"/>
  <c r="AB718" i="2"/>
  <c r="AC718" i="2" s="1"/>
  <c r="P718" i="2"/>
  <c r="Q718" i="2" s="1"/>
  <c r="P719" i="2"/>
  <c r="Q719" i="2" s="1"/>
  <c r="D720" i="2"/>
  <c r="E720" i="2" s="1"/>
  <c r="T719" i="2"/>
  <c r="U719" i="2" s="1"/>
  <c r="T720" i="2"/>
  <c r="U720" i="2" s="1"/>
  <c r="H721" i="2"/>
  <c r="I721" i="2" s="1"/>
  <c r="X720" i="2"/>
  <c r="Y720" i="2" s="1"/>
  <c r="X721" i="2"/>
  <c r="Y721" i="2" s="1"/>
  <c r="L722" i="2"/>
  <c r="M722" i="2" s="1"/>
  <c r="AB721" i="2"/>
  <c r="AC721" i="2" s="1"/>
  <c r="AB722" i="2"/>
  <c r="AC722" i="2" s="1"/>
  <c r="P723" i="2"/>
  <c r="Q723" i="2" s="1"/>
  <c r="D723" i="2"/>
  <c r="E723" i="2" s="1"/>
  <c r="D724" i="2"/>
  <c r="E724" i="2" s="1"/>
  <c r="T724" i="2"/>
  <c r="U724" i="2" s="1"/>
  <c r="H724" i="2"/>
  <c r="I724" i="2" s="1"/>
  <c r="H725" i="2"/>
  <c r="I725" i="2" s="1"/>
  <c r="X725" i="2"/>
  <c r="Y725" i="2" s="1"/>
  <c r="L725" i="2"/>
  <c r="M725" i="2" s="1"/>
  <c r="L726" i="2"/>
  <c r="M726" i="2" s="1"/>
  <c r="AB726" i="2"/>
  <c r="AC726" i="2" s="1"/>
  <c r="P726" i="2"/>
  <c r="Q726" i="2" s="1"/>
  <c r="P727" i="2"/>
  <c r="Q727" i="2" s="1"/>
  <c r="D728" i="2"/>
  <c r="E728" i="2" s="1"/>
  <c r="T727" i="2"/>
  <c r="U727" i="2" s="1"/>
  <c r="T728" i="2"/>
  <c r="U728" i="2" s="1"/>
  <c r="H729" i="2"/>
  <c r="I729" i="2" s="1"/>
  <c r="X728" i="2"/>
  <c r="Y728" i="2" s="1"/>
  <c r="X729" i="2"/>
  <c r="Y729" i="2" s="1"/>
  <c r="L730" i="2"/>
  <c r="M730" i="2" s="1"/>
  <c r="AB729" i="2"/>
  <c r="AC729" i="2" s="1"/>
  <c r="AB730" i="2"/>
  <c r="AC730" i="2" s="1"/>
  <c r="P731" i="2"/>
  <c r="Q731" i="2" s="1"/>
  <c r="D731" i="2"/>
  <c r="E731" i="2" s="1"/>
  <c r="D732" i="2"/>
  <c r="E732" i="2" s="1"/>
  <c r="T732" i="2"/>
  <c r="U732" i="2" s="1"/>
  <c r="H732" i="2"/>
  <c r="I732" i="2" s="1"/>
  <c r="H733" i="2"/>
  <c r="I733" i="2" s="1"/>
  <c r="X733" i="2"/>
  <c r="Y733" i="2" s="1"/>
  <c r="L733" i="2"/>
  <c r="M733" i="2" s="1"/>
  <c r="L734" i="2"/>
  <c r="M734" i="2" s="1"/>
  <c r="AB734" i="2"/>
  <c r="AC734" i="2" s="1"/>
  <c r="P734" i="2"/>
  <c r="Q734" i="2" s="1"/>
  <c r="P735" i="2"/>
  <c r="Q735" i="2" s="1"/>
  <c r="D736" i="2"/>
  <c r="E736" i="2" s="1"/>
  <c r="T735" i="2"/>
  <c r="U735" i="2" s="1"/>
  <c r="T736" i="2"/>
  <c r="U736" i="2" s="1"/>
  <c r="H737" i="2"/>
  <c r="I737" i="2" s="1"/>
  <c r="X736" i="2"/>
  <c r="Y736" i="2" s="1"/>
  <c r="X737" i="2"/>
  <c r="Y737" i="2" s="1"/>
  <c r="L738" i="2"/>
  <c r="M738" i="2" s="1"/>
  <c r="AB737" i="2"/>
  <c r="AC737" i="2" s="1"/>
  <c r="AB738" i="2"/>
  <c r="AC738" i="2" s="1"/>
  <c r="P739" i="2"/>
  <c r="Q739" i="2" s="1"/>
  <c r="D739" i="2"/>
  <c r="E739" i="2" s="1"/>
  <c r="D740" i="2"/>
  <c r="E740" i="2" s="1"/>
  <c r="T740" i="2"/>
  <c r="U740" i="2" s="1"/>
  <c r="H740" i="2"/>
  <c r="I740" i="2" s="1"/>
  <c r="X741" i="2"/>
  <c r="Y741" i="2" s="1"/>
  <c r="L742" i="2"/>
  <c r="M742" i="2" s="1"/>
  <c r="D744" i="2"/>
  <c r="E744" i="2" s="1"/>
  <c r="T744" i="2"/>
  <c r="U744" i="2" s="1"/>
  <c r="L746" i="2"/>
  <c r="M746" i="2" s="1"/>
  <c r="AB746" i="2"/>
  <c r="AC746" i="2" s="1"/>
  <c r="T748" i="2"/>
  <c r="H749" i="2"/>
  <c r="I749" i="2" s="1"/>
  <c r="AB750" i="2"/>
  <c r="AC750" i="2" s="1"/>
  <c r="P751" i="2"/>
  <c r="Q751" i="2" s="1"/>
  <c r="H753" i="2"/>
  <c r="I753" i="2" s="1"/>
  <c r="X753" i="2"/>
  <c r="Y753" i="2" s="1"/>
  <c r="P755" i="2"/>
  <c r="D756" i="2"/>
  <c r="E756" i="2" s="1"/>
  <c r="X757" i="2"/>
  <c r="L758" i="2"/>
  <c r="M758" i="2" s="1"/>
  <c r="D760" i="2"/>
  <c r="E760" i="2" s="1"/>
  <c r="T760" i="2"/>
  <c r="U760" i="2" s="1"/>
  <c r="L762" i="2"/>
  <c r="AB762" i="2"/>
  <c r="AC762" i="2" s="1"/>
  <c r="T764" i="2"/>
  <c r="H765" i="2"/>
  <c r="I765" i="2" s="1"/>
  <c r="AB766" i="2"/>
  <c r="AC766" i="2" s="1"/>
  <c r="P767" i="2"/>
  <c r="Q767" i="2" s="1"/>
  <c r="X768" i="2"/>
  <c r="Y768" i="2" s="1"/>
  <c r="P771" i="2"/>
  <c r="Q771" i="2" s="1"/>
  <c r="D771" i="2"/>
  <c r="E771" i="2" s="1"/>
  <c r="D772" i="2"/>
  <c r="E772" i="2" s="1"/>
  <c r="L773" i="2"/>
  <c r="M773" i="2" s="1"/>
  <c r="D776" i="2"/>
  <c r="T775" i="2"/>
  <c r="U775" i="2" s="1"/>
  <c r="T776" i="2"/>
  <c r="U776" i="2" s="1"/>
  <c r="AB777" i="2"/>
  <c r="AC777" i="2" s="1"/>
  <c r="T780" i="2"/>
  <c r="H781" i="2"/>
  <c r="I781" i="2" s="1"/>
  <c r="P782" i="2"/>
  <c r="Q782" i="2" s="1"/>
  <c r="H785" i="2"/>
  <c r="X785" i="2"/>
  <c r="Y785" i="2" s="1"/>
  <c r="D787" i="2"/>
  <c r="E787" i="2" s="1"/>
  <c r="H741" i="2"/>
  <c r="M743" i="2"/>
  <c r="L791" i="2"/>
  <c r="M791" i="2" s="1"/>
  <c r="L790" i="2"/>
  <c r="M790" i="2" s="1"/>
  <c r="X744" i="2"/>
  <c r="Y744" i="2" s="1"/>
  <c r="H794" i="2"/>
  <c r="I794" i="2" s="1"/>
  <c r="I746" i="2"/>
  <c r="L750" i="2"/>
  <c r="Q752" i="2"/>
  <c r="P800" i="2"/>
  <c r="Q800" i="2" s="1"/>
  <c r="P799" i="2"/>
  <c r="Q799" i="2" s="1"/>
  <c r="AB753" i="2"/>
  <c r="AC753" i="2" s="1"/>
  <c r="M755" i="2"/>
  <c r="P759" i="2"/>
  <c r="Q759" i="2" s="1"/>
  <c r="M762" i="2"/>
  <c r="Q764" i="2"/>
  <c r="H769" i="2"/>
  <c r="I769" i="2" s="1"/>
  <c r="Q777" i="2"/>
  <c r="Y778" i="2"/>
  <c r="P783" i="2"/>
  <c r="Q783" i="2" s="1"/>
  <c r="Y795" i="2"/>
  <c r="E797" i="2"/>
  <c r="H476" i="2"/>
  <c r="I476" i="2" s="1"/>
  <c r="L477" i="2"/>
  <c r="P478" i="2"/>
  <c r="Q478" i="2" s="1"/>
  <c r="T479" i="2"/>
  <c r="U479" i="2" s="1"/>
  <c r="X480" i="2"/>
  <c r="AB481" i="2"/>
  <c r="D483" i="2"/>
  <c r="E483" i="2" s="1"/>
  <c r="H484" i="2"/>
  <c r="I484" i="2" s="1"/>
  <c r="L485" i="2"/>
  <c r="P486" i="2"/>
  <c r="T487" i="2"/>
  <c r="U487" i="2" s="1"/>
  <c r="X488" i="2"/>
  <c r="Y488" i="2" s="1"/>
  <c r="AB489" i="2"/>
  <c r="AC489" i="2" s="1"/>
  <c r="D491" i="2"/>
  <c r="H492" i="2"/>
  <c r="I492" i="2" s="1"/>
  <c r="L493" i="2"/>
  <c r="M493" i="2" s="1"/>
  <c r="P494" i="2"/>
  <c r="T495" i="2"/>
  <c r="X496" i="2"/>
  <c r="AB497" i="2"/>
  <c r="AC497" i="2" s="1"/>
  <c r="D499" i="2"/>
  <c r="E499" i="2" s="1"/>
  <c r="H500" i="2"/>
  <c r="L501" i="2"/>
  <c r="M501" i="2" s="1"/>
  <c r="P502" i="2"/>
  <c r="Q502" i="2" s="1"/>
  <c r="T503" i="2"/>
  <c r="X504" i="2"/>
  <c r="AB505" i="2"/>
  <c r="D507" i="2"/>
  <c r="H508" i="2"/>
  <c r="I508" i="2" s="1"/>
  <c r="L509" i="2"/>
  <c r="P510" i="2"/>
  <c r="Q510" i="2" s="1"/>
  <c r="T511" i="2"/>
  <c r="U511" i="2" s="1"/>
  <c r="X512" i="2"/>
  <c r="AB513" i="2"/>
  <c r="D515" i="2"/>
  <c r="H516" i="2"/>
  <c r="I516" i="2" s="1"/>
  <c r="L517" i="2"/>
  <c r="M517" i="2" s="1"/>
  <c r="P518" i="2"/>
  <c r="Q518" i="2" s="1"/>
  <c r="T519" i="2"/>
  <c r="U519" i="2" s="1"/>
  <c r="X520" i="2"/>
  <c r="Y520" i="2" s="1"/>
  <c r="AB521" i="2"/>
  <c r="AC521" i="2" s="1"/>
  <c r="D523" i="2"/>
  <c r="E523" i="2" s="1"/>
  <c r="X525" i="2"/>
  <c r="Y525" i="2" s="1"/>
  <c r="Y478" i="2"/>
  <c r="Y480" i="2"/>
  <c r="L530" i="2"/>
  <c r="M530" i="2" s="1"/>
  <c r="M483" i="2"/>
  <c r="M485" i="2"/>
  <c r="AB534" i="2"/>
  <c r="AC534" i="2" s="1"/>
  <c r="AC487" i="2"/>
  <c r="P539" i="2"/>
  <c r="Q539" i="2" s="1"/>
  <c r="Q492" i="2"/>
  <c r="Q494" i="2"/>
  <c r="D544" i="2"/>
  <c r="E544" i="2" s="1"/>
  <c r="E497" i="2"/>
  <c r="I500" i="2"/>
  <c r="Y500" i="2"/>
  <c r="AC501" i="2"/>
  <c r="E503" i="2"/>
  <c r="U503" i="2"/>
  <c r="Y504" i="2"/>
  <c r="M505" i="2"/>
  <c r="AC505" i="2"/>
  <c r="E507" i="2"/>
  <c r="U507" i="2"/>
  <c r="Y508" i="2"/>
  <c r="M509" i="2"/>
  <c r="AC509" i="2"/>
  <c r="E511" i="2"/>
  <c r="I512" i="2"/>
  <c r="Y512" i="2"/>
  <c r="AC513" i="2"/>
  <c r="Q514" i="2"/>
  <c r="E515" i="2"/>
  <c r="H564" i="2"/>
  <c r="I564" i="2" s="1"/>
  <c r="Y516" i="2"/>
  <c r="L565" i="2"/>
  <c r="M565" i="2" s="1"/>
  <c r="P566" i="2"/>
  <c r="Q566" i="2" s="1"/>
  <c r="E519" i="2"/>
  <c r="T567" i="2"/>
  <c r="U567" i="2" s="1"/>
  <c r="I520" i="2"/>
  <c r="X568" i="2"/>
  <c r="Y568" i="2" s="1"/>
  <c r="M521" i="2"/>
  <c r="AB569" i="2"/>
  <c r="AC569" i="2" s="1"/>
  <c r="D571" i="2"/>
  <c r="E571" i="2" s="1"/>
  <c r="U523" i="2"/>
  <c r="H572" i="2"/>
  <c r="I572" i="2" s="1"/>
  <c r="L573" i="2"/>
  <c r="M573" i="2" s="1"/>
  <c r="AC525" i="2"/>
  <c r="P574" i="2"/>
  <c r="Q574" i="2" s="1"/>
  <c r="E527" i="2"/>
  <c r="T575" i="2"/>
  <c r="U575" i="2" s="1"/>
  <c r="I528" i="2"/>
  <c r="X576" i="2"/>
  <c r="Y576" i="2" s="1"/>
  <c r="AB577" i="2"/>
  <c r="AC577" i="2" s="1"/>
  <c r="Q530" i="2"/>
  <c r="D579" i="2"/>
  <c r="E579" i="2" s="1"/>
  <c r="H580" i="2"/>
  <c r="I580" i="2" s="1"/>
  <c r="Y532" i="2"/>
  <c r="L581" i="2"/>
  <c r="M581" i="2" s="1"/>
  <c r="P582" i="2"/>
  <c r="Q582" i="2" s="1"/>
  <c r="E535" i="2"/>
  <c r="T583" i="2"/>
  <c r="U583" i="2" s="1"/>
  <c r="I536" i="2"/>
  <c r="X584" i="2"/>
  <c r="Y584" i="2" s="1"/>
  <c r="M537" i="2"/>
  <c r="AB585" i="2"/>
  <c r="AC585" i="2" s="1"/>
  <c r="Q538" i="2"/>
  <c r="D587" i="2"/>
  <c r="E587" i="2" s="1"/>
  <c r="U539" i="2"/>
  <c r="H588" i="2"/>
  <c r="I588" i="2" s="1"/>
  <c r="L589" i="2"/>
  <c r="M589" i="2" s="1"/>
  <c r="AC541" i="2"/>
  <c r="P590" i="2"/>
  <c r="Q590" i="2" s="1"/>
  <c r="E543" i="2"/>
  <c r="T591" i="2"/>
  <c r="U591" i="2" s="1"/>
  <c r="I544" i="2"/>
  <c r="X592" i="2"/>
  <c r="Y592" i="2" s="1"/>
  <c r="AB593" i="2"/>
  <c r="AC593" i="2" s="1"/>
  <c r="Q546" i="2"/>
  <c r="D595" i="2"/>
  <c r="E595" i="2" s="1"/>
  <c r="H596" i="2"/>
  <c r="I596" i="2" s="1"/>
  <c r="Y548" i="2"/>
  <c r="L597" i="2"/>
  <c r="M597" i="2" s="1"/>
  <c r="P598" i="2"/>
  <c r="Q598" i="2" s="1"/>
  <c r="E551" i="2"/>
  <c r="T599" i="2"/>
  <c r="U599" i="2" s="1"/>
  <c r="I552" i="2"/>
  <c r="X600" i="2"/>
  <c r="Y600" i="2" s="1"/>
  <c r="M553" i="2"/>
  <c r="AB601" i="2"/>
  <c r="AC601" i="2" s="1"/>
  <c r="D603" i="2"/>
  <c r="E603" i="2" s="1"/>
  <c r="H604" i="2"/>
  <c r="I604" i="2" s="1"/>
  <c r="L605" i="2"/>
  <c r="M605" i="2" s="1"/>
  <c r="AC557" i="2"/>
  <c r="P606" i="2"/>
  <c r="Q606" i="2" s="1"/>
  <c r="T607" i="2"/>
  <c r="U607" i="2" s="1"/>
  <c r="I560" i="2"/>
  <c r="X608" i="2"/>
  <c r="Y608" i="2" s="1"/>
  <c r="M561" i="2"/>
  <c r="AB609" i="2"/>
  <c r="AC609" i="2" s="1"/>
  <c r="Q562" i="2"/>
  <c r="D611" i="2"/>
  <c r="E611" i="2" s="1"/>
  <c r="H612" i="2"/>
  <c r="I612" i="2" s="1"/>
  <c r="L613" i="2"/>
  <c r="M613" i="2" s="1"/>
  <c r="P614" i="2"/>
  <c r="Q614" i="2" s="1"/>
  <c r="E567" i="2"/>
  <c r="T615" i="2"/>
  <c r="U615" i="2" s="1"/>
  <c r="X616" i="2"/>
  <c r="Y616" i="2" s="1"/>
  <c r="M569" i="2"/>
  <c r="AB617" i="2"/>
  <c r="AC617" i="2" s="1"/>
  <c r="Q570" i="2"/>
  <c r="D619" i="2"/>
  <c r="E619" i="2" s="1"/>
  <c r="U571" i="2"/>
  <c r="H620" i="2"/>
  <c r="I620" i="2" s="1"/>
  <c r="L621" i="2"/>
  <c r="M621" i="2" s="1"/>
  <c r="P622" i="2"/>
  <c r="Q622" i="2" s="1"/>
  <c r="T623" i="2"/>
  <c r="U623" i="2" s="1"/>
  <c r="I576" i="2"/>
  <c r="X624" i="2"/>
  <c r="Y624" i="2" s="1"/>
  <c r="AB625" i="2"/>
  <c r="AC625" i="2" s="1"/>
  <c r="Q578" i="2"/>
  <c r="D627" i="2"/>
  <c r="E627" i="2" s="1"/>
  <c r="U579" i="2"/>
  <c r="H628" i="2"/>
  <c r="I628" i="2" s="1"/>
  <c r="Y580" i="2"/>
  <c r="L629" i="2"/>
  <c r="M629" i="2" s="1"/>
  <c r="P630" i="2"/>
  <c r="Q630" i="2" s="1"/>
  <c r="T631" i="2"/>
  <c r="U631" i="2" s="1"/>
  <c r="X632" i="2"/>
  <c r="Y632" i="2" s="1"/>
  <c r="M585" i="2"/>
  <c r="AB633" i="2"/>
  <c r="AC633" i="2" s="1"/>
  <c r="D635" i="2"/>
  <c r="E635" i="2" s="1"/>
  <c r="U587" i="2"/>
  <c r="H636" i="2"/>
  <c r="I636" i="2" s="1"/>
  <c r="Y588" i="2"/>
  <c r="L637" i="2"/>
  <c r="M637" i="2" s="1"/>
  <c r="AC589" i="2"/>
  <c r="P638" i="2"/>
  <c r="Q638" i="2" s="1"/>
  <c r="T639" i="2"/>
  <c r="U639" i="2" s="1"/>
  <c r="X640" i="2"/>
  <c r="Y640" i="2" s="1"/>
  <c r="AB641" i="2"/>
  <c r="AC641" i="2" s="1"/>
  <c r="Q594" i="2"/>
  <c r="D643" i="2"/>
  <c r="E643" i="2" s="1"/>
  <c r="H644" i="2"/>
  <c r="I644" i="2" s="1"/>
  <c r="Y596" i="2"/>
  <c r="L645" i="2"/>
  <c r="M645" i="2" s="1"/>
  <c r="AC597" i="2"/>
  <c r="P646" i="2"/>
  <c r="Q646" i="2" s="1"/>
  <c r="E599" i="2"/>
  <c r="T647" i="2"/>
  <c r="U647" i="2" s="1"/>
  <c r="X648" i="2"/>
  <c r="Y648" i="2" s="1"/>
  <c r="AB649" i="2"/>
  <c r="AC649" i="2" s="1"/>
  <c r="D651" i="2"/>
  <c r="E651" i="2" s="1"/>
  <c r="U603" i="2"/>
  <c r="H652" i="2"/>
  <c r="I652" i="2" s="1"/>
  <c r="L653" i="2"/>
  <c r="M653" i="2" s="1"/>
  <c r="AC605" i="2"/>
  <c r="P654" i="2"/>
  <c r="Q654" i="2" s="1"/>
  <c r="E607" i="2"/>
  <c r="T655" i="2"/>
  <c r="U655" i="2" s="1"/>
  <c r="I608" i="2"/>
  <c r="X656" i="2"/>
  <c r="Y656" i="2" s="1"/>
  <c r="AB657" i="2"/>
  <c r="AC657" i="2" s="1"/>
  <c r="D659" i="2"/>
  <c r="E659" i="2" s="1"/>
  <c r="H660" i="2"/>
  <c r="I660" i="2" s="1"/>
  <c r="Y612" i="2"/>
  <c r="L661" i="2"/>
  <c r="M661" i="2" s="1"/>
  <c r="P662" i="2"/>
  <c r="Q662" i="2" s="1"/>
  <c r="E615" i="2"/>
  <c r="T663" i="2"/>
  <c r="U663" i="2" s="1"/>
  <c r="I616" i="2"/>
  <c r="X664" i="2"/>
  <c r="Y664" i="2" s="1"/>
  <c r="M617" i="2"/>
  <c r="AB665" i="2"/>
  <c r="AC665" i="2" s="1"/>
  <c r="D667" i="2"/>
  <c r="E667" i="2" s="1"/>
  <c r="H668" i="2"/>
  <c r="I668" i="2" s="1"/>
  <c r="L669" i="2"/>
  <c r="M669" i="2" s="1"/>
  <c r="AC621" i="2"/>
  <c r="P670" i="2"/>
  <c r="Q670" i="2" s="1"/>
  <c r="T671" i="2"/>
  <c r="U671" i="2" s="1"/>
  <c r="I624" i="2"/>
  <c r="X672" i="2"/>
  <c r="Y672" i="2" s="1"/>
  <c r="M625" i="2"/>
  <c r="AB673" i="2"/>
  <c r="AC673" i="2" s="1"/>
  <c r="Q626" i="2"/>
  <c r="D675" i="2"/>
  <c r="E675" i="2" s="1"/>
  <c r="H676" i="2"/>
  <c r="I676" i="2" s="1"/>
  <c r="L677" i="2"/>
  <c r="M677" i="2" s="1"/>
  <c r="P678" i="2"/>
  <c r="Q678" i="2" s="1"/>
  <c r="E631" i="2"/>
  <c r="T679" i="2"/>
  <c r="U679" i="2" s="1"/>
  <c r="X680" i="2"/>
  <c r="Y680" i="2" s="1"/>
  <c r="M633" i="2"/>
  <c r="AB681" i="2"/>
  <c r="AC681" i="2" s="1"/>
  <c r="Q634" i="2"/>
  <c r="D683" i="2"/>
  <c r="E683" i="2" s="1"/>
  <c r="U635" i="2"/>
  <c r="H684" i="2"/>
  <c r="I684" i="2" s="1"/>
  <c r="L685" i="2"/>
  <c r="M685" i="2" s="1"/>
  <c r="P686" i="2"/>
  <c r="Q686" i="2" s="1"/>
  <c r="T687" i="2"/>
  <c r="U687" i="2" s="1"/>
  <c r="I640" i="2"/>
  <c r="X688" i="2"/>
  <c r="Y688" i="2" s="1"/>
  <c r="AB689" i="2"/>
  <c r="AC689" i="2" s="1"/>
  <c r="Q642" i="2"/>
  <c r="D691" i="2"/>
  <c r="E691" i="2" s="1"/>
  <c r="U643" i="2"/>
  <c r="H692" i="2"/>
  <c r="I692" i="2" s="1"/>
  <c r="Y644" i="2"/>
  <c r="L693" i="2"/>
  <c r="M693" i="2" s="1"/>
  <c r="P694" i="2"/>
  <c r="Q694" i="2" s="1"/>
  <c r="T695" i="2"/>
  <c r="U695" i="2" s="1"/>
  <c r="X696" i="2"/>
  <c r="Y696" i="2" s="1"/>
  <c r="M649" i="2"/>
  <c r="AB697" i="2"/>
  <c r="AC697" i="2" s="1"/>
  <c r="D699" i="2"/>
  <c r="E699" i="2" s="1"/>
  <c r="U651" i="2"/>
  <c r="H700" i="2"/>
  <c r="I700" i="2" s="1"/>
  <c r="Y652" i="2"/>
  <c r="L701" i="2"/>
  <c r="M701" i="2" s="1"/>
  <c r="AC653" i="2"/>
  <c r="P702" i="2"/>
  <c r="Q702" i="2" s="1"/>
  <c r="T703" i="2"/>
  <c r="U703" i="2" s="1"/>
  <c r="X704" i="2"/>
  <c r="Y704" i="2" s="1"/>
  <c r="AB705" i="2"/>
  <c r="AC705" i="2" s="1"/>
  <c r="Q658" i="2"/>
  <c r="D707" i="2"/>
  <c r="E707" i="2" s="1"/>
  <c r="AC661" i="2"/>
  <c r="E663" i="2"/>
  <c r="M665" i="2"/>
  <c r="Q666" i="2"/>
  <c r="E671" i="2"/>
  <c r="I672" i="2"/>
  <c r="Q674" i="2"/>
  <c r="U675" i="2"/>
  <c r="I680" i="2"/>
  <c r="M681" i="2"/>
  <c r="U683" i="2"/>
  <c r="Y684" i="2"/>
  <c r="M689" i="2"/>
  <c r="Q690" i="2"/>
  <c r="Y692" i="2"/>
  <c r="L741" i="2"/>
  <c r="M741" i="2" s="1"/>
  <c r="AB741" i="2"/>
  <c r="AC741" i="2" s="1"/>
  <c r="D743" i="2"/>
  <c r="E743" i="2" s="1"/>
  <c r="E695" i="2"/>
  <c r="T743" i="2"/>
  <c r="H744" i="2"/>
  <c r="I744" i="2" s="1"/>
  <c r="I696" i="2"/>
  <c r="L745" i="2"/>
  <c r="M745" i="2" s="1"/>
  <c r="AB745" i="2"/>
  <c r="AC745" i="2" s="1"/>
  <c r="P746" i="2"/>
  <c r="Q746" i="2" s="1"/>
  <c r="T747" i="2"/>
  <c r="U747" i="2" s="1"/>
  <c r="H748" i="2"/>
  <c r="I748" i="2" s="1"/>
  <c r="X748" i="2"/>
  <c r="Y748" i="2" s="1"/>
  <c r="AB749" i="2"/>
  <c r="AC749" i="2" s="1"/>
  <c r="P750" i="2"/>
  <c r="Q750" i="2" s="1"/>
  <c r="D751" i="2"/>
  <c r="E751" i="2" s="1"/>
  <c r="H752" i="2"/>
  <c r="I752" i="2" s="1"/>
  <c r="I704" i="2"/>
  <c r="X752" i="2"/>
  <c r="L753" i="2"/>
  <c r="M753" i="2" s="1"/>
  <c r="P754" i="2"/>
  <c r="Q754" i="2" s="1"/>
  <c r="D755" i="2"/>
  <c r="E755" i="2" s="1"/>
  <c r="T755" i="2"/>
  <c r="U755" i="2" s="1"/>
  <c r="U707" i="2"/>
  <c r="X756" i="2"/>
  <c r="Y756" i="2" s="1"/>
  <c r="L757" i="2"/>
  <c r="AB757" i="2"/>
  <c r="AC757" i="2" s="1"/>
  <c r="AC709" i="2"/>
  <c r="D759" i="2"/>
  <c r="E759" i="2" s="1"/>
  <c r="E711" i="2"/>
  <c r="T759" i="2"/>
  <c r="U759" i="2" s="1"/>
  <c r="H760" i="2"/>
  <c r="I760" i="2" s="1"/>
  <c r="L761" i="2"/>
  <c r="M761" i="2" s="1"/>
  <c r="M713" i="2"/>
  <c r="AB761" i="2"/>
  <c r="P762" i="2"/>
  <c r="Q762" i="2" s="1"/>
  <c r="Q714" i="2"/>
  <c r="T763" i="2"/>
  <c r="U763" i="2" s="1"/>
  <c r="H764" i="2"/>
  <c r="I764" i="2" s="1"/>
  <c r="X764" i="2"/>
  <c r="Y764" i="2" s="1"/>
  <c r="AB765" i="2"/>
  <c r="AC765" i="2" s="1"/>
  <c r="P766" i="2"/>
  <c r="Q766" i="2" s="1"/>
  <c r="D767" i="2"/>
  <c r="E767" i="2" s="1"/>
  <c r="H768" i="2"/>
  <c r="I768" i="2" s="1"/>
  <c r="L769" i="2"/>
  <c r="M769" i="2" s="1"/>
  <c r="AB769" i="2"/>
  <c r="P770" i="2"/>
  <c r="Q770" i="2" s="1"/>
  <c r="Q722" i="2"/>
  <c r="T771" i="2"/>
  <c r="U771" i="2" s="1"/>
  <c r="X772" i="2"/>
  <c r="Y772" i="2" s="1"/>
  <c r="AB773" i="2"/>
  <c r="AC773" i="2" s="1"/>
  <c r="P774" i="2"/>
  <c r="Q774" i="2" s="1"/>
  <c r="D775" i="2"/>
  <c r="E775" i="2" s="1"/>
  <c r="H776" i="2"/>
  <c r="I776" i="2" s="1"/>
  <c r="L777" i="2"/>
  <c r="M777" i="2" s="1"/>
  <c r="P778" i="2"/>
  <c r="Q778" i="2" s="1"/>
  <c r="D779" i="2"/>
  <c r="T779" i="2"/>
  <c r="U779" i="2" s="1"/>
  <c r="H780" i="2"/>
  <c r="I780" i="2" s="1"/>
  <c r="X780" i="2"/>
  <c r="Y780" i="2" s="1"/>
  <c r="Y732" i="2"/>
  <c r="AB781" i="2"/>
  <c r="AC781" i="2" s="1"/>
  <c r="AC733" i="2"/>
  <c r="D783" i="2"/>
  <c r="E783" i="2" s="1"/>
  <c r="T783" i="2"/>
  <c r="U783" i="2" s="1"/>
  <c r="H784" i="2"/>
  <c r="I784" i="2" s="1"/>
  <c r="I736" i="2"/>
  <c r="X784" i="2"/>
  <c r="Y784" i="2" s="1"/>
  <c r="L785" i="2"/>
  <c r="M785" i="2" s="1"/>
  <c r="M737" i="2"/>
  <c r="P786" i="2"/>
  <c r="Q786" i="2" s="1"/>
  <c r="T787" i="2"/>
  <c r="U787" i="2" s="1"/>
  <c r="H788" i="2"/>
  <c r="I788" i="2" s="1"/>
  <c r="X788" i="2"/>
  <c r="Y788" i="2" s="1"/>
  <c r="X790" i="2"/>
  <c r="Y790" i="2" s="1"/>
  <c r="T793" i="2"/>
  <c r="U793" i="2" s="1"/>
  <c r="L794" i="2"/>
  <c r="P796" i="2"/>
  <c r="Q796" i="2" s="1"/>
  <c r="Q748" i="2"/>
  <c r="AB799" i="2"/>
  <c r="Q755" i="2"/>
  <c r="U764" i="2"/>
  <c r="Y766" i="2"/>
  <c r="Y770" i="2"/>
  <c r="AC772" i="2"/>
  <c r="I774" i="2"/>
  <c r="AB778" i="2"/>
  <c r="AC778" i="2" s="1"/>
  <c r="I791" i="2"/>
  <c r="Q792" i="2"/>
  <c r="H801" i="2"/>
  <c r="T476" i="2"/>
  <c r="U476" i="2" s="1"/>
  <c r="X477" i="2"/>
  <c r="Y477" i="2" s="1"/>
  <c r="AB478" i="2"/>
  <c r="AC478" i="2" s="1"/>
  <c r="D480" i="2"/>
  <c r="E480" i="2" s="1"/>
  <c r="H481" i="2"/>
  <c r="I481" i="2" s="1"/>
  <c r="L482" i="2"/>
  <c r="M482" i="2" s="1"/>
  <c r="P483" i="2"/>
  <c r="Q483" i="2" s="1"/>
  <c r="T484" i="2"/>
  <c r="U484" i="2" s="1"/>
  <c r="X485" i="2"/>
  <c r="Y485" i="2" s="1"/>
  <c r="AB486" i="2"/>
  <c r="AC486" i="2" s="1"/>
  <c r="D488" i="2"/>
  <c r="E488" i="2" s="1"/>
  <c r="H489" i="2"/>
  <c r="I489" i="2" s="1"/>
  <c r="L490" i="2"/>
  <c r="M490" i="2" s="1"/>
  <c r="P491" i="2"/>
  <c r="Q491" i="2" s="1"/>
  <c r="T492" i="2"/>
  <c r="U492" i="2" s="1"/>
  <c r="X493" i="2"/>
  <c r="Y493" i="2" s="1"/>
  <c r="AB494" i="2"/>
  <c r="AC494" i="2" s="1"/>
  <c r="D496" i="2"/>
  <c r="E496" i="2" s="1"/>
  <c r="H497" i="2"/>
  <c r="I497" i="2" s="1"/>
  <c r="L498" i="2"/>
  <c r="M498" i="2" s="1"/>
  <c r="P499" i="2"/>
  <c r="Q499" i="2" s="1"/>
  <c r="T500" i="2"/>
  <c r="U500" i="2" s="1"/>
  <c r="X501" i="2"/>
  <c r="Y501" i="2" s="1"/>
  <c r="AB502" i="2"/>
  <c r="AC502" i="2" s="1"/>
  <c r="D504" i="2"/>
  <c r="E504" i="2" s="1"/>
  <c r="H505" i="2"/>
  <c r="I505" i="2" s="1"/>
  <c r="L506" i="2"/>
  <c r="M506" i="2" s="1"/>
  <c r="P507" i="2"/>
  <c r="Q507" i="2" s="1"/>
  <c r="T508" i="2"/>
  <c r="U508" i="2" s="1"/>
  <c r="X509" i="2"/>
  <c r="Y509" i="2" s="1"/>
  <c r="AB510" i="2"/>
  <c r="AC510" i="2" s="1"/>
  <c r="D512" i="2"/>
  <c r="E512" i="2" s="1"/>
  <c r="H513" i="2"/>
  <c r="I513" i="2" s="1"/>
  <c r="L514" i="2"/>
  <c r="M514" i="2" s="1"/>
  <c r="P515" i="2"/>
  <c r="Q515" i="2" s="1"/>
  <c r="T516" i="2"/>
  <c r="U516" i="2" s="1"/>
  <c r="X517" i="2"/>
  <c r="Y517" i="2" s="1"/>
  <c r="AB518" i="2"/>
  <c r="AC518" i="2" s="1"/>
  <c r="D520" i="2"/>
  <c r="E520" i="2" s="1"/>
  <c r="H521" i="2"/>
  <c r="I521" i="2" s="1"/>
  <c r="L522" i="2"/>
  <c r="M522" i="2" s="1"/>
  <c r="P523" i="2"/>
  <c r="Q523" i="2" s="1"/>
  <c r="L526" i="2"/>
  <c r="M526" i="2" s="1"/>
  <c r="M480" i="2"/>
  <c r="L528" i="2"/>
  <c r="AB530" i="2"/>
  <c r="AC484" i="2"/>
  <c r="AB532" i="2"/>
  <c r="P535" i="2"/>
  <c r="Q535" i="2" s="1"/>
  <c r="Q489" i="2"/>
  <c r="P537" i="2"/>
  <c r="Q537" i="2" s="1"/>
  <c r="D540" i="2"/>
  <c r="E540" i="2" s="1"/>
  <c r="E494" i="2"/>
  <c r="D542" i="2"/>
  <c r="T544" i="2"/>
  <c r="U544" i="2" s="1"/>
  <c r="U498" i="2"/>
  <c r="T546" i="2"/>
  <c r="T547" i="2"/>
  <c r="U547" i="2" s="1"/>
  <c r="X548" i="2"/>
  <c r="AB549" i="2"/>
  <c r="AC549" i="2" s="1"/>
  <c r="D551" i="2"/>
  <c r="H552" i="2"/>
  <c r="L553" i="2"/>
  <c r="P554" i="2"/>
  <c r="Q554" i="2" s="1"/>
  <c r="T555" i="2"/>
  <c r="U555" i="2" s="1"/>
  <c r="X556" i="2"/>
  <c r="Y556" i="2" s="1"/>
  <c r="AB557" i="2"/>
  <c r="D559" i="2"/>
  <c r="E559" i="2" s="1"/>
  <c r="H560" i="2"/>
  <c r="L561" i="2"/>
  <c r="P562" i="2"/>
  <c r="T563" i="2"/>
  <c r="U563" i="2" s="1"/>
  <c r="X564" i="2"/>
  <c r="Y564" i="2" s="1"/>
  <c r="AB565" i="2"/>
  <c r="AC565" i="2" s="1"/>
  <c r="D567" i="2"/>
  <c r="H568" i="2"/>
  <c r="I568" i="2" s="1"/>
  <c r="L569" i="2"/>
  <c r="P570" i="2"/>
  <c r="T571" i="2"/>
  <c r="X572" i="2"/>
  <c r="Y572" i="2" s="1"/>
  <c r="AB573" i="2"/>
  <c r="AC573" i="2" s="1"/>
  <c r="D575" i="2"/>
  <c r="E575" i="2" s="1"/>
  <c r="H576" i="2"/>
  <c r="L577" i="2"/>
  <c r="M577" i="2" s="1"/>
  <c r="P578" i="2"/>
  <c r="T579" i="2"/>
  <c r="X580" i="2"/>
  <c r="AB581" i="2"/>
  <c r="AC581" i="2" s="1"/>
  <c r="D583" i="2"/>
  <c r="E583" i="2" s="1"/>
  <c r="H584" i="2"/>
  <c r="I584" i="2" s="1"/>
  <c r="L585" i="2"/>
  <c r="P586" i="2"/>
  <c r="Q586" i="2" s="1"/>
  <c r="T587" i="2"/>
  <c r="X588" i="2"/>
  <c r="AB589" i="2"/>
  <c r="D591" i="2"/>
  <c r="E591" i="2" s="1"/>
  <c r="H592" i="2"/>
  <c r="I592" i="2" s="1"/>
  <c r="L593" i="2"/>
  <c r="M593" i="2" s="1"/>
  <c r="P594" i="2"/>
  <c r="T595" i="2"/>
  <c r="U595" i="2" s="1"/>
  <c r="X596" i="2"/>
  <c r="AB597" i="2"/>
  <c r="D599" i="2"/>
  <c r="H600" i="2"/>
  <c r="I600" i="2" s="1"/>
  <c r="L601" i="2"/>
  <c r="M601" i="2" s="1"/>
  <c r="P602" i="2"/>
  <c r="Q602" i="2" s="1"/>
  <c r="T603" i="2"/>
  <c r="X604" i="2"/>
  <c r="Y604" i="2" s="1"/>
  <c r="AB605" i="2"/>
  <c r="D607" i="2"/>
  <c r="H608" i="2"/>
  <c r="L609" i="2"/>
  <c r="M609" i="2" s="1"/>
  <c r="P610" i="2"/>
  <c r="Q610" i="2" s="1"/>
  <c r="T611" i="2"/>
  <c r="U611" i="2" s="1"/>
  <c r="X612" i="2"/>
  <c r="AB613" i="2"/>
  <c r="AC613" i="2" s="1"/>
  <c r="D615" i="2"/>
  <c r="H616" i="2"/>
  <c r="L617" i="2"/>
  <c r="P618" i="2"/>
  <c r="Q618" i="2" s="1"/>
  <c r="T619" i="2"/>
  <c r="U619" i="2" s="1"/>
  <c r="X620" i="2"/>
  <c r="Y620" i="2" s="1"/>
  <c r="AB621" i="2"/>
  <c r="D623" i="2"/>
  <c r="E623" i="2" s="1"/>
  <c r="H624" i="2"/>
  <c r="L625" i="2"/>
  <c r="P626" i="2"/>
  <c r="T627" i="2"/>
  <c r="U627" i="2" s="1"/>
  <c r="X628" i="2"/>
  <c r="Y628" i="2" s="1"/>
  <c r="AB629" i="2"/>
  <c r="AC629" i="2" s="1"/>
  <c r="D631" i="2"/>
  <c r="H632" i="2"/>
  <c r="I632" i="2" s="1"/>
  <c r="L633" i="2"/>
  <c r="P634" i="2"/>
  <c r="T635" i="2"/>
  <c r="X636" i="2"/>
  <c r="Y636" i="2" s="1"/>
  <c r="AB637" i="2"/>
  <c r="AC637" i="2" s="1"/>
  <c r="D639" i="2"/>
  <c r="E639" i="2" s="1"/>
  <c r="H640" i="2"/>
  <c r="L641" i="2"/>
  <c r="M641" i="2" s="1"/>
  <c r="P642" i="2"/>
  <c r="T643" i="2"/>
  <c r="X644" i="2"/>
  <c r="AB645" i="2"/>
  <c r="AC645" i="2" s="1"/>
  <c r="D647" i="2"/>
  <c r="E647" i="2" s="1"/>
  <c r="H648" i="2"/>
  <c r="I648" i="2" s="1"/>
  <c r="L649" i="2"/>
  <c r="P650" i="2"/>
  <c r="Q650" i="2" s="1"/>
  <c r="T651" i="2"/>
  <c r="X652" i="2"/>
  <c r="AB653" i="2"/>
  <c r="D655" i="2"/>
  <c r="E655" i="2" s="1"/>
  <c r="H656" i="2"/>
  <c r="I656" i="2" s="1"/>
  <c r="L657" i="2"/>
  <c r="M657" i="2" s="1"/>
  <c r="P658" i="2"/>
  <c r="T659" i="2"/>
  <c r="U659" i="2" s="1"/>
  <c r="X660" i="2"/>
  <c r="Y660" i="2" s="1"/>
  <c r="AB661" i="2"/>
  <c r="D663" i="2"/>
  <c r="H664" i="2"/>
  <c r="I664" i="2" s="1"/>
  <c r="L665" i="2"/>
  <c r="P666" i="2"/>
  <c r="T667" i="2"/>
  <c r="U667" i="2" s="1"/>
  <c r="X668" i="2"/>
  <c r="Y668" i="2" s="1"/>
  <c r="AB669" i="2"/>
  <c r="AC669" i="2" s="1"/>
  <c r="D671" i="2"/>
  <c r="H672" i="2"/>
  <c r="L673" i="2"/>
  <c r="M673" i="2" s="1"/>
  <c r="P674" i="2"/>
  <c r="T675" i="2"/>
  <c r="X676" i="2"/>
  <c r="Y676" i="2" s="1"/>
  <c r="AB677" i="2"/>
  <c r="AC677" i="2" s="1"/>
  <c r="D679" i="2"/>
  <c r="E679" i="2" s="1"/>
  <c r="H680" i="2"/>
  <c r="L681" i="2"/>
  <c r="P682" i="2"/>
  <c r="Q682" i="2" s="1"/>
  <c r="T683" i="2"/>
  <c r="X684" i="2"/>
  <c r="AB685" i="2"/>
  <c r="AC685" i="2" s="1"/>
  <c r="D687" i="2"/>
  <c r="E687" i="2" s="1"/>
  <c r="H688" i="2"/>
  <c r="I688" i="2" s="1"/>
  <c r="L689" i="2"/>
  <c r="P690" i="2"/>
  <c r="T691" i="2"/>
  <c r="U691" i="2" s="1"/>
  <c r="X692" i="2"/>
  <c r="P741" i="2"/>
  <c r="Q741" i="2" s="1"/>
  <c r="AB693" i="2"/>
  <c r="AC693" i="2" s="1"/>
  <c r="T742" i="2"/>
  <c r="U742" i="2" s="1"/>
  <c r="D695" i="2"/>
  <c r="X743" i="2"/>
  <c r="Y743" i="2" s="1"/>
  <c r="H696" i="2"/>
  <c r="AB744" i="2"/>
  <c r="AC744" i="2" s="1"/>
  <c r="L697" i="2"/>
  <c r="M697" i="2" s="1"/>
  <c r="D746" i="2"/>
  <c r="E746" i="2" s="1"/>
  <c r="P698" i="2"/>
  <c r="Q698" i="2" s="1"/>
  <c r="H747" i="2"/>
  <c r="I747" i="2" s="1"/>
  <c r="T699" i="2"/>
  <c r="U699" i="2" s="1"/>
  <c r="L748" i="2"/>
  <c r="M748" i="2" s="1"/>
  <c r="X700" i="2"/>
  <c r="Y700" i="2" s="1"/>
  <c r="P749" i="2"/>
  <c r="Q749" i="2" s="1"/>
  <c r="AB701" i="2"/>
  <c r="AC701" i="2" s="1"/>
  <c r="T750" i="2"/>
  <c r="U750" i="2" s="1"/>
  <c r="D703" i="2"/>
  <c r="E703" i="2" s="1"/>
  <c r="X751" i="2"/>
  <c r="Y751" i="2" s="1"/>
  <c r="H704" i="2"/>
  <c r="AB752" i="2"/>
  <c r="AC752" i="2" s="1"/>
  <c r="L705" i="2"/>
  <c r="M705" i="2" s="1"/>
  <c r="D754" i="2"/>
  <c r="E754" i="2" s="1"/>
  <c r="P706" i="2"/>
  <c r="Q706" i="2" s="1"/>
  <c r="H755" i="2"/>
  <c r="I755" i="2" s="1"/>
  <c r="T707" i="2"/>
  <c r="L756" i="2"/>
  <c r="M756" i="2" s="1"/>
  <c r="X708" i="2"/>
  <c r="Y708" i="2" s="1"/>
  <c r="P757" i="2"/>
  <c r="Q757" i="2" s="1"/>
  <c r="AB709" i="2"/>
  <c r="T758" i="2"/>
  <c r="U758" i="2" s="1"/>
  <c r="D711" i="2"/>
  <c r="X759" i="2"/>
  <c r="Y759" i="2" s="1"/>
  <c r="H712" i="2"/>
  <c r="I712" i="2" s="1"/>
  <c r="AB760" i="2"/>
  <c r="AC760" i="2" s="1"/>
  <c r="L713" i="2"/>
  <c r="D762" i="2"/>
  <c r="E762" i="2" s="1"/>
  <c r="P714" i="2"/>
  <c r="H763" i="2"/>
  <c r="I763" i="2" s="1"/>
  <c r="T715" i="2"/>
  <c r="U715" i="2" s="1"/>
  <c r="L764" i="2"/>
  <c r="M764" i="2" s="1"/>
  <c r="X716" i="2"/>
  <c r="Y716" i="2" s="1"/>
  <c r="P765" i="2"/>
  <c r="Q765" i="2" s="1"/>
  <c r="AB717" i="2"/>
  <c r="AC717" i="2" s="1"/>
  <c r="T766" i="2"/>
  <c r="U766" i="2" s="1"/>
  <c r="D719" i="2"/>
  <c r="E719" i="2" s="1"/>
  <c r="X767" i="2"/>
  <c r="Y767" i="2" s="1"/>
  <c r="H720" i="2"/>
  <c r="I720" i="2" s="1"/>
  <c r="AB768" i="2"/>
  <c r="AC768" i="2" s="1"/>
  <c r="L721" i="2"/>
  <c r="M721" i="2" s="1"/>
  <c r="D770" i="2"/>
  <c r="E770" i="2" s="1"/>
  <c r="P722" i="2"/>
  <c r="H771" i="2"/>
  <c r="I771" i="2" s="1"/>
  <c r="T723" i="2"/>
  <c r="U723" i="2" s="1"/>
  <c r="L772" i="2"/>
  <c r="M772" i="2" s="1"/>
  <c r="X724" i="2"/>
  <c r="Y724" i="2" s="1"/>
  <c r="P773" i="2"/>
  <c r="Q773" i="2" s="1"/>
  <c r="AB725" i="2"/>
  <c r="AC725" i="2" s="1"/>
  <c r="T774" i="2"/>
  <c r="U774" i="2" s="1"/>
  <c r="D727" i="2"/>
  <c r="E727" i="2" s="1"/>
  <c r="X775" i="2"/>
  <c r="Y775" i="2" s="1"/>
  <c r="H728" i="2"/>
  <c r="I728" i="2" s="1"/>
  <c r="AB776" i="2"/>
  <c r="AC776" i="2" s="1"/>
  <c r="L729" i="2"/>
  <c r="M729" i="2" s="1"/>
  <c r="D778" i="2"/>
  <c r="E778" i="2" s="1"/>
  <c r="P730" i="2"/>
  <c r="Q730" i="2" s="1"/>
  <c r="H779" i="2"/>
  <c r="I779" i="2" s="1"/>
  <c r="T731" i="2"/>
  <c r="U731" i="2" s="1"/>
  <c r="L780" i="2"/>
  <c r="M780" i="2" s="1"/>
  <c r="X732" i="2"/>
  <c r="P781" i="2"/>
  <c r="Q781" i="2" s="1"/>
  <c r="AB733" i="2"/>
  <c r="T782" i="2"/>
  <c r="U782" i="2" s="1"/>
  <c r="D735" i="2"/>
  <c r="E735" i="2" s="1"/>
  <c r="X783" i="2"/>
  <c r="Y783" i="2" s="1"/>
  <c r="H736" i="2"/>
  <c r="AB784" i="2"/>
  <c r="AC784" i="2" s="1"/>
  <c r="L737" i="2"/>
  <c r="D786" i="2"/>
  <c r="E786" i="2" s="1"/>
  <c r="P738" i="2"/>
  <c r="Q738" i="2" s="1"/>
  <c r="H787" i="2"/>
  <c r="I787" i="2" s="1"/>
  <c r="T739" i="2"/>
  <c r="U739" i="2" s="1"/>
  <c r="L788" i="2"/>
  <c r="M788" i="2" s="1"/>
  <c r="X740" i="2"/>
  <c r="Y740" i="2" s="1"/>
  <c r="H790" i="2"/>
  <c r="AC742" i="2"/>
  <c r="U743" i="2"/>
  <c r="T791" i="2"/>
  <c r="U791" i="2" s="1"/>
  <c r="L792" i="2"/>
  <c r="M792" i="2" s="1"/>
  <c r="M744" i="2"/>
  <c r="P748" i="2"/>
  <c r="L797" i="2"/>
  <c r="M797" i="2" s="1"/>
  <c r="AB797" i="2"/>
  <c r="AC797" i="2" s="1"/>
  <c r="M751" i="2"/>
  <c r="L799" i="2"/>
  <c r="E752" i="2"/>
  <c r="Y752" i="2"/>
  <c r="X800" i="2"/>
  <c r="Y800" i="2" s="1"/>
  <c r="P801" i="2"/>
  <c r="Q801" i="2" s="1"/>
  <c r="AC754" i="2"/>
  <c r="T757" i="2"/>
  <c r="U757" i="2" s="1"/>
  <c r="AC761" i="2"/>
  <c r="X766" i="2"/>
  <c r="AB774" i="2"/>
  <c r="AC774" i="2" s="1"/>
  <c r="M776" i="2"/>
  <c r="E777" i="2"/>
  <c r="M778" i="2"/>
  <c r="E779" i="2"/>
  <c r="X781" i="2"/>
  <c r="M795" i="2"/>
  <c r="U796" i="2"/>
  <c r="M799" i="2"/>
  <c r="D800" i="2"/>
  <c r="E800" i="2" s="1"/>
  <c r="E2627" i="3"/>
  <c r="F2627" i="3" s="1"/>
  <c r="E2301" i="3"/>
  <c r="F2301" i="3" s="1"/>
  <c r="E1931" i="3"/>
  <c r="F1931" i="3" s="1"/>
  <c r="E2793" i="3"/>
  <c r="F2793" i="3" s="1"/>
  <c r="E2432" i="3"/>
  <c r="F2432" i="3" s="1"/>
  <c r="E2121" i="3"/>
  <c r="F2121" i="3" s="1"/>
  <c r="E977" i="3"/>
  <c r="F977" i="3" s="1"/>
  <c r="E2967" i="3"/>
  <c r="F2967" i="3" s="1"/>
  <c r="E3128" i="3"/>
  <c r="F3128" i="3" s="1"/>
  <c r="E1672" i="3"/>
  <c r="F1672" i="3" s="1"/>
  <c r="E897" i="3"/>
  <c r="F897" i="3" s="1"/>
  <c r="E281" i="3"/>
  <c r="F281" i="3" s="1"/>
  <c r="E1334" i="3"/>
  <c r="F1334" i="3" s="1"/>
  <c r="E1171" i="3"/>
  <c r="F1171" i="3" s="1"/>
  <c r="E627" i="3"/>
  <c r="F627" i="3" s="1"/>
  <c r="C3307" i="3" s="1"/>
  <c r="E3307" i="3" s="1"/>
  <c r="E192" i="3"/>
  <c r="F192" i="3" s="1"/>
  <c r="C3301" i="3" s="1"/>
  <c r="E3301" i="3" s="1"/>
  <c r="E1491" i="3"/>
  <c r="F1491" i="3" s="1"/>
  <c r="E488" i="3"/>
  <c r="F488" i="3" s="1"/>
  <c r="E2798" i="3"/>
  <c r="F2798" i="3" s="1"/>
  <c r="E1940" i="3"/>
  <c r="F1940" i="3" s="1"/>
  <c r="E1679" i="3"/>
  <c r="F1679" i="3" s="1"/>
  <c r="E2441" i="3"/>
  <c r="F2441" i="3" s="1"/>
  <c r="E1498" i="3"/>
  <c r="F1498" i="3" s="1"/>
  <c r="E985" i="3"/>
  <c r="F985" i="3" s="1"/>
  <c r="E1340" i="3"/>
  <c r="F1340" i="3" s="1"/>
  <c r="E2130" i="3"/>
  <c r="F2130" i="3" s="1"/>
  <c r="E717" i="3"/>
  <c r="F717" i="3" s="1"/>
  <c r="E287" i="3"/>
  <c r="F287" i="3" s="1"/>
  <c r="E2804" i="3"/>
  <c r="F2804" i="3" s="1"/>
  <c r="E2977" i="3"/>
  <c r="F2977" i="3" s="1"/>
  <c r="E2136" i="3"/>
  <c r="F2136" i="3" s="1"/>
  <c r="E1345" i="3"/>
  <c r="F1345" i="3" s="1"/>
  <c r="E1504" i="3"/>
  <c r="F1504" i="3" s="1"/>
  <c r="E2449" i="3"/>
  <c r="F2449" i="3" s="1"/>
  <c r="E994" i="3"/>
  <c r="F994" i="3" s="1"/>
  <c r="E1686" i="3"/>
  <c r="F1686" i="3" s="1"/>
  <c r="E1947" i="3"/>
  <c r="F1947" i="3" s="1"/>
  <c r="E1850" i="3"/>
  <c r="F1850" i="3" s="1"/>
  <c r="E3150" i="3"/>
  <c r="F3150" i="3" s="1"/>
  <c r="E2647" i="3"/>
  <c r="F2647" i="3" s="1"/>
  <c r="E2984" i="3"/>
  <c r="F2984" i="3" s="1"/>
  <c r="E2814" i="3"/>
  <c r="F2814" i="3" s="1"/>
  <c r="E1954" i="3"/>
  <c r="F1954" i="3" s="1"/>
  <c r="E2145" i="3"/>
  <c r="F2145" i="3" s="1"/>
  <c r="E2313" i="3"/>
  <c r="F2313" i="3" s="1"/>
  <c r="E1696" i="3"/>
  <c r="F1696" i="3" s="1"/>
  <c r="E1353" i="3"/>
  <c r="F1353" i="3" s="1"/>
  <c r="E1004" i="3"/>
  <c r="F1004" i="3" s="1"/>
  <c r="E730" i="3"/>
  <c r="F730" i="3" s="1"/>
  <c r="E1512" i="3"/>
  <c r="F1512" i="3" s="1"/>
  <c r="E500" i="3"/>
  <c r="F500" i="3" s="1"/>
  <c r="E418" i="3"/>
  <c r="F418" i="3" s="1"/>
  <c r="E637" i="3"/>
  <c r="F637" i="3" s="1"/>
  <c r="E909" i="3"/>
  <c r="F909" i="3" s="1"/>
  <c r="E295" i="3"/>
  <c r="F295" i="3" s="1"/>
  <c r="E205" i="3"/>
  <c r="F205" i="3" s="1"/>
  <c r="E2459" i="3"/>
  <c r="F2459" i="3" s="1"/>
  <c r="E1193" i="3"/>
  <c r="F1193" i="3" s="1"/>
  <c r="E1520" i="3"/>
  <c r="F1520" i="3" s="1"/>
  <c r="E2823" i="3"/>
  <c r="F2823" i="3" s="1"/>
  <c r="E1963" i="3"/>
  <c r="F1963" i="3" s="1"/>
  <c r="E739" i="3"/>
  <c r="F739" i="3" s="1"/>
  <c r="E3167" i="3"/>
  <c r="F3167" i="3" s="1"/>
  <c r="E2661" i="3"/>
  <c r="F2661" i="3" s="1"/>
  <c r="E1972" i="3"/>
  <c r="F1972" i="3" s="1"/>
  <c r="E1528" i="3"/>
  <c r="F1528" i="3" s="1"/>
  <c r="E1368" i="3"/>
  <c r="F1368" i="3" s="1"/>
  <c r="E2834" i="3"/>
  <c r="F2834" i="3" s="1"/>
  <c r="E2478" i="3"/>
  <c r="F2478" i="3" s="1"/>
  <c r="E2327" i="3"/>
  <c r="F2327" i="3" s="1"/>
  <c r="E1210" i="3"/>
  <c r="F1210" i="3" s="1"/>
  <c r="E309" i="3"/>
  <c r="F309" i="3" s="1"/>
  <c r="E3001" i="3"/>
  <c r="F3001" i="3" s="1"/>
  <c r="E2162" i="3"/>
  <c r="F2162" i="3" s="1"/>
  <c r="E1022" i="3"/>
  <c r="F1022" i="3" s="1"/>
  <c r="E427" i="3"/>
  <c r="F427" i="3" s="1"/>
  <c r="E1714" i="3"/>
  <c r="F1714" i="3" s="1"/>
  <c r="E508" i="3"/>
  <c r="F508" i="3" s="1"/>
  <c r="E214" i="3"/>
  <c r="F214" i="3" s="1"/>
  <c r="E644" i="3"/>
  <c r="F644" i="3" s="1"/>
  <c r="E3007" i="3"/>
  <c r="F3007" i="3" s="1"/>
  <c r="E2669" i="3"/>
  <c r="F2669" i="3" s="1"/>
  <c r="E3175" i="3"/>
  <c r="F3175" i="3" s="1"/>
  <c r="E1537" i="3"/>
  <c r="F1537" i="3" s="1"/>
  <c r="E2487" i="3"/>
  <c r="F2487" i="3" s="1"/>
  <c r="E1376" i="3"/>
  <c r="F1376" i="3" s="1"/>
  <c r="E1722" i="3"/>
  <c r="F1722" i="3" s="1"/>
  <c r="E317" i="3"/>
  <c r="F317" i="3" s="1"/>
  <c r="E2335" i="3"/>
  <c r="F2335" i="3" s="1"/>
  <c r="E757" i="3"/>
  <c r="F757" i="3" s="1"/>
  <c r="E1218" i="3"/>
  <c r="F1218" i="3" s="1"/>
  <c r="E514" i="3"/>
  <c r="F514" i="3" s="1"/>
  <c r="E2170" i="3"/>
  <c r="F2170" i="3" s="1"/>
  <c r="E1030" i="3"/>
  <c r="F1030" i="3" s="1"/>
  <c r="E218" i="3"/>
  <c r="F218" i="3" s="1"/>
  <c r="E1980" i="3"/>
  <c r="F1980" i="3" s="1"/>
  <c r="E3182" i="3"/>
  <c r="F3182" i="3" s="1"/>
  <c r="E2677" i="3"/>
  <c r="F2677" i="3" s="1"/>
  <c r="E1040" i="3"/>
  <c r="F1040" i="3" s="1"/>
  <c r="E766" i="3"/>
  <c r="F766" i="3" s="1"/>
  <c r="E2179" i="3"/>
  <c r="F2179" i="3" s="1"/>
  <c r="E1546" i="3"/>
  <c r="F1546" i="3" s="1"/>
  <c r="E1731" i="3"/>
  <c r="F1731" i="3" s="1"/>
  <c r="E1225" i="3"/>
  <c r="F1225" i="3" s="1"/>
  <c r="E1989" i="3"/>
  <c r="F1989" i="3" s="1"/>
  <c r="E2848" i="3"/>
  <c r="F2848" i="3" s="1"/>
  <c r="E3189" i="3"/>
  <c r="F3189" i="3" s="1"/>
  <c r="E2859" i="3"/>
  <c r="F2859" i="3" s="1"/>
  <c r="E1556" i="3"/>
  <c r="F1556" i="3" s="1"/>
  <c r="E1999" i="3"/>
  <c r="F1999" i="3" s="1"/>
  <c r="E2505" i="3"/>
  <c r="F2505" i="3" s="1"/>
  <c r="E1870" i="3"/>
  <c r="F1870" i="3" s="1"/>
  <c r="E2685" i="3"/>
  <c r="F2685" i="3" s="1"/>
  <c r="E1389" i="3"/>
  <c r="F1389" i="3" s="1"/>
  <c r="E593" i="3"/>
  <c r="F593" i="3" s="1"/>
  <c r="E325" i="3"/>
  <c r="F325" i="3" s="1"/>
  <c r="E1232" i="3"/>
  <c r="F1232" i="3" s="1"/>
  <c r="E926" i="3"/>
  <c r="F926" i="3" s="1"/>
  <c r="E2188" i="3"/>
  <c r="F2188" i="3" s="1"/>
  <c r="E1049" i="3"/>
  <c r="F1049" i="3" s="1"/>
  <c r="E1741" i="3"/>
  <c r="F1741" i="3" s="1"/>
  <c r="E3023" i="3"/>
  <c r="F3023" i="3" s="1"/>
  <c r="E776" i="3"/>
  <c r="F776" i="3" s="1"/>
  <c r="E521" i="3"/>
  <c r="F521" i="3" s="1"/>
  <c r="E3196" i="3"/>
  <c r="F3196" i="3" s="1"/>
  <c r="E3029" i="3"/>
  <c r="F3029" i="3" s="1"/>
  <c r="E2866" i="3"/>
  <c r="F2866" i="3" s="1"/>
  <c r="E2512" i="3"/>
  <c r="F2512" i="3" s="1"/>
  <c r="E1748" i="3"/>
  <c r="F1748" i="3" s="1"/>
  <c r="E2351" i="3"/>
  <c r="F2351" i="3" s="1"/>
  <c r="E2195" i="3"/>
  <c r="F2195" i="3" s="1"/>
  <c r="E1563" i="3"/>
  <c r="F1563" i="3" s="1"/>
  <c r="E1395" i="3"/>
  <c r="F1395" i="3" s="1"/>
  <c r="E783" i="3"/>
  <c r="F783" i="3" s="1"/>
  <c r="E527" i="3"/>
  <c r="F527" i="3" s="1"/>
  <c r="E2006" i="3"/>
  <c r="F2006" i="3" s="1"/>
  <c r="E659" i="3"/>
  <c r="F659" i="3" s="1"/>
  <c r="E1238" i="3"/>
  <c r="F1238" i="3" s="1"/>
  <c r="E1056" i="3"/>
  <c r="F1056" i="3" s="1"/>
  <c r="E3204" i="3"/>
  <c r="F3204" i="3" s="1"/>
  <c r="E2874" i="3"/>
  <c r="F2874" i="3" s="1"/>
  <c r="E2700" i="3"/>
  <c r="F2700" i="3" s="1"/>
  <c r="E2014" i="3"/>
  <c r="F2014" i="3" s="1"/>
  <c r="E2520" i="3"/>
  <c r="F2520" i="3" s="1"/>
  <c r="E1246" i="3"/>
  <c r="F1246" i="3" s="1"/>
  <c r="E533" i="3"/>
  <c r="F533" i="3" s="1"/>
  <c r="E791" i="3"/>
  <c r="F791" i="3" s="1"/>
  <c r="E1064" i="3"/>
  <c r="F1064" i="3" s="1"/>
  <c r="E2203" i="3"/>
  <c r="F2203" i="3" s="1"/>
  <c r="E933" i="3"/>
  <c r="F933" i="3" s="1"/>
  <c r="E1756" i="3"/>
  <c r="F1756" i="3" s="1"/>
  <c r="E1571" i="3"/>
  <c r="F1571" i="3" s="1"/>
  <c r="E338" i="3"/>
  <c r="F338" i="3" s="1"/>
  <c r="E1403" i="3"/>
  <c r="F1403" i="3" s="1"/>
  <c r="E2892" i="3"/>
  <c r="F2892" i="3" s="1"/>
  <c r="E1886" i="3"/>
  <c r="F1886" i="3" s="1"/>
  <c r="E2717" i="3"/>
  <c r="F2717" i="3" s="1"/>
  <c r="E3053" i="3"/>
  <c r="F3053" i="3" s="1"/>
  <c r="E2371" i="3"/>
  <c r="F2371" i="3" s="1"/>
  <c r="E1772" i="3"/>
  <c r="F1772" i="3" s="1"/>
  <c r="E1264" i="3"/>
  <c r="F1264" i="3" s="1"/>
  <c r="E670" i="3"/>
  <c r="F670" i="3" s="1"/>
  <c r="E1590" i="3"/>
  <c r="F1590" i="3" s="1"/>
  <c r="E1421" i="3"/>
  <c r="F1421" i="3" s="1"/>
  <c r="E811" i="3"/>
  <c r="F811" i="3" s="1"/>
  <c r="E352" i="3"/>
  <c r="F352" i="3" s="1"/>
  <c r="E3223" i="3"/>
  <c r="F3223" i="3" s="1"/>
  <c r="E2540" i="3"/>
  <c r="F2540" i="3" s="1"/>
  <c r="E2033" i="3"/>
  <c r="F2033" i="3" s="1"/>
  <c r="E1084" i="3"/>
  <c r="F1084" i="3" s="1"/>
  <c r="E2220" i="3"/>
  <c r="F2220" i="3" s="1"/>
  <c r="E942" i="3"/>
  <c r="F942" i="3" s="1"/>
  <c r="E241" i="3"/>
  <c r="F241" i="3" s="1"/>
  <c r="E545" i="3"/>
  <c r="F545" i="3" s="1"/>
  <c r="E2723" i="3"/>
  <c r="F2723" i="3" s="1"/>
  <c r="E1428" i="3"/>
  <c r="F1428" i="3" s="1"/>
  <c r="E2898" i="3"/>
  <c r="F2898" i="3" s="1"/>
  <c r="E1600" i="3"/>
  <c r="F1600" i="3" s="1"/>
  <c r="E2043" i="3"/>
  <c r="F2043" i="3" s="1"/>
  <c r="E2550" i="3"/>
  <c r="F2550" i="3" s="1"/>
  <c r="E2378" i="3"/>
  <c r="F2378" i="3" s="1"/>
  <c r="E821" i="3"/>
  <c r="F821" i="3" s="1"/>
  <c r="E1093" i="3"/>
  <c r="F1093" i="3" s="1"/>
  <c r="E2229" i="3"/>
  <c r="F2229" i="3" s="1"/>
  <c r="E1271" i="3"/>
  <c r="F1271" i="3" s="1"/>
  <c r="E2906" i="3"/>
  <c r="F2906" i="3" s="1"/>
  <c r="E2384" i="3"/>
  <c r="F2384" i="3" s="1"/>
  <c r="E3238" i="3"/>
  <c r="F3238" i="3" s="1"/>
  <c r="E2237" i="3"/>
  <c r="F2237" i="3" s="1"/>
  <c r="E2560" i="3"/>
  <c r="F2560" i="3" s="1"/>
  <c r="E1897" i="3"/>
  <c r="F1897" i="3" s="1"/>
  <c r="E602" i="3"/>
  <c r="F602" i="3" s="1"/>
  <c r="E1787" i="3"/>
  <c r="F1787" i="3" s="1"/>
  <c r="E1608" i="3"/>
  <c r="F1608" i="3" s="1"/>
  <c r="E1278" i="3"/>
  <c r="F1278" i="3" s="1"/>
  <c r="E679" i="3"/>
  <c r="F679" i="3" s="1"/>
  <c r="E455" i="3"/>
  <c r="F455" i="3" s="1"/>
  <c r="E829" i="3"/>
  <c r="F829" i="3" s="1"/>
  <c r="E552" i="3"/>
  <c r="F552" i="3" s="1"/>
  <c r="E2730" i="3"/>
  <c r="F2730" i="3" s="1"/>
  <c r="E2052" i="3"/>
  <c r="F2052" i="3" s="1"/>
  <c r="E1435" i="3"/>
  <c r="F1435" i="3" s="1"/>
  <c r="E1102" i="3"/>
  <c r="F1102" i="3" s="1"/>
  <c r="E245" i="3"/>
  <c r="F245" i="3" s="1"/>
  <c r="E3065" i="3"/>
  <c r="F3065" i="3" s="1"/>
  <c r="E362" i="3"/>
  <c r="F362" i="3" s="1"/>
  <c r="E3245" i="3"/>
  <c r="F3245" i="3" s="1"/>
  <c r="E2737" i="3"/>
  <c r="F2737" i="3" s="1"/>
  <c r="E2567" i="3"/>
  <c r="F2567" i="3" s="1"/>
  <c r="E1794" i="3"/>
  <c r="F1794" i="3" s="1"/>
  <c r="E1903" i="3"/>
  <c r="F1903" i="3" s="1"/>
  <c r="E1615" i="3"/>
  <c r="F1615" i="3" s="1"/>
  <c r="E2913" i="3"/>
  <c r="F2913" i="3" s="1"/>
  <c r="E2060" i="3"/>
  <c r="F2060" i="3" s="1"/>
  <c r="E3073" i="3"/>
  <c r="F3073" i="3" s="1"/>
  <c r="E368" i="3"/>
  <c r="F368" i="3" s="1"/>
  <c r="E1285" i="3"/>
  <c r="F1285" i="3" s="1"/>
  <c r="E837" i="3"/>
  <c r="F837" i="3" s="1"/>
  <c r="E681" i="3"/>
  <c r="F681" i="3" s="1"/>
  <c r="E558" i="3"/>
  <c r="F558" i="3" s="1"/>
  <c r="E461" i="3"/>
  <c r="F461" i="3" s="1"/>
  <c r="E251" i="3"/>
  <c r="F251" i="3" s="1"/>
  <c r="E3253" i="3"/>
  <c r="F3253" i="3" s="1"/>
  <c r="E2576" i="3"/>
  <c r="F2576" i="3" s="1"/>
  <c r="E3081" i="3"/>
  <c r="F3081" i="3" s="1"/>
  <c r="E2745" i="3"/>
  <c r="F2745" i="3" s="1"/>
  <c r="E1803" i="3"/>
  <c r="F1803" i="3" s="1"/>
  <c r="E2921" i="3"/>
  <c r="F2921" i="3" s="1"/>
  <c r="E1624" i="3"/>
  <c r="F1624" i="3" s="1"/>
  <c r="E2396" i="3"/>
  <c r="F2396" i="3" s="1"/>
  <c r="E1292" i="3"/>
  <c r="F1292" i="3" s="1"/>
  <c r="E1118" i="3"/>
  <c r="F1118" i="3" s="1"/>
  <c r="E2253" i="3"/>
  <c r="F2253" i="3" s="1"/>
  <c r="E1907" i="3"/>
  <c r="F1907" i="3" s="1"/>
  <c r="E846" i="3"/>
  <c r="F846" i="3" s="1"/>
  <c r="E1450" i="3"/>
  <c r="F1450" i="3" s="1"/>
  <c r="E562" i="3"/>
  <c r="F562" i="3" s="1"/>
  <c r="E256" i="3"/>
  <c r="F256" i="3" s="1"/>
  <c r="E3262" i="3"/>
  <c r="F3262" i="3" s="1"/>
  <c r="E2585" i="3"/>
  <c r="F2585" i="3" s="1"/>
  <c r="E2928" i="3"/>
  <c r="F2928" i="3" s="1"/>
  <c r="E1812" i="3"/>
  <c r="F1812" i="3" s="1"/>
  <c r="E1632" i="3"/>
  <c r="F1632" i="3" s="1"/>
  <c r="E3090" i="3"/>
  <c r="F3090" i="3" s="1"/>
  <c r="E2754" i="3"/>
  <c r="F2754" i="3" s="1"/>
  <c r="E2404" i="3"/>
  <c r="F2404" i="3" s="1"/>
  <c r="E1300" i="3"/>
  <c r="F1300" i="3" s="1"/>
  <c r="E960" i="3"/>
  <c r="F960" i="3" s="1"/>
  <c r="E855" i="3"/>
  <c r="F855" i="3" s="1"/>
  <c r="E2079" i="3"/>
  <c r="F2079" i="3" s="1"/>
  <c r="E2261" i="3"/>
  <c r="F2261" i="3" s="1"/>
  <c r="E1128" i="3"/>
  <c r="F1128" i="3" s="1"/>
  <c r="E3267" i="3"/>
  <c r="F3267" i="3" s="1"/>
  <c r="E1817" i="3"/>
  <c r="F1817" i="3" s="1"/>
  <c r="E2590" i="3"/>
  <c r="F2590" i="3" s="1"/>
  <c r="E3095" i="3"/>
  <c r="F3095" i="3" s="1"/>
  <c r="E2759" i="3"/>
  <c r="F2759" i="3" s="1"/>
  <c r="E2932" i="3"/>
  <c r="F2932" i="3" s="1"/>
  <c r="E1914" i="3"/>
  <c r="F1914" i="3" s="1"/>
  <c r="E570" i="3"/>
  <c r="F570" i="3" s="1"/>
  <c r="E2085" i="3"/>
  <c r="F2085" i="3" s="1"/>
  <c r="E2266" i="3"/>
  <c r="F2266" i="3" s="1"/>
  <c r="E1304" i="3"/>
  <c r="F1304" i="3" s="1"/>
  <c r="E861" i="3"/>
  <c r="F861" i="3" s="1"/>
  <c r="E961" i="3"/>
  <c r="F961" i="3" s="1"/>
  <c r="E1637" i="3"/>
  <c r="F1637" i="3" s="1"/>
  <c r="E1133" i="3"/>
  <c r="F1133" i="3" s="1"/>
  <c r="E263" i="3"/>
  <c r="F263" i="3" s="1"/>
  <c r="E2940" i="3"/>
  <c r="F2940" i="3" s="1"/>
  <c r="E3276" i="3"/>
  <c r="F3276" i="3" s="1"/>
  <c r="E3102" i="3"/>
  <c r="F3102" i="3" s="1"/>
  <c r="E2411" i="3"/>
  <c r="F2411" i="3" s="1"/>
  <c r="E1643" i="3"/>
  <c r="F1643" i="3" s="1"/>
  <c r="E2767" i="3"/>
  <c r="F2767" i="3" s="1"/>
  <c r="E1825" i="3"/>
  <c r="F1825" i="3" s="1"/>
  <c r="E2094" i="3"/>
  <c r="F2094" i="3" s="1"/>
  <c r="E2275" i="3"/>
  <c r="F2275" i="3" s="1"/>
  <c r="E2598" i="3"/>
  <c r="F2598" i="3" s="1"/>
  <c r="E870" i="3"/>
  <c r="F870" i="3" s="1"/>
  <c r="E623" i="3"/>
  <c r="F623" i="3" s="1"/>
  <c r="E573" i="3"/>
  <c r="F573" i="3" s="1"/>
  <c r="E613" i="3"/>
  <c r="F613" i="3" s="1"/>
  <c r="E1142" i="3"/>
  <c r="F1142" i="3" s="1"/>
  <c r="E1468" i="3"/>
  <c r="F1468" i="3" s="1"/>
  <c r="E392" i="3"/>
  <c r="F392" i="3" s="1"/>
  <c r="E475" i="3"/>
  <c r="F475" i="3" s="1"/>
  <c r="E267" i="3"/>
  <c r="F267" i="3" s="1"/>
  <c r="E1915" i="3"/>
  <c r="F1915" i="3" s="1"/>
  <c r="E3282" i="3"/>
  <c r="F3282" i="3" s="1"/>
  <c r="E2606" i="3"/>
  <c r="F2606" i="3" s="1"/>
  <c r="E2416" i="3"/>
  <c r="F2416" i="3" s="1"/>
  <c r="E2774" i="3"/>
  <c r="F2774" i="3" s="1"/>
  <c r="E2282" i="3"/>
  <c r="F2282" i="3" s="1"/>
  <c r="E2102" i="3"/>
  <c r="F2102" i="3" s="1"/>
  <c r="E1149" i="3"/>
  <c r="F1149" i="3" s="1"/>
  <c r="E1316" i="3"/>
  <c r="F1316" i="3" s="1"/>
  <c r="E878" i="3"/>
  <c r="F878" i="3" s="1"/>
  <c r="E3118" i="3"/>
  <c r="F3118" i="3" s="1"/>
  <c r="E3291" i="3"/>
  <c r="F3291" i="3" s="1"/>
  <c r="E2783" i="3"/>
  <c r="F2783" i="3" s="1"/>
  <c r="E2110" i="3"/>
  <c r="F2110" i="3" s="1"/>
  <c r="E1840" i="3"/>
  <c r="F1840" i="3" s="1"/>
  <c r="E2955" i="3"/>
  <c r="F2955" i="3" s="1"/>
  <c r="E1921" i="3"/>
  <c r="F1921" i="3" s="1"/>
  <c r="E1481" i="3"/>
  <c r="F1481" i="3" s="1"/>
  <c r="E625" i="3"/>
  <c r="F625" i="3" s="1"/>
  <c r="E2616" i="3"/>
  <c r="F2616" i="3" s="1"/>
  <c r="E2291" i="3"/>
  <c r="F2291" i="3" s="1"/>
  <c r="E1324" i="3"/>
  <c r="F1324" i="3" s="1"/>
  <c r="E1159" i="3"/>
  <c r="F1159" i="3" s="1"/>
  <c r="E615" i="3"/>
  <c r="F615" i="3" s="1"/>
  <c r="E2422" i="3"/>
  <c r="F2422" i="3" s="1"/>
  <c r="E482" i="3"/>
  <c r="F482" i="3" s="1"/>
  <c r="E582" i="3"/>
  <c r="F582" i="3" s="1"/>
  <c r="E1658" i="3"/>
  <c r="F1658" i="3" s="1"/>
  <c r="E887" i="3"/>
  <c r="F887" i="3" s="1"/>
  <c r="E273" i="3"/>
  <c r="F273" i="3" s="1"/>
  <c r="E403" i="3"/>
  <c r="F403" i="3" s="1"/>
  <c r="E700" i="3"/>
  <c r="F700" i="3" s="1"/>
  <c r="E968" i="3"/>
  <c r="F968" i="3" s="1"/>
  <c r="M477" i="2"/>
  <c r="AB526" i="2"/>
  <c r="AC526" i="2" s="1"/>
  <c r="AC479" i="2"/>
  <c r="AC481" i="2"/>
  <c r="P531" i="2"/>
  <c r="Q531" i="2" s="1"/>
  <c r="Q484" i="2"/>
  <c r="Q486" i="2"/>
  <c r="D536" i="2"/>
  <c r="E536" i="2" s="1"/>
  <c r="E491" i="2"/>
  <c r="T540" i="2"/>
  <c r="U540" i="2" s="1"/>
  <c r="U493" i="2"/>
  <c r="U495" i="2"/>
  <c r="H545" i="2"/>
  <c r="I545" i="2" s="1"/>
  <c r="I498" i="2"/>
  <c r="X547" i="2"/>
  <c r="Y547" i="2" s="1"/>
  <c r="AC500" i="2"/>
  <c r="AB548" i="2"/>
  <c r="D550" i="2"/>
  <c r="E550" i="2" s="1"/>
  <c r="I503" i="2"/>
  <c r="H551" i="2"/>
  <c r="M504" i="2"/>
  <c r="L552" i="2"/>
  <c r="M552" i="2" s="1"/>
  <c r="Q505" i="2"/>
  <c r="P553" i="2"/>
  <c r="T554" i="2"/>
  <c r="U554" i="2" s="1"/>
  <c r="Y507" i="2"/>
  <c r="X555" i="2"/>
  <c r="AC508" i="2"/>
  <c r="AB556" i="2"/>
  <c r="AC556" i="2" s="1"/>
  <c r="E510" i="2"/>
  <c r="D558" i="2"/>
  <c r="H559" i="2"/>
  <c r="I559" i="2" s="1"/>
  <c r="M512" i="2"/>
  <c r="L560" i="2"/>
  <c r="Q513" i="2"/>
  <c r="P561" i="2"/>
  <c r="Q561" i="2" s="1"/>
  <c r="U514" i="2"/>
  <c r="T562" i="2"/>
  <c r="X563" i="2"/>
  <c r="Y563" i="2" s="1"/>
  <c r="AC516" i="2"/>
  <c r="AB564" i="2"/>
  <c r="D566" i="2"/>
  <c r="E566" i="2" s="1"/>
  <c r="I519" i="2"/>
  <c r="H567" i="2"/>
  <c r="L568" i="2"/>
  <c r="M568" i="2" s="1"/>
  <c r="Q521" i="2"/>
  <c r="P569" i="2"/>
  <c r="T570" i="2"/>
  <c r="U570" i="2" s="1"/>
  <c r="Y523" i="2"/>
  <c r="X571" i="2"/>
  <c r="AB572" i="2"/>
  <c r="AC572" i="2" s="1"/>
  <c r="E526" i="2"/>
  <c r="D574" i="2"/>
  <c r="H575" i="2"/>
  <c r="I575" i="2" s="1"/>
  <c r="M528" i="2"/>
  <c r="L576" i="2"/>
  <c r="Q529" i="2"/>
  <c r="P577" i="2"/>
  <c r="Q577" i="2" s="1"/>
  <c r="U530" i="2"/>
  <c r="T578" i="2"/>
  <c r="X579" i="2"/>
  <c r="Y579" i="2" s="1"/>
  <c r="AC532" i="2"/>
  <c r="AB580" i="2"/>
  <c r="D582" i="2"/>
  <c r="E582" i="2" s="1"/>
  <c r="I535" i="2"/>
  <c r="H583" i="2"/>
  <c r="M536" i="2"/>
  <c r="L584" i="2"/>
  <c r="M584" i="2" s="1"/>
  <c r="P585" i="2"/>
  <c r="U538" i="2"/>
  <c r="T586" i="2"/>
  <c r="U586" i="2" s="1"/>
  <c r="Y539" i="2"/>
  <c r="X587" i="2"/>
  <c r="AC540" i="2"/>
  <c r="AB588" i="2"/>
  <c r="AC588" i="2" s="1"/>
  <c r="E542" i="2"/>
  <c r="D590" i="2"/>
  <c r="I543" i="2"/>
  <c r="H591" i="2"/>
  <c r="I591" i="2" s="1"/>
  <c r="M544" i="2"/>
  <c r="L592" i="2"/>
  <c r="Q545" i="2"/>
  <c r="P593" i="2"/>
  <c r="Q593" i="2" s="1"/>
  <c r="U546" i="2"/>
  <c r="T594" i="2"/>
  <c r="X595" i="2"/>
  <c r="Y595" i="2" s="1"/>
  <c r="AC548" i="2"/>
  <c r="AB596" i="2"/>
  <c r="D598" i="2"/>
  <c r="E598" i="2" s="1"/>
  <c r="I551" i="2"/>
  <c r="H599" i="2"/>
  <c r="L600" i="2"/>
  <c r="M600" i="2" s="1"/>
  <c r="Q553" i="2"/>
  <c r="P601" i="2"/>
  <c r="T602" i="2"/>
  <c r="U602" i="2" s="1"/>
  <c r="Y555" i="2"/>
  <c r="X603" i="2"/>
  <c r="AB604" i="2"/>
  <c r="AC604" i="2" s="1"/>
  <c r="E558" i="2"/>
  <c r="D606" i="2"/>
  <c r="H607" i="2"/>
  <c r="I607" i="2" s="1"/>
  <c r="M560" i="2"/>
  <c r="L608" i="2"/>
  <c r="P609" i="2"/>
  <c r="Q609" i="2" s="1"/>
  <c r="U562" i="2"/>
  <c r="T610" i="2"/>
  <c r="X611" i="2"/>
  <c r="Y611" i="2" s="1"/>
  <c r="AC564" i="2"/>
  <c r="AB612" i="2"/>
  <c r="D614" i="2"/>
  <c r="E614" i="2" s="1"/>
  <c r="I567" i="2"/>
  <c r="H615" i="2"/>
  <c r="L616" i="2"/>
  <c r="M616" i="2" s="1"/>
  <c r="Q569" i="2"/>
  <c r="P617" i="2"/>
  <c r="T618" i="2"/>
  <c r="U618" i="2" s="1"/>
  <c r="Y571" i="2"/>
  <c r="X619" i="2"/>
  <c r="AB620" i="2"/>
  <c r="AC620" i="2" s="1"/>
  <c r="E574" i="2"/>
  <c r="D622" i="2"/>
  <c r="H623" i="2"/>
  <c r="I623" i="2" s="1"/>
  <c r="M576" i="2"/>
  <c r="L624" i="2"/>
  <c r="P625" i="2"/>
  <c r="Q625" i="2" s="1"/>
  <c r="U578" i="2"/>
  <c r="T626" i="2"/>
  <c r="X627" i="2"/>
  <c r="Y627" i="2" s="1"/>
  <c r="AC580" i="2"/>
  <c r="AB628" i="2"/>
  <c r="D630" i="2"/>
  <c r="E630" i="2" s="1"/>
  <c r="I583" i="2"/>
  <c r="H631" i="2"/>
  <c r="L632" i="2"/>
  <c r="M632" i="2" s="1"/>
  <c r="Q585" i="2"/>
  <c r="P633" i="2"/>
  <c r="T634" i="2"/>
  <c r="U634" i="2" s="1"/>
  <c r="Y587" i="2"/>
  <c r="X635" i="2"/>
  <c r="AB636" i="2"/>
  <c r="AC636" i="2" s="1"/>
  <c r="E590" i="2"/>
  <c r="D638" i="2"/>
  <c r="H639" i="2"/>
  <c r="I639" i="2" s="1"/>
  <c r="M592" i="2"/>
  <c r="L640" i="2"/>
  <c r="P641" i="2"/>
  <c r="Q641" i="2" s="1"/>
  <c r="U594" i="2"/>
  <c r="T642" i="2"/>
  <c r="X643" i="2"/>
  <c r="Y643" i="2" s="1"/>
  <c r="AC596" i="2"/>
  <c r="AB644" i="2"/>
  <c r="D646" i="2"/>
  <c r="E646" i="2" s="1"/>
  <c r="I599" i="2"/>
  <c r="H647" i="2"/>
  <c r="L648" i="2"/>
  <c r="M648" i="2" s="1"/>
  <c r="Q601" i="2"/>
  <c r="P649" i="2"/>
  <c r="T650" i="2"/>
  <c r="U650" i="2" s="1"/>
  <c r="Y603" i="2"/>
  <c r="X651" i="2"/>
  <c r="AB652" i="2"/>
  <c r="AC652" i="2" s="1"/>
  <c r="E606" i="2"/>
  <c r="D654" i="2"/>
  <c r="H655" i="2"/>
  <c r="I655" i="2" s="1"/>
  <c r="M608" i="2"/>
  <c r="L656" i="2"/>
  <c r="P657" i="2"/>
  <c r="Q657" i="2" s="1"/>
  <c r="U610" i="2"/>
  <c r="T658" i="2"/>
  <c r="X659" i="2"/>
  <c r="Y659" i="2" s="1"/>
  <c r="AC612" i="2"/>
  <c r="AB660" i="2"/>
  <c r="D662" i="2"/>
  <c r="E662" i="2" s="1"/>
  <c r="I615" i="2"/>
  <c r="H663" i="2"/>
  <c r="L664" i="2"/>
  <c r="M664" i="2" s="1"/>
  <c r="Q617" i="2"/>
  <c r="P665" i="2"/>
  <c r="T666" i="2"/>
  <c r="U666" i="2" s="1"/>
  <c r="Y619" i="2"/>
  <c r="X667" i="2"/>
  <c r="AB668" i="2"/>
  <c r="AC668" i="2" s="1"/>
  <c r="E622" i="2"/>
  <c r="D670" i="2"/>
  <c r="H671" i="2"/>
  <c r="I671" i="2" s="1"/>
  <c r="M624" i="2"/>
  <c r="L672" i="2"/>
  <c r="P673" i="2"/>
  <c r="Q673" i="2" s="1"/>
  <c r="U626" i="2"/>
  <c r="T674" i="2"/>
  <c r="X675" i="2"/>
  <c r="Y675" i="2" s="1"/>
  <c r="AC628" i="2"/>
  <c r="AB676" i="2"/>
  <c r="D678" i="2"/>
  <c r="E678" i="2" s="1"/>
  <c r="I631" i="2"/>
  <c r="H679" i="2"/>
  <c r="L680" i="2"/>
  <c r="M680" i="2" s="1"/>
  <c r="Q633" i="2"/>
  <c r="P681" i="2"/>
  <c r="T682" i="2"/>
  <c r="U682" i="2" s="1"/>
  <c r="Y635" i="2"/>
  <c r="X683" i="2"/>
  <c r="AB684" i="2"/>
  <c r="AC684" i="2" s="1"/>
  <c r="E638" i="2"/>
  <c r="D686" i="2"/>
  <c r="H687" i="2"/>
  <c r="I687" i="2" s="1"/>
  <c r="M640" i="2"/>
  <c r="L688" i="2"/>
  <c r="P689" i="2"/>
  <c r="Q689" i="2" s="1"/>
  <c r="U642" i="2"/>
  <c r="T690" i="2"/>
  <c r="X691" i="2"/>
  <c r="Y691" i="2" s="1"/>
  <c r="AC644" i="2"/>
  <c r="AB692" i="2"/>
  <c r="D694" i="2"/>
  <c r="E694" i="2" s="1"/>
  <c r="I647" i="2"/>
  <c r="H695" i="2"/>
  <c r="L696" i="2"/>
  <c r="M696" i="2" s="1"/>
  <c r="Q649" i="2"/>
  <c r="P697" i="2"/>
  <c r="T698" i="2"/>
  <c r="Y651" i="2"/>
  <c r="X699" i="2"/>
  <c r="Y699" i="2" s="1"/>
  <c r="AB700" i="2"/>
  <c r="E654" i="2"/>
  <c r="D702" i="2"/>
  <c r="H703" i="2"/>
  <c r="I703" i="2" s="1"/>
  <c r="M656" i="2"/>
  <c r="L704" i="2"/>
  <c r="M704" i="2" s="1"/>
  <c r="P705" i="2"/>
  <c r="Q705" i="2" s="1"/>
  <c r="U658" i="2"/>
  <c r="T706" i="2"/>
  <c r="X707" i="2"/>
  <c r="AC660" i="2"/>
  <c r="AB708" i="2"/>
  <c r="AC708" i="2" s="1"/>
  <c r="D710" i="2"/>
  <c r="E710" i="2" s="1"/>
  <c r="I663" i="2"/>
  <c r="H711" i="2"/>
  <c r="L712" i="2"/>
  <c r="M712" i="2" s="1"/>
  <c r="Q665" i="2"/>
  <c r="P713" i="2"/>
  <c r="T714" i="2"/>
  <c r="U714" i="2" s="1"/>
  <c r="Y667" i="2"/>
  <c r="X715" i="2"/>
  <c r="AB716" i="2"/>
  <c r="E670" i="2"/>
  <c r="D718" i="2"/>
  <c r="E718" i="2" s="1"/>
  <c r="H719" i="2"/>
  <c r="M672" i="2"/>
  <c r="L720" i="2"/>
  <c r="P721" i="2"/>
  <c r="Q721" i="2" s="1"/>
  <c r="U674" i="2"/>
  <c r="T722" i="2"/>
  <c r="U722" i="2" s="1"/>
  <c r="X723" i="2"/>
  <c r="Y723" i="2" s="1"/>
  <c r="AC676" i="2"/>
  <c r="AB724" i="2"/>
  <c r="D726" i="2"/>
  <c r="I679" i="2"/>
  <c r="H727" i="2"/>
  <c r="L728" i="2"/>
  <c r="M728" i="2" s="1"/>
  <c r="Q681" i="2"/>
  <c r="P729" i="2"/>
  <c r="Q729" i="2" s="1"/>
  <c r="T730" i="2"/>
  <c r="Y683" i="2"/>
  <c r="X731" i="2"/>
  <c r="AB732" i="2"/>
  <c r="AC732" i="2" s="1"/>
  <c r="E686" i="2"/>
  <c r="D734" i="2"/>
  <c r="H735" i="2"/>
  <c r="M688" i="2"/>
  <c r="L736" i="2"/>
  <c r="M736" i="2" s="1"/>
  <c r="P737" i="2"/>
  <c r="Q737" i="2" s="1"/>
  <c r="U690" i="2"/>
  <c r="T738" i="2"/>
  <c r="X739" i="2"/>
  <c r="Y739" i="2" s="1"/>
  <c r="AC692" i="2"/>
  <c r="AB740" i="2"/>
  <c r="H743" i="2"/>
  <c r="I743" i="2" s="1"/>
  <c r="I695" i="2"/>
  <c r="P745" i="2"/>
  <c r="Q745" i="2" s="1"/>
  <c r="Q697" i="2"/>
  <c r="U698" i="2"/>
  <c r="X747" i="2"/>
  <c r="Y747" i="2" s="1"/>
  <c r="AC700" i="2"/>
  <c r="D750" i="2"/>
  <c r="E750" i="2" s="1"/>
  <c r="E702" i="2"/>
  <c r="L752" i="2"/>
  <c r="M752" i="2" s="1"/>
  <c r="T754" i="2"/>
  <c r="U754" i="2" s="1"/>
  <c r="U706" i="2"/>
  <c r="Y707" i="2"/>
  <c r="AB756" i="2"/>
  <c r="AC756" i="2" s="1"/>
  <c r="H759" i="2"/>
  <c r="I759" i="2" s="1"/>
  <c r="I711" i="2"/>
  <c r="P761" i="2"/>
  <c r="Q761" i="2" s="1"/>
  <c r="Q713" i="2"/>
  <c r="X763" i="2"/>
  <c r="Y763" i="2" s="1"/>
  <c r="Y715" i="2"/>
  <c r="AC716" i="2"/>
  <c r="D766" i="2"/>
  <c r="E766" i="2" s="1"/>
  <c r="I719" i="2"/>
  <c r="M720" i="2"/>
  <c r="P769" i="2"/>
  <c r="Q769" i="2" s="1"/>
  <c r="AC724" i="2"/>
  <c r="D774" i="2"/>
  <c r="E774" i="2" s="1"/>
  <c r="E726" i="2"/>
  <c r="I727" i="2"/>
  <c r="T778" i="2"/>
  <c r="U778" i="2" s="1"/>
  <c r="U730" i="2"/>
  <c r="Y731" i="2"/>
  <c r="E734" i="2"/>
  <c r="H783" i="2"/>
  <c r="I783" i="2" s="1"/>
  <c r="I735" i="2"/>
  <c r="U738" i="2"/>
  <c r="X787" i="2"/>
  <c r="Y787" i="2" s="1"/>
  <c r="AC740" i="2"/>
  <c r="T789" i="2"/>
  <c r="U789" i="2" s="1"/>
  <c r="U741" i="2"/>
  <c r="AB742" i="2"/>
  <c r="L744" i="2"/>
  <c r="AB795" i="2"/>
  <c r="AC795" i="2" s="1"/>
  <c r="AB794" i="2"/>
  <c r="AC794" i="2" s="1"/>
  <c r="U748" i="2"/>
  <c r="X798" i="2"/>
  <c r="Y798" i="2" s="1"/>
  <c r="Y750" i="2"/>
  <c r="D752" i="2"/>
  <c r="P753" i="2"/>
  <c r="Q753" i="2" s="1"/>
  <c r="Y757" i="2"/>
  <c r="H761" i="2"/>
  <c r="I761" i="2" s="1"/>
  <c r="T762" i="2"/>
  <c r="U762" i="2" s="1"/>
  <c r="D764" i="2"/>
  <c r="E764" i="2" s="1"/>
  <c r="T767" i="2"/>
  <c r="U767" i="2" s="1"/>
  <c r="M768" i="2"/>
  <c r="AB770" i="2"/>
  <c r="AC770" i="2" s="1"/>
  <c r="L774" i="2"/>
  <c r="M774" i="2" s="1"/>
  <c r="L776" i="2"/>
  <c r="X777" i="2"/>
  <c r="Y777" i="2" s="1"/>
  <c r="L778" i="2"/>
  <c r="X779" i="2"/>
  <c r="Y779" i="2" s="1"/>
  <c r="AB783" i="2"/>
  <c r="AC783" i="2" s="1"/>
  <c r="AB785" i="2"/>
  <c r="AC785" i="2" s="1"/>
  <c r="U786" i="2"/>
  <c r="T796" i="2"/>
  <c r="E589" i="3"/>
  <c r="F589" i="3" s="1"/>
  <c r="E749" i="3"/>
  <c r="F749" i="3" s="1"/>
  <c r="E2070" i="3"/>
  <c r="F2070" i="3" s="1"/>
  <c r="E2390" i="3"/>
  <c r="F2390" i="3" s="1"/>
  <c r="T790" i="2"/>
  <c r="U790" i="2" s="1"/>
  <c r="AB792" i="2"/>
  <c r="AC792" i="2" s="1"/>
  <c r="H795" i="2"/>
  <c r="I795" i="2" s="1"/>
  <c r="P797" i="2"/>
  <c r="Q797" i="2" s="1"/>
  <c r="X799" i="2"/>
  <c r="Y799" i="2" s="1"/>
  <c r="M770" i="2"/>
  <c r="L771" i="2"/>
  <c r="M771" i="2" s="1"/>
  <c r="AB775" i="2"/>
  <c r="AC775" i="2" s="1"/>
  <c r="Q779" i="2"/>
  <c r="P780" i="2"/>
  <c r="Q780" i="2" s="1"/>
  <c r="E784" i="2"/>
  <c r="D785" i="2"/>
  <c r="E785" i="2" s="1"/>
  <c r="U788" i="2"/>
  <c r="I793" i="2"/>
  <c r="Y797" i="2"/>
  <c r="E219" i="3"/>
  <c r="F219" i="3" s="1"/>
  <c r="E741" i="3"/>
  <c r="F741" i="3" s="1"/>
  <c r="E1965" i="3"/>
  <c r="F1965" i="3" s="1"/>
  <c r="E3010" i="3"/>
  <c r="F3010" i="3" s="1"/>
  <c r="Y694" i="2"/>
  <c r="E697" i="2"/>
  <c r="M699" i="2"/>
  <c r="U701" i="2"/>
  <c r="AC703" i="2"/>
  <c r="I706" i="2"/>
  <c r="Q708" i="2"/>
  <c r="Y710" i="2"/>
  <c r="E713" i="2"/>
  <c r="M715" i="2"/>
  <c r="U717" i="2"/>
  <c r="AC719" i="2"/>
  <c r="E721" i="2"/>
  <c r="Q724" i="2"/>
  <c r="U725" i="2"/>
  <c r="E729" i="2"/>
  <c r="I730" i="2"/>
  <c r="U733" i="2"/>
  <c r="Y734" i="2"/>
  <c r="I738" i="2"/>
  <c r="M739" i="2"/>
  <c r="E776" i="2"/>
  <c r="U780" i="2"/>
  <c r="I785" i="2"/>
  <c r="Y789" i="2"/>
  <c r="M794" i="2"/>
  <c r="AC798" i="2"/>
  <c r="E1492" i="3"/>
  <c r="F1492" i="3" s="1"/>
  <c r="E2433" i="3"/>
  <c r="F2433" i="3" s="1"/>
  <c r="E1673" i="3"/>
  <c r="F1673" i="3" s="1"/>
  <c r="E1335" i="3"/>
  <c r="F1335" i="3" s="1"/>
  <c r="E3129" i="3"/>
  <c r="F3129" i="3" s="1"/>
  <c r="E1172" i="3"/>
  <c r="F1172" i="3" s="1"/>
  <c r="E898" i="3"/>
  <c r="F898" i="3" s="1"/>
  <c r="E282" i="3"/>
  <c r="F282" i="3" s="1"/>
  <c r="E1932" i="3"/>
  <c r="F1932" i="3" s="1"/>
  <c r="E978" i="3"/>
  <c r="F978" i="3" s="1"/>
  <c r="E489" i="3"/>
  <c r="F489" i="3" s="1"/>
  <c r="E2633" i="3"/>
  <c r="F2633" i="3" s="1"/>
  <c r="E986" i="3"/>
  <c r="F986" i="3" s="1"/>
  <c r="E2799" i="3"/>
  <c r="F2799" i="3" s="1"/>
  <c r="E2131" i="3"/>
  <c r="F2131" i="3" s="1"/>
  <c r="E1941" i="3"/>
  <c r="F1941" i="3" s="1"/>
  <c r="E197" i="3"/>
  <c r="F197" i="3" s="1"/>
  <c r="E2442" i="3"/>
  <c r="F2442" i="3" s="1"/>
  <c r="E718" i="3"/>
  <c r="F718" i="3" s="1"/>
  <c r="E3144" i="3"/>
  <c r="F3144" i="3" s="1"/>
  <c r="E2979" i="3"/>
  <c r="F2979" i="3" s="1"/>
  <c r="E2641" i="3"/>
  <c r="F2641" i="3" s="1"/>
  <c r="E1689" i="3"/>
  <c r="F1689" i="3" s="1"/>
  <c r="E2452" i="3"/>
  <c r="F2452" i="3" s="1"/>
  <c r="E1949" i="3"/>
  <c r="F1949" i="3" s="1"/>
  <c r="E2310" i="3"/>
  <c r="F2310" i="3" s="1"/>
  <c r="E2807" i="3"/>
  <c r="F2807" i="3" s="1"/>
  <c r="E1347" i="3"/>
  <c r="F1347" i="3" s="1"/>
  <c r="E1187" i="3"/>
  <c r="F1187" i="3" s="1"/>
  <c r="E497" i="3"/>
  <c r="F497" i="3" s="1"/>
  <c r="E725" i="3"/>
  <c r="F725" i="3" s="1"/>
  <c r="E1851" i="3"/>
  <c r="F1851" i="3" s="1"/>
  <c r="E633" i="3"/>
  <c r="F633" i="3" s="1"/>
  <c r="E997" i="3"/>
  <c r="F997" i="3" s="1"/>
  <c r="E906" i="3"/>
  <c r="F906" i="3" s="1"/>
  <c r="E2139" i="3"/>
  <c r="F2139" i="3" s="1"/>
  <c r="E201" i="3"/>
  <c r="F201" i="3" s="1"/>
  <c r="E2815" i="3"/>
  <c r="F2815" i="3" s="1"/>
  <c r="E3151" i="3"/>
  <c r="F3151" i="3" s="1"/>
  <c r="E2985" i="3"/>
  <c r="F2985" i="3" s="1"/>
  <c r="E2146" i="3"/>
  <c r="F2146" i="3" s="1"/>
  <c r="E1697" i="3"/>
  <c r="F1697" i="3" s="1"/>
  <c r="E1513" i="3"/>
  <c r="F1513" i="3" s="1"/>
  <c r="E1955" i="3"/>
  <c r="F1955" i="3" s="1"/>
  <c r="E2648" i="3"/>
  <c r="F2648" i="3" s="1"/>
  <c r="E1354" i="3"/>
  <c r="F1354" i="3" s="1"/>
  <c r="E638" i="3"/>
  <c r="F638" i="3" s="1"/>
  <c r="E501" i="3"/>
  <c r="F501" i="3" s="1"/>
  <c r="E731" i="3"/>
  <c r="F731" i="3" s="1"/>
  <c r="E206" i="3"/>
  <c r="F206" i="3" s="1"/>
  <c r="E2314" i="3"/>
  <c r="F2314" i="3" s="1"/>
  <c r="E1005" i="3"/>
  <c r="F1005" i="3" s="1"/>
  <c r="E2460" i="3"/>
  <c r="F2460" i="3" s="1"/>
  <c r="E1013" i="3"/>
  <c r="F1013" i="3" s="1"/>
  <c r="E2991" i="3"/>
  <c r="F2991" i="3" s="1"/>
  <c r="E1521" i="3"/>
  <c r="F1521" i="3" s="1"/>
  <c r="E740" i="3"/>
  <c r="F740" i="3" s="1"/>
  <c r="E303" i="3"/>
  <c r="F303" i="3" s="1"/>
  <c r="E2835" i="3"/>
  <c r="F2835" i="3" s="1"/>
  <c r="E3002" i="3"/>
  <c r="F3002" i="3" s="1"/>
  <c r="E3168" i="3"/>
  <c r="F3168" i="3" s="1"/>
  <c r="E1529" i="3"/>
  <c r="F1529" i="3" s="1"/>
  <c r="E1369" i="3"/>
  <c r="F1369" i="3" s="1"/>
  <c r="E2662" i="3"/>
  <c r="F2662" i="3" s="1"/>
  <c r="E2479" i="3"/>
  <c r="F2479" i="3" s="1"/>
  <c r="E2328" i="3"/>
  <c r="F2328" i="3" s="1"/>
  <c r="E2163" i="3"/>
  <c r="F2163" i="3" s="1"/>
  <c r="E509" i="3"/>
  <c r="F509" i="3" s="1"/>
  <c r="E1859" i="3"/>
  <c r="F1859" i="3" s="1"/>
  <c r="E1211" i="3"/>
  <c r="F1211" i="3" s="1"/>
  <c r="E3176" i="3"/>
  <c r="F3176" i="3" s="1"/>
  <c r="E1981" i="3"/>
  <c r="F1981" i="3" s="1"/>
  <c r="E1538" i="3"/>
  <c r="F1538" i="3" s="1"/>
  <c r="E2488" i="3"/>
  <c r="F2488" i="3" s="1"/>
  <c r="E1862" i="3"/>
  <c r="F1862" i="3" s="1"/>
  <c r="E1377" i="3"/>
  <c r="F1377" i="3" s="1"/>
  <c r="E2841" i="3"/>
  <c r="F2841" i="3" s="1"/>
  <c r="E2336" i="3"/>
  <c r="F2336" i="3" s="1"/>
  <c r="E1219" i="3"/>
  <c r="F1219" i="3" s="1"/>
  <c r="E2171" i="3"/>
  <c r="F2171" i="3" s="1"/>
  <c r="E1031" i="3"/>
  <c r="F1031" i="3" s="1"/>
  <c r="E917" i="3"/>
  <c r="F917" i="3" s="1"/>
  <c r="E432" i="3"/>
  <c r="F432" i="3" s="1"/>
  <c r="E2670" i="3"/>
  <c r="F2670" i="3" s="1"/>
  <c r="E3008" i="3"/>
  <c r="F3008" i="3" s="1"/>
  <c r="E1723" i="3"/>
  <c r="F1723" i="3" s="1"/>
  <c r="E1547" i="3"/>
  <c r="F1547" i="3" s="1"/>
  <c r="E1990" i="3"/>
  <c r="F1990" i="3" s="1"/>
  <c r="E2849" i="3"/>
  <c r="F2849" i="3" s="1"/>
  <c r="E2180" i="3"/>
  <c r="F2180" i="3" s="1"/>
  <c r="E3190" i="3"/>
  <c r="F3190" i="3" s="1"/>
  <c r="E2860" i="3"/>
  <c r="F2860" i="3" s="1"/>
  <c r="E2686" i="3"/>
  <c r="F2686" i="3" s="1"/>
  <c r="E2000" i="3"/>
  <c r="F2000" i="3" s="1"/>
  <c r="E3024" i="3"/>
  <c r="F3024" i="3" s="1"/>
  <c r="E1742" i="3"/>
  <c r="F1742" i="3" s="1"/>
  <c r="E2189" i="3"/>
  <c r="F2189" i="3" s="1"/>
  <c r="E1050" i="3"/>
  <c r="F1050" i="3" s="1"/>
  <c r="E1557" i="3"/>
  <c r="F1557" i="3" s="1"/>
  <c r="E2506" i="3"/>
  <c r="F2506" i="3" s="1"/>
  <c r="E326" i="3"/>
  <c r="F326" i="3" s="1"/>
  <c r="E2867" i="3"/>
  <c r="F2867" i="3" s="1"/>
  <c r="E2693" i="3"/>
  <c r="F2693" i="3" s="1"/>
  <c r="E2352" i="3"/>
  <c r="F2352" i="3" s="1"/>
  <c r="E2196" i="3"/>
  <c r="F2196" i="3" s="1"/>
  <c r="E1396" i="3"/>
  <c r="F1396" i="3" s="1"/>
  <c r="E2007" i="3"/>
  <c r="F2007" i="3" s="1"/>
  <c r="E3197" i="3"/>
  <c r="F3197" i="3" s="1"/>
  <c r="E3030" i="3"/>
  <c r="F3030" i="3" s="1"/>
  <c r="E784" i="3"/>
  <c r="F784" i="3" s="1"/>
  <c r="E528" i="3"/>
  <c r="F528" i="3" s="1"/>
  <c r="E1564" i="3"/>
  <c r="F1564" i="3" s="1"/>
  <c r="E226" i="3"/>
  <c r="F226" i="3" s="1"/>
  <c r="E2513" i="3"/>
  <c r="F2513" i="3" s="1"/>
  <c r="E1874" i="3"/>
  <c r="F1874" i="3" s="1"/>
  <c r="E1239" i="3"/>
  <c r="F1239" i="3" s="1"/>
  <c r="E3205" i="3"/>
  <c r="F3205" i="3" s="1"/>
  <c r="E2521" i="3"/>
  <c r="F2521" i="3" s="1"/>
  <c r="E1757" i="3"/>
  <c r="F1757" i="3" s="1"/>
  <c r="E2701" i="3"/>
  <c r="F2701" i="3" s="1"/>
  <c r="E597" i="3"/>
  <c r="F597" i="3" s="1"/>
  <c r="E2204" i="3"/>
  <c r="F2204" i="3" s="1"/>
  <c r="E1877" i="3"/>
  <c r="F1877" i="3" s="1"/>
  <c r="E1572" i="3"/>
  <c r="F1572" i="3" s="1"/>
  <c r="E1404" i="3"/>
  <c r="F1404" i="3" s="1"/>
  <c r="E934" i="3"/>
  <c r="F934" i="3" s="1"/>
  <c r="E792" i="3"/>
  <c r="F792" i="3" s="1"/>
  <c r="E2015" i="3"/>
  <c r="F2015" i="3" s="1"/>
  <c r="E1065" i="3"/>
  <c r="F1065" i="3" s="1"/>
  <c r="E444" i="3"/>
  <c r="F444" i="3" s="1"/>
  <c r="E663" i="3"/>
  <c r="F663" i="3" s="1"/>
  <c r="E534" i="3"/>
  <c r="F534" i="3" s="1"/>
  <c r="E2875" i="3"/>
  <c r="F2875" i="3" s="1"/>
  <c r="E2358" i="3"/>
  <c r="F2358" i="3" s="1"/>
  <c r="E3047" i="3"/>
  <c r="F3047" i="3" s="1"/>
  <c r="E2886" i="3"/>
  <c r="F2886" i="3" s="1"/>
  <c r="E2710" i="3"/>
  <c r="F2710" i="3" s="1"/>
  <c r="E1766" i="3"/>
  <c r="F1766" i="3" s="1"/>
  <c r="E1583" i="3"/>
  <c r="F1583" i="3" s="1"/>
  <c r="E1414" i="3"/>
  <c r="F1414" i="3" s="1"/>
  <c r="E3216" i="3"/>
  <c r="F3216" i="3" s="1"/>
  <c r="E803" i="3"/>
  <c r="F803" i="3" s="1"/>
  <c r="E2026" i="3"/>
  <c r="F2026" i="3" s="1"/>
  <c r="E2532" i="3"/>
  <c r="F2532" i="3" s="1"/>
  <c r="E2213" i="3"/>
  <c r="F2213" i="3" s="1"/>
  <c r="E1076" i="3"/>
  <c r="F1076" i="3" s="1"/>
  <c r="E1257" i="3"/>
  <c r="F1257" i="3" s="1"/>
  <c r="E2718" i="3"/>
  <c r="F2718" i="3" s="1"/>
  <c r="E1591" i="3"/>
  <c r="F1591" i="3" s="1"/>
  <c r="E812" i="3"/>
  <c r="F812" i="3" s="1"/>
  <c r="E2541" i="3"/>
  <c r="F2541" i="3" s="1"/>
  <c r="E1887" i="3"/>
  <c r="F1887" i="3" s="1"/>
  <c r="E2034" i="3"/>
  <c r="F2034" i="3" s="1"/>
  <c r="E2221" i="3"/>
  <c r="F2221" i="3" s="1"/>
  <c r="E1773" i="3"/>
  <c r="F1773" i="3" s="1"/>
  <c r="E3059" i="3"/>
  <c r="F3059" i="3" s="1"/>
  <c r="E2899" i="3"/>
  <c r="F2899" i="3" s="1"/>
  <c r="E3231" i="3"/>
  <c r="F3231" i="3" s="1"/>
  <c r="E2379" i="3"/>
  <c r="F2379" i="3" s="1"/>
  <c r="E1890" i="3"/>
  <c r="F1890" i="3" s="1"/>
  <c r="E2724" i="3"/>
  <c r="F2724" i="3" s="1"/>
  <c r="E2552" i="3"/>
  <c r="F2552" i="3" s="1"/>
  <c r="E1601" i="3"/>
  <c r="F1601" i="3" s="1"/>
  <c r="E357" i="3"/>
  <c r="F357" i="3" s="1"/>
  <c r="E1781" i="3"/>
  <c r="F1781" i="3" s="1"/>
  <c r="E674" i="3"/>
  <c r="F674" i="3" s="1"/>
  <c r="E1272" i="3"/>
  <c r="F1272" i="3" s="1"/>
  <c r="E1094" i="3"/>
  <c r="F1094" i="3" s="1"/>
  <c r="E242" i="3"/>
  <c r="F242" i="3" s="1"/>
  <c r="E822" i="3"/>
  <c r="F822" i="3" s="1"/>
  <c r="E549" i="3"/>
  <c r="F549" i="3" s="1"/>
  <c r="E453" i="3"/>
  <c r="F453" i="3" s="1"/>
  <c r="E3066" i="3"/>
  <c r="F3066" i="3" s="1"/>
  <c r="E3239" i="3"/>
  <c r="F3239" i="3" s="1"/>
  <c r="E2238" i="3"/>
  <c r="F2238" i="3" s="1"/>
  <c r="E2731" i="3"/>
  <c r="F2731" i="3" s="1"/>
  <c r="E2561" i="3"/>
  <c r="F2561" i="3" s="1"/>
  <c r="E1609" i="3"/>
  <c r="F1609" i="3" s="1"/>
  <c r="E2907" i="3"/>
  <c r="F2907" i="3" s="1"/>
  <c r="E1788" i="3"/>
  <c r="F1788" i="3" s="1"/>
  <c r="E830" i="3"/>
  <c r="F830" i="3" s="1"/>
  <c r="E2385" i="3"/>
  <c r="F2385" i="3" s="1"/>
  <c r="E1103" i="3"/>
  <c r="F1103" i="3" s="1"/>
  <c r="E2053" i="3"/>
  <c r="F2053" i="3" s="1"/>
  <c r="E1436" i="3"/>
  <c r="F1436" i="3" s="1"/>
  <c r="E456" i="3"/>
  <c r="F456" i="3" s="1"/>
  <c r="E246" i="3"/>
  <c r="F246" i="3" s="1"/>
  <c r="E3246" i="3"/>
  <c r="F3246" i="3" s="1"/>
  <c r="E1904" i="3"/>
  <c r="F1904" i="3" s="1"/>
  <c r="E1616" i="3"/>
  <c r="F1616" i="3" s="1"/>
  <c r="E3074" i="3"/>
  <c r="F3074" i="3" s="1"/>
  <c r="E2914" i="3"/>
  <c r="F2914" i="3" s="1"/>
  <c r="E2738" i="3"/>
  <c r="F2738" i="3" s="1"/>
  <c r="E2391" i="3"/>
  <c r="F2391" i="3" s="1"/>
  <c r="E2568" i="3"/>
  <c r="F2568" i="3" s="1"/>
  <c r="E369" i="3"/>
  <c r="F369" i="3" s="1"/>
  <c r="E1795" i="3"/>
  <c r="F1795" i="3" s="1"/>
  <c r="E1286" i="3"/>
  <c r="F1286" i="3" s="1"/>
  <c r="E838" i="3"/>
  <c r="F838" i="3" s="1"/>
  <c r="E605" i="3"/>
  <c r="F605" i="3" s="1"/>
  <c r="E559" i="3"/>
  <c r="F559" i="3" s="1"/>
  <c r="E682" i="3"/>
  <c r="F682" i="3" s="1"/>
  <c r="E1111" i="3"/>
  <c r="F1111" i="3" s="1"/>
  <c r="E951" i="3"/>
  <c r="F951" i="3" s="1"/>
  <c r="E462" i="3"/>
  <c r="F462" i="3" s="1"/>
  <c r="E3254" i="3"/>
  <c r="F3254" i="3" s="1"/>
  <c r="E2746" i="3"/>
  <c r="F2746" i="3" s="1"/>
  <c r="E3082" i="3"/>
  <c r="F3082" i="3" s="1"/>
  <c r="E1625" i="3"/>
  <c r="F1625" i="3" s="1"/>
  <c r="E2922" i="3"/>
  <c r="F2922" i="3" s="1"/>
  <c r="E2397" i="3"/>
  <c r="F2397" i="3" s="1"/>
  <c r="E1451" i="3"/>
  <c r="F1451" i="3" s="1"/>
  <c r="E2254" i="3"/>
  <c r="F2254" i="3" s="1"/>
  <c r="E2071" i="3"/>
  <c r="F2071" i="3" s="1"/>
  <c r="E1804" i="3"/>
  <c r="F1804" i="3" s="1"/>
  <c r="E847" i="3"/>
  <c r="F847" i="3" s="1"/>
  <c r="E1293" i="3"/>
  <c r="F1293" i="3" s="1"/>
  <c r="E376" i="3"/>
  <c r="F376" i="3" s="1"/>
  <c r="E1119" i="3"/>
  <c r="F1119" i="3" s="1"/>
  <c r="E257" i="3"/>
  <c r="F257" i="3" s="1"/>
  <c r="E608" i="3"/>
  <c r="F608" i="3" s="1"/>
  <c r="E3091" i="3"/>
  <c r="F3091" i="3" s="1"/>
  <c r="E3263" i="3"/>
  <c r="F3263" i="3" s="1"/>
  <c r="E2929" i="3"/>
  <c r="F2929" i="3" s="1"/>
  <c r="E2755" i="3"/>
  <c r="F2755" i="3" s="1"/>
  <c r="E1633" i="3"/>
  <c r="F1633" i="3" s="1"/>
  <c r="E2080" i="3"/>
  <c r="F2080" i="3" s="1"/>
  <c r="E1813" i="3"/>
  <c r="F1813" i="3" s="1"/>
  <c r="E856" i="3"/>
  <c r="F856" i="3" s="1"/>
  <c r="E2586" i="3"/>
  <c r="F2586" i="3" s="1"/>
  <c r="E2262" i="3"/>
  <c r="F2262" i="3" s="1"/>
  <c r="E2591" i="3"/>
  <c r="F2591" i="3" s="1"/>
  <c r="E3268" i="3"/>
  <c r="F3268" i="3" s="1"/>
  <c r="E2760" i="3"/>
  <c r="F2760" i="3" s="1"/>
  <c r="E2933" i="3"/>
  <c r="F2933" i="3" s="1"/>
  <c r="E3096" i="3"/>
  <c r="F3096" i="3" s="1"/>
  <c r="E2406" i="3"/>
  <c r="F2406" i="3" s="1"/>
  <c r="E2086" i="3"/>
  <c r="F2086" i="3" s="1"/>
  <c r="E2267" i="3"/>
  <c r="F2267" i="3" s="1"/>
  <c r="E862" i="3"/>
  <c r="F862" i="3" s="1"/>
  <c r="E1305" i="3"/>
  <c r="F1305" i="3" s="1"/>
  <c r="E962" i="3"/>
  <c r="F962" i="3" s="1"/>
  <c r="E386" i="3"/>
  <c r="F386" i="3" s="1"/>
  <c r="E1818" i="3"/>
  <c r="F1818" i="3" s="1"/>
  <c r="E1134" i="3"/>
  <c r="F1134" i="3" s="1"/>
  <c r="E1461" i="3"/>
  <c r="F1461" i="3" s="1"/>
  <c r="E2095" i="3"/>
  <c r="F2095" i="3" s="1"/>
  <c r="E1644" i="3"/>
  <c r="F1644" i="3" s="1"/>
  <c r="E871" i="3"/>
  <c r="F871" i="3" s="1"/>
  <c r="E3292" i="3"/>
  <c r="F3292" i="3" s="1"/>
  <c r="E2956" i="3"/>
  <c r="F2956" i="3" s="1"/>
  <c r="E2292" i="3"/>
  <c r="F2292" i="3" s="1"/>
  <c r="E1922" i="3"/>
  <c r="F1922" i="3" s="1"/>
  <c r="E2423" i="3"/>
  <c r="F2423" i="3" s="1"/>
  <c r="E1325" i="3"/>
  <c r="F1325" i="3" s="1"/>
  <c r="E3119" i="3"/>
  <c r="F3119" i="3" s="1"/>
  <c r="E2111" i="3"/>
  <c r="F2111" i="3" s="1"/>
  <c r="E1659" i="3"/>
  <c r="F1659" i="3" s="1"/>
  <c r="E1841" i="3"/>
  <c r="F1841" i="3" s="1"/>
  <c r="E888" i="3"/>
  <c r="F888" i="3" s="1"/>
  <c r="E701" i="3"/>
  <c r="F701" i="3" s="1"/>
  <c r="E1160" i="3"/>
  <c r="F1160" i="3" s="1"/>
  <c r="E274" i="3"/>
  <c r="F274" i="3" s="1"/>
  <c r="E2617" i="3"/>
  <c r="F2617" i="3" s="1"/>
  <c r="E1482" i="3"/>
  <c r="F1482" i="3" s="1"/>
  <c r="E2784" i="3"/>
  <c r="F2784" i="3" s="1"/>
  <c r="E292" i="3"/>
  <c r="F292" i="3" s="1"/>
  <c r="E363" i="3"/>
  <c r="F363" i="3" s="1"/>
  <c r="E956" i="3"/>
  <c r="F956" i="3" s="1"/>
  <c r="E1453" i="3"/>
  <c r="F1453" i="3" s="1"/>
  <c r="E1749" i="3"/>
  <c r="F1749" i="3" s="1"/>
  <c r="E2321" i="3"/>
  <c r="F2321" i="3" s="1"/>
  <c r="L525" i="2"/>
  <c r="M525" i="2" s="1"/>
  <c r="P526" i="2"/>
  <c r="Q526" i="2" s="1"/>
  <c r="T527" i="2"/>
  <c r="U527" i="2" s="1"/>
  <c r="X528" i="2"/>
  <c r="Y528" i="2" s="1"/>
  <c r="AB529" i="2"/>
  <c r="AC529" i="2" s="1"/>
  <c r="D531" i="2"/>
  <c r="E531" i="2" s="1"/>
  <c r="H532" i="2"/>
  <c r="I532" i="2" s="1"/>
  <c r="L533" i="2"/>
  <c r="M533" i="2" s="1"/>
  <c r="P534" i="2"/>
  <c r="Q534" i="2" s="1"/>
  <c r="T535" i="2"/>
  <c r="U535" i="2" s="1"/>
  <c r="X536" i="2"/>
  <c r="Y536" i="2" s="1"/>
  <c r="AB537" i="2"/>
  <c r="AC537" i="2" s="1"/>
  <c r="D539" i="2"/>
  <c r="E539" i="2" s="1"/>
  <c r="H540" i="2"/>
  <c r="I540" i="2" s="1"/>
  <c r="L541" i="2"/>
  <c r="M541" i="2" s="1"/>
  <c r="P542" i="2"/>
  <c r="Q542" i="2" s="1"/>
  <c r="T543" i="2"/>
  <c r="U543" i="2" s="1"/>
  <c r="X544" i="2"/>
  <c r="Y544" i="2" s="1"/>
  <c r="AB545" i="2"/>
  <c r="AC545" i="2" s="1"/>
  <c r="D547" i="2"/>
  <c r="E547" i="2" s="1"/>
  <c r="H548" i="2"/>
  <c r="I548" i="2" s="1"/>
  <c r="L549" i="2"/>
  <c r="M549" i="2" s="1"/>
  <c r="P550" i="2"/>
  <c r="Q550" i="2" s="1"/>
  <c r="T551" i="2"/>
  <c r="U551" i="2" s="1"/>
  <c r="X552" i="2"/>
  <c r="Y552" i="2" s="1"/>
  <c r="AB553" i="2"/>
  <c r="AC553" i="2" s="1"/>
  <c r="D555" i="2"/>
  <c r="E555" i="2" s="1"/>
  <c r="H556" i="2"/>
  <c r="I556" i="2" s="1"/>
  <c r="L557" i="2"/>
  <c r="M557" i="2" s="1"/>
  <c r="P558" i="2"/>
  <c r="Q558" i="2" s="1"/>
  <c r="T559" i="2"/>
  <c r="U559" i="2" s="1"/>
  <c r="X560" i="2"/>
  <c r="Y560" i="2" s="1"/>
  <c r="AB561" i="2"/>
  <c r="AC561" i="2" s="1"/>
  <c r="D563" i="2"/>
  <c r="E563" i="2" s="1"/>
  <c r="AB789" i="2"/>
  <c r="AC789" i="2" s="1"/>
  <c r="H792" i="2"/>
  <c r="I792" i="2" s="1"/>
  <c r="P794" i="2"/>
  <c r="Q794" i="2" s="1"/>
  <c r="X796" i="2"/>
  <c r="Y796" i="2" s="1"/>
  <c r="D799" i="2"/>
  <c r="E799" i="2" s="1"/>
  <c r="L801" i="2"/>
  <c r="M801" i="2" s="1"/>
  <c r="Q768" i="2"/>
  <c r="U777" i="2"/>
  <c r="I782" i="2"/>
  <c r="E3130" i="3"/>
  <c r="F3130" i="3" s="1"/>
  <c r="E2969" i="3"/>
  <c r="F2969" i="3" s="1"/>
  <c r="E1336" i="3"/>
  <c r="F1336" i="3" s="1"/>
  <c r="E980" i="3"/>
  <c r="F980" i="3" s="1"/>
  <c r="E2794" i="3"/>
  <c r="F2794" i="3" s="1"/>
  <c r="E1174" i="3"/>
  <c r="F1174" i="3" s="1"/>
  <c r="E712" i="3"/>
  <c r="F712" i="3" s="1"/>
  <c r="E2124" i="3"/>
  <c r="F2124" i="3" s="1"/>
  <c r="E1849" i="3"/>
  <c r="F1849" i="3" s="1"/>
  <c r="E1680" i="3"/>
  <c r="F1680" i="3" s="1"/>
  <c r="E2443" i="3"/>
  <c r="F2443" i="3" s="1"/>
  <c r="E2306" i="3"/>
  <c r="F2306" i="3" s="1"/>
  <c r="E2132" i="3"/>
  <c r="F2132" i="3" s="1"/>
  <c r="E1341" i="3"/>
  <c r="F1341" i="3" s="1"/>
  <c r="E2800" i="3"/>
  <c r="F2800" i="3" s="1"/>
  <c r="E3136" i="3"/>
  <c r="F3136" i="3" s="1"/>
  <c r="E903" i="3"/>
  <c r="F903" i="3" s="1"/>
  <c r="E2634" i="3"/>
  <c r="F2634" i="3" s="1"/>
  <c r="E1942" i="3"/>
  <c r="F1942" i="3" s="1"/>
  <c r="E719" i="3"/>
  <c r="F719" i="3" s="1"/>
  <c r="E2973" i="3"/>
  <c r="F2973" i="3" s="1"/>
  <c r="E586" i="3"/>
  <c r="F586" i="3" s="1"/>
  <c r="E198" i="3"/>
  <c r="F198" i="3" s="1"/>
  <c r="E412" i="3"/>
  <c r="F412" i="3" s="1"/>
  <c r="C3303" i="3" s="1"/>
  <c r="E3303" i="3" s="1"/>
  <c r="E987" i="3"/>
  <c r="F987" i="3" s="1"/>
  <c r="E630" i="3"/>
  <c r="F630" i="3" s="1"/>
  <c r="E1499" i="3"/>
  <c r="F1499" i="3" s="1"/>
  <c r="E1180" i="3"/>
  <c r="F1180" i="3" s="1"/>
  <c r="E1950" i="3"/>
  <c r="F1950" i="3" s="1"/>
  <c r="E634" i="3"/>
  <c r="F634" i="3" s="1"/>
  <c r="E2980" i="3"/>
  <c r="F2980" i="3" s="1"/>
  <c r="E3145" i="3"/>
  <c r="F3145" i="3" s="1"/>
  <c r="E998" i="3"/>
  <c r="F998" i="3" s="1"/>
  <c r="E2642" i="3"/>
  <c r="F2642" i="3" s="1"/>
  <c r="E2140" i="3"/>
  <c r="F2140" i="3" s="1"/>
  <c r="E1508" i="3"/>
  <c r="F1508" i="3" s="1"/>
  <c r="E1348" i="3"/>
  <c r="F1348" i="3" s="1"/>
  <c r="E1188" i="3"/>
  <c r="F1188" i="3" s="1"/>
  <c r="E2808" i="3"/>
  <c r="F2808" i="3" s="1"/>
  <c r="E2649" i="3"/>
  <c r="F2649" i="3" s="1"/>
  <c r="E2986" i="3"/>
  <c r="F2986" i="3" s="1"/>
  <c r="E2461" i="3"/>
  <c r="F2461" i="3" s="1"/>
  <c r="E2315" i="3"/>
  <c r="F2315" i="3" s="1"/>
  <c r="E1853" i="3"/>
  <c r="F1853" i="3" s="1"/>
  <c r="E1698" i="3"/>
  <c r="F1698" i="3" s="1"/>
  <c r="E1355" i="3"/>
  <c r="F1355" i="3" s="1"/>
  <c r="E2816" i="3"/>
  <c r="F2816" i="3" s="1"/>
  <c r="E3152" i="3"/>
  <c r="F3152" i="3" s="1"/>
  <c r="E2147" i="3"/>
  <c r="F2147" i="3" s="1"/>
  <c r="E1514" i="3"/>
  <c r="F1514" i="3" s="1"/>
  <c r="E419" i="3"/>
  <c r="F419" i="3" s="1"/>
  <c r="E297" i="3"/>
  <c r="F297" i="3" s="1"/>
  <c r="E1195" i="3"/>
  <c r="F1195" i="3" s="1"/>
  <c r="E1006" i="3"/>
  <c r="F1006" i="3" s="1"/>
  <c r="E639" i="3"/>
  <c r="F639" i="3" s="1"/>
  <c r="E1956" i="3"/>
  <c r="F1956" i="3" s="1"/>
  <c r="E2824" i="3"/>
  <c r="F2824" i="3" s="1"/>
  <c r="E3159" i="3"/>
  <c r="F3159" i="3" s="1"/>
  <c r="E2992" i="3"/>
  <c r="F2992" i="3" s="1"/>
  <c r="E2656" i="3"/>
  <c r="F2656" i="3" s="1"/>
  <c r="E1857" i="3"/>
  <c r="F1857" i="3" s="1"/>
  <c r="E1359" i="3"/>
  <c r="F1359" i="3" s="1"/>
  <c r="E1705" i="3"/>
  <c r="F1705" i="3" s="1"/>
  <c r="E2154" i="3"/>
  <c r="F2154" i="3" s="1"/>
  <c r="E1522" i="3"/>
  <c r="F1522" i="3" s="1"/>
  <c r="E422" i="3"/>
  <c r="F422" i="3" s="1"/>
  <c r="E304" i="3"/>
  <c r="F304" i="3" s="1"/>
  <c r="E1014" i="3"/>
  <c r="F1014" i="3" s="1"/>
  <c r="E2663" i="3"/>
  <c r="F2663" i="3" s="1"/>
  <c r="E2480" i="3"/>
  <c r="F2480" i="3" s="1"/>
  <c r="E2329" i="3"/>
  <c r="F2329" i="3" s="1"/>
  <c r="E2164" i="3"/>
  <c r="F2164" i="3" s="1"/>
  <c r="E1716" i="3"/>
  <c r="F1716" i="3" s="1"/>
  <c r="E428" i="3"/>
  <c r="F428" i="3" s="1"/>
  <c r="E510" i="3"/>
  <c r="F510" i="3" s="1"/>
  <c r="E1974" i="3"/>
  <c r="F1974" i="3" s="1"/>
  <c r="E1530" i="3"/>
  <c r="F1530" i="3" s="1"/>
  <c r="E1370" i="3"/>
  <c r="F1370" i="3" s="1"/>
  <c r="E751" i="3"/>
  <c r="F751" i="3" s="1"/>
  <c r="E1212" i="3"/>
  <c r="F1212" i="3" s="1"/>
  <c r="E3169" i="3"/>
  <c r="F3169" i="3" s="1"/>
  <c r="E2671" i="3"/>
  <c r="F2671" i="3" s="1"/>
  <c r="E2842" i="3"/>
  <c r="F2842" i="3" s="1"/>
  <c r="E3177" i="3"/>
  <c r="F3177" i="3" s="1"/>
  <c r="E2489" i="3"/>
  <c r="F2489" i="3" s="1"/>
  <c r="E1982" i="3"/>
  <c r="F1982" i="3" s="1"/>
  <c r="E1863" i="3"/>
  <c r="F1863" i="3" s="1"/>
  <c r="E1378" i="3"/>
  <c r="F1378" i="3" s="1"/>
  <c r="E2337" i="3"/>
  <c r="F2337" i="3" s="1"/>
  <c r="E2172" i="3"/>
  <c r="F2172" i="3" s="1"/>
  <c r="E515" i="3"/>
  <c r="F515" i="3" s="1"/>
  <c r="E433" i="3"/>
  <c r="F433" i="3" s="1"/>
  <c r="E1539" i="3"/>
  <c r="F1539" i="3" s="1"/>
  <c r="E591" i="3"/>
  <c r="F591" i="3" s="1"/>
  <c r="E3009" i="3"/>
  <c r="F3009" i="3" s="1"/>
  <c r="E918" i="3"/>
  <c r="F918" i="3" s="1"/>
  <c r="E318" i="3"/>
  <c r="F318" i="3" s="1"/>
  <c r="E1724" i="3"/>
  <c r="F1724" i="3" s="1"/>
  <c r="E1220" i="3"/>
  <c r="F1220" i="3" s="1"/>
  <c r="E3016" i="3"/>
  <c r="F3016" i="3" s="1"/>
  <c r="E2851" i="3"/>
  <c r="F2851" i="3" s="1"/>
  <c r="E1383" i="3"/>
  <c r="F1383" i="3" s="1"/>
  <c r="E2497" i="3"/>
  <c r="F2497" i="3" s="1"/>
  <c r="E1734" i="3"/>
  <c r="F1734" i="3" s="1"/>
  <c r="E1865" i="3"/>
  <c r="F1865" i="3" s="1"/>
  <c r="E1549" i="3"/>
  <c r="F1549" i="3" s="1"/>
  <c r="E321" i="3"/>
  <c r="F321" i="3" s="1"/>
  <c r="E1992" i="3"/>
  <c r="F1992" i="3" s="1"/>
  <c r="E436" i="3"/>
  <c r="F436" i="3" s="1"/>
  <c r="E2341" i="3"/>
  <c r="F2341" i="3" s="1"/>
  <c r="E518" i="3"/>
  <c r="F518" i="3" s="1"/>
  <c r="E3183" i="3"/>
  <c r="F3183" i="3" s="1"/>
  <c r="E221" i="3"/>
  <c r="F221" i="3" s="1"/>
  <c r="E2678" i="3"/>
  <c r="F2678" i="3" s="1"/>
  <c r="E653" i="3"/>
  <c r="F653" i="3" s="1"/>
  <c r="E3025" i="3"/>
  <c r="F3025" i="3" s="1"/>
  <c r="E2687" i="3"/>
  <c r="F2687" i="3" s="1"/>
  <c r="E2507" i="3"/>
  <c r="F2507" i="3" s="1"/>
  <c r="E2347" i="3"/>
  <c r="F2347" i="3" s="1"/>
  <c r="E1743" i="3"/>
  <c r="F1743" i="3" s="1"/>
  <c r="E3191" i="3"/>
  <c r="F3191" i="3" s="1"/>
  <c r="E2190" i="3"/>
  <c r="F2190" i="3" s="1"/>
  <c r="E1390" i="3"/>
  <c r="F1390" i="3" s="1"/>
  <c r="E1558" i="3"/>
  <c r="F1558" i="3" s="1"/>
  <c r="E1233" i="3"/>
  <c r="F1233" i="3" s="1"/>
  <c r="E2001" i="3"/>
  <c r="F2001" i="3" s="1"/>
  <c r="E655" i="3"/>
  <c r="F655" i="3" s="1"/>
  <c r="E927" i="3"/>
  <c r="F927" i="3" s="1"/>
  <c r="E327" i="3"/>
  <c r="F327" i="3" s="1"/>
  <c r="E1051" i="3"/>
  <c r="F1051" i="3" s="1"/>
  <c r="E3198" i="3"/>
  <c r="F3198" i="3" s="1"/>
  <c r="E1565" i="3"/>
  <c r="F1565" i="3" s="1"/>
  <c r="E2008" i="3"/>
  <c r="F2008" i="3" s="1"/>
  <c r="E2353" i="3"/>
  <c r="F2353" i="3" s="1"/>
  <c r="E785" i="3"/>
  <c r="F785" i="3" s="1"/>
  <c r="E529" i="3"/>
  <c r="F529" i="3" s="1"/>
  <c r="E442" i="3"/>
  <c r="F442" i="3" s="1"/>
  <c r="E333" i="3"/>
  <c r="F333" i="3" s="1"/>
  <c r="E2868" i="3"/>
  <c r="F2868" i="3" s="1"/>
  <c r="E2197" i="3"/>
  <c r="F2197" i="3" s="1"/>
  <c r="E1397" i="3"/>
  <c r="F1397" i="3" s="1"/>
  <c r="E1058" i="3"/>
  <c r="F1058" i="3" s="1"/>
  <c r="E930" i="3"/>
  <c r="F930" i="3" s="1"/>
  <c r="E660" i="3"/>
  <c r="F660" i="3" s="1"/>
  <c r="E2694" i="3"/>
  <c r="F2694" i="3" s="1"/>
  <c r="E2514" i="3"/>
  <c r="F2514" i="3" s="1"/>
  <c r="E1240" i="3"/>
  <c r="F1240" i="3" s="1"/>
  <c r="E595" i="3"/>
  <c r="F595" i="3" s="1"/>
  <c r="E3031" i="3"/>
  <c r="F3031" i="3" s="1"/>
  <c r="E2876" i="3"/>
  <c r="F2876" i="3" s="1"/>
  <c r="E2702" i="3"/>
  <c r="F2702" i="3" s="1"/>
  <c r="E3038" i="3"/>
  <c r="F3038" i="3" s="1"/>
  <c r="E2205" i="3"/>
  <c r="F2205" i="3" s="1"/>
  <c r="E1405" i="3"/>
  <c r="F1405" i="3" s="1"/>
  <c r="E2359" i="3"/>
  <c r="F2359" i="3" s="1"/>
  <c r="E2016" i="3"/>
  <c r="F2016" i="3" s="1"/>
  <c r="E1573" i="3"/>
  <c r="F1573" i="3" s="1"/>
  <c r="E793" i="3"/>
  <c r="F793" i="3" s="1"/>
  <c r="E340" i="3"/>
  <c r="F340" i="3" s="1"/>
  <c r="E3206" i="3"/>
  <c r="F3206" i="3" s="1"/>
  <c r="E3217" i="3"/>
  <c r="F3217" i="3" s="1"/>
  <c r="E2711" i="3"/>
  <c r="F2711" i="3" s="1"/>
  <c r="E1584" i="3"/>
  <c r="F1584" i="3" s="1"/>
  <c r="E1415" i="3"/>
  <c r="F1415" i="3" s="1"/>
  <c r="E2027" i="3"/>
  <c r="F2027" i="3" s="1"/>
  <c r="E2214" i="3"/>
  <c r="F2214" i="3" s="1"/>
  <c r="E2533" i="3"/>
  <c r="F2533" i="3" s="1"/>
  <c r="E1077" i="3"/>
  <c r="F1077" i="3" s="1"/>
  <c r="E1258" i="3"/>
  <c r="F1258" i="3" s="1"/>
  <c r="E804" i="3"/>
  <c r="F804" i="3" s="1"/>
  <c r="E540" i="3"/>
  <c r="F540" i="3" s="1"/>
  <c r="E3054" i="3"/>
  <c r="F3054" i="3" s="1"/>
  <c r="E1592" i="3"/>
  <c r="F1592" i="3" s="1"/>
  <c r="E2542" i="3"/>
  <c r="F2542" i="3" s="1"/>
  <c r="E2222" i="3"/>
  <c r="F2222" i="3" s="1"/>
  <c r="E1422" i="3"/>
  <c r="F1422" i="3" s="1"/>
  <c r="E1265" i="3"/>
  <c r="F1265" i="3" s="1"/>
  <c r="E353" i="3"/>
  <c r="F353" i="3" s="1"/>
  <c r="E2035" i="3"/>
  <c r="F2035" i="3" s="1"/>
  <c r="E3224" i="3"/>
  <c r="F3224" i="3" s="1"/>
  <c r="E546" i="3"/>
  <c r="F546" i="3" s="1"/>
  <c r="E1085" i="3"/>
  <c r="F1085" i="3" s="1"/>
  <c r="E813" i="3"/>
  <c r="F813" i="3" s="1"/>
  <c r="E2553" i="3"/>
  <c r="F2553" i="3" s="1"/>
  <c r="E2045" i="3"/>
  <c r="F2045" i="3" s="1"/>
  <c r="E1602" i="3"/>
  <c r="F1602" i="3" s="1"/>
  <c r="E2231" i="3"/>
  <c r="F2231" i="3" s="1"/>
  <c r="E1095" i="3"/>
  <c r="F1095" i="3" s="1"/>
  <c r="E1891" i="3"/>
  <c r="F1891" i="3" s="1"/>
  <c r="E2908" i="3"/>
  <c r="F2908" i="3" s="1"/>
  <c r="E3240" i="3"/>
  <c r="F3240" i="3" s="1"/>
  <c r="E2732" i="3"/>
  <c r="F2732" i="3" s="1"/>
  <c r="E2562" i="3"/>
  <c r="F2562" i="3" s="1"/>
  <c r="E1789" i="3"/>
  <c r="F1789" i="3" s="1"/>
  <c r="E1437" i="3"/>
  <c r="F1437" i="3" s="1"/>
  <c r="E3067" i="3"/>
  <c r="F3067" i="3" s="1"/>
  <c r="E2054" i="3"/>
  <c r="F2054" i="3" s="1"/>
  <c r="E1104" i="3"/>
  <c r="F1104" i="3" s="1"/>
  <c r="E948" i="3"/>
  <c r="F948" i="3" s="1"/>
  <c r="E364" i="3"/>
  <c r="F364" i="3" s="1"/>
  <c r="E2239" i="3"/>
  <c r="F2239" i="3" s="1"/>
  <c r="E831" i="3"/>
  <c r="F831" i="3" s="1"/>
  <c r="E1610" i="3"/>
  <c r="F1610" i="3" s="1"/>
  <c r="E1898" i="3"/>
  <c r="F1898" i="3" s="1"/>
  <c r="E3075" i="3"/>
  <c r="F3075" i="3" s="1"/>
  <c r="E2915" i="3"/>
  <c r="F2915" i="3" s="1"/>
  <c r="E3247" i="3"/>
  <c r="F3247" i="3" s="1"/>
  <c r="E2246" i="3"/>
  <c r="F2246" i="3" s="1"/>
  <c r="E2569" i="3"/>
  <c r="F2569" i="3" s="1"/>
  <c r="E2062" i="3"/>
  <c r="F2062" i="3" s="1"/>
  <c r="E1796" i="3"/>
  <c r="F1796" i="3" s="1"/>
  <c r="E1617" i="3"/>
  <c r="F1617" i="3" s="1"/>
  <c r="E839" i="3"/>
  <c r="F839" i="3" s="1"/>
  <c r="E1112" i="3"/>
  <c r="F1112" i="3" s="1"/>
  <c r="E2923" i="3"/>
  <c r="F2923" i="3" s="1"/>
  <c r="E2747" i="3"/>
  <c r="F2747" i="3" s="1"/>
  <c r="E2398" i="3"/>
  <c r="F2398" i="3" s="1"/>
  <c r="E1908" i="3"/>
  <c r="F1908" i="3" s="1"/>
  <c r="E2255" i="3"/>
  <c r="F2255" i="3" s="1"/>
  <c r="E2072" i="3"/>
  <c r="F2072" i="3" s="1"/>
  <c r="E1805" i="3"/>
  <c r="F1805" i="3" s="1"/>
  <c r="E1626" i="3"/>
  <c r="F1626" i="3" s="1"/>
  <c r="E848" i="3"/>
  <c r="F848" i="3" s="1"/>
  <c r="E3255" i="3"/>
  <c r="F3255" i="3" s="1"/>
  <c r="E564" i="3"/>
  <c r="F564" i="3" s="1"/>
  <c r="E377" i="3"/>
  <c r="F377" i="3" s="1"/>
  <c r="E957" i="3"/>
  <c r="F957" i="3" s="1"/>
  <c r="E1120" i="3"/>
  <c r="F1120" i="3" s="1"/>
  <c r="E258" i="3"/>
  <c r="F258" i="3" s="1"/>
  <c r="E3083" i="3"/>
  <c r="F3083" i="3" s="1"/>
  <c r="E1452" i="3"/>
  <c r="F1452" i="3" s="1"/>
  <c r="E2578" i="3"/>
  <c r="F2578" i="3" s="1"/>
  <c r="E2587" i="3"/>
  <c r="F2587" i="3" s="1"/>
  <c r="E1913" i="3"/>
  <c r="F1913" i="3" s="1"/>
  <c r="E1634" i="3"/>
  <c r="F1634" i="3" s="1"/>
  <c r="E2081" i="3"/>
  <c r="F2081" i="3" s="1"/>
  <c r="E3264" i="3"/>
  <c r="F3264" i="3" s="1"/>
  <c r="E2263" i="3"/>
  <c r="F2263" i="3" s="1"/>
  <c r="E2756" i="3"/>
  <c r="F2756" i="3" s="1"/>
  <c r="E2405" i="3"/>
  <c r="F2405" i="3" s="1"/>
  <c r="E1301" i="3"/>
  <c r="F1301" i="3" s="1"/>
  <c r="E2930" i="3"/>
  <c r="F2930" i="3" s="1"/>
  <c r="E857" i="3"/>
  <c r="F857" i="3" s="1"/>
  <c r="E1814" i="3"/>
  <c r="F1814" i="3" s="1"/>
  <c r="E1458" i="3"/>
  <c r="F1458" i="3" s="1"/>
  <c r="E1130" i="3"/>
  <c r="F1130" i="3" s="1"/>
  <c r="E3269" i="3"/>
  <c r="F3269" i="3" s="1"/>
  <c r="E2761" i="3"/>
  <c r="F2761" i="3" s="1"/>
  <c r="E2407" i="3"/>
  <c r="F2407" i="3" s="1"/>
  <c r="E2087" i="3"/>
  <c r="F2087" i="3" s="1"/>
  <c r="E1638" i="3"/>
  <c r="F1638" i="3" s="1"/>
  <c r="E2268" i="3"/>
  <c r="F2268" i="3" s="1"/>
  <c r="E1306" i="3"/>
  <c r="F1306" i="3" s="1"/>
  <c r="E387" i="3"/>
  <c r="F387" i="3" s="1"/>
  <c r="E2592" i="3"/>
  <c r="F2592" i="3" s="1"/>
  <c r="E1819" i="3"/>
  <c r="F1819" i="3" s="1"/>
  <c r="E1135" i="3"/>
  <c r="F1135" i="3" s="1"/>
  <c r="E472" i="3"/>
  <c r="F472" i="3" s="1"/>
  <c r="E1462" i="3"/>
  <c r="F1462" i="3" s="1"/>
  <c r="E612" i="3"/>
  <c r="F612" i="3" s="1"/>
  <c r="E3097" i="3"/>
  <c r="F3097" i="3" s="1"/>
  <c r="E2934" i="3"/>
  <c r="F2934" i="3" s="1"/>
  <c r="E3277" i="3"/>
  <c r="F3277" i="3" s="1"/>
  <c r="E2768" i="3"/>
  <c r="F2768" i="3" s="1"/>
  <c r="E2096" i="3"/>
  <c r="F2096" i="3" s="1"/>
  <c r="E2600" i="3"/>
  <c r="F2600" i="3" s="1"/>
  <c r="E1143" i="3"/>
  <c r="F1143" i="3" s="1"/>
  <c r="E2276" i="3"/>
  <c r="F2276" i="3" s="1"/>
  <c r="E872" i="3"/>
  <c r="F872" i="3" s="1"/>
  <c r="E2947" i="3"/>
  <c r="F2947" i="3" s="1"/>
  <c r="E3284" i="3"/>
  <c r="F3284" i="3" s="1"/>
  <c r="E2776" i="3"/>
  <c r="F2776" i="3" s="1"/>
  <c r="E2104" i="3"/>
  <c r="F2104" i="3" s="1"/>
  <c r="E2608" i="3"/>
  <c r="F2608" i="3" s="1"/>
  <c r="E2284" i="3"/>
  <c r="F2284" i="3" s="1"/>
  <c r="E3110" i="3"/>
  <c r="F3110" i="3" s="1"/>
  <c r="E880" i="3"/>
  <c r="F880" i="3" s="1"/>
  <c r="E1651" i="3"/>
  <c r="F1651" i="3" s="1"/>
  <c r="E1318" i="3"/>
  <c r="F1318" i="3" s="1"/>
  <c r="E2417" i="3"/>
  <c r="F2417" i="3" s="1"/>
  <c r="E1832" i="3"/>
  <c r="F1832" i="3" s="1"/>
  <c r="E1151" i="3"/>
  <c r="F1151" i="3" s="1"/>
  <c r="E2958" i="3"/>
  <c r="F2958" i="3" s="1"/>
  <c r="E2619" i="3"/>
  <c r="F2619" i="3" s="1"/>
  <c r="E3294" i="3"/>
  <c r="F3294" i="3" s="1"/>
  <c r="E1661" i="3"/>
  <c r="F1661" i="3" s="1"/>
  <c r="E2424" i="3"/>
  <c r="F2424" i="3" s="1"/>
  <c r="E2112" i="3"/>
  <c r="F2112" i="3" s="1"/>
  <c r="E889" i="3"/>
  <c r="F889" i="3" s="1"/>
  <c r="E404" i="3"/>
  <c r="F404" i="3" s="1"/>
  <c r="E969" i="3"/>
  <c r="F969" i="3" s="1"/>
  <c r="E227" i="3"/>
  <c r="F227" i="3" s="1"/>
  <c r="E494" i="3"/>
  <c r="F494" i="3" s="1"/>
  <c r="E590" i="3"/>
  <c r="F590" i="3" s="1"/>
  <c r="E691" i="3"/>
  <c r="F691" i="3" s="1"/>
  <c r="E759" i="3"/>
  <c r="F759" i="3" s="1"/>
  <c r="E1226" i="3"/>
  <c r="F1226" i="3" s="1"/>
  <c r="E1247" i="3"/>
  <c r="F1247" i="3" s="1"/>
  <c r="E1674" i="3"/>
  <c r="F1674" i="3" s="1"/>
  <c r="E1750" i="3"/>
  <c r="F1750" i="3" s="1"/>
  <c r="H742" i="2"/>
  <c r="I742" i="2" s="1"/>
  <c r="L743" i="2"/>
  <c r="P744" i="2"/>
  <c r="Q744" i="2" s="1"/>
  <c r="T745" i="2"/>
  <c r="U745" i="2" s="1"/>
  <c r="X746" i="2"/>
  <c r="Y746" i="2" s="1"/>
  <c r="AB747" i="2"/>
  <c r="AC747" i="2" s="1"/>
  <c r="D749" i="2"/>
  <c r="E749" i="2" s="1"/>
  <c r="H750" i="2"/>
  <c r="I750" i="2" s="1"/>
  <c r="L751" i="2"/>
  <c r="P752" i="2"/>
  <c r="T753" i="2"/>
  <c r="U753" i="2" s="1"/>
  <c r="X754" i="2"/>
  <c r="Y754" i="2" s="1"/>
  <c r="AB755" i="2"/>
  <c r="D757" i="2"/>
  <c r="E757" i="2" s="1"/>
  <c r="H758" i="2"/>
  <c r="I758" i="2" s="1"/>
  <c r="L759" i="2"/>
  <c r="P760" i="2"/>
  <c r="Q760" i="2" s="1"/>
  <c r="T761" i="2"/>
  <c r="U761" i="2" s="1"/>
  <c r="X762" i="2"/>
  <c r="Y762" i="2" s="1"/>
  <c r="AB763" i="2"/>
  <c r="AC763" i="2" s="1"/>
  <c r="D765" i="2"/>
  <c r="H766" i="2"/>
  <c r="I766" i="2" s="1"/>
  <c r="L767" i="2"/>
  <c r="M767" i="2" s="1"/>
  <c r="P768" i="2"/>
  <c r="T769" i="2"/>
  <c r="U769" i="2" s="1"/>
  <c r="X770" i="2"/>
  <c r="AB771" i="2"/>
  <c r="AC771" i="2" s="1"/>
  <c r="D773" i="2"/>
  <c r="E773" i="2" s="1"/>
  <c r="H774" i="2"/>
  <c r="L775" i="2"/>
  <c r="M775" i="2" s="1"/>
  <c r="P776" i="2"/>
  <c r="Q776" i="2" s="1"/>
  <c r="T777" i="2"/>
  <c r="X778" i="2"/>
  <c r="AB779" i="2"/>
  <c r="AC779" i="2" s="1"/>
  <c r="D781" i="2"/>
  <c r="E781" i="2" s="1"/>
  <c r="H782" i="2"/>
  <c r="L783" i="2"/>
  <c r="M783" i="2" s="1"/>
  <c r="P784" i="2"/>
  <c r="Q784" i="2" s="1"/>
  <c r="T785" i="2"/>
  <c r="U785" i="2" s="1"/>
  <c r="X786" i="2"/>
  <c r="Y786" i="2" s="1"/>
  <c r="AB787" i="2"/>
  <c r="AC787" i="2" s="1"/>
  <c r="E741" i="2"/>
  <c r="D789" i="2"/>
  <c r="E789" i="2" s="1"/>
  <c r="P789" i="2"/>
  <c r="Q789" i="2" s="1"/>
  <c r="X791" i="2"/>
  <c r="Y791" i="2" s="1"/>
  <c r="D794" i="2"/>
  <c r="E794" i="2" s="1"/>
  <c r="L796" i="2"/>
  <c r="M796" i="2" s="1"/>
  <c r="T798" i="2"/>
  <c r="U798" i="2" s="1"/>
  <c r="AB800" i="2"/>
  <c r="AC800" i="2" s="1"/>
  <c r="E768" i="2"/>
  <c r="U772" i="2"/>
  <c r="I777" i="2"/>
  <c r="Y781" i="2"/>
  <c r="M786" i="2"/>
  <c r="AC790" i="2"/>
  <c r="E2789" i="3"/>
  <c r="F2789" i="3" s="1"/>
  <c r="E2623" i="3"/>
  <c r="F2623" i="3" s="1"/>
  <c r="E3124" i="3"/>
  <c r="F3124" i="3" s="1"/>
  <c r="E1666" i="3"/>
  <c r="F1666" i="3" s="1"/>
  <c r="E2962" i="3"/>
  <c r="F2962" i="3" s="1"/>
  <c r="E1487" i="3"/>
  <c r="F1487" i="3" s="1"/>
  <c r="E894" i="3"/>
  <c r="F894" i="3" s="1"/>
  <c r="E702" i="3"/>
  <c r="F702" i="3" s="1"/>
  <c r="E971" i="3"/>
  <c r="F971" i="3" s="1"/>
  <c r="E1329" i="3"/>
  <c r="F1329" i="3" s="1"/>
  <c r="E3131" i="3"/>
  <c r="F3131" i="3" s="1"/>
  <c r="E2970" i="3"/>
  <c r="F2970" i="3" s="1"/>
  <c r="E2629" i="3"/>
  <c r="F2629" i="3" s="1"/>
  <c r="E1337" i="3"/>
  <c r="F1337" i="3" s="1"/>
  <c r="E1675" i="3"/>
  <c r="F1675" i="3" s="1"/>
  <c r="E2795" i="3"/>
  <c r="F2795" i="3" s="1"/>
  <c r="E1935" i="3"/>
  <c r="F1935" i="3" s="1"/>
  <c r="E1847" i="3"/>
  <c r="F1847" i="3" s="1"/>
  <c r="C3315" i="3" s="1"/>
  <c r="E3315" i="3" s="1"/>
  <c r="E899" i="3"/>
  <c r="F899" i="3" s="1"/>
  <c r="E410" i="3"/>
  <c r="F410" i="3" s="1"/>
  <c r="E981" i="3"/>
  <c r="F981" i="3" s="1"/>
  <c r="E628" i="3"/>
  <c r="F628" i="3" s="1"/>
  <c r="E2436" i="3"/>
  <c r="F2436" i="3" s="1"/>
  <c r="E2125" i="3"/>
  <c r="F2125" i="3" s="1"/>
  <c r="E1175" i="3"/>
  <c r="F1175" i="3" s="1"/>
  <c r="E490" i="3"/>
  <c r="F490" i="3" s="1"/>
  <c r="E2303" i="3"/>
  <c r="F2303" i="3" s="1"/>
  <c r="E713" i="3"/>
  <c r="F713" i="3" s="1"/>
  <c r="E585" i="3"/>
  <c r="F585" i="3" s="1"/>
  <c r="C3305" i="3" s="1"/>
  <c r="E3305" i="3" s="1"/>
  <c r="E193" i="3"/>
  <c r="F193" i="3" s="1"/>
  <c r="E1494" i="3"/>
  <c r="F1494" i="3" s="1"/>
  <c r="E2635" i="3"/>
  <c r="F2635" i="3" s="1"/>
  <c r="E2801" i="3"/>
  <c r="F2801" i="3" s="1"/>
  <c r="E2974" i="3"/>
  <c r="F2974" i="3" s="1"/>
  <c r="E1342" i="3"/>
  <c r="F1342" i="3" s="1"/>
  <c r="E1943" i="3"/>
  <c r="F1943" i="3" s="1"/>
  <c r="E289" i="3"/>
  <c r="F289" i="3" s="1"/>
  <c r="E720" i="3"/>
  <c r="F720" i="3" s="1"/>
  <c r="E2307" i="3"/>
  <c r="F2307" i="3" s="1"/>
  <c r="E1181" i="3"/>
  <c r="F1181" i="3" s="1"/>
  <c r="E495" i="3"/>
  <c r="F495" i="3" s="1"/>
  <c r="E988" i="3"/>
  <c r="F988" i="3" s="1"/>
  <c r="E631" i="3"/>
  <c r="F631" i="3" s="1"/>
  <c r="E413" i="3"/>
  <c r="F413" i="3" s="1"/>
  <c r="E3137" i="3"/>
  <c r="F3137" i="3" s="1"/>
  <c r="E2444" i="3"/>
  <c r="F2444" i="3" s="1"/>
  <c r="E1500" i="3"/>
  <c r="F1500" i="3" s="1"/>
  <c r="E904" i="3"/>
  <c r="F904" i="3" s="1"/>
  <c r="E2981" i="3"/>
  <c r="F2981" i="3" s="1"/>
  <c r="E2643" i="3"/>
  <c r="F2643" i="3" s="1"/>
  <c r="E2311" i="3"/>
  <c r="F2311" i="3" s="1"/>
  <c r="E2809" i="3"/>
  <c r="F2809" i="3" s="1"/>
  <c r="E2141" i="3"/>
  <c r="F2141" i="3" s="1"/>
  <c r="E588" i="3"/>
  <c r="F588" i="3" s="1"/>
  <c r="E293" i="3"/>
  <c r="F293" i="3" s="1"/>
  <c r="E1852" i="3"/>
  <c r="F1852" i="3" s="1"/>
  <c r="E999" i="3"/>
  <c r="F999" i="3" s="1"/>
  <c r="E3146" i="3"/>
  <c r="F3146" i="3" s="1"/>
  <c r="E1951" i="3"/>
  <c r="F1951" i="3" s="1"/>
  <c r="E202" i="3"/>
  <c r="F202" i="3" s="1"/>
  <c r="E1509" i="3"/>
  <c r="F1509" i="3" s="1"/>
  <c r="E1349" i="3"/>
  <c r="F1349" i="3" s="1"/>
  <c r="E1189" i="3"/>
  <c r="F1189" i="3" s="1"/>
  <c r="E498" i="3"/>
  <c r="F498" i="3" s="1"/>
  <c r="E1691" i="3"/>
  <c r="F1691" i="3" s="1"/>
  <c r="E3153" i="3"/>
  <c r="F3153" i="3" s="1"/>
  <c r="E2462" i="3"/>
  <c r="F2462" i="3" s="1"/>
  <c r="E2817" i="3"/>
  <c r="F2817" i="3" s="1"/>
  <c r="E2650" i="3"/>
  <c r="F2650" i="3" s="1"/>
  <c r="E1515" i="3"/>
  <c r="F1515" i="3" s="1"/>
  <c r="E1356" i="3"/>
  <c r="F1356" i="3" s="1"/>
  <c r="E1196" i="3"/>
  <c r="F1196" i="3" s="1"/>
  <c r="E2316" i="3"/>
  <c r="F2316" i="3" s="1"/>
  <c r="E1007" i="3"/>
  <c r="F1007" i="3" s="1"/>
  <c r="E733" i="3"/>
  <c r="F733" i="3" s="1"/>
  <c r="E420" i="3"/>
  <c r="F420" i="3" s="1"/>
  <c r="E1957" i="3"/>
  <c r="F1957" i="3" s="1"/>
  <c r="E1699" i="3"/>
  <c r="F1699" i="3" s="1"/>
  <c r="E2987" i="3"/>
  <c r="F2987" i="3" s="1"/>
  <c r="E3163" i="3"/>
  <c r="F3163" i="3" s="1"/>
  <c r="E1968" i="3"/>
  <c r="F1968" i="3" s="1"/>
  <c r="E1524" i="3"/>
  <c r="F1524" i="3" s="1"/>
  <c r="E2829" i="3"/>
  <c r="F2829" i="3" s="1"/>
  <c r="E2473" i="3"/>
  <c r="F2473" i="3" s="1"/>
  <c r="E1363" i="3"/>
  <c r="F1363" i="3" s="1"/>
  <c r="E1018" i="3"/>
  <c r="F1018" i="3" s="1"/>
  <c r="E305" i="3"/>
  <c r="F305" i="3" s="1"/>
  <c r="E1709" i="3"/>
  <c r="F1709" i="3" s="1"/>
  <c r="E505" i="3"/>
  <c r="F505" i="3" s="1"/>
  <c r="E911" i="3"/>
  <c r="F911" i="3" s="1"/>
  <c r="E1206" i="3"/>
  <c r="F1206" i="3" s="1"/>
  <c r="E2996" i="3"/>
  <c r="F2996" i="3" s="1"/>
  <c r="E2836" i="3"/>
  <c r="F2836" i="3" s="1"/>
  <c r="E3003" i="3"/>
  <c r="F3003" i="3" s="1"/>
  <c r="E1975" i="3"/>
  <c r="F1975" i="3" s="1"/>
  <c r="E2481" i="3"/>
  <c r="F2481" i="3" s="1"/>
  <c r="E1531" i="3"/>
  <c r="F1531" i="3" s="1"/>
  <c r="E1371" i="3"/>
  <c r="F1371" i="3" s="1"/>
  <c r="E752" i="3"/>
  <c r="F752" i="3" s="1"/>
  <c r="E1860" i="3"/>
  <c r="F1860" i="3" s="1"/>
  <c r="E1213" i="3"/>
  <c r="F1213" i="3" s="1"/>
  <c r="E2664" i="3"/>
  <c r="F2664" i="3" s="1"/>
  <c r="E3170" i="3"/>
  <c r="F3170" i="3" s="1"/>
  <c r="E645" i="3"/>
  <c r="F645" i="3" s="1"/>
  <c r="E312" i="3"/>
  <c r="F312" i="3" s="1"/>
  <c r="E2330" i="3"/>
  <c r="F2330" i="3" s="1"/>
  <c r="E1025" i="3"/>
  <c r="F1025" i="3" s="1"/>
  <c r="E2174" i="3"/>
  <c r="F2174" i="3" s="1"/>
  <c r="E2338" i="3"/>
  <c r="F2338" i="3" s="1"/>
  <c r="E1725" i="3"/>
  <c r="F1725" i="3" s="1"/>
  <c r="E2672" i="3"/>
  <c r="F2672" i="3" s="1"/>
  <c r="E1984" i="3"/>
  <c r="F1984" i="3" s="1"/>
  <c r="E2843" i="3"/>
  <c r="F2843" i="3" s="1"/>
  <c r="E2490" i="3"/>
  <c r="F2490" i="3" s="1"/>
  <c r="E761" i="3"/>
  <c r="F761" i="3" s="1"/>
  <c r="E1541" i="3"/>
  <c r="F1541" i="3" s="1"/>
  <c r="E1034" i="3"/>
  <c r="F1034" i="3" s="1"/>
  <c r="E1735" i="3"/>
  <c r="F1735" i="3" s="1"/>
  <c r="E3184" i="3"/>
  <c r="F3184" i="3" s="1"/>
  <c r="E2852" i="3"/>
  <c r="F2852" i="3" s="1"/>
  <c r="E2498" i="3"/>
  <c r="F2498" i="3" s="1"/>
  <c r="E2182" i="3"/>
  <c r="F2182" i="3" s="1"/>
  <c r="E3017" i="3"/>
  <c r="F3017" i="3" s="1"/>
  <c r="E2679" i="3"/>
  <c r="F2679" i="3" s="1"/>
  <c r="E1993" i="3"/>
  <c r="F1993" i="3" s="1"/>
  <c r="E1550" i="3"/>
  <c r="F1550" i="3" s="1"/>
  <c r="E437" i="3"/>
  <c r="F437" i="3" s="1"/>
  <c r="E1227" i="3"/>
  <c r="F1227" i="3" s="1"/>
  <c r="E770" i="3"/>
  <c r="F770" i="3" s="1"/>
  <c r="E3199" i="3"/>
  <c r="F3199" i="3" s="1"/>
  <c r="E2869" i="3"/>
  <c r="F2869" i="3" s="1"/>
  <c r="E2009" i="3"/>
  <c r="F2009" i="3" s="1"/>
  <c r="E1566" i="3"/>
  <c r="F1566" i="3" s="1"/>
  <c r="E2695" i="3"/>
  <c r="F2695" i="3" s="1"/>
  <c r="E3032" i="3"/>
  <c r="F3032" i="3" s="1"/>
  <c r="E1751" i="3"/>
  <c r="F1751" i="3" s="1"/>
  <c r="E1059" i="3"/>
  <c r="F1059" i="3" s="1"/>
  <c r="E2198" i="3"/>
  <c r="F2198" i="3" s="1"/>
  <c r="E1398" i="3"/>
  <c r="F1398" i="3" s="1"/>
  <c r="E2515" i="3"/>
  <c r="F2515" i="3" s="1"/>
  <c r="E1241" i="3"/>
  <c r="F1241" i="3" s="1"/>
  <c r="E3208" i="3"/>
  <c r="F3208" i="3" s="1"/>
  <c r="E2878" i="3"/>
  <c r="F2878" i="3" s="1"/>
  <c r="E2206" i="3"/>
  <c r="F2206" i="3" s="1"/>
  <c r="E1758" i="3"/>
  <c r="F1758" i="3" s="1"/>
  <c r="E1575" i="3"/>
  <c r="F1575" i="3" s="1"/>
  <c r="E2018" i="3"/>
  <c r="F2018" i="3" s="1"/>
  <c r="E3040" i="3"/>
  <c r="F3040" i="3" s="1"/>
  <c r="E2703" i="3"/>
  <c r="F2703" i="3" s="1"/>
  <c r="E2360" i="3"/>
  <c r="F2360" i="3" s="1"/>
  <c r="E1407" i="3"/>
  <c r="F1407" i="3" s="1"/>
  <c r="E1068" i="3"/>
  <c r="F1068" i="3" s="1"/>
  <c r="E620" i="3"/>
  <c r="F620" i="3" s="1"/>
  <c r="E341" i="3"/>
  <c r="F341" i="3" s="1"/>
  <c r="E935" i="3"/>
  <c r="F935" i="3" s="1"/>
  <c r="E2524" i="3"/>
  <c r="F2524" i="3" s="1"/>
  <c r="E1878" i="3"/>
  <c r="F1878" i="3" s="1"/>
  <c r="E664" i="3"/>
  <c r="F664" i="3" s="1"/>
  <c r="E445" i="3"/>
  <c r="F445" i="3" s="1"/>
  <c r="E535" i="3"/>
  <c r="F535" i="3" s="1"/>
  <c r="E1249" i="3"/>
  <c r="F1249" i="3" s="1"/>
  <c r="E233" i="3"/>
  <c r="F233" i="3" s="1"/>
  <c r="E795" i="3"/>
  <c r="F795" i="3" s="1"/>
  <c r="E3048" i="3"/>
  <c r="F3048" i="3" s="1"/>
  <c r="E2887" i="3"/>
  <c r="F2887" i="3" s="1"/>
  <c r="E2215" i="3"/>
  <c r="F2215" i="3" s="1"/>
  <c r="E1767" i="3"/>
  <c r="F1767" i="3" s="1"/>
  <c r="E2534" i="3"/>
  <c r="F2534" i="3" s="1"/>
  <c r="E2028" i="3"/>
  <c r="F2028" i="3" s="1"/>
  <c r="E2712" i="3"/>
  <c r="F2712" i="3" s="1"/>
  <c r="E1259" i="3"/>
  <c r="F1259" i="3" s="1"/>
  <c r="E939" i="3"/>
  <c r="F939" i="3" s="1"/>
  <c r="E348" i="3"/>
  <c r="F348" i="3" s="1"/>
  <c r="E2367" i="3"/>
  <c r="F2367" i="3" s="1"/>
  <c r="E1585" i="3"/>
  <c r="F1585" i="3" s="1"/>
  <c r="E805" i="3"/>
  <c r="F805" i="3" s="1"/>
  <c r="E1078" i="3"/>
  <c r="F1078" i="3" s="1"/>
  <c r="E3218" i="3"/>
  <c r="F3218" i="3" s="1"/>
  <c r="E1416" i="3"/>
  <c r="F1416" i="3" s="1"/>
  <c r="E668" i="3"/>
  <c r="F668" i="3" s="1"/>
  <c r="E2719" i="3"/>
  <c r="F2719" i="3" s="1"/>
  <c r="E1593" i="3"/>
  <c r="F1593" i="3" s="1"/>
  <c r="E2036" i="3"/>
  <c r="F2036" i="3" s="1"/>
  <c r="E2893" i="3"/>
  <c r="F2893" i="3" s="1"/>
  <c r="E2543" i="3"/>
  <c r="F2543" i="3" s="1"/>
  <c r="E2374" i="3"/>
  <c r="F2374" i="3" s="1"/>
  <c r="E2223" i="3"/>
  <c r="F2223" i="3" s="1"/>
  <c r="E3225" i="3"/>
  <c r="F3225" i="3" s="1"/>
  <c r="E1774" i="3"/>
  <c r="F1774" i="3" s="1"/>
  <c r="E1086" i="3"/>
  <c r="F1086" i="3" s="1"/>
  <c r="E814" i="3"/>
  <c r="F814" i="3" s="1"/>
  <c r="E2725" i="3"/>
  <c r="F2725" i="3" s="1"/>
  <c r="E2046" i="3"/>
  <c r="F2046" i="3" s="1"/>
  <c r="E3060" i="3"/>
  <c r="F3060" i="3" s="1"/>
  <c r="E2900" i="3"/>
  <c r="F2900" i="3" s="1"/>
  <c r="E2232" i="3"/>
  <c r="F2232" i="3" s="1"/>
  <c r="E2380" i="3"/>
  <c r="F2380" i="3" s="1"/>
  <c r="E1782" i="3"/>
  <c r="F1782" i="3" s="1"/>
  <c r="E675" i="3"/>
  <c r="F675" i="3" s="1"/>
  <c r="E944" i="3"/>
  <c r="F944" i="3" s="1"/>
  <c r="E1273" i="3"/>
  <c r="F1273" i="3" s="1"/>
  <c r="E601" i="3"/>
  <c r="F601" i="3" s="1"/>
  <c r="E1430" i="3"/>
  <c r="F1430" i="3" s="1"/>
  <c r="E824" i="3"/>
  <c r="F824" i="3" s="1"/>
  <c r="E550" i="3"/>
  <c r="F550" i="3" s="1"/>
  <c r="E454" i="3"/>
  <c r="F454" i="3" s="1"/>
  <c r="E3232" i="3"/>
  <c r="F3232" i="3" s="1"/>
  <c r="E1892" i="3"/>
  <c r="F1892" i="3" s="1"/>
  <c r="E621" i="3"/>
  <c r="F621" i="3" s="1"/>
  <c r="E2554" i="3"/>
  <c r="F2554" i="3" s="1"/>
  <c r="E3068" i="3"/>
  <c r="F3068" i="3" s="1"/>
  <c r="E2055" i="3"/>
  <c r="F2055" i="3" s="1"/>
  <c r="E1438" i="3"/>
  <c r="F1438" i="3" s="1"/>
  <c r="E1105" i="3"/>
  <c r="F1105" i="3" s="1"/>
  <c r="E2739" i="3"/>
  <c r="F2739" i="3" s="1"/>
  <c r="E3248" i="3"/>
  <c r="F3248" i="3" s="1"/>
  <c r="E3076" i="3"/>
  <c r="F3076" i="3" s="1"/>
  <c r="E2247" i="3"/>
  <c r="F2247" i="3" s="1"/>
  <c r="E2916" i="3"/>
  <c r="F2916" i="3" s="1"/>
  <c r="E2392" i="3"/>
  <c r="F2392" i="3" s="1"/>
  <c r="E2063" i="3"/>
  <c r="F2063" i="3" s="1"/>
  <c r="E1797" i="3"/>
  <c r="F1797" i="3" s="1"/>
  <c r="E1618" i="3"/>
  <c r="F1618" i="3" s="1"/>
  <c r="E1287" i="3"/>
  <c r="F1287" i="3" s="1"/>
  <c r="E606" i="3"/>
  <c r="F606" i="3" s="1"/>
  <c r="E1113" i="3"/>
  <c r="F1113" i="3" s="1"/>
  <c r="E683" i="3"/>
  <c r="F683" i="3" s="1"/>
  <c r="E952" i="3"/>
  <c r="F952" i="3" s="1"/>
  <c r="E463" i="3"/>
  <c r="F463" i="3" s="1"/>
  <c r="E840" i="3"/>
  <c r="F840" i="3" s="1"/>
  <c r="E1905" i="3"/>
  <c r="F1905" i="3" s="1"/>
  <c r="E370" i="3"/>
  <c r="F370" i="3" s="1"/>
  <c r="E253" i="3"/>
  <c r="F253" i="3" s="1"/>
  <c r="E2570" i="3"/>
  <c r="F2570" i="3" s="1"/>
  <c r="E1445" i="3"/>
  <c r="F1445" i="3" s="1"/>
  <c r="E2748" i="3"/>
  <c r="F2748" i="3" s="1"/>
  <c r="E3084" i="3"/>
  <c r="F3084" i="3" s="1"/>
  <c r="E2073" i="3"/>
  <c r="F2073" i="3" s="1"/>
  <c r="E3256" i="3"/>
  <c r="F3256" i="3" s="1"/>
  <c r="E1806" i="3"/>
  <c r="F1806" i="3" s="1"/>
  <c r="E849" i="3"/>
  <c r="F849" i="3" s="1"/>
  <c r="E2579" i="3"/>
  <c r="F2579" i="3" s="1"/>
  <c r="E3098" i="3"/>
  <c r="F3098" i="3" s="1"/>
  <c r="E1639" i="3"/>
  <c r="F1639" i="3" s="1"/>
  <c r="E2269" i="3"/>
  <c r="F2269" i="3" s="1"/>
  <c r="E2935" i="3"/>
  <c r="F2935" i="3" s="1"/>
  <c r="E2593" i="3"/>
  <c r="F2593" i="3" s="1"/>
  <c r="E1463" i="3"/>
  <c r="F1463" i="3" s="1"/>
  <c r="E963" i="3"/>
  <c r="F963" i="3" s="1"/>
  <c r="E1820" i="3"/>
  <c r="F1820" i="3" s="1"/>
  <c r="E1136" i="3"/>
  <c r="F1136" i="3" s="1"/>
  <c r="E864" i="3"/>
  <c r="F864" i="3" s="1"/>
  <c r="E388" i="3"/>
  <c r="F388" i="3" s="1"/>
  <c r="E1307" i="3"/>
  <c r="F1307" i="3" s="1"/>
  <c r="E3270" i="3"/>
  <c r="F3270" i="3" s="1"/>
  <c r="E572" i="3"/>
  <c r="F572" i="3" s="1"/>
  <c r="E3278" i="3"/>
  <c r="F3278" i="3" s="1"/>
  <c r="E3103" i="3"/>
  <c r="F3103" i="3" s="1"/>
  <c r="E2769" i="3"/>
  <c r="F2769" i="3" s="1"/>
  <c r="E1826" i="3"/>
  <c r="F1826" i="3" s="1"/>
  <c r="E1469" i="3"/>
  <c r="F1469" i="3" s="1"/>
  <c r="E2941" i="3"/>
  <c r="F2941" i="3" s="1"/>
  <c r="E2601" i="3"/>
  <c r="F2601" i="3" s="1"/>
  <c r="E624" i="3"/>
  <c r="F624" i="3" s="1"/>
  <c r="E574" i="3"/>
  <c r="F574" i="3" s="1"/>
  <c r="E2412" i="3"/>
  <c r="F2412" i="3" s="1"/>
  <c r="E1144" i="3"/>
  <c r="F1144" i="3" s="1"/>
  <c r="E1645" i="3"/>
  <c r="F1645" i="3" s="1"/>
  <c r="E2277" i="3"/>
  <c r="F2277" i="3" s="1"/>
  <c r="E873" i="3"/>
  <c r="F873" i="3" s="1"/>
  <c r="E2097" i="3"/>
  <c r="F2097" i="3" s="1"/>
  <c r="E1916" i="3"/>
  <c r="F1916" i="3" s="1"/>
  <c r="E1313" i="3"/>
  <c r="F1313" i="3" s="1"/>
  <c r="E476" i="3"/>
  <c r="F476" i="3" s="1"/>
  <c r="E3285" i="3"/>
  <c r="F3285" i="3" s="1"/>
  <c r="E2105" i="3"/>
  <c r="F2105" i="3" s="1"/>
  <c r="E1652" i="3"/>
  <c r="F1652" i="3" s="1"/>
  <c r="E1474" i="3"/>
  <c r="F1474" i="3" s="1"/>
  <c r="E2609" i="3"/>
  <c r="F2609" i="3" s="1"/>
  <c r="E1833" i="3"/>
  <c r="F1833" i="3" s="1"/>
  <c r="E3111" i="3"/>
  <c r="F3111" i="3" s="1"/>
  <c r="E881" i="3"/>
  <c r="F881" i="3" s="1"/>
  <c r="E1319" i="3"/>
  <c r="F1319" i="3" s="1"/>
  <c r="E2777" i="3"/>
  <c r="F2777" i="3" s="1"/>
  <c r="E2285" i="3"/>
  <c r="F2285" i="3" s="1"/>
  <c r="E3295" i="3"/>
  <c r="F3295" i="3" s="1"/>
  <c r="E3121" i="3"/>
  <c r="F3121" i="3" s="1"/>
  <c r="E1662" i="3"/>
  <c r="F1662" i="3" s="1"/>
  <c r="E2620" i="3"/>
  <c r="F2620" i="3" s="1"/>
  <c r="E2113" i="3"/>
  <c r="F2113" i="3" s="1"/>
  <c r="E2295" i="3"/>
  <c r="F2295" i="3" s="1"/>
  <c r="E890" i="3"/>
  <c r="F890" i="3" s="1"/>
  <c r="E483" i="3"/>
  <c r="F483" i="3" s="1"/>
  <c r="E1843" i="3"/>
  <c r="F1843" i="3" s="1"/>
  <c r="E1163" i="3"/>
  <c r="F1163" i="3" s="1"/>
  <c r="E2959" i="3"/>
  <c r="F2959" i="3" s="1"/>
  <c r="E1327" i="3"/>
  <c r="F1327" i="3" s="1"/>
  <c r="E1923" i="3"/>
  <c r="F1923" i="3" s="1"/>
  <c r="E1484" i="3"/>
  <c r="F1484" i="3" s="1"/>
  <c r="E2785" i="3"/>
  <c r="F2785" i="3" s="1"/>
  <c r="E199" i="3"/>
  <c r="F199" i="3" s="1"/>
  <c r="E268" i="3"/>
  <c r="F268" i="3" s="1"/>
  <c r="E275" i="3"/>
  <c r="F275" i="3" s="1"/>
  <c r="E393" i="3"/>
  <c r="F393" i="3" s="1"/>
  <c r="E732" i="3"/>
  <c r="F732" i="3" s="1"/>
  <c r="E744" i="3"/>
  <c r="F744" i="3" s="1"/>
  <c r="E863" i="3"/>
  <c r="F863" i="3" s="1"/>
  <c r="E910" i="3"/>
  <c r="F910" i="3" s="1"/>
  <c r="E1194" i="3"/>
  <c r="F1194" i="3" s="1"/>
  <c r="E1279" i="3"/>
  <c r="F1279" i="3" s="1"/>
  <c r="E1294" i="3"/>
  <c r="F1294" i="3" s="1"/>
  <c r="E1429" i="3"/>
  <c r="F1429" i="3" s="1"/>
  <c r="E1507" i="3"/>
  <c r="F1507" i="3" s="1"/>
  <c r="E1925" i="3"/>
  <c r="F1925" i="3" s="1"/>
  <c r="E2116" i="3"/>
  <c r="F2116" i="3" s="1"/>
  <c r="E2230" i="3"/>
  <c r="F2230" i="3" s="1"/>
  <c r="E2577" i="3"/>
  <c r="F2577" i="3" s="1"/>
  <c r="E860" i="3"/>
  <c r="F860" i="3" s="1"/>
  <c r="E869" i="3"/>
  <c r="F869" i="3" s="1"/>
  <c r="E941" i="3"/>
  <c r="F941" i="3" s="1"/>
  <c r="E993" i="3"/>
  <c r="F993" i="3" s="1"/>
  <c r="E1107" i="3"/>
  <c r="F1107" i="3" s="1"/>
  <c r="E1116" i="3"/>
  <c r="F1116" i="3" s="1"/>
  <c r="E1165" i="3"/>
  <c r="F1165" i="3" s="1"/>
  <c r="E1290" i="3"/>
  <c r="F1290" i="3" s="1"/>
  <c r="E1322" i="3"/>
  <c r="F1322" i="3" s="1"/>
  <c r="E1333" i="3"/>
  <c r="F1333" i="3" s="1"/>
  <c r="E1375" i="3"/>
  <c r="F1375" i="3" s="1"/>
  <c r="E1636" i="3"/>
  <c r="F1636" i="3" s="1"/>
  <c r="E1873" i="3"/>
  <c r="F1873" i="3" s="1"/>
  <c r="E2038" i="3"/>
  <c r="F2038" i="3" s="1"/>
  <c r="E2202" i="3"/>
  <c r="F2202" i="3" s="1"/>
  <c r="E2312" i="3"/>
  <c r="F2312" i="3" s="1"/>
  <c r="E2538" i="3"/>
  <c r="F2538" i="3" s="1"/>
  <c r="E2720" i="3"/>
  <c r="F2720" i="3" s="1"/>
  <c r="E2983" i="3"/>
  <c r="F2983" i="3" s="1"/>
  <c r="E3078" i="3"/>
  <c r="F3078" i="3" s="1"/>
  <c r="E1434" i="3"/>
  <c r="F1434" i="3" s="1"/>
  <c r="E1979" i="3"/>
  <c r="F1979" i="3" s="1"/>
  <c r="E2410" i="3"/>
  <c r="F2410" i="3" s="1"/>
  <c r="E2485" i="3"/>
  <c r="F2485" i="3" s="1"/>
  <c r="E2572" i="3"/>
  <c r="F2572" i="3" s="1"/>
  <c r="E2912" i="3"/>
  <c r="F2912" i="3" s="1"/>
  <c r="E2965" i="3"/>
  <c r="F2965" i="3" s="1"/>
  <c r="E2430" i="3"/>
  <c r="F2430" i="3" s="1"/>
  <c r="C3319" i="3" s="1"/>
  <c r="E3319" i="3" s="1"/>
  <c r="E2119" i="3"/>
  <c r="F2119" i="3" s="1"/>
  <c r="E2625" i="3"/>
  <c r="F2625" i="3" s="1"/>
  <c r="E1670" i="3"/>
  <c r="F1670" i="3" s="1"/>
  <c r="E1928" i="3"/>
  <c r="F1928" i="3" s="1"/>
  <c r="E1489" i="3"/>
  <c r="F1489" i="3" s="1"/>
  <c r="E2791" i="3"/>
  <c r="F2791" i="3" s="1"/>
  <c r="E1168" i="3"/>
  <c r="F1168" i="3" s="1"/>
  <c r="E2631" i="3"/>
  <c r="F2631" i="3" s="1"/>
  <c r="E3133" i="3"/>
  <c r="F3133" i="3" s="1"/>
  <c r="E2438" i="3"/>
  <c r="F2438" i="3" s="1"/>
  <c r="E2127" i="3"/>
  <c r="F2127" i="3" s="1"/>
  <c r="E1496" i="3"/>
  <c r="F1496" i="3" s="1"/>
  <c r="E492" i="3"/>
  <c r="F492" i="3" s="1"/>
  <c r="E1677" i="3"/>
  <c r="F1677" i="3" s="1"/>
  <c r="E1177" i="3"/>
  <c r="F1177" i="3" s="1"/>
  <c r="E715" i="3"/>
  <c r="F715" i="3" s="1"/>
  <c r="E2803" i="3"/>
  <c r="F2803" i="3" s="1"/>
  <c r="E3139" i="3"/>
  <c r="F3139" i="3" s="1"/>
  <c r="E2637" i="3"/>
  <c r="F2637" i="3" s="1"/>
  <c r="E1945" i="3"/>
  <c r="F1945" i="3" s="1"/>
  <c r="E1502" i="3"/>
  <c r="F1502" i="3" s="1"/>
  <c r="E2446" i="3"/>
  <c r="F2446" i="3" s="1"/>
  <c r="E2135" i="3"/>
  <c r="F2135" i="3" s="1"/>
  <c r="E1344" i="3"/>
  <c r="F1344" i="3" s="1"/>
  <c r="E990" i="3"/>
  <c r="F990" i="3" s="1"/>
  <c r="E2976" i="3"/>
  <c r="F2976" i="3" s="1"/>
  <c r="E2811" i="3"/>
  <c r="F2811" i="3" s="1"/>
  <c r="E2644" i="3"/>
  <c r="F2644" i="3" s="1"/>
  <c r="E2142" i="3"/>
  <c r="F2142" i="3" s="1"/>
  <c r="E1351" i="3"/>
  <c r="F1351" i="3" s="1"/>
  <c r="E1693" i="3"/>
  <c r="F1693" i="3" s="1"/>
  <c r="E2456" i="3"/>
  <c r="F2456" i="3" s="1"/>
  <c r="E2982" i="3"/>
  <c r="F2982" i="3" s="1"/>
  <c r="E1190" i="3"/>
  <c r="F1190" i="3" s="1"/>
  <c r="E3155" i="3"/>
  <c r="F3155" i="3" s="1"/>
  <c r="E2819" i="3"/>
  <c r="F2819" i="3" s="1"/>
  <c r="E1959" i="3"/>
  <c r="F1959" i="3" s="1"/>
  <c r="E1854" i="3"/>
  <c r="F1854" i="3" s="1"/>
  <c r="E2150" i="3"/>
  <c r="F2150" i="3" s="1"/>
  <c r="E2464" i="3"/>
  <c r="F2464" i="3" s="1"/>
  <c r="E1009" i="3"/>
  <c r="F1009" i="3" s="1"/>
  <c r="E1701" i="3"/>
  <c r="F1701" i="3" s="1"/>
  <c r="E2659" i="3"/>
  <c r="F2659" i="3" s="1"/>
  <c r="E2831" i="3"/>
  <c r="F2831" i="3" s="1"/>
  <c r="E2998" i="3"/>
  <c r="F2998" i="3" s="1"/>
  <c r="E2475" i="3"/>
  <c r="F2475" i="3" s="1"/>
  <c r="E2324" i="3"/>
  <c r="F2324" i="3" s="1"/>
  <c r="E1858" i="3"/>
  <c r="F1858" i="3" s="1"/>
  <c r="E3165" i="3"/>
  <c r="F3165" i="3" s="1"/>
  <c r="E2159" i="3"/>
  <c r="F2159" i="3" s="1"/>
  <c r="E1711" i="3"/>
  <c r="F1711" i="3" s="1"/>
  <c r="E913" i="3"/>
  <c r="F913" i="3" s="1"/>
  <c r="E643" i="3"/>
  <c r="F643" i="3" s="1"/>
  <c r="E1208" i="3"/>
  <c r="F1208" i="3" s="1"/>
  <c r="E3172" i="3"/>
  <c r="F3172" i="3" s="1"/>
  <c r="E2838" i="3"/>
  <c r="F2838" i="3" s="1"/>
  <c r="E1977" i="3"/>
  <c r="F1977" i="3" s="1"/>
  <c r="E1534" i="3"/>
  <c r="F1534" i="3" s="1"/>
  <c r="E3005" i="3"/>
  <c r="F3005" i="3" s="1"/>
  <c r="E2484" i="3"/>
  <c r="F2484" i="3" s="1"/>
  <c r="E1373" i="3"/>
  <c r="F1373" i="3" s="1"/>
  <c r="E2666" i="3"/>
  <c r="F2666" i="3" s="1"/>
  <c r="E2167" i="3"/>
  <c r="F2167" i="3" s="1"/>
  <c r="E1719" i="3"/>
  <c r="F1719" i="3" s="1"/>
  <c r="E1027" i="3"/>
  <c r="F1027" i="3" s="1"/>
  <c r="E1861" i="3"/>
  <c r="F1861" i="3" s="1"/>
  <c r="E647" i="3"/>
  <c r="F647" i="3" s="1"/>
  <c r="E2332" i="3"/>
  <c r="F2332" i="3" s="1"/>
  <c r="E2845" i="3"/>
  <c r="F2845" i="3" s="1"/>
  <c r="E1543" i="3"/>
  <c r="F1543" i="3" s="1"/>
  <c r="E1986" i="3"/>
  <c r="F1986" i="3" s="1"/>
  <c r="E3012" i="3"/>
  <c r="F3012" i="3" s="1"/>
  <c r="E2674" i="3"/>
  <c r="F2674" i="3" s="1"/>
  <c r="E2176" i="3"/>
  <c r="F2176" i="3" s="1"/>
  <c r="E1036" i="3"/>
  <c r="F1036" i="3" s="1"/>
  <c r="E3179" i="3"/>
  <c r="F3179" i="3" s="1"/>
  <c r="E1380" i="3"/>
  <c r="F1380" i="3" s="1"/>
  <c r="E921" i="3"/>
  <c r="F921" i="3" s="1"/>
  <c r="E1727" i="3"/>
  <c r="F1727" i="3" s="1"/>
  <c r="E1222" i="3"/>
  <c r="F1222" i="3" s="1"/>
  <c r="E2856" i="3"/>
  <c r="F2856" i="3" s="1"/>
  <c r="E2682" i="3"/>
  <c r="F2682" i="3" s="1"/>
  <c r="E3020" i="3"/>
  <c r="F3020" i="3" s="1"/>
  <c r="E1387" i="3"/>
  <c r="F1387" i="3" s="1"/>
  <c r="E2502" i="3"/>
  <c r="F2502" i="3" s="1"/>
  <c r="E2185" i="3"/>
  <c r="F2185" i="3" s="1"/>
  <c r="E2344" i="3"/>
  <c r="F2344" i="3" s="1"/>
  <c r="E3027" i="3"/>
  <c r="F3027" i="3" s="1"/>
  <c r="E2192" i="3"/>
  <c r="F2192" i="3" s="1"/>
  <c r="E1872" i="3"/>
  <c r="F1872" i="3" s="1"/>
  <c r="E1392" i="3"/>
  <c r="F1392" i="3" s="1"/>
  <c r="E3193" i="3"/>
  <c r="F3193" i="3" s="1"/>
  <c r="E2689" i="3"/>
  <c r="F2689" i="3" s="1"/>
  <c r="E1560" i="3"/>
  <c r="F1560" i="3" s="1"/>
  <c r="E2863" i="3"/>
  <c r="F2863" i="3" s="1"/>
  <c r="E780" i="3"/>
  <c r="F780" i="3" s="1"/>
  <c r="E657" i="3"/>
  <c r="F657" i="3" s="1"/>
  <c r="E524" i="3"/>
  <c r="F524" i="3" s="1"/>
  <c r="E329" i="3"/>
  <c r="F329" i="3" s="1"/>
  <c r="E1745" i="3"/>
  <c r="F1745" i="3" s="1"/>
  <c r="E1053" i="3"/>
  <c r="F1053" i="3" s="1"/>
  <c r="E3034" i="3"/>
  <c r="F3034" i="3" s="1"/>
  <c r="E2697" i="3"/>
  <c r="F2697" i="3" s="1"/>
  <c r="E1753" i="3"/>
  <c r="F1753" i="3" s="1"/>
  <c r="E1876" i="3"/>
  <c r="F1876" i="3" s="1"/>
  <c r="E2200" i="3"/>
  <c r="F2200" i="3" s="1"/>
  <c r="E1400" i="3"/>
  <c r="F1400" i="3" s="1"/>
  <c r="E1568" i="3"/>
  <c r="F1568" i="3" s="1"/>
  <c r="E2871" i="3"/>
  <c r="F2871" i="3" s="1"/>
  <c r="E2011" i="3"/>
  <c r="F2011" i="3" s="1"/>
  <c r="E2517" i="3"/>
  <c r="F2517" i="3" s="1"/>
  <c r="E661" i="3"/>
  <c r="F661" i="3" s="1"/>
  <c r="E788" i="3"/>
  <c r="F788" i="3" s="1"/>
  <c r="E619" i="3"/>
  <c r="F619" i="3" s="1"/>
  <c r="C3306" i="3" s="1"/>
  <c r="E3306" i="3" s="1"/>
  <c r="E596" i="3"/>
  <c r="F596" i="3" s="1"/>
  <c r="E2705" i="3"/>
  <c r="F2705" i="3" s="1"/>
  <c r="E2526" i="3"/>
  <c r="F2526" i="3" s="1"/>
  <c r="E2880" i="3"/>
  <c r="F2880" i="3" s="1"/>
  <c r="E1409" i="3"/>
  <c r="F1409" i="3" s="1"/>
  <c r="E2208" i="3"/>
  <c r="F2208" i="3" s="1"/>
  <c r="E1760" i="3"/>
  <c r="F1760" i="3" s="1"/>
  <c r="E1577" i="3"/>
  <c r="F1577" i="3" s="1"/>
  <c r="E3042" i="3"/>
  <c r="F3042" i="3" s="1"/>
  <c r="E1251" i="3"/>
  <c r="F1251" i="3" s="1"/>
  <c r="E2362" i="3"/>
  <c r="F2362" i="3" s="1"/>
  <c r="E3210" i="3"/>
  <c r="F3210" i="3" s="1"/>
  <c r="E797" i="3"/>
  <c r="F797" i="3" s="1"/>
  <c r="E2714" i="3"/>
  <c r="F2714" i="3" s="1"/>
  <c r="E3220" i="3"/>
  <c r="F3220" i="3" s="1"/>
  <c r="E2368" i="3"/>
  <c r="F2368" i="3" s="1"/>
  <c r="E2217" i="3"/>
  <c r="F2217" i="3" s="1"/>
  <c r="E2030" i="3"/>
  <c r="F2030" i="3" s="1"/>
  <c r="E1769" i="3"/>
  <c r="F1769" i="3" s="1"/>
  <c r="E3050" i="3"/>
  <c r="F3050" i="3" s="1"/>
  <c r="E451" i="3"/>
  <c r="F451" i="3" s="1"/>
  <c r="E807" i="3"/>
  <c r="F807" i="3" s="1"/>
  <c r="E542" i="3"/>
  <c r="F542" i="3" s="1"/>
  <c r="E2889" i="3"/>
  <c r="F2889" i="3" s="1"/>
  <c r="E1884" i="3"/>
  <c r="F1884" i="3" s="1"/>
  <c r="E1080" i="3"/>
  <c r="F1080" i="3" s="1"/>
  <c r="E3227" i="3"/>
  <c r="F3227" i="3" s="1"/>
  <c r="E2895" i="3"/>
  <c r="F2895" i="3" s="1"/>
  <c r="E1776" i="3"/>
  <c r="F1776" i="3" s="1"/>
  <c r="E1424" i="3"/>
  <c r="F1424" i="3" s="1"/>
  <c r="E1888" i="3"/>
  <c r="F1888" i="3" s="1"/>
  <c r="E2225" i="3"/>
  <c r="F2225" i="3" s="1"/>
  <c r="E816" i="3"/>
  <c r="F816" i="3" s="1"/>
  <c r="E2376" i="3"/>
  <c r="F2376" i="3" s="1"/>
  <c r="E943" i="3"/>
  <c r="F943" i="3" s="1"/>
  <c r="E3235" i="3"/>
  <c r="F3235" i="3" s="1"/>
  <c r="E2557" i="3"/>
  <c r="F2557" i="3" s="1"/>
  <c r="E2049" i="3"/>
  <c r="F2049" i="3" s="1"/>
  <c r="E1099" i="3"/>
  <c r="F1099" i="3" s="1"/>
  <c r="E2903" i="3"/>
  <c r="F2903" i="3" s="1"/>
  <c r="E2734" i="3"/>
  <c r="F2734" i="3" s="1"/>
  <c r="E3070" i="3"/>
  <c r="F3070" i="3" s="1"/>
  <c r="E2910" i="3"/>
  <c r="F2910" i="3" s="1"/>
  <c r="E2241" i="3"/>
  <c r="F2241" i="3" s="1"/>
  <c r="E2057" i="3"/>
  <c r="F2057" i="3" s="1"/>
  <c r="E1440" i="3"/>
  <c r="F1440" i="3" s="1"/>
  <c r="E3242" i="3"/>
  <c r="F3242" i="3" s="1"/>
  <c r="E2387" i="3"/>
  <c r="F2387" i="3" s="1"/>
  <c r="E1282" i="3"/>
  <c r="F1282" i="3" s="1"/>
  <c r="E834" i="3"/>
  <c r="F834" i="3" s="1"/>
  <c r="E555" i="3"/>
  <c r="F555" i="3" s="1"/>
  <c r="E459" i="3"/>
  <c r="F459" i="3" s="1"/>
  <c r="E2564" i="3"/>
  <c r="F2564" i="3" s="1"/>
  <c r="E3259" i="3"/>
  <c r="F3259" i="3" s="1"/>
  <c r="E2751" i="3"/>
  <c r="F2751" i="3" s="1"/>
  <c r="E1629" i="3"/>
  <c r="F1629" i="3" s="1"/>
  <c r="E2401" i="3"/>
  <c r="F2401" i="3" s="1"/>
  <c r="E1297" i="3"/>
  <c r="F1297" i="3" s="1"/>
  <c r="E3087" i="3"/>
  <c r="F3087" i="3" s="1"/>
  <c r="E2582" i="3"/>
  <c r="F2582" i="3" s="1"/>
  <c r="E2258" i="3"/>
  <c r="F2258" i="3" s="1"/>
  <c r="E2076" i="3"/>
  <c r="F2076" i="3" s="1"/>
  <c r="E469" i="3"/>
  <c r="F469" i="3" s="1"/>
  <c r="E852" i="3"/>
  <c r="F852" i="3" s="1"/>
  <c r="E1809" i="3"/>
  <c r="F1809" i="3" s="1"/>
  <c r="E2931" i="3"/>
  <c r="F2931" i="3" s="1"/>
  <c r="E3266" i="3"/>
  <c r="F3266" i="3" s="1"/>
  <c r="E2265" i="3"/>
  <c r="F2265" i="3" s="1"/>
  <c r="E1460" i="3"/>
  <c r="F1460" i="3" s="1"/>
  <c r="E2589" i="3"/>
  <c r="F2589" i="3" s="1"/>
  <c r="E1816" i="3"/>
  <c r="F1816" i="3" s="1"/>
  <c r="E1132" i="3"/>
  <c r="F1132" i="3" s="1"/>
  <c r="E611" i="3"/>
  <c r="F611" i="3" s="1"/>
  <c r="E569" i="3"/>
  <c r="F569" i="3" s="1"/>
  <c r="E2595" i="3"/>
  <c r="F2595" i="3" s="1"/>
  <c r="E3272" i="3"/>
  <c r="F3272" i="3" s="1"/>
  <c r="E2764" i="3"/>
  <c r="F2764" i="3" s="1"/>
  <c r="E1821" i="3"/>
  <c r="F1821" i="3" s="1"/>
  <c r="E1464" i="3"/>
  <c r="F1464" i="3" s="1"/>
  <c r="E2409" i="3"/>
  <c r="F2409" i="3" s="1"/>
  <c r="E1641" i="3"/>
  <c r="F1641" i="3" s="1"/>
  <c r="E866" i="3"/>
  <c r="F866" i="3" s="1"/>
  <c r="E692" i="3"/>
  <c r="F692" i="3" s="1"/>
  <c r="E3099" i="3"/>
  <c r="F3099" i="3" s="1"/>
  <c r="E1309" i="3"/>
  <c r="F1309" i="3" s="1"/>
  <c r="E2771" i="3"/>
  <c r="F2771" i="3" s="1"/>
  <c r="E2603" i="3"/>
  <c r="F2603" i="3" s="1"/>
  <c r="E2943" i="3"/>
  <c r="F2943" i="3" s="1"/>
  <c r="E2279" i="3"/>
  <c r="F2279" i="3" s="1"/>
  <c r="E1470" i="3"/>
  <c r="F1470" i="3" s="1"/>
  <c r="E1647" i="3"/>
  <c r="F1647" i="3" s="1"/>
  <c r="E3279" i="3"/>
  <c r="F3279" i="3" s="1"/>
  <c r="E2414" i="3"/>
  <c r="F2414" i="3" s="1"/>
  <c r="E1146" i="3"/>
  <c r="F1146" i="3" s="1"/>
  <c r="E1828" i="3"/>
  <c r="F1828" i="3" s="1"/>
  <c r="E1314" i="3"/>
  <c r="F1314" i="3" s="1"/>
  <c r="E875" i="3"/>
  <c r="F875" i="3" s="1"/>
  <c r="E477" i="3"/>
  <c r="F477" i="3" s="1"/>
  <c r="E2611" i="3"/>
  <c r="F2611" i="3" s="1"/>
  <c r="E3287" i="3"/>
  <c r="F3287" i="3" s="1"/>
  <c r="E2950" i="3"/>
  <c r="F2950" i="3" s="1"/>
  <c r="E1835" i="3"/>
  <c r="F1835" i="3" s="1"/>
  <c r="E2287" i="3"/>
  <c r="F2287" i="3" s="1"/>
  <c r="E3113" i="3"/>
  <c r="F3113" i="3" s="1"/>
  <c r="E1920" i="3"/>
  <c r="F1920" i="3" s="1"/>
  <c r="E1654" i="3"/>
  <c r="F1654" i="3" s="1"/>
  <c r="E579" i="3"/>
  <c r="F579" i="3" s="1"/>
  <c r="E2779" i="3"/>
  <c r="F2779" i="3" s="1"/>
  <c r="E967" i="3"/>
  <c r="F967" i="3" s="1"/>
  <c r="E1154" i="3"/>
  <c r="F1154" i="3" s="1"/>
  <c r="E2787" i="3"/>
  <c r="F2787" i="3" s="1"/>
  <c r="E2297" i="3"/>
  <c r="F2297" i="3" s="1"/>
  <c r="E1664" i="3"/>
  <c r="F1664" i="3" s="1"/>
  <c r="E2622" i="3"/>
  <c r="F2622" i="3" s="1"/>
  <c r="E209" i="3"/>
  <c r="F209" i="3" s="1"/>
  <c r="E225" i="3"/>
  <c r="F225" i="3" s="1"/>
  <c r="E229" i="3"/>
  <c r="F229" i="3" s="1"/>
  <c r="E237" i="3"/>
  <c r="F237" i="3" s="1"/>
  <c r="E249" i="3"/>
  <c r="F249" i="3" s="1"/>
  <c r="E261" i="3"/>
  <c r="F261" i="3" s="1"/>
  <c r="E277" i="3"/>
  <c r="F277" i="3" s="1"/>
  <c r="E285" i="3"/>
  <c r="F285" i="3" s="1"/>
  <c r="E294" i="3"/>
  <c r="F294" i="3" s="1"/>
  <c r="E335" i="3"/>
  <c r="F335" i="3" s="1"/>
  <c r="E381" i="3"/>
  <c r="F381" i="3" s="1"/>
  <c r="E471" i="3"/>
  <c r="F471" i="3" s="1"/>
  <c r="E507" i="3"/>
  <c r="F507" i="3" s="1"/>
  <c r="E525" i="3"/>
  <c r="F525" i="3" s="1"/>
  <c r="E754" i="3"/>
  <c r="F754" i="3" s="1"/>
  <c r="E781" i="3"/>
  <c r="F781" i="3" s="1"/>
  <c r="E896" i="3"/>
  <c r="F896" i="3" s="1"/>
  <c r="E1183" i="3"/>
  <c r="F1183" i="3" s="1"/>
  <c r="E1198" i="3"/>
  <c r="F1198" i="3" s="1"/>
  <c r="E1418" i="3"/>
  <c r="F1418" i="3" s="1"/>
  <c r="E1553" i="3"/>
  <c r="F1553" i="3" s="1"/>
  <c r="E1740" i="3"/>
  <c r="F1740" i="3" s="1"/>
  <c r="E1930" i="3"/>
  <c r="F1930" i="3" s="1"/>
  <c r="E1939" i="3"/>
  <c r="F1939" i="3" s="1"/>
  <c r="E2486" i="3"/>
  <c r="F2486" i="3" s="1"/>
  <c r="E2545" i="3"/>
  <c r="F2545" i="3" s="1"/>
  <c r="E2597" i="3"/>
  <c r="F2597" i="3" s="1"/>
  <c r="E3127" i="3"/>
  <c r="F3127" i="3" s="1"/>
  <c r="E1929" i="3"/>
  <c r="F1929" i="3" s="1"/>
  <c r="E1169" i="3"/>
  <c r="F1169" i="3" s="1"/>
  <c r="E706" i="3"/>
  <c r="F706" i="3" s="1"/>
  <c r="E975" i="3"/>
  <c r="F975" i="3" s="1"/>
  <c r="E486" i="3"/>
  <c r="F486" i="3" s="1"/>
  <c r="C3304" i="3" s="1"/>
  <c r="E3304" i="3" s="1"/>
  <c r="E3134" i="3"/>
  <c r="F3134" i="3" s="1"/>
  <c r="E2439" i="3"/>
  <c r="F2439" i="3" s="1"/>
  <c r="E2128" i="3"/>
  <c r="F2128" i="3" s="1"/>
  <c r="E3140" i="3"/>
  <c r="F3140" i="3" s="1"/>
  <c r="E2638" i="3"/>
  <c r="F2638" i="3" s="1"/>
  <c r="E1684" i="3"/>
  <c r="F1684" i="3" s="1"/>
  <c r="E2447" i="3"/>
  <c r="F2447" i="3" s="1"/>
  <c r="E1946" i="3"/>
  <c r="F1946" i="3" s="1"/>
  <c r="E587" i="3"/>
  <c r="F587" i="3" s="1"/>
  <c r="E2812" i="3"/>
  <c r="F2812" i="3" s="1"/>
  <c r="E3148" i="3"/>
  <c r="F3148" i="3" s="1"/>
  <c r="E2645" i="3"/>
  <c r="F2645" i="3" s="1"/>
  <c r="E2457" i="3"/>
  <c r="F2457" i="3" s="1"/>
  <c r="E1694" i="3"/>
  <c r="F1694" i="3" s="1"/>
  <c r="E1510" i="3"/>
  <c r="F1510" i="3" s="1"/>
  <c r="E1952" i="3"/>
  <c r="F1952" i="3" s="1"/>
  <c r="E1191" i="3"/>
  <c r="F1191" i="3" s="1"/>
  <c r="E907" i="3"/>
  <c r="F907" i="3" s="1"/>
  <c r="E2143" i="3"/>
  <c r="F2143" i="3" s="1"/>
  <c r="E728" i="3"/>
  <c r="F728" i="3" s="1"/>
  <c r="E2653" i="3"/>
  <c r="F2653" i="3" s="1"/>
  <c r="E2151" i="3"/>
  <c r="F2151" i="3" s="1"/>
  <c r="E2465" i="3"/>
  <c r="F2465" i="3" s="1"/>
  <c r="E1702" i="3"/>
  <c r="F1702" i="3" s="1"/>
  <c r="E3156" i="3"/>
  <c r="F3156" i="3" s="1"/>
  <c r="E2318" i="3"/>
  <c r="F2318" i="3" s="1"/>
  <c r="E1518" i="3"/>
  <c r="F1518" i="3" s="1"/>
  <c r="E301" i="3"/>
  <c r="F301" i="3" s="1"/>
  <c r="E2820" i="3"/>
  <c r="F2820" i="3" s="1"/>
  <c r="E1960" i="3"/>
  <c r="F1960" i="3" s="1"/>
  <c r="E1199" i="3"/>
  <c r="F1199" i="3" s="1"/>
  <c r="E3166" i="3"/>
  <c r="F3166" i="3" s="1"/>
  <c r="E2999" i="3"/>
  <c r="F2999" i="3" s="1"/>
  <c r="E2160" i="3"/>
  <c r="F2160" i="3" s="1"/>
  <c r="E1712" i="3"/>
  <c r="F1712" i="3" s="1"/>
  <c r="E1527" i="3"/>
  <c r="F1527" i="3" s="1"/>
  <c r="E2832" i="3"/>
  <c r="F2832" i="3" s="1"/>
  <c r="E2660" i="3"/>
  <c r="F2660" i="3" s="1"/>
  <c r="E2325" i="3"/>
  <c r="F2325" i="3" s="1"/>
  <c r="E1209" i="3"/>
  <c r="F1209" i="3" s="1"/>
  <c r="E747" i="3"/>
  <c r="F747" i="3" s="1"/>
  <c r="E1021" i="3"/>
  <c r="F1021" i="3" s="1"/>
  <c r="E3173" i="3"/>
  <c r="F3173" i="3" s="1"/>
  <c r="E2667" i="3"/>
  <c r="F2667" i="3" s="1"/>
  <c r="E3006" i="3"/>
  <c r="F3006" i="3" s="1"/>
  <c r="E1374" i="3"/>
  <c r="F1374" i="3" s="1"/>
  <c r="E2333" i="3"/>
  <c r="F2333" i="3" s="1"/>
  <c r="E2168" i="3"/>
  <c r="F2168" i="3" s="1"/>
  <c r="E1720" i="3"/>
  <c r="F1720" i="3" s="1"/>
  <c r="E1978" i="3"/>
  <c r="F1978" i="3" s="1"/>
  <c r="E916" i="3"/>
  <c r="F916" i="3" s="1"/>
  <c r="E3013" i="3"/>
  <c r="F3013" i="3" s="1"/>
  <c r="E2675" i="3"/>
  <c r="F2675" i="3" s="1"/>
  <c r="E3180" i="3"/>
  <c r="F3180" i="3" s="1"/>
  <c r="E2846" i="3"/>
  <c r="F2846" i="3" s="1"/>
  <c r="E2493" i="3"/>
  <c r="F2493" i="3" s="1"/>
  <c r="E2177" i="3"/>
  <c r="F2177" i="3" s="1"/>
  <c r="E1728" i="3"/>
  <c r="F1728" i="3" s="1"/>
  <c r="E1987" i="3"/>
  <c r="F1987" i="3" s="1"/>
  <c r="E1381" i="3"/>
  <c r="F1381" i="3" s="1"/>
  <c r="E922" i="3"/>
  <c r="F922" i="3" s="1"/>
  <c r="E652" i="3"/>
  <c r="F652" i="3" s="1"/>
  <c r="E1223" i="3"/>
  <c r="F1223" i="3" s="1"/>
  <c r="E3187" i="3"/>
  <c r="F3187" i="3" s="1"/>
  <c r="E3021" i="3"/>
  <c r="F3021" i="3" s="1"/>
  <c r="E2683" i="3"/>
  <c r="F2683" i="3" s="1"/>
  <c r="E2503" i="3"/>
  <c r="F2503" i="3" s="1"/>
  <c r="E1739" i="3"/>
  <c r="F1739" i="3" s="1"/>
  <c r="E2857" i="3"/>
  <c r="F2857" i="3" s="1"/>
  <c r="E2345" i="3"/>
  <c r="F2345" i="3" s="1"/>
  <c r="E592" i="3"/>
  <c r="F592" i="3" s="1"/>
  <c r="E1388" i="3"/>
  <c r="F1388" i="3" s="1"/>
  <c r="E2186" i="3"/>
  <c r="F2186" i="3" s="1"/>
  <c r="E1868" i="3"/>
  <c r="F1868" i="3" s="1"/>
  <c r="E1554" i="3"/>
  <c r="F1554" i="3" s="1"/>
  <c r="E774" i="3"/>
  <c r="F774" i="3" s="1"/>
  <c r="E3194" i="3"/>
  <c r="F3194" i="3" s="1"/>
  <c r="E1561" i="3"/>
  <c r="F1561" i="3" s="1"/>
  <c r="E2004" i="3"/>
  <c r="F2004" i="3" s="1"/>
  <c r="E2864" i="3"/>
  <c r="F2864" i="3" s="1"/>
  <c r="E2510" i="3"/>
  <c r="F2510" i="3" s="1"/>
  <c r="E1746" i="3"/>
  <c r="F1746" i="3" s="1"/>
  <c r="E1054" i="3"/>
  <c r="F1054" i="3" s="1"/>
  <c r="E1236" i="3"/>
  <c r="F1236" i="3" s="1"/>
  <c r="E2349" i="3"/>
  <c r="F2349" i="3" s="1"/>
  <c r="E440" i="3"/>
  <c r="F440" i="3" s="1"/>
  <c r="E2201" i="3"/>
  <c r="F2201" i="3" s="1"/>
  <c r="E1401" i="3"/>
  <c r="F1401" i="3" s="1"/>
  <c r="E3202" i="3"/>
  <c r="F3202" i="3" s="1"/>
  <c r="E3035" i="3"/>
  <c r="F3035" i="3" s="1"/>
  <c r="E2356" i="3"/>
  <c r="F2356" i="3" s="1"/>
  <c r="E2872" i="3"/>
  <c r="F2872" i="3" s="1"/>
  <c r="E1569" i="3"/>
  <c r="F1569" i="3" s="1"/>
  <c r="E2518" i="3"/>
  <c r="F2518" i="3" s="1"/>
  <c r="E789" i="3"/>
  <c r="F789" i="3" s="1"/>
  <c r="E2698" i="3"/>
  <c r="F2698" i="3" s="1"/>
  <c r="E1754" i="3"/>
  <c r="F1754" i="3" s="1"/>
  <c r="E532" i="3"/>
  <c r="F532" i="3" s="1"/>
  <c r="E1062" i="3"/>
  <c r="F1062" i="3" s="1"/>
  <c r="E2707" i="3"/>
  <c r="F2707" i="3" s="1"/>
  <c r="E3212" i="3"/>
  <c r="F3212" i="3" s="1"/>
  <c r="E2210" i="3"/>
  <c r="F2210" i="3" s="1"/>
  <c r="E1762" i="3"/>
  <c r="F1762" i="3" s="1"/>
  <c r="E1579" i="3"/>
  <c r="F1579" i="3" s="1"/>
  <c r="E2022" i="3"/>
  <c r="F2022" i="3" s="1"/>
  <c r="E1880" i="3"/>
  <c r="F1880" i="3" s="1"/>
  <c r="E2528" i="3"/>
  <c r="F2528" i="3" s="1"/>
  <c r="E2882" i="3"/>
  <c r="F2882" i="3" s="1"/>
  <c r="E1072" i="3"/>
  <c r="F1072" i="3" s="1"/>
  <c r="E3221" i="3"/>
  <c r="F3221" i="3" s="1"/>
  <c r="E1588" i="3"/>
  <c r="F1588" i="3" s="1"/>
  <c r="E1419" i="3"/>
  <c r="F1419" i="3" s="1"/>
  <c r="E2369" i="3"/>
  <c r="F2369" i="3" s="1"/>
  <c r="E2031" i="3"/>
  <c r="F2031" i="3" s="1"/>
  <c r="E3051" i="3"/>
  <c r="F3051" i="3" s="1"/>
  <c r="E2715" i="3"/>
  <c r="F2715" i="3" s="1"/>
  <c r="E1082" i="3"/>
  <c r="F1082" i="3" s="1"/>
  <c r="E2890" i="3"/>
  <c r="F2890" i="3" s="1"/>
  <c r="E1770" i="3"/>
  <c r="F1770" i="3" s="1"/>
  <c r="E3228" i="3"/>
  <c r="F3228" i="3" s="1"/>
  <c r="E1597" i="3"/>
  <c r="F1597" i="3" s="1"/>
  <c r="E2040" i="3"/>
  <c r="F2040" i="3" s="1"/>
  <c r="E2377" i="3"/>
  <c r="F2377" i="3" s="1"/>
  <c r="E1268" i="3"/>
  <c r="F1268" i="3" s="1"/>
  <c r="E1090" i="3"/>
  <c r="F1090" i="3" s="1"/>
  <c r="E2721" i="3"/>
  <c r="F2721" i="3" s="1"/>
  <c r="E1778" i="3"/>
  <c r="F1778" i="3" s="1"/>
  <c r="E3236" i="3"/>
  <c r="F3236" i="3" s="1"/>
  <c r="E2728" i="3"/>
  <c r="F2728" i="3" s="1"/>
  <c r="E2558" i="3"/>
  <c r="F2558" i="3" s="1"/>
  <c r="E1895" i="3"/>
  <c r="F1895" i="3" s="1"/>
  <c r="E1785" i="3"/>
  <c r="F1785" i="3" s="1"/>
  <c r="E1433" i="3"/>
  <c r="F1433" i="3" s="1"/>
  <c r="E2050" i="3"/>
  <c r="F2050" i="3" s="1"/>
  <c r="E2383" i="3"/>
  <c r="F2383" i="3" s="1"/>
  <c r="E1606" i="3"/>
  <c r="F1606" i="3" s="1"/>
  <c r="E3063" i="3"/>
  <c r="F3063" i="3" s="1"/>
  <c r="E1100" i="3"/>
  <c r="F1100" i="3" s="1"/>
  <c r="E945" i="3"/>
  <c r="F945" i="3" s="1"/>
  <c r="E2904" i="3"/>
  <c r="F2904" i="3" s="1"/>
  <c r="E360" i="3"/>
  <c r="F360" i="3" s="1"/>
  <c r="E1277" i="3"/>
  <c r="F1277" i="3" s="1"/>
  <c r="E678" i="3"/>
  <c r="F678" i="3" s="1"/>
  <c r="E3071" i="3"/>
  <c r="F3071" i="3" s="1"/>
  <c r="E2911" i="3"/>
  <c r="F2911" i="3" s="1"/>
  <c r="E2388" i="3"/>
  <c r="F2388" i="3" s="1"/>
  <c r="E2242" i="3"/>
  <c r="F2242" i="3" s="1"/>
  <c r="E1441" i="3"/>
  <c r="F1441" i="3" s="1"/>
  <c r="E1792" i="3"/>
  <c r="F1792" i="3" s="1"/>
  <c r="E1283" i="3"/>
  <c r="F1283" i="3" s="1"/>
  <c r="E835" i="3"/>
  <c r="F835" i="3" s="1"/>
  <c r="E556" i="3"/>
  <c r="F556" i="3" s="1"/>
  <c r="E460" i="3"/>
  <c r="F460" i="3" s="1"/>
  <c r="E2565" i="3"/>
  <c r="F2565" i="3" s="1"/>
  <c r="E2058" i="3"/>
  <c r="F2058" i="3" s="1"/>
  <c r="E1901" i="3"/>
  <c r="F1901" i="3" s="1"/>
  <c r="E1108" i="3"/>
  <c r="F1108" i="3" s="1"/>
  <c r="E1799" i="3"/>
  <c r="F1799" i="3" s="1"/>
  <c r="E1447" i="3"/>
  <c r="F1447" i="3" s="1"/>
  <c r="E1620" i="3"/>
  <c r="F1620" i="3" s="1"/>
  <c r="E2249" i="3"/>
  <c r="F2249" i="3" s="1"/>
  <c r="E954" i="3"/>
  <c r="F954" i="3" s="1"/>
  <c r="E561" i="3"/>
  <c r="F561" i="3" s="1"/>
  <c r="E465" i="3"/>
  <c r="F465" i="3" s="1"/>
  <c r="E2918" i="3"/>
  <c r="F2918" i="3" s="1"/>
  <c r="E372" i="3"/>
  <c r="F372" i="3" s="1"/>
  <c r="E2394" i="3"/>
  <c r="F2394" i="3" s="1"/>
  <c r="E2066" i="3"/>
  <c r="F2066" i="3" s="1"/>
  <c r="E3260" i="3"/>
  <c r="F3260" i="3" s="1"/>
  <c r="E2926" i="3"/>
  <c r="F2926" i="3" s="1"/>
  <c r="E1630" i="3"/>
  <c r="F1630" i="3" s="1"/>
  <c r="E1456" i="3"/>
  <c r="F1456" i="3" s="1"/>
  <c r="E3088" i="3"/>
  <c r="F3088" i="3" s="1"/>
  <c r="E2402" i="3"/>
  <c r="F2402" i="3" s="1"/>
  <c r="E2077" i="3"/>
  <c r="F2077" i="3" s="1"/>
  <c r="E2752" i="3"/>
  <c r="F2752" i="3" s="1"/>
  <c r="E2583" i="3"/>
  <c r="F2583" i="3" s="1"/>
  <c r="E1911" i="3"/>
  <c r="F1911" i="3" s="1"/>
  <c r="E2259" i="3"/>
  <c r="F2259" i="3" s="1"/>
  <c r="E689" i="3"/>
  <c r="F689" i="3" s="1"/>
  <c r="E853" i="3"/>
  <c r="F853" i="3" s="1"/>
  <c r="E1810" i="3"/>
  <c r="F1810" i="3" s="1"/>
  <c r="E3280" i="3"/>
  <c r="F3280" i="3" s="1"/>
  <c r="E1648" i="3"/>
  <c r="F1648" i="3" s="1"/>
  <c r="E2100" i="3"/>
  <c r="F2100" i="3" s="1"/>
  <c r="E3106" i="3"/>
  <c r="F3106" i="3" s="1"/>
  <c r="E2772" i="3"/>
  <c r="F2772" i="3" s="1"/>
  <c r="E1829" i="3"/>
  <c r="F1829" i="3" s="1"/>
  <c r="E876" i="3"/>
  <c r="F876" i="3" s="1"/>
  <c r="E478" i="3"/>
  <c r="F478" i="3" s="1"/>
  <c r="E2944" i="3"/>
  <c r="F2944" i="3" s="1"/>
  <c r="E395" i="3"/>
  <c r="F395" i="3" s="1"/>
  <c r="E1471" i="3"/>
  <c r="F1471" i="3" s="1"/>
  <c r="E696" i="3"/>
  <c r="F696" i="3" s="1"/>
  <c r="E2780" i="3"/>
  <c r="F2780" i="3" s="1"/>
  <c r="E2288" i="3"/>
  <c r="F2288" i="3" s="1"/>
  <c r="E3288" i="3"/>
  <c r="F3288" i="3" s="1"/>
  <c r="E1655" i="3"/>
  <c r="F1655" i="3" s="1"/>
  <c r="E1155" i="3"/>
  <c r="F1155" i="3" s="1"/>
  <c r="E401" i="3"/>
  <c r="F401" i="3" s="1"/>
  <c r="E1836" i="3"/>
  <c r="F1836" i="3" s="1"/>
  <c r="E884" i="3"/>
  <c r="F884" i="3" s="1"/>
  <c r="E2108" i="3"/>
  <c r="F2108" i="3" s="1"/>
  <c r="E3123" i="3"/>
  <c r="F3123" i="3" s="1"/>
  <c r="E2961" i="3"/>
  <c r="F2961" i="3" s="1"/>
  <c r="E2788" i="3"/>
  <c r="F2788" i="3" s="1"/>
  <c r="E1665" i="3"/>
  <c r="F1665" i="3" s="1"/>
  <c r="E1486" i="3"/>
  <c r="F1486" i="3" s="1"/>
  <c r="E1845" i="3"/>
  <c r="F1845" i="3" s="1"/>
  <c r="E893" i="3"/>
  <c r="F893" i="3" s="1"/>
  <c r="E308" i="3"/>
  <c r="F308" i="3" s="1"/>
  <c r="E331" i="3"/>
  <c r="F331" i="3" s="1"/>
  <c r="E350" i="3"/>
  <c r="F350" i="3" s="1"/>
  <c r="E355" i="3"/>
  <c r="F355" i="3" s="1"/>
  <c r="E382" i="3"/>
  <c r="F382" i="3" s="1"/>
  <c r="E394" i="3"/>
  <c r="F394" i="3" s="1"/>
  <c r="E400" i="3"/>
  <c r="F400" i="3" s="1"/>
  <c r="E426" i="3"/>
  <c r="F426" i="3" s="1"/>
  <c r="E517" i="3"/>
  <c r="F517" i="3" s="1"/>
  <c r="E567" i="3"/>
  <c r="F567" i="3" s="1"/>
  <c r="E672" i="3"/>
  <c r="F672" i="3" s="1"/>
  <c r="E690" i="3"/>
  <c r="F690" i="3" s="1"/>
  <c r="E705" i="3"/>
  <c r="F705" i="3" s="1"/>
  <c r="E722" i="3"/>
  <c r="F722" i="3" s="1"/>
  <c r="E763" i="3"/>
  <c r="F763" i="3" s="1"/>
  <c r="E828" i="3"/>
  <c r="F828" i="3" s="1"/>
  <c r="E924" i="3"/>
  <c r="F924" i="3" s="1"/>
  <c r="E1046" i="3"/>
  <c r="F1046" i="3" s="1"/>
  <c r="E1055" i="3"/>
  <c r="F1055" i="3" s="1"/>
  <c r="E1070" i="3"/>
  <c r="F1070" i="3" s="1"/>
  <c r="E1215" i="3"/>
  <c r="F1215" i="3" s="1"/>
  <c r="E1267" i="3"/>
  <c r="F1267" i="3" s="1"/>
  <c r="E1365" i="3"/>
  <c r="F1365" i="3" s="1"/>
  <c r="E1544" i="3"/>
  <c r="F1544" i="3" s="1"/>
  <c r="E1612" i="3"/>
  <c r="F1612" i="3" s="1"/>
  <c r="E1996" i="3"/>
  <c r="F1996" i="3" s="1"/>
  <c r="E2115" i="3"/>
  <c r="F2115" i="3" s="1"/>
  <c r="E2612" i="3"/>
  <c r="F2612" i="3" s="1"/>
  <c r="E2896" i="3"/>
  <c r="F2896" i="3" s="1"/>
  <c r="E2792" i="3"/>
  <c r="F2792" i="3" s="1"/>
  <c r="E2626" i="3"/>
  <c r="F2626" i="3" s="1"/>
  <c r="E1671" i="3"/>
  <c r="F1671" i="3" s="1"/>
  <c r="E707" i="3"/>
  <c r="F707" i="3" s="1"/>
  <c r="E2431" i="3"/>
  <c r="F2431" i="3" s="1"/>
  <c r="E2300" i="3"/>
  <c r="F2300" i="3" s="1"/>
  <c r="E2120" i="3"/>
  <c r="F2120" i="3" s="1"/>
  <c r="E976" i="3"/>
  <c r="F976" i="3" s="1"/>
  <c r="E487" i="3"/>
  <c r="F487" i="3" s="1"/>
  <c r="E2966" i="3"/>
  <c r="F2966" i="3" s="1"/>
  <c r="E409" i="3"/>
  <c r="F409" i="3" s="1"/>
  <c r="E2972" i="3"/>
  <c r="F2972" i="3" s="1"/>
  <c r="E3135" i="3"/>
  <c r="F3135" i="3" s="1"/>
  <c r="E2797" i="3"/>
  <c r="F2797" i="3" s="1"/>
  <c r="E2632" i="3"/>
  <c r="F2632" i="3" s="1"/>
  <c r="E1497" i="3"/>
  <c r="F1497" i="3" s="1"/>
  <c r="E2305" i="3"/>
  <c r="F2305" i="3" s="1"/>
  <c r="E1848" i="3"/>
  <c r="F1848" i="3" s="1"/>
  <c r="E1678" i="3"/>
  <c r="F1678" i="3" s="1"/>
  <c r="E2440" i="3"/>
  <c r="F2440" i="3" s="1"/>
  <c r="E2129" i="3"/>
  <c r="F2129" i="3" s="1"/>
  <c r="E1178" i="3"/>
  <c r="F1178" i="3" s="1"/>
  <c r="E716" i="3"/>
  <c r="F716" i="3" s="1"/>
  <c r="E629" i="3"/>
  <c r="F629" i="3" s="1"/>
  <c r="E984" i="3"/>
  <c r="F984" i="3" s="1"/>
  <c r="E902" i="3"/>
  <c r="F902" i="3" s="1"/>
  <c r="E3141" i="3"/>
  <c r="F3141" i="3" s="1"/>
  <c r="E2448" i="3"/>
  <c r="F2448" i="3" s="1"/>
  <c r="E3149" i="3"/>
  <c r="F3149" i="3" s="1"/>
  <c r="E1511" i="3"/>
  <c r="F1511" i="3" s="1"/>
  <c r="E1953" i="3"/>
  <c r="F1953" i="3" s="1"/>
  <c r="E2144" i="3"/>
  <c r="F2144" i="3" s="1"/>
  <c r="E908" i="3"/>
  <c r="F908" i="3" s="1"/>
  <c r="E2458" i="3"/>
  <c r="F2458" i="3" s="1"/>
  <c r="E1695" i="3"/>
  <c r="F1695" i="3" s="1"/>
  <c r="E1003" i="3"/>
  <c r="F1003" i="3" s="1"/>
  <c r="E729" i="3"/>
  <c r="F729" i="3" s="1"/>
  <c r="E2646" i="3"/>
  <c r="F2646" i="3" s="1"/>
  <c r="E1352" i="3"/>
  <c r="F1352" i="3" s="1"/>
  <c r="E2990" i="3"/>
  <c r="F2990" i="3" s="1"/>
  <c r="E2655" i="3"/>
  <c r="F2655" i="3" s="1"/>
  <c r="E3158" i="3"/>
  <c r="F3158" i="3" s="1"/>
  <c r="E2320" i="3"/>
  <c r="F2320" i="3" s="1"/>
  <c r="E2822" i="3"/>
  <c r="F2822" i="3" s="1"/>
  <c r="E1519" i="3"/>
  <c r="F1519" i="3" s="1"/>
  <c r="E2153" i="3"/>
  <c r="F2153" i="3" s="1"/>
  <c r="E1856" i="3"/>
  <c r="F1856" i="3" s="1"/>
  <c r="E1358" i="3"/>
  <c r="F1358" i="3" s="1"/>
  <c r="E2467" i="3"/>
  <c r="F2467" i="3" s="1"/>
  <c r="E1962" i="3"/>
  <c r="F1962" i="3" s="1"/>
  <c r="E1704" i="3"/>
  <c r="F1704" i="3" s="1"/>
  <c r="E1201" i="3"/>
  <c r="F1201" i="3" s="1"/>
  <c r="E1012" i="3"/>
  <c r="F1012" i="3" s="1"/>
  <c r="E738" i="3"/>
  <c r="F738" i="3" s="1"/>
  <c r="E504" i="3"/>
  <c r="F504" i="3" s="1"/>
  <c r="E2833" i="3"/>
  <c r="F2833" i="3" s="1"/>
  <c r="E1367" i="3"/>
  <c r="F1367" i="3" s="1"/>
  <c r="E748" i="3"/>
  <c r="F748" i="3" s="1"/>
  <c r="E2326" i="3"/>
  <c r="F2326" i="3" s="1"/>
  <c r="E2161" i="3"/>
  <c r="F2161" i="3" s="1"/>
  <c r="E3000" i="3"/>
  <c r="F3000" i="3" s="1"/>
  <c r="E2334" i="3"/>
  <c r="F2334" i="3" s="1"/>
  <c r="E2169" i="3"/>
  <c r="F2169" i="3" s="1"/>
  <c r="E1721" i="3"/>
  <c r="F1721" i="3" s="1"/>
  <c r="E2668" i="3"/>
  <c r="F2668" i="3" s="1"/>
  <c r="E3174" i="3"/>
  <c r="F3174" i="3" s="1"/>
  <c r="E1536" i="3"/>
  <c r="F1536" i="3" s="1"/>
  <c r="E756" i="3"/>
  <c r="F756" i="3" s="1"/>
  <c r="E431" i="3"/>
  <c r="F431" i="3" s="1"/>
  <c r="E3181" i="3"/>
  <c r="F3181" i="3" s="1"/>
  <c r="E2847" i="3"/>
  <c r="F2847" i="3" s="1"/>
  <c r="E2494" i="3"/>
  <c r="F2494" i="3" s="1"/>
  <c r="E2178" i="3"/>
  <c r="F2178" i="3" s="1"/>
  <c r="E1730" i="3"/>
  <c r="F1730" i="3" s="1"/>
  <c r="E1545" i="3"/>
  <c r="F1545" i="3" s="1"/>
  <c r="E3014" i="3"/>
  <c r="F3014" i="3" s="1"/>
  <c r="E1039" i="3"/>
  <c r="F1039" i="3" s="1"/>
  <c r="E765" i="3"/>
  <c r="F765" i="3" s="1"/>
  <c r="E3022" i="3"/>
  <c r="F3022" i="3" s="1"/>
  <c r="E2684" i="3"/>
  <c r="F2684" i="3" s="1"/>
  <c r="E2858" i="3"/>
  <c r="F2858" i="3" s="1"/>
  <c r="E2187" i="3"/>
  <c r="F2187" i="3" s="1"/>
  <c r="E1998" i="3"/>
  <c r="F1998" i="3" s="1"/>
  <c r="E1869" i="3"/>
  <c r="F1869" i="3" s="1"/>
  <c r="E775" i="3"/>
  <c r="F775" i="3" s="1"/>
  <c r="E1555" i="3"/>
  <c r="F1555" i="3" s="1"/>
  <c r="E1231" i="3"/>
  <c r="F1231" i="3" s="1"/>
  <c r="E1048" i="3"/>
  <c r="F1048" i="3" s="1"/>
  <c r="E925" i="3"/>
  <c r="F925" i="3" s="1"/>
  <c r="E3195" i="3"/>
  <c r="F3195" i="3" s="1"/>
  <c r="E2865" i="3"/>
  <c r="F2865" i="3" s="1"/>
  <c r="E2691" i="3"/>
  <c r="F2691" i="3" s="1"/>
  <c r="E3028" i="3"/>
  <c r="F3028" i="3" s="1"/>
  <c r="E2511" i="3"/>
  <c r="F2511" i="3" s="1"/>
  <c r="E2350" i="3"/>
  <c r="F2350" i="3" s="1"/>
  <c r="E1237" i="3"/>
  <c r="F1237" i="3" s="1"/>
  <c r="E441" i="3"/>
  <c r="F441" i="3" s="1"/>
  <c r="E3036" i="3"/>
  <c r="F3036" i="3" s="1"/>
  <c r="E3203" i="3"/>
  <c r="F3203" i="3" s="1"/>
  <c r="E2873" i="3"/>
  <c r="F2873" i="3" s="1"/>
  <c r="E2013" i="3"/>
  <c r="F2013" i="3" s="1"/>
  <c r="E1570" i="3"/>
  <c r="F1570" i="3" s="1"/>
  <c r="E2519" i="3"/>
  <c r="F2519" i="3" s="1"/>
  <c r="E1755" i="3"/>
  <c r="F1755" i="3" s="1"/>
  <c r="E337" i="3"/>
  <c r="F337" i="3" s="1"/>
  <c r="E2699" i="3"/>
  <c r="F2699" i="3" s="1"/>
  <c r="E1063" i="3"/>
  <c r="F1063" i="3" s="1"/>
  <c r="E1245" i="3"/>
  <c r="F1245" i="3" s="1"/>
  <c r="E3213" i="3"/>
  <c r="F3213" i="3" s="1"/>
  <c r="E2883" i="3"/>
  <c r="F2883" i="3" s="1"/>
  <c r="E2023" i="3"/>
  <c r="F2023" i="3" s="1"/>
  <c r="E1881" i="3"/>
  <c r="F1881" i="3" s="1"/>
  <c r="E2365" i="3"/>
  <c r="F2365" i="3" s="1"/>
  <c r="E2529" i="3"/>
  <c r="F2529" i="3" s="1"/>
  <c r="E2708" i="3"/>
  <c r="F2708" i="3" s="1"/>
  <c r="E1073" i="3"/>
  <c r="F1073" i="3" s="1"/>
  <c r="E538" i="3"/>
  <c r="F538" i="3" s="1"/>
  <c r="E345" i="3"/>
  <c r="F345" i="3" s="1"/>
  <c r="E1763" i="3"/>
  <c r="F1763" i="3" s="1"/>
  <c r="E1254" i="3"/>
  <c r="F1254" i="3" s="1"/>
  <c r="E2716" i="3"/>
  <c r="F2716" i="3" s="1"/>
  <c r="E3222" i="3"/>
  <c r="F3222" i="3" s="1"/>
  <c r="E3052" i="3"/>
  <c r="F3052" i="3" s="1"/>
  <c r="E2032" i="3"/>
  <c r="F2032" i="3" s="1"/>
  <c r="E2539" i="3"/>
  <c r="F2539" i="3" s="1"/>
  <c r="E2370" i="3"/>
  <c r="F2370" i="3" s="1"/>
  <c r="E2219" i="3"/>
  <c r="F2219" i="3" s="1"/>
  <c r="E1885" i="3"/>
  <c r="F1885" i="3" s="1"/>
  <c r="E1771" i="3"/>
  <c r="F1771" i="3" s="1"/>
  <c r="E2891" i="3"/>
  <c r="F2891" i="3" s="1"/>
  <c r="E1589" i="3"/>
  <c r="F1589" i="3" s="1"/>
  <c r="E1263" i="3"/>
  <c r="F1263" i="3" s="1"/>
  <c r="E669" i="3"/>
  <c r="F669" i="3" s="1"/>
  <c r="E2897" i="3"/>
  <c r="F2897" i="3" s="1"/>
  <c r="E3230" i="3"/>
  <c r="F3230" i="3" s="1"/>
  <c r="E2228" i="3"/>
  <c r="F2228" i="3" s="1"/>
  <c r="E1780" i="3"/>
  <c r="F1780" i="3" s="1"/>
  <c r="E1889" i="3"/>
  <c r="F1889" i="3" s="1"/>
  <c r="E1599" i="3"/>
  <c r="F1599" i="3" s="1"/>
  <c r="E3058" i="3"/>
  <c r="F3058" i="3" s="1"/>
  <c r="E2722" i="3"/>
  <c r="F2722" i="3" s="1"/>
  <c r="E2549" i="3"/>
  <c r="F2549" i="3" s="1"/>
  <c r="E2042" i="3"/>
  <c r="F2042" i="3" s="1"/>
  <c r="E820" i="3"/>
  <c r="F820" i="3" s="1"/>
  <c r="E3237" i="3"/>
  <c r="F3237" i="3" s="1"/>
  <c r="E1607" i="3"/>
  <c r="F1607" i="3" s="1"/>
  <c r="E2905" i="3"/>
  <c r="F2905" i="3" s="1"/>
  <c r="E2729" i="3"/>
  <c r="F2729" i="3" s="1"/>
  <c r="E2559" i="3"/>
  <c r="F2559" i="3" s="1"/>
  <c r="E361" i="3"/>
  <c r="F361" i="3" s="1"/>
  <c r="E2051" i="3"/>
  <c r="F2051" i="3" s="1"/>
  <c r="E1786" i="3"/>
  <c r="F1786" i="3" s="1"/>
  <c r="E3244" i="3"/>
  <c r="F3244" i="3" s="1"/>
  <c r="E2059" i="3"/>
  <c r="F2059" i="3" s="1"/>
  <c r="E1442" i="3"/>
  <c r="F1442" i="3" s="1"/>
  <c r="E2566" i="3"/>
  <c r="F2566" i="3" s="1"/>
  <c r="E1793" i="3"/>
  <c r="F1793" i="3" s="1"/>
  <c r="E3072" i="3"/>
  <c r="F3072" i="3" s="1"/>
  <c r="E2736" i="3"/>
  <c r="F2736" i="3" s="1"/>
  <c r="E1902" i="3"/>
  <c r="F1902" i="3" s="1"/>
  <c r="E1614" i="3"/>
  <c r="F1614" i="3" s="1"/>
  <c r="E2243" i="3"/>
  <c r="F2243" i="3" s="1"/>
  <c r="E1109" i="3"/>
  <c r="F1109" i="3" s="1"/>
  <c r="E3251" i="3"/>
  <c r="F3251" i="3" s="1"/>
  <c r="E3079" i="3"/>
  <c r="F3079" i="3" s="1"/>
  <c r="E2743" i="3"/>
  <c r="F2743" i="3" s="1"/>
  <c r="E2919" i="3"/>
  <c r="F2919" i="3" s="1"/>
  <c r="E2250" i="3"/>
  <c r="F2250" i="3" s="1"/>
  <c r="E2067" i="3"/>
  <c r="F2067" i="3" s="1"/>
  <c r="E1448" i="3"/>
  <c r="F1448" i="3" s="1"/>
  <c r="E843" i="3"/>
  <c r="F843" i="3" s="1"/>
  <c r="E2573" i="3"/>
  <c r="F2573" i="3" s="1"/>
  <c r="E3089" i="3"/>
  <c r="F3089" i="3" s="1"/>
  <c r="E2078" i="3"/>
  <c r="F2078" i="3" s="1"/>
  <c r="E2753" i="3"/>
  <c r="F2753" i="3" s="1"/>
  <c r="E2260" i="3"/>
  <c r="F2260" i="3" s="1"/>
  <c r="E2584" i="3"/>
  <c r="F2584" i="3" s="1"/>
  <c r="E1912" i="3"/>
  <c r="F1912" i="3" s="1"/>
  <c r="E1457" i="3"/>
  <c r="F1457" i="3" s="1"/>
  <c r="E1811" i="3"/>
  <c r="F1811" i="3" s="1"/>
  <c r="E610" i="3"/>
  <c r="F610" i="3" s="1"/>
  <c r="E2927" i="3"/>
  <c r="F2927" i="3" s="1"/>
  <c r="E2403" i="3"/>
  <c r="F2403" i="3" s="1"/>
  <c r="E1126" i="3"/>
  <c r="F1126" i="3" s="1"/>
  <c r="E568" i="3"/>
  <c r="F568" i="3" s="1"/>
  <c r="E2766" i="3"/>
  <c r="F2766" i="3" s="1"/>
  <c r="E3275" i="3"/>
  <c r="F3275" i="3" s="1"/>
  <c r="E2274" i="3"/>
  <c r="F2274" i="3" s="1"/>
  <c r="E3101" i="3"/>
  <c r="F3101" i="3" s="1"/>
  <c r="E1824" i="3"/>
  <c r="F1824" i="3" s="1"/>
  <c r="E2093" i="3"/>
  <c r="F2093" i="3" s="1"/>
  <c r="E1141" i="3"/>
  <c r="F1141" i="3" s="1"/>
  <c r="E1642" i="3"/>
  <c r="F1642" i="3" s="1"/>
  <c r="E3281" i="3"/>
  <c r="F3281" i="3" s="1"/>
  <c r="E3107" i="3"/>
  <c r="F3107" i="3" s="1"/>
  <c r="E2773" i="3"/>
  <c r="F2773" i="3" s="1"/>
  <c r="E2605" i="3"/>
  <c r="F2605" i="3" s="1"/>
  <c r="E1917" i="3"/>
  <c r="F1917" i="3" s="1"/>
  <c r="E2415" i="3"/>
  <c r="F2415" i="3" s="1"/>
  <c r="E1830" i="3"/>
  <c r="F1830" i="3" s="1"/>
  <c r="E2281" i="3"/>
  <c r="F2281" i="3" s="1"/>
  <c r="E1472" i="3"/>
  <c r="F1472" i="3" s="1"/>
  <c r="E1315" i="3"/>
  <c r="F1315" i="3" s="1"/>
  <c r="E396" i="3"/>
  <c r="F396" i="3" s="1"/>
  <c r="E2945" i="3"/>
  <c r="F2945" i="3" s="1"/>
  <c r="E697" i="3"/>
  <c r="F697" i="3" s="1"/>
  <c r="E2101" i="3"/>
  <c r="F2101" i="3" s="1"/>
  <c r="E966" i="3"/>
  <c r="F966" i="3" s="1"/>
  <c r="E614" i="3"/>
  <c r="F614" i="3" s="1"/>
  <c r="E3116" i="3"/>
  <c r="F3116" i="3" s="1"/>
  <c r="E3289" i="3"/>
  <c r="F3289" i="3" s="1"/>
  <c r="E1479" i="3"/>
  <c r="F1479" i="3" s="1"/>
  <c r="E2420" i="3"/>
  <c r="F2420" i="3" s="1"/>
  <c r="E2109" i="3"/>
  <c r="F2109" i="3" s="1"/>
  <c r="E2781" i="3"/>
  <c r="F2781" i="3" s="1"/>
  <c r="E1656" i="3"/>
  <c r="F1656" i="3" s="1"/>
  <c r="E2953" i="3"/>
  <c r="F2953" i="3" s="1"/>
  <c r="E1838" i="3"/>
  <c r="F1838" i="3" s="1"/>
  <c r="E2289" i="3"/>
  <c r="F2289" i="3" s="1"/>
  <c r="E262" i="3"/>
  <c r="F262" i="3" s="1"/>
  <c r="E266" i="3"/>
  <c r="F266" i="3" s="1"/>
  <c r="E270" i="3"/>
  <c r="F270" i="3" s="1"/>
  <c r="E286" i="3"/>
  <c r="F286" i="3" s="1"/>
  <c r="E336" i="3"/>
  <c r="F336" i="3" s="1"/>
  <c r="E366" i="3"/>
  <c r="F366" i="3" s="1"/>
  <c r="E438" i="3"/>
  <c r="F438" i="3" s="1"/>
  <c r="E481" i="3"/>
  <c r="F481" i="3" s="1"/>
  <c r="E499" i="3"/>
  <c r="F499" i="3" s="1"/>
  <c r="E526" i="3"/>
  <c r="F526" i="3" s="1"/>
  <c r="E543" i="3"/>
  <c r="F543" i="3" s="1"/>
  <c r="E622" i="3"/>
  <c r="F622" i="3" s="1"/>
  <c r="E640" i="3"/>
  <c r="F640" i="3" s="1"/>
  <c r="E648" i="3"/>
  <c r="F648" i="3" s="1"/>
  <c r="E673" i="3"/>
  <c r="F673" i="3" s="1"/>
  <c r="E746" i="3"/>
  <c r="F746" i="3" s="1"/>
  <c r="E755" i="3"/>
  <c r="F755" i="3" s="1"/>
  <c r="E773" i="3"/>
  <c r="F773" i="3" s="1"/>
  <c r="E782" i="3"/>
  <c r="F782" i="3" s="1"/>
  <c r="E799" i="3"/>
  <c r="F799" i="3" s="1"/>
  <c r="E936" i="3"/>
  <c r="F936" i="3" s="1"/>
  <c r="E1020" i="3"/>
  <c r="F1020" i="3" s="1"/>
  <c r="E1184" i="3"/>
  <c r="F1184" i="3" s="1"/>
  <c r="E1192" i="3"/>
  <c r="F1192" i="3" s="1"/>
  <c r="E1243" i="3"/>
  <c r="F1243" i="3" s="1"/>
  <c r="E1261" i="3"/>
  <c r="F1261" i="3" s="1"/>
  <c r="E1366" i="3"/>
  <c r="F1366" i="3" s="1"/>
  <c r="E1503" i="3"/>
  <c r="F1503" i="3" s="1"/>
  <c r="E1791" i="3"/>
  <c r="F1791" i="3" s="1"/>
  <c r="E2083" i="3"/>
  <c r="F2083" i="3" s="1"/>
  <c r="E2099" i="3"/>
  <c r="F2099" i="3" s="1"/>
  <c r="E2226" i="3"/>
  <c r="F2226" i="3" s="1"/>
  <c r="E2492" i="3"/>
  <c r="F2492" i="3" s="1"/>
  <c r="E2547" i="3"/>
  <c r="F2547" i="3" s="1"/>
  <c r="E2839" i="3"/>
  <c r="F2839" i="3" s="1"/>
  <c r="E3064" i="3"/>
  <c r="F3064" i="3" s="1"/>
  <c r="E3105" i="3"/>
  <c r="F3105" i="3" s="1"/>
  <c r="B1421" i="4"/>
  <c r="D1421" i="4" s="1"/>
  <c r="B13" i="12"/>
  <c r="B5" i="9"/>
  <c r="J5" i="9"/>
  <c r="J69" i="12" s="1"/>
  <c r="J13" i="12"/>
  <c r="R13" i="12"/>
  <c r="R5" i="9"/>
  <c r="R69" i="12" s="1"/>
  <c r="Z13" i="12"/>
  <c r="Z5" i="9"/>
  <c r="Z69" i="12" s="1"/>
  <c r="AH13" i="12"/>
  <c r="AH5" i="9"/>
  <c r="AH69" i="12" s="1"/>
  <c r="H14" i="12"/>
  <c r="H6" i="9"/>
  <c r="H70" i="12" s="1"/>
  <c r="P14" i="12"/>
  <c r="P6" i="9"/>
  <c r="P70" i="12" s="1"/>
  <c r="X14" i="12"/>
  <c r="X6" i="9"/>
  <c r="X70" i="12" s="1"/>
  <c r="AF14" i="12"/>
  <c r="AF6" i="9"/>
  <c r="AF70" i="12" s="1"/>
  <c r="F7" i="9"/>
  <c r="F71" i="12" s="1"/>
  <c r="F15" i="12"/>
  <c r="N15" i="12"/>
  <c r="N7" i="9"/>
  <c r="N71" i="12" s="1"/>
  <c r="V15" i="12"/>
  <c r="V7" i="9"/>
  <c r="V71" i="12" s="1"/>
  <c r="AD15" i="12"/>
  <c r="AD7" i="9"/>
  <c r="AD71" i="12" s="1"/>
  <c r="D16" i="12"/>
  <c r="D8" i="9"/>
  <c r="D72" i="12" s="1"/>
  <c r="L16" i="12"/>
  <c r="L8" i="9"/>
  <c r="L72" i="12" s="1"/>
  <c r="T16" i="12"/>
  <c r="T8" i="9"/>
  <c r="T72" i="12" s="1"/>
  <c r="AB16" i="12"/>
  <c r="AB8" i="9"/>
  <c r="AB72" i="12" s="1"/>
  <c r="B17" i="12"/>
  <c r="B9" i="9"/>
  <c r="B73" i="12" s="1"/>
  <c r="J17" i="12"/>
  <c r="J9" i="9"/>
  <c r="J73" i="12" s="1"/>
  <c r="R17" i="12"/>
  <c r="R9" i="9"/>
  <c r="R73" i="12" s="1"/>
  <c r="Z17" i="12"/>
  <c r="Z9" i="9"/>
  <c r="Z73" i="12" s="1"/>
  <c r="AH17" i="12"/>
  <c r="AH9" i="9"/>
  <c r="AH73" i="12" s="1"/>
  <c r="H18" i="12"/>
  <c r="H10" i="9"/>
  <c r="H74" i="12" s="1"/>
  <c r="P18" i="12"/>
  <c r="P10" i="9"/>
  <c r="P74" i="12" s="1"/>
  <c r="X18" i="12"/>
  <c r="X10" i="9"/>
  <c r="X74" i="12" s="1"/>
  <c r="AF18" i="12"/>
  <c r="AF10" i="9"/>
  <c r="AF74" i="12" s="1"/>
  <c r="F19" i="12"/>
  <c r="F11" i="9"/>
  <c r="F75" i="12" s="1"/>
  <c r="N19" i="12"/>
  <c r="N11" i="9"/>
  <c r="N75" i="12" s="1"/>
  <c r="V19" i="12"/>
  <c r="V11" i="9"/>
  <c r="V75" i="12" s="1"/>
  <c r="AD19" i="12"/>
  <c r="AD11" i="9"/>
  <c r="AD75" i="12" s="1"/>
  <c r="D20" i="12"/>
  <c r="D12" i="9"/>
  <c r="D76" i="12" s="1"/>
  <c r="L20" i="12"/>
  <c r="L12" i="9"/>
  <c r="L76" i="12" s="1"/>
  <c r="T20" i="12"/>
  <c r="T12" i="9"/>
  <c r="T76" i="12" s="1"/>
  <c r="AB20" i="12"/>
  <c r="AB12" i="9"/>
  <c r="AB76" i="12" s="1"/>
  <c r="B21" i="12"/>
  <c r="B13" i="9"/>
  <c r="B77" i="12" s="1"/>
  <c r="J21" i="12"/>
  <c r="J13" i="9"/>
  <c r="J77" i="12" s="1"/>
  <c r="R21" i="12"/>
  <c r="R13" i="9"/>
  <c r="R77" i="12" s="1"/>
  <c r="Z21" i="12"/>
  <c r="Z13" i="9"/>
  <c r="Z77" i="12" s="1"/>
  <c r="AH21" i="12"/>
  <c r="AH13" i="9"/>
  <c r="AH77" i="12" s="1"/>
  <c r="H22" i="12"/>
  <c r="H14" i="9"/>
  <c r="H78" i="12" s="1"/>
  <c r="P22" i="12"/>
  <c r="P14" i="9"/>
  <c r="P78" i="12" s="1"/>
  <c r="X22" i="12"/>
  <c r="X14" i="9"/>
  <c r="X78" i="12" s="1"/>
  <c r="AF22" i="12"/>
  <c r="AF14" i="9"/>
  <c r="AF78" i="12" s="1"/>
  <c r="F23" i="12"/>
  <c r="F15" i="9"/>
  <c r="F79" i="12" s="1"/>
  <c r="N23" i="12"/>
  <c r="N15" i="9"/>
  <c r="N79" i="12" s="1"/>
  <c r="V23" i="12"/>
  <c r="V15" i="9"/>
  <c r="V79" i="12" s="1"/>
  <c r="AD23" i="12"/>
  <c r="AD15" i="9"/>
  <c r="AD79" i="12" s="1"/>
  <c r="D24" i="12"/>
  <c r="D16" i="9"/>
  <c r="D80" i="12" s="1"/>
  <c r="L24" i="12"/>
  <c r="L16" i="9"/>
  <c r="L80" i="12" s="1"/>
  <c r="T24" i="12"/>
  <c r="T16" i="9"/>
  <c r="T80" i="12" s="1"/>
  <c r="AB24" i="12"/>
  <c r="AB16" i="9"/>
  <c r="AB80" i="12" s="1"/>
  <c r="B25" i="12"/>
  <c r="B17" i="9"/>
  <c r="B81" i="12" s="1"/>
  <c r="J25" i="12"/>
  <c r="J17" i="9"/>
  <c r="J81" i="12" s="1"/>
  <c r="R25" i="12"/>
  <c r="R17" i="9"/>
  <c r="R81" i="12" s="1"/>
  <c r="Z25" i="12"/>
  <c r="Z17" i="9"/>
  <c r="Z81" i="12" s="1"/>
  <c r="AH25" i="12"/>
  <c r="AH17" i="9"/>
  <c r="AH81" i="12" s="1"/>
  <c r="H26" i="12"/>
  <c r="H18" i="9"/>
  <c r="H82" i="12" s="1"/>
  <c r="P26" i="12"/>
  <c r="P18" i="9"/>
  <c r="P82" i="12" s="1"/>
  <c r="X26" i="12"/>
  <c r="X18" i="9"/>
  <c r="X82" i="12" s="1"/>
  <c r="AF26" i="12"/>
  <c r="AF18" i="9"/>
  <c r="AF82" i="12" s="1"/>
  <c r="F27" i="12"/>
  <c r="F19" i="9"/>
  <c r="F83" i="12" s="1"/>
  <c r="N27" i="12"/>
  <c r="N19" i="9"/>
  <c r="N83" i="12" s="1"/>
  <c r="V27" i="12"/>
  <c r="V19" i="9"/>
  <c r="V83" i="12" s="1"/>
  <c r="AD27" i="12"/>
  <c r="AD19" i="9"/>
  <c r="AD83" i="12" s="1"/>
  <c r="D28" i="12"/>
  <c r="D20" i="9"/>
  <c r="D84" i="12" s="1"/>
  <c r="L28" i="12"/>
  <c r="L20" i="9"/>
  <c r="L84" i="12" s="1"/>
  <c r="T28" i="12"/>
  <c r="T20" i="9"/>
  <c r="T84" i="12" s="1"/>
  <c r="AB28" i="12"/>
  <c r="AB20" i="9"/>
  <c r="AB84" i="12" s="1"/>
  <c r="B29" i="12"/>
  <c r="B21" i="9"/>
  <c r="B85" i="12" s="1"/>
  <c r="J29" i="12"/>
  <c r="J21" i="9"/>
  <c r="J85" i="12" s="1"/>
  <c r="R29" i="12"/>
  <c r="R21" i="9"/>
  <c r="R85" i="12" s="1"/>
  <c r="Z29" i="12"/>
  <c r="Z21" i="9"/>
  <c r="Z85" i="12" s="1"/>
  <c r="AH29" i="12"/>
  <c r="AH21" i="9"/>
  <c r="AH85" i="12" s="1"/>
  <c r="H30" i="12"/>
  <c r="H22" i="9"/>
  <c r="H86" i="12" s="1"/>
  <c r="B1414" i="4"/>
  <c r="D1414" i="4" s="1"/>
  <c r="C5" i="9"/>
  <c r="C69" i="12" s="1"/>
  <c r="C13" i="12"/>
  <c r="K13" i="12"/>
  <c r="K5" i="9"/>
  <c r="K69" i="12" s="1"/>
  <c r="S13" i="12"/>
  <c r="S5" i="9"/>
  <c r="S69" i="12" s="1"/>
  <c r="AA13" i="12"/>
  <c r="AA5" i="9"/>
  <c r="AA69" i="12" s="1"/>
  <c r="AI13" i="12"/>
  <c r="AI5" i="9"/>
  <c r="AI69" i="12" s="1"/>
  <c r="I14" i="12"/>
  <c r="I6" i="9"/>
  <c r="I70" i="12" s="1"/>
  <c r="Q6" i="9"/>
  <c r="Q70" i="12" s="1"/>
  <c r="Q14" i="12"/>
  <c r="Y14" i="12"/>
  <c r="Y6" i="9"/>
  <c r="Y70" i="12" s="1"/>
  <c r="AG14" i="12"/>
  <c r="AG6" i="9"/>
  <c r="AG70" i="12" s="1"/>
  <c r="G15" i="12"/>
  <c r="G7" i="9"/>
  <c r="G71" i="12" s="1"/>
  <c r="O15" i="12"/>
  <c r="O7" i="9"/>
  <c r="O71" i="12" s="1"/>
  <c r="W15" i="12"/>
  <c r="W7" i="9"/>
  <c r="W71" i="12" s="1"/>
  <c r="AE15" i="12"/>
  <c r="AE7" i="9"/>
  <c r="AE71" i="12" s="1"/>
  <c r="E16" i="12"/>
  <c r="E8" i="9"/>
  <c r="E72" i="12" s="1"/>
  <c r="M16" i="12"/>
  <c r="M8" i="9"/>
  <c r="M72" i="12" s="1"/>
  <c r="U16" i="12"/>
  <c r="U8" i="9"/>
  <c r="U72" i="12" s="1"/>
  <c r="AC16" i="12"/>
  <c r="AC8" i="9"/>
  <c r="AC72" i="12" s="1"/>
  <c r="C17" i="12"/>
  <c r="C9" i="9"/>
  <c r="C73" i="12" s="1"/>
  <c r="K17" i="12"/>
  <c r="K9" i="9"/>
  <c r="K73" i="12" s="1"/>
  <c r="S17" i="12"/>
  <c r="S9" i="9"/>
  <c r="S73" i="12" s="1"/>
  <c r="AA17" i="12"/>
  <c r="AA9" i="9"/>
  <c r="AA73" i="12" s="1"/>
  <c r="AI17" i="12"/>
  <c r="AI9" i="9"/>
  <c r="AI73" i="12" s="1"/>
  <c r="I18" i="12"/>
  <c r="I10" i="9"/>
  <c r="I74" i="12" s="1"/>
  <c r="Q18" i="12"/>
  <c r="Q10" i="9"/>
  <c r="Q74" i="12" s="1"/>
  <c r="Y18" i="12"/>
  <c r="Y10" i="9"/>
  <c r="Y74" i="12" s="1"/>
  <c r="AG18" i="12"/>
  <c r="AG10" i="9"/>
  <c r="AG74" i="12" s="1"/>
  <c r="G19" i="12"/>
  <c r="G11" i="9"/>
  <c r="G75" i="12" s="1"/>
  <c r="O19" i="12"/>
  <c r="O11" i="9"/>
  <c r="O75" i="12" s="1"/>
  <c r="W19" i="12"/>
  <c r="W11" i="9"/>
  <c r="W75" i="12" s="1"/>
  <c r="AE19" i="12"/>
  <c r="AE11" i="9"/>
  <c r="AE75" i="12" s="1"/>
  <c r="E20" i="12"/>
  <c r="E12" i="9"/>
  <c r="E76" i="12" s="1"/>
  <c r="M20" i="12"/>
  <c r="M12" i="9"/>
  <c r="M76" i="12" s="1"/>
  <c r="U20" i="12"/>
  <c r="U12" i="9"/>
  <c r="U76" i="12" s="1"/>
  <c r="AC20" i="12"/>
  <c r="AC12" i="9"/>
  <c r="AC76" i="12" s="1"/>
  <c r="C21" i="12"/>
  <c r="C13" i="9"/>
  <c r="C77" i="12" s="1"/>
  <c r="K21" i="12"/>
  <c r="K13" i="9"/>
  <c r="K77" i="12" s="1"/>
  <c r="S21" i="12"/>
  <c r="S13" i="9"/>
  <c r="S77" i="12" s="1"/>
  <c r="AA21" i="12"/>
  <c r="AA13" i="9"/>
  <c r="AA77" i="12" s="1"/>
  <c r="AI21" i="12"/>
  <c r="AI13" i="9"/>
  <c r="AI77" i="12" s="1"/>
  <c r="I22" i="12"/>
  <c r="I14" i="9"/>
  <c r="I78" i="12" s="1"/>
  <c r="Q22" i="12"/>
  <c r="Q14" i="9"/>
  <c r="Q78" i="12" s="1"/>
  <c r="Y22" i="12"/>
  <c r="Y14" i="9"/>
  <c r="Y78" i="12" s="1"/>
  <c r="AG22" i="12"/>
  <c r="AG14" i="9"/>
  <c r="AG78" i="12" s="1"/>
  <c r="G23" i="12"/>
  <c r="G15" i="9"/>
  <c r="G79" i="12" s="1"/>
  <c r="O23" i="12"/>
  <c r="O15" i="9"/>
  <c r="O79" i="12" s="1"/>
  <c r="W23" i="12"/>
  <c r="W15" i="9"/>
  <c r="W79" i="12" s="1"/>
  <c r="AE23" i="12"/>
  <c r="AE15" i="9"/>
  <c r="AE79" i="12" s="1"/>
  <c r="E24" i="12"/>
  <c r="E16" i="9"/>
  <c r="E80" i="12" s="1"/>
  <c r="M24" i="12"/>
  <c r="M16" i="9"/>
  <c r="M80" i="12" s="1"/>
  <c r="U24" i="12"/>
  <c r="U16" i="9"/>
  <c r="U80" i="12" s="1"/>
  <c r="AC24" i="12"/>
  <c r="AC16" i="9"/>
  <c r="AC80" i="12" s="1"/>
  <c r="C25" i="12"/>
  <c r="C17" i="9"/>
  <c r="C81" i="12" s="1"/>
  <c r="K25" i="12"/>
  <c r="K17" i="9"/>
  <c r="K81" i="12" s="1"/>
  <c r="S25" i="12"/>
  <c r="S17" i="9"/>
  <c r="S81" i="12" s="1"/>
  <c r="AA25" i="12"/>
  <c r="AA17" i="9"/>
  <c r="AA81" i="12" s="1"/>
  <c r="AI25" i="12"/>
  <c r="AI17" i="9"/>
  <c r="AI81" i="12" s="1"/>
  <c r="I26" i="12"/>
  <c r="I18" i="9"/>
  <c r="I82" i="12" s="1"/>
  <c r="Q26" i="12"/>
  <c r="Q18" i="9"/>
  <c r="Q82" i="12" s="1"/>
  <c r="Y26" i="12"/>
  <c r="Y18" i="9"/>
  <c r="Y82" i="12" s="1"/>
  <c r="AG26" i="12"/>
  <c r="AG18" i="9"/>
  <c r="AG82" i="12" s="1"/>
  <c r="G27" i="12"/>
  <c r="G19" i="9"/>
  <c r="G83" i="12" s="1"/>
  <c r="O27" i="12"/>
  <c r="O19" i="9"/>
  <c r="O83" i="12" s="1"/>
  <c r="W27" i="12"/>
  <c r="W19" i="9"/>
  <c r="W83" i="12" s="1"/>
  <c r="AE27" i="12"/>
  <c r="AE19" i="9"/>
  <c r="AE83" i="12" s="1"/>
  <c r="E28" i="12"/>
  <c r="E20" i="9"/>
  <c r="E84" i="12" s="1"/>
  <c r="M28" i="12"/>
  <c r="M20" i="9"/>
  <c r="M84" i="12" s="1"/>
  <c r="U28" i="12"/>
  <c r="U20" i="9"/>
  <c r="U84" i="12" s="1"/>
  <c r="AC28" i="12"/>
  <c r="AC20" i="9"/>
  <c r="AC84" i="12" s="1"/>
  <c r="C29" i="12"/>
  <c r="C21" i="9"/>
  <c r="C85" i="12" s="1"/>
  <c r="K29" i="12"/>
  <c r="K21" i="9"/>
  <c r="K85" i="12" s="1"/>
  <c r="S29" i="12"/>
  <c r="S21" i="9"/>
  <c r="S85" i="12" s="1"/>
  <c r="AA29" i="12"/>
  <c r="AA21" i="9"/>
  <c r="AA85" i="12" s="1"/>
  <c r="AI29" i="12"/>
  <c r="AI21" i="9"/>
  <c r="AI85" i="12" s="1"/>
  <c r="I30" i="12"/>
  <c r="I22" i="9"/>
  <c r="I86" i="12" s="1"/>
  <c r="Q30" i="12"/>
  <c r="Q22" i="9"/>
  <c r="Q86" i="12" s="1"/>
  <c r="Y30" i="12"/>
  <c r="Y22" i="9"/>
  <c r="Y86" i="12" s="1"/>
  <c r="AG30" i="12"/>
  <c r="AG22" i="9"/>
  <c r="AG86" i="12" s="1"/>
  <c r="G31" i="12"/>
  <c r="G23" i="9"/>
  <c r="G87" i="12" s="1"/>
  <c r="O31" i="12"/>
  <c r="O23" i="9"/>
  <c r="O87" i="12" s="1"/>
  <c r="W31" i="12"/>
  <c r="W23" i="9"/>
  <c r="W87" i="12" s="1"/>
  <c r="B1415" i="4"/>
  <c r="D1415" i="4" s="1"/>
  <c r="B1422" i="4"/>
  <c r="B1417" i="4"/>
  <c r="D1417" i="4" s="1"/>
  <c r="B1418" i="4"/>
  <c r="D1418" i="4" s="1"/>
  <c r="I5" i="9"/>
  <c r="I69" i="12" s="1"/>
  <c r="I13" i="12"/>
  <c r="Q5" i="9"/>
  <c r="Q69" i="12" s="1"/>
  <c r="Q13" i="12"/>
  <c r="Y5" i="9"/>
  <c r="Y69" i="12" s="1"/>
  <c r="Y13" i="12"/>
  <c r="AG13" i="12"/>
  <c r="AG5" i="9"/>
  <c r="AG69" i="12" s="1"/>
  <c r="G14" i="12"/>
  <c r="G6" i="9"/>
  <c r="G70" i="12" s="1"/>
  <c r="O6" i="9"/>
  <c r="O70" i="12" s="1"/>
  <c r="O14" i="12"/>
  <c r="W14" i="12"/>
  <c r="W6" i="9"/>
  <c r="W70" i="12" s="1"/>
  <c r="AE14" i="12"/>
  <c r="AE6" i="9"/>
  <c r="AE70" i="12" s="1"/>
  <c r="E7" i="9"/>
  <c r="E71" i="12" s="1"/>
  <c r="E15" i="12"/>
  <c r="M7" i="9"/>
  <c r="M71" i="12" s="1"/>
  <c r="M15" i="12"/>
  <c r="U7" i="9"/>
  <c r="U71" i="12" s="1"/>
  <c r="U15" i="12"/>
  <c r="AC7" i="9"/>
  <c r="AC71" i="12" s="1"/>
  <c r="AC15" i="12"/>
  <c r="C16" i="12"/>
  <c r="C8" i="9"/>
  <c r="C72" i="12" s="1"/>
  <c r="K16" i="12"/>
  <c r="K8" i="9"/>
  <c r="K72" i="12" s="1"/>
  <c r="W30" i="12"/>
  <c r="W22" i="9"/>
  <c r="W86" i="12" s="1"/>
  <c r="AE30" i="12"/>
  <c r="AE22" i="9"/>
  <c r="AE86" i="12" s="1"/>
  <c r="U31" i="12"/>
  <c r="U23" i="9"/>
  <c r="U87" i="12" s="1"/>
  <c r="AC31" i="12"/>
  <c r="AC23" i="9"/>
  <c r="AC87" i="12" s="1"/>
  <c r="S32" i="12"/>
  <c r="S24" i="9"/>
  <c r="S88" i="12" s="1"/>
  <c r="AA32" i="12"/>
  <c r="AA24" i="9"/>
  <c r="AA88" i="12" s="1"/>
  <c r="Q33" i="12"/>
  <c r="Q25" i="9"/>
  <c r="Q89" i="12" s="1"/>
  <c r="Y33" i="12"/>
  <c r="Y25" i="9"/>
  <c r="Y89" i="12" s="1"/>
  <c r="O34" i="12"/>
  <c r="O26" i="9"/>
  <c r="O90" i="12" s="1"/>
  <c r="W34" i="12"/>
  <c r="W26" i="9"/>
  <c r="W90" i="12" s="1"/>
  <c r="M35" i="12"/>
  <c r="M27" i="9"/>
  <c r="M91" i="12" s="1"/>
  <c r="U35" i="12"/>
  <c r="U27" i="9"/>
  <c r="U91" i="12" s="1"/>
  <c r="K36" i="12"/>
  <c r="K28" i="9"/>
  <c r="K92" i="12" s="1"/>
  <c r="S36" i="12"/>
  <c r="S28" i="9"/>
  <c r="S92" i="12" s="1"/>
  <c r="I37" i="12"/>
  <c r="I29" i="9"/>
  <c r="I93" i="12" s="1"/>
  <c r="Q37" i="12"/>
  <c r="Q29" i="9"/>
  <c r="Q93" i="12" s="1"/>
  <c r="G38" i="12"/>
  <c r="G30" i="9"/>
  <c r="G94" i="12" s="1"/>
  <c r="O38" i="12"/>
  <c r="O30" i="9"/>
  <c r="O94" i="12" s="1"/>
  <c r="E39" i="12"/>
  <c r="E31" i="9"/>
  <c r="E95" i="12" s="1"/>
  <c r="M39" i="12"/>
  <c r="M31" i="9"/>
  <c r="M95" i="12" s="1"/>
  <c r="C40" i="12"/>
  <c r="C32" i="9"/>
  <c r="C96" i="12" s="1"/>
  <c r="K40" i="12"/>
  <c r="K32" i="9"/>
  <c r="K96" i="12" s="1"/>
  <c r="AI40" i="12"/>
  <c r="AI32" i="9"/>
  <c r="AI96" i="12" s="1"/>
  <c r="I41" i="12"/>
  <c r="I33" i="9"/>
  <c r="I97" i="12" s="1"/>
  <c r="AG41" i="12"/>
  <c r="AG33" i="9"/>
  <c r="AG97" i="12" s="1"/>
  <c r="G42" i="12"/>
  <c r="G34" i="9"/>
  <c r="G98" i="12" s="1"/>
  <c r="AE42" i="12"/>
  <c r="AE34" i="9"/>
  <c r="AE98" i="12" s="1"/>
  <c r="E43" i="12"/>
  <c r="E35" i="9"/>
  <c r="E99" i="12" s="1"/>
  <c r="AC43" i="12"/>
  <c r="AC35" i="9"/>
  <c r="AC99" i="12" s="1"/>
  <c r="C44" i="12"/>
  <c r="C36" i="9"/>
  <c r="C100" i="12" s="1"/>
  <c r="AA44" i="12"/>
  <c r="AA36" i="9"/>
  <c r="AA100" i="12" s="1"/>
  <c r="AI44" i="12"/>
  <c r="AI36" i="9"/>
  <c r="AI100" i="12" s="1"/>
  <c r="Y45" i="12"/>
  <c r="Y37" i="9"/>
  <c r="Y101" i="12" s="1"/>
  <c r="AG45" i="12"/>
  <c r="AG37" i="9"/>
  <c r="AG101" i="12" s="1"/>
  <c r="W46" i="12"/>
  <c r="W38" i="9"/>
  <c r="W102" i="12" s="1"/>
  <c r="AE46" i="12"/>
  <c r="AE38" i="9"/>
  <c r="AE102" i="12" s="1"/>
  <c r="U47" i="12"/>
  <c r="U39" i="9"/>
  <c r="U103" i="12" s="1"/>
  <c r="AC47" i="12"/>
  <c r="AC39" i="9"/>
  <c r="AC103" i="12" s="1"/>
  <c r="S48" i="12"/>
  <c r="S40" i="9"/>
  <c r="S104" i="12" s="1"/>
  <c r="AA48" i="12"/>
  <c r="AA40" i="9"/>
  <c r="AA104" i="12" s="1"/>
  <c r="Q49" i="12"/>
  <c r="Q41" i="9"/>
  <c r="Q105" i="12" s="1"/>
  <c r="Y49" i="12"/>
  <c r="Y41" i="9"/>
  <c r="Y105" i="12" s="1"/>
  <c r="O50" i="12"/>
  <c r="O42" i="9"/>
  <c r="O106" i="12" s="1"/>
  <c r="W50" i="12"/>
  <c r="W42" i="9"/>
  <c r="W106" i="12" s="1"/>
  <c r="M51" i="12"/>
  <c r="M43" i="9"/>
  <c r="M107" i="12" s="1"/>
  <c r="U51" i="12"/>
  <c r="U43" i="9"/>
  <c r="U107" i="12" s="1"/>
  <c r="C52" i="12"/>
  <c r="C44" i="9"/>
  <c r="C108" i="12" s="1"/>
  <c r="K52" i="12"/>
  <c r="K44" i="9"/>
  <c r="K108" i="12" s="1"/>
  <c r="AA52" i="12"/>
  <c r="AA44" i="9"/>
  <c r="AA108" i="12" s="1"/>
  <c r="Q53" i="12"/>
  <c r="Q45" i="9"/>
  <c r="Q109" i="12" s="1"/>
  <c r="AG53" i="12"/>
  <c r="AG45" i="9"/>
  <c r="AG109" i="12" s="1"/>
  <c r="G54" i="12"/>
  <c r="G46" i="9"/>
  <c r="G110" i="12" s="1"/>
  <c r="W54" i="12"/>
  <c r="W46" i="9"/>
  <c r="W110" i="12" s="1"/>
  <c r="M55" i="12"/>
  <c r="M47" i="9"/>
  <c r="M111" i="12" s="1"/>
  <c r="AC55" i="12"/>
  <c r="AC47" i="9"/>
  <c r="AC111" i="12" s="1"/>
  <c r="C56" i="12"/>
  <c r="C48" i="9"/>
  <c r="C112" i="12" s="1"/>
  <c r="S56" i="12"/>
  <c r="S48" i="9"/>
  <c r="S112" i="12" s="1"/>
  <c r="I57" i="12"/>
  <c r="I49" i="9"/>
  <c r="I113" i="12" s="1"/>
  <c r="Y57" i="12"/>
  <c r="Y49" i="9"/>
  <c r="Y113" i="12" s="1"/>
  <c r="AG57" i="12"/>
  <c r="AG49" i="9"/>
  <c r="AG113" i="12" s="1"/>
  <c r="O58" i="12"/>
  <c r="O50" i="9"/>
  <c r="O114" i="12" s="1"/>
  <c r="E59" i="12"/>
  <c r="E51" i="9"/>
  <c r="E115" i="12" s="1"/>
  <c r="U59" i="12"/>
  <c r="U51" i="9"/>
  <c r="U115" i="12" s="1"/>
  <c r="AC59" i="12"/>
  <c r="AC51" i="9"/>
  <c r="AC115" i="12" s="1"/>
  <c r="K60" i="12"/>
  <c r="K52" i="9"/>
  <c r="K116" i="12" s="1"/>
  <c r="Q61" i="12"/>
  <c r="Q53" i="9"/>
  <c r="Q117" i="12" s="1"/>
  <c r="Y61" i="12"/>
  <c r="Y53" i="9"/>
  <c r="Y117" i="12" s="1"/>
  <c r="G62" i="12"/>
  <c r="G54" i="9"/>
  <c r="G118" i="12" s="1"/>
  <c r="M63" i="12"/>
  <c r="M55" i="9"/>
  <c r="M119" i="12" s="1"/>
  <c r="U63" i="12"/>
  <c r="U55" i="9"/>
  <c r="U119" i="12" s="1"/>
  <c r="C64" i="12"/>
  <c r="C56" i="9"/>
  <c r="C120" i="12" s="1"/>
  <c r="P30" i="12"/>
  <c r="P22" i="9"/>
  <c r="P86" i="12" s="1"/>
  <c r="X30" i="12"/>
  <c r="X22" i="9"/>
  <c r="X86" i="12" s="1"/>
  <c r="AF30" i="12"/>
  <c r="AF22" i="9"/>
  <c r="AF86" i="12" s="1"/>
  <c r="F31" i="12"/>
  <c r="F23" i="9"/>
  <c r="F87" i="12" s="1"/>
  <c r="N31" i="12"/>
  <c r="N23" i="9"/>
  <c r="N87" i="12" s="1"/>
  <c r="V31" i="12"/>
  <c r="V23" i="9"/>
  <c r="V87" i="12" s="1"/>
  <c r="AD31" i="12"/>
  <c r="AD23" i="9"/>
  <c r="AD87" i="12" s="1"/>
  <c r="D32" i="12"/>
  <c r="D24" i="9"/>
  <c r="D88" i="12" s="1"/>
  <c r="L32" i="12"/>
  <c r="L24" i="9"/>
  <c r="L88" i="12" s="1"/>
  <c r="T32" i="12"/>
  <c r="T24" i="9"/>
  <c r="T88" i="12" s="1"/>
  <c r="AB32" i="12"/>
  <c r="AB24" i="9"/>
  <c r="AB88" i="12" s="1"/>
  <c r="B33" i="12"/>
  <c r="B25" i="9"/>
  <c r="B89" i="12" s="1"/>
  <c r="J33" i="12"/>
  <c r="J25" i="9"/>
  <c r="J89" i="12" s="1"/>
  <c r="R33" i="12"/>
  <c r="R25" i="9"/>
  <c r="R89" i="12" s="1"/>
  <c r="Z33" i="12"/>
  <c r="Z25" i="9"/>
  <c r="Z89" i="12" s="1"/>
  <c r="AH33" i="12"/>
  <c r="AH25" i="9"/>
  <c r="AH89" i="12" s="1"/>
  <c r="H34" i="12"/>
  <c r="H26" i="9"/>
  <c r="H90" i="12" s="1"/>
  <c r="P34" i="12"/>
  <c r="P26" i="9"/>
  <c r="P90" i="12" s="1"/>
  <c r="X34" i="12"/>
  <c r="X26" i="9"/>
  <c r="X90" i="12" s="1"/>
  <c r="AF34" i="12"/>
  <c r="AF26" i="9"/>
  <c r="AF90" i="12" s="1"/>
  <c r="F35" i="12"/>
  <c r="F27" i="9"/>
  <c r="F91" i="12" s="1"/>
  <c r="N35" i="12"/>
  <c r="N27" i="9"/>
  <c r="N91" i="12" s="1"/>
  <c r="V35" i="12"/>
  <c r="V27" i="9"/>
  <c r="V91" i="12" s="1"/>
  <c r="T64" i="12"/>
  <c r="T56" i="9"/>
  <c r="T120" i="12" s="1"/>
  <c r="AE31" i="12"/>
  <c r="AE23" i="9"/>
  <c r="AE87" i="12" s="1"/>
  <c r="E32" i="12"/>
  <c r="E24" i="9"/>
  <c r="E88" i="12" s="1"/>
  <c r="M32" i="12"/>
  <c r="M24" i="9"/>
  <c r="M88" i="12" s="1"/>
  <c r="U32" i="12"/>
  <c r="U24" i="9"/>
  <c r="U88" i="12" s="1"/>
  <c r="AC32" i="12"/>
  <c r="AC24" i="9"/>
  <c r="AC88" i="12" s="1"/>
  <c r="C33" i="12"/>
  <c r="C25" i="9"/>
  <c r="C89" i="12" s="1"/>
  <c r="K33" i="12"/>
  <c r="K25" i="9"/>
  <c r="K89" i="12" s="1"/>
  <c r="S33" i="12"/>
  <c r="S25" i="9"/>
  <c r="S89" i="12" s="1"/>
  <c r="AA33" i="12"/>
  <c r="AA25" i="9"/>
  <c r="AA89" i="12" s="1"/>
  <c r="AI33" i="12"/>
  <c r="AI25" i="9"/>
  <c r="AI89" i="12" s="1"/>
  <c r="I34" i="12"/>
  <c r="I26" i="9"/>
  <c r="I90" i="12" s="1"/>
  <c r="Q34" i="12"/>
  <c r="Q26" i="9"/>
  <c r="Q90" i="12" s="1"/>
  <c r="Y34" i="12"/>
  <c r="Y26" i="9"/>
  <c r="Y90" i="12" s="1"/>
  <c r="AG34" i="12"/>
  <c r="AG26" i="9"/>
  <c r="AG90" i="12" s="1"/>
  <c r="G35" i="12"/>
  <c r="G27" i="9"/>
  <c r="G91" i="12" s="1"/>
  <c r="O35" i="12"/>
  <c r="O27" i="9"/>
  <c r="O91" i="12" s="1"/>
  <c r="W35" i="12"/>
  <c r="W27" i="9"/>
  <c r="W91" i="12" s="1"/>
  <c r="AE35" i="12"/>
  <c r="AE27" i="9"/>
  <c r="AE91" i="12" s="1"/>
  <c r="E36" i="12"/>
  <c r="E28" i="9"/>
  <c r="E92" i="12" s="1"/>
  <c r="M36" i="12"/>
  <c r="M28" i="9"/>
  <c r="M92" i="12" s="1"/>
  <c r="U36" i="12"/>
  <c r="U28" i="9"/>
  <c r="U92" i="12" s="1"/>
  <c r="AC36" i="12"/>
  <c r="AC28" i="9"/>
  <c r="AC92" i="12" s="1"/>
  <c r="C37" i="12"/>
  <c r="C29" i="9"/>
  <c r="C93" i="12" s="1"/>
  <c r="K37" i="12"/>
  <c r="K29" i="9"/>
  <c r="K93" i="12" s="1"/>
  <c r="S37" i="12"/>
  <c r="S29" i="9"/>
  <c r="S93" i="12" s="1"/>
  <c r="AA37" i="12"/>
  <c r="AA29" i="9"/>
  <c r="AA93" i="12" s="1"/>
  <c r="AI37" i="12"/>
  <c r="AI29" i="9"/>
  <c r="AI93" i="12" s="1"/>
  <c r="I38" i="12"/>
  <c r="I30" i="9"/>
  <c r="I94" i="12" s="1"/>
  <c r="Q38" i="12"/>
  <c r="Q30" i="9"/>
  <c r="Q94" i="12" s="1"/>
  <c r="Y38" i="12"/>
  <c r="Y30" i="9"/>
  <c r="Y94" i="12" s="1"/>
  <c r="AG38" i="12"/>
  <c r="AG30" i="9"/>
  <c r="AG94" i="12" s="1"/>
  <c r="G39" i="12"/>
  <c r="G31" i="9"/>
  <c r="G95" i="12" s="1"/>
  <c r="O39" i="12"/>
  <c r="O31" i="9"/>
  <c r="O95" i="12" s="1"/>
  <c r="W39" i="12"/>
  <c r="W31" i="9"/>
  <c r="W95" i="12" s="1"/>
  <c r="AE39" i="12"/>
  <c r="AE31" i="9"/>
  <c r="AE95" i="12" s="1"/>
  <c r="E40" i="12"/>
  <c r="E32" i="9"/>
  <c r="E96" i="12" s="1"/>
  <c r="M40" i="12"/>
  <c r="M32" i="9"/>
  <c r="M96" i="12" s="1"/>
  <c r="U40" i="12"/>
  <c r="U32" i="9"/>
  <c r="U96" i="12" s="1"/>
  <c r="AC40" i="12"/>
  <c r="AC32" i="9"/>
  <c r="AC96" i="12" s="1"/>
  <c r="C41" i="12"/>
  <c r="C33" i="9"/>
  <c r="C97" i="12" s="1"/>
  <c r="K41" i="12"/>
  <c r="K33" i="9"/>
  <c r="K97" i="12" s="1"/>
  <c r="S41" i="12"/>
  <c r="S33" i="9"/>
  <c r="S97" i="12" s="1"/>
  <c r="AA41" i="12"/>
  <c r="AA33" i="9"/>
  <c r="AA97" i="12" s="1"/>
  <c r="AI41" i="12"/>
  <c r="AI33" i="9"/>
  <c r="AI97" i="12" s="1"/>
  <c r="I42" i="12"/>
  <c r="I34" i="9"/>
  <c r="I98" i="12" s="1"/>
  <c r="Q42" i="12"/>
  <c r="Q34" i="9"/>
  <c r="Q98" i="12" s="1"/>
  <c r="Y42" i="12"/>
  <c r="Y34" i="9"/>
  <c r="Y98" i="12" s="1"/>
  <c r="AG42" i="12"/>
  <c r="AG34" i="9"/>
  <c r="AG98" i="12" s="1"/>
  <c r="G43" i="12"/>
  <c r="G35" i="9"/>
  <c r="G99" i="12" s="1"/>
  <c r="O43" i="12"/>
  <c r="O35" i="9"/>
  <c r="O99" i="12" s="1"/>
  <c r="W43" i="12"/>
  <c r="W35" i="9"/>
  <c r="W99" i="12" s="1"/>
  <c r="AE43" i="12"/>
  <c r="AE35" i="9"/>
  <c r="AE99" i="12" s="1"/>
  <c r="E44" i="12"/>
  <c r="E36" i="9"/>
  <c r="E100" i="12" s="1"/>
  <c r="M44" i="12"/>
  <c r="M36" i="9"/>
  <c r="M100" i="12" s="1"/>
  <c r="U44" i="12"/>
  <c r="U36" i="9"/>
  <c r="U100" i="12" s="1"/>
  <c r="AC44" i="12"/>
  <c r="AC36" i="9"/>
  <c r="AC100" i="12" s="1"/>
  <c r="C45" i="12"/>
  <c r="C37" i="9"/>
  <c r="C101" i="12" s="1"/>
  <c r="K45" i="12"/>
  <c r="K37" i="9"/>
  <c r="K101" i="12" s="1"/>
  <c r="S45" i="12"/>
  <c r="S37" i="9"/>
  <c r="S101" i="12" s="1"/>
  <c r="AA45" i="12"/>
  <c r="AA37" i="9"/>
  <c r="AA101" i="12" s="1"/>
  <c r="AI45" i="12"/>
  <c r="AI37" i="9"/>
  <c r="AI101" i="12" s="1"/>
  <c r="I46" i="12"/>
  <c r="I38" i="9"/>
  <c r="I102" i="12" s="1"/>
  <c r="Q46" i="12"/>
  <c r="Q38" i="9"/>
  <c r="Q102" i="12" s="1"/>
  <c r="Y46" i="12"/>
  <c r="Y38" i="9"/>
  <c r="Y102" i="12" s="1"/>
  <c r="AG46" i="12"/>
  <c r="AG38" i="9"/>
  <c r="AG102" i="12" s="1"/>
  <c r="G47" i="12"/>
  <c r="G39" i="9"/>
  <c r="G103" i="12" s="1"/>
  <c r="O47" i="12"/>
  <c r="O39" i="9"/>
  <c r="O103" i="12" s="1"/>
  <c r="W47" i="12"/>
  <c r="W39" i="9"/>
  <c r="W103" i="12" s="1"/>
  <c r="AE47" i="12"/>
  <c r="AE39" i="9"/>
  <c r="AE103" i="12" s="1"/>
  <c r="AC64" i="12"/>
  <c r="AC56" i="9"/>
  <c r="AC120" i="12" s="1"/>
  <c r="D13" i="12"/>
  <c r="D5" i="9"/>
  <c r="D69" i="12" s="1"/>
  <c r="L13" i="12"/>
  <c r="L5" i="9"/>
  <c r="L69" i="12" s="1"/>
  <c r="T13" i="12"/>
  <c r="T5" i="9"/>
  <c r="T69" i="12" s="1"/>
  <c r="AB13" i="12"/>
  <c r="AB5" i="9"/>
  <c r="AB69" i="12" s="1"/>
  <c r="B14" i="12"/>
  <c r="B6" i="9"/>
  <c r="B70" i="12" s="1"/>
  <c r="J14" i="12"/>
  <c r="J6" i="9"/>
  <c r="J70" i="12" s="1"/>
  <c r="R14" i="12"/>
  <c r="R6" i="9"/>
  <c r="R70" i="12" s="1"/>
  <c r="Z14" i="12"/>
  <c r="Z6" i="9"/>
  <c r="Z70" i="12" s="1"/>
  <c r="AH14" i="12"/>
  <c r="AH6" i="9"/>
  <c r="AH70" i="12" s="1"/>
  <c r="H15" i="12"/>
  <c r="H7" i="9"/>
  <c r="H71" i="12" s="1"/>
  <c r="P15" i="12"/>
  <c r="P7" i="9"/>
  <c r="P71" i="12" s="1"/>
  <c r="X15" i="12"/>
  <c r="X7" i="9"/>
  <c r="X71" i="12" s="1"/>
  <c r="AF15" i="12"/>
  <c r="AF7" i="9"/>
  <c r="AF71" i="12" s="1"/>
  <c r="F16" i="12"/>
  <c r="F8" i="9"/>
  <c r="F72" i="12" s="1"/>
  <c r="N16" i="12"/>
  <c r="N8" i="9"/>
  <c r="N72" i="12" s="1"/>
  <c r="V16" i="12"/>
  <c r="V8" i="9"/>
  <c r="V72" i="12" s="1"/>
  <c r="AD16" i="12"/>
  <c r="AD8" i="9"/>
  <c r="AD72" i="12" s="1"/>
  <c r="D17" i="12"/>
  <c r="D9" i="9"/>
  <c r="D73" i="12" s="1"/>
  <c r="L17" i="12"/>
  <c r="L9" i="9"/>
  <c r="L73" i="12" s="1"/>
  <c r="T17" i="12"/>
  <c r="T9" i="9"/>
  <c r="T73" i="12" s="1"/>
  <c r="AB17" i="12"/>
  <c r="AB9" i="9"/>
  <c r="AB73" i="12" s="1"/>
  <c r="B18" i="12"/>
  <c r="B10" i="9"/>
  <c r="B74" i="12" s="1"/>
  <c r="J18" i="12"/>
  <c r="J10" i="9"/>
  <c r="J74" i="12" s="1"/>
  <c r="R18" i="12"/>
  <c r="R10" i="9"/>
  <c r="R74" i="12" s="1"/>
  <c r="Z18" i="12"/>
  <c r="Z10" i="9"/>
  <c r="Z74" i="12" s="1"/>
  <c r="AH18" i="12"/>
  <c r="AH10" i="9"/>
  <c r="AH74" i="12" s="1"/>
  <c r="H19" i="12"/>
  <c r="H11" i="9"/>
  <c r="H75" i="12" s="1"/>
  <c r="P19" i="12"/>
  <c r="P11" i="9"/>
  <c r="P75" i="12" s="1"/>
  <c r="X19" i="12"/>
  <c r="X11" i="9"/>
  <c r="X75" i="12" s="1"/>
  <c r="AF19" i="12"/>
  <c r="AF11" i="9"/>
  <c r="AF75" i="12" s="1"/>
  <c r="F20" i="12"/>
  <c r="F12" i="9"/>
  <c r="F76" i="12" s="1"/>
  <c r="N20" i="12"/>
  <c r="N12" i="9"/>
  <c r="N76" i="12" s="1"/>
  <c r="V20" i="12"/>
  <c r="V12" i="9"/>
  <c r="V76" i="12" s="1"/>
  <c r="AD20" i="12"/>
  <c r="AD12" i="9"/>
  <c r="AD76" i="12" s="1"/>
  <c r="D21" i="12"/>
  <c r="D13" i="9"/>
  <c r="D77" i="12" s="1"/>
  <c r="L21" i="12"/>
  <c r="L13" i="9"/>
  <c r="L77" i="12" s="1"/>
  <c r="T21" i="12"/>
  <c r="T13" i="9"/>
  <c r="T77" i="12" s="1"/>
  <c r="AB21" i="12"/>
  <c r="AB13" i="9"/>
  <c r="AB77" i="12" s="1"/>
  <c r="B22" i="12"/>
  <c r="B14" i="9"/>
  <c r="B78" i="12" s="1"/>
  <c r="J22" i="12"/>
  <c r="J14" i="9"/>
  <c r="J78" i="12" s="1"/>
  <c r="R22" i="12"/>
  <c r="R14" i="9"/>
  <c r="R78" i="12" s="1"/>
  <c r="Z22" i="12"/>
  <c r="Z14" i="9"/>
  <c r="Z78" i="12" s="1"/>
  <c r="AH22" i="12"/>
  <c r="AH14" i="9"/>
  <c r="AH78" i="12" s="1"/>
  <c r="H23" i="12"/>
  <c r="H15" i="9"/>
  <c r="H79" i="12" s="1"/>
  <c r="P23" i="12"/>
  <c r="P15" i="9"/>
  <c r="P79" i="12" s="1"/>
  <c r="X23" i="12"/>
  <c r="X15" i="9"/>
  <c r="X79" i="12" s="1"/>
  <c r="AF23" i="12"/>
  <c r="AF15" i="9"/>
  <c r="AF79" i="12" s="1"/>
  <c r="F24" i="12"/>
  <c r="F16" i="9"/>
  <c r="F80" i="12" s="1"/>
  <c r="N24" i="12"/>
  <c r="N16" i="9"/>
  <c r="N80" i="12" s="1"/>
  <c r="V24" i="12"/>
  <c r="V16" i="9"/>
  <c r="V80" i="12" s="1"/>
  <c r="AD24" i="12"/>
  <c r="AD16" i="9"/>
  <c r="AD80" i="12" s="1"/>
  <c r="D25" i="12"/>
  <c r="D17" i="9"/>
  <c r="D81" i="12" s="1"/>
  <c r="L25" i="12"/>
  <c r="L17" i="9"/>
  <c r="L81" i="12" s="1"/>
  <c r="T25" i="12"/>
  <c r="T17" i="9"/>
  <c r="T81" i="12" s="1"/>
  <c r="AB25" i="12"/>
  <c r="AB17" i="9"/>
  <c r="AB81" i="12" s="1"/>
  <c r="B26" i="12"/>
  <c r="B18" i="9"/>
  <c r="B82" i="12" s="1"/>
  <c r="J26" i="12"/>
  <c r="J18" i="9"/>
  <c r="J82" i="12" s="1"/>
  <c r="R26" i="12"/>
  <c r="R18" i="9"/>
  <c r="R82" i="12" s="1"/>
  <c r="Z26" i="12"/>
  <c r="Z18" i="9"/>
  <c r="Z82" i="12" s="1"/>
  <c r="AH26" i="12"/>
  <c r="AH18" i="9"/>
  <c r="AH82" i="12" s="1"/>
  <c r="H27" i="12"/>
  <c r="H19" i="9"/>
  <c r="H83" i="12" s="1"/>
  <c r="P27" i="12"/>
  <c r="P19" i="9"/>
  <c r="P83" i="12" s="1"/>
  <c r="X27" i="12"/>
  <c r="X19" i="9"/>
  <c r="X83" i="12" s="1"/>
  <c r="AF27" i="12"/>
  <c r="AF19" i="9"/>
  <c r="AF83" i="12" s="1"/>
  <c r="F28" i="12"/>
  <c r="F20" i="9"/>
  <c r="F84" i="12" s="1"/>
  <c r="N28" i="12"/>
  <c r="N20" i="9"/>
  <c r="N84" i="12" s="1"/>
  <c r="V28" i="12"/>
  <c r="V20" i="9"/>
  <c r="V84" i="12" s="1"/>
  <c r="AD28" i="12"/>
  <c r="AD20" i="9"/>
  <c r="AD84" i="12" s="1"/>
  <c r="D29" i="12"/>
  <c r="D21" i="9"/>
  <c r="D85" i="12" s="1"/>
  <c r="L29" i="12"/>
  <c r="L21" i="9"/>
  <c r="L85" i="12" s="1"/>
  <c r="T29" i="12"/>
  <c r="T21" i="9"/>
  <c r="T85" i="12" s="1"/>
  <c r="AB29" i="12"/>
  <c r="AB21" i="9"/>
  <c r="AB85" i="12" s="1"/>
  <c r="B30" i="12"/>
  <c r="B22" i="9"/>
  <c r="B86" i="12" s="1"/>
  <c r="J30" i="12"/>
  <c r="J22" i="9"/>
  <c r="J86" i="12" s="1"/>
  <c r="Z30" i="12"/>
  <c r="Z22" i="9"/>
  <c r="Z86" i="12" s="1"/>
  <c r="AH30" i="12"/>
  <c r="AH22" i="9"/>
  <c r="AH86" i="12" s="1"/>
  <c r="H31" i="12"/>
  <c r="H23" i="9"/>
  <c r="H87" i="12" s="1"/>
  <c r="X31" i="12"/>
  <c r="X23" i="9"/>
  <c r="X87" i="12" s="1"/>
  <c r="AF31" i="12"/>
  <c r="AF23" i="9"/>
  <c r="AF87" i="12" s="1"/>
  <c r="F32" i="12"/>
  <c r="F24" i="9"/>
  <c r="F88" i="12" s="1"/>
  <c r="V32" i="12"/>
  <c r="V24" i="9"/>
  <c r="V88" i="12" s="1"/>
  <c r="AD32" i="12"/>
  <c r="AD24" i="9"/>
  <c r="AD88" i="12" s="1"/>
  <c r="D33" i="12"/>
  <c r="D25" i="9"/>
  <c r="D89" i="12" s="1"/>
  <c r="T33" i="12"/>
  <c r="T25" i="9"/>
  <c r="T89" i="12" s="1"/>
  <c r="AB33" i="12"/>
  <c r="AB25" i="9"/>
  <c r="AB89" i="12" s="1"/>
  <c r="B34" i="12"/>
  <c r="B26" i="9"/>
  <c r="B90" i="12" s="1"/>
  <c r="R34" i="12"/>
  <c r="R26" i="9"/>
  <c r="R90" i="12" s="1"/>
  <c r="Z34" i="12"/>
  <c r="Z26" i="9"/>
  <c r="Z90" i="12" s="1"/>
  <c r="AH34" i="12"/>
  <c r="AH26" i="9"/>
  <c r="AH90" i="12" s="1"/>
  <c r="P35" i="12"/>
  <c r="P27" i="9"/>
  <c r="P91" i="12" s="1"/>
  <c r="X35" i="12"/>
  <c r="X27" i="9"/>
  <c r="X91" i="12" s="1"/>
  <c r="AF35" i="12"/>
  <c r="AF27" i="9"/>
  <c r="AF91" i="12" s="1"/>
  <c r="N36" i="12"/>
  <c r="N28" i="9"/>
  <c r="N92" i="12" s="1"/>
  <c r="V36" i="12"/>
  <c r="V28" i="9"/>
  <c r="V92" i="12" s="1"/>
  <c r="AD36" i="12"/>
  <c r="AD28" i="9"/>
  <c r="AD92" i="12" s="1"/>
  <c r="L37" i="12"/>
  <c r="L29" i="9"/>
  <c r="L93" i="12" s="1"/>
  <c r="T37" i="12"/>
  <c r="T29" i="9"/>
  <c r="T93" i="12" s="1"/>
  <c r="AB37" i="12"/>
  <c r="AB29" i="9"/>
  <c r="AB93" i="12" s="1"/>
  <c r="J38" i="12"/>
  <c r="J30" i="9"/>
  <c r="J94" i="12" s="1"/>
  <c r="R38" i="12"/>
  <c r="R30" i="9"/>
  <c r="R94" i="12" s="1"/>
  <c r="Z38" i="12"/>
  <c r="Z30" i="9"/>
  <c r="Z94" i="12" s="1"/>
  <c r="H39" i="12"/>
  <c r="H31" i="9"/>
  <c r="H95" i="12" s="1"/>
  <c r="P39" i="12"/>
  <c r="P31" i="9"/>
  <c r="P95" i="12" s="1"/>
  <c r="X39" i="12"/>
  <c r="X31" i="9"/>
  <c r="X95" i="12" s="1"/>
  <c r="F40" i="12"/>
  <c r="F32" i="9"/>
  <c r="F96" i="12" s="1"/>
  <c r="N40" i="12"/>
  <c r="N32" i="9"/>
  <c r="N96" i="12" s="1"/>
  <c r="V40" i="12"/>
  <c r="V32" i="9"/>
  <c r="V96" i="12" s="1"/>
  <c r="D41" i="12"/>
  <c r="D33" i="9"/>
  <c r="D97" i="12" s="1"/>
  <c r="L41" i="12"/>
  <c r="L33" i="9"/>
  <c r="L97" i="12" s="1"/>
  <c r="T41" i="12"/>
  <c r="T33" i="9"/>
  <c r="T97" i="12" s="1"/>
  <c r="B42" i="12"/>
  <c r="B34" i="9"/>
  <c r="B98" i="12" s="1"/>
  <c r="J42" i="12"/>
  <c r="J34" i="9"/>
  <c r="J98" i="12" s="1"/>
  <c r="R42" i="12"/>
  <c r="R34" i="9"/>
  <c r="R98" i="12" s="1"/>
  <c r="AH42" i="12"/>
  <c r="AH34" i="9"/>
  <c r="AH98" i="12" s="1"/>
  <c r="H43" i="12"/>
  <c r="H35" i="9"/>
  <c r="H99" i="12" s="1"/>
  <c r="P43" i="12"/>
  <c r="P35" i="9"/>
  <c r="P99" i="12" s="1"/>
  <c r="AF43" i="12"/>
  <c r="AF35" i="9"/>
  <c r="AF99" i="12" s="1"/>
  <c r="F44" i="12"/>
  <c r="F36" i="9"/>
  <c r="F100" i="12" s="1"/>
  <c r="N44" i="12"/>
  <c r="N36" i="9"/>
  <c r="N100" i="12" s="1"/>
  <c r="AD44" i="12"/>
  <c r="AD36" i="9"/>
  <c r="AD100" i="12" s="1"/>
  <c r="D45" i="12"/>
  <c r="D37" i="9"/>
  <c r="D101" i="12" s="1"/>
  <c r="L45" i="12"/>
  <c r="L37" i="9"/>
  <c r="L101" i="12" s="1"/>
  <c r="AB45" i="12"/>
  <c r="AB37" i="9"/>
  <c r="AB101" i="12" s="1"/>
  <c r="B46" i="12"/>
  <c r="B38" i="9"/>
  <c r="B102" i="12" s="1"/>
  <c r="J46" i="12"/>
  <c r="J38" i="9"/>
  <c r="J102" i="12" s="1"/>
  <c r="AH46" i="12"/>
  <c r="AH38" i="9"/>
  <c r="AH102" i="12" s="1"/>
  <c r="H47" i="12"/>
  <c r="H39" i="9"/>
  <c r="H103" i="12" s="1"/>
  <c r="AF47" i="12"/>
  <c r="AF39" i="9"/>
  <c r="AF103" i="12" s="1"/>
  <c r="F48" i="12"/>
  <c r="F40" i="9"/>
  <c r="F104" i="12" s="1"/>
  <c r="AD48" i="12"/>
  <c r="AD40" i="9"/>
  <c r="AD104" i="12" s="1"/>
  <c r="D49" i="12"/>
  <c r="D41" i="9"/>
  <c r="D105" i="12" s="1"/>
  <c r="AB49" i="12"/>
  <c r="AB41" i="9"/>
  <c r="AB105" i="12" s="1"/>
  <c r="B50" i="12"/>
  <c r="B42" i="9"/>
  <c r="B106" i="12" s="1"/>
  <c r="Z50" i="12"/>
  <c r="Z42" i="9"/>
  <c r="Z106" i="12" s="1"/>
  <c r="AH50" i="12"/>
  <c r="AH42" i="9"/>
  <c r="AH106" i="12" s="1"/>
  <c r="X51" i="12"/>
  <c r="X43" i="9"/>
  <c r="X107" i="12" s="1"/>
  <c r="N52" i="12"/>
  <c r="N44" i="9"/>
  <c r="N108" i="12" s="1"/>
  <c r="AD52" i="12"/>
  <c r="AD44" i="9"/>
  <c r="AD108" i="12" s="1"/>
  <c r="D53" i="12"/>
  <c r="D45" i="9"/>
  <c r="D109" i="12" s="1"/>
  <c r="T53" i="12"/>
  <c r="T45" i="9"/>
  <c r="T109" i="12" s="1"/>
  <c r="J54" i="12"/>
  <c r="J46" i="9"/>
  <c r="J110" i="12" s="1"/>
  <c r="Z54" i="12"/>
  <c r="Z46" i="9"/>
  <c r="Z110" i="12" s="1"/>
  <c r="AH54" i="12"/>
  <c r="AH46" i="9"/>
  <c r="AH110" i="12" s="1"/>
  <c r="P55" i="12"/>
  <c r="P47" i="9"/>
  <c r="P111" i="12" s="1"/>
  <c r="F56" i="12"/>
  <c r="F48" i="9"/>
  <c r="F112" i="12" s="1"/>
  <c r="V56" i="12"/>
  <c r="V48" i="9"/>
  <c r="V112" i="12" s="1"/>
  <c r="AD56" i="12"/>
  <c r="AD48" i="9"/>
  <c r="AD112" i="12" s="1"/>
  <c r="L57" i="12"/>
  <c r="L49" i="9"/>
  <c r="L113" i="12" s="1"/>
  <c r="B58" i="12"/>
  <c r="B50" i="9"/>
  <c r="B114" i="12" s="1"/>
  <c r="R58" i="12"/>
  <c r="R50" i="9"/>
  <c r="R114" i="12" s="1"/>
  <c r="Z58" i="12"/>
  <c r="Z50" i="9"/>
  <c r="Z114" i="12" s="1"/>
  <c r="H59" i="12"/>
  <c r="H51" i="9"/>
  <c r="H115" i="12" s="1"/>
  <c r="N60" i="12"/>
  <c r="N52" i="9"/>
  <c r="N116" i="12" s="1"/>
  <c r="V60" i="12"/>
  <c r="V52" i="9"/>
  <c r="V116" i="12" s="1"/>
  <c r="D61" i="12"/>
  <c r="D53" i="9"/>
  <c r="D117" i="12" s="1"/>
  <c r="J62" i="12"/>
  <c r="J54" i="9"/>
  <c r="J118" i="12" s="1"/>
  <c r="R62" i="12"/>
  <c r="R54" i="9"/>
  <c r="R118" i="12" s="1"/>
  <c r="AH62" i="12"/>
  <c r="AH54" i="9"/>
  <c r="AH118" i="12" s="1"/>
  <c r="F64" i="12"/>
  <c r="F56" i="9"/>
  <c r="F120" i="12" s="1"/>
  <c r="E13" i="12"/>
  <c r="E5" i="9"/>
  <c r="E69" i="12" s="1"/>
  <c r="M13" i="12"/>
  <c r="M5" i="9"/>
  <c r="M69" i="12" s="1"/>
  <c r="U13" i="12"/>
  <c r="U5" i="9"/>
  <c r="U69" i="12" s="1"/>
  <c r="AC13" i="12"/>
  <c r="AC5" i="9"/>
  <c r="AC69" i="12" s="1"/>
  <c r="C14" i="12"/>
  <c r="C6" i="9"/>
  <c r="C70" i="12" s="1"/>
  <c r="K14" i="12"/>
  <c r="K6" i="9"/>
  <c r="K70" i="12" s="1"/>
  <c r="S14" i="12"/>
  <c r="S6" i="9"/>
  <c r="S70" i="12" s="1"/>
  <c r="AA14" i="12"/>
  <c r="AA6" i="9"/>
  <c r="AA70" i="12" s="1"/>
  <c r="AI14" i="12"/>
  <c r="AI6" i="9"/>
  <c r="AI70" i="12" s="1"/>
  <c r="I15" i="12"/>
  <c r="I7" i="9"/>
  <c r="I71" i="12" s="1"/>
  <c r="Q15" i="12"/>
  <c r="Q7" i="9"/>
  <c r="Q71" i="12" s="1"/>
  <c r="Y15" i="12"/>
  <c r="Y7" i="9"/>
  <c r="Y71" i="12" s="1"/>
  <c r="AG15" i="12"/>
  <c r="AG7" i="9"/>
  <c r="AG71" i="12" s="1"/>
  <c r="G16" i="12"/>
  <c r="G8" i="9"/>
  <c r="G72" i="12" s="1"/>
  <c r="O16" i="12"/>
  <c r="O8" i="9"/>
  <c r="O72" i="12" s="1"/>
  <c r="W16" i="12"/>
  <c r="W8" i="9"/>
  <c r="W72" i="12" s="1"/>
  <c r="AE16" i="12"/>
  <c r="AE8" i="9"/>
  <c r="AE72" i="12" s="1"/>
  <c r="E17" i="12"/>
  <c r="E9" i="9"/>
  <c r="E73" i="12" s="1"/>
  <c r="M17" i="12"/>
  <c r="M9" i="9"/>
  <c r="M73" i="12" s="1"/>
  <c r="U17" i="12"/>
  <c r="U9" i="9"/>
  <c r="U73" i="12" s="1"/>
  <c r="AC17" i="12"/>
  <c r="AC9" i="9"/>
  <c r="AC73" i="12" s="1"/>
  <c r="C18" i="12"/>
  <c r="C10" i="9"/>
  <c r="C74" i="12" s="1"/>
  <c r="K18" i="12"/>
  <c r="K10" i="9"/>
  <c r="K74" i="12" s="1"/>
  <c r="S18" i="12"/>
  <c r="S10" i="9"/>
  <c r="S74" i="12" s="1"/>
  <c r="AA18" i="12"/>
  <c r="AA10" i="9"/>
  <c r="AA74" i="12" s="1"/>
  <c r="AI18" i="12"/>
  <c r="AI10" i="9"/>
  <c r="AI74" i="12" s="1"/>
  <c r="I19" i="12"/>
  <c r="I11" i="9"/>
  <c r="I75" i="12" s="1"/>
  <c r="Q19" i="12"/>
  <c r="Q11" i="9"/>
  <c r="Q75" i="12" s="1"/>
  <c r="Y19" i="12"/>
  <c r="Y11" i="9"/>
  <c r="Y75" i="12" s="1"/>
  <c r="AG19" i="12"/>
  <c r="AG11" i="9"/>
  <c r="AG75" i="12" s="1"/>
  <c r="G20" i="12"/>
  <c r="G12" i="9"/>
  <c r="G76" i="12" s="1"/>
  <c r="O20" i="12"/>
  <c r="O12" i="9"/>
  <c r="O76" i="12" s="1"/>
  <c r="W20" i="12"/>
  <c r="W12" i="9"/>
  <c r="W76" i="12" s="1"/>
  <c r="AE20" i="12"/>
  <c r="AE12" i="9"/>
  <c r="AE76" i="12" s="1"/>
  <c r="E21" i="12"/>
  <c r="E13" i="9"/>
  <c r="E77" i="12" s="1"/>
  <c r="M21" i="12"/>
  <c r="M13" i="9"/>
  <c r="M77" i="12" s="1"/>
  <c r="U21" i="12"/>
  <c r="U13" i="9"/>
  <c r="U77" i="12" s="1"/>
  <c r="AC21" i="12"/>
  <c r="AC13" i="9"/>
  <c r="AC77" i="12" s="1"/>
  <c r="C22" i="12"/>
  <c r="C14" i="9"/>
  <c r="C78" i="12" s="1"/>
  <c r="K22" i="12"/>
  <c r="K14" i="9"/>
  <c r="K78" i="12" s="1"/>
  <c r="S22" i="12"/>
  <c r="S14" i="9"/>
  <c r="S78" i="12" s="1"/>
  <c r="AA22" i="12"/>
  <c r="AA14" i="9"/>
  <c r="AA78" i="12" s="1"/>
  <c r="AI22" i="12"/>
  <c r="AI14" i="9"/>
  <c r="AI78" i="12" s="1"/>
  <c r="I23" i="12"/>
  <c r="I15" i="9"/>
  <c r="I79" i="12" s="1"/>
  <c r="Q23" i="12"/>
  <c r="Q15" i="9"/>
  <c r="Q79" i="12" s="1"/>
  <c r="Y23" i="12"/>
  <c r="Y15" i="9"/>
  <c r="Y79" i="12" s="1"/>
  <c r="AG23" i="12"/>
  <c r="AG15" i="9"/>
  <c r="AG79" i="12" s="1"/>
  <c r="G24" i="12"/>
  <c r="G16" i="9"/>
  <c r="G80" i="12" s="1"/>
  <c r="O24" i="12"/>
  <c r="O16" i="9"/>
  <c r="O80" i="12" s="1"/>
  <c r="W24" i="12"/>
  <c r="W16" i="9"/>
  <c r="W80" i="12" s="1"/>
  <c r="AE24" i="12"/>
  <c r="AE16" i="9"/>
  <c r="AE80" i="12" s="1"/>
  <c r="E25" i="12"/>
  <c r="E17" i="9"/>
  <c r="E81" i="12" s="1"/>
  <c r="M25" i="12"/>
  <c r="M17" i="9"/>
  <c r="M81" i="12" s="1"/>
  <c r="U25" i="12"/>
  <c r="U17" i="9"/>
  <c r="U81" i="12" s="1"/>
  <c r="AC25" i="12"/>
  <c r="AC17" i="9"/>
  <c r="AC81" i="12" s="1"/>
  <c r="C26" i="12"/>
  <c r="C18" i="9"/>
  <c r="C82" i="12" s="1"/>
  <c r="K26" i="12"/>
  <c r="K18" i="9"/>
  <c r="K82" i="12" s="1"/>
  <c r="S26" i="12"/>
  <c r="S18" i="9"/>
  <c r="S82" i="12" s="1"/>
  <c r="AA26" i="12"/>
  <c r="AA18" i="9"/>
  <c r="AA82" i="12" s="1"/>
  <c r="AI26" i="12"/>
  <c r="AI18" i="9"/>
  <c r="AI82" i="12" s="1"/>
  <c r="I27" i="12"/>
  <c r="I19" i="9"/>
  <c r="I83" i="12" s="1"/>
  <c r="Q27" i="12"/>
  <c r="Q19" i="9"/>
  <c r="Q83" i="12" s="1"/>
  <c r="Y27" i="12"/>
  <c r="Y19" i="9"/>
  <c r="Y83" i="12" s="1"/>
  <c r="AG27" i="12"/>
  <c r="AG19" i="9"/>
  <c r="AG83" i="12" s="1"/>
  <c r="G28" i="12"/>
  <c r="G20" i="9"/>
  <c r="G84" i="12" s="1"/>
  <c r="O28" i="12"/>
  <c r="O20" i="9"/>
  <c r="O84" i="12" s="1"/>
  <c r="W28" i="12"/>
  <c r="W20" i="9"/>
  <c r="W84" i="12" s="1"/>
  <c r="AE28" i="12"/>
  <c r="AE20" i="9"/>
  <c r="AE84" i="12" s="1"/>
  <c r="E29" i="12"/>
  <c r="E21" i="9"/>
  <c r="E85" i="12" s="1"/>
  <c r="M29" i="12"/>
  <c r="M21" i="9"/>
  <c r="M85" i="12" s="1"/>
  <c r="U29" i="12"/>
  <c r="U21" i="9"/>
  <c r="U85" i="12" s="1"/>
  <c r="AC29" i="12"/>
  <c r="AC21" i="9"/>
  <c r="AC85" i="12" s="1"/>
  <c r="C30" i="12"/>
  <c r="C22" i="9"/>
  <c r="C86" i="12" s="1"/>
  <c r="K30" i="12"/>
  <c r="K22" i="9"/>
  <c r="K86" i="12" s="1"/>
  <c r="AI30" i="12"/>
  <c r="AI22" i="9"/>
  <c r="AI86" i="12" s="1"/>
  <c r="I31" i="12"/>
  <c r="I23" i="9"/>
  <c r="I87" i="12" s="1"/>
  <c r="AG31" i="12"/>
  <c r="AG23" i="9"/>
  <c r="AG87" i="12" s="1"/>
  <c r="G32" i="12"/>
  <c r="G24" i="9"/>
  <c r="G88" i="12" s="1"/>
  <c r="AE32" i="12"/>
  <c r="AE24" i="9"/>
  <c r="AE88" i="12" s="1"/>
  <c r="E33" i="12"/>
  <c r="E25" i="9"/>
  <c r="E89" i="12" s="1"/>
  <c r="AC33" i="12"/>
  <c r="AC25" i="9"/>
  <c r="AC89" i="12" s="1"/>
  <c r="C34" i="12"/>
  <c r="C26" i="9"/>
  <c r="C90" i="12" s="1"/>
  <c r="AA34" i="12"/>
  <c r="AA26" i="9"/>
  <c r="AA90" i="12" s="1"/>
  <c r="AI34" i="12"/>
  <c r="AI26" i="9"/>
  <c r="AI90" i="12" s="1"/>
  <c r="Y35" i="12"/>
  <c r="Y27" i="9"/>
  <c r="Y91" i="12" s="1"/>
  <c r="AG35" i="12"/>
  <c r="AG27" i="9"/>
  <c r="AG91" i="12" s="1"/>
  <c r="W36" i="12"/>
  <c r="W28" i="9"/>
  <c r="W92" i="12" s="1"/>
  <c r="AE36" i="12"/>
  <c r="AE28" i="9"/>
  <c r="AE92" i="12" s="1"/>
  <c r="U37" i="12"/>
  <c r="U29" i="9"/>
  <c r="U93" i="12" s="1"/>
  <c r="AC37" i="12"/>
  <c r="AC29" i="9"/>
  <c r="AC93" i="12" s="1"/>
  <c r="S38" i="12"/>
  <c r="S30" i="9"/>
  <c r="S94" i="12" s="1"/>
  <c r="AA38" i="12"/>
  <c r="AA30" i="9"/>
  <c r="AA94" i="12" s="1"/>
  <c r="Q39" i="12"/>
  <c r="Q31" i="9"/>
  <c r="Q95" i="12" s="1"/>
  <c r="Y39" i="12"/>
  <c r="Y31" i="9"/>
  <c r="Y95" i="12" s="1"/>
  <c r="O40" i="12"/>
  <c r="O32" i="9"/>
  <c r="O96" i="12" s="1"/>
  <c r="W40" i="12"/>
  <c r="W32" i="9"/>
  <c r="W96" i="12" s="1"/>
  <c r="M41" i="12"/>
  <c r="M33" i="9"/>
  <c r="M97" i="12" s="1"/>
  <c r="U41" i="12"/>
  <c r="U33" i="9"/>
  <c r="U97" i="12" s="1"/>
  <c r="K42" i="12"/>
  <c r="K34" i="9"/>
  <c r="K98" i="12" s="1"/>
  <c r="S42" i="12"/>
  <c r="S34" i="9"/>
  <c r="S98" i="12" s="1"/>
  <c r="I43" i="12"/>
  <c r="I35" i="9"/>
  <c r="I99" i="12" s="1"/>
  <c r="Q43" i="12"/>
  <c r="Q35" i="9"/>
  <c r="Q99" i="12" s="1"/>
  <c r="G44" i="12"/>
  <c r="G36" i="9"/>
  <c r="G100" i="12" s="1"/>
  <c r="O44" i="12"/>
  <c r="O36" i="9"/>
  <c r="O100" i="12" s="1"/>
  <c r="E45" i="12"/>
  <c r="E37" i="9"/>
  <c r="E101" i="12" s="1"/>
  <c r="M45" i="12"/>
  <c r="M37" i="9"/>
  <c r="M101" i="12" s="1"/>
  <c r="C46" i="12"/>
  <c r="C38" i="9"/>
  <c r="C102" i="12" s="1"/>
  <c r="K46" i="12"/>
  <c r="K38" i="9"/>
  <c r="K102" i="12" s="1"/>
  <c r="AI46" i="12"/>
  <c r="AI38" i="9"/>
  <c r="AI102" i="12" s="1"/>
  <c r="I47" i="12"/>
  <c r="I39" i="9"/>
  <c r="I103" i="12" s="1"/>
  <c r="AG47" i="12"/>
  <c r="AG39" i="9"/>
  <c r="AG103" i="12" s="1"/>
  <c r="G48" i="12"/>
  <c r="G40" i="9"/>
  <c r="G104" i="12" s="1"/>
  <c r="AE48" i="12"/>
  <c r="AE40" i="9"/>
  <c r="AE104" i="12" s="1"/>
  <c r="E49" i="12"/>
  <c r="E41" i="9"/>
  <c r="E105" i="12" s="1"/>
  <c r="AC49" i="12"/>
  <c r="AC41" i="9"/>
  <c r="AC105" i="12" s="1"/>
  <c r="C50" i="12"/>
  <c r="C42" i="9"/>
  <c r="C106" i="12" s="1"/>
  <c r="AA50" i="12"/>
  <c r="AA42" i="9"/>
  <c r="AA106" i="12" s="1"/>
  <c r="AI50" i="12"/>
  <c r="AI42" i="9"/>
  <c r="AI106" i="12" s="1"/>
  <c r="Y51" i="12"/>
  <c r="Y43" i="9"/>
  <c r="Y107" i="12" s="1"/>
  <c r="AG51" i="12"/>
  <c r="AG43" i="9"/>
  <c r="AG107" i="12" s="1"/>
  <c r="O52" i="12"/>
  <c r="O44" i="9"/>
  <c r="O108" i="12" s="1"/>
  <c r="E53" i="12"/>
  <c r="E45" i="9"/>
  <c r="E109" i="12" s="1"/>
  <c r="U53" i="12"/>
  <c r="U45" i="9"/>
  <c r="U109" i="12" s="1"/>
  <c r="AC53" i="12"/>
  <c r="AC45" i="9"/>
  <c r="AC109" i="12" s="1"/>
  <c r="K54" i="12"/>
  <c r="K46" i="9"/>
  <c r="K110" i="12" s="1"/>
  <c r="AI54" i="12"/>
  <c r="AI46" i="9"/>
  <c r="AI110" i="12" s="1"/>
  <c r="Q55" i="12"/>
  <c r="Q47" i="9"/>
  <c r="Q111" i="12" s="1"/>
  <c r="Y55" i="12"/>
  <c r="Y47" i="9"/>
  <c r="Y111" i="12" s="1"/>
  <c r="G56" i="12"/>
  <c r="G48" i="9"/>
  <c r="G112" i="12" s="1"/>
  <c r="AE56" i="12"/>
  <c r="AE48" i="9"/>
  <c r="AE112" i="12" s="1"/>
  <c r="M57" i="12"/>
  <c r="M49" i="9"/>
  <c r="M113" i="12" s="1"/>
  <c r="U57" i="12"/>
  <c r="U49" i="9"/>
  <c r="U113" i="12" s="1"/>
  <c r="C58" i="12"/>
  <c r="C50" i="9"/>
  <c r="C114" i="12" s="1"/>
  <c r="AA58" i="12"/>
  <c r="AA50" i="9"/>
  <c r="AA114" i="12" s="1"/>
  <c r="I59" i="12"/>
  <c r="I51" i="9"/>
  <c r="I115" i="12" s="1"/>
  <c r="Q59" i="12"/>
  <c r="Q51" i="9"/>
  <c r="Q115" i="12" s="1"/>
  <c r="AG59" i="12"/>
  <c r="AG51" i="9"/>
  <c r="AG115" i="12" s="1"/>
  <c r="E61" i="12"/>
  <c r="E53" i="9"/>
  <c r="E117" i="12" s="1"/>
  <c r="M61" i="12"/>
  <c r="M53" i="9"/>
  <c r="M117" i="12" s="1"/>
  <c r="AC61" i="12"/>
  <c r="AC53" i="9"/>
  <c r="AC117" i="12" s="1"/>
  <c r="AI62" i="12"/>
  <c r="AI54" i="9"/>
  <c r="AI118" i="12" s="1"/>
  <c r="I63" i="12"/>
  <c r="I55" i="9"/>
  <c r="I119" i="12" s="1"/>
  <c r="Y63" i="12"/>
  <c r="Y55" i="9"/>
  <c r="Y119" i="12" s="1"/>
  <c r="O64" i="12"/>
  <c r="O56" i="9"/>
  <c r="O120" i="12" s="1"/>
  <c r="F13" i="12"/>
  <c r="F5" i="9"/>
  <c r="F69" i="12" s="1"/>
  <c r="N13" i="12"/>
  <c r="N5" i="9"/>
  <c r="N69" i="12" s="1"/>
  <c r="V13" i="12"/>
  <c r="V5" i="9"/>
  <c r="V69" i="12" s="1"/>
  <c r="AD13" i="12"/>
  <c r="AD5" i="9"/>
  <c r="AD69" i="12" s="1"/>
  <c r="D14" i="12"/>
  <c r="D6" i="9"/>
  <c r="D70" i="12" s="1"/>
  <c r="L14" i="12"/>
  <c r="L6" i="9"/>
  <c r="L70" i="12" s="1"/>
  <c r="T14" i="12"/>
  <c r="T6" i="9"/>
  <c r="T70" i="12" s="1"/>
  <c r="AB14" i="12"/>
  <c r="AB6" i="9"/>
  <c r="AB70" i="12" s="1"/>
  <c r="B15" i="12"/>
  <c r="B7" i="9"/>
  <c r="B71" i="12" s="1"/>
  <c r="J15" i="12"/>
  <c r="J7" i="9"/>
  <c r="J71" i="12" s="1"/>
  <c r="R15" i="12"/>
  <c r="R7" i="9"/>
  <c r="R71" i="12" s="1"/>
  <c r="Z15" i="12"/>
  <c r="Z7" i="9"/>
  <c r="Z71" i="12" s="1"/>
  <c r="AH15" i="12"/>
  <c r="AH7" i="9"/>
  <c r="AH71" i="12" s="1"/>
  <c r="H16" i="12"/>
  <c r="H8" i="9"/>
  <c r="H72" i="12" s="1"/>
  <c r="P16" i="12"/>
  <c r="P8" i="9"/>
  <c r="P72" i="12" s="1"/>
  <c r="X16" i="12"/>
  <c r="X8" i="9"/>
  <c r="X72" i="12" s="1"/>
  <c r="AF16" i="12"/>
  <c r="AF8" i="9"/>
  <c r="AF72" i="12" s="1"/>
  <c r="F17" i="12"/>
  <c r="F9" i="9"/>
  <c r="F73" i="12" s="1"/>
  <c r="N17" i="12"/>
  <c r="N9" i="9"/>
  <c r="N73" i="12" s="1"/>
  <c r="V17" i="12"/>
  <c r="V9" i="9"/>
  <c r="V73" i="12" s="1"/>
  <c r="AD17" i="12"/>
  <c r="AD9" i="9"/>
  <c r="AD73" i="12" s="1"/>
  <c r="D18" i="12"/>
  <c r="D10" i="9"/>
  <c r="D74" i="12" s="1"/>
  <c r="L18" i="12"/>
  <c r="L10" i="9"/>
  <c r="L74" i="12" s="1"/>
  <c r="T18" i="12"/>
  <c r="T10" i="9"/>
  <c r="T74" i="12" s="1"/>
  <c r="AB18" i="12"/>
  <c r="AB10" i="9"/>
  <c r="AB74" i="12" s="1"/>
  <c r="B19" i="12"/>
  <c r="B11" i="9"/>
  <c r="B75" i="12" s="1"/>
  <c r="J19" i="12"/>
  <c r="J11" i="9"/>
  <c r="J75" i="12" s="1"/>
  <c r="R19" i="12"/>
  <c r="R11" i="9"/>
  <c r="R75" i="12" s="1"/>
  <c r="Z19" i="12"/>
  <c r="Z11" i="9"/>
  <c r="Z75" i="12" s="1"/>
  <c r="AH19" i="12"/>
  <c r="AH11" i="9"/>
  <c r="AH75" i="12" s="1"/>
  <c r="H20" i="12"/>
  <c r="H12" i="9"/>
  <c r="H76" i="12" s="1"/>
  <c r="P20" i="12"/>
  <c r="P12" i="9"/>
  <c r="P76" i="12" s="1"/>
  <c r="X20" i="12"/>
  <c r="X12" i="9"/>
  <c r="X76" i="12" s="1"/>
  <c r="AF20" i="12"/>
  <c r="AF12" i="9"/>
  <c r="AF76" i="12" s="1"/>
  <c r="F21" i="12"/>
  <c r="F13" i="9"/>
  <c r="F77" i="12" s="1"/>
  <c r="N21" i="12"/>
  <c r="N13" i="9"/>
  <c r="N77" i="12" s="1"/>
  <c r="V21" i="12"/>
  <c r="V13" i="9"/>
  <c r="V77" i="12" s="1"/>
  <c r="AD21" i="12"/>
  <c r="AD13" i="9"/>
  <c r="AD77" i="12" s="1"/>
  <c r="D22" i="12"/>
  <c r="D14" i="9"/>
  <c r="D78" i="12" s="1"/>
  <c r="L22" i="12"/>
  <c r="L14" i="9"/>
  <c r="L78" i="12" s="1"/>
  <c r="T22" i="12"/>
  <c r="T14" i="9"/>
  <c r="T78" i="12" s="1"/>
  <c r="AB22" i="12"/>
  <c r="AB14" i="9"/>
  <c r="AB78" i="12" s="1"/>
  <c r="B23" i="12"/>
  <c r="B15" i="9"/>
  <c r="B79" i="12" s="1"/>
  <c r="J23" i="12"/>
  <c r="J15" i="9"/>
  <c r="J79" i="12" s="1"/>
  <c r="R23" i="12"/>
  <c r="R15" i="9"/>
  <c r="R79" i="12" s="1"/>
  <c r="Z23" i="12"/>
  <c r="Z15" i="9"/>
  <c r="Z79" i="12" s="1"/>
  <c r="AH23" i="12"/>
  <c r="AH15" i="9"/>
  <c r="AH79" i="12" s="1"/>
  <c r="H24" i="12"/>
  <c r="H16" i="9"/>
  <c r="H80" i="12" s="1"/>
  <c r="P24" i="12"/>
  <c r="P16" i="9"/>
  <c r="P80" i="12" s="1"/>
  <c r="X24" i="12"/>
  <c r="X16" i="9"/>
  <c r="X80" i="12" s="1"/>
  <c r="AF24" i="12"/>
  <c r="AF16" i="9"/>
  <c r="AF80" i="12" s="1"/>
  <c r="F25" i="12"/>
  <c r="F17" i="9"/>
  <c r="F81" i="12" s="1"/>
  <c r="N25" i="12"/>
  <c r="N17" i="9"/>
  <c r="N81" i="12" s="1"/>
  <c r="V25" i="12"/>
  <c r="V17" i="9"/>
  <c r="V81" i="12" s="1"/>
  <c r="AD25" i="12"/>
  <c r="AD17" i="9"/>
  <c r="AD81" i="12" s="1"/>
  <c r="D26" i="12"/>
  <c r="D18" i="9"/>
  <c r="D82" i="12" s="1"/>
  <c r="L26" i="12"/>
  <c r="L18" i="9"/>
  <c r="L82" i="12" s="1"/>
  <c r="T26" i="12"/>
  <c r="T18" i="9"/>
  <c r="T82" i="12" s="1"/>
  <c r="AB26" i="12"/>
  <c r="AB18" i="9"/>
  <c r="AB82" i="12" s="1"/>
  <c r="B27" i="12"/>
  <c r="B19" i="9"/>
  <c r="B83" i="12" s="1"/>
  <c r="J27" i="12"/>
  <c r="J19" i="9"/>
  <c r="J83" i="12" s="1"/>
  <c r="R27" i="12"/>
  <c r="R19" i="9"/>
  <c r="R83" i="12" s="1"/>
  <c r="Z27" i="12"/>
  <c r="Z19" i="9"/>
  <c r="Z83" i="12" s="1"/>
  <c r="AH27" i="12"/>
  <c r="AH19" i="9"/>
  <c r="AH83" i="12" s="1"/>
  <c r="H28" i="12"/>
  <c r="H20" i="9"/>
  <c r="H84" i="12" s="1"/>
  <c r="P28" i="12"/>
  <c r="P20" i="9"/>
  <c r="P84" i="12" s="1"/>
  <c r="X28" i="12"/>
  <c r="X20" i="9"/>
  <c r="X84" i="12" s="1"/>
  <c r="AF28" i="12"/>
  <c r="AF20" i="9"/>
  <c r="AF84" i="12" s="1"/>
  <c r="F29" i="12"/>
  <c r="F21" i="9"/>
  <c r="F85" i="12" s="1"/>
  <c r="N29" i="12"/>
  <c r="N21" i="9"/>
  <c r="N85" i="12" s="1"/>
  <c r="V29" i="12"/>
  <c r="V21" i="9"/>
  <c r="V85" i="12" s="1"/>
  <c r="AD29" i="12"/>
  <c r="AD21" i="9"/>
  <c r="AD85" i="12" s="1"/>
  <c r="D30" i="12"/>
  <c r="D22" i="9"/>
  <c r="D86" i="12" s="1"/>
  <c r="L30" i="12"/>
  <c r="L22" i="9"/>
  <c r="L86" i="12" s="1"/>
  <c r="T30" i="12"/>
  <c r="T22" i="9"/>
  <c r="T86" i="12" s="1"/>
  <c r="B31" i="12"/>
  <c r="B23" i="9"/>
  <c r="B87" i="12" s="1"/>
  <c r="J31" i="12"/>
  <c r="J23" i="9"/>
  <c r="J87" i="12" s="1"/>
  <c r="R31" i="12"/>
  <c r="R23" i="9"/>
  <c r="R87" i="12" s="1"/>
  <c r="AH31" i="12"/>
  <c r="AH23" i="9"/>
  <c r="AH87" i="12" s="1"/>
  <c r="H32" i="12"/>
  <c r="H24" i="9"/>
  <c r="H88" i="12" s="1"/>
  <c r="P32" i="12"/>
  <c r="P24" i="9"/>
  <c r="P88" i="12" s="1"/>
  <c r="AF32" i="12"/>
  <c r="AF24" i="9"/>
  <c r="AF88" i="12" s="1"/>
  <c r="F33" i="12"/>
  <c r="F25" i="9"/>
  <c r="F89" i="12" s="1"/>
  <c r="N33" i="12"/>
  <c r="N25" i="9"/>
  <c r="N89" i="12" s="1"/>
  <c r="AD33" i="12"/>
  <c r="AD25" i="9"/>
  <c r="AD89" i="12" s="1"/>
  <c r="D34" i="12"/>
  <c r="D26" i="9"/>
  <c r="D90" i="12" s="1"/>
  <c r="L34" i="12"/>
  <c r="L26" i="9"/>
  <c r="L90" i="12" s="1"/>
  <c r="AB34" i="12"/>
  <c r="AB26" i="9"/>
  <c r="AB90" i="12" s="1"/>
  <c r="B35" i="12"/>
  <c r="B27" i="9"/>
  <c r="B91" i="12" s="1"/>
  <c r="J35" i="12"/>
  <c r="J27" i="9"/>
  <c r="J91" i="12" s="1"/>
  <c r="Z35" i="12"/>
  <c r="Z27" i="9"/>
  <c r="Z91" i="12" s="1"/>
  <c r="AH35" i="12"/>
  <c r="AH27" i="9"/>
  <c r="AH91" i="12" s="1"/>
  <c r="H36" i="12"/>
  <c r="H28" i="9"/>
  <c r="H92" i="12" s="1"/>
  <c r="X36" i="12"/>
  <c r="X28" i="9"/>
  <c r="X92" i="12" s="1"/>
  <c r="AF36" i="12"/>
  <c r="AF28" i="9"/>
  <c r="AF92" i="12" s="1"/>
  <c r="F37" i="12"/>
  <c r="F29" i="9"/>
  <c r="F93" i="12" s="1"/>
  <c r="V37" i="12"/>
  <c r="V29" i="9"/>
  <c r="V93" i="12" s="1"/>
  <c r="AD37" i="12"/>
  <c r="AD29" i="9"/>
  <c r="AD93" i="12" s="1"/>
  <c r="D38" i="12"/>
  <c r="D30" i="9"/>
  <c r="D94" i="12" s="1"/>
  <c r="T38" i="12"/>
  <c r="T30" i="9"/>
  <c r="T94" i="12" s="1"/>
  <c r="AB38" i="12"/>
  <c r="AB30" i="9"/>
  <c r="AB94" i="12" s="1"/>
  <c r="B39" i="12"/>
  <c r="B31" i="9"/>
  <c r="B95" i="12" s="1"/>
  <c r="R39" i="12"/>
  <c r="R31" i="9"/>
  <c r="R95" i="12" s="1"/>
  <c r="Z39" i="12"/>
  <c r="Z31" i="9"/>
  <c r="Z95" i="12" s="1"/>
  <c r="AH39" i="12"/>
  <c r="AH31" i="9"/>
  <c r="AH95" i="12" s="1"/>
  <c r="P40" i="12"/>
  <c r="P32" i="9"/>
  <c r="P96" i="12" s="1"/>
  <c r="X40" i="12"/>
  <c r="X32" i="9"/>
  <c r="X96" i="12" s="1"/>
  <c r="AF40" i="12"/>
  <c r="AF32" i="9"/>
  <c r="AF96" i="12" s="1"/>
  <c r="N41" i="12"/>
  <c r="N33" i="9"/>
  <c r="N97" i="12" s="1"/>
  <c r="V41" i="12"/>
  <c r="V33" i="9"/>
  <c r="V97" i="12" s="1"/>
  <c r="AD41" i="12"/>
  <c r="AD33" i="9"/>
  <c r="AD97" i="12" s="1"/>
  <c r="L42" i="12"/>
  <c r="L34" i="9"/>
  <c r="L98" i="12" s="1"/>
  <c r="T42" i="12"/>
  <c r="T34" i="9"/>
  <c r="T98" i="12" s="1"/>
  <c r="AB42" i="12"/>
  <c r="AB34" i="9"/>
  <c r="AB98" i="12" s="1"/>
  <c r="J43" i="12"/>
  <c r="J35" i="9"/>
  <c r="J99" i="12" s="1"/>
  <c r="R43" i="12"/>
  <c r="R35" i="9"/>
  <c r="R99" i="12" s="1"/>
  <c r="Z43" i="12"/>
  <c r="Z35" i="9"/>
  <c r="Z99" i="12" s="1"/>
  <c r="H44" i="12"/>
  <c r="H36" i="9"/>
  <c r="H100" i="12" s="1"/>
  <c r="P44" i="12"/>
  <c r="P36" i="9"/>
  <c r="P100" i="12" s="1"/>
  <c r="X44" i="12"/>
  <c r="X36" i="9"/>
  <c r="X100" i="12" s="1"/>
  <c r="F45" i="12"/>
  <c r="F37" i="9"/>
  <c r="F101" i="12" s="1"/>
  <c r="N45" i="12"/>
  <c r="N37" i="9"/>
  <c r="N101" i="12" s="1"/>
  <c r="V45" i="12"/>
  <c r="V37" i="9"/>
  <c r="V101" i="12" s="1"/>
  <c r="L46" i="12"/>
  <c r="L38" i="9"/>
  <c r="L102" i="12" s="1"/>
  <c r="T46" i="12"/>
  <c r="T38" i="9"/>
  <c r="T102" i="12" s="1"/>
  <c r="J47" i="12"/>
  <c r="J39" i="9"/>
  <c r="J103" i="12" s="1"/>
  <c r="R47" i="12"/>
  <c r="R39" i="9"/>
  <c r="R103" i="12" s="1"/>
  <c r="H48" i="12"/>
  <c r="H40" i="9"/>
  <c r="H104" i="12" s="1"/>
  <c r="P48" i="12"/>
  <c r="P40" i="9"/>
  <c r="P104" i="12" s="1"/>
  <c r="F49" i="12"/>
  <c r="F41" i="9"/>
  <c r="F105" i="12" s="1"/>
  <c r="N49" i="12"/>
  <c r="N41" i="9"/>
  <c r="N105" i="12" s="1"/>
  <c r="D50" i="12"/>
  <c r="D42" i="9"/>
  <c r="D106" i="12" s="1"/>
  <c r="L50" i="12"/>
  <c r="L42" i="9"/>
  <c r="L106" i="12" s="1"/>
  <c r="B51" i="12"/>
  <c r="B43" i="9"/>
  <c r="B107" i="12" s="1"/>
  <c r="J51" i="12"/>
  <c r="J43" i="9"/>
  <c r="J107" i="12" s="1"/>
  <c r="AH51" i="12"/>
  <c r="AH43" i="9"/>
  <c r="AH107" i="12" s="1"/>
  <c r="P52" i="12"/>
  <c r="P44" i="9"/>
  <c r="P108" i="12" s="1"/>
  <c r="X52" i="12"/>
  <c r="X44" i="9"/>
  <c r="X108" i="12" s="1"/>
  <c r="F53" i="12"/>
  <c r="F45" i="9"/>
  <c r="F109" i="12" s="1"/>
  <c r="AD53" i="12"/>
  <c r="AD45" i="9"/>
  <c r="AD109" i="12" s="1"/>
  <c r="L54" i="12"/>
  <c r="L46" i="9"/>
  <c r="L110" i="12" s="1"/>
  <c r="T54" i="12"/>
  <c r="T46" i="9"/>
  <c r="T110" i="12" s="1"/>
  <c r="B55" i="12"/>
  <c r="B47" i="9"/>
  <c r="B111" i="12" s="1"/>
  <c r="Z55" i="12"/>
  <c r="Z47" i="9"/>
  <c r="Z111" i="12" s="1"/>
  <c r="H56" i="12"/>
  <c r="H48" i="9"/>
  <c r="H112" i="12" s="1"/>
  <c r="P56" i="12"/>
  <c r="P48" i="9"/>
  <c r="P112" i="12" s="1"/>
  <c r="AF56" i="12"/>
  <c r="AF48" i="9"/>
  <c r="AF112" i="12" s="1"/>
  <c r="V57" i="12"/>
  <c r="V49" i="9"/>
  <c r="V113" i="12" s="1"/>
  <c r="D58" i="12"/>
  <c r="D50" i="9"/>
  <c r="D114" i="12" s="1"/>
  <c r="L58" i="12"/>
  <c r="L50" i="9"/>
  <c r="L114" i="12" s="1"/>
  <c r="AB58" i="12"/>
  <c r="AB50" i="9"/>
  <c r="AB114" i="12" s="1"/>
  <c r="AH59" i="12"/>
  <c r="AH51" i="9"/>
  <c r="AH115" i="12" s="1"/>
  <c r="H60" i="12"/>
  <c r="H52" i="9"/>
  <c r="H116" i="12" s="1"/>
  <c r="X60" i="12"/>
  <c r="X52" i="9"/>
  <c r="X116" i="12" s="1"/>
  <c r="AD61" i="12"/>
  <c r="AD53" i="9"/>
  <c r="AD117" i="12" s="1"/>
  <c r="D62" i="12"/>
  <c r="D54" i="9"/>
  <c r="D118" i="12" s="1"/>
  <c r="T62" i="12"/>
  <c r="T54" i="9"/>
  <c r="T118" i="12" s="1"/>
  <c r="Z63" i="12"/>
  <c r="Z55" i="9"/>
  <c r="Z119" i="12" s="1"/>
  <c r="AH63" i="12"/>
  <c r="AH55" i="9"/>
  <c r="AH119" i="12" s="1"/>
  <c r="G13" i="12"/>
  <c r="G5" i="9"/>
  <c r="G69" i="12" s="1"/>
  <c r="O13" i="12"/>
  <c r="O5" i="9"/>
  <c r="O69" i="12" s="1"/>
  <c r="W13" i="12"/>
  <c r="W5" i="9"/>
  <c r="W69" i="12" s="1"/>
  <c r="AE13" i="12"/>
  <c r="AE5" i="9"/>
  <c r="AE69" i="12" s="1"/>
  <c r="E14" i="12"/>
  <c r="E6" i="9"/>
  <c r="E70" i="12" s="1"/>
  <c r="M14" i="12"/>
  <c r="M6" i="9"/>
  <c r="M70" i="12" s="1"/>
  <c r="U14" i="12"/>
  <c r="U6" i="9"/>
  <c r="U70" i="12" s="1"/>
  <c r="AC14" i="12"/>
  <c r="AC6" i="9"/>
  <c r="AC70" i="12" s="1"/>
  <c r="C15" i="12"/>
  <c r="C7" i="9"/>
  <c r="C71" i="12" s="1"/>
  <c r="K15" i="12"/>
  <c r="K7" i="9"/>
  <c r="K71" i="12" s="1"/>
  <c r="S15" i="12"/>
  <c r="S7" i="9"/>
  <c r="S71" i="12" s="1"/>
  <c r="AA15" i="12"/>
  <c r="AA7" i="9"/>
  <c r="AA71" i="12" s="1"/>
  <c r="AI15" i="12"/>
  <c r="AI7" i="9"/>
  <c r="AI71" i="12" s="1"/>
  <c r="I16" i="12"/>
  <c r="I8" i="9"/>
  <c r="I72" i="12" s="1"/>
  <c r="Q16" i="12"/>
  <c r="Q8" i="9"/>
  <c r="Q72" i="12" s="1"/>
  <c r="Y16" i="12"/>
  <c r="Y8" i="9"/>
  <c r="Y72" i="12" s="1"/>
  <c r="AG16" i="12"/>
  <c r="AG8" i="9"/>
  <c r="AG72" i="12" s="1"/>
  <c r="G17" i="12"/>
  <c r="G9" i="9"/>
  <c r="G73" i="12" s="1"/>
  <c r="O17" i="12"/>
  <c r="O9" i="9"/>
  <c r="O73" i="12" s="1"/>
  <c r="W17" i="12"/>
  <c r="W9" i="9"/>
  <c r="W73" i="12" s="1"/>
  <c r="AE17" i="12"/>
  <c r="AE9" i="9"/>
  <c r="AE73" i="12" s="1"/>
  <c r="E18" i="12"/>
  <c r="E10" i="9"/>
  <c r="E74" i="12" s="1"/>
  <c r="M18" i="12"/>
  <c r="M10" i="9"/>
  <c r="M74" i="12" s="1"/>
  <c r="U18" i="12"/>
  <c r="U10" i="9"/>
  <c r="U74" i="12" s="1"/>
  <c r="AC18" i="12"/>
  <c r="AC10" i="9"/>
  <c r="AC74" i="12" s="1"/>
  <c r="C19" i="12"/>
  <c r="C11" i="9"/>
  <c r="C75" i="12" s="1"/>
  <c r="K19" i="12"/>
  <c r="K11" i="9"/>
  <c r="K75" i="12" s="1"/>
  <c r="S19" i="12"/>
  <c r="S11" i="9"/>
  <c r="S75" i="12" s="1"/>
  <c r="AA19" i="12"/>
  <c r="AA11" i="9"/>
  <c r="AA75" i="12" s="1"/>
  <c r="AI19" i="12"/>
  <c r="AI11" i="9"/>
  <c r="AI75" i="12" s="1"/>
  <c r="I20" i="12"/>
  <c r="I12" i="9"/>
  <c r="I76" i="12" s="1"/>
  <c r="Q20" i="12"/>
  <c r="Q12" i="9"/>
  <c r="Q76" i="12" s="1"/>
  <c r="Y20" i="12"/>
  <c r="Y12" i="9"/>
  <c r="Y76" i="12" s="1"/>
  <c r="AG20" i="12"/>
  <c r="AG12" i="9"/>
  <c r="AG76" i="12" s="1"/>
  <c r="G21" i="12"/>
  <c r="G13" i="9"/>
  <c r="G77" i="12" s="1"/>
  <c r="O21" i="12"/>
  <c r="O13" i="9"/>
  <c r="O77" i="12" s="1"/>
  <c r="W21" i="12"/>
  <c r="W13" i="9"/>
  <c r="W77" i="12" s="1"/>
  <c r="AE21" i="12"/>
  <c r="AE13" i="9"/>
  <c r="AE77" i="12" s="1"/>
  <c r="E22" i="12"/>
  <c r="E14" i="9"/>
  <c r="E78" i="12" s="1"/>
  <c r="M22" i="12"/>
  <c r="M14" i="9"/>
  <c r="M78" i="12" s="1"/>
  <c r="U22" i="12"/>
  <c r="U14" i="9"/>
  <c r="U78" i="12" s="1"/>
  <c r="AC22" i="12"/>
  <c r="AC14" i="9"/>
  <c r="AC78" i="12" s="1"/>
  <c r="C23" i="12"/>
  <c r="C15" i="9"/>
  <c r="C79" i="12" s="1"/>
  <c r="K23" i="12"/>
  <c r="K15" i="9"/>
  <c r="K79" i="12" s="1"/>
  <c r="S23" i="12"/>
  <c r="S15" i="9"/>
  <c r="S79" i="12" s="1"/>
  <c r="AA23" i="12"/>
  <c r="AA15" i="9"/>
  <c r="AA79" i="12" s="1"/>
  <c r="AI23" i="12"/>
  <c r="AI15" i="9"/>
  <c r="AI79" i="12" s="1"/>
  <c r="I24" i="12"/>
  <c r="I16" i="9"/>
  <c r="I80" i="12" s="1"/>
  <c r="Q24" i="12"/>
  <c r="Q16" i="9"/>
  <c r="Q80" i="12" s="1"/>
  <c r="Y24" i="12"/>
  <c r="Y16" i="9"/>
  <c r="Y80" i="12" s="1"/>
  <c r="AG24" i="12"/>
  <c r="AG16" i="9"/>
  <c r="AG80" i="12" s="1"/>
  <c r="G25" i="12"/>
  <c r="G17" i="9"/>
  <c r="G81" i="12" s="1"/>
  <c r="O25" i="12"/>
  <c r="O17" i="9"/>
  <c r="O81" i="12" s="1"/>
  <c r="W25" i="12"/>
  <c r="W17" i="9"/>
  <c r="W81" i="12" s="1"/>
  <c r="AE25" i="12"/>
  <c r="AE17" i="9"/>
  <c r="AE81" i="12" s="1"/>
  <c r="E26" i="12"/>
  <c r="E18" i="9"/>
  <c r="E82" i="12" s="1"/>
  <c r="M26" i="12"/>
  <c r="M18" i="9"/>
  <c r="M82" i="12" s="1"/>
  <c r="U26" i="12"/>
  <c r="U18" i="9"/>
  <c r="U82" i="12" s="1"/>
  <c r="AC26" i="12"/>
  <c r="AC18" i="9"/>
  <c r="AC82" i="12" s="1"/>
  <c r="C27" i="12"/>
  <c r="C19" i="9"/>
  <c r="C83" i="12" s="1"/>
  <c r="K27" i="12"/>
  <c r="K19" i="9"/>
  <c r="K83" i="12" s="1"/>
  <c r="S27" i="12"/>
  <c r="S19" i="9"/>
  <c r="S83" i="12" s="1"/>
  <c r="AA27" i="12"/>
  <c r="AA19" i="9"/>
  <c r="AA83" i="12" s="1"/>
  <c r="AI27" i="12"/>
  <c r="AI19" i="9"/>
  <c r="AI83" i="12" s="1"/>
  <c r="I28" i="12"/>
  <c r="I20" i="9"/>
  <c r="I84" i="12" s="1"/>
  <c r="Q28" i="12"/>
  <c r="Q20" i="9"/>
  <c r="Q84" i="12" s="1"/>
  <c r="Y28" i="12"/>
  <c r="Y20" i="9"/>
  <c r="Y84" i="12" s="1"/>
  <c r="AG28" i="12"/>
  <c r="AG20" i="9"/>
  <c r="AG84" i="12" s="1"/>
  <c r="G29" i="12"/>
  <c r="G21" i="9"/>
  <c r="G85" i="12" s="1"/>
  <c r="O29" i="12"/>
  <c r="O21" i="9"/>
  <c r="O85" i="12" s="1"/>
  <c r="W29" i="12"/>
  <c r="W21" i="9"/>
  <c r="W85" i="12" s="1"/>
  <c r="AE29" i="12"/>
  <c r="AE21" i="9"/>
  <c r="AE85" i="12" s="1"/>
  <c r="E30" i="12"/>
  <c r="E22" i="9"/>
  <c r="E86" i="12" s="1"/>
  <c r="M30" i="12"/>
  <c r="M22" i="9"/>
  <c r="M86" i="12" s="1"/>
  <c r="U30" i="12"/>
  <c r="U22" i="9"/>
  <c r="U86" i="12" s="1"/>
  <c r="K31" i="12"/>
  <c r="K23" i="9"/>
  <c r="K87" i="12" s="1"/>
  <c r="S31" i="12"/>
  <c r="S23" i="9"/>
  <c r="S87" i="12" s="1"/>
  <c r="I32" i="12"/>
  <c r="I24" i="9"/>
  <c r="I88" i="12" s="1"/>
  <c r="Q32" i="12"/>
  <c r="Q24" i="9"/>
  <c r="Q88" i="12" s="1"/>
  <c r="G33" i="12"/>
  <c r="G25" i="9"/>
  <c r="G89" i="12" s="1"/>
  <c r="O33" i="12"/>
  <c r="O25" i="9"/>
  <c r="O89" i="12" s="1"/>
  <c r="E34" i="12"/>
  <c r="E26" i="9"/>
  <c r="E90" i="12" s="1"/>
  <c r="M34" i="12"/>
  <c r="M26" i="9"/>
  <c r="M90" i="12" s="1"/>
  <c r="C35" i="12"/>
  <c r="C27" i="9"/>
  <c r="C91" i="12" s="1"/>
  <c r="K35" i="12"/>
  <c r="K27" i="9"/>
  <c r="K91" i="12" s="1"/>
  <c r="AI35" i="12"/>
  <c r="AI27" i="9"/>
  <c r="AI91" i="12" s="1"/>
  <c r="I36" i="12"/>
  <c r="I28" i="9"/>
  <c r="I92" i="12" s="1"/>
  <c r="AG36" i="12"/>
  <c r="AG28" i="9"/>
  <c r="AG92" i="12" s="1"/>
  <c r="G37" i="12"/>
  <c r="G29" i="9"/>
  <c r="G93" i="12" s="1"/>
  <c r="AE37" i="12"/>
  <c r="AE29" i="9"/>
  <c r="AE93" i="12" s="1"/>
  <c r="E38" i="12"/>
  <c r="E30" i="9"/>
  <c r="E94" i="12" s="1"/>
  <c r="AC38" i="12"/>
  <c r="AC30" i="9"/>
  <c r="AC94" i="12" s="1"/>
  <c r="C39" i="12"/>
  <c r="C31" i="9"/>
  <c r="C95" i="12" s="1"/>
  <c r="AA39" i="12"/>
  <c r="AA31" i="9"/>
  <c r="AA95" i="12" s="1"/>
  <c r="AI39" i="12"/>
  <c r="AI31" i="9"/>
  <c r="AI95" i="12" s="1"/>
  <c r="Y40" i="12"/>
  <c r="Y32" i="9"/>
  <c r="Y96" i="12" s="1"/>
  <c r="AG40" i="12"/>
  <c r="AG32" i="9"/>
  <c r="AG96" i="12" s="1"/>
  <c r="W41" i="12"/>
  <c r="W33" i="9"/>
  <c r="W97" i="12" s="1"/>
  <c r="AE41" i="12"/>
  <c r="AE33" i="9"/>
  <c r="AE97" i="12" s="1"/>
  <c r="U42" i="12"/>
  <c r="U34" i="9"/>
  <c r="U98" i="12" s="1"/>
  <c r="AC42" i="12"/>
  <c r="AC34" i="9"/>
  <c r="AC98" i="12" s="1"/>
  <c r="S43" i="12"/>
  <c r="S35" i="9"/>
  <c r="S99" i="12" s="1"/>
  <c r="AA43" i="12"/>
  <c r="AA35" i="9"/>
  <c r="AA99" i="12" s="1"/>
  <c r="Q44" i="12"/>
  <c r="Q36" i="9"/>
  <c r="Q100" i="12" s="1"/>
  <c r="Y44" i="12"/>
  <c r="Y36" i="9"/>
  <c r="Y100" i="12" s="1"/>
  <c r="O45" i="12"/>
  <c r="O37" i="9"/>
  <c r="O101" i="12" s="1"/>
  <c r="W45" i="12"/>
  <c r="W37" i="9"/>
  <c r="W101" i="12" s="1"/>
  <c r="M46" i="12"/>
  <c r="M38" i="9"/>
  <c r="M102" i="12" s="1"/>
  <c r="U46" i="12"/>
  <c r="U38" i="9"/>
  <c r="U102" i="12" s="1"/>
  <c r="K47" i="12"/>
  <c r="K39" i="9"/>
  <c r="K103" i="12" s="1"/>
  <c r="S47" i="12"/>
  <c r="S39" i="9"/>
  <c r="S103" i="12" s="1"/>
  <c r="I48" i="12"/>
  <c r="I40" i="9"/>
  <c r="I104" i="12" s="1"/>
  <c r="Q48" i="12"/>
  <c r="Q40" i="9"/>
  <c r="Q104" i="12" s="1"/>
  <c r="G49" i="12"/>
  <c r="G41" i="9"/>
  <c r="G105" i="12" s="1"/>
  <c r="O49" i="12"/>
  <c r="O41" i="9"/>
  <c r="O105" i="12" s="1"/>
  <c r="E50" i="12"/>
  <c r="E42" i="9"/>
  <c r="E106" i="12" s="1"/>
  <c r="M50" i="12"/>
  <c r="M42" i="9"/>
  <c r="M106" i="12" s="1"/>
  <c r="C51" i="12"/>
  <c r="C43" i="9"/>
  <c r="C107" i="12" s="1"/>
  <c r="K51" i="12"/>
  <c r="K43" i="9"/>
  <c r="K107" i="12" s="1"/>
  <c r="Q64" i="12"/>
  <c r="Q56" i="9"/>
  <c r="Q120" i="12" s="1"/>
  <c r="AG64" i="12"/>
  <c r="AG56" i="9"/>
  <c r="AG120" i="12" s="1"/>
  <c r="N30" i="12"/>
  <c r="N22" i="9"/>
  <c r="N86" i="12" s="1"/>
  <c r="V30" i="12"/>
  <c r="V22" i="9"/>
  <c r="V86" i="12" s="1"/>
  <c r="AD30" i="12"/>
  <c r="AD22" i="9"/>
  <c r="AD86" i="12" s="1"/>
  <c r="L31" i="12"/>
  <c r="L23" i="9"/>
  <c r="L87" i="12" s="1"/>
  <c r="T31" i="12"/>
  <c r="T23" i="9"/>
  <c r="T87" i="12" s="1"/>
  <c r="AB31" i="12"/>
  <c r="AB23" i="9"/>
  <c r="AB87" i="12" s="1"/>
  <c r="J32" i="12"/>
  <c r="J24" i="9"/>
  <c r="J88" i="12" s="1"/>
  <c r="R32" i="12"/>
  <c r="R24" i="9"/>
  <c r="R88" i="12" s="1"/>
  <c r="Z32" i="12"/>
  <c r="Z24" i="9"/>
  <c r="Z88" i="12" s="1"/>
  <c r="H33" i="12"/>
  <c r="H25" i="9"/>
  <c r="H89" i="12" s="1"/>
  <c r="P33" i="12"/>
  <c r="P25" i="9"/>
  <c r="P89" i="12" s="1"/>
  <c r="X33" i="12"/>
  <c r="X25" i="9"/>
  <c r="X89" i="12" s="1"/>
  <c r="F34" i="12"/>
  <c r="F26" i="9"/>
  <c r="F90" i="12" s="1"/>
  <c r="N34" i="12"/>
  <c r="N26" i="9"/>
  <c r="N90" i="12" s="1"/>
  <c r="V34" i="12"/>
  <c r="V26" i="9"/>
  <c r="V90" i="12" s="1"/>
  <c r="D35" i="12"/>
  <c r="D27" i="9"/>
  <c r="D91" i="12" s="1"/>
  <c r="L35" i="12"/>
  <c r="L27" i="9"/>
  <c r="L91" i="12" s="1"/>
  <c r="T35" i="12"/>
  <c r="T27" i="9"/>
  <c r="T91" i="12" s="1"/>
  <c r="B36" i="12"/>
  <c r="B28" i="9"/>
  <c r="B92" i="12" s="1"/>
  <c r="J36" i="12"/>
  <c r="J28" i="9"/>
  <c r="J92" i="12" s="1"/>
  <c r="R36" i="12"/>
  <c r="R28" i="9"/>
  <c r="R92" i="12" s="1"/>
  <c r="AH36" i="12"/>
  <c r="AH28" i="9"/>
  <c r="AH92" i="12" s="1"/>
  <c r="H37" i="12"/>
  <c r="H29" i="9"/>
  <c r="H93" i="12" s="1"/>
  <c r="P37" i="12"/>
  <c r="P29" i="9"/>
  <c r="P93" i="12" s="1"/>
  <c r="AF37" i="12"/>
  <c r="AF29" i="9"/>
  <c r="AF93" i="12" s="1"/>
  <c r="F38" i="12"/>
  <c r="F30" i="9"/>
  <c r="F94" i="12" s="1"/>
  <c r="N38" i="12"/>
  <c r="N30" i="9"/>
  <c r="N94" i="12" s="1"/>
  <c r="AD38" i="12"/>
  <c r="AD30" i="9"/>
  <c r="AD94" i="12" s="1"/>
  <c r="D39" i="12"/>
  <c r="D31" i="9"/>
  <c r="D95" i="12" s="1"/>
  <c r="L39" i="12"/>
  <c r="L31" i="9"/>
  <c r="L95" i="12" s="1"/>
  <c r="AB39" i="12"/>
  <c r="AB31" i="9"/>
  <c r="AB95" i="12" s="1"/>
  <c r="B40" i="12"/>
  <c r="B32" i="9"/>
  <c r="B96" i="12" s="1"/>
  <c r="J40" i="12"/>
  <c r="J32" i="9"/>
  <c r="J96" i="12" s="1"/>
  <c r="Z40" i="12"/>
  <c r="Z32" i="9"/>
  <c r="Z96" i="12" s="1"/>
  <c r="AH40" i="12"/>
  <c r="AH32" i="9"/>
  <c r="AH96" i="12" s="1"/>
  <c r="H41" i="12"/>
  <c r="H33" i="9"/>
  <c r="H97" i="12" s="1"/>
  <c r="X41" i="12"/>
  <c r="X33" i="9"/>
  <c r="X97" i="12" s="1"/>
  <c r="AF41" i="12"/>
  <c r="AF33" i="9"/>
  <c r="AF97" i="12" s="1"/>
  <c r="F42" i="12"/>
  <c r="F34" i="9"/>
  <c r="F98" i="12" s="1"/>
  <c r="V42" i="12"/>
  <c r="V34" i="9"/>
  <c r="V98" i="12" s="1"/>
  <c r="AD42" i="12"/>
  <c r="AD34" i="9"/>
  <c r="AD98" i="12" s="1"/>
  <c r="D43" i="12"/>
  <c r="D35" i="9"/>
  <c r="D99" i="12" s="1"/>
  <c r="T43" i="12"/>
  <c r="T35" i="9"/>
  <c r="T99" i="12" s="1"/>
  <c r="AB43" i="12"/>
  <c r="AB35" i="9"/>
  <c r="AB99" i="12" s="1"/>
  <c r="B44" i="12"/>
  <c r="B36" i="9"/>
  <c r="B100" i="12" s="1"/>
  <c r="R44" i="12"/>
  <c r="R36" i="9"/>
  <c r="R100" i="12" s="1"/>
  <c r="Z44" i="12"/>
  <c r="Z36" i="9"/>
  <c r="Z100" i="12" s="1"/>
  <c r="AH44" i="12"/>
  <c r="AH36" i="9"/>
  <c r="AH100" i="12" s="1"/>
  <c r="P45" i="12"/>
  <c r="P37" i="9"/>
  <c r="P101" i="12" s="1"/>
  <c r="X45" i="12"/>
  <c r="X37" i="9"/>
  <c r="X101" i="12" s="1"/>
  <c r="AF45" i="12"/>
  <c r="AF37" i="9"/>
  <c r="AF101" i="12" s="1"/>
  <c r="V46" i="12"/>
  <c r="V38" i="9"/>
  <c r="V102" i="12" s="1"/>
  <c r="AD46" i="12"/>
  <c r="AD38" i="9"/>
  <c r="AD102" i="12" s="1"/>
  <c r="T47" i="12"/>
  <c r="T39" i="9"/>
  <c r="T103" i="12" s="1"/>
  <c r="AB47" i="12"/>
  <c r="AB39" i="9"/>
  <c r="AB103" i="12" s="1"/>
  <c r="R48" i="12"/>
  <c r="R40" i="9"/>
  <c r="R104" i="12" s="1"/>
  <c r="Z48" i="12"/>
  <c r="Z40" i="9"/>
  <c r="Z104" i="12" s="1"/>
  <c r="P49" i="12"/>
  <c r="P41" i="9"/>
  <c r="P105" i="12" s="1"/>
  <c r="X49" i="12"/>
  <c r="X41" i="9"/>
  <c r="X105" i="12" s="1"/>
  <c r="N50" i="12"/>
  <c r="N42" i="9"/>
  <c r="N106" i="12" s="1"/>
  <c r="V50" i="12"/>
  <c r="V42" i="9"/>
  <c r="V106" i="12" s="1"/>
  <c r="L51" i="12"/>
  <c r="L43" i="9"/>
  <c r="L107" i="12" s="1"/>
  <c r="T51" i="12"/>
  <c r="T43" i="9"/>
  <c r="T107" i="12" s="1"/>
  <c r="B52" i="12"/>
  <c r="B44" i="9"/>
  <c r="B108" i="12" s="1"/>
  <c r="Z52" i="12"/>
  <c r="Z44" i="9"/>
  <c r="Z108" i="12" s="1"/>
  <c r="H53" i="12"/>
  <c r="H45" i="9"/>
  <c r="H109" i="12" s="1"/>
  <c r="P53" i="12"/>
  <c r="P45" i="9"/>
  <c r="P109" i="12" s="1"/>
  <c r="AF53" i="12"/>
  <c r="AF45" i="9"/>
  <c r="AF109" i="12" s="1"/>
  <c r="V54" i="12"/>
  <c r="V46" i="9"/>
  <c r="V110" i="12" s="1"/>
  <c r="D55" i="12"/>
  <c r="D47" i="9"/>
  <c r="D111" i="12" s="1"/>
  <c r="L55" i="12"/>
  <c r="L47" i="9"/>
  <c r="L111" i="12" s="1"/>
  <c r="AB55" i="12"/>
  <c r="AB47" i="9"/>
  <c r="AB111" i="12" s="1"/>
  <c r="R56" i="12"/>
  <c r="R48" i="9"/>
  <c r="R112" i="12" s="1"/>
  <c r="AH56" i="12"/>
  <c r="AH48" i="9"/>
  <c r="AH112" i="12" s="1"/>
  <c r="H57" i="12"/>
  <c r="H49" i="9"/>
  <c r="H113" i="12" s="1"/>
  <c r="X57" i="12"/>
  <c r="X49" i="9"/>
  <c r="X113" i="12" s="1"/>
  <c r="N58" i="12"/>
  <c r="N50" i="9"/>
  <c r="N114" i="12" s="1"/>
  <c r="AD58" i="12"/>
  <c r="AD50" i="9"/>
  <c r="AD114" i="12" s="1"/>
  <c r="D59" i="12"/>
  <c r="D51" i="9"/>
  <c r="D115" i="12" s="1"/>
  <c r="T59" i="12"/>
  <c r="T51" i="9"/>
  <c r="T115" i="12" s="1"/>
  <c r="Z60" i="12"/>
  <c r="Z52" i="9"/>
  <c r="Z116" i="12" s="1"/>
  <c r="AH60" i="12"/>
  <c r="AH52" i="9"/>
  <c r="AH116" i="12" s="1"/>
  <c r="P61" i="12"/>
  <c r="P53" i="9"/>
  <c r="P117" i="12" s="1"/>
  <c r="V62" i="12"/>
  <c r="V54" i="9"/>
  <c r="V118" i="12" s="1"/>
  <c r="AD62" i="12"/>
  <c r="AD54" i="9"/>
  <c r="AD118" i="12" s="1"/>
  <c r="L63" i="12"/>
  <c r="L55" i="9"/>
  <c r="L119" i="12" s="1"/>
  <c r="AD35" i="12"/>
  <c r="AD27" i="9"/>
  <c r="AD91" i="12" s="1"/>
  <c r="D36" i="12"/>
  <c r="D28" i="9"/>
  <c r="D92" i="12" s="1"/>
  <c r="L36" i="12"/>
  <c r="L28" i="9"/>
  <c r="L92" i="12" s="1"/>
  <c r="T36" i="12"/>
  <c r="T28" i="9"/>
  <c r="T92" i="12" s="1"/>
  <c r="B37" i="12"/>
  <c r="B29" i="9"/>
  <c r="B93" i="12" s="1"/>
  <c r="Z37" i="12"/>
  <c r="Z29" i="9"/>
  <c r="Z93" i="12" s="1"/>
  <c r="AH37" i="12"/>
  <c r="AH29" i="9"/>
  <c r="AH93" i="12" s="1"/>
  <c r="H38" i="12"/>
  <c r="H30" i="9"/>
  <c r="H94" i="12" s="1"/>
  <c r="P38" i="12"/>
  <c r="P30" i="9"/>
  <c r="P94" i="12" s="1"/>
  <c r="X38" i="12"/>
  <c r="X30" i="9"/>
  <c r="X94" i="12" s="1"/>
  <c r="AF38" i="12"/>
  <c r="AF30" i="9"/>
  <c r="AF94" i="12" s="1"/>
  <c r="F39" i="12"/>
  <c r="F31" i="9"/>
  <c r="F95" i="12" s="1"/>
  <c r="N39" i="12"/>
  <c r="N31" i="9"/>
  <c r="N95" i="12" s="1"/>
  <c r="V39" i="12"/>
  <c r="V31" i="9"/>
  <c r="V95" i="12" s="1"/>
  <c r="AD39" i="12"/>
  <c r="AD31" i="9"/>
  <c r="AD95" i="12" s="1"/>
  <c r="D40" i="12"/>
  <c r="D32" i="9"/>
  <c r="D96" i="12" s="1"/>
  <c r="L40" i="12"/>
  <c r="L32" i="9"/>
  <c r="L96" i="12" s="1"/>
  <c r="T40" i="12"/>
  <c r="T32" i="9"/>
  <c r="T96" i="12" s="1"/>
  <c r="B41" i="12"/>
  <c r="B33" i="9"/>
  <c r="B97" i="12" s="1"/>
  <c r="J41" i="12"/>
  <c r="J33" i="9"/>
  <c r="J97" i="12" s="1"/>
  <c r="R41" i="12"/>
  <c r="R33" i="9"/>
  <c r="R97" i="12" s="1"/>
  <c r="Z41" i="12"/>
  <c r="Z33" i="9"/>
  <c r="Z97" i="12" s="1"/>
  <c r="AH41" i="12"/>
  <c r="AH33" i="9"/>
  <c r="AH97" i="12" s="1"/>
  <c r="P42" i="12"/>
  <c r="P34" i="9"/>
  <c r="P98" i="12" s="1"/>
  <c r="X42" i="12"/>
  <c r="X34" i="9"/>
  <c r="X98" i="12" s="1"/>
  <c r="AF42" i="12"/>
  <c r="AF34" i="9"/>
  <c r="AF98" i="12" s="1"/>
  <c r="F43" i="12"/>
  <c r="F35" i="9"/>
  <c r="F99" i="12" s="1"/>
  <c r="N43" i="12"/>
  <c r="N35" i="9"/>
  <c r="N99" i="12" s="1"/>
  <c r="V43" i="12"/>
  <c r="V35" i="9"/>
  <c r="V99" i="12" s="1"/>
  <c r="AD43" i="12"/>
  <c r="AD35" i="9"/>
  <c r="AD99" i="12" s="1"/>
  <c r="D44" i="12"/>
  <c r="D36" i="9"/>
  <c r="D100" i="12" s="1"/>
  <c r="L44" i="12"/>
  <c r="L36" i="9"/>
  <c r="L100" i="12" s="1"/>
  <c r="T44" i="12"/>
  <c r="T36" i="9"/>
  <c r="T100" i="12" s="1"/>
  <c r="AB44" i="12"/>
  <c r="AB36" i="9"/>
  <c r="AB100" i="12" s="1"/>
  <c r="J45" i="12"/>
  <c r="J37" i="9"/>
  <c r="J101" i="12" s="1"/>
  <c r="R45" i="12"/>
  <c r="R37" i="9"/>
  <c r="R101" i="12" s="1"/>
  <c r="Z45" i="12"/>
  <c r="Z37" i="9"/>
  <c r="Z101" i="12" s="1"/>
  <c r="AH45" i="12"/>
  <c r="AH37" i="9"/>
  <c r="AH101" i="12" s="1"/>
  <c r="H46" i="12"/>
  <c r="H38" i="9"/>
  <c r="H102" i="12" s="1"/>
  <c r="P46" i="12"/>
  <c r="P38" i="9"/>
  <c r="P102" i="12" s="1"/>
  <c r="X46" i="12"/>
  <c r="X38" i="9"/>
  <c r="X102" i="12" s="1"/>
  <c r="F47" i="12"/>
  <c r="F39" i="9"/>
  <c r="F103" i="12" s="1"/>
  <c r="N47" i="12"/>
  <c r="N39" i="9"/>
  <c r="N103" i="12" s="1"/>
  <c r="V47" i="12"/>
  <c r="V39" i="9"/>
  <c r="V103" i="12" s="1"/>
  <c r="AD47" i="12"/>
  <c r="AD39" i="9"/>
  <c r="AD103" i="12" s="1"/>
  <c r="D48" i="12"/>
  <c r="D40" i="9"/>
  <c r="D104" i="12" s="1"/>
  <c r="L48" i="12"/>
  <c r="L40" i="9"/>
  <c r="L104" i="12" s="1"/>
  <c r="T48" i="12"/>
  <c r="T40" i="9"/>
  <c r="T104" i="12" s="1"/>
  <c r="AB48" i="12"/>
  <c r="AB40" i="9"/>
  <c r="AB104" i="12" s="1"/>
  <c r="J49" i="12"/>
  <c r="J41" i="9"/>
  <c r="J105" i="12" s="1"/>
  <c r="R49" i="12"/>
  <c r="R41" i="9"/>
  <c r="R105" i="12" s="1"/>
  <c r="Z49" i="12"/>
  <c r="Z41" i="9"/>
  <c r="Z105" i="12" s="1"/>
  <c r="AH49" i="12"/>
  <c r="AH41" i="9"/>
  <c r="AH105" i="12" s="1"/>
  <c r="H50" i="12"/>
  <c r="H42" i="9"/>
  <c r="H106" i="12" s="1"/>
  <c r="P50" i="12"/>
  <c r="P42" i="9"/>
  <c r="P106" i="12" s="1"/>
  <c r="X50" i="12"/>
  <c r="X42" i="9"/>
  <c r="X106" i="12" s="1"/>
  <c r="F51" i="12"/>
  <c r="F43" i="9"/>
  <c r="F107" i="12" s="1"/>
  <c r="N51" i="12"/>
  <c r="N43" i="9"/>
  <c r="N107" i="12" s="1"/>
  <c r="V51" i="12"/>
  <c r="V43" i="9"/>
  <c r="V107" i="12" s="1"/>
  <c r="AD51" i="12"/>
  <c r="AD43" i="9"/>
  <c r="AD107" i="12" s="1"/>
  <c r="D52" i="12"/>
  <c r="D44" i="9"/>
  <c r="D108" i="12" s="1"/>
  <c r="L52" i="12"/>
  <c r="L44" i="9"/>
  <c r="L108" i="12" s="1"/>
  <c r="T52" i="12"/>
  <c r="T44" i="9"/>
  <c r="T108" i="12" s="1"/>
  <c r="B53" i="12"/>
  <c r="B45" i="9"/>
  <c r="B109" i="12" s="1"/>
  <c r="J53" i="12"/>
  <c r="J45" i="9"/>
  <c r="J109" i="12" s="1"/>
  <c r="R53" i="12"/>
  <c r="R45" i="9"/>
  <c r="R109" i="12" s="1"/>
  <c r="AH53" i="12"/>
  <c r="AH45" i="9"/>
  <c r="AH109" i="12" s="1"/>
  <c r="H54" i="12"/>
  <c r="H46" i="9"/>
  <c r="H110" i="12" s="1"/>
  <c r="P54" i="12"/>
  <c r="P46" i="9"/>
  <c r="P110" i="12" s="1"/>
  <c r="X54" i="12"/>
  <c r="X46" i="9"/>
  <c r="X110" i="12" s="1"/>
  <c r="AF54" i="12"/>
  <c r="AF46" i="9"/>
  <c r="AF110" i="12" s="1"/>
  <c r="F55" i="12"/>
  <c r="F47" i="9"/>
  <c r="F111" i="12" s="1"/>
  <c r="N55" i="12"/>
  <c r="N47" i="9"/>
  <c r="N111" i="12" s="1"/>
  <c r="AD55" i="12"/>
  <c r="AD47" i="9"/>
  <c r="AD111" i="12" s="1"/>
  <c r="D56" i="12"/>
  <c r="D48" i="9"/>
  <c r="D112" i="12" s="1"/>
  <c r="L56" i="12"/>
  <c r="L48" i="9"/>
  <c r="L112" i="12" s="1"/>
  <c r="T56" i="12"/>
  <c r="T48" i="9"/>
  <c r="T112" i="12" s="1"/>
  <c r="AB56" i="12"/>
  <c r="AB48" i="9"/>
  <c r="AB112" i="12" s="1"/>
  <c r="B57" i="12"/>
  <c r="B49" i="9"/>
  <c r="B113" i="12" s="1"/>
  <c r="J57" i="12"/>
  <c r="J49" i="9"/>
  <c r="J113" i="12" s="1"/>
  <c r="Z57" i="12"/>
  <c r="Z49" i="9"/>
  <c r="Z113" i="12" s="1"/>
  <c r="AH57" i="12"/>
  <c r="AH49" i="9"/>
  <c r="AH113" i="12" s="1"/>
  <c r="H58" i="12"/>
  <c r="H50" i="9"/>
  <c r="H114" i="12" s="1"/>
  <c r="P58" i="12"/>
  <c r="P50" i="9"/>
  <c r="P114" i="12" s="1"/>
  <c r="X58" i="12"/>
  <c r="X50" i="9"/>
  <c r="X114" i="12" s="1"/>
  <c r="AF58" i="12"/>
  <c r="AF50" i="9"/>
  <c r="AF114" i="12" s="1"/>
  <c r="F59" i="12"/>
  <c r="F51" i="9"/>
  <c r="F115" i="12" s="1"/>
  <c r="N59" i="12"/>
  <c r="N51" i="9"/>
  <c r="N115" i="12" s="1"/>
  <c r="V59" i="12"/>
  <c r="V51" i="9"/>
  <c r="V115" i="12" s="1"/>
  <c r="AD59" i="12"/>
  <c r="AD51" i="9"/>
  <c r="AD115" i="12" s="1"/>
  <c r="L60" i="12"/>
  <c r="L52" i="9"/>
  <c r="L116" i="12" s="1"/>
  <c r="T60" i="12"/>
  <c r="T52" i="9"/>
  <c r="T116" i="12" s="1"/>
  <c r="AB60" i="12"/>
  <c r="AB52" i="9"/>
  <c r="AB116" i="12" s="1"/>
  <c r="B61" i="12"/>
  <c r="B53" i="9"/>
  <c r="B117" i="12" s="1"/>
  <c r="J61" i="12"/>
  <c r="J53" i="9"/>
  <c r="J117" i="12" s="1"/>
  <c r="R61" i="12"/>
  <c r="R53" i="9"/>
  <c r="R117" i="12" s="1"/>
  <c r="Z61" i="12"/>
  <c r="Z53" i="9"/>
  <c r="Z117" i="12" s="1"/>
  <c r="H62" i="12"/>
  <c r="H54" i="9"/>
  <c r="H118" i="12" s="1"/>
  <c r="P62" i="12"/>
  <c r="P54" i="9"/>
  <c r="P118" i="12" s="1"/>
  <c r="X62" i="12"/>
  <c r="X54" i="9"/>
  <c r="X118" i="12" s="1"/>
  <c r="AF62" i="12"/>
  <c r="AF54" i="9"/>
  <c r="AF118" i="12" s="1"/>
  <c r="F63" i="12"/>
  <c r="F55" i="9"/>
  <c r="F119" i="12" s="1"/>
  <c r="N63" i="12"/>
  <c r="N55" i="9"/>
  <c r="N119" i="12" s="1"/>
  <c r="V63" i="12"/>
  <c r="V55" i="9"/>
  <c r="V119" i="12" s="1"/>
  <c r="AD63" i="12"/>
  <c r="AD55" i="9"/>
  <c r="AD119" i="12" s="1"/>
  <c r="D64" i="12"/>
  <c r="D56" i="9"/>
  <c r="D120" i="12" s="1"/>
  <c r="L64" i="12"/>
  <c r="L56" i="9"/>
  <c r="L120" i="12" s="1"/>
  <c r="AB64" i="12"/>
  <c r="AB56" i="9"/>
  <c r="AB120" i="12" s="1"/>
  <c r="AE25" i="9"/>
  <c r="AE89" i="12" s="1"/>
  <c r="AA27" i="9"/>
  <c r="AA91" i="12" s="1"/>
  <c r="R29" i="9"/>
  <c r="R93" i="12" s="1"/>
  <c r="AF42" i="9"/>
  <c r="AF106" i="12" s="1"/>
  <c r="U50" i="9"/>
  <c r="U114" i="12" s="1"/>
  <c r="E48" i="12"/>
  <c r="E40" i="9"/>
  <c r="E104" i="12" s="1"/>
  <c r="M48" i="12"/>
  <c r="M40" i="9"/>
  <c r="M104" i="12" s="1"/>
  <c r="U48" i="12"/>
  <c r="U40" i="9"/>
  <c r="U104" i="12" s="1"/>
  <c r="AC48" i="12"/>
  <c r="AC40" i="9"/>
  <c r="AC104" i="12" s="1"/>
  <c r="C49" i="12"/>
  <c r="C41" i="9"/>
  <c r="C105" i="12" s="1"/>
  <c r="K49" i="12"/>
  <c r="K41" i="9"/>
  <c r="K105" i="12" s="1"/>
  <c r="S49" i="12"/>
  <c r="S41" i="9"/>
  <c r="S105" i="12" s="1"/>
  <c r="AA49" i="12"/>
  <c r="AA41" i="9"/>
  <c r="AA105" i="12" s="1"/>
  <c r="AI49" i="12"/>
  <c r="AI41" i="9"/>
  <c r="AI105" i="12" s="1"/>
  <c r="I50" i="12"/>
  <c r="I42" i="9"/>
  <c r="I106" i="12" s="1"/>
  <c r="Q50" i="12"/>
  <c r="Q42" i="9"/>
  <c r="Q106" i="12" s="1"/>
  <c r="Y50" i="12"/>
  <c r="Y42" i="9"/>
  <c r="Y106" i="12" s="1"/>
  <c r="AG50" i="12"/>
  <c r="AG42" i="9"/>
  <c r="AG106" i="12" s="1"/>
  <c r="G51" i="12"/>
  <c r="G43" i="9"/>
  <c r="G107" i="12" s="1"/>
  <c r="O51" i="12"/>
  <c r="O43" i="9"/>
  <c r="O107" i="12" s="1"/>
  <c r="W51" i="12"/>
  <c r="W43" i="9"/>
  <c r="W107" i="12" s="1"/>
  <c r="AE51" i="12"/>
  <c r="AE43" i="9"/>
  <c r="AE107" i="12" s="1"/>
  <c r="E52" i="12"/>
  <c r="E44" i="9"/>
  <c r="E108" i="12" s="1"/>
  <c r="M52" i="12"/>
  <c r="M44" i="9"/>
  <c r="M108" i="12" s="1"/>
  <c r="U52" i="12"/>
  <c r="U44" i="9"/>
  <c r="U108" i="12" s="1"/>
  <c r="AC52" i="12"/>
  <c r="AC44" i="9"/>
  <c r="AC108" i="12" s="1"/>
  <c r="C53" i="12"/>
  <c r="C45" i="9"/>
  <c r="C109" i="12" s="1"/>
  <c r="K53" i="12"/>
  <c r="K45" i="9"/>
  <c r="K109" i="12" s="1"/>
  <c r="S53" i="12"/>
  <c r="S45" i="9"/>
  <c r="S109" i="12" s="1"/>
  <c r="AA53" i="12"/>
  <c r="AA45" i="9"/>
  <c r="AA109" i="12" s="1"/>
  <c r="AI53" i="12"/>
  <c r="AI45" i="9"/>
  <c r="AI109" i="12" s="1"/>
  <c r="I54" i="12"/>
  <c r="I46" i="9"/>
  <c r="I110" i="12" s="1"/>
  <c r="Q54" i="12"/>
  <c r="Q46" i="9"/>
  <c r="Q110" i="12" s="1"/>
  <c r="Y54" i="12"/>
  <c r="Y46" i="9"/>
  <c r="Y110" i="12" s="1"/>
  <c r="AG54" i="12"/>
  <c r="AG46" i="9"/>
  <c r="AG110" i="12" s="1"/>
  <c r="G55" i="12"/>
  <c r="G47" i="9"/>
  <c r="G111" i="12" s="1"/>
  <c r="O55" i="12"/>
  <c r="O47" i="9"/>
  <c r="O111" i="12" s="1"/>
  <c r="W55" i="12"/>
  <c r="W47" i="9"/>
  <c r="W111" i="12" s="1"/>
  <c r="AE55" i="12"/>
  <c r="AE47" i="9"/>
  <c r="AE111" i="12" s="1"/>
  <c r="E56" i="12"/>
  <c r="E48" i="9"/>
  <c r="E112" i="12" s="1"/>
  <c r="M56" i="12"/>
  <c r="M48" i="9"/>
  <c r="M112" i="12" s="1"/>
  <c r="U56" i="12"/>
  <c r="U48" i="9"/>
  <c r="U112" i="12" s="1"/>
  <c r="AC56" i="12"/>
  <c r="AC48" i="9"/>
  <c r="AC112" i="12" s="1"/>
  <c r="C57" i="12"/>
  <c r="C49" i="9"/>
  <c r="C113" i="12" s="1"/>
  <c r="K57" i="12"/>
  <c r="K49" i="9"/>
  <c r="K113" i="12" s="1"/>
  <c r="S57" i="12"/>
  <c r="S49" i="9"/>
  <c r="S113" i="12" s="1"/>
  <c r="AA57" i="12"/>
  <c r="AA49" i="9"/>
  <c r="AA113" i="12" s="1"/>
  <c r="AI57" i="12"/>
  <c r="AI49" i="9"/>
  <c r="AI113" i="12" s="1"/>
  <c r="I58" i="12"/>
  <c r="I50" i="9"/>
  <c r="I114" i="12" s="1"/>
  <c r="Q58" i="12"/>
  <c r="Q50" i="9"/>
  <c r="Q114" i="12" s="1"/>
  <c r="Y58" i="12"/>
  <c r="Y50" i="9"/>
  <c r="Y114" i="12" s="1"/>
  <c r="AG58" i="12"/>
  <c r="AG50" i="9"/>
  <c r="AG114" i="12" s="1"/>
  <c r="G59" i="12"/>
  <c r="G51" i="9"/>
  <c r="G115" i="12" s="1"/>
  <c r="O59" i="12"/>
  <c r="O51" i="9"/>
  <c r="O115" i="12" s="1"/>
  <c r="W59" i="12"/>
  <c r="W51" i="9"/>
  <c r="W115" i="12" s="1"/>
  <c r="AE59" i="12"/>
  <c r="AE51" i="9"/>
  <c r="AE115" i="12" s="1"/>
  <c r="E60" i="12"/>
  <c r="E52" i="9"/>
  <c r="E116" i="12" s="1"/>
  <c r="M60" i="12"/>
  <c r="M52" i="9"/>
  <c r="M116" i="12" s="1"/>
  <c r="U60" i="12"/>
  <c r="U52" i="9"/>
  <c r="U116" i="12" s="1"/>
  <c r="AC60" i="12"/>
  <c r="AC52" i="9"/>
  <c r="AC116" i="12" s="1"/>
  <c r="C61" i="12"/>
  <c r="C53" i="9"/>
  <c r="C117" i="12" s="1"/>
  <c r="K61" i="12"/>
  <c r="K53" i="9"/>
  <c r="K117" i="12" s="1"/>
  <c r="S61" i="12"/>
  <c r="S53" i="9"/>
  <c r="S117" i="12" s="1"/>
  <c r="AA61" i="12"/>
  <c r="AA53" i="9"/>
  <c r="AA117" i="12" s="1"/>
  <c r="AI61" i="12"/>
  <c r="AI53" i="9"/>
  <c r="AI117" i="12" s="1"/>
  <c r="I62" i="12"/>
  <c r="I54" i="9"/>
  <c r="I118" i="12" s="1"/>
  <c r="Q62" i="12"/>
  <c r="Q54" i="9"/>
  <c r="Q118" i="12" s="1"/>
  <c r="Y62" i="12"/>
  <c r="Y54" i="9"/>
  <c r="Y118" i="12" s="1"/>
  <c r="AG62" i="12"/>
  <c r="AG54" i="9"/>
  <c r="AG118" i="12" s="1"/>
  <c r="G63" i="12"/>
  <c r="G55" i="9"/>
  <c r="G119" i="12" s="1"/>
  <c r="O63" i="12"/>
  <c r="O55" i="9"/>
  <c r="O119" i="12" s="1"/>
  <c r="W63" i="12"/>
  <c r="W55" i="9"/>
  <c r="W119" i="12" s="1"/>
  <c r="AE63" i="12"/>
  <c r="AE55" i="9"/>
  <c r="AE119" i="12" s="1"/>
  <c r="E64" i="12"/>
  <c r="E56" i="9"/>
  <c r="E120" i="12" s="1"/>
  <c r="M64" i="12"/>
  <c r="M56" i="9"/>
  <c r="M120" i="12" s="1"/>
  <c r="U64" i="12"/>
  <c r="U56" i="9"/>
  <c r="U120" i="12" s="1"/>
  <c r="AE18" i="9"/>
  <c r="AE82" i="12" s="1"/>
  <c r="S22" i="9"/>
  <c r="S86" i="12" s="1"/>
  <c r="O24" i="9"/>
  <c r="O88" i="12" s="1"/>
  <c r="Q43" i="9"/>
  <c r="Q107" i="12" s="1"/>
  <c r="J51" i="9"/>
  <c r="J115" i="12" s="1"/>
  <c r="B55" i="9"/>
  <c r="B119" i="12" s="1"/>
  <c r="R30" i="12"/>
  <c r="R22" i="9"/>
  <c r="R86" i="12" s="1"/>
  <c r="P31" i="12"/>
  <c r="P23" i="9"/>
  <c r="P87" i="12" s="1"/>
  <c r="N32" i="12"/>
  <c r="N24" i="9"/>
  <c r="N88" i="12" s="1"/>
  <c r="L33" i="12"/>
  <c r="L25" i="9"/>
  <c r="L89" i="12" s="1"/>
  <c r="J34" i="12"/>
  <c r="J26" i="9"/>
  <c r="J90" i="12" s="1"/>
  <c r="H35" i="12"/>
  <c r="H27" i="9"/>
  <c r="H91" i="12" s="1"/>
  <c r="F36" i="12"/>
  <c r="F28" i="9"/>
  <c r="F92" i="12" s="1"/>
  <c r="D37" i="12"/>
  <c r="D29" i="9"/>
  <c r="D93" i="12" s="1"/>
  <c r="B38" i="12"/>
  <c r="B30" i="9"/>
  <c r="B94" i="12" s="1"/>
  <c r="AH38" i="12"/>
  <c r="AH30" i="9"/>
  <c r="AH94" i="12" s="1"/>
  <c r="AF39" i="12"/>
  <c r="AF31" i="9"/>
  <c r="AF95" i="12" s="1"/>
  <c r="AD40" i="12"/>
  <c r="AD32" i="9"/>
  <c r="AD96" i="12" s="1"/>
  <c r="AB41" i="12"/>
  <c r="AB33" i="9"/>
  <c r="AB97" i="12" s="1"/>
  <c r="Z42" i="12"/>
  <c r="Z34" i="9"/>
  <c r="Z98" i="12" s="1"/>
  <c r="X43" i="12"/>
  <c r="X35" i="9"/>
  <c r="X99" i="12" s="1"/>
  <c r="V44" i="12"/>
  <c r="V36" i="9"/>
  <c r="V100" i="12" s="1"/>
  <c r="T45" i="12"/>
  <c r="T37" i="9"/>
  <c r="T101" i="12" s="1"/>
  <c r="R46" i="12"/>
  <c r="R38" i="9"/>
  <c r="R102" i="12" s="1"/>
  <c r="Z46" i="12"/>
  <c r="Z38" i="9"/>
  <c r="Z102" i="12" s="1"/>
  <c r="P47" i="12"/>
  <c r="P39" i="9"/>
  <c r="P103" i="12" s="1"/>
  <c r="X47" i="12"/>
  <c r="X39" i="9"/>
  <c r="X103" i="12" s="1"/>
  <c r="N48" i="12"/>
  <c r="N40" i="9"/>
  <c r="N104" i="12" s="1"/>
  <c r="V48" i="12"/>
  <c r="V40" i="9"/>
  <c r="V104" i="12" s="1"/>
  <c r="L49" i="12"/>
  <c r="L41" i="9"/>
  <c r="L105" i="12" s="1"/>
  <c r="T49" i="12"/>
  <c r="T41" i="9"/>
  <c r="T105" i="12" s="1"/>
  <c r="J50" i="12"/>
  <c r="J42" i="9"/>
  <c r="J106" i="12" s="1"/>
  <c r="R50" i="12"/>
  <c r="R42" i="9"/>
  <c r="R106" i="12" s="1"/>
  <c r="H51" i="12"/>
  <c r="H43" i="9"/>
  <c r="H107" i="12" s="1"/>
  <c r="P51" i="12"/>
  <c r="P43" i="9"/>
  <c r="P107" i="12" s="1"/>
  <c r="AF51" i="12"/>
  <c r="AF43" i="9"/>
  <c r="AF107" i="12" s="1"/>
  <c r="F52" i="12"/>
  <c r="F44" i="9"/>
  <c r="F108" i="12" s="1"/>
  <c r="V52" i="12"/>
  <c r="V44" i="9"/>
  <c r="V108" i="12" s="1"/>
  <c r="L53" i="12"/>
  <c r="L45" i="9"/>
  <c r="L109" i="12" s="1"/>
  <c r="AB53" i="12"/>
  <c r="AB45" i="9"/>
  <c r="AB109" i="12" s="1"/>
  <c r="B54" i="12"/>
  <c r="B46" i="9"/>
  <c r="B110" i="12" s="1"/>
  <c r="R54" i="12"/>
  <c r="R46" i="9"/>
  <c r="R110" i="12" s="1"/>
  <c r="H55" i="12"/>
  <c r="H47" i="9"/>
  <c r="H111" i="12" s="1"/>
  <c r="X55" i="12"/>
  <c r="X47" i="9"/>
  <c r="X111" i="12" s="1"/>
  <c r="AF55" i="12"/>
  <c r="AF47" i="9"/>
  <c r="AF111" i="12" s="1"/>
  <c r="N56" i="12"/>
  <c r="N48" i="9"/>
  <c r="N112" i="12" s="1"/>
  <c r="D57" i="12"/>
  <c r="D49" i="9"/>
  <c r="D113" i="12" s="1"/>
  <c r="T57" i="12"/>
  <c r="T49" i="9"/>
  <c r="T113" i="12" s="1"/>
  <c r="AB57" i="12"/>
  <c r="AB49" i="9"/>
  <c r="AB113" i="12" s="1"/>
  <c r="J58" i="12"/>
  <c r="J50" i="9"/>
  <c r="J114" i="12" s="1"/>
  <c r="AH58" i="12"/>
  <c r="AH50" i="9"/>
  <c r="AH114" i="12" s="1"/>
  <c r="P59" i="12"/>
  <c r="P51" i="9"/>
  <c r="P115" i="12" s="1"/>
  <c r="X59" i="12"/>
  <c r="X51" i="9"/>
  <c r="X115" i="12" s="1"/>
  <c r="AF59" i="12"/>
  <c r="AF51" i="9"/>
  <c r="AF115" i="12" s="1"/>
  <c r="F60" i="12"/>
  <c r="F52" i="9"/>
  <c r="F116" i="12" s="1"/>
  <c r="AD60" i="12"/>
  <c r="AD52" i="9"/>
  <c r="AD116" i="12" s="1"/>
  <c r="L61" i="12"/>
  <c r="L53" i="9"/>
  <c r="L117" i="12" s="1"/>
  <c r="T61" i="12"/>
  <c r="T53" i="9"/>
  <c r="T117" i="12" s="1"/>
  <c r="AB53" i="8"/>
  <c r="B54" i="8"/>
  <c r="Z54" i="8"/>
  <c r="H63" i="12"/>
  <c r="H55" i="9"/>
  <c r="H119" i="12" s="1"/>
  <c r="P63" i="12"/>
  <c r="P55" i="9"/>
  <c r="P119" i="12" s="1"/>
  <c r="X63" i="12"/>
  <c r="X55" i="9"/>
  <c r="X119" i="12" s="1"/>
  <c r="AF63" i="12"/>
  <c r="AF55" i="9"/>
  <c r="AF119" i="12" s="1"/>
  <c r="N64" i="12"/>
  <c r="N56" i="9"/>
  <c r="N120" i="12" s="1"/>
  <c r="V64" i="12"/>
  <c r="V56" i="9"/>
  <c r="V120" i="12" s="1"/>
  <c r="AD64" i="12"/>
  <c r="AD56" i="9"/>
  <c r="AD120" i="12" s="1"/>
  <c r="AG35" i="9"/>
  <c r="AG99" i="12" s="1"/>
  <c r="B41" i="9"/>
  <c r="B105" i="12" s="1"/>
  <c r="AA43" i="9"/>
  <c r="AA107" i="12" s="1"/>
  <c r="V47" i="9"/>
  <c r="V111" i="12" s="1"/>
  <c r="R55" i="9"/>
  <c r="R119" i="12" s="1"/>
  <c r="AA30" i="12"/>
  <c r="AA22" i="9"/>
  <c r="AA86" i="12" s="1"/>
  <c r="Q31" i="12"/>
  <c r="Q23" i="9"/>
  <c r="Q87" i="12" s="1"/>
  <c r="W32" i="12"/>
  <c r="W24" i="9"/>
  <c r="W88" i="12" s="1"/>
  <c r="U33" i="12"/>
  <c r="U25" i="9"/>
  <c r="U89" i="12" s="1"/>
  <c r="K34" i="12"/>
  <c r="K26" i="9"/>
  <c r="K90" i="12" s="1"/>
  <c r="S34" i="12"/>
  <c r="S26" i="9"/>
  <c r="S90" i="12" s="1"/>
  <c r="I35" i="12"/>
  <c r="I27" i="9"/>
  <c r="I91" i="12" s="1"/>
  <c r="Q35" i="12"/>
  <c r="Q27" i="9"/>
  <c r="Q91" i="12" s="1"/>
  <c r="G36" i="12"/>
  <c r="G28" i="9"/>
  <c r="G92" i="12" s="1"/>
  <c r="O36" i="12"/>
  <c r="O28" i="9"/>
  <c r="O92" i="12" s="1"/>
  <c r="E37" i="12"/>
  <c r="E29" i="9"/>
  <c r="E93" i="12" s="1"/>
  <c r="C38" i="12"/>
  <c r="C30" i="9"/>
  <c r="C94" i="12" s="1"/>
  <c r="K38" i="12"/>
  <c r="K30" i="9"/>
  <c r="K94" i="12" s="1"/>
  <c r="AI38" i="12"/>
  <c r="AI30" i="9"/>
  <c r="AI94" i="12" s="1"/>
  <c r="AG39" i="12"/>
  <c r="AG31" i="9"/>
  <c r="AG95" i="12" s="1"/>
  <c r="G40" i="12"/>
  <c r="G32" i="9"/>
  <c r="G96" i="12" s="1"/>
  <c r="E41" i="12"/>
  <c r="E33" i="9"/>
  <c r="E97" i="12" s="1"/>
  <c r="AC41" i="12"/>
  <c r="AC33" i="9"/>
  <c r="AC97" i="12" s="1"/>
  <c r="C42" i="12"/>
  <c r="C34" i="9"/>
  <c r="C98" i="12" s="1"/>
  <c r="AI42" i="12"/>
  <c r="AI34" i="9"/>
  <c r="AI98" i="12" s="1"/>
  <c r="Y43" i="12"/>
  <c r="Y35" i="9"/>
  <c r="Y99" i="12" s="1"/>
  <c r="W44" i="12"/>
  <c r="W36" i="9"/>
  <c r="W100" i="12" s="1"/>
  <c r="AE44" i="12"/>
  <c r="AE36" i="9"/>
  <c r="AE100" i="12" s="1"/>
  <c r="U45" i="12"/>
  <c r="U37" i="9"/>
  <c r="U101" i="12" s="1"/>
  <c r="AC45" i="12"/>
  <c r="AC37" i="9"/>
  <c r="AC101" i="12" s="1"/>
  <c r="S46" i="12"/>
  <c r="S38" i="9"/>
  <c r="S102" i="12" s="1"/>
  <c r="AA46" i="12"/>
  <c r="AA38" i="9"/>
  <c r="AA102" i="12" s="1"/>
  <c r="Q47" i="12"/>
  <c r="Q39" i="9"/>
  <c r="Q103" i="12" s="1"/>
  <c r="Y47" i="12"/>
  <c r="Y39" i="9"/>
  <c r="Y103" i="12" s="1"/>
  <c r="O48" i="12"/>
  <c r="O40" i="9"/>
  <c r="O104" i="12" s="1"/>
  <c r="W48" i="12"/>
  <c r="W40" i="9"/>
  <c r="W104" i="12" s="1"/>
  <c r="M49" i="12"/>
  <c r="M41" i="9"/>
  <c r="M105" i="12" s="1"/>
  <c r="K50" i="12"/>
  <c r="K42" i="9"/>
  <c r="K106" i="12" s="1"/>
  <c r="S50" i="12"/>
  <c r="S42" i="9"/>
  <c r="S106" i="12" s="1"/>
  <c r="I51" i="12"/>
  <c r="I43" i="9"/>
  <c r="I107" i="12" s="1"/>
  <c r="G52" i="12"/>
  <c r="G44" i="9"/>
  <c r="G108" i="12" s="1"/>
  <c r="W52" i="12"/>
  <c r="W44" i="9"/>
  <c r="W108" i="12" s="1"/>
  <c r="AE52" i="12"/>
  <c r="AE44" i="9"/>
  <c r="AE108" i="12" s="1"/>
  <c r="M45" i="8"/>
  <c r="C46" i="8"/>
  <c r="S46" i="8"/>
  <c r="AA46" i="8"/>
  <c r="I47" i="8"/>
  <c r="AG47" i="8"/>
  <c r="O56" i="12"/>
  <c r="O48" i="9"/>
  <c r="O112" i="12" s="1"/>
  <c r="E57" i="12"/>
  <c r="E49" i="9"/>
  <c r="E113" i="12" s="1"/>
  <c r="AC57" i="12"/>
  <c r="AC49" i="9"/>
  <c r="AC113" i="12" s="1"/>
  <c r="K58" i="12"/>
  <c r="K50" i="9"/>
  <c r="K114" i="12" s="1"/>
  <c r="S58" i="12"/>
  <c r="S50" i="9"/>
  <c r="S114" i="12" s="1"/>
  <c r="AI58" i="12"/>
  <c r="AI50" i="9"/>
  <c r="AI114" i="12" s="1"/>
  <c r="Y59" i="12"/>
  <c r="Y51" i="9"/>
  <c r="Y115" i="12" s="1"/>
  <c r="G60" i="12"/>
  <c r="G52" i="9"/>
  <c r="G116" i="12" s="1"/>
  <c r="O60" i="12"/>
  <c r="O52" i="9"/>
  <c r="O116" i="12" s="1"/>
  <c r="W60" i="12"/>
  <c r="W52" i="9"/>
  <c r="W116" i="12" s="1"/>
  <c r="AE60" i="12"/>
  <c r="AE52" i="9"/>
  <c r="AE116" i="12" s="1"/>
  <c r="U53" i="8"/>
  <c r="C54" i="8"/>
  <c r="K54" i="8"/>
  <c r="S54" i="8"/>
  <c r="AA54" i="8"/>
  <c r="Q63" i="12"/>
  <c r="Q55" i="9"/>
  <c r="Q119" i="12" s="1"/>
  <c r="AG63" i="12"/>
  <c r="AG55" i="9"/>
  <c r="AG119" i="12" s="1"/>
  <c r="G64" i="12"/>
  <c r="G56" i="9"/>
  <c r="G120" i="12" s="1"/>
  <c r="W64" i="12"/>
  <c r="W56" i="9"/>
  <c r="W120" i="12" s="1"/>
  <c r="AE64" i="12"/>
  <c r="AE56" i="9"/>
  <c r="AE120" i="12" s="1"/>
  <c r="E19" i="9"/>
  <c r="E83" i="12" s="1"/>
  <c r="C23" i="9"/>
  <c r="C87" i="12" s="1"/>
  <c r="X24" i="9"/>
  <c r="X88" i="12" s="1"/>
  <c r="D34" i="9"/>
  <c r="D98" i="12" s="1"/>
  <c r="U41" i="9"/>
  <c r="U105" i="12" s="1"/>
  <c r="J48" i="9"/>
  <c r="J112" i="12" s="1"/>
  <c r="D52" i="9"/>
  <c r="D116" i="12" s="1"/>
  <c r="H56" i="9"/>
  <c r="H120" i="12" s="1"/>
  <c r="AB30" i="12"/>
  <c r="AB22" i="9"/>
  <c r="AB86" i="12" s="1"/>
  <c r="Z31" i="12"/>
  <c r="Z23" i="9"/>
  <c r="Z87" i="12" s="1"/>
  <c r="V33" i="12"/>
  <c r="V25" i="9"/>
  <c r="V89" i="12" s="1"/>
  <c r="T34" i="12"/>
  <c r="T26" i="9"/>
  <c r="T90" i="12" s="1"/>
  <c r="R35" i="12"/>
  <c r="R27" i="9"/>
  <c r="R91" i="12" s="1"/>
  <c r="P36" i="12"/>
  <c r="P28" i="9"/>
  <c r="P92" i="12" s="1"/>
  <c r="N37" i="12"/>
  <c r="N29" i="9"/>
  <c r="N93" i="12" s="1"/>
  <c r="L38" i="12"/>
  <c r="L30" i="9"/>
  <c r="L94" i="12" s="1"/>
  <c r="J39" i="12"/>
  <c r="J31" i="9"/>
  <c r="J95" i="12" s="1"/>
  <c r="H40" i="12"/>
  <c r="H32" i="9"/>
  <c r="H96" i="12" s="1"/>
  <c r="F41" i="12"/>
  <c r="F33" i="9"/>
  <c r="F97" i="12" s="1"/>
  <c r="B43" i="12"/>
  <c r="B35" i="9"/>
  <c r="B99" i="12" s="1"/>
  <c r="AH43" i="12"/>
  <c r="AH35" i="9"/>
  <c r="AH99" i="12" s="1"/>
  <c r="AF44" i="12"/>
  <c r="AF36" i="9"/>
  <c r="AF100" i="12" s="1"/>
  <c r="AD45" i="12"/>
  <c r="AD37" i="9"/>
  <c r="AD101" i="12" s="1"/>
  <c r="D38" i="8"/>
  <c r="AB38" i="8"/>
  <c r="B47" i="12"/>
  <c r="B39" i="9"/>
  <c r="B103" i="12" s="1"/>
  <c r="Z47" i="12"/>
  <c r="Z39" i="9"/>
  <c r="Z103" i="12" s="1"/>
  <c r="X48" i="12"/>
  <c r="X40" i="9"/>
  <c r="X104" i="12" s="1"/>
  <c r="AF48" i="12"/>
  <c r="AF40" i="9"/>
  <c r="AF104" i="12" s="1"/>
  <c r="V49" i="12"/>
  <c r="V41" i="9"/>
  <c r="V105" i="12" s="1"/>
  <c r="AD49" i="12"/>
  <c r="AD41" i="9"/>
  <c r="AD105" i="12" s="1"/>
  <c r="AB50" i="12"/>
  <c r="AB42" i="9"/>
  <c r="AB106" i="12" s="1"/>
  <c r="R51" i="12"/>
  <c r="R43" i="9"/>
  <c r="R107" i="12" s="1"/>
  <c r="Z51" i="12"/>
  <c r="Z43" i="9"/>
  <c r="Z107" i="12" s="1"/>
  <c r="H52" i="12"/>
  <c r="H44" i="9"/>
  <c r="H108" i="12" s="1"/>
  <c r="AF52" i="12"/>
  <c r="AF44" i="9"/>
  <c r="AF108" i="12" s="1"/>
  <c r="N45" i="8"/>
  <c r="V45" i="8"/>
  <c r="D46" i="8"/>
  <c r="AB46" i="8"/>
  <c r="J47" i="8"/>
  <c r="R47" i="8"/>
  <c r="AH47" i="8"/>
  <c r="X56" i="12"/>
  <c r="X48" i="9"/>
  <c r="X112" i="12" s="1"/>
  <c r="N57" i="12"/>
  <c r="N49" i="9"/>
  <c r="N113" i="12" s="1"/>
  <c r="AD57" i="12"/>
  <c r="AD49" i="9"/>
  <c r="AD113" i="12" s="1"/>
  <c r="T58" i="12"/>
  <c r="T50" i="9"/>
  <c r="T114" i="12" s="1"/>
  <c r="B59" i="12"/>
  <c r="B51" i="9"/>
  <c r="B115" i="12" s="1"/>
  <c r="R59" i="12"/>
  <c r="R51" i="9"/>
  <c r="R115" i="12" s="1"/>
  <c r="Z59" i="12"/>
  <c r="Z51" i="9"/>
  <c r="Z115" i="12" s="1"/>
  <c r="P60" i="12"/>
  <c r="P52" i="9"/>
  <c r="P116" i="12" s="1"/>
  <c r="AF60" i="12"/>
  <c r="AF52" i="9"/>
  <c r="AF116" i="12" s="1"/>
  <c r="F53" i="8"/>
  <c r="N53" i="8"/>
  <c r="V53" i="8"/>
  <c r="L54" i="8"/>
  <c r="AB54" i="8"/>
  <c r="J63" i="12"/>
  <c r="J55" i="9"/>
  <c r="J119" i="12" s="1"/>
  <c r="P64" i="12"/>
  <c r="P56" i="9"/>
  <c r="P120" i="12" s="1"/>
  <c r="AF64" i="12"/>
  <c r="AF56" i="9"/>
  <c r="AF120" i="12" s="1"/>
  <c r="U19" i="9"/>
  <c r="U83" i="12" s="1"/>
  <c r="H21" i="9"/>
  <c r="H85" i="12" s="1"/>
  <c r="Y28" i="9"/>
  <c r="Y92" i="12" s="1"/>
  <c r="V30" i="9"/>
  <c r="V94" i="12" s="1"/>
  <c r="AF38" i="9"/>
  <c r="AF102" i="12" s="1"/>
  <c r="AB44" i="9"/>
  <c r="AB108" i="12" s="1"/>
  <c r="W48" i="9"/>
  <c r="W112" i="12" s="1"/>
  <c r="Q52" i="9"/>
  <c r="Q116" i="12" s="1"/>
  <c r="X56" i="9"/>
  <c r="X120" i="12" s="1"/>
  <c r="AC30" i="12"/>
  <c r="AC22" i="9"/>
  <c r="AC86" i="12" s="1"/>
  <c r="AA31" i="12"/>
  <c r="AA23" i="9"/>
  <c r="AA87" i="12" s="1"/>
  <c r="AI31" i="12"/>
  <c r="AI23" i="9"/>
  <c r="AI87" i="12" s="1"/>
  <c r="Y32" i="12"/>
  <c r="Y24" i="9"/>
  <c r="Y88" i="12" s="1"/>
  <c r="AG32" i="12"/>
  <c r="AG24" i="9"/>
  <c r="AG88" i="12" s="1"/>
  <c r="W33" i="12"/>
  <c r="W25" i="9"/>
  <c r="W89" i="12" s="1"/>
  <c r="U34" i="12"/>
  <c r="U26" i="9"/>
  <c r="U90" i="12" s="1"/>
  <c r="AC34" i="12"/>
  <c r="AC26" i="9"/>
  <c r="AC90" i="12" s="1"/>
  <c r="S35" i="12"/>
  <c r="S27" i="9"/>
  <c r="S91" i="12" s="1"/>
  <c r="Q36" i="12"/>
  <c r="Q28" i="9"/>
  <c r="Q92" i="12" s="1"/>
  <c r="O37" i="12"/>
  <c r="O29" i="9"/>
  <c r="O93" i="12" s="1"/>
  <c r="W37" i="12"/>
  <c r="W29" i="9"/>
  <c r="W93" i="12" s="1"/>
  <c r="M38" i="12"/>
  <c r="M30" i="9"/>
  <c r="M94" i="12" s="1"/>
  <c r="U38" i="12"/>
  <c r="U30" i="9"/>
  <c r="U94" i="12" s="1"/>
  <c r="K39" i="12"/>
  <c r="K31" i="9"/>
  <c r="K95" i="12" s="1"/>
  <c r="S39" i="12"/>
  <c r="S31" i="9"/>
  <c r="S95" i="12" s="1"/>
  <c r="I40" i="12"/>
  <c r="I32" i="9"/>
  <c r="I96" i="12" s="1"/>
  <c r="Q40" i="12"/>
  <c r="Q32" i="9"/>
  <c r="Q96" i="12" s="1"/>
  <c r="G41" i="12"/>
  <c r="G33" i="9"/>
  <c r="G97" i="12" s="1"/>
  <c r="O41" i="12"/>
  <c r="O33" i="9"/>
  <c r="O97" i="12" s="1"/>
  <c r="E42" i="12"/>
  <c r="E34" i="9"/>
  <c r="E98" i="12" s="1"/>
  <c r="M42" i="12"/>
  <c r="M34" i="9"/>
  <c r="M98" i="12" s="1"/>
  <c r="K43" i="12"/>
  <c r="K35" i="9"/>
  <c r="K99" i="12" s="1"/>
  <c r="AI43" i="12"/>
  <c r="AI35" i="9"/>
  <c r="AI99" i="12" s="1"/>
  <c r="I44" i="12"/>
  <c r="I36" i="9"/>
  <c r="I100" i="12" s="1"/>
  <c r="G45" i="12"/>
  <c r="G37" i="9"/>
  <c r="G101" i="12" s="1"/>
  <c r="AE45" i="12"/>
  <c r="AE37" i="9"/>
  <c r="AE101" i="12" s="1"/>
  <c r="E46" i="12"/>
  <c r="E38" i="9"/>
  <c r="E102" i="12" s="1"/>
  <c r="AC46" i="12"/>
  <c r="AC38" i="9"/>
  <c r="AC102" i="12" s="1"/>
  <c r="C47" i="12"/>
  <c r="C39" i="9"/>
  <c r="C103" i="12" s="1"/>
  <c r="AA47" i="12"/>
  <c r="AA39" i="9"/>
  <c r="AA103" i="12" s="1"/>
  <c r="AI47" i="12"/>
  <c r="AI39" i="9"/>
  <c r="AI103" i="12" s="1"/>
  <c r="Y48" i="12"/>
  <c r="Y40" i="9"/>
  <c r="Y104" i="12" s="1"/>
  <c r="AG48" i="12"/>
  <c r="AG40" i="9"/>
  <c r="AG104" i="12" s="1"/>
  <c r="W49" i="12"/>
  <c r="W41" i="9"/>
  <c r="W105" i="12" s="1"/>
  <c r="U50" i="12"/>
  <c r="U42" i="9"/>
  <c r="U106" i="12" s="1"/>
  <c r="AC50" i="12"/>
  <c r="AC42" i="9"/>
  <c r="AC106" i="12" s="1"/>
  <c r="S51" i="12"/>
  <c r="S43" i="9"/>
  <c r="S107" i="12" s="1"/>
  <c r="AI51" i="12"/>
  <c r="AI43" i="9"/>
  <c r="AI107" i="12" s="1"/>
  <c r="I52" i="12"/>
  <c r="I44" i="9"/>
  <c r="I108" i="12" s="1"/>
  <c r="Q52" i="12"/>
  <c r="Q44" i="9"/>
  <c r="Q108" i="12" s="1"/>
  <c r="Y52" i="12"/>
  <c r="Y44" i="9"/>
  <c r="Y108" i="12" s="1"/>
  <c r="AG52" i="12"/>
  <c r="AG44" i="9"/>
  <c r="AG108" i="12" s="1"/>
  <c r="G53" i="12"/>
  <c r="G45" i="9"/>
  <c r="G109" i="12" s="1"/>
  <c r="O53" i="12"/>
  <c r="O45" i="9"/>
  <c r="O109" i="12" s="1"/>
  <c r="W53" i="12"/>
  <c r="W45" i="9"/>
  <c r="W109" i="12" s="1"/>
  <c r="AE53" i="12"/>
  <c r="AE45" i="9"/>
  <c r="AE109" i="12" s="1"/>
  <c r="E54" i="12"/>
  <c r="E46" i="9"/>
  <c r="E110" i="12" s="1"/>
  <c r="M54" i="12"/>
  <c r="M46" i="9"/>
  <c r="M110" i="12" s="1"/>
  <c r="U54" i="12"/>
  <c r="U46" i="9"/>
  <c r="U110" i="12" s="1"/>
  <c r="AC54" i="12"/>
  <c r="AC46" i="9"/>
  <c r="AC110" i="12" s="1"/>
  <c r="C55" i="12"/>
  <c r="C47" i="9"/>
  <c r="C111" i="12" s="1"/>
  <c r="K55" i="12"/>
  <c r="K47" i="9"/>
  <c r="K111" i="12" s="1"/>
  <c r="S55" i="12"/>
  <c r="S47" i="9"/>
  <c r="S111" i="12" s="1"/>
  <c r="AA55" i="12"/>
  <c r="AA47" i="9"/>
  <c r="AA111" i="12" s="1"/>
  <c r="AI55" i="12"/>
  <c r="AI47" i="9"/>
  <c r="AI111" i="12" s="1"/>
  <c r="I56" i="12"/>
  <c r="I48" i="9"/>
  <c r="I112" i="12" s="1"/>
  <c r="Q56" i="12"/>
  <c r="Q48" i="9"/>
  <c r="Q112" i="12" s="1"/>
  <c r="Y56" i="12"/>
  <c r="Y48" i="9"/>
  <c r="Y112" i="12" s="1"/>
  <c r="AG56" i="12"/>
  <c r="AG48" i="9"/>
  <c r="AG112" i="12" s="1"/>
  <c r="G57" i="12"/>
  <c r="G49" i="9"/>
  <c r="G113" i="12" s="1"/>
  <c r="O57" i="12"/>
  <c r="O49" i="9"/>
  <c r="O113" i="12" s="1"/>
  <c r="W57" i="12"/>
  <c r="W49" i="9"/>
  <c r="W113" i="12" s="1"/>
  <c r="AE57" i="12"/>
  <c r="AE49" i="9"/>
  <c r="AE113" i="12" s="1"/>
  <c r="E58" i="12"/>
  <c r="E50" i="9"/>
  <c r="E114" i="12" s="1"/>
  <c r="M58" i="12"/>
  <c r="M50" i="9"/>
  <c r="M114" i="12" s="1"/>
  <c r="AC58" i="12"/>
  <c r="AC50" i="9"/>
  <c r="AC114" i="12" s="1"/>
  <c r="C59" i="12"/>
  <c r="C51" i="9"/>
  <c r="C115" i="12" s="1"/>
  <c r="K59" i="12"/>
  <c r="K51" i="9"/>
  <c r="K115" i="12" s="1"/>
  <c r="S59" i="12"/>
  <c r="S51" i="9"/>
  <c r="S115" i="12" s="1"/>
  <c r="AA59" i="12"/>
  <c r="AA51" i="9"/>
  <c r="AA115" i="12" s="1"/>
  <c r="AI59" i="12"/>
  <c r="AI51" i="9"/>
  <c r="AI115" i="12" s="1"/>
  <c r="I60" i="12"/>
  <c r="I52" i="9"/>
  <c r="I116" i="12" s="1"/>
  <c r="Y60" i="12"/>
  <c r="Y52" i="9"/>
  <c r="Y116" i="12" s="1"/>
  <c r="AG60" i="12"/>
  <c r="AG52" i="9"/>
  <c r="AG116" i="12" s="1"/>
  <c r="G53" i="8"/>
  <c r="O53" i="8"/>
  <c r="W53" i="8"/>
  <c r="AE53" i="8"/>
  <c r="E54" i="8"/>
  <c r="M54" i="8"/>
  <c r="U54" i="8"/>
  <c r="AC54" i="8"/>
  <c r="C63" i="12"/>
  <c r="C55" i="9"/>
  <c r="C119" i="12" s="1"/>
  <c r="K63" i="12"/>
  <c r="K55" i="9"/>
  <c r="K119" i="12" s="1"/>
  <c r="S63" i="12"/>
  <c r="S55" i="9"/>
  <c r="S119" i="12" s="1"/>
  <c r="AA63" i="12"/>
  <c r="AA55" i="9"/>
  <c r="AA119" i="12" s="1"/>
  <c r="AI63" i="12"/>
  <c r="AI55" i="9"/>
  <c r="AI119" i="12" s="1"/>
  <c r="I64" i="12"/>
  <c r="I56" i="9"/>
  <c r="I120" i="12" s="1"/>
  <c r="Y64" i="12"/>
  <c r="Y56" i="9"/>
  <c r="Y120" i="12" s="1"/>
  <c r="AC19" i="9"/>
  <c r="AC83" i="12" s="1"/>
  <c r="I25" i="9"/>
  <c r="I89" i="12" s="1"/>
  <c r="AB28" i="9"/>
  <c r="AB92" i="12" s="1"/>
  <c r="H34" i="9"/>
  <c r="H98" i="12" s="1"/>
  <c r="AG36" i="9"/>
  <c r="AG100" i="12" s="1"/>
  <c r="AE41" i="9"/>
  <c r="AE105" i="12" s="1"/>
  <c r="F49" i="9"/>
  <c r="F113" i="12" s="1"/>
  <c r="H13" i="12"/>
  <c r="H5" i="9"/>
  <c r="H69" i="12" s="1"/>
  <c r="P13" i="12"/>
  <c r="P5" i="9"/>
  <c r="P69" i="12" s="1"/>
  <c r="X13" i="12"/>
  <c r="X5" i="9"/>
  <c r="X69" i="12" s="1"/>
  <c r="AF13" i="12"/>
  <c r="AF5" i="9"/>
  <c r="AF69" i="12" s="1"/>
  <c r="F14" i="12"/>
  <c r="F6" i="9"/>
  <c r="F70" i="12" s="1"/>
  <c r="N14" i="12"/>
  <c r="N6" i="9"/>
  <c r="N70" i="12" s="1"/>
  <c r="V14" i="12"/>
  <c r="V6" i="9"/>
  <c r="V70" i="12" s="1"/>
  <c r="AD14" i="12"/>
  <c r="AD6" i="9"/>
  <c r="AD70" i="12" s="1"/>
  <c r="D15" i="12"/>
  <c r="D7" i="9"/>
  <c r="D71" i="12" s="1"/>
  <c r="L15" i="12"/>
  <c r="L7" i="9"/>
  <c r="L71" i="12" s="1"/>
  <c r="T15" i="12"/>
  <c r="T7" i="9"/>
  <c r="T71" i="12" s="1"/>
  <c r="AB15" i="12"/>
  <c r="AB7" i="9"/>
  <c r="AB71" i="12" s="1"/>
  <c r="B16" i="12"/>
  <c r="B8" i="9"/>
  <c r="B72" i="12" s="1"/>
  <c r="J16" i="12"/>
  <c r="J8" i="9"/>
  <c r="J72" i="12" s="1"/>
  <c r="R16" i="12"/>
  <c r="R8" i="9"/>
  <c r="R72" i="12" s="1"/>
  <c r="Z16" i="12"/>
  <c r="Z8" i="9"/>
  <c r="Z72" i="12" s="1"/>
  <c r="AH16" i="12"/>
  <c r="AH8" i="9"/>
  <c r="AH72" i="12" s="1"/>
  <c r="H17" i="12"/>
  <c r="H9" i="9"/>
  <c r="H73" i="12" s="1"/>
  <c r="P17" i="12"/>
  <c r="P9" i="9"/>
  <c r="P73" i="12" s="1"/>
  <c r="X17" i="12"/>
  <c r="X9" i="9"/>
  <c r="X73" i="12" s="1"/>
  <c r="AF17" i="12"/>
  <c r="AF9" i="9"/>
  <c r="AF73" i="12" s="1"/>
  <c r="F18" i="12"/>
  <c r="F10" i="9"/>
  <c r="F74" i="12" s="1"/>
  <c r="N18" i="12"/>
  <c r="N10" i="9"/>
  <c r="N74" i="12" s="1"/>
  <c r="V18" i="12"/>
  <c r="V10" i="9"/>
  <c r="V74" i="12" s="1"/>
  <c r="AD18" i="12"/>
  <c r="AD10" i="9"/>
  <c r="AD74" i="12" s="1"/>
  <c r="D19" i="12"/>
  <c r="D11" i="9"/>
  <c r="D75" i="12" s="1"/>
  <c r="L19" i="12"/>
  <c r="L11" i="9"/>
  <c r="L75" i="12" s="1"/>
  <c r="T19" i="12"/>
  <c r="T11" i="9"/>
  <c r="T75" i="12" s="1"/>
  <c r="AB19" i="12"/>
  <c r="AB11" i="9"/>
  <c r="AB75" i="12" s="1"/>
  <c r="B20" i="12"/>
  <c r="B12" i="9"/>
  <c r="B76" i="12" s="1"/>
  <c r="J20" i="12"/>
  <c r="J12" i="9"/>
  <c r="J76" i="12" s="1"/>
  <c r="R20" i="12"/>
  <c r="R12" i="9"/>
  <c r="R76" i="12" s="1"/>
  <c r="Z20" i="12"/>
  <c r="Z12" i="9"/>
  <c r="Z76" i="12" s="1"/>
  <c r="AH20" i="12"/>
  <c r="AH12" i="9"/>
  <c r="AH76" i="12" s="1"/>
  <c r="H21" i="12"/>
  <c r="H13" i="9"/>
  <c r="H77" i="12" s="1"/>
  <c r="P21" i="12"/>
  <c r="P13" i="9"/>
  <c r="P77" i="12" s="1"/>
  <c r="X21" i="12"/>
  <c r="X13" i="9"/>
  <c r="X77" i="12" s="1"/>
  <c r="AF21" i="12"/>
  <c r="AF13" i="9"/>
  <c r="AF77" i="12" s="1"/>
  <c r="F22" i="12"/>
  <c r="F14" i="9"/>
  <c r="F78" i="12" s="1"/>
  <c r="N22" i="12"/>
  <c r="N14" i="9"/>
  <c r="N78" i="12" s="1"/>
  <c r="V22" i="12"/>
  <c r="V14" i="9"/>
  <c r="V78" i="12" s="1"/>
  <c r="AD22" i="12"/>
  <c r="AD14" i="9"/>
  <c r="AD78" i="12" s="1"/>
  <c r="D23" i="12"/>
  <c r="D15" i="9"/>
  <c r="D79" i="12" s="1"/>
  <c r="L23" i="12"/>
  <c r="L15" i="9"/>
  <c r="L79" i="12" s="1"/>
  <c r="T23" i="12"/>
  <c r="T15" i="9"/>
  <c r="T79" i="12" s="1"/>
  <c r="AB23" i="12"/>
  <c r="AB15" i="9"/>
  <c r="AB79" i="12" s="1"/>
  <c r="B24" i="12"/>
  <c r="B16" i="9"/>
  <c r="B80" i="12" s="1"/>
  <c r="J24" i="12"/>
  <c r="J16" i="9"/>
  <c r="J80" i="12" s="1"/>
  <c r="R24" i="12"/>
  <c r="R16" i="9"/>
  <c r="R80" i="12" s="1"/>
  <c r="Z24" i="12"/>
  <c r="Z16" i="9"/>
  <c r="Z80" i="12" s="1"/>
  <c r="AH24" i="12"/>
  <c r="AH16" i="9"/>
  <c r="AH80" i="12" s="1"/>
  <c r="H25" i="12"/>
  <c r="H17" i="9"/>
  <c r="H81" i="12" s="1"/>
  <c r="P25" i="12"/>
  <c r="P17" i="9"/>
  <c r="P81" i="12" s="1"/>
  <c r="X25" i="12"/>
  <c r="X17" i="9"/>
  <c r="X81" i="12" s="1"/>
  <c r="AF25" i="12"/>
  <c r="AF17" i="9"/>
  <c r="AF81" i="12" s="1"/>
  <c r="F26" i="12"/>
  <c r="F18" i="9"/>
  <c r="F82" i="12" s="1"/>
  <c r="N26" i="12"/>
  <c r="N18" i="9"/>
  <c r="N82" i="12" s="1"/>
  <c r="V26" i="12"/>
  <c r="V18" i="9"/>
  <c r="V82" i="12" s="1"/>
  <c r="AD26" i="12"/>
  <c r="AD18" i="9"/>
  <c r="AD82" i="12" s="1"/>
  <c r="D27" i="12"/>
  <c r="D19" i="9"/>
  <c r="D83" i="12" s="1"/>
  <c r="L27" i="12"/>
  <c r="L19" i="9"/>
  <c r="L83" i="12" s="1"/>
  <c r="T27" i="12"/>
  <c r="T19" i="9"/>
  <c r="T83" i="12" s="1"/>
  <c r="AB27" i="12"/>
  <c r="AB19" i="9"/>
  <c r="AB83" i="12" s="1"/>
  <c r="B28" i="12"/>
  <c r="B20" i="9"/>
  <c r="B84" i="12" s="1"/>
  <c r="J28" i="12"/>
  <c r="J20" i="9"/>
  <c r="J84" i="12" s="1"/>
  <c r="R28" i="12"/>
  <c r="R20" i="9"/>
  <c r="R84" i="12" s="1"/>
  <c r="Z28" i="12"/>
  <c r="Z20" i="9"/>
  <c r="Z84" i="12" s="1"/>
  <c r="AH28" i="12"/>
  <c r="AH20" i="9"/>
  <c r="AH84" i="12" s="1"/>
  <c r="P29" i="12"/>
  <c r="P21" i="9"/>
  <c r="P85" i="12" s="1"/>
  <c r="X29" i="12"/>
  <c r="X21" i="9"/>
  <c r="X85" i="12" s="1"/>
  <c r="AF29" i="12"/>
  <c r="AF21" i="9"/>
  <c r="AF85" i="12" s="1"/>
  <c r="F30" i="12"/>
  <c r="F22" i="9"/>
  <c r="F86" i="12" s="1"/>
  <c r="D31" i="12"/>
  <c r="D23" i="9"/>
  <c r="D87" i="12" s="1"/>
  <c r="B32" i="12"/>
  <c r="B24" i="9"/>
  <c r="B88" i="12" s="1"/>
  <c r="AH32" i="12"/>
  <c r="AH24" i="9"/>
  <c r="AH88" i="12" s="1"/>
  <c r="AF33" i="12"/>
  <c r="AF25" i="9"/>
  <c r="AF89" i="12" s="1"/>
  <c r="AD34" i="12"/>
  <c r="AD26" i="9"/>
  <c r="AD90" i="12" s="1"/>
  <c r="AB35" i="12"/>
  <c r="AB27" i="9"/>
  <c r="AB91" i="12" s="1"/>
  <c r="Z36" i="12"/>
  <c r="Z28" i="9"/>
  <c r="Z92" i="12" s="1"/>
  <c r="X29" i="8"/>
  <c r="T39" i="12"/>
  <c r="T31" i="9"/>
  <c r="T95" i="12" s="1"/>
  <c r="R40" i="12"/>
  <c r="R32" i="9"/>
  <c r="R96" i="12" s="1"/>
  <c r="P41" i="12"/>
  <c r="P33" i="9"/>
  <c r="P97" i="12" s="1"/>
  <c r="N42" i="12"/>
  <c r="N34" i="9"/>
  <c r="N98" i="12" s="1"/>
  <c r="L43" i="12"/>
  <c r="L35" i="9"/>
  <c r="L99" i="12" s="1"/>
  <c r="J44" i="12"/>
  <c r="J36" i="9"/>
  <c r="J100" i="12" s="1"/>
  <c r="H37" i="8"/>
  <c r="F38" i="8"/>
  <c r="N38" i="8"/>
  <c r="D47" i="12"/>
  <c r="D39" i="9"/>
  <c r="D103" i="12" s="1"/>
  <c r="L47" i="12"/>
  <c r="L39" i="9"/>
  <c r="L103" i="12" s="1"/>
  <c r="B48" i="12"/>
  <c r="B40" i="9"/>
  <c r="B104" i="12" s="1"/>
  <c r="J48" i="12"/>
  <c r="J40" i="9"/>
  <c r="J104" i="12" s="1"/>
  <c r="AH48" i="12"/>
  <c r="AH40" i="9"/>
  <c r="AH104" i="12" s="1"/>
  <c r="H49" i="12"/>
  <c r="H41" i="9"/>
  <c r="H105" i="12" s="1"/>
  <c r="AF49" i="12"/>
  <c r="AF41" i="9"/>
  <c r="AF105" i="12" s="1"/>
  <c r="F50" i="12"/>
  <c r="F42" i="9"/>
  <c r="F106" i="12" s="1"/>
  <c r="AD50" i="12"/>
  <c r="AD42" i="9"/>
  <c r="AD106" i="12" s="1"/>
  <c r="D51" i="12"/>
  <c r="D43" i="9"/>
  <c r="D107" i="12" s="1"/>
  <c r="AB51" i="12"/>
  <c r="AB43" i="9"/>
  <c r="AB107" i="12" s="1"/>
  <c r="J52" i="12"/>
  <c r="J44" i="9"/>
  <c r="J108" i="12" s="1"/>
  <c r="R52" i="12"/>
  <c r="R44" i="9"/>
  <c r="R108" i="12" s="1"/>
  <c r="AH52" i="12"/>
  <c r="AH44" i="9"/>
  <c r="AH108" i="12" s="1"/>
  <c r="X45" i="8"/>
  <c r="F46" i="8"/>
  <c r="N46" i="8"/>
  <c r="AD46" i="8"/>
  <c r="T47" i="8"/>
  <c r="B56" i="12"/>
  <c r="B48" i="9"/>
  <c r="B112" i="12" s="1"/>
  <c r="Z56" i="12"/>
  <c r="Z48" i="9"/>
  <c r="Z112" i="12" s="1"/>
  <c r="P57" i="12"/>
  <c r="P49" i="9"/>
  <c r="P113" i="12" s="1"/>
  <c r="AF57" i="12"/>
  <c r="AF49" i="9"/>
  <c r="AF113" i="12" s="1"/>
  <c r="V58" i="12"/>
  <c r="V50" i="9"/>
  <c r="V114" i="12" s="1"/>
  <c r="L59" i="12"/>
  <c r="L51" i="9"/>
  <c r="L115" i="12" s="1"/>
  <c r="AB59" i="12"/>
  <c r="AB51" i="9"/>
  <c r="AB115" i="12" s="1"/>
  <c r="B60" i="12"/>
  <c r="B52" i="9"/>
  <c r="B116" i="12" s="1"/>
  <c r="J60" i="12"/>
  <c r="J52" i="9"/>
  <c r="J116" i="12" s="1"/>
  <c r="R60" i="12"/>
  <c r="R52" i="9"/>
  <c r="R116" i="12" s="1"/>
  <c r="H53" i="8"/>
  <c r="X53" i="8"/>
  <c r="AF53" i="8"/>
  <c r="F54" i="8"/>
  <c r="N54" i="8"/>
  <c r="D63" i="12"/>
  <c r="D55" i="9"/>
  <c r="D119" i="12" s="1"/>
  <c r="T63" i="12"/>
  <c r="T55" i="9"/>
  <c r="T119" i="12" s="1"/>
  <c r="AB63" i="12"/>
  <c r="AB55" i="9"/>
  <c r="AB119" i="12" s="1"/>
  <c r="B64" i="12"/>
  <c r="B56" i="9"/>
  <c r="B120" i="12" s="1"/>
  <c r="J64" i="12"/>
  <c r="J56" i="9"/>
  <c r="J120" i="12" s="1"/>
  <c r="R64" i="12"/>
  <c r="R56" i="9"/>
  <c r="R120" i="12" s="1"/>
  <c r="Z64" i="12"/>
  <c r="Z56" i="9"/>
  <c r="Z120" i="12" s="1"/>
  <c r="AH64" i="12"/>
  <c r="AH56" i="9"/>
  <c r="AH120" i="12" s="1"/>
  <c r="Y23" i="9"/>
  <c r="Y87" i="12" s="1"/>
  <c r="M25" i="9"/>
  <c r="M89" i="12" s="1"/>
  <c r="J29" i="9"/>
  <c r="J93" i="12" s="1"/>
  <c r="AB32" i="9"/>
  <c r="AB96" i="12" s="1"/>
  <c r="AA34" i="9"/>
  <c r="AA98" i="12" s="1"/>
  <c r="B37" i="9"/>
  <c r="B101" i="12" s="1"/>
  <c r="T42" i="9"/>
  <c r="T106" i="12" s="1"/>
  <c r="Z45" i="9"/>
  <c r="Z109" i="12" s="1"/>
  <c r="R49" i="9"/>
  <c r="R113" i="12" s="1"/>
  <c r="S16" i="12"/>
  <c r="S8" i="9"/>
  <c r="S72" i="12" s="1"/>
  <c r="AA16" i="12"/>
  <c r="AA8" i="9"/>
  <c r="AA72" i="12" s="1"/>
  <c r="AI16" i="12"/>
  <c r="AI8" i="9"/>
  <c r="AI72" i="12" s="1"/>
  <c r="I17" i="12"/>
  <c r="I9" i="9"/>
  <c r="I73" i="12" s="1"/>
  <c r="Q17" i="12"/>
  <c r="Q9" i="9"/>
  <c r="Q73" i="12" s="1"/>
  <c r="Y17" i="12"/>
  <c r="Y9" i="9"/>
  <c r="Y73" i="12" s="1"/>
  <c r="AG17" i="12"/>
  <c r="AG9" i="9"/>
  <c r="AG73" i="12" s="1"/>
  <c r="G18" i="12"/>
  <c r="G10" i="9"/>
  <c r="G74" i="12" s="1"/>
  <c r="O18" i="12"/>
  <c r="O10" i="9"/>
  <c r="O74" i="12" s="1"/>
  <c r="W18" i="12"/>
  <c r="W10" i="9"/>
  <c r="W74" i="12" s="1"/>
  <c r="AE18" i="12"/>
  <c r="AE10" i="9"/>
  <c r="AE74" i="12" s="1"/>
  <c r="E19" i="12"/>
  <c r="E11" i="9"/>
  <c r="E75" i="12" s="1"/>
  <c r="M19" i="12"/>
  <c r="M11" i="9"/>
  <c r="M75" i="12" s="1"/>
  <c r="U19" i="12"/>
  <c r="U11" i="9"/>
  <c r="U75" i="12" s="1"/>
  <c r="AC19" i="12"/>
  <c r="AC11" i="9"/>
  <c r="AC75" i="12" s="1"/>
  <c r="C20" i="12"/>
  <c r="C12" i="9"/>
  <c r="C76" i="12" s="1"/>
  <c r="K20" i="12"/>
  <c r="K12" i="9"/>
  <c r="K76" i="12" s="1"/>
  <c r="S20" i="12"/>
  <c r="S12" i="9"/>
  <c r="S76" i="12" s="1"/>
  <c r="AA20" i="12"/>
  <c r="AA12" i="9"/>
  <c r="AA76" i="12" s="1"/>
  <c r="AI20" i="12"/>
  <c r="AI12" i="9"/>
  <c r="AI76" i="12" s="1"/>
  <c r="I21" i="12"/>
  <c r="I13" i="9"/>
  <c r="I77" i="12" s="1"/>
  <c r="Q21" i="12"/>
  <c r="Q13" i="9"/>
  <c r="Q77" i="12" s="1"/>
  <c r="Y21" i="12"/>
  <c r="Y13" i="9"/>
  <c r="Y77" i="12" s="1"/>
  <c r="AG21" i="12"/>
  <c r="AG13" i="9"/>
  <c r="AG77" i="12" s="1"/>
  <c r="G22" i="12"/>
  <c r="G14" i="9"/>
  <c r="G78" i="12" s="1"/>
  <c r="O22" i="12"/>
  <c r="O14" i="9"/>
  <c r="O78" i="12" s="1"/>
  <c r="W22" i="12"/>
  <c r="W14" i="9"/>
  <c r="W78" i="12" s="1"/>
  <c r="AE22" i="12"/>
  <c r="AE14" i="9"/>
  <c r="AE78" i="12" s="1"/>
  <c r="E23" i="12"/>
  <c r="E15" i="9"/>
  <c r="E79" i="12" s="1"/>
  <c r="M23" i="12"/>
  <c r="M15" i="9"/>
  <c r="M79" i="12" s="1"/>
  <c r="U23" i="12"/>
  <c r="U15" i="9"/>
  <c r="U79" i="12" s="1"/>
  <c r="AC23" i="12"/>
  <c r="AC15" i="9"/>
  <c r="AC79" i="12" s="1"/>
  <c r="C24" i="12"/>
  <c r="C16" i="9"/>
  <c r="C80" i="12" s="1"/>
  <c r="K24" i="12"/>
  <c r="K16" i="9"/>
  <c r="K80" i="12" s="1"/>
  <c r="S24" i="12"/>
  <c r="S16" i="9"/>
  <c r="S80" i="12" s="1"/>
  <c r="AA24" i="12"/>
  <c r="AA16" i="9"/>
  <c r="AA80" i="12" s="1"/>
  <c r="AI24" i="12"/>
  <c r="AI16" i="9"/>
  <c r="AI80" i="12" s="1"/>
  <c r="I25" i="12"/>
  <c r="I17" i="9"/>
  <c r="I81" i="12" s="1"/>
  <c r="Q25" i="12"/>
  <c r="Q17" i="9"/>
  <c r="Q81" i="12" s="1"/>
  <c r="Y25" i="12"/>
  <c r="Y17" i="9"/>
  <c r="Y81" i="12" s="1"/>
  <c r="AG25" i="12"/>
  <c r="AG17" i="9"/>
  <c r="AG81" i="12" s="1"/>
  <c r="G26" i="12"/>
  <c r="G18" i="9"/>
  <c r="G82" i="12" s="1"/>
  <c r="O26" i="12"/>
  <c r="O18" i="9"/>
  <c r="O82" i="12" s="1"/>
  <c r="W26" i="12"/>
  <c r="W18" i="9"/>
  <c r="W82" i="12" s="1"/>
  <c r="M27" i="12"/>
  <c r="M19" i="9"/>
  <c r="M83" i="12" s="1"/>
  <c r="C28" i="12"/>
  <c r="C20" i="9"/>
  <c r="C84" i="12" s="1"/>
  <c r="K28" i="12"/>
  <c r="K20" i="9"/>
  <c r="K84" i="12" s="1"/>
  <c r="S28" i="12"/>
  <c r="S20" i="9"/>
  <c r="S84" i="12" s="1"/>
  <c r="AA28" i="12"/>
  <c r="AA20" i="9"/>
  <c r="AA84" i="12" s="1"/>
  <c r="AI28" i="12"/>
  <c r="AI20" i="9"/>
  <c r="AI84" i="12" s="1"/>
  <c r="I29" i="12"/>
  <c r="I21" i="9"/>
  <c r="I85" i="12" s="1"/>
  <c r="Q29" i="12"/>
  <c r="Q21" i="9"/>
  <c r="Q85" i="12" s="1"/>
  <c r="Y29" i="12"/>
  <c r="Y21" i="9"/>
  <c r="Y85" i="12" s="1"/>
  <c r="AG29" i="12"/>
  <c r="AG21" i="9"/>
  <c r="AG85" i="12" s="1"/>
  <c r="G30" i="12"/>
  <c r="G22" i="9"/>
  <c r="G86" i="12" s="1"/>
  <c r="O30" i="12"/>
  <c r="O22" i="9"/>
  <c r="O86" i="12" s="1"/>
  <c r="E31" i="12"/>
  <c r="E23" i="9"/>
  <c r="E87" i="12" s="1"/>
  <c r="M31" i="12"/>
  <c r="M23" i="9"/>
  <c r="M87" i="12" s="1"/>
  <c r="C32" i="12"/>
  <c r="C24" i="9"/>
  <c r="C88" i="12" s="1"/>
  <c r="K32" i="12"/>
  <c r="K24" i="9"/>
  <c r="K88" i="12" s="1"/>
  <c r="AI32" i="12"/>
  <c r="AI24" i="9"/>
  <c r="AI88" i="12" s="1"/>
  <c r="AG33" i="12"/>
  <c r="AG25" i="9"/>
  <c r="AG89" i="12" s="1"/>
  <c r="G34" i="12"/>
  <c r="G26" i="9"/>
  <c r="G90" i="12" s="1"/>
  <c r="AE34" i="12"/>
  <c r="AE26" i="9"/>
  <c r="AE90" i="12" s="1"/>
  <c r="E35" i="12"/>
  <c r="E27" i="9"/>
  <c r="E91" i="12" s="1"/>
  <c r="AC35" i="12"/>
  <c r="AC27" i="9"/>
  <c r="AC91" i="12" s="1"/>
  <c r="C36" i="12"/>
  <c r="C28" i="9"/>
  <c r="C92" i="12" s="1"/>
  <c r="AA36" i="12"/>
  <c r="AA28" i="9"/>
  <c r="AA92" i="12" s="1"/>
  <c r="AI36" i="12"/>
  <c r="AI28" i="9"/>
  <c r="AI92" i="12" s="1"/>
  <c r="Y29" i="8"/>
  <c r="AG29" i="8"/>
  <c r="W38" i="12"/>
  <c r="W30" i="9"/>
  <c r="W94" i="12" s="1"/>
  <c r="AE38" i="12"/>
  <c r="AE30" i="9"/>
  <c r="AE94" i="12" s="1"/>
  <c r="U39" i="12"/>
  <c r="U31" i="9"/>
  <c r="U95" i="12" s="1"/>
  <c r="AC39" i="12"/>
  <c r="AC31" i="9"/>
  <c r="AC95" i="12" s="1"/>
  <c r="S40" i="12"/>
  <c r="S32" i="9"/>
  <c r="S96" i="12" s="1"/>
  <c r="AA40" i="12"/>
  <c r="AA32" i="9"/>
  <c r="AA96" i="12" s="1"/>
  <c r="Q41" i="12"/>
  <c r="Q33" i="9"/>
  <c r="Q97" i="12" s="1"/>
  <c r="Y41" i="12"/>
  <c r="Y33" i="9"/>
  <c r="Y97" i="12" s="1"/>
  <c r="O42" i="12"/>
  <c r="O34" i="9"/>
  <c r="O98" i="12" s="1"/>
  <c r="W42" i="12"/>
  <c r="W34" i="9"/>
  <c r="W98" i="12" s="1"/>
  <c r="M43" i="12"/>
  <c r="M35" i="9"/>
  <c r="M99" i="12" s="1"/>
  <c r="U43" i="12"/>
  <c r="U35" i="9"/>
  <c r="U99" i="12" s="1"/>
  <c r="K44" i="12"/>
  <c r="K36" i="9"/>
  <c r="K100" i="12" s="1"/>
  <c r="S44" i="12"/>
  <c r="S36" i="9"/>
  <c r="S100" i="12" s="1"/>
  <c r="I37" i="8"/>
  <c r="Q37" i="8"/>
  <c r="G38" i="8"/>
  <c r="O38" i="8"/>
  <c r="E39" i="8"/>
  <c r="M39" i="8"/>
  <c r="C48" i="12"/>
  <c r="C40" i="9"/>
  <c r="C104" i="12" s="1"/>
  <c r="K48" i="12"/>
  <c r="K40" i="9"/>
  <c r="K104" i="12" s="1"/>
  <c r="AI48" i="12"/>
  <c r="AI40" i="9"/>
  <c r="AI104" i="12" s="1"/>
  <c r="I49" i="12"/>
  <c r="I41" i="9"/>
  <c r="I105" i="12" s="1"/>
  <c r="AG49" i="12"/>
  <c r="AG41" i="9"/>
  <c r="AG105" i="12" s="1"/>
  <c r="G50" i="12"/>
  <c r="G42" i="9"/>
  <c r="G106" i="12" s="1"/>
  <c r="AE50" i="12"/>
  <c r="AE42" i="9"/>
  <c r="AE106" i="12" s="1"/>
  <c r="E51" i="12"/>
  <c r="E43" i="9"/>
  <c r="E107" i="12" s="1"/>
  <c r="AC51" i="12"/>
  <c r="AC43" i="9"/>
  <c r="AC107" i="12" s="1"/>
  <c r="S52" i="12"/>
  <c r="S44" i="9"/>
  <c r="S108" i="12" s="1"/>
  <c r="AI52" i="12"/>
  <c r="AI44" i="9"/>
  <c r="AI108" i="12" s="1"/>
  <c r="I45" i="8"/>
  <c r="Y45" i="8"/>
  <c r="O46" i="8"/>
  <c r="AE46" i="8"/>
  <c r="E47" i="8"/>
  <c r="U47" i="8"/>
  <c r="K56" i="12"/>
  <c r="K48" i="9"/>
  <c r="K112" i="12" s="1"/>
  <c r="AA56" i="12"/>
  <c r="AA48" i="9"/>
  <c r="AA112" i="12" s="1"/>
  <c r="AI56" i="12"/>
  <c r="AI48" i="9"/>
  <c r="AI112" i="12" s="1"/>
  <c r="Q57" i="12"/>
  <c r="Q49" i="9"/>
  <c r="Q113" i="12" s="1"/>
  <c r="G58" i="12"/>
  <c r="G50" i="9"/>
  <c r="G114" i="12" s="1"/>
  <c r="W58" i="12"/>
  <c r="W50" i="9"/>
  <c r="W114" i="12" s="1"/>
  <c r="AE58" i="12"/>
  <c r="AE50" i="9"/>
  <c r="AE114" i="12" s="1"/>
  <c r="M59" i="12"/>
  <c r="M51" i="9"/>
  <c r="M115" i="12" s="1"/>
  <c r="C60" i="12"/>
  <c r="C52" i="9"/>
  <c r="C116" i="12" s="1"/>
  <c r="S60" i="12"/>
  <c r="S52" i="9"/>
  <c r="S116" i="12" s="1"/>
  <c r="AA60" i="12"/>
  <c r="AA52" i="9"/>
  <c r="AA116" i="12" s="1"/>
  <c r="AI60" i="12"/>
  <c r="AI52" i="9"/>
  <c r="AI116" i="12" s="1"/>
  <c r="I53" i="8"/>
  <c r="AG53" i="8"/>
  <c r="O54" i="8"/>
  <c r="W54" i="8"/>
  <c r="AE54" i="8"/>
  <c r="E63" i="12"/>
  <c r="E55" i="9"/>
  <c r="E119" i="12" s="1"/>
  <c r="AC63" i="12"/>
  <c r="AC55" i="9"/>
  <c r="AC119" i="12" s="1"/>
  <c r="K64" i="12"/>
  <c r="K56" i="9"/>
  <c r="K120" i="12" s="1"/>
  <c r="S64" i="12"/>
  <c r="S56" i="9"/>
  <c r="S120" i="12" s="1"/>
  <c r="AA64" i="12"/>
  <c r="AA56" i="9"/>
  <c r="AA120" i="12" s="1"/>
  <c r="AI64" i="12"/>
  <c r="AI56" i="9"/>
  <c r="AI120" i="12" s="1"/>
  <c r="M29" i="9"/>
  <c r="M93" i="12" s="1"/>
  <c r="I31" i="9"/>
  <c r="I95" i="12" s="1"/>
  <c r="AE32" i="9"/>
  <c r="AE96" i="12" s="1"/>
  <c r="C35" i="9"/>
  <c r="C99" i="12" s="1"/>
  <c r="AH39" i="9"/>
  <c r="AH103" i="12" s="1"/>
  <c r="F50" i="9"/>
  <c r="F114" i="12" s="1"/>
  <c r="AH53" i="9"/>
  <c r="AH117" i="12" s="1"/>
  <c r="V61" i="12" l="1"/>
  <c r="V53" i="9"/>
  <c r="V117" i="12" s="1"/>
  <c r="AB54" i="12"/>
  <c r="AB46" i="9"/>
  <c r="AB110" i="12" s="1"/>
  <c r="U61" i="12"/>
  <c r="U53" i="9"/>
  <c r="U117" i="12" s="1"/>
  <c r="U55" i="12"/>
  <c r="U47" i="9"/>
  <c r="U111" i="12" s="1"/>
  <c r="Q45" i="12"/>
  <c r="Q37" i="9"/>
  <c r="Q101" i="12" s="1"/>
  <c r="X53" i="12"/>
  <c r="X45" i="9"/>
  <c r="X109" i="12" s="1"/>
  <c r="AC62" i="12"/>
  <c r="AC54" i="9"/>
  <c r="AC118" i="12" s="1"/>
  <c r="N61" i="12"/>
  <c r="N53" i="9"/>
  <c r="N117" i="12" s="1"/>
  <c r="D54" i="12"/>
  <c r="D46" i="9"/>
  <c r="D110" i="12" s="1"/>
  <c r="AA54" i="12"/>
  <c r="AA46" i="9"/>
  <c r="AA110" i="12" s="1"/>
  <c r="C3313" i="3"/>
  <c r="E3313" i="3" s="1"/>
  <c r="C3318" i="3"/>
  <c r="E3318" i="3" s="1"/>
  <c r="Y37" i="12"/>
  <c r="Y29" i="9"/>
  <c r="Y93" i="12" s="1"/>
  <c r="H45" i="12"/>
  <c r="H37" i="9"/>
  <c r="H101" i="12" s="1"/>
  <c r="E55" i="12"/>
  <c r="E47" i="9"/>
  <c r="E111" i="12" s="1"/>
  <c r="I45" i="12"/>
  <c r="I37" i="9"/>
  <c r="I101" i="12" s="1"/>
  <c r="C3322" i="3"/>
  <c r="E3322" i="3" s="1"/>
  <c r="AE54" i="12"/>
  <c r="AE46" i="9"/>
  <c r="AE110" i="12" s="1"/>
  <c r="M62" i="12"/>
  <c r="M54" i="9"/>
  <c r="M118" i="12" s="1"/>
  <c r="N53" i="12"/>
  <c r="N45" i="9"/>
  <c r="N109" i="12" s="1"/>
  <c r="D46" i="12"/>
  <c r="D38" i="9"/>
  <c r="D102" i="12" s="1"/>
  <c r="C54" i="12"/>
  <c r="C46" i="9"/>
  <c r="C110" i="12" s="1"/>
  <c r="C3314" i="3"/>
  <c r="E3314" i="3" s="1"/>
  <c r="G46" i="12"/>
  <c r="G38" i="9"/>
  <c r="G102" i="12" s="1"/>
  <c r="H61" i="12"/>
  <c r="H53" i="9"/>
  <c r="H117" i="12" s="1"/>
  <c r="F54" i="12"/>
  <c r="F46" i="9"/>
  <c r="F110" i="12" s="1"/>
  <c r="U62" i="12"/>
  <c r="U54" i="9"/>
  <c r="U118" i="12" s="1"/>
  <c r="F61" i="12"/>
  <c r="F53" i="9"/>
  <c r="F117" i="12" s="1"/>
  <c r="S54" i="12"/>
  <c r="S46" i="9"/>
  <c r="S110" i="12" s="1"/>
  <c r="AE62" i="12"/>
  <c r="AE54" i="9"/>
  <c r="AE118" i="12" s="1"/>
  <c r="M53" i="12"/>
  <c r="M45" i="9"/>
  <c r="M109" i="12" s="1"/>
  <c r="C3317" i="3"/>
  <c r="E3317" i="3" s="1"/>
  <c r="C3323" i="3"/>
  <c r="E3323" i="3" s="1"/>
  <c r="Q803" i="2"/>
  <c r="Q805" i="2" s="1"/>
  <c r="I61" i="12"/>
  <c r="I53" i="9"/>
  <c r="I117" i="12" s="1"/>
  <c r="V53" i="12"/>
  <c r="V45" i="9"/>
  <c r="V109" i="12" s="1"/>
  <c r="AB46" i="12"/>
  <c r="AB38" i="9"/>
  <c r="AB102" i="12" s="1"/>
  <c r="F62" i="12"/>
  <c r="F54" i="9"/>
  <c r="F118" i="12" s="1"/>
  <c r="T55" i="12"/>
  <c r="T47" i="9"/>
  <c r="T111" i="12" s="1"/>
  <c r="X37" i="12"/>
  <c r="X29" i="9"/>
  <c r="X93" i="12" s="1"/>
  <c r="AE61" i="12"/>
  <c r="AE53" i="9"/>
  <c r="AE117" i="12" s="1"/>
  <c r="S62" i="12"/>
  <c r="S54" i="9"/>
  <c r="S118" i="12" s="1"/>
  <c r="C3316" i="3"/>
  <c r="E3316" i="3" s="1"/>
  <c r="C3312" i="3"/>
  <c r="E3312" i="3" s="1"/>
  <c r="E803" i="2"/>
  <c r="E805" i="2" s="1"/>
  <c r="O54" i="12"/>
  <c r="O46" i="9"/>
  <c r="O110" i="12" s="1"/>
  <c r="N62" i="12"/>
  <c r="N54" i="9"/>
  <c r="N118" i="12" s="1"/>
  <c r="E62" i="12"/>
  <c r="E54" i="9"/>
  <c r="E118" i="12" s="1"/>
  <c r="AA62" i="12"/>
  <c r="AA54" i="9"/>
  <c r="AA118" i="12" s="1"/>
  <c r="W62" i="12"/>
  <c r="W54" i="9"/>
  <c r="W118" i="12" s="1"/>
  <c r="Y53" i="12"/>
  <c r="Y45" i="9"/>
  <c r="Y109" i="12" s="1"/>
  <c r="M47" i="12"/>
  <c r="M39" i="9"/>
  <c r="M103" i="12" s="1"/>
  <c r="C3320" i="3"/>
  <c r="E3320" i="3" s="1"/>
  <c r="O62" i="12"/>
  <c r="O54" i="9"/>
  <c r="O118" i="12" s="1"/>
  <c r="I53" i="12"/>
  <c r="I45" i="9"/>
  <c r="I109" i="12" s="1"/>
  <c r="E47" i="12"/>
  <c r="E39" i="9"/>
  <c r="E103" i="12" s="1"/>
  <c r="AF61" i="12"/>
  <c r="AF53" i="9"/>
  <c r="AF117" i="12" s="1"/>
  <c r="AD54" i="12"/>
  <c r="AD46" i="9"/>
  <c r="AD110" i="12" s="1"/>
  <c r="N46" i="12"/>
  <c r="N38" i="9"/>
  <c r="N102" i="12" s="1"/>
  <c r="W61" i="12"/>
  <c r="W53" i="9"/>
  <c r="W117" i="12" s="1"/>
  <c r="AB62" i="12"/>
  <c r="AB54" i="9"/>
  <c r="AB118" i="12" s="1"/>
  <c r="R55" i="12"/>
  <c r="R47" i="9"/>
  <c r="R111" i="12" s="1"/>
  <c r="K62" i="12"/>
  <c r="K54" i="9"/>
  <c r="K118" i="12" s="1"/>
  <c r="AB61" i="12"/>
  <c r="AB53" i="9"/>
  <c r="AB117" i="12" s="1"/>
  <c r="C3310" i="3"/>
  <c r="E3310" i="3" s="1"/>
  <c r="C3321" i="3"/>
  <c r="E3321" i="3" s="1"/>
  <c r="C3311" i="3"/>
  <c r="E3311" i="3" s="1"/>
  <c r="U803" i="2"/>
  <c r="U805" i="2" s="1"/>
  <c r="I55" i="12"/>
  <c r="I47" i="9"/>
  <c r="I111" i="12" s="1"/>
  <c r="Z62" i="12"/>
  <c r="Z54" i="9"/>
  <c r="Z118" i="12" s="1"/>
  <c r="AH55" i="12"/>
  <c r="AH47" i="9"/>
  <c r="AH111" i="12" s="1"/>
  <c r="B62" i="12"/>
  <c r="B54" i="9"/>
  <c r="B118" i="12" s="1"/>
  <c r="AG61" i="12"/>
  <c r="AG53" i="9"/>
  <c r="AG117" i="12" s="1"/>
  <c r="O46" i="12"/>
  <c r="O38" i="9"/>
  <c r="O102" i="12" s="1"/>
  <c r="AG37" i="12"/>
  <c r="AG29" i="9"/>
  <c r="AG93" i="12" s="1"/>
  <c r="X61" i="12"/>
  <c r="X53" i="9"/>
  <c r="X117" i="12" s="1"/>
  <c r="N54" i="12"/>
  <c r="N46" i="9"/>
  <c r="N110" i="12" s="1"/>
  <c r="F46" i="12"/>
  <c r="F38" i="9"/>
  <c r="F102" i="12" s="1"/>
  <c r="O61" i="12"/>
  <c r="O53" i="9"/>
  <c r="O117" i="12" s="1"/>
  <c r="L62" i="12"/>
  <c r="L54" i="9"/>
  <c r="L118" i="12" s="1"/>
  <c r="J55" i="12"/>
  <c r="J47" i="9"/>
  <c r="J111" i="12" s="1"/>
  <c r="C62" i="12"/>
  <c r="C54" i="9"/>
  <c r="C118" i="12" s="1"/>
  <c r="AG55" i="12"/>
  <c r="AG47" i="9"/>
  <c r="AG111" i="12" s="1"/>
  <c r="B69" i="12"/>
  <c r="C3308" i="3"/>
  <c r="E3308" i="3" s="1"/>
  <c r="AC803" i="2"/>
  <c r="AC805" i="2" s="1"/>
  <c r="G61" i="12"/>
  <c r="G53" i="9"/>
  <c r="G117" i="12" s="1"/>
  <c r="B7" i="12"/>
  <c r="C3309" i="3"/>
  <c r="E3309" i="3" s="1"/>
  <c r="M803" i="2"/>
  <c r="M805" i="2" s="1"/>
  <c r="Y803" i="2"/>
  <c r="Y805" i="2" s="1"/>
  <c r="B8" i="12" l="1"/>
  <c r="B10" i="12"/>
</calcChain>
</file>

<file path=xl/sharedStrings.xml><?xml version="1.0" encoding="utf-8"?>
<sst xmlns="http://schemas.openxmlformats.org/spreadsheetml/2006/main" count="10979" uniqueCount="1486">
  <si>
    <t>Audit Manual Dashboard PHK (empdash)</t>
  </si>
  <si>
    <t>TUJUAN</t>
  </si>
  <si>
    <t>1</t>
  </si>
  <si>
    <t>Hitung ulang secara manual dan bandingkan dengan dashboard</t>
  </si>
  <si>
    <t>2</t>
  </si>
  <si>
    <t>Periksa perhitungan SHOCK-nya, bukan hanya hasil ke tenaga kerja</t>
  </si>
  <si>
    <t>3</t>
  </si>
  <si>
    <t>Periksa apakah kode mengambil data terkini</t>
  </si>
  <si>
    <t>4</t>
  </si>
  <si>
    <t>Kerjakan langsung seluruh matriks 52x34, bukan per sektor</t>
  </si>
  <si>
    <t>VINTAGE DATA YANG DIBANDINGKAN</t>
  </si>
  <si>
    <t>Theme 1 (harga komoditas)</t>
  </si>
  <si>
    <t>2026M05</t>
  </si>
  <si>
    <t>Theme 2 (mitra dagang)</t>
  </si>
  <si>
    <t>WEO April 2026 - WEO April 2025</t>
  </si>
  <si>
    <t>Theme 3 (permintaan domestik)</t>
  </si>
  <si>
    <t>2026-05</t>
  </si>
  <si>
    <t>Elastisitas</t>
  </si>
  <si>
    <t>PLACEHOLDER (sintetis) - bukan hasil IndoTERM</t>
  </si>
  <si>
    <t>RANTAI PERHITUNGAN</t>
  </si>
  <si>
    <t>Langkah 1-2</t>
  </si>
  <si>
    <t>Data mentah -&gt; shock x_j (38 angka, satuan percentage point)</t>
  </si>
  <si>
    <t>Langkah 3</t>
  </si>
  <si>
    <t>E[s,p] = share[s,p] x JUMLAH_j ( x_j x intensity_j[s] )</t>
  </si>
  <si>
    <t>Langkah 4</t>
  </si>
  <si>
    <t>dL[s,p] = E[s,p] / 100 x L0[s,p]</t>
  </si>
  <si>
    <t>PENYEDERHANAAN PENTING</t>
  </si>
  <si>
    <t>Semua 38 matriks elastisitas berbentuk eta_j[s,p] = intensity_j[s] x share[s,p].</t>
  </si>
  <si>
    <t>Terverifikasi persis untuk seluruh 38 x 52 pasangan, sehingga matriks 52x34</t>
  </si>
  <si>
    <t>cukup dihitung dari SATU tabel intensitas 38x52 - tidak perlu 38 matriks.</t>
  </si>
  <si>
    <t>DAFTAR SHEET</t>
  </si>
  <si>
    <t>01_shock_T1</t>
  </si>
  <si>
    <t>Harga komoditas -&gt; YoY -&gt; tren 48 -&gt; x_j   (7 shock)</t>
  </si>
  <si>
    <t>02_shock_T2</t>
  </si>
  <si>
    <t>Revisi WEO x bobot ekspor -&gt; x_k          (23 shock)</t>
  </si>
  <si>
    <t>03_shock_T3</t>
  </si>
  <si>
    <t>Indeks ritel BI -&gt; YoY -&gt; tren 48 -&gt; x_i   (8 shock)</t>
  </si>
  <si>
    <t>04_L0</t>
  </si>
  <si>
    <t>Tenaga kerja awal 52x34</t>
  </si>
  <si>
    <t>05_shares</t>
  </si>
  <si>
    <t>Pangsa provinsi per sektor 52x34 (rumus dari 04)</t>
  </si>
  <si>
    <t>06_intensity</t>
  </si>
  <si>
    <t>Tabel intensitas 38x52 + vektor w[s]</t>
  </si>
  <si>
    <t>07_E_manual</t>
  </si>
  <si>
    <t>Hasil hitung manual E (%) 52x34 (rumus)</t>
  </si>
  <si>
    <t>08_dL_manual</t>
  </si>
  <si>
    <t>Hasil hitung manual dL (orang) 52x34 (rumus)</t>
  </si>
  <si>
    <t>09_dash_E</t>
  </si>
  <si>
    <t>E dari dashboard - pembanding</t>
  </si>
  <si>
    <t>10_dash_dL</t>
  </si>
  <si>
    <t>dL dari dashboard - pembanding</t>
  </si>
  <si>
    <t>11_selisih</t>
  </si>
  <si>
    <t>Perbandingan sel per sel + ringkasan</t>
  </si>
  <si>
    <t>12_catatan</t>
  </si>
  <si>
    <t>Temuan</t>
  </si>
  <si>
    <t>CATATAN</t>
  </si>
  <si>
    <t>Semua sel matriks berupa RUMUS, bukan angka tempelan.</t>
  </si>
  <si>
    <t>Klik sel manapun untuk menelusuri asal perhitungannya.</t>
  </si>
  <si>
    <t>Theme 1 — Shock Harga Komoditas</t>
  </si>
  <si>
    <t>x_j = YoY%(t) − rata-rata 48 periode YoY% (lag 1).  Sumber: World Bank Pink Sheet + FRED IY3344</t>
  </si>
  <si>
    <t>period</t>
  </si>
  <si>
    <t>cpo: harga</t>
  </si>
  <si>
    <t>cpo: YoY%</t>
  </si>
  <si>
    <t>cpo: tren48</t>
  </si>
  <si>
    <t>cpo: x_j</t>
  </si>
  <si>
    <t>coal: harga</t>
  </si>
  <si>
    <t>coal: YoY%</t>
  </si>
  <si>
    <t>coal: tren48</t>
  </si>
  <si>
    <t>coal: x_j</t>
  </si>
  <si>
    <t>nickel: harga</t>
  </si>
  <si>
    <t>nickel: YoY%</t>
  </si>
  <si>
    <t>nickel: tren48</t>
  </si>
  <si>
    <t>nickel: x_j</t>
  </si>
  <si>
    <t>copper: harga</t>
  </si>
  <si>
    <t>copper: YoY%</t>
  </si>
  <si>
    <t>copper: tren48</t>
  </si>
  <si>
    <t>copper: x_j</t>
  </si>
  <si>
    <t>rubber: harga</t>
  </si>
  <si>
    <t>rubber: YoY%</t>
  </si>
  <si>
    <t>rubber: tren48</t>
  </si>
  <si>
    <t>rubber: x_j</t>
  </si>
  <si>
    <t>oilgas: harga</t>
  </si>
  <si>
    <t>oilgas: YoY%</t>
  </si>
  <si>
    <t>oilgas: tren48</t>
  </si>
  <si>
    <t>oilgas: x_j</t>
  </si>
  <si>
    <t>electronics: harga</t>
  </si>
  <si>
    <t>electronics: YoY%</t>
  </si>
  <si>
    <t>electronics: tren48</t>
  </si>
  <si>
    <t>electronics: x_j</t>
  </si>
  <si>
    <t>1960M01</t>
  </si>
  <si>
    <t>1960M02</t>
  </si>
  <si>
    <t>1960M03</t>
  </si>
  <si>
    <t>1960M04</t>
  </si>
  <si>
    <t>1960M05</t>
  </si>
  <si>
    <t>1960M06</t>
  </si>
  <si>
    <t>1960M07</t>
  </si>
  <si>
    <t>1960M08</t>
  </si>
  <si>
    <t>1960M09</t>
  </si>
  <si>
    <t>1960M10</t>
  </si>
  <si>
    <t>1960M11</t>
  </si>
  <si>
    <t>1960M12</t>
  </si>
  <si>
    <t>1961M01</t>
  </si>
  <si>
    <t>1961M02</t>
  </si>
  <si>
    <t>1961M03</t>
  </si>
  <si>
    <t>1961M04</t>
  </si>
  <si>
    <t>1961M05</t>
  </si>
  <si>
    <t>1961M06</t>
  </si>
  <si>
    <t>1961M07</t>
  </si>
  <si>
    <t>1961M08</t>
  </si>
  <si>
    <t>1961M09</t>
  </si>
  <si>
    <t>1961M10</t>
  </si>
  <si>
    <t>1961M11</t>
  </si>
  <si>
    <t>1961M12</t>
  </si>
  <si>
    <t>1962M01</t>
  </si>
  <si>
    <t>1962M02</t>
  </si>
  <si>
    <t>1962M03</t>
  </si>
  <si>
    <t>1962M04</t>
  </si>
  <si>
    <t>1962M05</t>
  </si>
  <si>
    <t>1962M06</t>
  </si>
  <si>
    <t>1962M07</t>
  </si>
  <si>
    <t>1962M08</t>
  </si>
  <si>
    <t>1962M09</t>
  </si>
  <si>
    <t>1962M10</t>
  </si>
  <si>
    <t>1962M11</t>
  </si>
  <si>
    <t>1962M12</t>
  </si>
  <si>
    <t>1963M01</t>
  </si>
  <si>
    <t>1963M02</t>
  </si>
  <si>
    <t>1963M03</t>
  </si>
  <si>
    <t>1963M04</t>
  </si>
  <si>
    <t>1963M05</t>
  </si>
  <si>
    <t>1963M06</t>
  </si>
  <si>
    <t>1963M07</t>
  </si>
  <si>
    <t>1963M08</t>
  </si>
  <si>
    <t>1963M09</t>
  </si>
  <si>
    <t>1963M10</t>
  </si>
  <si>
    <t>1963M11</t>
  </si>
  <si>
    <t>1963M12</t>
  </si>
  <si>
    <t>1964M01</t>
  </si>
  <si>
    <t>1964M02</t>
  </si>
  <si>
    <t>1964M03</t>
  </si>
  <si>
    <t>1964M04</t>
  </si>
  <si>
    <t>1964M05</t>
  </si>
  <si>
    <t>1964M06</t>
  </si>
  <si>
    <t>1964M07</t>
  </si>
  <si>
    <t>1964M08</t>
  </si>
  <si>
    <t>1964M09</t>
  </si>
  <si>
    <t>1964M10</t>
  </si>
  <si>
    <t>1964M11</t>
  </si>
  <si>
    <t>1964M12</t>
  </si>
  <si>
    <t>1965M01</t>
  </si>
  <si>
    <t>1965M02</t>
  </si>
  <si>
    <t>1965M03</t>
  </si>
  <si>
    <t>1965M04</t>
  </si>
  <si>
    <t>1965M05</t>
  </si>
  <si>
    <t>1965M06</t>
  </si>
  <si>
    <t>1965M07</t>
  </si>
  <si>
    <t>1965M08</t>
  </si>
  <si>
    <t>1965M09</t>
  </si>
  <si>
    <t>1965M10</t>
  </si>
  <si>
    <t>1965M11</t>
  </si>
  <si>
    <t>1965M12</t>
  </si>
  <si>
    <t>1966M01</t>
  </si>
  <si>
    <t>1966M02</t>
  </si>
  <si>
    <t>1966M03</t>
  </si>
  <si>
    <t>1966M04</t>
  </si>
  <si>
    <t>1966M05</t>
  </si>
  <si>
    <t>1966M06</t>
  </si>
  <si>
    <t>1966M07</t>
  </si>
  <si>
    <t>1966M08</t>
  </si>
  <si>
    <t>1966M09</t>
  </si>
  <si>
    <t>1966M10</t>
  </si>
  <si>
    <t>1966M11</t>
  </si>
  <si>
    <t>1966M12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</si>
  <si>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</si>
  <si>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</si>
  <si>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</si>
  <si>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</si>
  <si>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</si>
  <si>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</si>
  <si>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</si>
  <si>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</si>
  <si>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</si>
  <si>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</si>
  <si>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</si>
  <si>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</si>
  <si>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</si>
  <si>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</si>
  <si>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</si>
  <si>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</si>
  <si>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</si>
  <si>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</si>
  <si>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</si>
  <si>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</si>
  <si>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</si>
  <si>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</si>
  <si>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</si>
  <si>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</si>
  <si>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</si>
  <si>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</si>
  <si>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</si>
  <si>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</si>
  <si>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</si>
  <si>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</si>
  <si>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</si>
  <si>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</si>
  <si>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</si>
  <si>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</si>
  <si>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</si>
  <si>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</si>
  <si>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</si>
  <si>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</si>
  <si>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</si>
  <si>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</si>
  <si>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</si>
  <si>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</si>
  <si>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</si>
  <si>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</si>
  <si>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</si>
  <si>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</si>
  <si>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</si>
  <si>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</si>
  <si>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</si>
  <si>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</si>
  <si>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</si>
  <si>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</si>
  <si>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</si>
  <si>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</si>
  <si>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</si>
  <si>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</si>
  <si>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</si>
  <si>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</si>
  <si>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</si>
  <si>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</si>
  <si>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</si>
  <si>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</si>
  <si>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</si>
  <si>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</si>
  <si>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</si>
  <si>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</si>
  <si>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</si>
  <si>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</si>
  <si>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</si>
  <si>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</si>
  <si>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</si>
  <si>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</si>
  <si>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</si>
  <si>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</si>
  <si>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</si>
  <si>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</si>
  <si>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</si>
  <si>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</si>
  <si>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</si>
  <si>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</si>
  <si>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</si>
  <si>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</si>
  <si>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</si>
  <si>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</si>
  <si>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</si>
  <si>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</si>
  <si>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</si>
  <si>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</si>
  <si>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</si>
  <si>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</si>
  <si>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</si>
  <si>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</si>
  <si>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</si>
  <si>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</si>
  <si>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</si>
  <si>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</si>
  <si>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</si>
  <si>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</si>
  <si>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</si>
  <si>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</si>
  <si>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</si>
  <si>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</si>
  <si>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</si>
  <si>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</si>
  <si>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</si>
  <si>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</si>
  <si>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</si>
  <si>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</si>
  <si>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</si>
  <si>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</si>
  <si>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</si>
  <si>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</si>
  <si>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</si>
  <si>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</si>
  <si>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</si>
  <si>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</si>
  <si>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</si>
  <si>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</si>
  <si>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</si>
  <si>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</si>
  <si>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</si>
  <si>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</si>
  <si>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</si>
  <si>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</si>
  <si>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</si>
  <si>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</si>
  <si>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</si>
  <si>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</si>
  <si>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</si>
  <si>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</si>
  <si>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</si>
  <si>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</si>
  <si>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</si>
  <si>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</si>
  <si>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</si>
  <si>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</si>
  <si>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</si>
  <si>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</si>
  <si>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</si>
  <si>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</si>
  <si>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</si>
  <si>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</si>
  <si>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</si>
  <si>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</si>
  <si>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</si>
  <si>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</si>
  <si>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</si>
  <si>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</si>
  <si>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</si>
  <si>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</si>
  <si>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</si>
  <si>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</si>
  <si>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</si>
  <si>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</si>
  <si>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</si>
  <si>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</si>
  <si>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</si>
  <si>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</si>
  <si>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</si>
  <si>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</si>
  <si>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</si>
  <si>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</si>
  <si>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</si>
  <si>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</si>
  <si>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</si>
  <si>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</si>
  <si>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</si>
  <si>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</si>
  <si>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</si>
  <si>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</si>
  <si>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</si>
  <si>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</si>
  <si>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</si>
  <si>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</si>
  <si>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</si>
  <si>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</si>
  <si>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</si>
  <si>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</si>
  <si>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</si>
  <si>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</si>
  <si>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</si>
  <si>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</si>
  <si>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</si>
  <si>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</si>
  <si>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</si>
  <si>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</si>
  <si>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</si>
  <si>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</si>
  <si>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</si>
  <si>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</si>
  <si>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</si>
  <si>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</si>
  <si>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</si>
  <si>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</si>
  <si>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</si>
  <si>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</si>
  <si>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</si>
  <si>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</si>
  <si>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</si>
  <si>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</si>
  <si>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</si>
  <si>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</si>
  <si>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</si>
  <si>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</si>
  <si>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</si>
  <si>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</si>
  <si>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</si>
  <si>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</si>
  <si>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</si>
  <si>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</si>
  <si>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</si>
  <si>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</si>
  <si>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</si>
  <si>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</si>
  <si>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</si>
  <si>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</si>
  <si>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</si>
  <si>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</si>
  <si>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</si>
  <si>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</si>
  <si>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</si>
  <si>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</si>
  <si>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</si>
  <si>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</si>
  <si>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</si>
  <si>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</si>
  <si>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</si>
  <si>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</si>
  <si>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</si>
  <si>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</si>
  <si>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</si>
  <si>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</si>
  <si>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</si>
  <si>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</si>
  <si>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</si>
  <si>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</si>
  <si>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</si>
  <si>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</si>
  <si>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</si>
  <si>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</si>
  <si>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</si>
  <si>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</si>
  <si>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</si>
  <si>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</si>
  <si>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</si>
  <si>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</si>
  <si>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</si>
  <si>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</si>
  <si>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</si>
  <si>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</si>
  <si>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</si>
  <si>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</si>
  <si>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</si>
  <si>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</si>
  <si>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</si>
  <si>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</si>
  <si>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</si>
  <si>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</si>
  <si>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</si>
  <si>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</si>
  <si>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</si>
  <si>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</si>
  <si>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</si>
  <si>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</si>
  <si>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</si>
  <si>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</si>
  <si>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</si>
  <si>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</si>
  <si>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</si>
  <si>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</si>
  <si>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</si>
  <si>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</si>
  <si>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</si>
  <si>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</si>
  <si>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</si>
  <si>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</si>
  <si>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</si>
  <si>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</si>
  <si>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</si>
  <si>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</si>
  <si>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</si>
  <si>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</si>
  <si>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</si>
  <si>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</si>
  <si>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</si>
  <si>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</si>
  <si>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</si>
  <si>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</si>
  <si>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</si>
  <si>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</si>
  <si>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</si>
  <si>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</si>
  <si>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</si>
  <si>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</si>
  <si>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</si>
  <si>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</si>
  <si>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</si>
  <si>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</si>
  <si>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</si>
  <si>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</si>
  <si>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</si>
  <si>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</si>
  <si>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</si>
  <si>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</si>
  <si>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</si>
  <si>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</si>
  <si>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</si>
  <si>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</si>
  <si>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</si>
  <si>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</si>
  <si>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</si>
  <si>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</si>
  <si>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</si>
  <si>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</si>
  <si>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</si>
  <si>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</si>
  <si>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</si>
  <si>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</si>
  <si>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</si>
  <si>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</si>
  <si>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</si>
  <si>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</si>
  <si>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</si>
  <si>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</si>
  <si>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</si>
  <si>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</si>
  <si>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</si>
  <si>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</si>
  <si>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</si>
  <si>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</si>
  <si>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</si>
  <si>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</si>
  <si>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</si>
  <si>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</si>
  <si>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</si>
  <si>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</si>
  <si>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</si>
  <si>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</si>
  <si>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</si>
  <si>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</si>
  <si>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</si>
  <si>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</si>
  <si>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</si>
  <si>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</si>
  <si>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</si>
  <si>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</si>
  <si>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</si>
  <si>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</si>
  <si>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</si>
  <si>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</si>
  <si>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</si>
  <si>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</si>
  <si>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</si>
  <si>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</si>
  <si>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</si>
  <si>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</si>
  <si>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</si>
  <si>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</si>
  <si>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</si>
  <si>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</si>
  <si>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</si>
  <si>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</si>
  <si>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</si>
  <si>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</si>
  <si>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</si>
  <si>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</si>
  <si>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</si>
  <si>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</si>
  <si>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</si>
  <si>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</si>
  <si>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</si>
  <si>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</si>
  <si>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</si>
  <si>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</si>
  <si>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</si>
  <si>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</si>
  <si>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</si>
  <si>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</si>
  <si>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</si>
  <si>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</si>
  <si>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</si>
  <si>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</si>
  <si>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</si>
  <si>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</si>
  <si>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</si>
  <si>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</si>
  <si>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</si>
  <si>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</si>
  <si>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</si>
  <si>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</si>
  <si>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</si>
  <si>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</si>
  <si>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</si>
  <si>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</si>
  <si>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</si>
  <si>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</si>
  <si>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</si>
  <si>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</si>
  <si>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</si>
  <si>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</si>
  <si>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</si>
  <si>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</si>
  <si>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</si>
  <si>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</si>
  <si>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</si>
  <si>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</si>
  <si>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</si>
  <si>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</si>
  <si>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</si>
  <si>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</si>
  <si>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</si>
  <si>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</si>
  <si>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</si>
  <si>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</si>
  <si>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</si>
  <si>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</si>
  <si>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</si>
  <si>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</si>
  <si>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</si>
  <si>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</si>
  <si>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</si>
  <si>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</si>
  <si>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</si>
  <si>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</si>
  <si>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</si>
  <si>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</si>
  <si>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</si>
  <si>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</si>
  <si>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</si>
  <si>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</si>
  <si>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</si>
  <si>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</si>
  <si>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</si>
  <si>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</si>
  <si>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</si>
  <si>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</si>
  <si>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</si>
  <si>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</si>
  <si>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</si>
  <si>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</si>
  <si>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</si>
  <si>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</si>
  <si>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</si>
  <si>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</si>
  <si>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</si>
  <si>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</si>
  <si>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</si>
  <si>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</si>
  <si>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</si>
  <si>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</si>
  <si>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</si>
  <si>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</si>
  <si>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</si>
  <si>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</si>
  <si>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</si>
  <si>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</si>
  <si>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</si>
  <si>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</si>
  <si>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</si>
  <si>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</si>
  <si>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</si>
  <si>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</si>
  <si>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</si>
  <si>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</si>
  <si>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</si>
  <si>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</si>
  <si>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</si>
  <si>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</si>
  <si>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</si>
  <si>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</si>
  <si>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</si>
  <si>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</si>
  <si>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</si>
  <si>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</si>
  <si>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</si>
  <si>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</si>
  <si>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</si>
  <si>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</si>
  <si>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</si>
  <si>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</si>
  <si>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</si>
  <si>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</si>
  <si>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</si>
  <si>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</si>
  <si>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</si>
  <si>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</si>
  <si>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</si>
  <si>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</si>
  <si>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</si>
  <si>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</si>
  <si>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</si>
  <si>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</si>
  <si>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</si>
  <si>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</si>
  <si>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</si>
  <si>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</si>
  <si>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</si>
  <si>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</si>
  <si>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</si>
  <si>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</si>
  <si>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</si>
  <si>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</si>
  <si>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</si>
  <si>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</si>
  <si>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</si>
  <si>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</si>
  <si>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</si>
  <si>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</si>
  <si>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</si>
  <si>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</si>
  <si>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</si>
  <si>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</si>
  <si>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</si>
  <si>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</si>
  <si>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</si>
  <si>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</si>
  <si>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</si>
  <si>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</si>
  <si>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</si>
  <si>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</si>
  <si>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</si>
  <si>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</si>
  <si>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</si>
  <si>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</si>
  <si>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</si>
  <si>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</si>
  <si>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</si>
  <si>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</si>
  <si>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</si>
  <si>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</si>
  <si>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</si>
  <si>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</si>
  <si>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</si>
  <si>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</si>
  <si>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</si>
  <si>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</si>
  <si>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</si>
  <si>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</si>
  <si>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</si>
  <si>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</si>
  <si>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</si>
  <si>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</si>
  <si>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</si>
  <si>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</si>
  <si>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</si>
  <si>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</si>
  <si>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</si>
  <si>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</si>
  <si>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</si>
  <si>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</si>
  <si>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</si>
  <si>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</si>
  <si>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</si>
  <si>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</si>
  <si>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</si>
  <si>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</si>
  <si>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</si>
  <si>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</si>
  <si>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</si>
  <si>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</si>
  <si>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</si>
  <si>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</si>
  <si>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</si>
  <si>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</si>
  <si>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</si>
  <si>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</si>
  <si>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</si>
  <si>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</si>
  <si>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</si>
  <si>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</si>
  <si>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</si>
  <si>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</si>
  <si>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</si>
  <si>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</si>
  <si>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</si>
  <si>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</si>
  <si>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</si>
  <si>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</si>
  <si>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</si>
  <si>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</si>
  <si>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</si>
  <si>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</si>
  <si>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</si>
  <si>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</si>
  <si>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</si>
  <si>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</si>
  <si>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</si>
  <si>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</si>
  <si>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</si>
  <si>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</si>
  <si>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</si>
  <si>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</si>
  <si>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</si>
  <si>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</si>
  <si>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</si>
  <si>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</si>
  <si>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</si>
  <si>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</si>
  <si>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</si>
  <si>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</si>
  <si>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</si>
  <si>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</si>
  <si>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</si>
  <si>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</si>
  <si>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</si>
  <si>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</si>
  <si>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</si>
  <si>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</si>
  <si>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</si>
  <si>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</si>
  <si>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</si>
  <si>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</si>
  <si>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</si>
  <si>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</si>
  <si>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</si>
  <si>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</si>
  <si>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</si>
  <si>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</si>
  <si>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</si>
  <si>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</si>
  <si>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</si>
  <si>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</si>
  <si>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</si>
  <si>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</si>
  <si>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</si>
  <si>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</si>
  <si>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</si>
  <si>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</si>
  <si>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</si>
  <si>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</si>
  <si>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</si>
  <si>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</si>
  <si>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</si>
  <si>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</si>
  <si>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</si>
  <si>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</si>
  <si>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</si>
  <si>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</si>
  <si>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</si>
  <si>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</si>
  <si>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</si>
  <si>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</si>
  <si>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</si>
  <si>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</si>
  <si>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</si>
  <si>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</si>
  <si>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</si>
  <si>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</si>
  <si>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</si>
  <si>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</si>
  <si>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</si>
  <si>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</si>
  <si>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</si>
  <si>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</si>
  <si>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</si>
  <si>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</si>
  <si>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</si>
  <si>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</si>
  <si>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</si>
  <si>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</si>
  <si>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</si>
  <si>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</si>
  <si>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</si>
  <si>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</si>
  <si>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</si>
  <si>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</si>
  <si>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</si>
  <si>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</si>
  <si>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</si>
  <si>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</si>
  <si>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</si>
  <si>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</si>
  <si>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</si>
  <si>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</si>
  <si>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</si>
  <si>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</si>
  <si>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</si>
  <si>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</si>
  <si>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</si>
  <si>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</si>
  <si>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</si>
  <si>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</si>
  <si>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</si>
  <si>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</si>
  <si>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</si>
  <si>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</si>
  <si>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</si>
  <si>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</si>
  <si>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</si>
  <si>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</si>
  <si>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</si>
  <si>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</si>
  <si>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</si>
  <si>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</si>
  <si>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</si>
  <si>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</si>
  <si>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</si>
  <si>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</si>
  <si>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</si>
  <si>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</si>
  <si>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</si>
  <si>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</si>
  <si>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</si>
  <si>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</si>
  <si>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</si>
  <si>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</si>
  <si>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</si>
  <si>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</si>
  <si>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</si>
  <si>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</si>
  <si>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</si>
  <si>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</si>
  <si>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cpo</t>
  </si>
  <si>
    <t>coal</t>
  </si>
  <si>
    <t>nickel</t>
  </si>
  <si>
    <t>copper</t>
  </si>
  <si>
    <t>rubber</t>
  </si>
  <si>
    <t>oilgas</t>
  </si>
  <si>
    <t>electronics</t>
  </si>
  <si>
    <t>x_j TERPAKAI (baris valid terakhir):</t>
  </si>
  <si>
    <t>dashboard:</t>
  </si>
  <si>
    <t>selisih:</t>
  </si>
  <si>
    <t>Theme 2 — Shock Pertumbuhan Mitra Dagang</t>
  </si>
  <si>
    <t>d^g_c = WEO Apr2026 − Apr2025 (tahun 2026).   x_k = JUMLAH_c ( w_kc × d^g_c )</t>
  </si>
  <si>
    <t>BLOK A — revisi ramalan per negara</t>
  </si>
  <si>
    <t>negara</t>
  </si>
  <si>
    <t>WEO Apr2026</t>
  </si>
  <si>
    <t>WEO Apr2025</t>
  </si>
  <si>
    <t>d^g_c (rumus)</t>
  </si>
  <si>
    <t>ABW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</si>
  <si>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</si>
  <si>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</si>
  <si>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</si>
  <si>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</si>
  <si>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</si>
  <si>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</si>
  <si>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</si>
  <si>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</si>
  <si>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</si>
  <si>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</si>
  <si>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</si>
  <si>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</si>
  <si>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</si>
  <si>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</si>
  <si>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</si>
  <si>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</si>
  <si>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</si>
  <si>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</si>
  <si>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</si>
  <si>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</si>
  <si>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</si>
  <si>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</si>
  <si>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</si>
  <si>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</si>
  <si>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</si>
  <si>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</si>
  <si>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</si>
  <si>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</si>
  <si>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</si>
  <si>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</si>
  <si>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</si>
  <si>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</si>
  <si>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</si>
  <si>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</si>
  <si>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</si>
  <si>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</si>
  <si>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</si>
  <si>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</si>
  <si>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</si>
  <si>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</si>
  <si>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</si>
  <si>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</si>
  <si>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</si>
  <si>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</si>
  <si>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</si>
  <si>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</si>
  <si>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</si>
  <si>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</si>
  <si>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</si>
  <si>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</si>
  <si>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</si>
  <si>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</si>
  <si>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</si>
  <si>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</si>
  <si>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</si>
  <si>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</si>
  <si>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</si>
  <si>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</si>
  <si>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</si>
  <si>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</si>
  <si>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</si>
  <si>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</si>
  <si>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</si>
  <si>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</si>
  <si>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</si>
  <si>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</si>
  <si>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</si>
  <si>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</si>
  <si>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</si>
  <si>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</si>
  <si>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</si>
  <si>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</si>
  <si>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</si>
  <si>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</si>
  <si>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</si>
  <si>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</si>
  <si>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</si>
  <si>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</si>
  <si>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</si>
  <si>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</si>
  <si>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</si>
  <si>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</si>
  <si>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</si>
  <si>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</si>
  <si>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</si>
  <si>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</si>
  <si>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</si>
  <si>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</si>
  <si>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</si>
  <si>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</si>
  <si>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LBR</t>
  </si>
  <si>
    <t>LBY</t>
  </si>
  <si>
    <t>LSO</t>
  </si>
  <si>
    <t>LTU</t>
  </si>
  <si>
    <t>LUX</t>
  </si>
  <si>
    <t>LVA</t>
  </si>
  <si>
    <t>MAC</t>
  </si>
  <si>
    <t>MAR</t>
  </si>
  <si>
    <t>MDG</t>
  </si>
  <si>
    <t>MDV</t>
  </si>
  <si>
    <t>MEX</t>
  </si>
  <si>
    <t>MHL</t>
  </si>
  <si>
    <t>MKD</t>
  </si>
  <si>
    <t>MLI</t>
  </si>
  <si>
    <t>MLT</t>
  </si>
  <si>
    <t>MMR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</si>
  <si>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</si>
  <si>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</si>
  <si>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</si>
  <si>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</si>
  <si>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</si>
  <si>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</si>
  <si>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</si>
  <si>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</si>
  <si>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</si>
  <si>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</si>
  <si>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</si>
  <si>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</si>
  <si>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</si>
  <si>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</si>
  <si>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</si>
  <si>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</si>
  <si>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</si>
  <si>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</si>
  <si>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</si>
  <si>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</si>
  <si>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</si>
  <si>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</si>
  <si>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</si>
  <si>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</si>
  <si>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</si>
  <si>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</si>
  <si>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</si>
  <si>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</si>
  <si>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</si>
  <si>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</si>
  <si>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</si>
  <si>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</si>
  <si>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</si>
  <si>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</si>
  <si>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</si>
  <si>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</si>
  <si>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</si>
  <si>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</si>
  <si>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</si>
  <si>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</si>
  <si>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</si>
  <si>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</si>
  <si>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</si>
  <si>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</si>
  <si>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</si>
  <si>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</si>
  <si>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</si>
  <si>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</si>
  <si>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</si>
  <si>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</si>
  <si>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</si>
  <si>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</si>
  <si>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</si>
  <si>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</si>
  <si>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</si>
  <si>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</si>
  <si>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</si>
  <si>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</si>
  <si>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</si>
  <si>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</si>
  <si>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UGA</t>
  </si>
  <si>
    <t>UKR</t>
  </si>
  <si>
    <t>URY</t>
  </si>
  <si>
    <t>USA</t>
  </si>
  <si>
    <t>UZB</t>
  </si>
  <si>
    <t>VEN</t>
  </si>
  <si>
    <t>VNM</t>
  </si>
  <si>
    <t>VUT</t>
  </si>
  <si>
    <t>WSM</t>
  </si>
  <si>
    <t>YEM</t>
  </si>
  <si>
    <t>ZAF</t>
  </si>
  <si>
    <t>ZMB</t>
  </si>
  <si>
    <t>ZWE</t>
  </si>
  <si>
    <t>BLOK B — bobot ekspor × revisi</t>
  </si>
  <si>
    <t>sector_52</t>
  </si>
  <si>
    <t>sector_name</t>
  </si>
  <si>
    <t>country_iso</t>
  </si>
  <si>
    <t>w_kc</t>
  </si>
  <si>
    <t>d^g_c (VLOOKUP)</t>
  </si>
  <si>
    <t>w × d^g</t>
  </si>
  <si>
    <t>HortiCrops</t>
  </si>
  <si>
    <t>AFG</t>
  </si>
  <si>
    <t>CXR</t>
  </si>
  <si>
    <t>LBN</t>
  </si>
  <si>
    <t>LKA</t>
  </si>
  <si>
    <t>S19</t>
  </si>
  <si>
    <t>SYR</t>
  </si>
  <si>
    <t>Estates</t>
  </si>
  <si>
    <t>ASM</t>
  </si>
  <si>
    <t>MNE</t>
  </si>
  <si>
    <t>NCL</t>
  </si>
  <si>
    <t>PYF</t>
  </si>
  <si>
    <t>Forestry</t>
  </si>
  <si>
    <t>COK</t>
  </si>
  <si>
    <t>CYM</t>
  </si>
  <si>
    <t>Fishery</t>
  </si>
  <si>
    <t>GUM</t>
  </si>
  <si>
    <t>TZA</t>
  </si>
  <si>
    <t>VGB</t>
  </si>
  <si>
    <t>Coal</t>
  </si>
  <si>
    <t>OilGasGeo</t>
  </si>
  <si>
    <t>IronOre</t>
  </si>
  <si>
    <t>CUW</t>
  </si>
  <si>
    <t>TCA</t>
  </si>
  <si>
    <t>FoodMan</t>
  </si>
  <si>
    <t>ATA</t>
  </si>
  <si>
    <t>BOL</t>
  </si>
  <si>
    <t>CUB</t>
  </si>
  <si>
    <t>FSM</t>
  </si>
  <si>
    <t>GNQ</t>
  </si>
  <si>
    <t>KNA</t>
  </si>
  <si>
    <t>LCA</t>
  </si>
  <si>
    <t>MDA</t>
  </si>
  <si>
    <t>MNP</t>
  </si>
  <si>
    <t>PSE</t>
  </si>
  <si>
    <t>VCT</t>
  </si>
  <si>
    <t>Tobacco</t>
  </si>
  <si>
    <t>Textiles</t>
  </si>
  <si>
    <t>AIA</t>
  </si>
  <si>
    <t>BLM</t>
  </si>
  <si>
    <t>BMU</t>
  </si>
  <si>
    <t>GIB</t>
  </si>
  <si>
    <t>SHN</t>
  </si>
  <si>
    <t>VAT</t>
  </si>
  <si>
    <t>WLF</t>
  </si>
  <si>
    <t>Leather</t>
  </si>
  <si>
    <t>NFK</t>
  </si>
  <si>
    <t>WoodProd</t>
  </si>
  <si>
    <t>PaperProd</t>
  </si>
  <si>
    <t>ERI</t>
  </si>
  <si>
    <t>NonMetalProd</t>
  </si>
  <si>
    <t>CoalOilMan</t>
  </si>
  <si>
    <t>Chemical</t>
  </si>
  <si>
    <t>PRK</t>
  </si>
  <si>
    <t>Rubber</t>
  </si>
  <si>
    <t>BasicMetal</t>
  </si>
  <si>
    <t>MetalProd</t>
  </si>
  <si>
    <t>GRL</t>
  </si>
  <si>
    <t>MSR</t>
  </si>
  <si>
    <t>TKL</t>
  </si>
  <si>
    <t>Machinery</t>
  </si>
  <si>
    <t>TranspEquip</t>
  </si>
  <si>
    <t>Furniture</t>
  </si>
  <si>
    <t>OtherMan</t>
  </si>
  <si>
    <t>BLOK C — x_k per sektor (SUMIF atas Blok B)</t>
  </si>
  <si>
    <t>x_k (manual)</t>
  </si>
  <si>
    <t>dashboard</t>
  </si>
  <si>
    <t>selisih</t>
  </si>
  <si>
    <t>Theme 3 — Shock Permintaan Domestik</t>
  </si>
  <si>
    <t>x_i = g_yoy(t) − rata-rata 48 periode g_yoy (lag 1).  Sumber: BI Survei Penjualan Eceran</t>
  </si>
  <si>
    <t>Panel sudah dideduplikasi (ambil baris terakhir per kategori+bulan) — lihat 12_catatan G3</t>
  </si>
  <si>
    <t>kategori</t>
  </si>
  <si>
    <t>tanggal</t>
  </si>
  <si>
    <t>g_yoy</t>
  </si>
  <si>
    <t>tren48 (rumus)</t>
  </si>
  <si>
    <t>x_i (rumus)</t>
  </si>
  <si>
    <t>cultural_rec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</si>
  <si>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</si>
  <si>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</si>
  <si>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</si>
  <si>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</si>
  <si>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</si>
  <si>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</si>
  <si>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</si>
  <si>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</si>
  <si>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</si>
  <si>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</si>
  <si>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</si>
  <si>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</si>
  <si>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</si>
  <si>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</si>
  <si>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</si>
  <si>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</si>
  <si>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</si>
  <si>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</si>
  <si>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</si>
  <si>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</si>
  <si>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</si>
  <si>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</si>
  <si>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</si>
  <si>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</si>
  <si>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</si>
  <si>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</si>
  <si>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</si>
  <si>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</si>
  <si>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</si>
  <si>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</si>
  <si>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</si>
  <si>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</si>
  <si>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</si>
  <si>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</si>
  <si>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</si>
  <si>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</si>
  <si>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</si>
  <si>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</si>
  <si>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</si>
  <si>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</si>
  <si>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</si>
  <si>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</si>
  <si>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</si>
  <si>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</si>
  <si>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</si>
  <si>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</si>
  <si>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</si>
  <si>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</si>
  <si>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</si>
  <si>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</si>
  <si>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</si>
  <si>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</si>
  <si>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</si>
  <si>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</si>
  <si>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</si>
  <si>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</si>
  <si>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</si>
  <si>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</si>
  <si>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</si>
  <si>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</si>
  <si>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</si>
  <si>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</si>
  <si>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</si>
  <si>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</si>
  <si>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</si>
  <si>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</si>
  <si>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</si>
  <si>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</si>
  <si>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</si>
  <si>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</si>
  <si>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</si>
  <si>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</si>
  <si>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</si>
  <si>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</si>
  <si>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</si>
  <si>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</si>
  <si>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</si>
  <si>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</si>
  <si>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</si>
  <si>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</si>
  <si>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</si>
  <si>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</si>
  <si>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</si>
  <si>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</si>
  <si>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</si>
  <si>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</si>
  <si>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</si>
  <si>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</si>
  <si>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</si>
  <si>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</si>
  <si>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</si>
  <si>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</si>
  <si>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</si>
  <si>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</si>
  <si>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</si>
  <si>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</si>
  <si>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</si>
  <si>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</si>
  <si>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</si>
  <si>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</si>
  <si>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</si>
  <si>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</si>
  <si>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</si>
  <si>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</si>
  <si>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</si>
  <si>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</si>
  <si>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</si>
  <si>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</si>
  <si>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</si>
  <si>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</si>
  <si>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</si>
  <si>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</si>
  <si>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</si>
  <si>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</si>
  <si>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</si>
  <si>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</si>
  <si>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</si>
  <si>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</si>
  <si>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</si>
  <si>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</si>
  <si>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</si>
  <si>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</si>
  <si>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</si>
  <si>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</si>
  <si>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</si>
  <si>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</si>
  <si>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</si>
  <si>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</si>
  <si>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</si>
  <si>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</si>
  <si>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</si>
  <si>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</si>
  <si>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</si>
  <si>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</si>
  <si>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</si>
  <si>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</si>
  <si>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</si>
  <si>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</si>
  <si>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</si>
  <si>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</si>
  <si>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</si>
  <si>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</si>
  <si>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</si>
  <si>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</si>
  <si>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</si>
  <si>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</si>
  <si>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</si>
  <si>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</si>
  <si>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2025-10</t>
  </si>
  <si>
    <t>2025-11</t>
  </si>
  <si>
    <t>2025-12</t>
  </si>
  <si>
    <t>2026-01</t>
  </si>
  <si>
    <t>2026-02</t>
  </si>
  <si>
    <t>2026-03</t>
  </si>
  <si>
    <t>2026-04</t>
  </si>
  <si>
    <t>food_bev_tobacco</t>
  </si>
  <si>
    <t>fuel</t>
  </si>
  <si>
    <t>household_equip</t>
  </si>
  <si>
    <t>ict_equipment</t>
  </si>
  <si>
    <t>other_goods</t>
  </si>
  <si>
    <t>sandang</t>
  </si>
  <si>
    <t>spare_parts</t>
  </si>
  <si>
    <t>total_index</t>
  </si>
  <si>
    <t>RINGKASAN x_i (nilai valid terakhir per kategori)</t>
  </si>
  <si>
    <t>x_i (manual)</t>
  </si>
  <si>
    <t>(tidak dipakai)</t>
  </si>
  <si>
    <t>Tenaga Kerja Awal L0</t>
  </si>
  <si>
    <t>Sumber: rawdata/lo.csv (4 provinsi pemekaran Papua 2022 dikeluarkan)</t>
  </si>
  <si>
    <t>sektor</t>
  </si>
  <si>
    <t>1100_ACEH</t>
  </si>
  <si>
    <t>1200_SUMATERA UTARA</t>
  </si>
  <si>
    <t>1300_SUMATERA BARAT</t>
  </si>
  <si>
    <t>1400_RIAU</t>
  </si>
  <si>
    <t>1500_JAMBI</t>
  </si>
  <si>
    <t>1600_SUMATERA SELATAN</t>
  </si>
  <si>
    <t>1700_BENGKULU</t>
  </si>
  <si>
    <t>1800_LAMPUNG</t>
  </si>
  <si>
    <t>1900_KEPULAUAN BANGKA BELITUNG</t>
  </si>
  <si>
    <t>2100_KEPULAUAN RIAU</t>
  </si>
  <si>
    <t>3100_DKI JAKARTA</t>
  </si>
  <si>
    <t>3200_JAWA BARAT</t>
  </si>
  <si>
    <t>3300_JAWA TENGAH</t>
  </si>
  <si>
    <t>3400_DI YOGYAKARTA</t>
  </si>
  <si>
    <t>3500_JAWA TIMUR</t>
  </si>
  <si>
    <t>3600_BANTEN</t>
  </si>
  <si>
    <t>5100_BALI</t>
  </si>
  <si>
    <t>5200_NUSA TENGGARA BARAT</t>
  </si>
  <si>
    <t>5300_NUSA TENGGARA TIMUR</t>
  </si>
  <si>
    <t>6100_KALIMANTAN BARAT</t>
  </si>
  <si>
    <t>6200_KALIMANTAN TENGAH</t>
  </si>
  <si>
    <t>6300_KALIMANTAN SELATAN</t>
  </si>
  <si>
    <t>6400_KALIMANTAN TIMUR</t>
  </si>
  <si>
    <t>6500_KALIMANTAN UTARA</t>
  </si>
  <si>
    <t>7100_SULAWESI UTARA</t>
  </si>
  <si>
    <t>7200_SULAWESI TENGAH</t>
  </si>
  <si>
    <t>7300_SULAWESI SELATAN</t>
  </si>
  <si>
    <t>7400_SULAWESI TENGGARA</t>
  </si>
  <si>
    <t>7500_GORONTALO</t>
  </si>
  <si>
    <t>7600_SULAWESI BARAT</t>
  </si>
  <si>
    <t>8100_MALUKU</t>
  </si>
  <si>
    <t>8200_MALUKU UTARA</t>
  </si>
  <si>
    <t>9100_PAPUA BARAT</t>
  </si>
  <si>
    <t>9400_PAPUA</t>
  </si>
  <si>
    <t>01_FoodCrops</t>
  </si>
  <si>
    <t>02_HortiCrops</t>
  </si>
  <si>
    <t>03_Estates</t>
  </si>
  <si>
    <t>04_Livestock</t>
  </si>
  <si>
    <t>05_AgricService</t>
  </si>
  <si>
    <t>06_Forestry</t>
  </si>
  <si>
    <t>07_Fishery</t>
  </si>
  <si>
    <t>08_Coal</t>
  </si>
  <si>
    <t>09_OilGasGeo</t>
  </si>
  <si>
    <t>10_IronOre</t>
  </si>
  <si>
    <t>11_OtherMine</t>
  </si>
  <si>
    <t>12_FoodMan</t>
  </si>
  <si>
    <t>13_Tobacco</t>
  </si>
  <si>
    <t>14_Textiles</t>
  </si>
  <si>
    <t>15_Leather</t>
  </si>
  <si>
    <t>16_WoodProd</t>
  </si>
  <si>
    <t>17_PaperProd</t>
  </si>
  <si>
    <t>18_NonMetalProd</t>
  </si>
  <si>
    <t>19_CoalOilMan</t>
  </si>
  <si>
    <t>20_Chemical</t>
  </si>
  <si>
    <t>21_Rubber</t>
  </si>
  <si>
    <t>22_BasicMetal</t>
  </si>
  <si>
    <t>23_MetalProd</t>
  </si>
  <si>
    <t>24_Machinery</t>
  </si>
  <si>
    <t>25_TranspEquip</t>
  </si>
  <si>
    <t>26_Furniture</t>
  </si>
  <si>
    <t>27_OtherMan</t>
  </si>
  <si>
    <t>28_Electricity</t>
  </si>
  <si>
    <t>29_CityGas</t>
  </si>
  <si>
    <t>30_WasteMan</t>
  </si>
  <si>
    <t>31_Construction</t>
  </si>
  <si>
    <t>32_VehicTrade</t>
  </si>
  <si>
    <t>33_OthTrade</t>
  </si>
  <si>
    <t>34_RailTransp</t>
  </si>
  <si>
    <t>35_LandTransp</t>
  </si>
  <si>
    <t>36_SeaTransp</t>
  </si>
  <si>
    <t>37_WaterTransp</t>
  </si>
  <si>
    <t>38_AirTransp</t>
  </si>
  <si>
    <t>39_TranspSvc</t>
  </si>
  <si>
    <t>40_Hotels</t>
  </si>
  <si>
    <t>41_Restaurant</t>
  </si>
  <si>
    <t>42_Telecom</t>
  </si>
  <si>
    <t>43_Finance</t>
  </si>
  <si>
    <t>44_Insurance</t>
  </si>
  <si>
    <t>45_OthFinance</t>
  </si>
  <si>
    <t>46_FinanSvc</t>
  </si>
  <si>
    <t>47_RealEstate</t>
  </si>
  <si>
    <t>48_BusSvc</t>
  </si>
  <si>
    <t>49_GovAdmin</t>
  </si>
  <si>
    <t>50_Education</t>
  </si>
  <si>
    <t>51_HealthSvc</t>
  </si>
  <si>
    <t>52_OtherSvc</t>
  </si>
  <si>
    <t>Pangsa Provinsi per Sektor</t>
  </si>
  <si>
    <t>share[s,p] = L0[s,p] / total baris — setiap baris berjumlah 1</t>
  </si>
  <si>
    <t>Tabel Intensitas 38 × 52</t>
  </si>
  <si>
    <t>eta_j[s,p] = intensity_j[s] × share[s,p].  w[s] = JUMLAH_j ( x_j × intensity_j[s] )</t>
  </si>
  <si>
    <t>shock</t>
  </si>
  <si>
    <t>x_j (pp)</t>
  </si>
  <si>
    <t>t1_cpo</t>
  </si>
  <si>
    <t>t1_coal</t>
  </si>
  <si>
    <t>t1_nickel</t>
  </si>
  <si>
    <t>t1_copper</t>
  </si>
  <si>
    <t>t1_rubber</t>
  </si>
  <si>
    <t>t1_oilgas</t>
  </si>
  <si>
    <t>t1_electronics</t>
  </si>
  <si>
    <t>t2_HortiCrops</t>
  </si>
  <si>
    <t>t2_Estates</t>
  </si>
  <si>
    <t>t2_Forestry</t>
  </si>
  <si>
    <t>t2_Fishery</t>
  </si>
  <si>
    <t>t2_Coal</t>
  </si>
  <si>
    <t>t2_OilGasGeo</t>
  </si>
  <si>
    <t>t2_IronOre</t>
  </si>
  <si>
    <t>t2_FoodMan</t>
  </si>
  <si>
    <t>t2_Tobacco</t>
  </si>
  <si>
    <t>t2_Textiles</t>
  </si>
  <si>
    <t>t2_Leather</t>
  </si>
  <si>
    <t>t2_WoodProd</t>
  </si>
  <si>
    <t>t2_PaperProd</t>
  </si>
  <si>
    <t>t2_NonMetalProd</t>
  </si>
  <si>
    <t>t2_CoalOilMan</t>
  </si>
  <si>
    <t>t2_Chemical</t>
  </si>
  <si>
    <t>t2_Rubber</t>
  </si>
  <si>
    <t>t2_BasicMetal</t>
  </si>
  <si>
    <t>t2_MetalProd</t>
  </si>
  <si>
    <t>t2_Machinery</t>
  </si>
  <si>
    <t>t2_TranspEquip</t>
  </si>
  <si>
    <t>t2_Furniture</t>
  </si>
  <si>
    <t>t2_OtherMan</t>
  </si>
  <si>
    <t>t3_cultural_rec</t>
  </si>
  <si>
    <t>t3_food_bev_tobacco</t>
  </si>
  <si>
    <t>t3_fuel</t>
  </si>
  <si>
    <t>t3_household_equip</t>
  </si>
  <si>
    <t>t3_ict_equipment</t>
  </si>
  <si>
    <t>t3_other_goods</t>
  </si>
  <si>
    <t>t3_sandang</t>
  </si>
  <si>
    <t>t3_spare_parts</t>
  </si>
  <si>
    <t>w[s] =</t>
  </si>
  <si>
    <t>SUMPRODUCT</t>
  </si>
  <si>
    <t>E Manual — % Perubahan Tenaga Kerja</t>
  </si>
  <si>
    <t>E[s,p] = share[s,p] × w[s].   w[s] diambil dari baris SUMPRODUCT di 06_intensity</t>
  </si>
  <si>
    <t>dL Manual — Perubahan Jumlah Pekerja</t>
  </si>
  <si>
    <t>dL[s,p] = E[s,p] / 100 × L0[s,p]</t>
  </si>
  <si>
    <t>E dari Dashboard</t>
  </si>
  <si>
    <t>Sumber: data/output/E_matrix.npy — pembanding</t>
  </si>
  <si>
    <t>dL dari Dashboard</t>
  </si>
  <si>
    <t>Sumber: data/output/dL_matrix.npy — pembanding</t>
  </si>
  <si>
    <t>Perbandingan — Manual vs Dashboard</t>
  </si>
  <si>
    <t>Selisih per sel. Toleransi 1e-9. Hijau = cocok.</t>
  </si>
  <si>
    <t>RINGKASAN</t>
  </si>
  <si>
    <t>Selisih absolut maks — E</t>
  </si>
  <si>
    <t>Selisih absolut maks — dL</t>
  </si>
  <si>
    <t>Jumlah sel |selisih| &gt; 1e-9 — E</t>
  </si>
  <si>
    <t>Jumlah sel |selisih| &gt; 1e-9 — dL</t>
  </si>
  <si>
    <t>Total sel diperiksa</t>
  </si>
  <si>
    <t>Total dL manual</t>
  </si>
  <si>
    <t>SELISIH E  (manual − dashboard)</t>
  </si>
  <si>
    <t>SELISIH dL (manual − dashboard)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</si>
</sst>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2" x14ac:knownFonts="1">
    <font>
      <sz val="11"/>
      <color theme="1"/>
      <name val="Calibri"/>
      <family val="2"/>
      <scheme val="minor"/>
    </font>
    <font>
      <b/>
      <sz val="13"/>
      <color rgb="FF1F3864"/>
      <name val="Calibri"/>
      <family val="2"/>
    </font>
    <font>
      <i/>
      <sz val="9"/>
      <color rgb="FF666666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9"/>
      <color rgb="FFC00000"/>
      <name val="Calibri"/>
      <family val="2"/>
    </font>
    <font>
      <b/>
      <sz val="9"/>
      <name val="Calibri"/>
      <family val="2"/>
    </font>
    <font>
      <b/>
      <i/>
      <sz val="11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165" fontId="0" fillId="0" borderId="0" xfId="0" applyNumberFormat="1"/>
    <xf numFmtId="11" fontId="0" fillId="0" borderId="0" xfId="0" applyNumberForma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3" fontId="0" fillId="0" borderId="0" xfId="0" applyNumberFormat="1"/>
    <xf numFmtId="0" fontId="9" fillId="0" borderId="0" xfId="0" applyFont="1"/>
    <xf numFmtId="0" fontId="10" fillId="0" borderId="0" xfId="0" applyFont="1"/>
    <xf numFmtId="165" fontId="0" fillId="3" borderId="0" xfId="0" applyNumberFormat="1" applyFill="1"/>
    <xf numFmtId="4" fontId="0" fillId="0" borderId="0" xfId="0" applyNumberFormat="1"/>
    <xf numFmtId="0" fontId="11" fillId="0" borderId="0" xfId="0" applyFont="1"/>
    <xf numFmtId="11" fontId="0" fillId="4" borderId="0" xfId="0" applyNumberFormat="1" applyFill="1"/>
    <xf numFmtId="1" fontId="0" fillId="4" borderId="0" xfId="0" applyNumberFormat="1" applyFill="1"/>
    <xf numFmtId="4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7" workbookViewId="0">
      <selection activeCell="B42" sqref="B42"/>
    </sheetView>
  </sheetViews>
  <sheetFormatPr baseColWidth="10" defaultColWidth="8.83203125" defaultRowHeight="15" x14ac:dyDescent="0.2"/>
  <cols>
    <col min="1" max="1" width="32" customWidth="1"/>
    <col min="2" max="2" width="82" customWidth="1"/>
  </cols>
  <sheetData>
    <row r="1" spans="1:2" ht="17" x14ac:dyDescent="0.2">
      <c r="A1" s="1" t="s">
        <v>0</v>
      </c>
    </row>
    <row r="2" spans="1:2" x14ac:dyDescent="0.2">
      <c r="A2" s="2"/>
    </row>
    <row r="4" spans="1:2" x14ac:dyDescent="0.2">
      <c r="A4" s="3"/>
    </row>
    <row r="5" spans="1:2" x14ac:dyDescent="0.2">
      <c r="A5" s="4" t="s">
        <v>1</v>
      </c>
    </row>
    <row r="6" spans="1:2" x14ac:dyDescent="0.2">
      <c r="A6" s="3" t="s">
        <v>2</v>
      </c>
      <c r="B6" t="s">
        <v>3</v>
      </c>
    </row>
    <row r="7" spans="1:2" x14ac:dyDescent="0.2">
      <c r="A7" s="3" t="s">
        <v>4</v>
      </c>
      <c r="B7" t="s">
        <v>5</v>
      </c>
    </row>
    <row r="8" spans="1:2" x14ac:dyDescent="0.2">
      <c r="A8" s="3" t="s">
        <v>6</v>
      </c>
      <c r="B8" t="s">
        <v>7</v>
      </c>
    </row>
    <row r="9" spans="1:2" x14ac:dyDescent="0.2">
      <c r="A9" s="3" t="s">
        <v>8</v>
      </c>
      <c r="B9" t="s">
        <v>9</v>
      </c>
    </row>
    <row r="10" spans="1:2" x14ac:dyDescent="0.2">
      <c r="A10" s="3"/>
    </row>
    <row r="11" spans="1:2" x14ac:dyDescent="0.2">
      <c r="A11" s="4" t="s">
        <v>10</v>
      </c>
    </row>
    <row r="12" spans="1:2" x14ac:dyDescent="0.2">
      <c r="A12" s="3" t="s">
        <v>11</v>
      </c>
      <c r="B12" t="s">
        <v>12</v>
      </c>
    </row>
    <row r="13" spans="1:2" x14ac:dyDescent="0.2">
      <c r="A13" s="3" t="s">
        <v>13</v>
      </c>
      <c r="B13" t="s">
        <v>14</v>
      </c>
    </row>
    <row r="14" spans="1:2" x14ac:dyDescent="0.2">
      <c r="A14" s="3" t="s">
        <v>15</v>
      </c>
      <c r="B14" t="s">
        <v>16</v>
      </c>
    </row>
    <row r="15" spans="1:2" x14ac:dyDescent="0.2">
      <c r="A15" s="3" t="s">
        <v>17</v>
      </c>
      <c r="B15" t="s">
        <v>18</v>
      </c>
    </row>
    <row r="16" spans="1:2" x14ac:dyDescent="0.2">
      <c r="A16" s="3"/>
    </row>
    <row r="17" spans="1:2" x14ac:dyDescent="0.2">
      <c r="A17" s="4" t="s">
        <v>19</v>
      </c>
    </row>
    <row r="18" spans="1:2" x14ac:dyDescent="0.2">
      <c r="A18" s="3" t="s">
        <v>20</v>
      </c>
      <c r="B18" t="s">
        <v>21</v>
      </c>
    </row>
    <row r="19" spans="1:2" x14ac:dyDescent="0.2">
      <c r="A19" s="3" t="s">
        <v>22</v>
      </c>
      <c r="B19" t="s">
        <v>23</v>
      </c>
    </row>
    <row r="20" spans="1:2" x14ac:dyDescent="0.2">
      <c r="A20" s="3" t="s">
        <v>24</v>
      </c>
      <c r="B20" t="s">
        <v>25</v>
      </c>
    </row>
    <row r="21" spans="1:2" x14ac:dyDescent="0.2">
      <c r="A21" s="3"/>
    </row>
    <row r="22" spans="1:2" x14ac:dyDescent="0.2">
      <c r="A22" s="4" t="s">
        <v>26</v>
      </c>
    </row>
    <row r="23" spans="1:2" x14ac:dyDescent="0.2">
      <c r="A23" s="3"/>
      <c r="B23" t="s">
        <v>27</v>
      </c>
    </row>
    <row r="24" spans="1:2" x14ac:dyDescent="0.2">
      <c r="A24" s="3"/>
      <c r="B24" t="s">
        <v>28</v>
      </c>
    </row>
    <row r="25" spans="1:2" x14ac:dyDescent="0.2">
      <c r="A25" s="3"/>
      <c r="B25" t="s">
        <v>29</v>
      </c>
    </row>
    <row r="26" spans="1:2" x14ac:dyDescent="0.2">
      <c r="A26" s="3"/>
    </row>
    <row r="27" spans="1:2" x14ac:dyDescent="0.2">
      <c r="A27" s="4" t="s">
        <v>30</v>
      </c>
    </row>
    <row r="28" spans="1:2" x14ac:dyDescent="0.2">
      <c r="A28" s="3" t="s">
        <v>31</v>
      </c>
      <c r="B28" t="s">
        <v>32</v>
      </c>
    </row>
    <row r="29" spans="1:2" x14ac:dyDescent="0.2">
      <c r="A29" s="3" t="s">
        <v>33</v>
      </c>
      <c r="B29" t="s">
        <v>34</v>
      </c>
    </row>
    <row r="30" spans="1:2" x14ac:dyDescent="0.2">
      <c r="A30" s="3" t="s">
        <v>35</v>
      </c>
      <c r="B30" t="s">
        <v>36</v>
      </c>
    </row>
    <row r="31" spans="1:2" x14ac:dyDescent="0.2">
      <c r="A31" s="3" t="s">
        <v>37</v>
      </c>
      <c r="B31" t="s">
        <v>38</v>
      </c>
    </row>
    <row r="32" spans="1:2" x14ac:dyDescent="0.2">
      <c r="A32" s="3" t="s">
        <v>39</v>
      </c>
      <c r="B32" t="s">
        <v>40</v>
      </c>
    </row>
    <row r="33" spans="1:2" x14ac:dyDescent="0.2">
      <c r="A33" s="3" t="s">
        <v>41</v>
      </c>
      <c r="B33" t="s">
        <v>42</v>
      </c>
    </row>
    <row r="34" spans="1:2" x14ac:dyDescent="0.2">
      <c r="A34" s="3" t="s">
        <v>43</v>
      </c>
      <c r="B34" t="s">
        <v>44</v>
      </c>
    </row>
    <row r="35" spans="1:2" x14ac:dyDescent="0.2">
      <c r="A35" s="3" t="s">
        <v>45</v>
      </c>
      <c r="B35" t="s">
        <v>46</v>
      </c>
    </row>
    <row r="36" spans="1:2" x14ac:dyDescent="0.2">
      <c r="A36" s="3" t="s">
        <v>47</v>
      </c>
      <c r="B36" t="s">
        <v>48</v>
      </c>
    </row>
    <row r="37" spans="1:2" x14ac:dyDescent="0.2">
      <c r="A37" s="3" t="s">
        <v>49</v>
      </c>
      <c r="B37" t="s">
        <v>50</v>
      </c>
    </row>
    <row r="38" spans="1:2" x14ac:dyDescent="0.2">
      <c r="A38" s="3" t="s">
        <v>51</v>
      </c>
      <c r="B38" t="s">
        <v>52</v>
      </c>
    </row>
    <row r="39" spans="1:2" x14ac:dyDescent="0.2">
      <c r="A39" s="3" t="s">
        <v>53</v>
      </c>
      <c r="B39" t="s">
        <v>54</v>
      </c>
    </row>
    <row r="40" spans="1:2" x14ac:dyDescent="0.2">
      <c r="A40" s="3"/>
    </row>
    <row r="41" spans="1:2" x14ac:dyDescent="0.2">
      <c r="A41" s="3" t="s">
        <v>55</v>
      </c>
      <c r="B41" t="s">
        <v>56</v>
      </c>
    </row>
    <row r="42" spans="1:2" x14ac:dyDescent="0.2">
      <c r="A42" s="3"/>
      <c r="B42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05"/>
  <sheetViews>
    <sheetView workbookViewId="0">
      <pane xSplit="1" ySplit="4" topLeftCell="B301" activePane="bottomRight" state="frozen"/>
      <selection pane="topRight"/>
      <selection pane="bottomLeft"/>
      <selection pane="bottomRight" activeCell="J17" sqref="J17"/>
    </sheetView>
  </sheetViews>
  <sheetFormatPr baseColWidth="10" defaultColWidth="8.83203125" defaultRowHeight="15" x14ac:dyDescent="0.2"/>
  <cols>
    <col min="1" max="1" width="10" customWidth="1"/>
  </cols>
  <sheetData>
    <row r="1" spans="1:29" ht="17" x14ac:dyDescent="0.2">
      <c r="A1" s="1" t="s">
        <v>58</v>
      </c>
    </row>
    <row r="2" spans="1:29" x14ac:dyDescent="0.2">
      <c r="A2" s="2" t="s">
        <v>59</v>
      </c>
    </row>
    <row r="4" spans="1:29" ht="30" customHeight="1" x14ac:dyDescent="0.2">
      <c r="A4" s="5" t="s">
        <v>60</v>
      </c>
      <c r="B4" s="5" t="s">
        <v>61</v>
      </c>
      <c r="C4" s="5" t="s">
        <v>62</v>
      </c>
      <c r="D4" s="5" t="s">
        <v>63</v>
      </c>
      <c r="E4" s="5" t="s">
        <v>64</v>
      </c>
      <c r="F4" s="5" t="s">
        <v>65</v>
      </c>
      <c r="G4" s="5" t="s">
        <v>66</v>
      </c>
      <c r="H4" s="5" t="s">
        <v>67</v>
      </c>
      <c r="I4" s="5" t="s">
        <v>68</v>
      </c>
      <c r="J4" s="5" t="s">
        <v>69</v>
      </c>
      <c r="K4" s="5" t="s">
        <v>70</v>
      </c>
      <c r="L4" s="5" t="s">
        <v>71</v>
      </c>
      <c r="M4" s="5" t="s">
        <v>72</v>
      </c>
      <c r="N4" s="5" t="s">
        <v>73</v>
      </c>
      <c r="O4" s="5" t="s">
        <v>74</v>
      </c>
      <c r="P4" s="5" t="s">
        <v>75</v>
      </c>
      <c r="Q4" s="5" t="s">
        <v>76</v>
      </c>
      <c r="R4" s="5" t="s">
        <v>77</v>
      </c>
      <c r="S4" s="5" t="s">
        <v>78</v>
      </c>
      <c r="T4" s="5" t="s">
        <v>79</v>
      </c>
      <c r="U4" s="5" t="s">
        <v>80</v>
      </c>
      <c r="V4" s="5" t="s">
        <v>81</v>
      </c>
      <c r="W4" s="5" t="s">
        <v>82</v>
      </c>
      <c r="X4" s="5" t="s">
        <v>83</v>
      </c>
      <c r="Y4" s="5" t="s">
        <v>84</v>
      </c>
      <c r="Z4" s="5" t="s">
        <v>85</v>
      </c>
      <c r="AA4" s="5" t="s">
        <v>86</v>
      </c>
      <c r="AB4" s="5" t="s">
        <v>87</v>
      </c>
      <c r="AC4" s="5" t="s">
        <v>88</v>
      </c>
    </row>
    <row r="5" spans="1:29" x14ac:dyDescent="0.2">
      <c r="A5" t="s">
        <v>89</v>
      </c>
      <c r="B5" s="6">
        <v>233</v>
      </c>
      <c r="C5" s="6"/>
      <c r="D5" s="6"/>
      <c r="E5" s="6"/>
      <c r="F5" s="6"/>
      <c r="G5" s="6"/>
      <c r="H5" s="6"/>
      <c r="I5" s="6"/>
      <c r="J5" s="6">
        <v>1631</v>
      </c>
      <c r="K5" s="6"/>
      <c r="L5" s="6"/>
      <c r="M5" s="6"/>
      <c r="N5" s="6">
        <v>715.4</v>
      </c>
      <c r="O5" s="6"/>
      <c r="P5" s="6"/>
      <c r="Q5" s="6"/>
      <c r="R5" s="6"/>
      <c r="S5" s="6"/>
      <c r="T5" s="6"/>
      <c r="U5" s="6"/>
      <c r="V5" s="6">
        <v>1.63</v>
      </c>
      <c r="W5" s="6"/>
      <c r="X5" s="6"/>
      <c r="Y5" s="6"/>
      <c r="Z5" s="6"/>
      <c r="AA5" s="6"/>
      <c r="AB5" s="6"/>
      <c r="AC5" s="6"/>
    </row>
    <row r="6" spans="1:29" x14ac:dyDescent="0.2">
      <c r="A6" t="s">
        <v>90</v>
      </c>
      <c r="B6" s="6">
        <v>229</v>
      </c>
      <c r="C6" s="6"/>
      <c r="D6" s="6"/>
      <c r="E6" s="6"/>
      <c r="F6" s="6"/>
      <c r="G6" s="6"/>
      <c r="H6" s="6"/>
      <c r="I6" s="6"/>
      <c r="J6" s="6">
        <v>1631</v>
      </c>
      <c r="K6" s="6"/>
      <c r="L6" s="6"/>
      <c r="M6" s="6"/>
      <c r="N6" s="6">
        <v>728.19</v>
      </c>
      <c r="O6" s="6"/>
      <c r="P6" s="6"/>
      <c r="Q6" s="6"/>
      <c r="R6" s="6"/>
      <c r="S6" s="6"/>
      <c r="T6" s="6"/>
      <c r="U6" s="6"/>
      <c r="V6" s="6">
        <v>1.63</v>
      </c>
      <c r="W6" s="6"/>
      <c r="X6" s="6"/>
      <c r="Y6" s="6"/>
      <c r="Z6" s="6"/>
      <c r="AA6" s="6"/>
      <c r="AB6" s="6"/>
      <c r="AC6" s="6"/>
    </row>
    <row r="7" spans="1:29" x14ac:dyDescent="0.2">
      <c r="A7" t="s">
        <v>91</v>
      </c>
      <c r="B7" s="6">
        <v>225</v>
      </c>
      <c r="C7" s="6"/>
      <c r="D7" s="6"/>
      <c r="E7" s="6"/>
      <c r="F7" s="6"/>
      <c r="G7" s="6"/>
      <c r="H7" s="6"/>
      <c r="I7" s="6"/>
      <c r="J7" s="6">
        <v>1631</v>
      </c>
      <c r="K7" s="6"/>
      <c r="L7" s="6"/>
      <c r="M7" s="6"/>
      <c r="N7" s="6">
        <v>684.94</v>
      </c>
      <c r="O7" s="6"/>
      <c r="P7" s="6"/>
      <c r="Q7" s="6"/>
      <c r="R7" s="6"/>
      <c r="S7" s="6"/>
      <c r="T7" s="6"/>
      <c r="U7" s="6"/>
      <c r="V7" s="6">
        <v>1.63</v>
      </c>
      <c r="W7" s="6"/>
      <c r="X7" s="6"/>
      <c r="Y7" s="6"/>
      <c r="Z7" s="6"/>
      <c r="AA7" s="6"/>
      <c r="AB7" s="6"/>
      <c r="AC7" s="6"/>
    </row>
    <row r="8" spans="1:29" x14ac:dyDescent="0.2">
      <c r="A8" t="s">
        <v>92</v>
      </c>
      <c r="B8" s="6">
        <v>225</v>
      </c>
      <c r="C8" s="6"/>
      <c r="D8" s="6"/>
      <c r="E8" s="6"/>
      <c r="F8" s="6"/>
      <c r="G8" s="6"/>
      <c r="H8" s="6"/>
      <c r="I8" s="6"/>
      <c r="J8" s="6">
        <v>1631</v>
      </c>
      <c r="K8" s="6"/>
      <c r="L8" s="6"/>
      <c r="M8" s="6"/>
      <c r="N8" s="6">
        <v>723.11</v>
      </c>
      <c r="O8" s="6"/>
      <c r="P8" s="6"/>
      <c r="Q8" s="6"/>
      <c r="R8" s="6"/>
      <c r="S8" s="6"/>
      <c r="T8" s="6"/>
      <c r="U8" s="6"/>
      <c r="V8" s="6">
        <v>1.63</v>
      </c>
      <c r="W8" s="6"/>
      <c r="X8" s="6"/>
      <c r="Y8" s="6"/>
      <c r="Z8" s="6"/>
      <c r="AA8" s="6"/>
      <c r="AB8" s="6"/>
      <c r="AC8" s="6"/>
    </row>
    <row r="9" spans="1:29" x14ac:dyDescent="0.2">
      <c r="A9" t="s">
        <v>93</v>
      </c>
      <c r="B9" s="6">
        <v>225</v>
      </c>
      <c r="C9" s="6"/>
      <c r="D9" s="6"/>
      <c r="E9" s="6"/>
      <c r="F9" s="6"/>
      <c r="G9" s="6"/>
      <c r="H9" s="6"/>
      <c r="I9" s="6"/>
      <c r="J9" s="6">
        <v>1631</v>
      </c>
      <c r="K9" s="6"/>
      <c r="L9" s="6"/>
      <c r="M9" s="6"/>
      <c r="N9" s="6">
        <v>684.75</v>
      </c>
      <c r="O9" s="6"/>
      <c r="P9" s="6"/>
      <c r="Q9" s="6"/>
      <c r="R9" s="6"/>
      <c r="S9" s="6"/>
      <c r="T9" s="6"/>
      <c r="U9" s="6"/>
      <c r="V9" s="6">
        <v>1.63</v>
      </c>
      <c r="W9" s="6"/>
      <c r="X9" s="6"/>
      <c r="Y9" s="6"/>
      <c r="Z9" s="6"/>
      <c r="AA9" s="6"/>
      <c r="AB9" s="6"/>
      <c r="AC9" s="6"/>
    </row>
    <row r="10" spans="1:29" x14ac:dyDescent="0.2">
      <c r="A10" t="s">
        <v>94</v>
      </c>
      <c r="B10" s="6">
        <v>219</v>
      </c>
      <c r="C10" s="6"/>
      <c r="D10" s="6"/>
      <c r="E10" s="6"/>
      <c r="F10" s="6"/>
      <c r="G10" s="6"/>
      <c r="H10" s="6"/>
      <c r="I10" s="6"/>
      <c r="J10" s="6">
        <v>1631</v>
      </c>
      <c r="K10" s="6"/>
      <c r="L10" s="6"/>
      <c r="M10" s="6"/>
      <c r="N10" s="6">
        <v>691.59</v>
      </c>
      <c r="O10" s="6"/>
      <c r="P10" s="6"/>
      <c r="Q10" s="6"/>
      <c r="R10" s="6"/>
      <c r="S10" s="6"/>
      <c r="T10" s="6"/>
      <c r="U10" s="6"/>
      <c r="V10" s="6">
        <v>1.63</v>
      </c>
      <c r="W10" s="6"/>
      <c r="X10" s="6"/>
      <c r="Y10" s="6"/>
      <c r="Z10" s="6"/>
      <c r="AA10" s="6"/>
      <c r="AB10" s="6"/>
      <c r="AC10" s="6"/>
    </row>
    <row r="11" spans="1:29" x14ac:dyDescent="0.2">
      <c r="A11" t="s">
        <v>95</v>
      </c>
      <c r="B11" s="6">
        <v>221</v>
      </c>
      <c r="C11" s="6"/>
      <c r="D11" s="6"/>
      <c r="E11" s="6"/>
      <c r="F11" s="6"/>
      <c r="G11" s="6"/>
      <c r="H11" s="6"/>
      <c r="I11" s="6"/>
      <c r="J11" s="6">
        <v>1631</v>
      </c>
      <c r="K11" s="6"/>
      <c r="L11" s="6"/>
      <c r="M11" s="6"/>
      <c r="N11" s="6">
        <v>702.39</v>
      </c>
      <c r="O11" s="6"/>
      <c r="P11" s="6"/>
      <c r="Q11" s="6"/>
      <c r="R11" s="6"/>
      <c r="S11" s="6"/>
      <c r="T11" s="6"/>
      <c r="U11" s="6"/>
      <c r="V11" s="6">
        <v>1.63</v>
      </c>
      <c r="W11" s="6"/>
      <c r="X11" s="6"/>
      <c r="Y11" s="6"/>
      <c r="Z11" s="6"/>
      <c r="AA11" s="6"/>
      <c r="AB11" s="6"/>
      <c r="AC11" s="6"/>
    </row>
    <row r="12" spans="1:29" x14ac:dyDescent="0.2">
      <c r="A12" t="s">
        <v>96</v>
      </c>
      <c r="B12" s="6">
        <v>225</v>
      </c>
      <c r="C12" s="6"/>
      <c r="D12" s="6"/>
      <c r="E12" s="6"/>
      <c r="F12" s="6"/>
      <c r="G12" s="6"/>
      <c r="H12" s="6"/>
      <c r="I12" s="6"/>
      <c r="J12" s="6">
        <v>1631</v>
      </c>
      <c r="K12" s="6"/>
      <c r="L12" s="6"/>
      <c r="M12" s="6"/>
      <c r="N12" s="6">
        <v>675.94</v>
      </c>
      <c r="O12" s="6"/>
      <c r="P12" s="6"/>
      <c r="Q12" s="6"/>
      <c r="R12" s="6"/>
      <c r="S12" s="6"/>
      <c r="T12" s="6"/>
      <c r="U12" s="6"/>
      <c r="V12" s="6">
        <v>1.63</v>
      </c>
      <c r="W12" s="6"/>
      <c r="X12" s="6"/>
      <c r="Y12" s="6"/>
      <c r="Z12" s="6"/>
      <c r="AA12" s="6"/>
      <c r="AB12" s="6"/>
      <c r="AC12" s="6"/>
    </row>
    <row r="13" spans="1:29" x14ac:dyDescent="0.2">
      <c r="A13" t="s">
        <v>97</v>
      </c>
      <c r="B13" s="6">
        <v>224</v>
      </c>
      <c r="C13" s="6"/>
      <c r="D13" s="6"/>
      <c r="E13" s="6"/>
      <c r="F13" s="6"/>
      <c r="G13" s="6"/>
      <c r="H13" s="6"/>
      <c r="I13" s="6"/>
      <c r="J13" s="6">
        <v>1631</v>
      </c>
      <c r="K13" s="6"/>
      <c r="L13" s="6"/>
      <c r="M13" s="6"/>
      <c r="N13" s="6">
        <v>647.05999999999995</v>
      </c>
      <c r="O13" s="6"/>
      <c r="P13" s="6"/>
      <c r="Q13" s="6"/>
      <c r="R13" s="6"/>
      <c r="S13" s="6"/>
      <c r="T13" s="6"/>
      <c r="U13" s="6"/>
      <c r="V13" s="6">
        <v>1.63</v>
      </c>
      <c r="W13" s="6"/>
      <c r="X13" s="6"/>
      <c r="Y13" s="6"/>
      <c r="Z13" s="6"/>
      <c r="AA13" s="6"/>
      <c r="AB13" s="6"/>
      <c r="AC13" s="6"/>
    </row>
    <row r="14" spans="1:29" x14ac:dyDescent="0.2">
      <c r="A14" t="s">
        <v>98</v>
      </c>
      <c r="B14" s="6">
        <v>222</v>
      </c>
      <c r="C14" s="6"/>
      <c r="D14" s="6"/>
      <c r="E14" s="6"/>
      <c r="F14" s="6"/>
      <c r="G14" s="6"/>
      <c r="H14" s="6"/>
      <c r="I14" s="6"/>
      <c r="J14" s="6">
        <v>1631</v>
      </c>
      <c r="K14" s="6"/>
      <c r="L14" s="6"/>
      <c r="M14" s="6"/>
      <c r="N14" s="6">
        <v>612.66</v>
      </c>
      <c r="O14" s="6"/>
      <c r="P14" s="6"/>
      <c r="Q14" s="6"/>
      <c r="R14" s="6"/>
      <c r="S14" s="6"/>
      <c r="T14" s="6"/>
      <c r="U14" s="6"/>
      <c r="V14" s="6">
        <v>1.63</v>
      </c>
      <c r="W14" s="6"/>
      <c r="X14" s="6"/>
      <c r="Y14" s="6"/>
      <c r="Z14" s="6"/>
      <c r="AA14" s="6"/>
      <c r="AB14" s="6"/>
      <c r="AC14" s="6"/>
    </row>
    <row r="15" spans="1:29" x14ac:dyDescent="0.2">
      <c r="A15" t="s">
        <v>99</v>
      </c>
      <c r="B15" s="6">
        <v>222</v>
      </c>
      <c r="C15" s="6"/>
      <c r="D15" s="6"/>
      <c r="E15" s="6"/>
      <c r="F15" s="6"/>
      <c r="G15" s="6"/>
      <c r="H15" s="6"/>
      <c r="I15" s="6"/>
      <c r="J15" s="6">
        <v>1631</v>
      </c>
      <c r="K15" s="6"/>
      <c r="L15" s="6"/>
      <c r="M15" s="6"/>
      <c r="N15" s="6">
        <v>642.13</v>
      </c>
      <c r="O15" s="6"/>
      <c r="P15" s="6"/>
      <c r="Q15" s="6"/>
      <c r="R15" s="6"/>
      <c r="S15" s="6"/>
      <c r="T15" s="6"/>
      <c r="U15" s="6"/>
      <c r="V15" s="6">
        <v>1.63</v>
      </c>
      <c r="W15" s="6"/>
      <c r="X15" s="6"/>
      <c r="Y15" s="6"/>
      <c r="Z15" s="6"/>
      <c r="AA15" s="6"/>
      <c r="AB15" s="6"/>
      <c r="AC15" s="6"/>
    </row>
    <row r="16" spans="1:29" x14ac:dyDescent="0.2">
      <c r="A16" t="s">
        <v>100</v>
      </c>
      <c r="B16" s="6">
        <v>223</v>
      </c>
      <c r="C16" s="6"/>
      <c r="D16" s="6"/>
      <c r="E16" s="6"/>
      <c r="F16" s="6"/>
      <c r="G16" s="6"/>
      <c r="H16" s="6"/>
      <c r="I16" s="6"/>
      <c r="J16" s="6">
        <v>1631</v>
      </c>
      <c r="K16" s="6"/>
      <c r="L16" s="6"/>
      <c r="M16" s="6"/>
      <c r="N16" s="6">
        <v>636.91</v>
      </c>
      <c r="O16" s="6"/>
      <c r="P16" s="6"/>
      <c r="Q16" s="6"/>
      <c r="R16" s="6"/>
      <c r="S16" s="6"/>
      <c r="T16" s="6"/>
      <c r="U16" s="6"/>
      <c r="V16" s="6">
        <v>1.63</v>
      </c>
      <c r="W16" s="6"/>
      <c r="X16" s="6"/>
      <c r="Y16" s="6"/>
      <c r="Z16" s="6"/>
      <c r="AA16" s="6"/>
      <c r="AB16" s="6"/>
      <c r="AC16" s="6"/>
    </row>
    <row r="17" spans="1:29" x14ac:dyDescent="0.2">
      <c r="A17" t="s">
        <v>101</v>
      </c>
      <c r="B17" s="6">
        <v>223</v>
      </c>
      <c r="C17" s="6">
        <f t="shared" ref="C17:C80" si="0">IF(OR(B17="",B5=""),"",(B17/B5-1)*100)</f>
        <v>-4.2918454935622297</v>
      </c>
      <c r="D17" s="6"/>
      <c r="E17" s="6"/>
      <c r="F17" s="6"/>
      <c r="G17" s="6" t="str">
        <f t="shared" ref="G17:G80" si="1">IF(OR(F17="",F5=""),"",(F17/F5-1)*100)</f>
        <v/>
      </c>
      <c r="H17" s="6"/>
      <c r="I17" s="6"/>
      <c r="J17" s="6">
        <v>1711</v>
      </c>
      <c r="K17" s="6">
        <f t="shared" ref="K17:K80" si="2">IF(OR(J17="",J5=""),"",(J17/J5-1)*100)</f>
        <v>4.9049662783568371</v>
      </c>
      <c r="L17" s="6"/>
      <c r="M17" s="6"/>
      <c r="N17" s="6">
        <v>606.71</v>
      </c>
      <c r="O17" s="6">
        <f t="shared" ref="O17:O80" si="3">IF(OR(N17="",N5=""),"",(N17/N5-1)*100)</f>
        <v>-15.192899077439193</v>
      </c>
      <c r="P17" s="6"/>
      <c r="Q17" s="6"/>
      <c r="R17" s="6"/>
      <c r="S17" s="6" t="str">
        <f t="shared" ref="S17:S80" si="4">IF(OR(R17="",R5=""),"",(R17/R5-1)*100)</f>
        <v/>
      </c>
      <c r="T17" s="6"/>
      <c r="U17" s="6"/>
      <c r="V17" s="6">
        <v>1.57</v>
      </c>
      <c r="W17" s="6">
        <f t="shared" ref="W17:W80" si="5">IF(OR(V17="",V5=""),"",(V17/V5-1)*100)</f>
        <v>-3.6809815950920144</v>
      </c>
      <c r="X17" s="6"/>
      <c r="Y17" s="6"/>
      <c r="Z17" s="6"/>
      <c r="AA17" s="6" t="str">
        <f t="shared" ref="AA17:AA80" si="6">IF(OR(Z17="",Z5=""),"",(Z17/Z5-1)*100)</f>
        <v/>
      </c>
      <c r="AB17" s="6"/>
      <c r="AC17" s="6"/>
    </row>
    <row r="18" spans="1:29" x14ac:dyDescent="0.2">
      <c r="A18" t="s">
        <v>102</v>
      </c>
      <c r="B18" s="6">
        <v>228</v>
      </c>
      <c r="C18" s="6">
        <f t="shared" si="0"/>
        <v>-0.4366812227074246</v>
      </c>
      <c r="D18" s="6"/>
      <c r="E18" s="6"/>
      <c r="F18" s="6"/>
      <c r="G18" s="6" t="str">
        <f t="shared" si="1"/>
        <v/>
      </c>
      <c r="H18" s="6"/>
      <c r="I18" s="6"/>
      <c r="J18" s="6">
        <v>1711</v>
      </c>
      <c r="K18" s="6">
        <f t="shared" si="2"/>
        <v>4.9049662783568371</v>
      </c>
      <c r="L18" s="6"/>
      <c r="M18" s="6"/>
      <c r="N18" s="6">
        <v>616.63</v>
      </c>
      <c r="O18" s="6">
        <f t="shared" si="3"/>
        <v>-15.320177426221182</v>
      </c>
      <c r="P18" s="6"/>
      <c r="Q18" s="6"/>
      <c r="R18" s="6"/>
      <c r="S18" s="6" t="str">
        <f t="shared" si="4"/>
        <v/>
      </c>
      <c r="T18" s="6"/>
      <c r="U18" s="6"/>
      <c r="V18" s="6">
        <v>1.57</v>
      </c>
      <c r="W18" s="6">
        <f t="shared" si="5"/>
        <v>-3.6809815950920144</v>
      </c>
      <c r="X18" s="6"/>
      <c r="Y18" s="6"/>
      <c r="Z18" s="6"/>
      <c r="AA18" s="6" t="str">
        <f t="shared" si="6"/>
        <v/>
      </c>
      <c r="AB18" s="6"/>
      <c r="AC18" s="6"/>
    </row>
    <row r="19" spans="1:29" x14ac:dyDescent="0.2">
      <c r="A19" t="s">
        <v>103</v>
      </c>
      <c r="B19" s="6">
        <v>231</v>
      </c>
      <c r="C19" s="6">
        <f t="shared" si="0"/>
        <v>2.6666666666666616</v>
      </c>
      <c r="D19" s="6"/>
      <c r="E19" s="6"/>
      <c r="F19" s="6"/>
      <c r="G19" s="6" t="str">
        <f t="shared" si="1"/>
        <v/>
      </c>
      <c r="H19" s="6"/>
      <c r="I19" s="6"/>
      <c r="J19" s="6">
        <v>1711</v>
      </c>
      <c r="K19" s="6">
        <f t="shared" si="2"/>
        <v>4.9049662783568371</v>
      </c>
      <c r="L19" s="6"/>
      <c r="M19" s="6"/>
      <c r="N19" s="6">
        <v>621.26</v>
      </c>
      <c r="O19" s="6">
        <f t="shared" si="3"/>
        <v>-9.2971647151575354</v>
      </c>
      <c r="P19" s="6"/>
      <c r="Q19" s="6"/>
      <c r="R19" s="6"/>
      <c r="S19" s="6" t="str">
        <f t="shared" si="4"/>
        <v/>
      </c>
      <c r="T19" s="6"/>
      <c r="U19" s="6"/>
      <c r="V19" s="6">
        <v>1.57</v>
      </c>
      <c r="W19" s="6">
        <f t="shared" si="5"/>
        <v>-3.6809815950920144</v>
      </c>
      <c r="X19" s="6"/>
      <c r="Y19" s="6"/>
      <c r="Z19" s="6"/>
      <c r="AA19" s="6" t="str">
        <f t="shared" si="6"/>
        <v/>
      </c>
      <c r="AB19" s="6"/>
      <c r="AC19" s="6"/>
    </row>
    <row r="20" spans="1:29" x14ac:dyDescent="0.2">
      <c r="A20" t="s">
        <v>104</v>
      </c>
      <c r="B20" s="6">
        <v>233</v>
      </c>
      <c r="C20" s="6">
        <f t="shared" si="0"/>
        <v>3.5555555555555562</v>
      </c>
      <c r="D20" s="6"/>
      <c r="E20" s="6"/>
      <c r="F20" s="6"/>
      <c r="G20" s="6" t="str">
        <f t="shared" si="1"/>
        <v/>
      </c>
      <c r="H20" s="6"/>
      <c r="I20" s="6"/>
      <c r="J20" s="6">
        <v>1711</v>
      </c>
      <c r="K20" s="6">
        <f t="shared" si="2"/>
        <v>4.9049662783568371</v>
      </c>
      <c r="L20" s="6"/>
      <c r="M20" s="6"/>
      <c r="N20" s="6">
        <v>631.84</v>
      </c>
      <c r="O20" s="6">
        <f t="shared" si="3"/>
        <v>-12.621869425122034</v>
      </c>
      <c r="P20" s="6"/>
      <c r="Q20" s="6"/>
      <c r="R20" s="6"/>
      <c r="S20" s="6" t="str">
        <f t="shared" si="4"/>
        <v/>
      </c>
      <c r="T20" s="6"/>
      <c r="U20" s="6"/>
      <c r="V20" s="6">
        <v>1.57</v>
      </c>
      <c r="W20" s="6">
        <f t="shared" si="5"/>
        <v>-3.6809815950920144</v>
      </c>
      <c r="X20" s="6"/>
      <c r="Y20" s="6"/>
      <c r="Z20" s="6"/>
      <c r="AA20" s="6" t="str">
        <f t="shared" si="6"/>
        <v/>
      </c>
      <c r="AB20" s="6"/>
      <c r="AC20" s="6"/>
    </row>
    <row r="21" spans="1:29" x14ac:dyDescent="0.2">
      <c r="A21" t="s">
        <v>105</v>
      </c>
      <c r="B21" s="6">
        <v>234</v>
      </c>
      <c r="C21" s="6">
        <f t="shared" si="0"/>
        <v>4.0000000000000036</v>
      </c>
      <c r="D21" s="6"/>
      <c r="E21" s="6"/>
      <c r="F21" s="6"/>
      <c r="G21" s="6" t="str">
        <f t="shared" si="1"/>
        <v/>
      </c>
      <c r="H21" s="6"/>
      <c r="I21" s="6"/>
      <c r="J21" s="6">
        <v>1711</v>
      </c>
      <c r="K21" s="6">
        <f t="shared" si="2"/>
        <v>4.9049662783568371</v>
      </c>
      <c r="L21" s="6"/>
      <c r="M21" s="6"/>
      <c r="N21" s="6">
        <v>668.44</v>
      </c>
      <c r="O21" s="6">
        <f t="shared" si="3"/>
        <v>-2.3818912011683069</v>
      </c>
      <c r="P21" s="6"/>
      <c r="Q21" s="6"/>
      <c r="R21" s="6"/>
      <c r="S21" s="6" t="str">
        <f t="shared" si="4"/>
        <v/>
      </c>
      <c r="T21" s="6"/>
      <c r="U21" s="6"/>
      <c r="V21" s="6">
        <v>1.57</v>
      </c>
      <c r="W21" s="6">
        <f t="shared" si="5"/>
        <v>-3.6809815950920144</v>
      </c>
      <c r="X21" s="6"/>
      <c r="Y21" s="6"/>
      <c r="Z21" s="6"/>
      <c r="AA21" s="6" t="str">
        <f t="shared" si="6"/>
        <v/>
      </c>
      <c r="AB21" s="6"/>
      <c r="AC21" s="6"/>
    </row>
    <row r="22" spans="1:29" x14ac:dyDescent="0.2">
      <c r="A22" t="s">
        <v>106</v>
      </c>
      <c r="B22" s="6">
        <v>233</v>
      </c>
      <c r="C22" s="6">
        <f t="shared" si="0"/>
        <v>6.3926940639269514</v>
      </c>
      <c r="D22" s="6"/>
      <c r="E22" s="6"/>
      <c r="F22" s="6"/>
      <c r="G22" s="6" t="str">
        <f t="shared" si="1"/>
        <v/>
      </c>
      <c r="H22" s="6"/>
      <c r="I22" s="6"/>
      <c r="J22" s="6">
        <v>1711</v>
      </c>
      <c r="K22" s="6">
        <f t="shared" si="2"/>
        <v>4.9049662783568371</v>
      </c>
      <c r="L22" s="6"/>
      <c r="M22" s="6"/>
      <c r="N22" s="6">
        <v>652.12</v>
      </c>
      <c r="O22" s="6">
        <f t="shared" si="3"/>
        <v>-5.7071386225943099</v>
      </c>
      <c r="P22" s="6"/>
      <c r="Q22" s="6"/>
      <c r="R22" s="6"/>
      <c r="S22" s="6" t="str">
        <f t="shared" si="4"/>
        <v/>
      </c>
      <c r="T22" s="6"/>
      <c r="U22" s="6"/>
      <c r="V22" s="6">
        <v>1.57</v>
      </c>
      <c r="W22" s="6">
        <f t="shared" si="5"/>
        <v>-3.6809815950920144</v>
      </c>
      <c r="X22" s="6"/>
      <c r="Y22" s="6"/>
      <c r="Z22" s="6"/>
      <c r="AA22" s="6" t="str">
        <f t="shared" si="6"/>
        <v/>
      </c>
      <c r="AB22" s="6"/>
      <c r="AC22" s="6"/>
    </row>
    <row r="23" spans="1:29" x14ac:dyDescent="0.2">
      <c r="A23" t="s">
        <v>107</v>
      </c>
      <c r="B23" s="6">
        <v>229</v>
      </c>
      <c r="C23" s="6">
        <f t="shared" si="0"/>
        <v>3.6199095022624528</v>
      </c>
      <c r="D23" s="6"/>
      <c r="E23" s="6"/>
      <c r="F23" s="6"/>
      <c r="G23" s="6" t="str">
        <f t="shared" si="1"/>
        <v/>
      </c>
      <c r="H23" s="6"/>
      <c r="I23" s="6"/>
      <c r="J23" s="6">
        <v>1711</v>
      </c>
      <c r="K23" s="6">
        <f t="shared" si="2"/>
        <v>4.9049662783568371</v>
      </c>
      <c r="L23" s="6"/>
      <c r="M23" s="6"/>
      <c r="N23" s="6">
        <v>633.39</v>
      </c>
      <c r="O23" s="6">
        <f t="shared" si="3"/>
        <v>-9.8236022722419154</v>
      </c>
      <c r="P23" s="6"/>
      <c r="Q23" s="6"/>
      <c r="R23" s="6"/>
      <c r="S23" s="6" t="str">
        <f t="shared" si="4"/>
        <v/>
      </c>
      <c r="T23" s="6"/>
      <c r="U23" s="6"/>
      <c r="V23" s="6">
        <v>1.57</v>
      </c>
      <c r="W23" s="6">
        <f t="shared" si="5"/>
        <v>-3.6809815950920144</v>
      </c>
      <c r="X23" s="6"/>
      <c r="Y23" s="6"/>
      <c r="Z23" s="6"/>
      <c r="AA23" s="6" t="str">
        <f t="shared" si="6"/>
        <v/>
      </c>
      <c r="AB23" s="6"/>
      <c r="AC23" s="6"/>
    </row>
    <row r="24" spans="1:29" x14ac:dyDescent="0.2">
      <c r="A24" t="s">
        <v>108</v>
      </c>
      <c r="B24" s="6">
        <v>226</v>
      </c>
      <c r="C24" s="6">
        <f t="shared" si="0"/>
        <v>0.44444444444444731</v>
      </c>
      <c r="D24" s="6"/>
      <c r="E24" s="6"/>
      <c r="F24" s="6"/>
      <c r="G24" s="6" t="str">
        <f t="shared" si="1"/>
        <v/>
      </c>
      <c r="H24" s="6"/>
      <c r="I24" s="6"/>
      <c r="J24" s="6">
        <v>1711</v>
      </c>
      <c r="K24" s="6">
        <f t="shared" si="2"/>
        <v>4.9049662783568371</v>
      </c>
      <c r="L24" s="6"/>
      <c r="M24" s="6"/>
      <c r="N24" s="6">
        <v>636.47</v>
      </c>
      <c r="O24" s="6">
        <f t="shared" si="3"/>
        <v>-5.8392756753558039</v>
      </c>
      <c r="P24" s="6"/>
      <c r="Q24" s="6"/>
      <c r="R24" s="6"/>
      <c r="S24" s="6" t="str">
        <f t="shared" si="4"/>
        <v/>
      </c>
      <c r="T24" s="6"/>
      <c r="U24" s="6"/>
      <c r="V24" s="6">
        <v>1.57</v>
      </c>
      <c r="W24" s="6">
        <f t="shared" si="5"/>
        <v>-3.6809815950920144</v>
      </c>
      <c r="X24" s="6"/>
      <c r="Y24" s="6"/>
      <c r="Z24" s="6"/>
      <c r="AA24" s="6" t="str">
        <f t="shared" si="6"/>
        <v/>
      </c>
      <c r="AB24" s="6"/>
      <c r="AC24" s="6"/>
    </row>
    <row r="25" spans="1:29" x14ac:dyDescent="0.2">
      <c r="A25" t="s">
        <v>109</v>
      </c>
      <c r="B25" s="6">
        <v>226</v>
      </c>
      <c r="C25" s="6">
        <f t="shared" si="0"/>
        <v>0.89285714285713969</v>
      </c>
      <c r="D25" s="6"/>
      <c r="E25" s="6"/>
      <c r="F25" s="6"/>
      <c r="G25" s="6" t="str">
        <f t="shared" si="1"/>
        <v/>
      </c>
      <c r="H25" s="6"/>
      <c r="I25" s="6"/>
      <c r="J25" s="6">
        <v>1711</v>
      </c>
      <c r="K25" s="6">
        <f t="shared" si="2"/>
        <v>4.9049662783568371</v>
      </c>
      <c r="L25" s="6"/>
      <c r="M25" s="6"/>
      <c r="N25" s="6">
        <v>632.72</v>
      </c>
      <c r="O25" s="6">
        <f t="shared" si="3"/>
        <v>-2.2161777887676481</v>
      </c>
      <c r="P25" s="6"/>
      <c r="Q25" s="6"/>
      <c r="R25" s="6"/>
      <c r="S25" s="6" t="str">
        <f t="shared" si="4"/>
        <v/>
      </c>
      <c r="T25" s="6"/>
      <c r="U25" s="6"/>
      <c r="V25" s="6">
        <v>1.57</v>
      </c>
      <c r="W25" s="6">
        <f t="shared" si="5"/>
        <v>-3.6809815950920144</v>
      </c>
      <c r="X25" s="6"/>
      <c r="Y25" s="6"/>
      <c r="Z25" s="6"/>
      <c r="AA25" s="6" t="str">
        <f t="shared" si="6"/>
        <v/>
      </c>
      <c r="AB25" s="6"/>
      <c r="AC25" s="6"/>
    </row>
    <row r="26" spans="1:29" x14ac:dyDescent="0.2">
      <c r="A26" t="s">
        <v>110</v>
      </c>
      <c r="B26" s="6">
        <v>226</v>
      </c>
      <c r="C26" s="6">
        <f t="shared" si="0"/>
        <v>1.8018018018018056</v>
      </c>
      <c r="D26" s="6"/>
      <c r="E26" s="6"/>
      <c r="F26" s="6"/>
      <c r="G26" s="6" t="str">
        <f t="shared" si="1"/>
        <v/>
      </c>
      <c r="H26" s="6"/>
      <c r="I26" s="6"/>
      <c r="J26" s="6">
        <v>1711</v>
      </c>
      <c r="K26" s="6">
        <f t="shared" si="2"/>
        <v>4.9049662783568371</v>
      </c>
      <c r="L26" s="6"/>
      <c r="M26" s="6"/>
      <c r="N26" s="6">
        <v>630.29999999999995</v>
      </c>
      <c r="O26" s="6">
        <f t="shared" si="3"/>
        <v>2.8792478699441793</v>
      </c>
      <c r="P26" s="6"/>
      <c r="Q26" s="6"/>
      <c r="R26" s="6"/>
      <c r="S26" s="6" t="str">
        <f t="shared" si="4"/>
        <v/>
      </c>
      <c r="T26" s="6"/>
      <c r="U26" s="6"/>
      <c r="V26" s="6">
        <v>1.57</v>
      </c>
      <c r="W26" s="6">
        <f t="shared" si="5"/>
        <v>-3.6809815950920144</v>
      </c>
      <c r="X26" s="6"/>
      <c r="Y26" s="6"/>
      <c r="Z26" s="6"/>
      <c r="AA26" s="6" t="str">
        <f t="shared" si="6"/>
        <v/>
      </c>
      <c r="AB26" s="6"/>
      <c r="AC26" s="6"/>
    </row>
    <row r="27" spans="1:29" x14ac:dyDescent="0.2">
      <c r="A27" t="s">
        <v>111</v>
      </c>
      <c r="B27" s="6">
        <v>226</v>
      </c>
      <c r="C27" s="6">
        <f t="shared" si="0"/>
        <v>1.8018018018018056</v>
      </c>
      <c r="D27" s="6"/>
      <c r="E27" s="6"/>
      <c r="F27" s="6"/>
      <c r="G27" s="6" t="str">
        <f t="shared" si="1"/>
        <v/>
      </c>
      <c r="H27" s="6"/>
      <c r="I27" s="6"/>
      <c r="J27" s="6">
        <v>1711</v>
      </c>
      <c r="K27" s="6">
        <f t="shared" si="2"/>
        <v>4.9049662783568371</v>
      </c>
      <c r="L27" s="6"/>
      <c r="M27" s="6"/>
      <c r="N27" s="6">
        <v>632.28</v>
      </c>
      <c r="O27" s="6">
        <f t="shared" si="3"/>
        <v>-1.533957298366373</v>
      </c>
      <c r="P27" s="6"/>
      <c r="Q27" s="6"/>
      <c r="R27" s="6"/>
      <c r="S27" s="6" t="str">
        <f t="shared" si="4"/>
        <v/>
      </c>
      <c r="T27" s="6"/>
      <c r="U27" s="6"/>
      <c r="V27" s="6">
        <v>1.57</v>
      </c>
      <c r="W27" s="6">
        <f t="shared" si="5"/>
        <v>-3.6809815950920144</v>
      </c>
      <c r="X27" s="6"/>
      <c r="Y27" s="6"/>
      <c r="Z27" s="6"/>
      <c r="AA27" s="6" t="str">
        <f t="shared" si="6"/>
        <v/>
      </c>
      <c r="AB27" s="6"/>
      <c r="AC27" s="6"/>
    </row>
    <row r="28" spans="1:29" x14ac:dyDescent="0.2">
      <c r="A28" t="s">
        <v>112</v>
      </c>
      <c r="B28" s="6">
        <v>226</v>
      </c>
      <c r="C28" s="6">
        <f t="shared" si="0"/>
        <v>1.3452914798206317</v>
      </c>
      <c r="D28" s="6"/>
      <c r="E28" s="6"/>
      <c r="F28" s="6"/>
      <c r="G28" s="6" t="str">
        <f t="shared" si="1"/>
        <v/>
      </c>
      <c r="H28" s="6"/>
      <c r="I28" s="6"/>
      <c r="J28" s="6">
        <v>1711</v>
      </c>
      <c r="K28" s="6">
        <f t="shared" si="2"/>
        <v>4.9049662783568371</v>
      </c>
      <c r="L28" s="6"/>
      <c r="M28" s="6"/>
      <c r="N28" s="6">
        <v>634.85</v>
      </c>
      <c r="O28" s="6">
        <f t="shared" si="3"/>
        <v>-0.32343659229717714</v>
      </c>
      <c r="P28" s="6"/>
      <c r="Q28" s="6"/>
      <c r="R28" s="6"/>
      <c r="S28" s="6" t="str">
        <f t="shared" si="4"/>
        <v/>
      </c>
      <c r="T28" s="6"/>
      <c r="U28" s="6"/>
      <c r="V28" s="6">
        <v>1.57</v>
      </c>
      <c r="W28" s="6">
        <f t="shared" si="5"/>
        <v>-3.6809815950920144</v>
      </c>
      <c r="X28" s="6"/>
      <c r="Y28" s="6"/>
      <c r="Z28" s="6"/>
      <c r="AA28" s="6" t="str">
        <f t="shared" si="6"/>
        <v/>
      </c>
      <c r="AB28" s="6"/>
      <c r="AC28" s="6"/>
    </row>
    <row r="29" spans="1:29" x14ac:dyDescent="0.2">
      <c r="A29" t="s">
        <v>113</v>
      </c>
      <c r="B29" s="6">
        <v>235.89</v>
      </c>
      <c r="C29" s="6">
        <f t="shared" si="0"/>
        <v>5.7802690582959615</v>
      </c>
      <c r="D29" s="6"/>
      <c r="E29" s="6"/>
      <c r="F29" s="6"/>
      <c r="G29" s="6" t="str">
        <f t="shared" si="1"/>
        <v/>
      </c>
      <c r="H29" s="6"/>
      <c r="I29" s="6"/>
      <c r="J29" s="6">
        <v>1761</v>
      </c>
      <c r="K29" s="6">
        <f t="shared" si="2"/>
        <v>2.9222676797194591</v>
      </c>
      <c r="L29" s="6"/>
      <c r="M29" s="6"/>
      <c r="N29" s="6">
        <v>635.37</v>
      </c>
      <c r="O29" s="6">
        <f t="shared" si="3"/>
        <v>4.723838407146741</v>
      </c>
      <c r="P29" s="6"/>
      <c r="Q29" s="6"/>
      <c r="R29" s="6"/>
      <c r="S29" s="6" t="str">
        <f t="shared" si="4"/>
        <v/>
      </c>
      <c r="T29" s="6"/>
      <c r="U29" s="6"/>
      <c r="V29" s="6">
        <v>1.52</v>
      </c>
      <c r="W29" s="6">
        <f t="shared" si="5"/>
        <v>-3.1847133757961776</v>
      </c>
      <c r="X29" s="6"/>
      <c r="Y29" s="6"/>
      <c r="Z29" s="6"/>
      <c r="AA29" s="6" t="str">
        <f t="shared" si="6"/>
        <v/>
      </c>
      <c r="AB29" s="6"/>
      <c r="AC29" s="6"/>
    </row>
    <row r="30" spans="1:29" x14ac:dyDescent="0.2">
      <c r="A30" t="s">
        <v>114</v>
      </c>
      <c r="B30" s="6">
        <v>237</v>
      </c>
      <c r="C30" s="6">
        <f t="shared" si="0"/>
        <v>3.9473684210526327</v>
      </c>
      <c r="D30" s="6"/>
      <c r="E30" s="6"/>
      <c r="F30" s="6"/>
      <c r="G30" s="6" t="str">
        <f t="shared" si="1"/>
        <v/>
      </c>
      <c r="H30" s="6"/>
      <c r="I30" s="6"/>
      <c r="J30" s="6">
        <v>1761</v>
      </c>
      <c r="K30" s="6">
        <f t="shared" si="2"/>
        <v>2.9222676797194591</v>
      </c>
      <c r="L30" s="6"/>
      <c r="M30" s="6"/>
      <c r="N30" s="6">
        <v>647.94000000000005</v>
      </c>
      <c r="O30" s="6">
        <f t="shared" si="3"/>
        <v>5.077599208601602</v>
      </c>
      <c r="P30" s="6"/>
      <c r="Q30" s="6"/>
      <c r="R30" s="6"/>
      <c r="S30" s="6" t="str">
        <f t="shared" si="4"/>
        <v/>
      </c>
      <c r="T30" s="6"/>
      <c r="U30" s="6"/>
      <c r="V30" s="6">
        <v>1.52</v>
      </c>
      <c r="W30" s="6">
        <f t="shared" si="5"/>
        <v>-3.1847133757961776</v>
      </c>
      <c r="X30" s="6"/>
      <c r="Y30" s="6"/>
      <c r="Z30" s="6"/>
      <c r="AA30" s="6" t="str">
        <f t="shared" si="6"/>
        <v/>
      </c>
      <c r="AB30" s="6"/>
      <c r="AC30" s="6"/>
    </row>
    <row r="31" spans="1:29" x14ac:dyDescent="0.2">
      <c r="A31" t="s">
        <v>115</v>
      </c>
      <c r="B31" s="6">
        <v>223.22</v>
      </c>
      <c r="C31" s="6">
        <f t="shared" si="0"/>
        <v>-3.3679653679653643</v>
      </c>
      <c r="D31" s="6"/>
      <c r="E31" s="6"/>
      <c r="F31" s="6"/>
      <c r="G31" s="6" t="str">
        <f t="shared" si="1"/>
        <v/>
      </c>
      <c r="H31" s="6"/>
      <c r="I31" s="6"/>
      <c r="J31" s="6">
        <v>1761</v>
      </c>
      <c r="K31" s="6">
        <f t="shared" si="2"/>
        <v>2.9222676797194591</v>
      </c>
      <c r="L31" s="6"/>
      <c r="M31" s="6"/>
      <c r="N31" s="6">
        <v>647.5</v>
      </c>
      <c r="O31" s="6">
        <f t="shared" si="3"/>
        <v>4.2236744680166138</v>
      </c>
      <c r="P31" s="6"/>
      <c r="Q31" s="6"/>
      <c r="R31" s="6"/>
      <c r="S31" s="6" t="str">
        <f t="shared" si="4"/>
        <v/>
      </c>
      <c r="T31" s="6"/>
      <c r="U31" s="6"/>
      <c r="V31" s="6">
        <v>1.52</v>
      </c>
      <c r="W31" s="6">
        <f t="shared" si="5"/>
        <v>-3.1847133757961776</v>
      </c>
      <c r="X31" s="6"/>
      <c r="Y31" s="6"/>
      <c r="Z31" s="6"/>
      <c r="AA31" s="6" t="str">
        <f t="shared" si="6"/>
        <v/>
      </c>
      <c r="AB31" s="6"/>
      <c r="AC31" s="6"/>
    </row>
    <row r="32" spans="1:29" x14ac:dyDescent="0.2">
      <c r="A32" t="s">
        <v>116</v>
      </c>
      <c r="B32" s="6">
        <v>220.46</v>
      </c>
      <c r="C32" s="6">
        <f t="shared" si="0"/>
        <v>-5.381974248927035</v>
      </c>
      <c r="D32" s="6"/>
      <c r="E32" s="6"/>
      <c r="F32" s="6"/>
      <c r="G32" s="6" t="str">
        <f t="shared" si="1"/>
        <v/>
      </c>
      <c r="H32" s="6"/>
      <c r="I32" s="6"/>
      <c r="J32" s="6">
        <v>1761</v>
      </c>
      <c r="K32" s="6">
        <f t="shared" si="2"/>
        <v>2.9222676797194591</v>
      </c>
      <c r="L32" s="6"/>
      <c r="M32" s="6"/>
      <c r="N32" s="6">
        <v>645.95000000000005</v>
      </c>
      <c r="O32" s="6">
        <f t="shared" si="3"/>
        <v>2.233160293745251</v>
      </c>
      <c r="P32" s="6"/>
      <c r="Q32" s="6"/>
      <c r="R32" s="6"/>
      <c r="S32" s="6" t="str">
        <f t="shared" si="4"/>
        <v/>
      </c>
      <c r="T32" s="6"/>
      <c r="U32" s="6"/>
      <c r="V32" s="6">
        <v>1.52</v>
      </c>
      <c r="W32" s="6">
        <f t="shared" si="5"/>
        <v>-3.1847133757961776</v>
      </c>
      <c r="X32" s="6"/>
      <c r="Y32" s="6"/>
      <c r="Z32" s="6"/>
      <c r="AA32" s="6" t="str">
        <f t="shared" si="6"/>
        <v/>
      </c>
      <c r="AB32" s="6"/>
      <c r="AC32" s="6"/>
    </row>
    <row r="33" spans="1:29" x14ac:dyDescent="0.2">
      <c r="A33" t="s">
        <v>117</v>
      </c>
      <c r="B33" s="6">
        <v>219.08</v>
      </c>
      <c r="C33" s="6">
        <f t="shared" si="0"/>
        <v>-6.3760683760683667</v>
      </c>
      <c r="D33" s="6"/>
      <c r="E33" s="6"/>
      <c r="F33" s="6"/>
      <c r="G33" s="6" t="str">
        <f t="shared" si="1"/>
        <v/>
      </c>
      <c r="H33" s="6"/>
      <c r="I33" s="6"/>
      <c r="J33" s="6">
        <v>1761</v>
      </c>
      <c r="K33" s="6">
        <f t="shared" si="2"/>
        <v>2.9222676797194591</v>
      </c>
      <c r="L33" s="6"/>
      <c r="M33" s="6"/>
      <c r="N33" s="6">
        <v>645.73</v>
      </c>
      <c r="O33" s="6">
        <f t="shared" si="3"/>
        <v>-3.3974627490874321</v>
      </c>
      <c r="P33" s="6"/>
      <c r="Q33" s="6"/>
      <c r="R33" s="6"/>
      <c r="S33" s="6" t="str">
        <f t="shared" si="4"/>
        <v/>
      </c>
      <c r="T33" s="6"/>
      <c r="U33" s="6"/>
      <c r="V33" s="6">
        <v>1.52</v>
      </c>
      <c r="W33" s="6">
        <f t="shared" si="5"/>
        <v>-3.1847133757961776</v>
      </c>
      <c r="X33" s="6"/>
      <c r="Y33" s="6"/>
      <c r="Z33" s="6"/>
      <c r="AA33" s="6" t="str">
        <f t="shared" si="6"/>
        <v/>
      </c>
      <c r="AB33" s="6"/>
      <c r="AC33" s="6"/>
    </row>
    <row r="34" spans="1:29" x14ac:dyDescent="0.2">
      <c r="A34" t="s">
        <v>118</v>
      </c>
      <c r="B34" s="6">
        <v>216.33</v>
      </c>
      <c r="C34" s="6">
        <f t="shared" si="0"/>
        <v>-7.1545064377682372</v>
      </c>
      <c r="D34" s="6"/>
      <c r="E34" s="6"/>
      <c r="F34" s="6"/>
      <c r="G34" s="6" t="str">
        <f t="shared" si="1"/>
        <v/>
      </c>
      <c r="H34" s="6"/>
      <c r="I34" s="6"/>
      <c r="J34" s="6">
        <v>1761</v>
      </c>
      <c r="K34" s="6">
        <f t="shared" si="2"/>
        <v>2.9222676797194591</v>
      </c>
      <c r="L34" s="6"/>
      <c r="M34" s="6"/>
      <c r="N34" s="6">
        <v>645.51</v>
      </c>
      <c r="O34" s="6">
        <f t="shared" si="3"/>
        <v>-1.0136171256823867</v>
      </c>
      <c r="P34" s="6"/>
      <c r="Q34" s="6"/>
      <c r="R34" s="6"/>
      <c r="S34" s="6" t="str">
        <f t="shared" si="4"/>
        <v/>
      </c>
      <c r="T34" s="6"/>
      <c r="U34" s="6"/>
      <c r="V34" s="6">
        <v>1.52</v>
      </c>
      <c r="W34" s="6">
        <f t="shared" si="5"/>
        <v>-3.1847133757961776</v>
      </c>
      <c r="X34" s="6"/>
      <c r="Y34" s="6"/>
      <c r="Z34" s="6"/>
      <c r="AA34" s="6" t="str">
        <f t="shared" si="6"/>
        <v/>
      </c>
      <c r="AB34" s="6"/>
      <c r="AC34" s="6"/>
    </row>
    <row r="35" spans="1:29" x14ac:dyDescent="0.2">
      <c r="A35" t="s">
        <v>119</v>
      </c>
      <c r="B35" s="6">
        <v>212.75</v>
      </c>
      <c r="C35" s="6">
        <f t="shared" si="0"/>
        <v>-7.0960698689956363</v>
      </c>
      <c r="D35" s="6"/>
      <c r="E35" s="6"/>
      <c r="F35" s="6"/>
      <c r="G35" s="6" t="str">
        <f t="shared" si="1"/>
        <v/>
      </c>
      <c r="H35" s="6"/>
      <c r="I35" s="6"/>
      <c r="J35" s="6">
        <v>1761</v>
      </c>
      <c r="K35" s="6">
        <f t="shared" si="2"/>
        <v>2.9222676797194591</v>
      </c>
      <c r="L35" s="6"/>
      <c r="M35" s="6"/>
      <c r="N35" s="6">
        <v>645.51</v>
      </c>
      <c r="O35" s="6">
        <f t="shared" si="3"/>
        <v>1.9135130014682922</v>
      </c>
      <c r="P35" s="6"/>
      <c r="Q35" s="6"/>
      <c r="R35" s="6"/>
      <c r="S35" s="6" t="str">
        <f t="shared" si="4"/>
        <v/>
      </c>
      <c r="T35" s="6"/>
      <c r="U35" s="6"/>
      <c r="V35" s="6">
        <v>1.52</v>
      </c>
      <c r="W35" s="6">
        <f t="shared" si="5"/>
        <v>-3.1847133757961776</v>
      </c>
      <c r="X35" s="6"/>
      <c r="Y35" s="6"/>
      <c r="Z35" s="6"/>
      <c r="AA35" s="6" t="str">
        <f t="shared" si="6"/>
        <v/>
      </c>
      <c r="AB35" s="6"/>
      <c r="AC35" s="6"/>
    </row>
    <row r="36" spans="1:29" x14ac:dyDescent="0.2">
      <c r="A36" t="s">
        <v>120</v>
      </c>
      <c r="B36" s="6">
        <v>209.16</v>
      </c>
      <c r="C36" s="6">
        <f t="shared" si="0"/>
        <v>-7.4513274336283182</v>
      </c>
      <c r="D36" s="6"/>
      <c r="E36" s="6"/>
      <c r="F36" s="6"/>
      <c r="G36" s="6" t="str">
        <f t="shared" si="1"/>
        <v/>
      </c>
      <c r="H36" s="6"/>
      <c r="I36" s="6"/>
      <c r="J36" s="6">
        <v>1761</v>
      </c>
      <c r="K36" s="6">
        <f t="shared" si="2"/>
        <v>2.9222676797194591</v>
      </c>
      <c r="L36" s="6"/>
      <c r="M36" s="6"/>
      <c r="N36" s="6">
        <v>645.51</v>
      </c>
      <c r="O36" s="6">
        <f t="shared" si="3"/>
        <v>1.4203340298835743</v>
      </c>
      <c r="P36" s="6"/>
      <c r="Q36" s="6"/>
      <c r="R36" s="6"/>
      <c r="S36" s="6" t="str">
        <f t="shared" si="4"/>
        <v/>
      </c>
      <c r="T36" s="6"/>
      <c r="U36" s="6"/>
      <c r="V36" s="6">
        <v>1.52</v>
      </c>
      <c r="W36" s="6">
        <f t="shared" si="5"/>
        <v>-3.1847133757961776</v>
      </c>
      <c r="X36" s="6"/>
      <c r="Y36" s="6"/>
      <c r="Z36" s="6"/>
      <c r="AA36" s="6" t="str">
        <f t="shared" si="6"/>
        <v/>
      </c>
      <c r="AB36" s="6"/>
      <c r="AC36" s="6"/>
    </row>
    <row r="37" spans="1:29" x14ac:dyDescent="0.2">
      <c r="A37" t="s">
        <v>121</v>
      </c>
      <c r="B37" s="6">
        <v>205.3</v>
      </c>
      <c r="C37" s="6">
        <f t="shared" si="0"/>
        <v>-9.1592920353982255</v>
      </c>
      <c r="D37" s="6"/>
      <c r="E37" s="6"/>
      <c r="F37" s="6"/>
      <c r="G37" s="6" t="str">
        <f t="shared" si="1"/>
        <v/>
      </c>
      <c r="H37" s="6"/>
      <c r="I37" s="6"/>
      <c r="J37" s="6">
        <v>1761</v>
      </c>
      <c r="K37" s="6">
        <f t="shared" si="2"/>
        <v>2.9222676797194591</v>
      </c>
      <c r="L37" s="6"/>
      <c r="M37" s="6"/>
      <c r="N37" s="6">
        <v>645.51</v>
      </c>
      <c r="O37" s="6">
        <f t="shared" si="3"/>
        <v>2.021431280819308</v>
      </c>
      <c r="P37" s="6"/>
      <c r="Q37" s="6"/>
      <c r="R37" s="6"/>
      <c r="S37" s="6" t="str">
        <f t="shared" si="4"/>
        <v/>
      </c>
      <c r="T37" s="6"/>
      <c r="U37" s="6"/>
      <c r="V37" s="6">
        <v>1.52</v>
      </c>
      <c r="W37" s="6">
        <f t="shared" si="5"/>
        <v>-3.1847133757961776</v>
      </c>
      <c r="X37" s="6"/>
      <c r="Y37" s="6"/>
      <c r="Z37" s="6"/>
      <c r="AA37" s="6" t="str">
        <f t="shared" si="6"/>
        <v/>
      </c>
      <c r="AB37" s="6"/>
      <c r="AC37" s="6"/>
    </row>
    <row r="38" spans="1:29" x14ac:dyDescent="0.2">
      <c r="A38" t="s">
        <v>122</v>
      </c>
      <c r="B38" s="6">
        <v>196.76</v>
      </c>
      <c r="C38" s="6">
        <f t="shared" si="0"/>
        <v>-12.938053097345136</v>
      </c>
      <c r="D38" s="6"/>
      <c r="E38" s="6"/>
      <c r="F38" s="6"/>
      <c r="G38" s="6" t="str">
        <f t="shared" si="1"/>
        <v/>
      </c>
      <c r="H38" s="6"/>
      <c r="I38" s="6"/>
      <c r="J38" s="6">
        <v>1761</v>
      </c>
      <c r="K38" s="6">
        <f t="shared" si="2"/>
        <v>2.9222676797194591</v>
      </c>
      <c r="L38" s="6"/>
      <c r="M38" s="6"/>
      <c r="N38" s="6">
        <v>645.95000000000005</v>
      </c>
      <c r="O38" s="6">
        <f t="shared" si="3"/>
        <v>2.4829446295415059</v>
      </c>
      <c r="P38" s="6"/>
      <c r="Q38" s="6"/>
      <c r="R38" s="6"/>
      <c r="S38" s="6" t="str">
        <f t="shared" si="4"/>
        <v/>
      </c>
      <c r="T38" s="6"/>
      <c r="U38" s="6"/>
      <c r="V38" s="6">
        <v>1.52</v>
      </c>
      <c r="W38" s="6">
        <f t="shared" si="5"/>
        <v>-3.1847133757961776</v>
      </c>
      <c r="X38" s="6"/>
      <c r="Y38" s="6"/>
      <c r="Z38" s="6"/>
      <c r="AA38" s="6" t="str">
        <f t="shared" si="6"/>
        <v/>
      </c>
      <c r="AB38" s="6"/>
      <c r="AC38" s="6"/>
    </row>
    <row r="39" spans="1:29" x14ac:dyDescent="0.2">
      <c r="A39" t="s">
        <v>123</v>
      </c>
      <c r="B39" s="6">
        <v>208.06</v>
      </c>
      <c r="C39" s="6">
        <f t="shared" si="0"/>
        <v>-7.9380530973451329</v>
      </c>
      <c r="D39" s="6"/>
      <c r="E39" s="6"/>
      <c r="F39" s="6"/>
      <c r="G39" s="6" t="str">
        <f t="shared" si="1"/>
        <v/>
      </c>
      <c r="H39" s="6"/>
      <c r="I39" s="6"/>
      <c r="J39" s="6">
        <v>1761</v>
      </c>
      <c r="K39" s="6">
        <f t="shared" si="2"/>
        <v>2.9222676797194591</v>
      </c>
      <c r="L39" s="6"/>
      <c r="M39" s="6"/>
      <c r="N39" s="6">
        <v>645.51</v>
      </c>
      <c r="O39" s="6">
        <f t="shared" si="3"/>
        <v>2.0924274055797998</v>
      </c>
      <c r="P39" s="6"/>
      <c r="Q39" s="6"/>
      <c r="R39" s="6"/>
      <c r="S39" s="6" t="str">
        <f t="shared" si="4"/>
        <v/>
      </c>
      <c r="T39" s="6"/>
      <c r="U39" s="6"/>
      <c r="V39" s="6">
        <v>1.52</v>
      </c>
      <c r="W39" s="6">
        <f t="shared" si="5"/>
        <v>-3.1847133757961776</v>
      </c>
      <c r="X39" s="6"/>
      <c r="Y39" s="6"/>
      <c r="Z39" s="6"/>
      <c r="AA39" s="6" t="str">
        <f t="shared" si="6"/>
        <v/>
      </c>
      <c r="AB39" s="6"/>
      <c r="AC39" s="6"/>
    </row>
    <row r="40" spans="1:29" x14ac:dyDescent="0.2">
      <c r="A40" t="s">
        <v>124</v>
      </c>
      <c r="B40" s="6">
        <v>210.82</v>
      </c>
      <c r="C40" s="6">
        <f t="shared" si="0"/>
        <v>-6.7168141592920394</v>
      </c>
      <c r="D40" s="6"/>
      <c r="E40" s="6"/>
      <c r="F40" s="6"/>
      <c r="G40" s="6" t="str">
        <f t="shared" si="1"/>
        <v/>
      </c>
      <c r="H40" s="6"/>
      <c r="I40" s="6"/>
      <c r="J40" s="6">
        <v>1761</v>
      </c>
      <c r="K40" s="6">
        <f t="shared" si="2"/>
        <v>2.9222676797194591</v>
      </c>
      <c r="L40" s="6"/>
      <c r="M40" s="6"/>
      <c r="N40" s="6">
        <v>645.73</v>
      </c>
      <c r="O40" s="6">
        <f t="shared" si="3"/>
        <v>1.7137906592108454</v>
      </c>
      <c r="P40" s="6"/>
      <c r="Q40" s="6"/>
      <c r="R40" s="6"/>
      <c r="S40" s="6" t="str">
        <f t="shared" si="4"/>
        <v/>
      </c>
      <c r="T40" s="6"/>
      <c r="U40" s="6"/>
      <c r="V40" s="6">
        <v>1.52</v>
      </c>
      <c r="W40" s="6">
        <f t="shared" si="5"/>
        <v>-3.1847133757961776</v>
      </c>
      <c r="X40" s="6"/>
      <c r="Y40" s="6"/>
      <c r="Z40" s="6"/>
      <c r="AA40" s="6" t="str">
        <f t="shared" si="6"/>
        <v/>
      </c>
      <c r="AB40" s="6"/>
      <c r="AC40" s="6"/>
    </row>
    <row r="41" spans="1:29" x14ac:dyDescent="0.2">
      <c r="A41" t="s">
        <v>125</v>
      </c>
      <c r="B41" s="6">
        <v>217.71</v>
      </c>
      <c r="C41" s="6">
        <f t="shared" si="0"/>
        <v>-7.7069820679130041</v>
      </c>
      <c r="D41" s="6"/>
      <c r="E41" s="6"/>
      <c r="F41" s="6"/>
      <c r="G41" s="6" t="str">
        <f t="shared" si="1"/>
        <v/>
      </c>
      <c r="H41" s="6"/>
      <c r="I41" s="6"/>
      <c r="J41" s="6">
        <v>1741</v>
      </c>
      <c r="K41" s="6">
        <f t="shared" si="2"/>
        <v>-1.1357183418512218</v>
      </c>
      <c r="L41" s="6"/>
      <c r="M41" s="6"/>
      <c r="N41" s="6">
        <v>645.51</v>
      </c>
      <c r="O41" s="6">
        <f t="shared" si="3"/>
        <v>1.5959204872751265</v>
      </c>
      <c r="P41" s="6"/>
      <c r="Q41" s="6"/>
      <c r="R41" s="6"/>
      <c r="S41" s="6" t="str">
        <f t="shared" si="4"/>
        <v/>
      </c>
      <c r="T41" s="6"/>
      <c r="U41" s="6"/>
      <c r="V41" s="6">
        <v>1.5</v>
      </c>
      <c r="W41" s="6">
        <f t="shared" si="5"/>
        <v>-1.3157894736842146</v>
      </c>
      <c r="X41" s="6"/>
      <c r="Y41" s="6"/>
      <c r="Z41" s="6"/>
      <c r="AA41" s="6" t="str">
        <f t="shared" si="6"/>
        <v/>
      </c>
      <c r="AB41" s="6"/>
      <c r="AC41" s="6"/>
    </row>
    <row r="42" spans="1:29" x14ac:dyDescent="0.2">
      <c r="A42" t="s">
        <v>126</v>
      </c>
      <c r="B42" s="6">
        <v>217.71</v>
      </c>
      <c r="C42" s="6">
        <f t="shared" si="0"/>
        <v>-8.1392405063291147</v>
      </c>
      <c r="D42" s="6"/>
      <c r="E42" s="6"/>
      <c r="F42" s="6"/>
      <c r="G42" s="6" t="str">
        <f t="shared" si="1"/>
        <v/>
      </c>
      <c r="H42" s="6"/>
      <c r="I42" s="6"/>
      <c r="J42" s="6">
        <v>1742</v>
      </c>
      <c r="K42" s="6">
        <f t="shared" si="2"/>
        <v>-1.0789324247586607</v>
      </c>
      <c r="L42" s="6"/>
      <c r="M42" s="6"/>
      <c r="N42" s="6">
        <v>645.51</v>
      </c>
      <c r="O42" s="6">
        <f t="shared" si="3"/>
        <v>-0.37503472543755079</v>
      </c>
      <c r="P42" s="6"/>
      <c r="Q42" s="6"/>
      <c r="R42" s="6"/>
      <c r="S42" s="6" t="str">
        <f t="shared" si="4"/>
        <v/>
      </c>
      <c r="T42" s="6"/>
      <c r="U42" s="6"/>
      <c r="V42" s="6">
        <v>1.5</v>
      </c>
      <c r="W42" s="6">
        <f t="shared" si="5"/>
        <v>-1.3157894736842146</v>
      </c>
      <c r="X42" s="6"/>
      <c r="Y42" s="6"/>
      <c r="Z42" s="6"/>
      <c r="AA42" s="6" t="str">
        <f t="shared" si="6"/>
        <v/>
      </c>
      <c r="AB42" s="6"/>
      <c r="AC42" s="6"/>
    </row>
    <row r="43" spans="1:29" x14ac:dyDescent="0.2">
      <c r="A43" t="s">
        <v>127</v>
      </c>
      <c r="B43" s="6">
        <v>217.71</v>
      </c>
      <c r="C43" s="6">
        <f t="shared" si="0"/>
        <v>-2.4684168085296943</v>
      </c>
      <c r="D43" s="6"/>
      <c r="E43" s="6"/>
      <c r="F43" s="6"/>
      <c r="G43" s="6" t="str">
        <f t="shared" si="1"/>
        <v/>
      </c>
      <c r="H43" s="6"/>
      <c r="I43" s="6"/>
      <c r="J43" s="6">
        <v>1742</v>
      </c>
      <c r="K43" s="6">
        <f t="shared" si="2"/>
        <v>-1.0789324247586607</v>
      </c>
      <c r="L43" s="6"/>
      <c r="M43" s="6"/>
      <c r="N43" s="6">
        <v>645.51</v>
      </c>
      <c r="O43" s="6">
        <f t="shared" si="3"/>
        <v>-0.30733590733590388</v>
      </c>
      <c r="P43" s="6"/>
      <c r="Q43" s="6"/>
      <c r="R43" s="6"/>
      <c r="S43" s="6" t="str">
        <f t="shared" si="4"/>
        <v/>
      </c>
      <c r="T43" s="6"/>
      <c r="U43" s="6"/>
      <c r="V43" s="6">
        <v>1.5</v>
      </c>
      <c r="W43" s="6">
        <f t="shared" si="5"/>
        <v>-1.3157894736842146</v>
      </c>
      <c r="X43" s="6"/>
      <c r="Y43" s="6"/>
      <c r="Z43" s="6"/>
      <c r="AA43" s="6" t="str">
        <f t="shared" si="6"/>
        <v/>
      </c>
      <c r="AB43" s="6"/>
      <c r="AC43" s="6"/>
    </row>
    <row r="44" spans="1:29" x14ac:dyDescent="0.2">
      <c r="A44" t="s">
        <v>128</v>
      </c>
      <c r="B44" s="6">
        <v>217.71</v>
      </c>
      <c r="C44" s="6">
        <f t="shared" si="0"/>
        <v>-1.2473918171096776</v>
      </c>
      <c r="D44" s="6"/>
      <c r="E44" s="6"/>
      <c r="F44" s="6"/>
      <c r="G44" s="6" t="str">
        <f t="shared" si="1"/>
        <v/>
      </c>
      <c r="H44" s="6"/>
      <c r="I44" s="6"/>
      <c r="J44" s="6">
        <v>1741</v>
      </c>
      <c r="K44" s="6">
        <f t="shared" si="2"/>
        <v>-1.1357183418512218</v>
      </c>
      <c r="L44" s="6"/>
      <c r="M44" s="6"/>
      <c r="N44" s="6">
        <v>645.73</v>
      </c>
      <c r="O44" s="6">
        <f t="shared" si="3"/>
        <v>-3.4058363650446566E-2</v>
      </c>
      <c r="P44" s="6"/>
      <c r="Q44" s="6"/>
      <c r="R44" s="6"/>
      <c r="S44" s="6" t="str">
        <f t="shared" si="4"/>
        <v/>
      </c>
      <c r="T44" s="6"/>
      <c r="U44" s="6"/>
      <c r="V44" s="6">
        <v>1.5</v>
      </c>
      <c r="W44" s="6">
        <f t="shared" si="5"/>
        <v>-1.3157894736842146</v>
      </c>
      <c r="X44" s="6"/>
      <c r="Y44" s="6"/>
      <c r="Z44" s="6"/>
      <c r="AA44" s="6" t="str">
        <f t="shared" si="6"/>
        <v/>
      </c>
      <c r="AB44" s="6"/>
      <c r="AC44" s="6"/>
    </row>
    <row r="45" spans="1:29" x14ac:dyDescent="0.2">
      <c r="A45" t="s">
        <v>129</v>
      </c>
      <c r="B45" s="6">
        <v>217.71</v>
      </c>
      <c r="C45" s="6">
        <f t="shared" si="0"/>
        <v>-0.62534234069746564</v>
      </c>
      <c r="D45" s="6"/>
      <c r="E45" s="6"/>
      <c r="F45" s="6"/>
      <c r="G45" s="6" t="str">
        <f t="shared" si="1"/>
        <v/>
      </c>
      <c r="H45" s="6"/>
      <c r="I45" s="6"/>
      <c r="J45" s="6">
        <v>1742</v>
      </c>
      <c r="K45" s="6">
        <f t="shared" si="2"/>
        <v>-1.0789324247586607</v>
      </c>
      <c r="L45" s="6"/>
      <c r="M45" s="6"/>
      <c r="N45" s="6">
        <v>645.51</v>
      </c>
      <c r="O45" s="6">
        <f t="shared" si="3"/>
        <v>-3.4069967323813177E-2</v>
      </c>
      <c r="P45" s="6"/>
      <c r="Q45" s="6"/>
      <c r="R45" s="6"/>
      <c r="S45" s="6" t="str">
        <f t="shared" si="4"/>
        <v/>
      </c>
      <c r="T45" s="6"/>
      <c r="U45" s="6"/>
      <c r="V45" s="6">
        <v>1.5</v>
      </c>
      <c r="W45" s="6">
        <f t="shared" si="5"/>
        <v>-1.3157894736842146</v>
      </c>
      <c r="X45" s="6"/>
      <c r="Y45" s="6"/>
      <c r="Z45" s="6"/>
      <c r="AA45" s="6" t="str">
        <f t="shared" si="6"/>
        <v/>
      </c>
      <c r="AB45" s="6"/>
      <c r="AC45" s="6"/>
    </row>
    <row r="46" spans="1:29" x14ac:dyDescent="0.2">
      <c r="A46" t="s">
        <v>130</v>
      </c>
      <c r="B46" s="6">
        <v>219.91</v>
      </c>
      <c r="C46" s="6">
        <f t="shared" si="0"/>
        <v>1.6548791198631729</v>
      </c>
      <c r="D46" s="6"/>
      <c r="E46" s="6"/>
      <c r="F46" s="6"/>
      <c r="G46" s="6" t="str">
        <f t="shared" si="1"/>
        <v/>
      </c>
      <c r="H46" s="6"/>
      <c r="I46" s="6"/>
      <c r="J46" s="6">
        <v>1742</v>
      </c>
      <c r="K46" s="6">
        <f t="shared" si="2"/>
        <v>-1.0789324247586607</v>
      </c>
      <c r="L46" s="6"/>
      <c r="M46" s="6"/>
      <c r="N46" s="6">
        <v>645.73</v>
      </c>
      <c r="O46" s="6">
        <f t="shared" si="3"/>
        <v>3.4081578906608456E-2</v>
      </c>
      <c r="P46" s="6"/>
      <c r="Q46" s="6"/>
      <c r="R46" s="6"/>
      <c r="S46" s="6" t="str">
        <f t="shared" si="4"/>
        <v/>
      </c>
      <c r="T46" s="6"/>
      <c r="U46" s="6"/>
      <c r="V46" s="6">
        <v>1.5</v>
      </c>
      <c r="W46" s="6">
        <f t="shared" si="5"/>
        <v>-1.3157894736842146</v>
      </c>
      <c r="X46" s="6"/>
      <c r="Y46" s="6"/>
      <c r="Z46" s="6"/>
      <c r="AA46" s="6" t="str">
        <f t="shared" si="6"/>
        <v/>
      </c>
      <c r="AB46" s="6"/>
      <c r="AC46" s="6"/>
    </row>
    <row r="47" spans="1:29" x14ac:dyDescent="0.2">
      <c r="A47" t="s">
        <v>131</v>
      </c>
      <c r="B47" s="6">
        <v>221.84</v>
      </c>
      <c r="C47" s="6">
        <f t="shared" si="0"/>
        <v>4.2726204465334927</v>
      </c>
      <c r="D47" s="6"/>
      <c r="E47" s="6"/>
      <c r="F47" s="6"/>
      <c r="G47" s="6" t="str">
        <f t="shared" si="1"/>
        <v/>
      </c>
      <c r="H47" s="6"/>
      <c r="I47" s="6"/>
      <c r="J47" s="6">
        <v>1741</v>
      </c>
      <c r="K47" s="6">
        <f t="shared" si="2"/>
        <v>-1.1357183418512218</v>
      </c>
      <c r="L47" s="6"/>
      <c r="M47" s="6"/>
      <c r="N47" s="6">
        <v>645.51</v>
      </c>
      <c r="O47" s="6">
        <f t="shared" si="3"/>
        <v>0</v>
      </c>
      <c r="P47" s="6"/>
      <c r="Q47" s="6"/>
      <c r="R47" s="6"/>
      <c r="S47" s="6" t="str">
        <f t="shared" si="4"/>
        <v/>
      </c>
      <c r="T47" s="6"/>
      <c r="U47" s="6"/>
      <c r="V47" s="6">
        <v>1.5</v>
      </c>
      <c r="W47" s="6">
        <f t="shared" si="5"/>
        <v>-1.3157894736842146</v>
      </c>
      <c r="X47" s="6"/>
      <c r="Y47" s="6"/>
      <c r="Z47" s="6"/>
      <c r="AA47" s="6" t="str">
        <f t="shared" si="6"/>
        <v/>
      </c>
      <c r="AB47" s="6"/>
      <c r="AC47" s="6"/>
    </row>
    <row r="48" spans="1:29" x14ac:dyDescent="0.2">
      <c r="A48" t="s">
        <v>132</v>
      </c>
      <c r="B48" s="6">
        <v>224.6</v>
      </c>
      <c r="C48" s="6">
        <f t="shared" si="0"/>
        <v>7.38190858672787</v>
      </c>
      <c r="D48" s="6"/>
      <c r="E48" s="6"/>
      <c r="F48" s="6"/>
      <c r="G48" s="6" t="str">
        <f t="shared" si="1"/>
        <v/>
      </c>
      <c r="H48" s="6"/>
      <c r="I48" s="6"/>
      <c r="J48" s="6">
        <v>1742</v>
      </c>
      <c r="K48" s="6">
        <f t="shared" si="2"/>
        <v>-1.0789324247586607</v>
      </c>
      <c r="L48" s="6"/>
      <c r="M48" s="6"/>
      <c r="N48" s="6">
        <v>645.51</v>
      </c>
      <c r="O48" s="6">
        <f t="shared" si="3"/>
        <v>0</v>
      </c>
      <c r="P48" s="6"/>
      <c r="Q48" s="6"/>
      <c r="R48" s="6"/>
      <c r="S48" s="6" t="str">
        <f t="shared" si="4"/>
        <v/>
      </c>
      <c r="T48" s="6"/>
      <c r="U48" s="6"/>
      <c r="V48" s="6">
        <v>1.5</v>
      </c>
      <c r="W48" s="6">
        <f t="shared" si="5"/>
        <v>-1.3157894736842146</v>
      </c>
      <c r="X48" s="6"/>
      <c r="Y48" s="6"/>
      <c r="Z48" s="6"/>
      <c r="AA48" s="6" t="str">
        <f t="shared" si="6"/>
        <v/>
      </c>
      <c r="AB48" s="6"/>
      <c r="AC48" s="6"/>
    </row>
    <row r="49" spans="1:29" x14ac:dyDescent="0.2">
      <c r="A49" t="s">
        <v>133</v>
      </c>
      <c r="B49" s="6">
        <v>224.6</v>
      </c>
      <c r="C49" s="6">
        <f t="shared" si="0"/>
        <v>9.4008767657087091</v>
      </c>
      <c r="D49" s="6"/>
      <c r="E49" s="6"/>
      <c r="F49" s="6"/>
      <c r="G49" s="6" t="str">
        <f t="shared" si="1"/>
        <v/>
      </c>
      <c r="H49" s="6"/>
      <c r="I49" s="6"/>
      <c r="J49" s="6">
        <v>1742</v>
      </c>
      <c r="K49" s="6">
        <f t="shared" si="2"/>
        <v>-1.0789324247586607</v>
      </c>
      <c r="L49" s="6"/>
      <c r="M49" s="6"/>
      <c r="N49" s="6">
        <v>645.51</v>
      </c>
      <c r="O49" s="6">
        <f t="shared" si="3"/>
        <v>0</v>
      </c>
      <c r="P49" s="6"/>
      <c r="Q49" s="6"/>
      <c r="R49" s="6"/>
      <c r="S49" s="6" t="str">
        <f t="shared" si="4"/>
        <v/>
      </c>
      <c r="T49" s="6"/>
      <c r="U49" s="6"/>
      <c r="V49" s="6">
        <v>1.5</v>
      </c>
      <c r="W49" s="6">
        <f t="shared" si="5"/>
        <v>-1.3157894736842146</v>
      </c>
      <c r="X49" s="6"/>
      <c r="Y49" s="6"/>
      <c r="Z49" s="6"/>
      <c r="AA49" s="6" t="str">
        <f t="shared" si="6"/>
        <v/>
      </c>
      <c r="AB49" s="6"/>
      <c r="AC49" s="6"/>
    </row>
    <row r="50" spans="1:29" x14ac:dyDescent="0.2">
      <c r="A50" t="s">
        <v>134</v>
      </c>
      <c r="B50" s="6">
        <v>227.35</v>
      </c>
      <c r="C50" s="6">
        <f t="shared" si="0"/>
        <v>15.546859117706857</v>
      </c>
      <c r="D50" s="6"/>
      <c r="E50" s="6"/>
      <c r="F50" s="6"/>
      <c r="G50" s="6" t="str">
        <f t="shared" si="1"/>
        <v/>
      </c>
      <c r="H50" s="6"/>
      <c r="I50" s="6"/>
      <c r="J50" s="6">
        <v>1741</v>
      </c>
      <c r="K50" s="6">
        <f t="shared" si="2"/>
        <v>-1.1357183418512218</v>
      </c>
      <c r="L50" s="6"/>
      <c r="M50" s="6"/>
      <c r="N50" s="6">
        <v>645.51</v>
      </c>
      <c r="O50" s="6">
        <f t="shared" si="3"/>
        <v>-6.811672730088203E-2</v>
      </c>
      <c r="P50" s="6"/>
      <c r="Q50" s="6"/>
      <c r="R50" s="6"/>
      <c r="S50" s="6" t="str">
        <f t="shared" si="4"/>
        <v/>
      </c>
      <c r="T50" s="6"/>
      <c r="U50" s="6"/>
      <c r="V50" s="6">
        <v>1.5</v>
      </c>
      <c r="W50" s="6">
        <f t="shared" si="5"/>
        <v>-1.3157894736842146</v>
      </c>
      <c r="X50" s="6"/>
      <c r="Y50" s="6"/>
      <c r="Z50" s="6"/>
      <c r="AA50" s="6" t="str">
        <f t="shared" si="6"/>
        <v/>
      </c>
      <c r="AB50" s="6"/>
      <c r="AC50" s="6"/>
    </row>
    <row r="51" spans="1:29" x14ac:dyDescent="0.2">
      <c r="A51" t="s">
        <v>135</v>
      </c>
      <c r="B51" s="6">
        <v>230.11</v>
      </c>
      <c r="C51" s="6">
        <f t="shared" si="0"/>
        <v>10.597904450639239</v>
      </c>
      <c r="D51" s="6"/>
      <c r="E51" s="6"/>
      <c r="F51" s="6"/>
      <c r="G51" s="6" t="str">
        <f t="shared" si="1"/>
        <v/>
      </c>
      <c r="H51" s="6"/>
      <c r="I51" s="6"/>
      <c r="J51" s="6">
        <v>1742</v>
      </c>
      <c r="K51" s="6">
        <f t="shared" si="2"/>
        <v>-1.0789324247586607</v>
      </c>
      <c r="L51" s="6"/>
      <c r="M51" s="6"/>
      <c r="N51" s="6">
        <v>645.73</v>
      </c>
      <c r="O51" s="6">
        <f t="shared" si="3"/>
        <v>3.4081578906608456E-2</v>
      </c>
      <c r="P51" s="6"/>
      <c r="Q51" s="6"/>
      <c r="R51" s="6"/>
      <c r="S51" s="6" t="str">
        <f t="shared" si="4"/>
        <v/>
      </c>
      <c r="T51" s="6"/>
      <c r="U51" s="6"/>
      <c r="V51" s="6">
        <v>1.5</v>
      </c>
      <c r="W51" s="6">
        <f t="shared" si="5"/>
        <v>-1.3157894736842146</v>
      </c>
      <c r="X51" s="6"/>
      <c r="Y51" s="6"/>
      <c r="Z51" s="6"/>
      <c r="AA51" s="6" t="str">
        <f t="shared" si="6"/>
        <v/>
      </c>
      <c r="AB51" s="6"/>
      <c r="AC51" s="6"/>
    </row>
    <row r="52" spans="1:29" x14ac:dyDescent="0.2">
      <c r="A52" t="s">
        <v>136</v>
      </c>
      <c r="B52" s="6">
        <v>231.76</v>
      </c>
      <c r="C52" s="6">
        <f t="shared" si="0"/>
        <v>9.9326439616734596</v>
      </c>
      <c r="D52" s="6"/>
      <c r="E52" s="6"/>
      <c r="F52" s="6"/>
      <c r="G52" s="6" t="str">
        <f t="shared" si="1"/>
        <v/>
      </c>
      <c r="H52" s="6"/>
      <c r="I52" s="6"/>
      <c r="J52" s="6">
        <v>1742</v>
      </c>
      <c r="K52" s="6">
        <f t="shared" si="2"/>
        <v>-1.0789324247586607</v>
      </c>
      <c r="L52" s="6"/>
      <c r="M52" s="6"/>
      <c r="N52" s="6">
        <v>650.14</v>
      </c>
      <c r="O52" s="6">
        <f t="shared" si="3"/>
        <v>0.68294798135442036</v>
      </c>
      <c r="P52" s="6"/>
      <c r="Q52" s="6"/>
      <c r="R52" s="6"/>
      <c r="S52" s="6" t="str">
        <f t="shared" si="4"/>
        <v/>
      </c>
      <c r="T52" s="6"/>
      <c r="U52" s="6"/>
      <c r="V52" s="6">
        <v>1.5</v>
      </c>
      <c r="W52" s="6">
        <f t="shared" si="5"/>
        <v>-1.3157894736842146</v>
      </c>
      <c r="X52" s="6"/>
      <c r="Y52" s="6"/>
      <c r="Z52" s="6"/>
      <c r="AA52" s="6" t="str">
        <f t="shared" si="6"/>
        <v/>
      </c>
      <c r="AB52" s="6"/>
      <c r="AC52" s="6"/>
    </row>
    <row r="53" spans="1:29" x14ac:dyDescent="0.2">
      <c r="A53" t="s">
        <v>137</v>
      </c>
      <c r="B53" s="6">
        <v>232.86</v>
      </c>
      <c r="C53" s="6">
        <f t="shared" si="0"/>
        <v>6.9587984015433424</v>
      </c>
      <c r="D53" s="6"/>
      <c r="E53" s="6"/>
      <c r="F53" s="6"/>
      <c r="G53" s="6" t="str">
        <f t="shared" si="1"/>
        <v/>
      </c>
      <c r="H53" s="6"/>
      <c r="I53" s="6"/>
      <c r="J53" s="6">
        <v>1741</v>
      </c>
      <c r="K53" s="6">
        <f t="shared" si="2"/>
        <v>0</v>
      </c>
      <c r="L53" s="6"/>
      <c r="M53" s="6"/>
      <c r="N53" s="6">
        <v>655.65</v>
      </c>
      <c r="O53" s="6">
        <f t="shared" si="3"/>
        <v>1.5708509550587779</v>
      </c>
      <c r="P53" s="6"/>
      <c r="Q53" s="6"/>
      <c r="R53" s="6"/>
      <c r="S53" s="6" t="str">
        <f t="shared" si="4"/>
        <v/>
      </c>
      <c r="T53" s="6"/>
      <c r="U53" s="6"/>
      <c r="V53" s="6">
        <v>1.45</v>
      </c>
      <c r="W53" s="6">
        <f t="shared" si="5"/>
        <v>-3.3333333333333326</v>
      </c>
      <c r="X53" s="6"/>
      <c r="Y53" s="6"/>
      <c r="Z53" s="6"/>
      <c r="AA53" s="6" t="str">
        <f t="shared" si="6"/>
        <v/>
      </c>
      <c r="AB53" s="6"/>
      <c r="AC53" s="6"/>
    </row>
    <row r="54" spans="1:29" x14ac:dyDescent="0.2">
      <c r="A54" t="s">
        <v>138</v>
      </c>
      <c r="B54" s="6">
        <v>232.59</v>
      </c>
      <c r="C54" s="6">
        <f t="shared" si="0"/>
        <v>6.8347802122088908</v>
      </c>
      <c r="D54" s="6"/>
      <c r="E54" s="6"/>
      <c r="F54" s="6"/>
      <c r="G54" s="6" t="str">
        <f t="shared" si="1"/>
        <v/>
      </c>
      <c r="H54" s="6"/>
      <c r="I54" s="6"/>
      <c r="J54" s="6">
        <v>1742</v>
      </c>
      <c r="K54" s="6">
        <f t="shared" si="2"/>
        <v>0</v>
      </c>
      <c r="L54" s="6"/>
      <c r="M54" s="6"/>
      <c r="N54" s="6">
        <v>693.79</v>
      </c>
      <c r="O54" s="6">
        <f t="shared" si="3"/>
        <v>7.4793574073213298</v>
      </c>
      <c r="P54" s="6"/>
      <c r="Q54" s="6"/>
      <c r="R54" s="6"/>
      <c r="S54" s="6" t="str">
        <f t="shared" si="4"/>
        <v/>
      </c>
      <c r="T54" s="6"/>
      <c r="U54" s="6"/>
      <c r="V54" s="6">
        <v>1.45</v>
      </c>
      <c r="W54" s="6">
        <f t="shared" si="5"/>
        <v>-3.3333333333333326</v>
      </c>
      <c r="X54" s="6"/>
      <c r="Y54" s="6"/>
      <c r="Z54" s="6"/>
      <c r="AA54" s="6" t="str">
        <f t="shared" si="6"/>
        <v/>
      </c>
      <c r="AB54" s="6"/>
      <c r="AC54" s="6"/>
    </row>
    <row r="55" spans="1:29" x14ac:dyDescent="0.2">
      <c r="A55" t="s">
        <v>139</v>
      </c>
      <c r="B55" s="6">
        <v>232.86</v>
      </c>
      <c r="C55" s="6">
        <f t="shared" si="0"/>
        <v>6.9587984015433424</v>
      </c>
      <c r="D55" s="6"/>
      <c r="E55" s="6"/>
      <c r="F55" s="6"/>
      <c r="G55" s="6" t="str">
        <f t="shared" si="1"/>
        <v/>
      </c>
      <c r="H55" s="6"/>
      <c r="I55" s="6"/>
      <c r="J55" s="6">
        <v>1742</v>
      </c>
      <c r="K55" s="6">
        <f t="shared" si="2"/>
        <v>0</v>
      </c>
      <c r="L55" s="6"/>
      <c r="M55" s="6"/>
      <c r="N55" s="6">
        <v>745.16</v>
      </c>
      <c r="O55" s="6">
        <f t="shared" si="3"/>
        <v>15.437406082012672</v>
      </c>
      <c r="P55" s="6"/>
      <c r="Q55" s="6"/>
      <c r="R55" s="6"/>
      <c r="S55" s="6" t="str">
        <f t="shared" si="4"/>
        <v/>
      </c>
      <c r="T55" s="6"/>
      <c r="U55" s="6"/>
      <c r="V55" s="6">
        <v>1.45</v>
      </c>
      <c r="W55" s="6">
        <f t="shared" si="5"/>
        <v>-3.3333333333333326</v>
      </c>
      <c r="X55" s="6"/>
      <c r="Y55" s="6"/>
      <c r="Z55" s="6"/>
      <c r="AA55" s="6" t="str">
        <f t="shared" si="6"/>
        <v/>
      </c>
      <c r="AB55" s="6"/>
      <c r="AC55" s="6"/>
    </row>
    <row r="56" spans="1:29" x14ac:dyDescent="0.2">
      <c r="A56" t="s">
        <v>140</v>
      </c>
      <c r="B56" s="6">
        <v>232.86</v>
      </c>
      <c r="C56" s="6">
        <f t="shared" si="0"/>
        <v>6.9587984015433424</v>
      </c>
      <c r="D56" s="6"/>
      <c r="E56" s="6"/>
      <c r="F56" s="6"/>
      <c r="G56" s="6" t="str">
        <f t="shared" si="1"/>
        <v/>
      </c>
      <c r="H56" s="6"/>
      <c r="I56" s="6"/>
      <c r="J56" s="6">
        <v>1741</v>
      </c>
      <c r="K56" s="6">
        <f t="shared" si="2"/>
        <v>0</v>
      </c>
      <c r="L56" s="6"/>
      <c r="M56" s="6"/>
      <c r="N56" s="6">
        <v>861.56</v>
      </c>
      <c r="O56" s="6">
        <f t="shared" si="3"/>
        <v>33.424186579530122</v>
      </c>
      <c r="P56" s="6"/>
      <c r="Q56" s="6"/>
      <c r="R56" s="6"/>
      <c r="S56" s="6" t="str">
        <f t="shared" si="4"/>
        <v/>
      </c>
      <c r="T56" s="6"/>
      <c r="U56" s="6"/>
      <c r="V56" s="6">
        <v>1.45</v>
      </c>
      <c r="W56" s="6">
        <f t="shared" si="5"/>
        <v>-3.3333333333333326</v>
      </c>
      <c r="X56" s="6"/>
      <c r="Y56" s="6"/>
      <c r="Z56" s="6"/>
      <c r="AA56" s="6" t="str">
        <f t="shared" si="6"/>
        <v/>
      </c>
      <c r="AB56" s="6"/>
      <c r="AC56" s="6"/>
    </row>
    <row r="57" spans="1:29" x14ac:dyDescent="0.2">
      <c r="A57" t="s">
        <v>141</v>
      </c>
      <c r="B57" s="6">
        <v>232.86</v>
      </c>
      <c r="C57" s="6">
        <f t="shared" si="0"/>
        <v>6.9587984015433424</v>
      </c>
      <c r="D57" s="6"/>
      <c r="E57" s="6"/>
      <c r="F57" s="6"/>
      <c r="G57" s="6" t="str">
        <f t="shared" si="1"/>
        <v/>
      </c>
      <c r="H57" s="6"/>
      <c r="I57" s="6"/>
      <c r="J57" s="6">
        <v>1742</v>
      </c>
      <c r="K57" s="6">
        <f t="shared" si="2"/>
        <v>0</v>
      </c>
      <c r="L57" s="6"/>
      <c r="M57" s="6"/>
      <c r="N57" s="6">
        <v>828.28</v>
      </c>
      <c r="O57" s="6">
        <f t="shared" si="3"/>
        <v>28.31404625799756</v>
      </c>
      <c r="P57" s="6"/>
      <c r="Q57" s="6"/>
      <c r="R57" s="6"/>
      <c r="S57" s="6" t="str">
        <f t="shared" si="4"/>
        <v/>
      </c>
      <c r="T57" s="6"/>
      <c r="U57" s="6"/>
      <c r="V57" s="6">
        <v>1.45</v>
      </c>
      <c r="W57" s="6">
        <f t="shared" si="5"/>
        <v>-3.3333333333333326</v>
      </c>
      <c r="X57" s="6"/>
      <c r="Y57" s="6"/>
      <c r="Z57" s="6"/>
      <c r="AA57" s="6" t="str">
        <f t="shared" si="6"/>
        <v/>
      </c>
      <c r="AB57" s="6"/>
      <c r="AC57" s="6"/>
    </row>
    <row r="58" spans="1:29" x14ac:dyDescent="0.2">
      <c r="A58" t="s">
        <v>142</v>
      </c>
      <c r="B58" s="6">
        <v>233.96</v>
      </c>
      <c r="C58" s="6">
        <f t="shared" si="0"/>
        <v>6.3889773088990909</v>
      </c>
      <c r="D58" s="6"/>
      <c r="E58" s="6"/>
      <c r="F58" s="6"/>
      <c r="G58" s="6" t="str">
        <f t="shared" si="1"/>
        <v/>
      </c>
      <c r="H58" s="6"/>
      <c r="I58" s="6"/>
      <c r="J58" s="6">
        <v>1742</v>
      </c>
      <c r="K58" s="6">
        <f t="shared" si="2"/>
        <v>0</v>
      </c>
      <c r="L58" s="6"/>
      <c r="M58" s="6"/>
      <c r="N58" s="6">
        <v>808.43</v>
      </c>
      <c r="O58" s="6">
        <f t="shared" si="3"/>
        <v>25.196289470831456</v>
      </c>
      <c r="P58" s="6"/>
      <c r="Q58" s="6"/>
      <c r="R58" s="6"/>
      <c r="S58" s="6" t="str">
        <f t="shared" si="4"/>
        <v/>
      </c>
      <c r="T58" s="6"/>
      <c r="U58" s="6"/>
      <c r="V58" s="6">
        <v>1.45</v>
      </c>
      <c r="W58" s="6">
        <f t="shared" si="5"/>
        <v>-3.3333333333333326</v>
      </c>
      <c r="X58" s="6"/>
      <c r="Y58" s="6"/>
      <c r="Z58" s="6"/>
      <c r="AA58" s="6" t="str">
        <f t="shared" si="6"/>
        <v/>
      </c>
      <c r="AB58" s="6"/>
      <c r="AC58" s="6"/>
    </row>
    <row r="59" spans="1:29" x14ac:dyDescent="0.2">
      <c r="A59" t="s">
        <v>143</v>
      </c>
      <c r="B59" s="6">
        <v>235.34</v>
      </c>
      <c r="C59" s="6">
        <f t="shared" si="0"/>
        <v>6.0854670032455926</v>
      </c>
      <c r="D59" s="6"/>
      <c r="E59" s="6"/>
      <c r="F59" s="6"/>
      <c r="G59" s="6" t="str">
        <f t="shared" si="1"/>
        <v/>
      </c>
      <c r="H59" s="6"/>
      <c r="I59" s="6"/>
      <c r="J59" s="6">
        <v>1741</v>
      </c>
      <c r="K59" s="6">
        <f t="shared" si="2"/>
        <v>0</v>
      </c>
      <c r="L59" s="6"/>
      <c r="M59" s="6"/>
      <c r="N59" s="6">
        <v>854.95</v>
      </c>
      <c r="O59" s="6">
        <f t="shared" si="3"/>
        <v>32.445663119084145</v>
      </c>
      <c r="P59" s="6"/>
      <c r="Q59" s="6"/>
      <c r="R59" s="6"/>
      <c r="S59" s="6" t="str">
        <f t="shared" si="4"/>
        <v/>
      </c>
      <c r="T59" s="6"/>
      <c r="U59" s="6"/>
      <c r="V59" s="6">
        <v>1.45</v>
      </c>
      <c r="W59" s="6">
        <f t="shared" si="5"/>
        <v>-3.3333333333333326</v>
      </c>
      <c r="X59" s="6"/>
      <c r="Y59" s="6"/>
      <c r="Z59" s="6"/>
      <c r="AA59" s="6" t="str">
        <f t="shared" si="6"/>
        <v/>
      </c>
      <c r="AB59" s="6"/>
      <c r="AC59" s="6"/>
    </row>
    <row r="60" spans="1:29" x14ac:dyDescent="0.2">
      <c r="A60" t="s">
        <v>144</v>
      </c>
      <c r="B60" s="6">
        <v>235.62</v>
      </c>
      <c r="C60" s="6">
        <f t="shared" si="0"/>
        <v>4.9065004452359728</v>
      </c>
      <c r="D60" s="6"/>
      <c r="E60" s="6"/>
      <c r="F60" s="6"/>
      <c r="G60" s="6" t="str">
        <f t="shared" si="1"/>
        <v/>
      </c>
      <c r="H60" s="6"/>
      <c r="I60" s="6"/>
      <c r="J60" s="6">
        <v>1742</v>
      </c>
      <c r="K60" s="6">
        <f t="shared" si="2"/>
        <v>0</v>
      </c>
      <c r="L60" s="6"/>
      <c r="M60" s="6"/>
      <c r="N60" s="6">
        <v>999.33</v>
      </c>
      <c r="O60" s="6">
        <f t="shared" si="3"/>
        <v>54.812473857879816</v>
      </c>
      <c r="P60" s="6"/>
      <c r="Q60" s="6"/>
      <c r="R60" s="6"/>
      <c r="S60" s="6" t="str">
        <f t="shared" si="4"/>
        <v/>
      </c>
      <c r="T60" s="6"/>
      <c r="U60" s="6"/>
      <c r="V60" s="6">
        <v>1.45</v>
      </c>
      <c r="W60" s="6">
        <f t="shared" si="5"/>
        <v>-3.3333333333333326</v>
      </c>
      <c r="X60" s="6"/>
      <c r="Y60" s="6"/>
      <c r="Z60" s="6"/>
      <c r="AA60" s="6" t="str">
        <f t="shared" si="6"/>
        <v/>
      </c>
      <c r="AB60" s="6"/>
      <c r="AC60" s="6"/>
    </row>
    <row r="61" spans="1:29" x14ac:dyDescent="0.2">
      <c r="A61" t="s">
        <v>145</v>
      </c>
      <c r="B61" s="6">
        <v>237.55</v>
      </c>
      <c r="C61" s="6">
        <f t="shared" si="0"/>
        <v>5.7658058771148823</v>
      </c>
      <c r="D61" s="6"/>
      <c r="E61" s="6"/>
      <c r="F61" s="6"/>
      <c r="G61" s="6" t="str">
        <f t="shared" si="1"/>
        <v/>
      </c>
      <c r="H61" s="6"/>
      <c r="I61" s="6"/>
      <c r="J61" s="6">
        <v>1742</v>
      </c>
      <c r="K61" s="6">
        <f t="shared" si="2"/>
        <v>0</v>
      </c>
      <c r="L61" s="6"/>
      <c r="M61" s="6"/>
      <c r="N61" s="6">
        <v>1162.05</v>
      </c>
      <c r="O61" s="6">
        <f t="shared" si="3"/>
        <v>80.020448947343951</v>
      </c>
      <c r="P61" s="6"/>
      <c r="Q61" s="6"/>
      <c r="R61" s="6"/>
      <c r="S61" s="6" t="str">
        <f t="shared" si="4"/>
        <v/>
      </c>
      <c r="T61" s="6"/>
      <c r="U61" s="6"/>
      <c r="V61" s="6">
        <v>1.45</v>
      </c>
      <c r="W61" s="6">
        <f t="shared" si="5"/>
        <v>-3.3333333333333326</v>
      </c>
      <c r="X61" s="6"/>
      <c r="Y61" s="6"/>
      <c r="Z61" s="6"/>
      <c r="AA61" s="6" t="str">
        <f t="shared" si="6"/>
        <v/>
      </c>
      <c r="AB61" s="6"/>
      <c r="AC61" s="6"/>
    </row>
    <row r="62" spans="1:29" x14ac:dyDescent="0.2">
      <c r="A62" t="s">
        <v>146</v>
      </c>
      <c r="B62" s="6">
        <v>250.77</v>
      </c>
      <c r="C62" s="6">
        <f t="shared" si="0"/>
        <v>10.301297558830003</v>
      </c>
      <c r="D62" s="6"/>
      <c r="E62" s="6"/>
      <c r="F62" s="6"/>
      <c r="G62" s="6" t="str">
        <f t="shared" si="1"/>
        <v/>
      </c>
      <c r="H62" s="6"/>
      <c r="I62" s="6"/>
      <c r="J62" s="6">
        <v>1741</v>
      </c>
      <c r="K62" s="6">
        <f t="shared" si="2"/>
        <v>0</v>
      </c>
      <c r="L62" s="6"/>
      <c r="M62" s="6"/>
      <c r="N62" s="6">
        <v>1358.27</v>
      </c>
      <c r="O62" s="6">
        <f t="shared" si="3"/>
        <v>110.4181190066769</v>
      </c>
      <c r="P62" s="6"/>
      <c r="Q62" s="6"/>
      <c r="R62" s="6"/>
      <c r="S62" s="6" t="str">
        <f t="shared" si="4"/>
        <v/>
      </c>
      <c r="T62" s="6"/>
      <c r="U62" s="6"/>
      <c r="V62" s="6">
        <v>1.45</v>
      </c>
      <c r="W62" s="6">
        <f t="shared" si="5"/>
        <v>-3.3333333333333326</v>
      </c>
      <c r="X62" s="6"/>
      <c r="Y62" s="6"/>
      <c r="Z62" s="6"/>
      <c r="AA62" s="6" t="str">
        <f t="shared" si="6"/>
        <v/>
      </c>
      <c r="AB62" s="6"/>
      <c r="AC62" s="6"/>
    </row>
    <row r="63" spans="1:29" x14ac:dyDescent="0.2">
      <c r="A63" t="s">
        <v>147</v>
      </c>
      <c r="B63" s="6">
        <v>254.91</v>
      </c>
      <c r="C63" s="6">
        <f t="shared" si="0"/>
        <v>10.777454261005603</v>
      </c>
      <c r="D63" s="6"/>
      <c r="E63" s="6"/>
      <c r="F63" s="6"/>
      <c r="G63" s="6" t="str">
        <f t="shared" si="1"/>
        <v/>
      </c>
      <c r="H63" s="6"/>
      <c r="I63" s="6"/>
      <c r="J63" s="6">
        <v>1742</v>
      </c>
      <c r="K63" s="6">
        <f t="shared" si="2"/>
        <v>0</v>
      </c>
      <c r="L63" s="6"/>
      <c r="M63" s="6"/>
      <c r="N63" s="6">
        <v>1400.37</v>
      </c>
      <c r="O63" s="6">
        <f t="shared" si="3"/>
        <v>116.86618246016134</v>
      </c>
      <c r="P63" s="6"/>
      <c r="Q63" s="6"/>
      <c r="R63" s="6"/>
      <c r="S63" s="6" t="str">
        <f t="shared" si="4"/>
        <v/>
      </c>
      <c r="T63" s="6"/>
      <c r="U63" s="6"/>
      <c r="V63" s="6">
        <v>1.45</v>
      </c>
      <c r="W63" s="6">
        <f t="shared" si="5"/>
        <v>-3.3333333333333326</v>
      </c>
      <c r="X63" s="6"/>
      <c r="Y63" s="6"/>
      <c r="Z63" s="6"/>
      <c r="AA63" s="6" t="str">
        <f t="shared" si="6"/>
        <v/>
      </c>
      <c r="AB63" s="6"/>
      <c r="AC63" s="6"/>
    </row>
    <row r="64" spans="1:29" x14ac:dyDescent="0.2">
      <c r="A64" t="s">
        <v>148</v>
      </c>
      <c r="B64" s="6">
        <v>261.25</v>
      </c>
      <c r="C64" s="6">
        <f t="shared" si="0"/>
        <v>12.724370037970312</v>
      </c>
      <c r="D64" s="6"/>
      <c r="E64" s="6"/>
      <c r="F64" s="6"/>
      <c r="G64" s="6" t="str">
        <f t="shared" si="1"/>
        <v/>
      </c>
      <c r="H64" s="6"/>
      <c r="I64" s="6"/>
      <c r="J64" s="6">
        <v>1742</v>
      </c>
      <c r="K64" s="6">
        <f t="shared" si="2"/>
        <v>0</v>
      </c>
      <c r="L64" s="6"/>
      <c r="M64" s="6"/>
      <c r="N64" s="6">
        <v>1269.2</v>
      </c>
      <c r="O64" s="6">
        <f t="shared" si="3"/>
        <v>95.219491186513693</v>
      </c>
      <c r="P64" s="6"/>
      <c r="Q64" s="6"/>
      <c r="R64" s="6"/>
      <c r="S64" s="6" t="str">
        <f t="shared" si="4"/>
        <v/>
      </c>
      <c r="T64" s="6"/>
      <c r="U64" s="6"/>
      <c r="V64" s="6">
        <v>1.45</v>
      </c>
      <c r="W64" s="6">
        <f t="shared" si="5"/>
        <v>-3.3333333333333326</v>
      </c>
      <c r="X64" s="6"/>
      <c r="Y64" s="6"/>
      <c r="Z64" s="6"/>
      <c r="AA64" s="6" t="str">
        <f t="shared" si="6"/>
        <v/>
      </c>
      <c r="AB64" s="6"/>
      <c r="AC64" s="6"/>
    </row>
    <row r="65" spans="1:29" x14ac:dyDescent="0.2">
      <c r="A65" t="s">
        <v>149</v>
      </c>
      <c r="B65" s="6">
        <v>266.20999999999998</v>
      </c>
      <c r="C65" s="6">
        <f t="shared" si="0"/>
        <v>14.321910160611505</v>
      </c>
      <c r="D65" s="6">
        <f t="shared" ref="D65:D128" si="7">IF(COUNT(C17:C64)&lt;48,"",AVERAGE(C17:C64))</f>
        <v>1.8366702983008427</v>
      </c>
      <c r="E65" s="6">
        <f t="shared" ref="E65:E128" si="8">IF(OR(C65="",D65=""),"",C65-D65)</f>
        <v>12.485239862310662</v>
      </c>
      <c r="F65" s="6"/>
      <c r="G65" s="6" t="str">
        <f t="shared" si="1"/>
        <v/>
      </c>
      <c r="H65" s="6" t="str">
        <f t="shared" ref="H65:H128" si="9">IF(COUNT(G17:G64)&lt;48,"",AVERAGE(G17:G64))</f>
        <v/>
      </c>
      <c r="I65" s="6" t="str">
        <f t="shared" ref="I65:I128" si="10">IF(OR(G65="",H65=""),"",G65-H65)</f>
        <v/>
      </c>
      <c r="J65" s="6">
        <v>1735</v>
      </c>
      <c r="K65" s="6">
        <f t="shared" si="2"/>
        <v>-0.3446295232624963</v>
      </c>
      <c r="L65" s="6">
        <f t="shared" ref="L65:L128" si="11">IF(COUNT(K17:K64)&lt;48,"",AVERAGE(K17:K64))</f>
        <v>1.6823432235716946</v>
      </c>
      <c r="M65" s="6">
        <f t="shared" ref="M65:M128" si="12">IF(OR(K65="",L65=""),"",K65-L65)</f>
        <v>-2.0269727468341907</v>
      </c>
      <c r="N65" s="6">
        <v>1000.68</v>
      </c>
      <c r="O65" s="6">
        <f t="shared" si="3"/>
        <v>52.624113475177303</v>
      </c>
      <c r="P65" s="6">
        <f t="shared" ref="P65:P128" si="13">IF(COUNT(O17:O64)&lt;48,"",AVERAGE(O17:O64))</f>
        <v>11.434296303130465</v>
      </c>
      <c r="Q65" s="6">
        <f t="shared" ref="Q65:Q128" si="14">IF(OR(O65="",P65=""),"",O65-P65)</f>
        <v>41.189817172046837</v>
      </c>
      <c r="R65" s="6"/>
      <c r="S65" s="6" t="str">
        <f t="shared" si="4"/>
        <v/>
      </c>
      <c r="T65" s="6" t="str">
        <f t="shared" ref="T65:T128" si="15">IF(COUNT(S17:S64)&lt;48,"",AVERAGE(S17:S64))</f>
        <v/>
      </c>
      <c r="U65" s="6" t="str">
        <f t="shared" ref="U65:U128" si="16">IF(OR(S65="",T65=""),"",S65-T65)</f>
        <v/>
      </c>
      <c r="V65" s="6">
        <v>1.42</v>
      </c>
      <c r="W65" s="6">
        <f t="shared" si="5"/>
        <v>-2.0689655172413834</v>
      </c>
      <c r="X65" s="6">
        <f t="shared" ref="X65:X128" si="17">IF(COUNT(W17:W64)&lt;48,"",AVERAGE(W17:W64))</f>
        <v>-2.8787044444764365</v>
      </c>
      <c r="Y65" s="6">
        <f t="shared" ref="Y65:Y128" si="18">IF(OR(W65="",X65=""),"",W65-X65)</f>
        <v>0.80973892723505303</v>
      </c>
      <c r="Z65" s="6"/>
      <c r="AA65" s="6" t="str">
        <f t="shared" si="6"/>
        <v/>
      </c>
      <c r="AB65" s="6" t="str">
        <f t="shared" ref="AB65:AB128" si="19">IF(COUNT(AA17:AA64)&lt;48,"",AVERAGE(AA17:AA64))</f>
        <v/>
      </c>
      <c r="AC65" s="6" t="str">
        <f t="shared" ref="AC65:AC128" si="20">IF(OR(AA65="",AB65=""),"",AA65-AB65)</f>
        <v/>
      </c>
    </row>
    <row r="66" spans="1:29" x14ac:dyDescent="0.2">
      <c r="A66" t="s">
        <v>150</v>
      </c>
      <c r="B66" s="6">
        <v>283.02</v>
      </c>
      <c r="C66" s="6">
        <f t="shared" si="0"/>
        <v>21.68192957564812</v>
      </c>
      <c r="D66" s="6">
        <f t="shared" si="7"/>
        <v>2.2244568744294622</v>
      </c>
      <c r="E66" s="6">
        <f t="shared" si="8"/>
        <v>19.457472701218656</v>
      </c>
      <c r="F66" s="6"/>
      <c r="G66" s="6" t="str">
        <f t="shared" si="1"/>
        <v/>
      </c>
      <c r="H66" s="6" t="str">
        <f t="shared" si="9"/>
        <v/>
      </c>
      <c r="I66" s="6" t="str">
        <f t="shared" si="10"/>
        <v/>
      </c>
      <c r="J66" s="6">
        <v>1735</v>
      </c>
      <c r="K66" s="6">
        <f t="shared" si="2"/>
        <v>-0.40183696900114585</v>
      </c>
      <c r="L66" s="6">
        <f t="shared" si="11"/>
        <v>1.572976644371292</v>
      </c>
      <c r="M66" s="6">
        <f t="shared" si="12"/>
        <v>-1.9748136133724379</v>
      </c>
      <c r="N66" s="6">
        <v>1179.9100000000001</v>
      </c>
      <c r="O66" s="6">
        <f t="shared" si="3"/>
        <v>70.067311434295704</v>
      </c>
      <c r="P66" s="6">
        <f t="shared" si="13"/>
        <v>12.847150731309975</v>
      </c>
      <c r="Q66" s="6">
        <f t="shared" si="14"/>
        <v>57.22016070298573</v>
      </c>
      <c r="R66" s="6"/>
      <c r="S66" s="6" t="str">
        <f t="shared" si="4"/>
        <v/>
      </c>
      <c r="T66" s="6" t="str">
        <f t="shared" si="15"/>
        <v/>
      </c>
      <c r="U66" s="6" t="str">
        <f t="shared" si="16"/>
        <v/>
      </c>
      <c r="V66" s="6">
        <v>1.42</v>
      </c>
      <c r="W66" s="6">
        <f t="shared" si="5"/>
        <v>-2.0689655172413834</v>
      </c>
      <c r="X66" s="6">
        <f t="shared" si="17"/>
        <v>-2.8451207761878812</v>
      </c>
      <c r="Y66" s="6">
        <f t="shared" si="18"/>
        <v>0.77615525894649773</v>
      </c>
      <c r="Z66" s="6"/>
      <c r="AA66" s="6" t="str">
        <f t="shared" si="6"/>
        <v/>
      </c>
      <c r="AB66" s="6" t="str">
        <f t="shared" si="19"/>
        <v/>
      </c>
      <c r="AC66" s="6" t="str">
        <f t="shared" si="20"/>
        <v/>
      </c>
    </row>
    <row r="67" spans="1:29" x14ac:dyDescent="0.2">
      <c r="A67" t="s">
        <v>151</v>
      </c>
      <c r="B67" s="6">
        <v>292.11</v>
      </c>
      <c r="C67" s="6">
        <f t="shared" si="0"/>
        <v>25.444473073950014</v>
      </c>
      <c r="D67" s="6">
        <f t="shared" si="7"/>
        <v>2.6852612660618695</v>
      </c>
      <c r="E67" s="6">
        <f t="shared" si="8"/>
        <v>22.759211807888146</v>
      </c>
      <c r="F67" s="6"/>
      <c r="G67" s="6" t="str">
        <f t="shared" si="1"/>
        <v/>
      </c>
      <c r="H67" s="6" t="str">
        <f t="shared" si="9"/>
        <v/>
      </c>
      <c r="I67" s="6" t="str">
        <f t="shared" si="10"/>
        <v/>
      </c>
      <c r="J67" s="6">
        <v>1735</v>
      </c>
      <c r="K67" s="6">
        <f t="shared" si="2"/>
        <v>-0.40183696900114585</v>
      </c>
      <c r="L67" s="6">
        <f t="shared" si="11"/>
        <v>1.4624182433846675</v>
      </c>
      <c r="M67" s="6">
        <f t="shared" si="12"/>
        <v>-1.8642552123858134</v>
      </c>
      <c r="N67" s="6">
        <v>1237.23</v>
      </c>
      <c r="O67" s="6">
        <f t="shared" si="3"/>
        <v>66.035482312523499</v>
      </c>
      <c r="P67" s="6">
        <f t="shared" si="13"/>
        <v>14.626056749237408</v>
      </c>
      <c r="Q67" s="6">
        <f t="shared" si="14"/>
        <v>51.409425563286092</v>
      </c>
      <c r="R67" s="6"/>
      <c r="S67" s="6" t="str">
        <f t="shared" si="4"/>
        <v/>
      </c>
      <c r="T67" s="6" t="str">
        <f t="shared" si="15"/>
        <v/>
      </c>
      <c r="U67" s="6" t="str">
        <f t="shared" si="16"/>
        <v/>
      </c>
      <c r="V67" s="6">
        <v>1.42</v>
      </c>
      <c r="W67" s="6">
        <f t="shared" si="5"/>
        <v>-2.0689655172413834</v>
      </c>
      <c r="X67" s="6">
        <f t="shared" si="17"/>
        <v>-2.8115371078993263</v>
      </c>
      <c r="Y67" s="6">
        <f t="shared" si="18"/>
        <v>0.74257159065794287</v>
      </c>
      <c r="Z67" s="6"/>
      <c r="AA67" s="6" t="str">
        <f t="shared" si="6"/>
        <v/>
      </c>
      <c r="AB67" s="6" t="str">
        <f t="shared" si="19"/>
        <v/>
      </c>
      <c r="AC67" s="6" t="str">
        <f t="shared" si="20"/>
        <v/>
      </c>
    </row>
    <row r="68" spans="1:29" x14ac:dyDescent="0.2">
      <c r="A68" t="s">
        <v>152</v>
      </c>
      <c r="B68" s="6">
        <v>297.62</v>
      </c>
      <c r="C68" s="6">
        <f t="shared" si="0"/>
        <v>27.810701709181473</v>
      </c>
      <c r="D68" s="6">
        <f t="shared" si="7"/>
        <v>3.159798899546939</v>
      </c>
      <c r="E68" s="6">
        <f t="shared" si="8"/>
        <v>24.650902809634534</v>
      </c>
      <c r="F68" s="6"/>
      <c r="G68" s="6" t="str">
        <f t="shared" si="1"/>
        <v/>
      </c>
      <c r="H68" s="6" t="str">
        <f t="shared" si="9"/>
        <v/>
      </c>
      <c r="I68" s="6" t="str">
        <f t="shared" si="10"/>
        <v/>
      </c>
      <c r="J68" s="6">
        <v>1735</v>
      </c>
      <c r="K68" s="6">
        <f t="shared" si="2"/>
        <v>-0.3446295232624963</v>
      </c>
      <c r="L68" s="6">
        <f t="shared" si="11"/>
        <v>1.351859842398043</v>
      </c>
      <c r="M68" s="6">
        <f t="shared" si="12"/>
        <v>-1.6964893656605393</v>
      </c>
      <c r="N68" s="6">
        <v>1348.34</v>
      </c>
      <c r="O68" s="6">
        <f t="shared" si="3"/>
        <v>56.499837504062398</v>
      </c>
      <c r="P68" s="6">
        <f t="shared" si="13"/>
        <v>16.195486895647431</v>
      </c>
      <c r="Q68" s="6">
        <f t="shared" si="14"/>
        <v>40.304350608414964</v>
      </c>
      <c r="R68" s="6"/>
      <c r="S68" s="6" t="str">
        <f t="shared" si="4"/>
        <v/>
      </c>
      <c r="T68" s="6" t="str">
        <f t="shared" si="15"/>
        <v/>
      </c>
      <c r="U68" s="6" t="str">
        <f t="shared" si="16"/>
        <v/>
      </c>
      <c r="V68" s="6">
        <v>1.42</v>
      </c>
      <c r="W68" s="6">
        <f t="shared" si="5"/>
        <v>-2.0689655172413834</v>
      </c>
      <c r="X68" s="6">
        <f t="shared" si="17"/>
        <v>-2.7779534396107715</v>
      </c>
      <c r="Y68" s="6">
        <f t="shared" si="18"/>
        <v>0.70898792236938801</v>
      </c>
      <c r="Z68" s="6"/>
      <c r="AA68" s="6" t="str">
        <f t="shared" si="6"/>
        <v/>
      </c>
      <c r="AB68" s="6" t="str">
        <f t="shared" si="19"/>
        <v/>
      </c>
      <c r="AC68" s="6" t="str">
        <f t="shared" si="20"/>
        <v/>
      </c>
    </row>
    <row r="69" spans="1:29" x14ac:dyDescent="0.2">
      <c r="A69" t="s">
        <v>153</v>
      </c>
      <c r="B69" s="6">
        <v>303.13</v>
      </c>
      <c r="C69" s="6">
        <f t="shared" si="0"/>
        <v>30.176930344412934</v>
      </c>
      <c r="D69" s="6">
        <f t="shared" si="7"/>
        <v>3.6651144444141459</v>
      </c>
      <c r="E69" s="6">
        <f t="shared" si="8"/>
        <v>26.511815899998787</v>
      </c>
      <c r="F69" s="6"/>
      <c r="G69" s="6" t="str">
        <f t="shared" si="1"/>
        <v/>
      </c>
      <c r="H69" s="6" t="str">
        <f t="shared" si="9"/>
        <v/>
      </c>
      <c r="I69" s="6" t="str">
        <f t="shared" si="10"/>
        <v/>
      </c>
      <c r="J69" s="6">
        <v>1735</v>
      </c>
      <c r="K69" s="6">
        <f t="shared" si="2"/>
        <v>-0.40183696900114585</v>
      </c>
      <c r="L69" s="6">
        <f t="shared" si="11"/>
        <v>1.2424932631976406</v>
      </c>
      <c r="M69" s="6">
        <f t="shared" si="12"/>
        <v>-1.6443302321987865</v>
      </c>
      <c r="N69" s="6">
        <v>1378.55</v>
      </c>
      <c r="O69" s="6">
        <f t="shared" si="3"/>
        <v>66.43526343748492</v>
      </c>
      <c r="P69" s="6">
        <f t="shared" si="13"/>
        <v>17.635522456672106</v>
      </c>
      <c r="Q69" s="6">
        <f t="shared" si="14"/>
        <v>48.799740980812814</v>
      </c>
      <c r="R69" s="6"/>
      <c r="S69" s="6" t="str">
        <f t="shared" si="4"/>
        <v/>
      </c>
      <c r="T69" s="6" t="str">
        <f t="shared" si="15"/>
        <v/>
      </c>
      <c r="U69" s="6" t="str">
        <f t="shared" si="16"/>
        <v/>
      </c>
      <c r="V69" s="6">
        <v>1.42</v>
      </c>
      <c r="W69" s="6">
        <f t="shared" si="5"/>
        <v>-2.0689655172413834</v>
      </c>
      <c r="X69" s="6">
        <f t="shared" si="17"/>
        <v>-2.7443697713222162</v>
      </c>
      <c r="Y69" s="6">
        <f t="shared" si="18"/>
        <v>0.67540425408083271</v>
      </c>
      <c r="Z69" s="6"/>
      <c r="AA69" s="6" t="str">
        <f t="shared" si="6"/>
        <v/>
      </c>
      <c r="AB69" s="6" t="str">
        <f t="shared" si="19"/>
        <v/>
      </c>
      <c r="AC69" s="6" t="str">
        <f t="shared" si="20"/>
        <v/>
      </c>
    </row>
    <row r="70" spans="1:29" x14ac:dyDescent="0.2">
      <c r="A70" t="s">
        <v>154</v>
      </c>
      <c r="B70" s="6">
        <v>294.87</v>
      </c>
      <c r="C70" s="6">
        <f t="shared" si="0"/>
        <v>26.034364848692082</v>
      </c>
      <c r="D70" s="6">
        <f t="shared" si="7"/>
        <v>4.2104671599227483</v>
      </c>
      <c r="E70" s="6">
        <f t="shared" si="8"/>
        <v>21.823897688769335</v>
      </c>
      <c r="F70" s="6"/>
      <c r="G70" s="6" t="str">
        <f t="shared" si="1"/>
        <v/>
      </c>
      <c r="H70" s="6" t="str">
        <f t="shared" si="9"/>
        <v/>
      </c>
      <c r="I70" s="6" t="str">
        <f t="shared" si="10"/>
        <v/>
      </c>
      <c r="J70" s="6">
        <v>1735</v>
      </c>
      <c r="K70" s="6">
        <f t="shared" si="2"/>
        <v>-0.40183696900114585</v>
      </c>
      <c r="L70" s="6">
        <f t="shared" si="11"/>
        <v>1.1319348622110161</v>
      </c>
      <c r="M70" s="6">
        <f t="shared" si="12"/>
        <v>-1.533771831212162</v>
      </c>
      <c r="N70" s="6">
        <v>1308.8800000000001</v>
      </c>
      <c r="O70" s="6">
        <f t="shared" si="3"/>
        <v>61.903937261111075</v>
      </c>
      <c r="P70" s="6">
        <f t="shared" si="13"/>
        <v>19.069213178310715</v>
      </c>
      <c r="Q70" s="6">
        <f t="shared" si="14"/>
        <v>42.834724082800363</v>
      </c>
      <c r="R70" s="6"/>
      <c r="S70" s="6" t="str">
        <f t="shared" si="4"/>
        <v/>
      </c>
      <c r="T70" s="6" t="str">
        <f t="shared" si="15"/>
        <v/>
      </c>
      <c r="U70" s="6" t="str">
        <f t="shared" si="16"/>
        <v/>
      </c>
      <c r="V70" s="6">
        <v>1.42</v>
      </c>
      <c r="W70" s="6">
        <f t="shared" si="5"/>
        <v>-2.0689655172413834</v>
      </c>
      <c r="X70" s="6">
        <f t="shared" si="17"/>
        <v>-2.7107861030336609</v>
      </c>
      <c r="Y70" s="6">
        <f t="shared" si="18"/>
        <v>0.64182058579227741</v>
      </c>
      <c r="Z70" s="6"/>
      <c r="AA70" s="6" t="str">
        <f t="shared" si="6"/>
        <v/>
      </c>
      <c r="AB70" s="6" t="str">
        <f t="shared" si="19"/>
        <v/>
      </c>
      <c r="AC70" s="6" t="str">
        <f t="shared" si="20"/>
        <v/>
      </c>
    </row>
    <row r="71" spans="1:29" x14ac:dyDescent="0.2">
      <c r="A71" t="s">
        <v>155</v>
      </c>
      <c r="B71" s="6">
        <v>279.99</v>
      </c>
      <c r="C71" s="6">
        <f t="shared" si="0"/>
        <v>18.972550352681239</v>
      </c>
      <c r="D71" s="6">
        <f t="shared" si="7"/>
        <v>4.6196686346053557</v>
      </c>
      <c r="E71" s="6">
        <f t="shared" si="8"/>
        <v>14.352881718075883</v>
      </c>
      <c r="F71" s="6"/>
      <c r="G71" s="6" t="str">
        <f t="shared" si="1"/>
        <v/>
      </c>
      <c r="H71" s="6" t="str">
        <f t="shared" si="9"/>
        <v/>
      </c>
      <c r="I71" s="6" t="str">
        <f t="shared" si="10"/>
        <v/>
      </c>
      <c r="J71" s="6">
        <v>1735</v>
      </c>
      <c r="K71" s="6">
        <f t="shared" si="2"/>
        <v>-0.3446295232624963</v>
      </c>
      <c r="L71" s="6">
        <f t="shared" si="11"/>
        <v>1.0213764612243912</v>
      </c>
      <c r="M71" s="6">
        <f t="shared" si="12"/>
        <v>-1.3660059844868875</v>
      </c>
      <c r="N71" s="6">
        <v>1134.06</v>
      </c>
      <c r="O71" s="6">
        <f t="shared" si="3"/>
        <v>32.646353587929113</v>
      </c>
      <c r="P71" s="6">
        <f t="shared" si="13"/>
        <v>20.477777259221245</v>
      </c>
      <c r="Q71" s="6">
        <f t="shared" si="14"/>
        <v>12.168576328707868</v>
      </c>
      <c r="R71" s="6"/>
      <c r="S71" s="6" t="str">
        <f t="shared" si="4"/>
        <v/>
      </c>
      <c r="T71" s="6" t="str">
        <f t="shared" si="15"/>
        <v/>
      </c>
      <c r="U71" s="6" t="str">
        <f t="shared" si="16"/>
        <v/>
      </c>
      <c r="V71" s="6">
        <v>1.42</v>
      </c>
      <c r="W71" s="6">
        <f t="shared" si="5"/>
        <v>-2.0689655172413834</v>
      </c>
      <c r="X71" s="6">
        <f t="shared" si="17"/>
        <v>-2.6772024347451056</v>
      </c>
      <c r="Y71" s="6">
        <f t="shared" si="18"/>
        <v>0.60823691750372211</v>
      </c>
      <c r="Z71" s="6"/>
      <c r="AA71" s="6" t="str">
        <f t="shared" si="6"/>
        <v/>
      </c>
      <c r="AB71" s="6" t="str">
        <f t="shared" si="19"/>
        <v/>
      </c>
      <c r="AC71" s="6" t="str">
        <f t="shared" si="20"/>
        <v/>
      </c>
    </row>
    <row r="72" spans="1:29" x14ac:dyDescent="0.2">
      <c r="A72" t="s">
        <v>156</v>
      </c>
      <c r="B72" s="6">
        <v>257.66000000000003</v>
      </c>
      <c r="C72" s="6">
        <f t="shared" si="0"/>
        <v>9.3540446481622972</v>
      </c>
      <c r="D72" s="6">
        <f t="shared" si="7"/>
        <v>4.9395153189890806</v>
      </c>
      <c r="E72" s="6">
        <f t="shared" si="8"/>
        <v>4.4145293291732166</v>
      </c>
      <c r="F72" s="6"/>
      <c r="G72" s="6" t="str">
        <f t="shared" si="1"/>
        <v/>
      </c>
      <c r="H72" s="6" t="str">
        <f t="shared" si="9"/>
        <v/>
      </c>
      <c r="I72" s="6" t="str">
        <f t="shared" si="10"/>
        <v/>
      </c>
      <c r="J72" s="6">
        <v>1735</v>
      </c>
      <c r="K72" s="6">
        <f t="shared" si="2"/>
        <v>-0.40183696900114585</v>
      </c>
      <c r="L72" s="6">
        <f t="shared" si="11"/>
        <v>0.91200988202398847</v>
      </c>
      <c r="M72" s="6">
        <f t="shared" si="12"/>
        <v>-1.3138468510251342</v>
      </c>
      <c r="N72" s="6">
        <v>1209.9000000000001</v>
      </c>
      <c r="O72" s="6">
        <f t="shared" si="3"/>
        <v>21.071117648824721</v>
      </c>
      <c r="P72" s="6">
        <f t="shared" si="13"/>
        <v>21.362568006308141</v>
      </c>
      <c r="Q72" s="6">
        <f t="shared" si="14"/>
        <v>-0.29145035748341996</v>
      </c>
      <c r="R72" s="6"/>
      <c r="S72" s="6" t="str">
        <f t="shared" si="4"/>
        <v/>
      </c>
      <c r="T72" s="6" t="str">
        <f t="shared" si="15"/>
        <v/>
      </c>
      <c r="U72" s="6" t="str">
        <f t="shared" si="16"/>
        <v/>
      </c>
      <c r="V72" s="6">
        <v>1.42</v>
      </c>
      <c r="W72" s="6">
        <f t="shared" si="5"/>
        <v>-2.0689655172413834</v>
      </c>
      <c r="X72" s="6">
        <f t="shared" si="17"/>
        <v>-2.6436187664565503</v>
      </c>
      <c r="Y72" s="6">
        <f t="shared" si="18"/>
        <v>0.57465324921516681</v>
      </c>
      <c r="Z72" s="6"/>
      <c r="AA72" s="6" t="str">
        <f t="shared" si="6"/>
        <v/>
      </c>
      <c r="AB72" s="6" t="str">
        <f t="shared" si="19"/>
        <v/>
      </c>
      <c r="AC72" s="6" t="str">
        <f t="shared" si="20"/>
        <v/>
      </c>
    </row>
    <row r="73" spans="1:29" x14ac:dyDescent="0.2">
      <c r="A73" t="s">
        <v>157</v>
      </c>
      <c r="B73" s="6">
        <v>246.64</v>
      </c>
      <c r="C73" s="6">
        <f t="shared" si="0"/>
        <v>3.8265628288781217</v>
      </c>
      <c r="D73" s="6">
        <f t="shared" si="7"/>
        <v>5.1251319898998693</v>
      </c>
      <c r="E73" s="6">
        <f t="shared" si="8"/>
        <v>-1.2985691610217476</v>
      </c>
      <c r="F73" s="6"/>
      <c r="G73" s="6" t="str">
        <f t="shared" si="1"/>
        <v/>
      </c>
      <c r="H73" s="6" t="str">
        <f t="shared" si="9"/>
        <v/>
      </c>
      <c r="I73" s="6" t="str">
        <f t="shared" si="10"/>
        <v/>
      </c>
      <c r="J73" s="6">
        <v>1735</v>
      </c>
      <c r="K73" s="6">
        <f t="shared" si="2"/>
        <v>-0.40183696900114585</v>
      </c>
      <c r="L73" s="6">
        <f t="shared" si="11"/>
        <v>0.80145148103736386</v>
      </c>
      <c r="M73" s="6">
        <f t="shared" si="12"/>
        <v>-1.2032884500385097</v>
      </c>
      <c r="N73" s="6">
        <v>1327.84</v>
      </c>
      <c r="O73" s="6">
        <f t="shared" si="3"/>
        <v>14.267028096897727</v>
      </c>
      <c r="P73" s="6">
        <f t="shared" si="13"/>
        <v>21.923201200561902</v>
      </c>
      <c r="Q73" s="6">
        <f t="shared" si="14"/>
        <v>-7.6561731036641749</v>
      </c>
      <c r="R73" s="6"/>
      <c r="S73" s="6" t="str">
        <f t="shared" si="4"/>
        <v/>
      </c>
      <c r="T73" s="6" t="str">
        <f t="shared" si="15"/>
        <v/>
      </c>
      <c r="U73" s="6" t="str">
        <f t="shared" si="16"/>
        <v/>
      </c>
      <c r="V73" s="6">
        <v>1.42</v>
      </c>
      <c r="W73" s="6">
        <f t="shared" si="5"/>
        <v>-2.0689655172413834</v>
      </c>
      <c r="X73" s="6">
        <f t="shared" si="17"/>
        <v>-2.6100350981679949</v>
      </c>
      <c r="Y73" s="6">
        <f t="shared" si="18"/>
        <v>0.5410695809266115</v>
      </c>
      <c r="Z73" s="6"/>
      <c r="AA73" s="6" t="str">
        <f t="shared" si="6"/>
        <v/>
      </c>
      <c r="AB73" s="6" t="str">
        <f t="shared" si="19"/>
        <v/>
      </c>
      <c r="AC73" s="6" t="str">
        <f t="shared" si="20"/>
        <v/>
      </c>
    </row>
    <row r="74" spans="1:29" x14ac:dyDescent="0.2">
      <c r="A74" t="s">
        <v>158</v>
      </c>
      <c r="B74" s="6">
        <v>250.22</v>
      </c>
      <c r="C74" s="6">
        <f t="shared" si="0"/>
        <v>-0.21932448059975851</v>
      </c>
      <c r="D74" s="6">
        <f t="shared" si="7"/>
        <v>5.1862508583586395</v>
      </c>
      <c r="E74" s="6">
        <f t="shared" si="8"/>
        <v>-5.405575338958398</v>
      </c>
      <c r="F74" s="6"/>
      <c r="G74" s="6" t="str">
        <f t="shared" si="1"/>
        <v/>
      </c>
      <c r="H74" s="6" t="str">
        <f t="shared" si="9"/>
        <v/>
      </c>
      <c r="I74" s="6" t="str">
        <f t="shared" si="10"/>
        <v/>
      </c>
      <c r="J74" s="6">
        <v>1735</v>
      </c>
      <c r="K74" s="6">
        <f t="shared" si="2"/>
        <v>-0.3446295232624963</v>
      </c>
      <c r="L74" s="6">
        <f t="shared" si="11"/>
        <v>0.69089308005073924</v>
      </c>
      <c r="M74" s="6">
        <f t="shared" si="12"/>
        <v>-1.0355226033132356</v>
      </c>
      <c r="N74" s="6">
        <v>1401.92</v>
      </c>
      <c r="O74" s="6">
        <f t="shared" si="3"/>
        <v>3.2136467712605032</v>
      </c>
      <c r="P74" s="6">
        <f t="shared" si="13"/>
        <v>22.266601323179927</v>
      </c>
      <c r="Q74" s="6">
        <f t="shared" si="14"/>
        <v>-19.052954551919424</v>
      </c>
      <c r="R74" s="6"/>
      <c r="S74" s="6" t="str">
        <f t="shared" si="4"/>
        <v/>
      </c>
      <c r="T74" s="6" t="str">
        <f t="shared" si="15"/>
        <v/>
      </c>
      <c r="U74" s="6" t="str">
        <f t="shared" si="16"/>
        <v/>
      </c>
      <c r="V74" s="6">
        <v>1.42</v>
      </c>
      <c r="W74" s="6">
        <f t="shared" si="5"/>
        <v>-2.0689655172413834</v>
      </c>
      <c r="X74" s="6">
        <f t="shared" si="17"/>
        <v>-2.5764514298794396</v>
      </c>
      <c r="Y74" s="6">
        <f t="shared" si="18"/>
        <v>0.5074859126380562</v>
      </c>
      <c r="Z74" s="6"/>
      <c r="AA74" s="6" t="str">
        <f t="shared" si="6"/>
        <v/>
      </c>
      <c r="AB74" s="6" t="str">
        <f t="shared" si="19"/>
        <v/>
      </c>
      <c r="AC74" s="6" t="str">
        <f t="shared" si="20"/>
        <v/>
      </c>
    </row>
    <row r="75" spans="1:29" x14ac:dyDescent="0.2">
      <c r="A75" t="s">
        <v>159</v>
      </c>
      <c r="B75" s="6">
        <v>250.22</v>
      </c>
      <c r="C75" s="6">
        <f t="shared" si="0"/>
        <v>-1.8398650504099501</v>
      </c>
      <c r="D75" s="6">
        <f t="shared" si="7"/>
        <v>5.144144060808606</v>
      </c>
      <c r="E75" s="6">
        <f t="shared" si="8"/>
        <v>-6.9840091112185565</v>
      </c>
      <c r="F75" s="6"/>
      <c r="G75" s="6" t="str">
        <f t="shared" si="1"/>
        <v/>
      </c>
      <c r="H75" s="6" t="str">
        <f t="shared" si="9"/>
        <v/>
      </c>
      <c r="I75" s="6" t="str">
        <f t="shared" si="10"/>
        <v/>
      </c>
      <c r="J75" s="6">
        <v>1735</v>
      </c>
      <c r="K75" s="6">
        <f t="shared" si="2"/>
        <v>-0.40183696900114585</v>
      </c>
      <c r="L75" s="6">
        <f t="shared" si="11"/>
        <v>0.58152650085033641</v>
      </c>
      <c r="M75" s="6">
        <f t="shared" si="12"/>
        <v>-0.98336346985148226</v>
      </c>
      <c r="N75" s="6">
        <v>1469.16</v>
      </c>
      <c r="O75" s="6">
        <f t="shared" si="3"/>
        <v>4.9122731849439827</v>
      </c>
      <c r="P75" s="6">
        <f t="shared" si="13"/>
        <v>22.273567966957355</v>
      </c>
      <c r="Q75" s="6">
        <f t="shared" si="14"/>
        <v>-17.361294782013374</v>
      </c>
      <c r="R75" s="6"/>
      <c r="S75" s="6" t="str">
        <f t="shared" si="4"/>
        <v/>
      </c>
      <c r="T75" s="6" t="str">
        <f t="shared" si="15"/>
        <v/>
      </c>
      <c r="U75" s="6" t="str">
        <f t="shared" si="16"/>
        <v/>
      </c>
      <c r="V75" s="6">
        <v>1.42</v>
      </c>
      <c r="W75" s="6">
        <f t="shared" si="5"/>
        <v>-2.0689655172413834</v>
      </c>
      <c r="X75" s="6">
        <f t="shared" si="17"/>
        <v>-2.5428677615908848</v>
      </c>
      <c r="Y75" s="6">
        <f t="shared" si="18"/>
        <v>0.47390224434950134</v>
      </c>
      <c r="Z75" s="6"/>
      <c r="AA75" s="6" t="str">
        <f t="shared" si="6"/>
        <v/>
      </c>
      <c r="AB75" s="6" t="str">
        <f t="shared" si="19"/>
        <v/>
      </c>
      <c r="AC75" s="6" t="str">
        <f t="shared" si="20"/>
        <v/>
      </c>
    </row>
    <row r="76" spans="1:29" x14ac:dyDescent="0.2">
      <c r="A76" t="s">
        <v>160</v>
      </c>
      <c r="B76" s="6">
        <v>248.57</v>
      </c>
      <c r="C76" s="6">
        <f t="shared" si="0"/>
        <v>-4.8535885167464095</v>
      </c>
      <c r="D76" s="6">
        <f t="shared" si="7"/>
        <v>5.0682760013875283</v>
      </c>
      <c r="E76" s="6">
        <f t="shared" si="8"/>
        <v>-9.9218645181339369</v>
      </c>
      <c r="F76" s="6"/>
      <c r="G76" s="6" t="str">
        <f t="shared" si="1"/>
        <v/>
      </c>
      <c r="H76" s="6" t="str">
        <f t="shared" si="9"/>
        <v/>
      </c>
      <c r="I76" s="6" t="str">
        <f t="shared" si="10"/>
        <v/>
      </c>
      <c r="J76" s="6">
        <v>1735</v>
      </c>
      <c r="K76" s="6">
        <f t="shared" si="2"/>
        <v>-0.40183696900114585</v>
      </c>
      <c r="L76" s="6">
        <f t="shared" si="11"/>
        <v>0.47096809986371174</v>
      </c>
      <c r="M76" s="6">
        <f t="shared" si="12"/>
        <v>-0.87280506886485765</v>
      </c>
      <c r="N76" s="6">
        <v>1517.66</v>
      </c>
      <c r="O76" s="6">
        <f t="shared" si="3"/>
        <v>19.576110936022694</v>
      </c>
      <c r="P76" s="6">
        <f t="shared" si="13"/>
        <v>22.407864435359652</v>
      </c>
      <c r="Q76" s="6">
        <f t="shared" si="14"/>
        <v>-2.8317534993369584</v>
      </c>
      <c r="R76" s="6"/>
      <c r="S76" s="6" t="str">
        <f t="shared" si="4"/>
        <v/>
      </c>
      <c r="T76" s="6" t="str">
        <f t="shared" si="15"/>
        <v/>
      </c>
      <c r="U76" s="6" t="str">
        <f t="shared" si="16"/>
        <v/>
      </c>
      <c r="V76" s="6">
        <v>1.42</v>
      </c>
      <c r="W76" s="6">
        <f t="shared" si="5"/>
        <v>-2.0689655172413834</v>
      </c>
      <c r="X76" s="6">
        <f t="shared" si="17"/>
        <v>-2.5092840933023299</v>
      </c>
      <c r="Y76" s="6">
        <f t="shared" si="18"/>
        <v>0.44031857606094649</v>
      </c>
      <c r="Z76" s="6"/>
      <c r="AA76" s="6" t="str">
        <f t="shared" si="6"/>
        <v/>
      </c>
      <c r="AB76" s="6" t="str">
        <f t="shared" si="19"/>
        <v/>
      </c>
      <c r="AC76" s="6" t="str">
        <f t="shared" si="20"/>
        <v/>
      </c>
    </row>
    <row r="77" spans="1:29" x14ac:dyDescent="0.2">
      <c r="A77" t="s">
        <v>161</v>
      </c>
      <c r="B77" s="6">
        <v>246.92</v>
      </c>
      <c r="C77" s="6">
        <f t="shared" si="0"/>
        <v>-7.2461590473686162</v>
      </c>
      <c r="D77" s="6">
        <f t="shared" si="7"/>
        <v>4.9391326681257155</v>
      </c>
      <c r="E77" s="6">
        <f t="shared" si="8"/>
        <v>-12.185291715494332</v>
      </c>
      <c r="F77" s="6"/>
      <c r="G77" s="6" t="str">
        <f t="shared" si="1"/>
        <v/>
      </c>
      <c r="H77" s="6" t="str">
        <f t="shared" si="9"/>
        <v/>
      </c>
      <c r="I77" s="6" t="str">
        <f t="shared" si="10"/>
        <v/>
      </c>
      <c r="J77" s="6">
        <v>1739</v>
      </c>
      <c r="K77" s="6">
        <f t="shared" si="2"/>
        <v>0.2305475504322807</v>
      </c>
      <c r="L77" s="6">
        <f t="shared" si="11"/>
        <v>0.3604096988770869</v>
      </c>
      <c r="M77" s="6">
        <f t="shared" si="12"/>
        <v>-0.1298621484448062</v>
      </c>
      <c r="N77" s="6">
        <v>1679.04</v>
      </c>
      <c r="O77" s="6">
        <f t="shared" si="3"/>
        <v>67.789902866051094</v>
      </c>
      <c r="P77" s="6">
        <f t="shared" si="13"/>
        <v>22.822438342199646</v>
      </c>
      <c r="Q77" s="6">
        <f t="shared" si="14"/>
        <v>44.967464523851447</v>
      </c>
      <c r="R77" s="6"/>
      <c r="S77" s="6" t="str">
        <f t="shared" si="4"/>
        <v/>
      </c>
      <c r="T77" s="6" t="str">
        <f t="shared" si="15"/>
        <v/>
      </c>
      <c r="U77" s="6" t="str">
        <f t="shared" si="16"/>
        <v/>
      </c>
      <c r="V77" s="6">
        <v>1.36</v>
      </c>
      <c r="W77" s="6">
        <f t="shared" si="5"/>
        <v>-4.2253521126760401</v>
      </c>
      <c r="X77" s="6">
        <f t="shared" si="17"/>
        <v>-2.4757004250137755</v>
      </c>
      <c r="Y77" s="6">
        <f t="shared" si="18"/>
        <v>-1.7496516876622645</v>
      </c>
      <c r="Z77" s="6"/>
      <c r="AA77" s="6" t="str">
        <f t="shared" si="6"/>
        <v/>
      </c>
      <c r="AB77" s="6" t="str">
        <f t="shared" si="19"/>
        <v/>
      </c>
      <c r="AC77" s="6" t="str">
        <f t="shared" si="20"/>
        <v/>
      </c>
    </row>
    <row r="78" spans="1:29" x14ac:dyDescent="0.2">
      <c r="A78" t="s">
        <v>162</v>
      </c>
      <c r="B78" s="6">
        <v>248.02</v>
      </c>
      <c r="C78" s="6">
        <f t="shared" si="0"/>
        <v>-12.36661720019786</v>
      </c>
      <c r="D78" s="6">
        <f t="shared" si="7"/>
        <v>4.6677487492577034</v>
      </c>
      <c r="E78" s="6">
        <f t="shared" si="8"/>
        <v>-17.034365949455562</v>
      </c>
      <c r="F78" s="6"/>
      <c r="G78" s="6" t="str">
        <f t="shared" si="1"/>
        <v/>
      </c>
      <c r="H78" s="6" t="str">
        <f t="shared" si="9"/>
        <v/>
      </c>
      <c r="I78" s="6" t="str">
        <f t="shared" si="10"/>
        <v/>
      </c>
      <c r="J78" s="6">
        <v>1739</v>
      </c>
      <c r="K78" s="6">
        <f t="shared" si="2"/>
        <v>0.2305475504322807</v>
      </c>
      <c r="L78" s="6">
        <f t="shared" si="11"/>
        <v>0.30433219618360402</v>
      </c>
      <c r="M78" s="6">
        <f t="shared" si="12"/>
        <v>-7.3784645751323319E-2</v>
      </c>
      <c r="N78" s="6">
        <v>1874.37</v>
      </c>
      <c r="O78" s="6">
        <f t="shared" si="3"/>
        <v>58.857031468501809</v>
      </c>
      <c r="P78" s="6">
        <f t="shared" si="13"/>
        <v>24.136314685093492</v>
      </c>
      <c r="Q78" s="6">
        <f t="shared" si="14"/>
        <v>34.720716783408321</v>
      </c>
      <c r="R78" s="6"/>
      <c r="S78" s="6" t="str">
        <f t="shared" si="4"/>
        <v/>
      </c>
      <c r="T78" s="6" t="str">
        <f t="shared" si="15"/>
        <v/>
      </c>
      <c r="U78" s="6" t="str">
        <f t="shared" si="16"/>
        <v/>
      </c>
      <c r="V78" s="6">
        <v>1.36</v>
      </c>
      <c r="W78" s="6">
        <f t="shared" si="5"/>
        <v>-4.2253521126760401</v>
      </c>
      <c r="X78" s="6">
        <f t="shared" si="17"/>
        <v>-2.4973803986987724</v>
      </c>
      <c r="Y78" s="6">
        <f t="shared" si="18"/>
        <v>-1.7279717139772677</v>
      </c>
      <c r="Z78" s="6"/>
      <c r="AA78" s="6" t="str">
        <f t="shared" si="6"/>
        <v/>
      </c>
      <c r="AB78" s="6" t="str">
        <f t="shared" si="19"/>
        <v/>
      </c>
      <c r="AC78" s="6" t="str">
        <f t="shared" si="20"/>
        <v/>
      </c>
    </row>
    <row r="79" spans="1:29" x14ac:dyDescent="0.2">
      <c r="A79" t="s">
        <v>163</v>
      </c>
      <c r="B79" s="6">
        <v>245.26</v>
      </c>
      <c r="C79" s="6">
        <f t="shared" si="0"/>
        <v>-16.038478655301091</v>
      </c>
      <c r="D79" s="6">
        <f t="shared" si="7"/>
        <v>4.3278740488149845</v>
      </c>
      <c r="E79" s="6">
        <f t="shared" si="8"/>
        <v>-20.366352704116075</v>
      </c>
      <c r="F79" s="6"/>
      <c r="G79" s="6" t="str">
        <f t="shared" si="1"/>
        <v/>
      </c>
      <c r="H79" s="6" t="str">
        <f t="shared" si="9"/>
        <v/>
      </c>
      <c r="I79" s="6" t="str">
        <f t="shared" si="10"/>
        <v/>
      </c>
      <c r="J79" s="6">
        <v>1739</v>
      </c>
      <c r="K79" s="6">
        <f t="shared" si="2"/>
        <v>0.2305475504322807</v>
      </c>
      <c r="L79" s="6">
        <f t="shared" si="11"/>
        <v>0.24825469349012122</v>
      </c>
      <c r="M79" s="6">
        <f t="shared" si="12"/>
        <v>-1.7707143057840519E-2</v>
      </c>
      <c r="N79" s="6">
        <v>1874.81</v>
      </c>
      <c r="O79" s="6">
        <f t="shared" si="3"/>
        <v>51.532859694640429</v>
      </c>
      <c r="P79" s="6">
        <f t="shared" si="13"/>
        <v>25.256719523841412</v>
      </c>
      <c r="Q79" s="6">
        <f t="shared" si="14"/>
        <v>26.276140170799017</v>
      </c>
      <c r="R79" s="6"/>
      <c r="S79" s="6" t="str">
        <f t="shared" si="4"/>
        <v/>
      </c>
      <c r="T79" s="6" t="str">
        <f t="shared" si="15"/>
        <v/>
      </c>
      <c r="U79" s="6" t="str">
        <f t="shared" si="16"/>
        <v/>
      </c>
      <c r="V79" s="6">
        <v>1.36</v>
      </c>
      <c r="W79" s="6">
        <f t="shared" si="5"/>
        <v>-4.2253521126760401</v>
      </c>
      <c r="X79" s="6">
        <f t="shared" si="17"/>
        <v>-2.5190603723837697</v>
      </c>
      <c r="Y79" s="6">
        <f t="shared" si="18"/>
        <v>-1.7062917402922704</v>
      </c>
      <c r="Z79" s="6"/>
      <c r="AA79" s="6" t="str">
        <f t="shared" si="6"/>
        <v/>
      </c>
      <c r="AB79" s="6" t="str">
        <f t="shared" si="19"/>
        <v/>
      </c>
      <c r="AC79" s="6" t="str">
        <f t="shared" si="20"/>
        <v/>
      </c>
    </row>
    <row r="80" spans="1:29" x14ac:dyDescent="0.2">
      <c r="A80" t="s">
        <v>164</v>
      </c>
      <c r="B80" s="6">
        <v>233.69</v>
      </c>
      <c r="C80" s="6">
        <f t="shared" si="0"/>
        <v>-21.480411262683962</v>
      </c>
      <c r="D80" s="6">
        <f t="shared" si="7"/>
        <v>4.0639050219954909</v>
      </c>
      <c r="E80" s="6">
        <f t="shared" si="8"/>
        <v>-25.544316284679454</v>
      </c>
      <c r="F80" s="6"/>
      <c r="G80" s="6" t="str">
        <f t="shared" si="1"/>
        <v/>
      </c>
      <c r="H80" s="6" t="str">
        <f t="shared" si="9"/>
        <v/>
      </c>
      <c r="I80" s="6" t="str">
        <f t="shared" si="10"/>
        <v/>
      </c>
      <c r="J80" s="6">
        <v>1739</v>
      </c>
      <c r="K80" s="6">
        <f t="shared" si="2"/>
        <v>0.2305475504322807</v>
      </c>
      <c r="L80" s="6">
        <f t="shared" si="11"/>
        <v>0.19217719079663842</v>
      </c>
      <c r="M80" s="6">
        <f t="shared" si="12"/>
        <v>3.8370359635642282E-2</v>
      </c>
      <c r="N80" s="6">
        <v>1907.44</v>
      </c>
      <c r="O80" s="6">
        <f t="shared" si="3"/>
        <v>41.465802394054933</v>
      </c>
      <c r="P80" s="6">
        <f t="shared" si="13"/>
        <v>26.242327549396069</v>
      </c>
      <c r="Q80" s="6">
        <f t="shared" si="14"/>
        <v>15.223474844658863</v>
      </c>
      <c r="R80" s="6"/>
      <c r="S80" s="6" t="str">
        <f t="shared" si="4"/>
        <v/>
      </c>
      <c r="T80" s="6" t="str">
        <f t="shared" si="15"/>
        <v/>
      </c>
      <c r="U80" s="6" t="str">
        <f t="shared" si="16"/>
        <v/>
      </c>
      <c r="V80" s="6">
        <v>1.36</v>
      </c>
      <c r="W80" s="6">
        <f t="shared" si="5"/>
        <v>-4.2253521126760401</v>
      </c>
      <c r="X80" s="6">
        <f t="shared" si="17"/>
        <v>-2.540740346068767</v>
      </c>
      <c r="Y80" s="6">
        <f t="shared" si="18"/>
        <v>-1.6846117666072731</v>
      </c>
      <c r="Z80" s="6"/>
      <c r="AA80" s="6" t="str">
        <f t="shared" si="6"/>
        <v/>
      </c>
      <c r="AB80" s="6" t="str">
        <f t="shared" si="19"/>
        <v/>
      </c>
      <c r="AC80" s="6" t="str">
        <f t="shared" si="20"/>
        <v/>
      </c>
    </row>
    <row r="81" spans="1:29" x14ac:dyDescent="0.2">
      <c r="A81" t="s">
        <v>165</v>
      </c>
      <c r="B81" s="6">
        <v>225.7</v>
      </c>
      <c r="C81" s="6">
        <f t="shared" ref="C81:C144" si="21">IF(OR(B81="",B69=""),"",(B81/B69-1)*100)</f>
        <v>-25.543496189753579</v>
      </c>
      <c r="D81" s="6">
        <f t="shared" si="7"/>
        <v>3.7285209175422209</v>
      </c>
      <c r="E81" s="6">
        <f t="shared" si="8"/>
        <v>-29.272017107295799</v>
      </c>
      <c r="F81" s="6"/>
      <c r="G81" s="6" t="str">
        <f t="shared" ref="G81:G144" si="22">IF(OR(F81="",F69=""),"",(F81/F69-1)*100)</f>
        <v/>
      </c>
      <c r="H81" s="6" t="str">
        <f t="shared" si="9"/>
        <v/>
      </c>
      <c r="I81" s="6" t="str">
        <f t="shared" si="10"/>
        <v/>
      </c>
      <c r="J81" s="6">
        <v>1739</v>
      </c>
      <c r="K81" s="6">
        <f t="shared" ref="K81:K144" si="23">IF(OR(J81="",J69=""),"",(J81/J69-1)*100)</f>
        <v>0.2305475504322807</v>
      </c>
      <c r="L81" s="6">
        <f t="shared" si="11"/>
        <v>0.13609968810315562</v>
      </c>
      <c r="M81" s="6">
        <f t="shared" si="12"/>
        <v>9.4447862329125082E-2</v>
      </c>
      <c r="N81" s="6">
        <v>1663.61</v>
      </c>
      <c r="O81" s="6">
        <f t="shared" ref="O81:O144" si="24">IF(OR(N81="",N69=""),"",(N81/N69-1)*100)</f>
        <v>20.678248884697691</v>
      </c>
      <c r="P81" s="6">
        <f t="shared" si="13"/>
        <v>27.05967425981919</v>
      </c>
      <c r="Q81" s="6">
        <f t="shared" si="14"/>
        <v>-6.3814253751214984</v>
      </c>
      <c r="R81" s="6"/>
      <c r="S81" s="6" t="str">
        <f t="shared" ref="S81:S144" si="25">IF(OR(R81="",R69=""),"",(R81/R69-1)*100)</f>
        <v/>
      </c>
      <c r="T81" s="6" t="str">
        <f t="shared" si="15"/>
        <v/>
      </c>
      <c r="U81" s="6" t="str">
        <f t="shared" si="16"/>
        <v/>
      </c>
      <c r="V81" s="6">
        <v>1.36</v>
      </c>
      <c r="W81" s="6">
        <f t="shared" ref="W81:W144" si="26">IF(OR(V81="",V69=""),"",(V81/V69-1)*100)</f>
        <v>-4.2253521126760401</v>
      </c>
      <c r="X81" s="6">
        <f t="shared" si="17"/>
        <v>-2.5624203197537643</v>
      </c>
      <c r="Y81" s="6">
        <f t="shared" si="18"/>
        <v>-1.6629317929222758</v>
      </c>
      <c r="Z81" s="6"/>
      <c r="AA81" s="6" t="str">
        <f t="shared" ref="AA81:AA144" si="27">IF(OR(Z81="",Z69=""),"",(Z81/Z69-1)*100)</f>
        <v/>
      </c>
      <c r="AB81" s="6" t="str">
        <f t="shared" si="19"/>
        <v/>
      </c>
      <c r="AC81" s="6" t="str">
        <f t="shared" si="20"/>
        <v/>
      </c>
    </row>
    <row r="82" spans="1:29" x14ac:dyDescent="0.2">
      <c r="A82" t="s">
        <v>166</v>
      </c>
      <c r="B82" s="6">
        <v>225.42</v>
      </c>
      <c r="C82" s="6">
        <f t="shared" si="21"/>
        <v>-23.552752060229942</v>
      </c>
      <c r="D82" s="6">
        <f t="shared" si="7"/>
        <v>3.3291995047571135</v>
      </c>
      <c r="E82" s="6">
        <f t="shared" si="8"/>
        <v>-26.881951564987055</v>
      </c>
      <c r="F82" s="6"/>
      <c r="G82" s="6" t="str">
        <f t="shared" si="22"/>
        <v/>
      </c>
      <c r="H82" s="6" t="str">
        <f t="shared" si="9"/>
        <v/>
      </c>
      <c r="I82" s="6" t="str">
        <f t="shared" si="10"/>
        <v/>
      </c>
      <c r="J82" s="6">
        <v>1739</v>
      </c>
      <c r="K82" s="6">
        <f t="shared" si="23"/>
        <v>0.2305475504322807</v>
      </c>
      <c r="L82" s="6">
        <f t="shared" si="11"/>
        <v>8.0022185409672722E-2</v>
      </c>
      <c r="M82" s="6">
        <f t="shared" si="12"/>
        <v>0.15052536502260799</v>
      </c>
      <c r="N82" s="6">
        <v>1695.79</v>
      </c>
      <c r="O82" s="6">
        <f t="shared" si="24"/>
        <v>29.560387506876083</v>
      </c>
      <c r="P82" s="6">
        <f t="shared" si="13"/>
        <v>27.561251585523049</v>
      </c>
      <c r="Q82" s="6">
        <f t="shared" si="14"/>
        <v>1.9991359213530338</v>
      </c>
      <c r="R82" s="6"/>
      <c r="S82" s="6" t="str">
        <f t="shared" si="25"/>
        <v/>
      </c>
      <c r="T82" s="6" t="str">
        <f t="shared" si="15"/>
        <v/>
      </c>
      <c r="U82" s="6" t="str">
        <f t="shared" si="16"/>
        <v/>
      </c>
      <c r="V82" s="6">
        <v>1.36</v>
      </c>
      <c r="W82" s="6">
        <f t="shared" si="26"/>
        <v>-4.2253521126760401</v>
      </c>
      <c r="X82" s="6">
        <f t="shared" si="17"/>
        <v>-2.5841002934387616</v>
      </c>
      <c r="Y82" s="6">
        <f t="shared" si="18"/>
        <v>-1.6412518192372785</v>
      </c>
      <c r="Z82" s="6"/>
      <c r="AA82" s="6" t="str">
        <f t="shared" si="27"/>
        <v/>
      </c>
      <c r="AB82" s="6" t="str">
        <f t="shared" si="19"/>
        <v/>
      </c>
      <c r="AC82" s="6" t="str">
        <f t="shared" si="20"/>
        <v/>
      </c>
    </row>
    <row r="83" spans="1:29" x14ac:dyDescent="0.2">
      <c r="A83" t="s">
        <v>167</v>
      </c>
      <c r="B83" s="6">
        <v>235.34</v>
      </c>
      <c r="C83" s="6">
        <f t="shared" si="21"/>
        <v>-15.946998107075249</v>
      </c>
      <c r="D83" s="6">
        <f t="shared" si="7"/>
        <v>2.9875693876224934</v>
      </c>
      <c r="E83" s="6">
        <f t="shared" si="8"/>
        <v>-18.934567494697742</v>
      </c>
      <c r="F83" s="6"/>
      <c r="G83" s="6" t="str">
        <f t="shared" si="22"/>
        <v/>
      </c>
      <c r="H83" s="6" t="str">
        <f t="shared" si="9"/>
        <v/>
      </c>
      <c r="I83" s="6" t="str">
        <f t="shared" si="10"/>
        <v/>
      </c>
      <c r="J83" s="6">
        <v>1739</v>
      </c>
      <c r="K83" s="6">
        <f t="shared" si="23"/>
        <v>0.2305475504322807</v>
      </c>
      <c r="L83" s="6">
        <f t="shared" si="11"/>
        <v>2.3944682716190002E-2</v>
      </c>
      <c r="M83" s="6">
        <f t="shared" si="12"/>
        <v>0.20660286771609071</v>
      </c>
      <c r="N83" s="6">
        <v>1567.93</v>
      </c>
      <c r="O83" s="6">
        <f t="shared" si="24"/>
        <v>38.258116854487433</v>
      </c>
      <c r="P83" s="6">
        <f t="shared" si="13"/>
        <v>28.198210015368019</v>
      </c>
      <c r="Q83" s="6">
        <f t="shared" si="14"/>
        <v>10.059906839119414</v>
      </c>
      <c r="R83" s="6"/>
      <c r="S83" s="6" t="str">
        <f t="shared" si="25"/>
        <v/>
      </c>
      <c r="T83" s="6" t="str">
        <f t="shared" si="15"/>
        <v/>
      </c>
      <c r="U83" s="6" t="str">
        <f t="shared" si="16"/>
        <v/>
      </c>
      <c r="V83" s="6">
        <v>1.36</v>
      </c>
      <c r="W83" s="6">
        <f t="shared" si="26"/>
        <v>-4.2253521126760401</v>
      </c>
      <c r="X83" s="6">
        <f t="shared" si="17"/>
        <v>-2.6057802671237589</v>
      </c>
      <c r="Y83" s="6">
        <f t="shared" si="18"/>
        <v>-1.6195718455522812</v>
      </c>
      <c r="Z83" s="6"/>
      <c r="AA83" s="6" t="str">
        <f t="shared" si="27"/>
        <v/>
      </c>
      <c r="AB83" s="6" t="str">
        <f t="shared" si="19"/>
        <v/>
      </c>
      <c r="AC83" s="6" t="str">
        <f t="shared" si="20"/>
        <v/>
      </c>
    </row>
    <row r="84" spans="1:29" x14ac:dyDescent="0.2">
      <c r="A84" t="s">
        <v>168</v>
      </c>
      <c r="B84" s="6">
        <v>239.75</v>
      </c>
      <c r="C84" s="6">
        <f t="shared" si="21"/>
        <v>-6.9510207249864226</v>
      </c>
      <c r="D84" s="6">
        <f t="shared" si="7"/>
        <v>2.8031750493291683</v>
      </c>
      <c r="E84" s="6">
        <f t="shared" si="8"/>
        <v>-9.7541957743155905</v>
      </c>
      <c r="F84" s="6"/>
      <c r="G84" s="6" t="str">
        <f t="shared" si="22"/>
        <v/>
      </c>
      <c r="H84" s="6" t="str">
        <f t="shared" si="9"/>
        <v/>
      </c>
      <c r="I84" s="6" t="str">
        <f t="shared" si="10"/>
        <v/>
      </c>
      <c r="J84" s="6">
        <v>1739</v>
      </c>
      <c r="K84" s="6">
        <f t="shared" si="23"/>
        <v>0.2305475504322807</v>
      </c>
      <c r="L84" s="6">
        <f t="shared" si="11"/>
        <v>-3.2132819977292948E-2</v>
      </c>
      <c r="M84" s="6">
        <f t="shared" si="12"/>
        <v>0.26268037040957365</v>
      </c>
      <c r="N84" s="6">
        <v>1195.3399999999999</v>
      </c>
      <c r="O84" s="6">
        <f t="shared" si="24"/>
        <v>-1.2034052401025064</v>
      </c>
      <c r="P84" s="6">
        <f t="shared" si="13"/>
        <v>28.955389262305918</v>
      </c>
      <c r="Q84" s="6">
        <f t="shared" si="14"/>
        <v>-30.158794502408423</v>
      </c>
      <c r="R84" s="6"/>
      <c r="S84" s="6" t="str">
        <f t="shared" si="25"/>
        <v/>
      </c>
      <c r="T84" s="6" t="str">
        <f t="shared" si="15"/>
        <v/>
      </c>
      <c r="U84" s="6" t="str">
        <f t="shared" si="16"/>
        <v/>
      </c>
      <c r="V84" s="6">
        <v>1.36</v>
      </c>
      <c r="W84" s="6">
        <f t="shared" si="26"/>
        <v>-4.2253521126760401</v>
      </c>
      <c r="X84" s="6">
        <f t="shared" si="17"/>
        <v>-2.6274602408087562</v>
      </c>
      <c r="Y84" s="6">
        <f t="shared" si="18"/>
        <v>-1.5978918718672839</v>
      </c>
      <c r="Z84" s="6"/>
      <c r="AA84" s="6" t="str">
        <f t="shared" si="27"/>
        <v/>
      </c>
      <c r="AB84" s="6" t="str">
        <f t="shared" si="19"/>
        <v/>
      </c>
      <c r="AC84" s="6" t="str">
        <f t="shared" si="20"/>
        <v/>
      </c>
    </row>
    <row r="85" spans="1:29" x14ac:dyDescent="0.2">
      <c r="A85" t="s">
        <v>169</v>
      </c>
      <c r="B85" s="6">
        <v>239.75</v>
      </c>
      <c r="C85" s="6">
        <f t="shared" si="21"/>
        <v>-2.7935452481349321</v>
      </c>
      <c r="D85" s="6">
        <f t="shared" si="7"/>
        <v>2.8135981057592079</v>
      </c>
      <c r="E85" s="6">
        <f t="shared" si="8"/>
        <v>-5.6071433538941395</v>
      </c>
      <c r="F85" s="6"/>
      <c r="G85" s="6" t="str">
        <f t="shared" si="22"/>
        <v/>
      </c>
      <c r="H85" s="6" t="str">
        <f t="shared" si="9"/>
        <v/>
      </c>
      <c r="I85" s="6" t="str">
        <f t="shared" si="10"/>
        <v/>
      </c>
      <c r="J85" s="6">
        <v>1739</v>
      </c>
      <c r="K85" s="6">
        <f t="shared" si="23"/>
        <v>0.2305475504322807</v>
      </c>
      <c r="L85" s="6">
        <f t="shared" si="11"/>
        <v>-8.8210322670775818E-2</v>
      </c>
      <c r="M85" s="6">
        <f t="shared" si="12"/>
        <v>0.31875787310305653</v>
      </c>
      <c r="N85" s="6">
        <v>1128.32</v>
      </c>
      <c r="O85" s="6">
        <f t="shared" si="24"/>
        <v>-15.025906735751294</v>
      </c>
      <c r="P85" s="6">
        <f t="shared" si="13"/>
        <v>28.900728027514543</v>
      </c>
      <c r="Q85" s="6">
        <f t="shared" si="14"/>
        <v>-43.926634763265838</v>
      </c>
      <c r="R85" s="6"/>
      <c r="S85" s="6" t="str">
        <f t="shared" si="25"/>
        <v/>
      </c>
      <c r="T85" s="6" t="str">
        <f t="shared" si="15"/>
        <v/>
      </c>
      <c r="U85" s="6" t="str">
        <f t="shared" si="16"/>
        <v/>
      </c>
      <c r="V85" s="6">
        <v>1.36</v>
      </c>
      <c r="W85" s="6">
        <f t="shared" si="26"/>
        <v>-4.2253521126760401</v>
      </c>
      <c r="X85" s="6">
        <f t="shared" si="17"/>
        <v>-2.649140214493753</v>
      </c>
      <c r="Y85" s="6">
        <f t="shared" si="18"/>
        <v>-1.576211898182287</v>
      </c>
      <c r="Z85" s="6"/>
      <c r="AA85" s="6" t="str">
        <f t="shared" si="27"/>
        <v/>
      </c>
      <c r="AB85" s="6" t="str">
        <f t="shared" si="19"/>
        <v/>
      </c>
      <c r="AC85" s="6" t="str">
        <f t="shared" si="20"/>
        <v/>
      </c>
    </row>
    <row r="86" spans="1:29" x14ac:dyDescent="0.2">
      <c r="A86" t="s">
        <v>170</v>
      </c>
      <c r="B86" s="6">
        <v>230.93</v>
      </c>
      <c r="C86" s="6">
        <f t="shared" si="21"/>
        <v>-7.7092158900167851</v>
      </c>
      <c r="D86" s="6">
        <f t="shared" si="7"/>
        <v>2.9462178304938607</v>
      </c>
      <c r="E86" s="6">
        <f t="shared" si="8"/>
        <v>-10.655433720510645</v>
      </c>
      <c r="F86" s="6"/>
      <c r="G86" s="6" t="str">
        <f t="shared" si="22"/>
        <v/>
      </c>
      <c r="H86" s="6" t="str">
        <f t="shared" si="9"/>
        <v/>
      </c>
      <c r="I86" s="6" t="str">
        <f t="shared" si="10"/>
        <v/>
      </c>
      <c r="J86" s="6">
        <v>1739</v>
      </c>
      <c r="K86" s="6">
        <f t="shared" si="23"/>
        <v>0.2305475504322807</v>
      </c>
      <c r="L86" s="6">
        <f t="shared" si="11"/>
        <v>-0.14428782536425866</v>
      </c>
      <c r="M86" s="6">
        <f t="shared" si="12"/>
        <v>0.37483537579653936</v>
      </c>
      <c r="N86" s="6">
        <v>1275.3699999999999</v>
      </c>
      <c r="O86" s="6">
        <f t="shared" si="24"/>
        <v>-9.026905957543951</v>
      </c>
      <c r="P86" s="6">
        <f t="shared" si="13"/>
        <v>28.54557515216932</v>
      </c>
      <c r="Q86" s="6">
        <f t="shared" si="14"/>
        <v>-37.572481109713273</v>
      </c>
      <c r="R86" s="6"/>
      <c r="S86" s="6" t="str">
        <f t="shared" si="25"/>
        <v/>
      </c>
      <c r="T86" s="6" t="str">
        <f t="shared" si="15"/>
        <v/>
      </c>
      <c r="U86" s="6" t="str">
        <f t="shared" si="16"/>
        <v/>
      </c>
      <c r="V86" s="6">
        <v>1.36</v>
      </c>
      <c r="W86" s="6">
        <f t="shared" si="26"/>
        <v>-4.2253521126760401</v>
      </c>
      <c r="X86" s="6">
        <f t="shared" si="17"/>
        <v>-2.6708201881787503</v>
      </c>
      <c r="Y86" s="6">
        <f t="shared" si="18"/>
        <v>-1.5545319244972897</v>
      </c>
      <c r="Z86" s="6"/>
      <c r="AA86" s="6" t="str">
        <f t="shared" si="27"/>
        <v/>
      </c>
      <c r="AB86" s="6" t="str">
        <f t="shared" si="19"/>
        <v/>
      </c>
      <c r="AC86" s="6" t="str">
        <f t="shared" si="20"/>
        <v/>
      </c>
    </row>
    <row r="87" spans="1:29" x14ac:dyDescent="0.2">
      <c r="A87" t="s">
        <v>171</v>
      </c>
      <c r="B87" s="6">
        <v>225.97</v>
      </c>
      <c r="C87" s="6">
        <f t="shared" si="21"/>
        <v>-9.6914715050755333</v>
      </c>
      <c r="D87" s="6">
        <f t="shared" si="7"/>
        <v>3.0551519389798663</v>
      </c>
      <c r="E87" s="6">
        <f t="shared" si="8"/>
        <v>-12.7466234440554</v>
      </c>
      <c r="F87" s="6"/>
      <c r="G87" s="6" t="str">
        <f t="shared" si="22"/>
        <v/>
      </c>
      <c r="H87" s="6" t="str">
        <f t="shared" si="9"/>
        <v/>
      </c>
      <c r="I87" s="6" t="str">
        <f t="shared" si="10"/>
        <v/>
      </c>
      <c r="J87" s="6">
        <v>1739</v>
      </c>
      <c r="K87" s="6">
        <f t="shared" si="23"/>
        <v>0.2305475504322807</v>
      </c>
      <c r="L87" s="6">
        <f t="shared" si="11"/>
        <v>-0.20036532805774154</v>
      </c>
      <c r="M87" s="6">
        <f t="shared" si="12"/>
        <v>0.43091287849002224</v>
      </c>
      <c r="N87" s="6">
        <v>1301.6099999999999</v>
      </c>
      <c r="O87" s="6">
        <f t="shared" si="24"/>
        <v>-11.40447602711755</v>
      </c>
      <c r="P87" s="6">
        <f t="shared" si="13"/>
        <v>28.305786598271709</v>
      </c>
      <c r="Q87" s="6">
        <f t="shared" si="14"/>
        <v>-39.710262625389262</v>
      </c>
      <c r="R87" s="6"/>
      <c r="S87" s="6" t="str">
        <f t="shared" si="25"/>
        <v/>
      </c>
      <c r="T87" s="6" t="str">
        <f t="shared" si="15"/>
        <v/>
      </c>
      <c r="U87" s="6" t="str">
        <f t="shared" si="16"/>
        <v/>
      </c>
      <c r="V87" s="6">
        <v>1.36</v>
      </c>
      <c r="W87" s="6">
        <f t="shared" si="26"/>
        <v>-4.2253521126760401</v>
      </c>
      <c r="X87" s="6">
        <f t="shared" si="17"/>
        <v>-2.6925001618637476</v>
      </c>
      <c r="Y87" s="6">
        <f t="shared" si="18"/>
        <v>-1.5328519508122924</v>
      </c>
      <c r="Z87" s="6"/>
      <c r="AA87" s="6" t="str">
        <f t="shared" si="27"/>
        <v/>
      </c>
      <c r="AB87" s="6" t="str">
        <f t="shared" si="19"/>
        <v/>
      </c>
      <c r="AC87" s="6" t="str">
        <f t="shared" si="20"/>
        <v/>
      </c>
    </row>
    <row r="88" spans="1:29" x14ac:dyDescent="0.2">
      <c r="A88" t="s">
        <v>172</v>
      </c>
      <c r="B88" s="6">
        <v>230.93</v>
      </c>
      <c r="C88" s="6">
        <f t="shared" si="21"/>
        <v>-7.0965925091523445</v>
      </c>
      <c r="D88" s="6">
        <f t="shared" si="7"/>
        <v>3.0186223888188173</v>
      </c>
      <c r="E88" s="6">
        <f t="shared" si="8"/>
        <v>-10.115214897971162</v>
      </c>
      <c r="F88" s="6"/>
      <c r="G88" s="6" t="str">
        <f t="shared" si="22"/>
        <v/>
      </c>
      <c r="H88" s="6" t="str">
        <f t="shared" si="9"/>
        <v/>
      </c>
      <c r="I88" s="6" t="str">
        <f t="shared" si="10"/>
        <v/>
      </c>
      <c r="J88" s="6">
        <v>1739</v>
      </c>
      <c r="K88" s="6">
        <f t="shared" si="23"/>
        <v>0.2305475504322807</v>
      </c>
      <c r="L88" s="6">
        <f t="shared" si="11"/>
        <v>-0.25644283075122437</v>
      </c>
      <c r="M88" s="6">
        <f t="shared" si="12"/>
        <v>0.48699038118350507</v>
      </c>
      <c r="N88" s="6">
        <v>1214.53</v>
      </c>
      <c r="O88" s="6">
        <f t="shared" si="24"/>
        <v>-19.973511853774895</v>
      </c>
      <c r="P88" s="6">
        <f t="shared" si="13"/>
        <v>28.024601110090511</v>
      </c>
      <c r="Q88" s="6">
        <f t="shared" si="14"/>
        <v>-47.99811296386541</v>
      </c>
      <c r="R88" s="6"/>
      <c r="S88" s="6" t="str">
        <f t="shared" si="25"/>
        <v/>
      </c>
      <c r="T88" s="6" t="str">
        <f t="shared" si="15"/>
        <v/>
      </c>
      <c r="U88" s="6" t="str">
        <f t="shared" si="16"/>
        <v/>
      </c>
      <c r="V88" s="6">
        <v>1.36</v>
      </c>
      <c r="W88" s="6">
        <f t="shared" si="26"/>
        <v>-4.2253521126760401</v>
      </c>
      <c r="X88" s="6">
        <f t="shared" si="17"/>
        <v>-2.7141801355487445</v>
      </c>
      <c r="Y88" s="6">
        <f t="shared" si="18"/>
        <v>-1.5111719771272956</v>
      </c>
      <c r="Z88" s="6"/>
      <c r="AA88" s="6" t="str">
        <f t="shared" si="27"/>
        <v/>
      </c>
      <c r="AB88" s="6" t="str">
        <f t="shared" si="19"/>
        <v/>
      </c>
      <c r="AC88" s="6" t="str">
        <f t="shared" si="20"/>
        <v/>
      </c>
    </row>
    <row r="89" spans="1:29" x14ac:dyDescent="0.2">
      <c r="A89" t="s">
        <v>173</v>
      </c>
      <c r="B89" s="6">
        <v>234.24</v>
      </c>
      <c r="C89" s="6">
        <f t="shared" si="21"/>
        <v>-5.1352664830714323</v>
      </c>
      <c r="D89" s="6">
        <f t="shared" si="7"/>
        <v>3.0107103398633939</v>
      </c>
      <c r="E89" s="6">
        <f t="shared" si="8"/>
        <v>-8.1459768229348271</v>
      </c>
      <c r="F89" s="6"/>
      <c r="G89" s="6" t="str">
        <f t="shared" si="22"/>
        <v/>
      </c>
      <c r="H89" s="6" t="str">
        <f t="shared" si="9"/>
        <v/>
      </c>
      <c r="I89" s="6" t="str">
        <f t="shared" si="10"/>
        <v/>
      </c>
      <c r="J89" s="6">
        <v>1935.7</v>
      </c>
      <c r="K89" s="6">
        <f t="shared" si="23"/>
        <v>11.311098332374936</v>
      </c>
      <c r="L89" s="6">
        <f t="shared" si="11"/>
        <v>-0.31252033344470731</v>
      </c>
      <c r="M89" s="6">
        <f t="shared" si="12"/>
        <v>11.623618665819643</v>
      </c>
      <c r="N89" s="6">
        <v>1243.8499999999999</v>
      </c>
      <c r="O89" s="6">
        <f t="shared" si="24"/>
        <v>-25.918977510958651</v>
      </c>
      <c r="P89" s="6">
        <f t="shared" si="13"/>
        <v>27.572782307736642</v>
      </c>
      <c r="Q89" s="6">
        <f t="shared" si="14"/>
        <v>-53.491759818695293</v>
      </c>
      <c r="R89" s="6"/>
      <c r="S89" s="6" t="str">
        <f t="shared" si="25"/>
        <v/>
      </c>
      <c r="T89" s="6" t="str">
        <f t="shared" si="15"/>
        <v/>
      </c>
      <c r="U89" s="6" t="str">
        <f t="shared" si="16"/>
        <v/>
      </c>
      <c r="V89" s="6">
        <v>1.33</v>
      </c>
      <c r="W89" s="6">
        <f t="shared" si="26"/>
        <v>-2.2058823529411797</v>
      </c>
      <c r="X89" s="6">
        <f t="shared" si="17"/>
        <v>-2.7358601092337413</v>
      </c>
      <c r="Y89" s="6">
        <f t="shared" si="18"/>
        <v>0.52997775629256161</v>
      </c>
      <c r="Z89" s="6"/>
      <c r="AA89" s="6" t="str">
        <f t="shared" si="27"/>
        <v/>
      </c>
      <c r="AB89" s="6" t="str">
        <f t="shared" si="19"/>
        <v/>
      </c>
      <c r="AC89" s="6" t="str">
        <f t="shared" si="20"/>
        <v/>
      </c>
    </row>
    <row r="90" spans="1:29" x14ac:dyDescent="0.2">
      <c r="A90" t="s">
        <v>174</v>
      </c>
      <c r="B90" s="6">
        <v>230.66</v>
      </c>
      <c r="C90" s="6">
        <f t="shared" si="21"/>
        <v>-6.9994355293927946</v>
      </c>
      <c r="D90" s="6">
        <f t="shared" si="7"/>
        <v>3.0642877478809258</v>
      </c>
      <c r="E90" s="6">
        <f t="shared" si="8"/>
        <v>-10.06372327727372</v>
      </c>
      <c r="F90" s="6"/>
      <c r="G90" s="6" t="str">
        <f t="shared" si="22"/>
        <v/>
      </c>
      <c r="H90" s="6" t="str">
        <f t="shared" si="9"/>
        <v/>
      </c>
      <c r="I90" s="6" t="str">
        <f t="shared" si="10"/>
        <v/>
      </c>
      <c r="J90" s="6">
        <v>1935.7</v>
      </c>
      <c r="K90" s="6">
        <f t="shared" si="23"/>
        <v>11.311098332374936</v>
      </c>
      <c r="L90" s="6">
        <f t="shared" si="11"/>
        <v>-5.3211652731662319E-2</v>
      </c>
      <c r="M90" s="6">
        <f t="shared" si="12"/>
        <v>11.364309985106598</v>
      </c>
      <c r="N90" s="6">
        <v>1220.48</v>
      </c>
      <c r="O90" s="6">
        <f t="shared" si="24"/>
        <v>-34.885854980606808</v>
      </c>
      <c r="P90" s="6">
        <f t="shared" si="13"/>
        <v>26.999555266106771</v>
      </c>
      <c r="Q90" s="6">
        <f t="shared" si="14"/>
        <v>-61.885410246713576</v>
      </c>
      <c r="R90" s="6"/>
      <c r="S90" s="6" t="str">
        <f t="shared" si="25"/>
        <v/>
      </c>
      <c r="T90" s="6" t="str">
        <f t="shared" si="15"/>
        <v/>
      </c>
      <c r="U90" s="6" t="str">
        <f t="shared" si="16"/>
        <v/>
      </c>
      <c r="V90" s="6">
        <v>1.33</v>
      </c>
      <c r="W90" s="6">
        <f t="shared" si="26"/>
        <v>-2.2058823529411797</v>
      </c>
      <c r="X90" s="6">
        <f t="shared" si="17"/>
        <v>-2.7544037108849282</v>
      </c>
      <c r="Y90" s="6">
        <f t="shared" si="18"/>
        <v>0.54852135794374846</v>
      </c>
      <c r="Z90" s="6"/>
      <c r="AA90" s="6" t="str">
        <f t="shared" si="27"/>
        <v/>
      </c>
      <c r="AB90" s="6" t="str">
        <f t="shared" si="19"/>
        <v/>
      </c>
      <c r="AC90" s="6" t="str">
        <f t="shared" si="20"/>
        <v/>
      </c>
    </row>
    <row r="91" spans="1:29" x14ac:dyDescent="0.2">
      <c r="A91" t="s">
        <v>175</v>
      </c>
      <c r="B91" s="6">
        <v>223.22</v>
      </c>
      <c r="C91" s="6">
        <f t="shared" si="21"/>
        <v>-8.9863817989072832</v>
      </c>
      <c r="D91" s="6">
        <f t="shared" si="7"/>
        <v>3.0880336849004331</v>
      </c>
      <c r="E91" s="6">
        <f t="shared" si="8"/>
        <v>-12.074415483807716</v>
      </c>
      <c r="F91" s="6"/>
      <c r="G91" s="6" t="str">
        <f t="shared" si="22"/>
        <v/>
      </c>
      <c r="H91" s="6" t="str">
        <f t="shared" si="9"/>
        <v/>
      </c>
      <c r="I91" s="6" t="str">
        <f t="shared" si="10"/>
        <v/>
      </c>
      <c r="J91" s="6">
        <v>1935.7</v>
      </c>
      <c r="K91" s="6">
        <f t="shared" si="23"/>
        <v>11.311098332374936</v>
      </c>
      <c r="L91" s="6">
        <f t="shared" si="11"/>
        <v>0.20491398804195426</v>
      </c>
      <c r="M91" s="6">
        <f t="shared" si="12"/>
        <v>11.106184344332982</v>
      </c>
      <c r="N91" s="6">
        <v>1098.3399999999999</v>
      </c>
      <c r="O91" s="6">
        <f t="shared" si="24"/>
        <v>-41.415930147588284</v>
      </c>
      <c r="P91" s="6">
        <f t="shared" si="13"/>
        <v>26.280579844124077</v>
      </c>
      <c r="Q91" s="6">
        <f t="shared" si="14"/>
        <v>-67.696509991712361</v>
      </c>
      <c r="R91" s="6"/>
      <c r="S91" s="6" t="str">
        <f t="shared" si="25"/>
        <v/>
      </c>
      <c r="T91" s="6" t="str">
        <f t="shared" si="15"/>
        <v/>
      </c>
      <c r="U91" s="6" t="str">
        <f t="shared" si="16"/>
        <v/>
      </c>
      <c r="V91" s="6">
        <v>1.33</v>
      </c>
      <c r="W91" s="6">
        <f t="shared" si="26"/>
        <v>-2.2058823529411797</v>
      </c>
      <c r="X91" s="6">
        <f t="shared" si="17"/>
        <v>-2.772947312536115</v>
      </c>
      <c r="Y91" s="6">
        <f t="shared" si="18"/>
        <v>0.5670649595949353</v>
      </c>
      <c r="Z91" s="6"/>
      <c r="AA91" s="6" t="str">
        <f t="shared" si="27"/>
        <v/>
      </c>
      <c r="AB91" s="6" t="str">
        <f t="shared" si="19"/>
        <v/>
      </c>
      <c r="AC91" s="6" t="str">
        <f t="shared" si="20"/>
        <v/>
      </c>
    </row>
    <row r="92" spans="1:29" x14ac:dyDescent="0.2">
      <c r="A92" t="s">
        <v>176</v>
      </c>
      <c r="B92" s="6">
        <v>223.22</v>
      </c>
      <c r="C92" s="6">
        <f t="shared" si="21"/>
        <v>-4.4802944071205442</v>
      </c>
      <c r="D92" s="6">
        <f t="shared" si="7"/>
        <v>2.9522427476009003</v>
      </c>
      <c r="E92" s="6">
        <f t="shared" si="8"/>
        <v>-7.4325371547214445</v>
      </c>
      <c r="F92" s="6"/>
      <c r="G92" s="6" t="str">
        <f t="shared" si="22"/>
        <v/>
      </c>
      <c r="H92" s="6" t="str">
        <f t="shared" si="9"/>
        <v/>
      </c>
      <c r="I92" s="6" t="str">
        <f t="shared" si="10"/>
        <v/>
      </c>
      <c r="J92" s="6">
        <v>1935.7</v>
      </c>
      <c r="K92" s="6">
        <f t="shared" si="23"/>
        <v>11.311098332374936</v>
      </c>
      <c r="L92" s="6">
        <f t="shared" si="11"/>
        <v>0.46303962881557087</v>
      </c>
      <c r="M92" s="6">
        <f t="shared" si="12"/>
        <v>10.848058703559365</v>
      </c>
      <c r="N92" s="6">
        <v>994.72</v>
      </c>
      <c r="O92" s="6">
        <f t="shared" si="24"/>
        <v>-47.850522165834839</v>
      </c>
      <c r="P92" s="6">
        <f t="shared" si="13"/>
        <v>25.424150797452153</v>
      </c>
      <c r="Q92" s="6">
        <f t="shared" si="14"/>
        <v>-73.274672963286989</v>
      </c>
      <c r="R92" s="6"/>
      <c r="S92" s="6" t="str">
        <f t="shared" si="25"/>
        <v/>
      </c>
      <c r="T92" s="6" t="str">
        <f t="shared" si="15"/>
        <v/>
      </c>
      <c r="U92" s="6" t="str">
        <f t="shared" si="16"/>
        <v/>
      </c>
      <c r="V92" s="6">
        <v>1.33</v>
      </c>
      <c r="W92" s="6">
        <f t="shared" si="26"/>
        <v>-2.2058823529411797</v>
      </c>
      <c r="X92" s="6">
        <f t="shared" si="17"/>
        <v>-2.7914909141873014</v>
      </c>
      <c r="Y92" s="6">
        <f t="shared" si="18"/>
        <v>0.58560856124612171</v>
      </c>
      <c r="Z92" s="6"/>
      <c r="AA92" s="6" t="str">
        <f t="shared" si="27"/>
        <v/>
      </c>
      <c r="AB92" s="6" t="str">
        <f t="shared" si="19"/>
        <v/>
      </c>
      <c r="AC92" s="6" t="str">
        <f t="shared" si="20"/>
        <v/>
      </c>
    </row>
    <row r="93" spans="1:29" x14ac:dyDescent="0.2">
      <c r="A93" t="s">
        <v>177</v>
      </c>
      <c r="B93" s="6">
        <v>223.77</v>
      </c>
      <c r="C93" s="6">
        <f t="shared" si="21"/>
        <v>-0.85511741249445494</v>
      </c>
      <c r="D93" s="6">
        <f t="shared" si="7"/>
        <v>2.8848906103090077</v>
      </c>
      <c r="E93" s="6">
        <f t="shared" si="8"/>
        <v>-3.7400080228034627</v>
      </c>
      <c r="F93" s="6"/>
      <c r="G93" s="6" t="str">
        <f t="shared" si="22"/>
        <v/>
      </c>
      <c r="H93" s="6" t="str">
        <f t="shared" si="9"/>
        <v/>
      </c>
      <c r="I93" s="6" t="str">
        <f t="shared" si="10"/>
        <v/>
      </c>
      <c r="J93" s="6">
        <v>1935.7</v>
      </c>
      <c r="K93" s="6">
        <f t="shared" si="23"/>
        <v>11.311098332374936</v>
      </c>
      <c r="L93" s="6">
        <f t="shared" si="11"/>
        <v>0.72234830952861573</v>
      </c>
      <c r="M93" s="6">
        <f t="shared" si="12"/>
        <v>10.58875002284632</v>
      </c>
      <c r="N93" s="6">
        <v>1036.17</v>
      </c>
      <c r="O93" s="6">
        <f t="shared" si="24"/>
        <v>-37.715570356032956</v>
      </c>
      <c r="P93" s="6">
        <f t="shared" si="13"/>
        <v>24.42797446823997</v>
      </c>
      <c r="Q93" s="6">
        <f t="shared" si="14"/>
        <v>-62.143544824272922</v>
      </c>
      <c r="R93" s="6"/>
      <c r="S93" s="6" t="str">
        <f t="shared" si="25"/>
        <v/>
      </c>
      <c r="T93" s="6" t="str">
        <f t="shared" si="15"/>
        <v/>
      </c>
      <c r="U93" s="6" t="str">
        <f t="shared" si="16"/>
        <v/>
      </c>
      <c r="V93" s="6">
        <v>1.33</v>
      </c>
      <c r="W93" s="6">
        <f t="shared" si="26"/>
        <v>-2.2058823529411797</v>
      </c>
      <c r="X93" s="6">
        <f t="shared" si="17"/>
        <v>-2.8100345158384887</v>
      </c>
      <c r="Y93" s="6">
        <f t="shared" si="18"/>
        <v>0.604152162897309</v>
      </c>
      <c r="Z93" s="6"/>
      <c r="AA93" s="6" t="str">
        <f t="shared" si="27"/>
        <v/>
      </c>
      <c r="AB93" s="6" t="str">
        <f t="shared" si="19"/>
        <v/>
      </c>
      <c r="AC93" s="6" t="str">
        <f t="shared" si="20"/>
        <v/>
      </c>
    </row>
    <row r="94" spans="1:29" x14ac:dyDescent="0.2">
      <c r="A94" t="s">
        <v>178</v>
      </c>
      <c r="B94" s="6">
        <v>229.28</v>
      </c>
      <c r="C94" s="6">
        <f t="shared" si="21"/>
        <v>1.7123591518055203</v>
      </c>
      <c r="D94" s="6">
        <f t="shared" si="7"/>
        <v>2.8801036296465701</v>
      </c>
      <c r="E94" s="6">
        <f t="shared" si="8"/>
        <v>-1.1677444778410497</v>
      </c>
      <c r="F94" s="6"/>
      <c r="G94" s="6" t="str">
        <f t="shared" si="22"/>
        <v/>
      </c>
      <c r="H94" s="6" t="str">
        <f t="shared" si="9"/>
        <v/>
      </c>
      <c r="I94" s="6" t="str">
        <f t="shared" si="10"/>
        <v/>
      </c>
      <c r="J94" s="6">
        <v>1935.7</v>
      </c>
      <c r="K94" s="6">
        <f t="shared" si="23"/>
        <v>11.311098332374936</v>
      </c>
      <c r="L94" s="6">
        <f t="shared" si="11"/>
        <v>0.98047395030223239</v>
      </c>
      <c r="M94" s="6">
        <f t="shared" si="12"/>
        <v>10.330624382072703</v>
      </c>
      <c r="N94" s="6">
        <v>1015.22</v>
      </c>
      <c r="O94" s="6">
        <f t="shared" si="24"/>
        <v>-40.132917401329173</v>
      </c>
      <c r="P94" s="6">
        <f t="shared" si="13"/>
        <v>23.642943210141866</v>
      </c>
      <c r="Q94" s="6">
        <f t="shared" si="14"/>
        <v>-63.775860611471039</v>
      </c>
      <c r="R94" s="6"/>
      <c r="S94" s="6" t="str">
        <f t="shared" si="25"/>
        <v/>
      </c>
      <c r="T94" s="6" t="str">
        <f t="shared" si="15"/>
        <v/>
      </c>
      <c r="U94" s="6" t="str">
        <f t="shared" si="16"/>
        <v/>
      </c>
      <c r="V94" s="6">
        <v>1.33</v>
      </c>
      <c r="W94" s="6">
        <f t="shared" si="26"/>
        <v>-2.2058823529411797</v>
      </c>
      <c r="X94" s="6">
        <f t="shared" si="17"/>
        <v>-2.8285781174896751</v>
      </c>
      <c r="Y94" s="6">
        <f t="shared" si="18"/>
        <v>0.6226957645484954</v>
      </c>
      <c r="Z94" s="6"/>
      <c r="AA94" s="6" t="str">
        <f t="shared" si="27"/>
        <v/>
      </c>
      <c r="AB94" s="6" t="str">
        <f t="shared" si="19"/>
        <v/>
      </c>
      <c r="AC94" s="6" t="str">
        <f t="shared" si="20"/>
        <v/>
      </c>
    </row>
    <row r="95" spans="1:29" x14ac:dyDescent="0.2">
      <c r="A95" t="s">
        <v>179</v>
      </c>
      <c r="B95" s="6">
        <v>228.73</v>
      </c>
      <c r="C95" s="6">
        <f t="shared" si="21"/>
        <v>-2.808702303050914</v>
      </c>
      <c r="D95" s="6">
        <f t="shared" si="7"/>
        <v>2.8813011303120359</v>
      </c>
      <c r="E95" s="6">
        <f t="shared" si="8"/>
        <v>-5.6900034333629499</v>
      </c>
      <c r="F95" s="6"/>
      <c r="G95" s="6" t="str">
        <f t="shared" si="22"/>
        <v/>
      </c>
      <c r="H95" s="6" t="str">
        <f t="shared" si="9"/>
        <v/>
      </c>
      <c r="I95" s="6" t="str">
        <f t="shared" si="10"/>
        <v/>
      </c>
      <c r="J95" s="6">
        <v>1935.7</v>
      </c>
      <c r="K95" s="6">
        <f t="shared" si="23"/>
        <v>11.311098332374936</v>
      </c>
      <c r="L95" s="6">
        <f t="shared" si="11"/>
        <v>1.2385995910758492</v>
      </c>
      <c r="M95" s="6">
        <f t="shared" si="12"/>
        <v>10.072498741299087</v>
      </c>
      <c r="N95" s="6">
        <v>997.37</v>
      </c>
      <c r="O95" s="6">
        <f t="shared" si="24"/>
        <v>-36.389379627917066</v>
      </c>
      <c r="P95" s="6">
        <f t="shared" si="13"/>
        <v>22.806130731386954</v>
      </c>
      <c r="Q95" s="6">
        <f t="shared" si="14"/>
        <v>-59.195510359304023</v>
      </c>
      <c r="R95" s="6"/>
      <c r="S95" s="6" t="str">
        <f t="shared" si="25"/>
        <v/>
      </c>
      <c r="T95" s="6" t="str">
        <f t="shared" si="15"/>
        <v/>
      </c>
      <c r="U95" s="6" t="str">
        <f t="shared" si="16"/>
        <v/>
      </c>
      <c r="V95" s="6">
        <v>1.33</v>
      </c>
      <c r="W95" s="6">
        <f t="shared" si="26"/>
        <v>-2.2058823529411797</v>
      </c>
      <c r="X95" s="6">
        <f t="shared" si="17"/>
        <v>-2.847121719140862</v>
      </c>
      <c r="Y95" s="6">
        <f t="shared" si="18"/>
        <v>0.64123936619968225</v>
      </c>
      <c r="Z95" s="6"/>
      <c r="AA95" s="6" t="str">
        <f t="shared" si="27"/>
        <v/>
      </c>
      <c r="AB95" s="6" t="str">
        <f t="shared" si="19"/>
        <v/>
      </c>
      <c r="AC95" s="6" t="str">
        <f t="shared" si="20"/>
        <v/>
      </c>
    </row>
    <row r="96" spans="1:29" x14ac:dyDescent="0.2">
      <c r="A96" t="s">
        <v>180</v>
      </c>
      <c r="B96" s="6">
        <v>228.73</v>
      </c>
      <c r="C96" s="6">
        <f t="shared" si="21"/>
        <v>-4.5964546402502693</v>
      </c>
      <c r="D96" s="6">
        <f t="shared" si="7"/>
        <v>2.7337735730290262</v>
      </c>
      <c r="E96" s="6">
        <f t="shared" si="8"/>
        <v>-7.3302282132792955</v>
      </c>
      <c r="F96" s="6"/>
      <c r="G96" s="6" t="str">
        <f t="shared" si="22"/>
        <v/>
      </c>
      <c r="H96" s="6" t="str">
        <f t="shared" si="9"/>
        <v/>
      </c>
      <c r="I96" s="6" t="str">
        <f t="shared" si="10"/>
        <v/>
      </c>
      <c r="J96" s="6">
        <v>1935.7</v>
      </c>
      <c r="K96" s="6">
        <f t="shared" si="23"/>
        <v>11.311098332374936</v>
      </c>
      <c r="L96" s="6">
        <f t="shared" si="11"/>
        <v>1.4979082717888941</v>
      </c>
      <c r="M96" s="6">
        <f t="shared" si="12"/>
        <v>9.8131900605860416</v>
      </c>
      <c r="N96" s="6">
        <v>1044.55</v>
      </c>
      <c r="O96" s="6">
        <f t="shared" si="24"/>
        <v>-12.614820887780876</v>
      </c>
      <c r="P96" s="6">
        <f t="shared" si="13"/>
        <v>22.048018655805347</v>
      </c>
      <c r="Q96" s="6">
        <f t="shared" si="14"/>
        <v>-34.662839543586223</v>
      </c>
      <c r="R96" s="6"/>
      <c r="S96" s="6" t="str">
        <f t="shared" si="25"/>
        <v/>
      </c>
      <c r="T96" s="6" t="str">
        <f t="shared" si="15"/>
        <v/>
      </c>
      <c r="U96" s="6" t="str">
        <f t="shared" si="16"/>
        <v/>
      </c>
      <c r="V96" s="6">
        <v>1.33</v>
      </c>
      <c r="W96" s="6">
        <f t="shared" si="26"/>
        <v>-2.2058823529411797</v>
      </c>
      <c r="X96" s="6">
        <f t="shared" si="17"/>
        <v>-2.8656653207920488</v>
      </c>
      <c r="Y96" s="6">
        <f t="shared" si="18"/>
        <v>0.6597829678508691</v>
      </c>
      <c r="Z96" s="6"/>
      <c r="AA96" s="6" t="str">
        <f t="shared" si="27"/>
        <v/>
      </c>
      <c r="AB96" s="6" t="str">
        <f t="shared" si="19"/>
        <v/>
      </c>
      <c r="AC96" s="6" t="str">
        <f t="shared" si="20"/>
        <v/>
      </c>
    </row>
    <row r="97" spans="1:29" x14ac:dyDescent="0.2">
      <c r="A97" t="s">
        <v>181</v>
      </c>
      <c r="B97" s="6">
        <v>225.15</v>
      </c>
      <c r="C97" s="6">
        <f t="shared" si="21"/>
        <v>-6.0896767466110502</v>
      </c>
      <c r="D97" s="6">
        <f t="shared" si="7"/>
        <v>2.4842243391336494</v>
      </c>
      <c r="E97" s="6">
        <f t="shared" si="8"/>
        <v>-8.5739010857446996</v>
      </c>
      <c r="F97" s="6"/>
      <c r="G97" s="6" t="str">
        <f t="shared" si="22"/>
        <v/>
      </c>
      <c r="H97" s="6" t="str">
        <f t="shared" si="9"/>
        <v/>
      </c>
      <c r="I97" s="6" t="str">
        <f t="shared" si="10"/>
        <v/>
      </c>
      <c r="J97" s="6">
        <v>1935.7</v>
      </c>
      <c r="K97" s="6">
        <f t="shared" si="23"/>
        <v>11.311098332374936</v>
      </c>
      <c r="L97" s="6">
        <f t="shared" si="11"/>
        <v>1.7560339125625106</v>
      </c>
      <c r="M97" s="6">
        <f t="shared" si="12"/>
        <v>9.5550644198124246</v>
      </c>
      <c r="N97" s="6">
        <v>1060.2</v>
      </c>
      <c r="O97" s="6">
        <f t="shared" si="24"/>
        <v>-6.0372943845717453</v>
      </c>
      <c r="P97" s="6">
        <f t="shared" si="13"/>
        <v>21.785209887309907</v>
      </c>
      <c r="Q97" s="6">
        <f t="shared" si="14"/>
        <v>-27.822504271881652</v>
      </c>
      <c r="R97" s="6"/>
      <c r="S97" s="6" t="str">
        <f t="shared" si="25"/>
        <v/>
      </c>
      <c r="T97" s="6" t="str">
        <f t="shared" si="15"/>
        <v/>
      </c>
      <c r="U97" s="6" t="str">
        <f t="shared" si="16"/>
        <v/>
      </c>
      <c r="V97" s="6">
        <v>1.33</v>
      </c>
      <c r="W97" s="6">
        <f t="shared" si="26"/>
        <v>-2.2058823529411797</v>
      </c>
      <c r="X97" s="6">
        <f t="shared" si="17"/>
        <v>-2.8842089224432357</v>
      </c>
      <c r="Y97" s="6">
        <f t="shared" si="18"/>
        <v>0.67832656950205594</v>
      </c>
      <c r="Z97" s="6"/>
      <c r="AA97" s="6" t="str">
        <f t="shared" si="27"/>
        <v/>
      </c>
      <c r="AB97" s="6" t="str">
        <f t="shared" si="19"/>
        <v/>
      </c>
      <c r="AC97" s="6" t="str">
        <f t="shared" si="20"/>
        <v/>
      </c>
    </row>
    <row r="98" spans="1:29" x14ac:dyDescent="0.2">
      <c r="A98" t="s">
        <v>182</v>
      </c>
      <c r="B98" s="6">
        <v>221.56</v>
      </c>
      <c r="C98" s="6">
        <f t="shared" si="21"/>
        <v>-4.0575066037327296</v>
      </c>
      <c r="D98" s="6">
        <f t="shared" si="7"/>
        <v>2.1615044742936536</v>
      </c>
      <c r="E98" s="6">
        <f t="shared" si="8"/>
        <v>-6.2190110780263836</v>
      </c>
      <c r="F98" s="6"/>
      <c r="G98" s="6" t="str">
        <f t="shared" si="22"/>
        <v/>
      </c>
      <c r="H98" s="6" t="str">
        <f t="shared" si="9"/>
        <v/>
      </c>
      <c r="I98" s="6" t="str">
        <f t="shared" si="10"/>
        <v/>
      </c>
      <c r="J98" s="6">
        <v>1935.7</v>
      </c>
      <c r="K98" s="6">
        <f t="shared" si="23"/>
        <v>11.311098332374936</v>
      </c>
      <c r="L98" s="6">
        <f t="shared" si="11"/>
        <v>2.0141595533361274</v>
      </c>
      <c r="M98" s="6">
        <f t="shared" si="12"/>
        <v>9.2969387790388076</v>
      </c>
      <c r="N98" s="6">
        <v>1138.47</v>
      </c>
      <c r="O98" s="6">
        <f t="shared" si="24"/>
        <v>-10.734139896657435</v>
      </c>
      <c r="P98" s="6">
        <f t="shared" si="13"/>
        <v>21.659432920964662</v>
      </c>
      <c r="Q98" s="6">
        <f t="shared" si="14"/>
        <v>-32.393572817622101</v>
      </c>
      <c r="R98" s="6"/>
      <c r="S98" s="6" t="str">
        <f t="shared" si="25"/>
        <v/>
      </c>
      <c r="T98" s="6" t="str">
        <f t="shared" si="15"/>
        <v/>
      </c>
      <c r="U98" s="6" t="str">
        <f t="shared" si="16"/>
        <v/>
      </c>
      <c r="V98" s="6">
        <v>1.33</v>
      </c>
      <c r="W98" s="6">
        <f t="shared" si="26"/>
        <v>-2.2058823529411797</v>
      </c>
      <c r="X98" s="6">
        <f t="shared" si="17"/>
        <v>-2.9027525240944225</v>
      </c>
      <c r="Y98" s="6">
        <f t="shared" si="18"/>
        <v>0.69687017115324279</v>
      </c>
      <c r="Z98" s="6"/>
      <c r="AA98" s="6" t="str">
        <f t="shared" si="27"/>
        <v/>
      </c>
      <c r="AB98" s="6" t="str">
        <f t="shared" si="19"/>
        <v/>
      </c>
      <c r="AC98" s="6" t="str">
        <f t="shared" si="20"/>
        <v/>
      </c>
    </row>
    <row r="99" spans="1:29" x14ac:dyDescent="0.2">
      <c r="A99" t="s">
        <v>183</v>
      </c>
      <c r="B99" s="6">
        <v>217.98</v>
      </c>
      <c r="C99" s="6">
        <f t="shared" si="21"/>
        <v>-3.5358675930433292</v>
      </c>
      <c r="D99" s="6">
        <f t="shared" si="7"/>
        <v>1.7530801884303289</v>
      </c>
      <c r="E99" s="6">
        <f t="shared" si="8"/>
        <v>-5.2889477814736576</v>
      </c>
      <c r="F99" s="6"/>
      <c r="G99" s="6" t="str">
        <f t="shared" si="22"/>
        <v/>
      </c>
      <c r="H99" s="6" t="str">
        <f t="shared" si="9"/>
        <v/>
      </c>
      <c r="I99" s="6" t="str">
        <f t="shared" si="10"/>
        <v/>
      </c>
      <c r="J99" s="6">
        <v>1935.7</v>
      </c>
      <c r="K99" s="6">
        <f t="shared" si="23"/>
        <v>11.311098332374936</v>
      </c>
      <c r="L99" s="6">
        <f t="shared" si="11"/>
        <v>2.2734682340491723</v>
      </c>
      <c r="M99" s="6">
        <f t="shared" si="12"/>
        <v>9.0376300983257636</v>
      </c>
      <c r="N99" s="6">
        <v>1443.81</v>
      </c>
      <c r="O99" s="6">
        <f t="shared" si="24"/>
        <v>10.924931431073826</v>
      </c>
      <c r="P99" s="6">
        <f t="shared" si="13"/>
        <v>21.437224104936405</v>
      </c>
      <c r="Q99" s="6">
        <f t="shared" si="14"/>
        <v>-10.512292673862579</v>
      </c>
      <c r="R99" s="6"/>
      <c r="S99" s="6" t="str">
        <f t="shared" si="25"/>
        <v/>
      </c>
      <c r="T99" s="6" t="str">
        <f t="shared" si="15"/>
        <v/>
      </c>
      <c r="U99" s="6" t="str">
        <f t="shared" si="16"/>
        <v/>
      </c>
      <c r="V99" s="6">
        <v>1.33</v>
      </c>
      <c r="W99" s="6">
        <f t="shared" si="26"/>
        <v>-2.2058823529411797</v>
      </c>
      <c r="X99" s="6">
        <f t="shared" si="17"/>
        <v>-2.9212961257456094</v>
      </c>
      <c r="Y99" s="6">
        <f t="shared" si="18"/>
        <v>0.71541377280442964</v>
      </c>
      <c r="Z99" s="6"/>
      <c r="AA99" s="6" t="str">
        <f t="shared" si="27"/>
        <v/>
      </c>
      <c r="AB99" s="6" t="str">
        <f t="shared" si="19"/>
        <v/>
      </c>
      <c r="AC99" s="6" t="str">
        <f t="shared" si="20"/>
        <v/>
      </c>
    </row>
    <row r="100" spans="1:29" x14ac:dyDescent="0.2">
      <c r="A100" t="s">
        <v>184</v>
      </c>
      <c r="B100" s="6">
        <v>194.87</v>
      </c>
      <c r="C100" s="6">
        <f t="shared" si="21"/>
        <v>-15.615121465379122</v>
      </c>
      <c r="D100" s="6">
        <f t="shared" si="7"/>
        <v>1.4586266041869429</v>
      </c>
      <c r="E100" s="6">
        <f t="shared" si="8"/>
        <v>-17.073748069566065</v>
      </c>
      <c r="F100" s="6"/>
      <c r="G100" s="6" t="str">
        <f t="shared" si="22"/>
        <v/>
      </c>
      <c r="H100" s="6" t="str">
        <f t="shared" si="9"/>
        <v/>
      </c>
      <c r="I100" s="6" t="str">
        <f t="shared" si="10"/>
        <v/>
      </c>
      <c r="J100" s="6">
        <v>1935.7</v>
      </c>
      <c r="K100" s="6">
        <f t="shared" si="23"/>
        <v>11.311098332374936</v>
      </c>
      <c r="L100" s="6">
        <f t="shared" si="11"/>
        <v>2.5315938748227889</v>
      </c>
      <c r="M100" s="6">
        <f t="shared" si="12"/>
        <v>8.7795044575521466</v>
      </c>
      <c r="N100" s="6">
        <v>1324.09</v>
      </c>
      <c r="O100" s="6">
        <f t="shared" si="24"/>
        <v>9.0207734679258689</v>
      </c>
      <c r="P100" s="6">
        <f t="shared" si="13"/>
        <v>21.664116810189892</v>
      </c>
      <c r="Q100" s="6">
        <f t="shared" si="14"/>
        <v>-12.643343342264023</v>
      </c>
      <c r="R100" s="6"/>
      <c r="S100" s="6" t="str">
        <f t="shared" si="25"/>
        <v/>
      </c>
      <c r="T100" s="6" t="str">
        <f t="shared" si="15"/>
        <v/>
      </c>
      <c r="U100" s="6" t="str">
        <f t="shared" si="16"/>
        <v/>
      </c>
      <c r="V100" s="6">
        <v>1.33</v>
      </c>
      <c r="W100" s="6">
        <f t="shared" si="26"/>
        <v>-2.2058823529411797</v>
      </c>
      <c r="X100" s="6">
        <f t="shared" si="17"/>
        <v>-2.9398397273967958</v>
      </c>
      <c r="Y100" s="6">
        <f t="shared" si="18"/>
        <v>0.73395737445561604</v>
      </c>
      <c r="Z100" s="6"/>
      <c r="AA100" s="6" t="str">
        <f t="shared" si="27"/>
        <v/>
      </c>
      <c r="AB100" s="6" t="str">
        <f t="shared" si="19"/>
        <v/>
      </c>
      <c r="AC100" s="6" t="str">
        <f t="shared" si="20"/>
        <v/>
      </c>
    </row>
    <row r="101" spans="1:29" x14ac:dyDescent="0.2">
      <c r="A101" t="s">
        <v>185</v>
      </c>
      <c r="B101" s="6">
        <v>191.33</v>
      </c>
      <c r="C101" s="6">
        <f t="shared" si="21"/>
        <v>-18.318818306010932</v>
      </c>
      <c r="D101" s="6">
        <f t="shared" si="7"/>
        <v>0.92638149112334711</v>
      </c>
      <c r="E101" s="6">
        <f t="shared" si="8"/>
        <v>-19.24519979713428</v>
      </c>
      <c r="F101" s="6"/>
      <c r="G101" s="6" t="str">
        <f t="shared" si="22"/>
        <v/>
      </c>
      <c r="H101" s="6" t="str">
        <f t="shared" si="9"/>
        <v/>
      </c>
      <c r="I101" s="6" t="str">
        <f t="shared" si="10"/>
        <v/>
      </c>
      <c r="J101" s="6">
        <v>2074.5</v>
      </c>
      <c r="K101" s="6">
        <f t="shared" si="23"/>
        <v>7.1705326238570066</v>
      </c>
      <c r="L101" s="6">
        <f t="shared" si="11"/>
        <v>2.7897195155964059</v>
      </c>
      <c r="M101" s="6">
        <f t="shared" si="12"/>
        <v>4.3808131082606003</v>
      </c>
      <c r="N101" s="6">
        <v>1408.75</v>
      </c>
      <c r="O101" s="6">
        <f t="shared" si="24"/>
        <v>13.257225549704565</v>
      </c>
      <c r="P101" s="6">
        <f t="shared" si="13"/>
        <v>21.837821507826792</v>
      </c>
      <c r="Q101" s="6">
        <f t="shared" si="14"/>
        <v>-8.5805959581222275</v>
      </c>
      <c r="R101" s="6"/>
      <c r="S101" s="6" t="str">
        <f t="shared" si="25"/>
        <v/>
      </c>
      <c r="T101" s="6" t="str">
        <f t="shared" si="15"/>
        <v/>
      </c>
      <c r="U101" s="6" t="str">
        <f t="shared" si="16"/>
        <v/>
      </c>
      <c r="V101" s="6">
        <v>1.32</v>
      </c>
      <c r="W101" s="6">
        <f t="shared" si="26"/>
        <v>-0.75187969924812581</v>
      </c>
      <c r="X101" s="6">
        <f t="shared" si="17"/>
        <v>-2.9583833290479826</v>
      </c>
      <c r="Y101" s="6">
        <f t="shared" si="18"/>
        <v>2.2065036297998568</v>
      </c>
      <c r="Z101" s="6"/>
      <c r="AA101" s="6" t="str">
        <f t="shared" si="27"/>
        <v/>
      </c>
      <c r="AB101" s="6" t="str">
        <f t="shared" si="19"/>
        <v/>
      </c>
      <c r="AC101" s="6" t="str">
        <f t="shared" si="20"/>
        <v/>
      </c>
    </row>
    <row r="102" spans="1:29" x14ac:dyDescent="0.2">
      <c r="A102" t="s">
        <v>186</v>
      </c>
      <c r="B102" s="6">
        <v>191.33</v>
      </c>
      <c r="C102" s="6">
        <f t="shared" si="21"/>
        <v>-17.051070840197692</v>
      </c>
      <c r="D102" s="6">
        <f t="shared" si="7"/>
        <v>0.39976447638263329</v>
      </c>
      <c r="E102" s="6">
        <f t="shared" si="8"/>
        <v>-17.450835316580324</v>
      </c>
      <c r="F102" s="6"/>
      <c r="G102" s="6" t="str">
        <f t="shared" si="22"/>
        <v/>
      </c>
      <c r="H102" s="6" t="str">
        <f t="shared" si="9"/>
        <v/>
      </c>
      <c r="I102" s="6" t="str">
        <f t="shared" si="10"/>
        <v/>
      </c>
      <c r="J102" s="6">
        <v>2074.5</v>
      </c>
      <c r="K102" s="6">
        <f t="shared" si="23"/>
        <v>7.1705326238570066</v>
      </c>
      <c r="L102" s="6">
        <f t="shared" si="11"/>
        <v>2.93910561192676</v>
      </c>
      <c r="M102" s="6">
        <f t="shared" si="12"/>
        <v>4.2314270119302471</v>
      </c>
      <c r="N102" s="6">
        <v>1719.82</v>
      </c>
      <c r="O102" s="6">
        <f t="shared" si="24"/>
        <v>40.913411116937581</v>
      </c>
      <c r="P102" s="6">
        <f t="shared" si="13"/>
        <v>22.081287645215252</v>
      </c>
      <c r="Q102" s="6">
        <f t="shared" si="14"/>
        <v>18.83212347172233</v>
      </c>
      <c r="R102" s="6"/>
      <c r="S102" s="6" t="str">
        <f t="shared" si="25"/>
        <v/>
      </c>
      <c r="T102" s="6" t="str">
        <f t="shared" si="15"/>
        <v/>
      </c>
      <c r="U102" s="6" t="str">
        <f t="shared" si="16"/>
        <v/>
      </c>
      <c r="V102" s="6">
        <v>1.32</v>
      </c>
      <c r="W102" s="6">
        <f t="shared" si="26"/>
        <v>-0.75187969924812581</v>
      </c>
      <c r="X102" s="6">
        <f t="shared" si="17"/>
        <v>-2.9046030450045404</v>
      </c>
      <c r="Y102" s="6">
        <f t="shared" si="18"/>
        <v>2.1527233457564146</v>
      </c>
      <c r="Z102" s="6"/>
      <c r="AA102" s="6" t="str">
        <f t="shared" si="27"/>
        <v/>
      </c>
      <c r="AB102" s="6" t="str">
        <f t="shared" si="19"/>
        <v/>
      </c>
      <c r="AC102" s="6" t="str">
        <f t="shared" si="20"/>
        <v/>
      </c>
    </row>
    <row r="103" spans="1:29" x14ac:dyDescent="0.2">
      <c r="A103" t="s">
        <v>187</v>
      </c>
      <c r="B103" s="6">
        <v>191.33</v>
      </c>
      <c r="C103" s="6">
        <f t="shared" si="21"/>
        <v>-14.286354269330703</v>
      </c>
      <c r="D103" s="6">
        <f t="shared" si="7"/>
        <v>-9.7857420542503945E-2</v>
      </c>
      <c r="E103" s="6">
        <f t="shared" si="8"/>
        <v>-14.1884968487882</v>
      </c>
      <c r="F103" s="6"/>
      <c r="G103" s="6" t="str">
        <f t="shared" si="22"/>
        <v/>
      </c>
      <c r="H103" s="6" t="str">
        <f t="shared" si="9"/>
        <v/>
      </c>
      <c r="I103" s="6" t="str">
        <f t="shared" si="10"/>
        <v/>
      </c>
      <c r="J103" s="6">
        <v>2074.5</v>
      </c>
      <c r="K103" s="6">
        <f t="shared" si="23"/>
        <v>7.1705326238570066</v>
      </c>
      <c r="L103" s="6">
        <f t="shared" si="11"/>
        <v>3.0884917082571146</v>
      </c>
      <c r="M103" s="6">
        <f t="shared" si="12"/>
        <v>4.082040915599892</v>
      </c>
      <c r="N103" s="6">
        <v>1701.08</v>
      </c>
      <c r="O103" s="6">
        <f t="shared" si="24"/>
        <v>54.877360380210135</v>
      </c>
      <c r="P103" s="6">
        <f t="shared" si="13"/>
        <v>22.77783043083225</v>
      </c>
      <c r="Q103" s="6">
        <f t="shared" si="14"/>
        <v>32.099529949377882</v>
      </c>
      <c r="R103" s="6"/>
      <c r="S103" s="6" t="str">
        <f t="shared" si="25"/>
        <v/>
      </c>
      <c r="T103" s="6" t="str">
        <f t="shared" si="15"/>
        <v/>
      </c>
      <c r="U103" s="6" t="str">
        <f t="shared" si="16"/>
        <v/>
      </c>
      <c r="V103" s="6">
        <v>1.32</v>
      </c>
      <c r="W103" s="6">
        <f t="shared" si="26"/>
        <v>-0.75187969924812581</v>
      </c>
      <c r="X103" s="6">
        <f t="shared" si="17"/>
        <v>-2.8508227609610981</v>
      </c>
      <c r="Y103" s="6">
        <f t="shared" si="18"/>
        <v>2.0989430617129723</v>
      </c>
      <c r="Z103" s="6"/>
      <c r="AA103" s="6" t="str">
        <f t="shared" si="27"/>
        <v/>
      </c>
      <c r="AB103" s="6" t="str">
        <f t="shared" si="19"/>
        <v/>
      </c>
      <c r="AC103" s="6" t="str">
        <f t="shared" si="20"/>
        <v/>
      </c>
    </row>
    <row r="104" spans="1:29" x14ac:dyDescent="0.2">
      <c r="A104" t="s">
        <v>188</v>
      </c>
      <c r="B104" s="6">
        <v>188.97</v>
      </c>
      <c r="C104" s="6">
        <f t="shared" si="21"/>
        <v>-15.343607203655585</v>
      </c>
      <c r="D104" s="6">
        <f t="shared" si="7"/>
        <v>-0.54046476785237996</v>
      </c>
      <c r="E104" s="6">
        <f t="shared" si="8"/>
        <v>-14.803142435803206</v>
      </c>
      <c r="F104" s="6"/>
      <c r="G104" s="6" t="str">
        <f t="shared" si="22"/>
        <v/>
      </c>
      <c r="H104" s="6" t="str">
        <f t="shared" si="9"/>
        <v/>
      </c>
      <c r="I104" s="6" t="str">
        <f t="shared" si="10"/>
        <v/>
      </c>
      <c r="J104" s="6">
        <v>2074.5</v>
      </c>
      <c r="K104" s="6">
        <f t="shared" si="23"/>
        <v>7.1705326238570066</v>
      </c>
      <c r="L104" s="6">
        <f t="shared" si="11"/>
        <v>3.2378778045874692</v>
      </c>
      <c r="M104" s="6">
        <f t="shared" si="12"/>
        <v>3.9326548192695374</v>
      </c>
      <c r="N104" s="6">
        <v>1255.0899999999999</v>
      </c>
      <c r="O104" s="6">
        <f t="shared" si="24"/>
        <v>26.175205082837373</v>
      </c>
      <c r="P104" s="6">
        <f t="shared" si="13"/>
        <v>23.599496145378037</v>
      </c>
      <c r="Q104" s="6">
        <f t="shared" si="14"/>
        <v>2.5757089374593356</v>
      </c>
      <c r="R104" s="6"/>
      <c r="S104" s="6" t="str">
        <f t="shared" si="25"/>
        <v/>
      </c>
      <c r="T104" s="6" t="str">
        <f t="shared" si="15"/>
        <v/>
      </c>
      <c r="U104" s="6" t="str">
        <f t="shared" si="16"/>
        <v/>
      </c>
      <c r="V104" s="6">
        <v>1.32</v>
      </c>
      <c r="W104" s="6">
        <f t="shared" si="26"/>
        <v>-0.75187969924812581</v>
      </c>
      <c r="X104" s="6">
        <f t="shared" si="17"/>
        <v>-2.7970424769176554</v>
      </c>
      <c r="Y104" s="6">
        <f t="shared" si="18"/>
        <v>2.0451627776695296</v>
      </c>
      <c r="Z104" s="6"/>
      <c r="AA104" s="6" t="str">
        <f t="shared" si="27"/>
        <v/>
      </c>
      <c r="AB104" s="6" t="str">
        <f t="shared" si="19"/>
        <v/>
      </c>
      <c r="AC104" s="6" t="str">
        <f t="shared" si="20"/>
        <v/>
      </c>
    </row>
    <row r="105" spans="1:29" x14ac:dyDescent="0.2">
      <c r="A105" t="s">
        <v>189</v>
      </c>
      <c r="B105" s="6">
        <v>186.13</v>
      </c>
      <c r="C105" s="6">
        <f t="shared" si="21"/>
        <v>-16.820842829691209</v>
      </c>
      <c r="D105" s="6">
        <f t="shared" si="7"/>
        <v>-1.0050982179606904</v>
      </c>
      <c r="E105" s="6">
        <f t="shared" si="8"/>
        <v>-15.815744611730519</v>
      </c>
      <c r="F105" s="6"/>
      <c r="G105" s="6" t="str">
        <f t="shared" si="22"/>
        <v/>
      </c>
      <c r="H105" s="6" t="str">
        <f t="shared" si="9"/>
        <v/>
      </c>
      <c r="I105" s="6" t="str">
        <f t="shared" si="10"/>
        <v/>
      </c>
      <c r="J105" s="6">
        <v>2074.5</v>
      </c>
      <c r="K105" s="6">
        <f t="shared" si="23"/>
        <v>7.1705326238570066</v>
      </c>
      <c r="L105" s="6">
        <f t="shared" si="11"/>
        <v>3.3872639009178234</v>
      </c>
      <c r="M105" s="6">
        <f t="shared" si="12"/>
        <v>3.7832687229391833</v>
      </c>
      <c r="N105" s="6">
        <v>1096.58</v>
      </c>
      <c r="O105" s="6">
        <f t="shared" si="24"/>
        <v>5.8301244004361985</v>
      </c>
      <c r="P105" s="6">
        <f t="shared" si="13"/>
        <v>23.448475697530274</v>
      </c>
      <c r="Q105" s="6">
        <f t="shared" si="14"/>
        <v>-17.618351297094076</v>
      </c>
      <c r="R105" s="6"/>
      <c r="S105" s="6" t="str">
        <f t="shared" si="25"/>
        <v/>
      </c>
      <c r="T105" s="6" t="str">
        <f t="shared" si="15"/>
        <v/>
      </c>
      <c r="U105" s="6" t="str">
        <f t="shared" si="16"/>
        <v/>
      </c>
      <c r="V105" s="6">
        <v>1.32</v>
      </c>
      <c r="W105" s="6">
        <f t="shared" si="26"/>
        <v>-0.75187969924812581</v>
      </c>
      <c r="X105" s="6">
        <f t="shared" si="17"/>
        <v>-2.7432621928742136</v>
      </c>
      <c r="Y105" s="6">
        <f t="shared" si="18"/>
        <v>1.9913824936260878</v>
      </c>
      <c r="Z105" s="6"/>
      <c r="AA105" s="6" t="str">
        <f t="shared" si="27"/>
        <v/>
      </c>
      <c r="AB105" s="6" t="str">
        <f t="shared" si="19"/>
        <v/>
      </c>
      <c r="AC105" s="6" t="str">
        <f t="shared" si="20"/>
        <v/>
      </c>
    </row>
    <row r="106" spans="1:29" x14ac:dyDescent="0.2">
      <c r="A106" t="s">
        <v>190</v>
      </c>
      <c r="B106" s="6">
        <v>174.79</v>
      </c>
      <c r="C106" s="6">
        <f t="shared" si="21"/>
        <v>-23.765701325889744</v>
      </c>
      <c r="D106" s="6">
        <f t="shared" si="7"/>
        <v>-1.5005074102780771</v>
      </c>
      <c r="E106" s="6">
        <f t="shared" si="8"/>
        <v>-22.265193915611668</v>
      </c>
      <c r="F106" s="6"/>
      <c r="G106" s="6" t="str">
        <f t="shared" si="22"/>
        <v/>
      </c>
      <c r="H106" s="6" t="str">
        <f t="shared" si="9"/>
        <v/>
      </c>
      <c r="I106" s="6" t="str">
        <f t="shared" si="10"/>
        <v/>
      </c>
      <c r="J106" s="6">
        <v>2074.5</v>
      </c>
      <c r="K106" s="6">
        <f t="shared" si="23"/>
        <v>7.1705326238570066</v>
      </c>
      <c r="L106" s="6">
        <f t="shared" si="11"/>
        <v>3.536649997248178</v>
      </c>
      <c r="M106" s="6">
        <f t="shared" si="12"/>
        <v>3.6338826266088287</v>
      </c>
      <c r="N106" s="6">
        <v>1136.7</v>
      </c>
      <c r="O106" s="6">
        <f t="shared" si="24"/>
        <v>11.965879316798333</v>
      </c>
      <c r="P106" s="6">
        <f t="shared" si="13"/>
        <v>22.980060658831082</v>
      </c>
      <c r="Q106" s="6">
        <f t="shared" si="14"/>
        <v>-11.014181342032749</v>
      </c>
      <c r="R106" s="6"/>
      <c r="S106" s="6" t="str">
        <f t="shared" si="25"/>
        <v/>
      </c>
      <c r="T106" s="6" t="str">
        <f t="shared" si="15"/>
        <v/>
      </c>
      <c r="U106" s="6" t="str">
        <f t="shared" si="16"/>
        <v/>
      </c>
      <c r="V106" s="6">
        <v>1.32</v>
      </c>
      <c r="W106" s="6">
        <f t="shared" si="26"/>
        <v>-0.75187969924812581</v>
      </c>
      <c r="X106" s="6">
        <f t="shared" si="17"/>
        <v>-2.6894819088307718</v>
      </c>
      <c r="Y106" s="6">
        <f t="shared" si="18"/>
        <v>1.937602209582646</v>
      </c>
      <c r="Z106" s="6"/>
      <c r="AA106" s="6" t="str">
        <f t="shared" si="27"/>
        <v/>
      </c>
      <c r="AB106" s="6" t="str">
        <f t="shared" si="19"/>
        <v/>
      </c>
      <c r="AC106" s="6" t="str">
        <f t="shared" si="20"/>
        <v/>
      </c>
    </row>
    <row r="107" spans="1:29" x14ac:dyDescent="0.2">
      <c r="A107" t="s">
        <v>191</v>
      </c>
      <c r="B107" s="6">
        <v>172.43</v>
      </c>
      <c r="C107" s="6">
        <f t="shared" si="21"/>
        <v>-24.614173916845182</v>
      </c>
      <c r="D107" s="6">
        <f t="shared" si="7"/>
        <v>-2.1287298818361777</v>
      </c>
      <c r="E107" s="6">
        <f t="shared" si="8"/>
        <v>-22.485444035009003</v>
      </c>
      <c r="F107" s="6"/>
      <c r="G107" s="6" t="str">
        <f t="shared" si="22"/>
        <v/>
      </c>
      <c r="H107" s="6" t="str">
        <f t="shared" si="9"/>
        <v/>
      </c>
      <c r="I107" s="6" t="str">
        <f t="shared" si="10"/>
        <v/>
      </c>
      <c r="J107" s="6">
        <v>2074.5</v>
      </c>
      <c r="K107" s="6">
        <f t="shared" si="23"/>
        <v>7.1705326238570066</v>
      </c>
      <c r="L107" s="6">
        <f t="shared" si="11"/>
        <v>3.6860360935785326</v>
      </c>
      <c r="M107" s="6">
        <f t="shared" si="12"/>
        <v>3.4844965302784741</v>
      </c>
      <c r="N107" s="6">
        <v>1054.25</v>
      </c>
      <c r="O107" s="6">
        <f t="shared" si="24"/>
        <v>5.7029988870729964</v>
      </c>
      <c r="P107" s="6">
        <f t="shared" si="13"/>
        <v>22.70442711395539</v>
      </c>
      <c r="Q107" s="6">
        <f t="shared" si="14"/>
        <v>-17.001428226882393</v>
      </c>
      <c r="R107" s="6"/>
      <c r="S107" s="6" t="str">
        <f t="shared" si="25"/>
        <v/>
      </c>
      <c r="T107" s="6" t="str">
        <f t="shared" si="15"/>
        <v/>
      </c>
      <c r="U107" s="6" t="str">
        <f t="shared" si="16"/>
        <v/>
      </c>
      <c r="V107" s="6">
        <v>1.32</v>
      </c>
      <c r="W107" s="6">
        <f t="shared" si="26"/>
        <v>-0.75187969924812581</v>
      </c>
      <c r="X107" s="6">
        <f t="shared" si="17"/>
        <v>-2.6357016247873299</v>
      </c>
      <c r="Y107" s="6">
        <f t="shared" si="18"/>
        <v>1.8838219255392041</v>
      </c>
      <c r="Z107" s="6"/>
      <c r="AA107" s="6" t="str">
        <f t="shared" si="27"/>
        <v/>
      </c>
      <c r="AB107" s="6" t="str">
        <f t="shared" si="19"/>
        <v/>
      </c>
      <c r="AC107" s="6" t="str">
        <f t="shared" si="20"/>
        <v/>
      </c>
    </row>
    <row r="108" spans="1:29" x14ac:dyDescent="0.2">
      <c r="A108" t="s">
        <v>192</v>
      </c>
      <c r="B108" s="6">
        <v>150.22999999999999</v>
      </c>
      <c r="C108" s="6">
        <f t="shared" si="21"/>
        <v>-34.319940541249508</v>
      </c>
      <c r="D108" s="6">
        <f t="shared" si="7"/>
        <v>-2.7683057343380679</v>
      </c>
      <c r="E108" s="6">
        <f t="shared" si="8"/>
        <v>-31.551634806911441</v>
      </c>
      <c r="F108" s="6"/>
      <c r="G108" s="6" t="str">
        <f t="shared" si="22"/>
        <v/>
      </c>
      <c r="H108" s="6" t="str">
        <f t="shared" si="9"/>
        <v/>
      </c>
      <c r="I108" s="6" t="str">
        <f t="shared" si="10"/>
        <v/>
      </c>
      <c r="J108" s="6">
        <v>2074.5</v>
      </c>
      <c r="K108" s="6">
        <f t="shared" si="23"/>
        <v>7.1705326238570066</v>
      </c>
      <c r="L108" s="6">
        <f t="shared" si="11"/>
        <v>3.8354221899088867</v>
      </c>
      <c r="M108" s="6">
        <f t="shared" si="12"/>
        <v>3.3351104339481199</v>
      </c>
      <c r="N108" s="6">
        <v>1056.45</v>
      </c>
      <c r="O108" s="6">
        <f t="shared" si="24"/>
        <v>1.1392465655066797</v>
      </c>
      <c r="P108" s="6">
        <f t="shared" si="13"/>
        <v>22.147288275788483</v>
      </c>
      <c r="Q108" s="6">
        <f t="shared" si="14"/>
        <v>-21.008041710281802</v>
      </c>
      <c r="R108" s="6"/>
      <c r="S108" s="6" t="str">
        <f t="shared" si="25"/>
        <v/>
      </c>
      <c r="T108" s="6" t="str">
        <f t="shared" si="15"/>
        <v/>
      </c>
      <c r="U108" s="6" t="str">
        <f t="shared" si="16"/>
        <v/>
      </c>
      <c r="V108" s="6">
        <v>1.32</v>
      </c>
      <c r="W108" s="6">
        <f t="shared" si="26"/>
        <v>-0.75187969924812581</v>
      </c>
      <c r="X108" s="6">
        <f t="shared" si="17"/>
        <v>-2.5819213407438886</v>
      </c>
      <c r="Y108" s="6">
        <f t="shared" si="18"/>
        <v>1.8300416414957628</v>
      </c>
      <c r="Z108" s="6"/>
      <c r="AA108" s="6" t="str">
        <f t="shared" si="27"/>
        <v/>
      </c>
      <c r="AB108" s="6" t="str">
        <f t="shared" si="19"/>
        <v/>
      </c>
      <c r="AC108" s="6" t="str">
        <f t="shared" si="20"/>
        <v/>
      </c>
    </row>
    <row r="109" spans="1:29" x14ac:dyDescent="0.2">
      <c r="A109" t="s">
        <v>193</v>
      </c>
      <c r="B109" s="6">
        <v>141.72999999999999</v>
      </c>
      <c r="C109" s="6">
        <f t="shared" si="21"/>
        <v>-37.050854985565188</v>
      </c>
      <c r="D109" s="6">
        <f t="shared" si="7"/>
        <v>-3.5855232548898499</v>
      </c>
      <c r="E109" s="6">
        <f t="shared" si="8"/>
        <v>-33.465331730675338</v>
      </c>
      <c r="F109" s="6"/>
      <c r="G109" s="6" t="str">
        <f t="shared" si="22"/>
        <v/>
      </c>
      <c r="H109" s="6" t="str">
        <f t="shared" si="9"/>
        <v/>
      </c>
      <c r="I109" s="6" t="str">
        <f t="shared" si="10"/>
        <v/>
      </c>
      <c r="J109" s="6">
        <v>2074.5</v>
      </c>
      <c r="K109" s="6">
        <f t="shared" si="23"/>
        <v>7.1705326238570066</v>
      </c>
      <c r="L109" s="6">
        <f t="shared" si="11"/>
        <v>3.9848082862392413</v>
      </c>
      <c r="M109" s="6">
        <f t="shared" si="12"/>
        <v>3.1857243376177653</v>
      </c>
      <c r="N109" s="6">
        <v>1110.03</v>
      </c>
      <c r="O109" s="6">
        <f t="shared" si="24"/>
        <v>4.7000565930956251</v>
      </c>
      <c r="P109" s="6">
        <f t="shared" si="13"/>
        <v>21.029096040530721</v>
      </c>
      <c r="Q109" s="6">
        <f t="shared" si="14"/>
        <v>-16.329039447435097</v>
      </c>
      <c r="R109" s="6"/>
      <c r="S109" s="6" t="str">
        <f t="shared" si="25"/>
        <v/>
      </c>
      <c r="T109" s="6" t="str">
        <f t="shared" si="15"/>
        <v/>
      </c>
      <c r="U109" s="6" t="str">
        <f t="shared" si="16"/>
        <v/>
      </c>
      <c r="V109" s="6">
        <v>1.32</v>
      </c>
      <c r="W109" s="6">
        <f t="shared" si="26"/>
        <v>-0.75187969924812581</v>
      </c>
      <c r="X109" s="6">
        <f t="shared" si="17"/>
        <v>-2.5281410567004472</v>
      </c>
      <c r="Y109" s="6">
        <f t="shared" si="18"/>
        <v>1.7762613574523214</v>
      </c>
      <c r="Z109" s="6"/>
      <c r="AA109" s="6" t="str">
        <f t="shared" si="27"/>
        <v/>
      </c>
      <c r="AB109" s="6" t="str">
        <f t="shared" si="19"/>
        <v/>
      </c>
      <c r="AC109" s="6" t="str">
        <f t="shared" si="20"/>
        <v/>
      </c>
    </row>
    <row r="110" spans="1:29" x14ac:dyDescent="0.2">
      <c r="A110" t="s">
        <v>194</v>
      </c>
      <c r="B110" s="6">
        <v>141.72999999999999</v>
      </c>
      <c r="C110" s="6">
        <f t="shared" si="21"/>
        <v>-36.030871998555703</v>
      </c>
      <c r="D110" s="6">
        <f t="shared" si="7"/>
        <v>-4.477537022862351</v>
      </c>
      <c r="E110" s="6">
        <f t="shared" si="8"/>
        <v>-31.553334975693353</v>
      </c>
      <c r="F110" s="6"/>
      <c r="G110" s="6" t="str">
        <f t="shared" si="22"/>
        <v/>
      </c>
      <c r="H110" s="6" t="str">
        <f t="shared" si="9"/>
        <v/>
      </c>
      <c r="I110" s="6" t="str">
        <f t="shared" si="10"/>
        <v/>
      </c>
      <c r="J110" s="6">
        <v>2074.5</v>
      </c>
      <c r="K110" s="6">
        <f t="shared" si="23"/>
        <v>7.1705326238570066</v>
      </c>
      <c r="L110" s="6">
        <f t="shared" si="11"/>
        <v>4.1341943825695955</v>
      </c>
      <c r="M110" s="6">
        <f t="shared" si="12"/>
        <v>3.0363382412874111</v>
      </c>
      <c r="N110" s="6">
        <v>1079.82</v>
      </c>
      <c r="O110" s="6">
        <f t="shared" si="24"/>
        <v>-5.151650899891969</v>
      </c>
      <c r="P110" s="6">
        <f t="shared" si="13"/>
        <v>19.459921199817213</v>
      </c>
      <c r="Q110" s="6">
        <f t="shared" si="14"/>
        <v>-24.611572099709182</v>
      </c>
      <c r="R110" s="6"/>
      <c r="S110" s="6" t="str">
        <f t="shared" si="25"/>
        <v/>
      </c>
      <c r="T110" s="6" t="str">
        <f t="shared" si="15"/>
        <v/>
      </c>
      <c r="U110" s="6" t="str">
        <f t="shared" si="16"/>
        <v/>
      </c>
      <c r="V110" s="6">
        <v>1.32</v>
      </c>
      <c r="W110" s="6">
        <f t="shared" si="26"/>
        <v>-0.75187969924812581</v>
      </c>
      <c r="X110" s="6">
        <f t="shared" si="17"/>
        <v>-2.4743607726570054</v>
      </c>
      <c r="Y110" s="6">
        <f t="shared" si="18"/>
        <v>1.7224810734088796</v>
      </c>
      <c r="Z110" s="6"/>
      <c r="AA110" s="6" t="str">
        <f t="shared" si="27"/>
        <v/>
      </c>
      <c r="AB110" s="6" t="str">
        <f t="shared" si="19"/>
        <v/>
      </c>
      <c r="AC110" s="6" t="str">
        <f t="shared" si="20"/>
        <v/>
      </c>
    </row>
    <row r="111" spans="1:29" x14ac:dyDescent="0.2">
      <c r="A111" t="s">
        <v>195</v>
      </c>
      <c r="B111" s="6">
        <v>143.13999999999999</v>
      </c>
      <c r="C111" s="6">
        <f t="shared" si="21"/>
        <v>-34.333425084870171</v>
      </c>
      <c r="D111" s="6">
        <f t="shared" si="7"/>
        <v>-5.4427905553078864</v>
      </c>
      <c r="E111" s="6">
        <f t="shared" si="8"/>
        <v>-28.890634529562284</v>
      </c>
      <c r="F111" s="6"/>
      <c r="G111" s="6" t="str">
        <f t="shared" si="22"/>
        <v/>
      </c>
      <c r="H111" s="6" t="str">
        <f t="shared" si="9"/>
        <v/>
      </c>
      <c r="I111" s="6" t="str">
        <f t="shared" si="10"/>
        <v/>
      </c>
      <c r="J111" s="6">
        <v>2074.5</v>
      </c>
      <c r="K111" s="6">
        <f t="shared" si="23"/>
        <v>7.1705326238570066</v>
      </c>
      <c r="L111" s="6">
        <f t="shared" si="11"/>
        <v>4.2835804788999505</v>
      </c>
      <c r="M111" s="6">
        <f t="shared" si="12"/>
        <v>2.8869521449570561</v>
      </c>
      <c r="N111" s="6">
        <v>1099.8800000000001</v>
      </c>
      <c r="O111" s="6">
        <f t="shared" si="24"/>
        <v>-23.821001378297691</v>
      </c>
      <c r="P111" s="6">
        <f t="shared" si="13"/>
        <v>17.052217660097032</v>
      </c>
      <c r="Q111" s="6">
        <f t="shared" si="14"/>
        <v>-40.873219038394723</v>
      </c>
      <c r="R111" s="6"/>
      <c r="S111" s="6" t="str">
        <f t="shared" si="25"/>
        <v/>
      </c>
      <c r="T111" s="6" t="str">
        <f t="shared" si="15"/>
        <v/>
      </c>
      <c r="U111" s="6" t="str">
        <f t="shared" si="16"/>
        <v/>
      </c>
      <c r="V111" s="6">
        <v>1.32</v>
      </c>
      <c r="W111" s="6">
        <f t="shared" si="26"/>
        <v>-0.75187969924812581</v>
      </c>
      <c r="X111" s="6">
        <f t="shared" si="17"/>
        <v>-2.4205804886135636</v>
      </c>
      <c r="Y111" s="6">
        <f t="shared" si="18"/>
        <v>1.6687007893654378</v>
      </c>
      <c r="Z111" s="6"/>
      <c r="AA111" s="6" t="str">
        <f t="shared" si="27"/>
        <v/>
      </c>
      <c r="AB111" s="6" t="str">
        <f t="shared" si="19"/>
        <v/>
      </c>
      <c r="AC111" s="6" t="str">
        <f t="shared" si="20"/>
        <v/>
      </c>
    </row>
    <row r="112" spans="1:29" x14ac:dyDescent="0.2">
      <c r="A112" t="s">
        <v>196</v>
      </c>
      <c r="B112" s="6">
        <v>152.83000000000001</v>
      </c>
      <c r="C112" s="6">
        <f t="shared" si="21"/>
        <v>-21.573356596705494</v>
      </c>
      <c r="D112" s="6">
        <f t="shared" si="7"/>
        <v>-6.382600541680298</v>
      </c>
      <c r="E112" s="6">
        <f t="shared" si="8"/>
        <v>-15.190756055025197</v>
      </c>
      <c r="F112" s="6"/>
      <c r="G112" s="6" t="str">
        <f t="shared" si="22"/>
        <v/>
      </c>
      <c r="H112" s="6" t="str">
        <f t="shared" si="9"/>
        <v/>
      </c>
      <c r="I112" s="6" t="str">
        <f t="shared" si="10"/>
        <v/>
      </c>
      <c r="J112" s="6">
        <v>2074.5</v>
      </c>
      <c r="K112" s="6">
        <f t="shared" si="23"/>
        <v>7.1705326238570066</v>
      </c>
      <c r="L112" s="6">
        <f t="shared" si="11"/>
        <v>4.4329665752303047</v>
      </c>
      <c r="M112" s="6">
        <f t="shared" si="12"/>
        <v>2.7375660486267019</v>
      </c>
      <c r="N112" s="6">
        <v>1184.98</v>
      </c>
      <c r="O112" s="6">
        <f t="shared" si="24"/>
        <v>-10.506083423332246</v>
      </c>
      <c r="P112" s="6">
        <f t="shared" si="13"/>
        <v>14.121234663462468</v>
      </c>
      <c r="Q112" s="6">
        <f t="shared" si="14"/>
        <v>-24.627318086794716</v>
      </c>
      <c r="R112" s="6"/>
      <c r="S112" s="6" t="str">
        <f t="shared" si="25"/>
        <v/>
      </c>
      <c r="T112" s="6" t="str">
        <f t="shared" si="15"/>
        <v/>
      </c>
      <c r="U112" s="6" t="str">
        <f t="shared" si="16"/>
        <v/>
      </c>
      <c r="V112" s="6">
        <v>1.32</v>
      </c>
      <c r="W112" s="6">
        <f t="shared" si="26"/>
        <v>-0.75187969924812581</v>
      </c>
      <c r="X112" s="6">
        <f t="shared" si="17"/>
        <v>-2.3668002045701217</v>
      </c>
      <c r="Y112" s="6">
        <f t="shared" si="18"/>
        <v>1.6149205053219959</v>
      </c>
      <c r="Z112" s="6"/>
      <c r="AA112" s="6" t="str">
        <f t="shared" si="27"/>
        <v/>
      </c>
      <c r="AB112" s="6" t="str">
        <f t="shared" si="19"/>
        <v/>
      </c>
      <c r="AC112" s="6" t="str">
        <f t="shared" si="20"/>
        <v/>
      </c>
    </row>
    <row r="113" spans="1:29" x14ac:dyDescent="0.2">
      <c r="A113" t="s">
        <v>197</v>
      </c>
      <c r="B113" s="6">
        <v>158.26</v>
      </c>
      <c r="C113" s="6">
        <f t="shared" si="21"/>
        <v>-17.284273245178493</v>
      </c>
      <c r="D113" s="6">
        <f t="shared" si="7"/>
        <v>-7.0971365132360438</v>
      </c>
      <c r="E113" s="6">
        <f t="shared" si="8"/>
        <v>-10.187136731942449</v>
      </c>
      <c r="F113" s="6"/>
      <c r="G113" s="6" t="str">
        <f t="shared" si="22"/>
        <v/>
      </c>
      <c r="H113" s="6" t="str">
        <f t="shared" si="9"/>
        <v/>
      </c>
      <c r="I113" s="6" t="str">
        <f t="shared" si="10"/>
        <v/>
      </c>
      <c r="J113" s="6">
        <v>2363.4</v>
      </c>
      <c r="K113" s="6">
        <f t="shared" si="23"/>
        <v>13.926247288503269</v>
      </c>
      <c r="L113" s="6">
        <f t="shared" si="11"/>
        <v>4.5823526715606588</v>
      </c>
      <c r="M113" s="6">
        <f t="shared" si="12"/>
        <v>9.3438946169426096</v>
      </c>
      <c r="N113" s="6">
        <v>1255.53</v>
      </c>
      <c r="O113" s="6">
        <f t="shared" si="24"/>
        <v>-10.876308784383315</v>
      </c>
      <c r="P113" s="6">
        <f t="shared" si="13"/>
        <v>11.918618525757347</v>
      </c>
      <c r="Q113" s="6">
        <f t="shared" si="14"/>
        <v>-22.794927310140665</v>
      </c>
      <c r="R113" s="6"/>
      <c r="S113" s="6" t="str">
        <f t="shared" si="25"/>
        <v/>
      </c>
      <c r="T113" s="6" t="str">
        <f t="shared" si="15"/>
        <v/>
      </c>
      <c r="U113" s="6" t="str">
        <f t="shared" si="16"/>
        <v/>
      </c>
      <c r="V113" s="6">
        <v>1.27</v>
      </c>
      <c r="W113" s="6">
        <f t="shared" si="26"/>
        <v>-3.7878787878787956</v>
      </c>
      <c r="X113" s="6">
        <f t="shared" si="17"/>
        <v>-2.3130199205266799</v>
      </c>
      <c r="Y113" s="6">
        <f t="shared" si="18"/>
        <v>-1.4748588673521157</v>
      </c>
      <c r="Z113" s="6"/>
      <c r="AA113" s="6" t="str">
        <f t="shared" si="27"/>
        <v/>
      </c>
      <c r="AB113" s="6" t="str">
        <f t="shared" si="19"/>
        <v/>
      </c>
      <c r="AC113" s="6" t="str">
        <f t="shared" si="20"/>
        <v/>
      </c>
    </row>
    <row r="114" spans="1:29" x14ac:dyDescent="0.2">
      <c r="A114" t="s">
        <v>198</v>
      </c>
      <c r="B114" s="6">
        <v>158.26</v>
      </c>
      <c r="C114" s="6">
        <f t="shared" si="21"/>
        <v>-17.284273245178493</v>
      </c>
      <c r="D114" s="6">
        <f t="shared" si="7"/>
        <v>-7.7555986675233362</v>
      </c>
      <c r="E114" s="6">
        <f t="shared" si="8"/>
        <v>-9.5286745776551562</v>
      </c>
      <c r="F114" s="6"/>
      <c r="G114" s="6" t="str">
        <f t="shared" si="22"/>
        <v/>
      </c>
      <c r="H114" s="6" t="str">
        <f t="shared" si="9"/>
        <v/>
      </c>
      <c r="I114" s="6" t="str">
        <f t="shared" si="10"/>
        <v/>
      </c>
      <c r="J114" s="6">
        <v>2363.4</v>
      </c>
      <c r="K114" s="6">
        <f t="shared" si="23"/>
        <v>13.926247288503269</v>
      </c>
      <c r="L114" s="6">
        <f t="shared" si="11"/>
        <v>4.8796626051391128</v>
      </c>
      <c r="M114" s="6">
        <f t="shared" si="12"/>
        <v>9.0465846833641557</v>
      </c>
      <c r="N114" s="6">
        <v>1285.29</v>
      </c>
      <c r="O114" s="6">
        <f t="shared" si="24"/>
        <v>-25.266016210998821</v>
      </c>
      <c r="P114" s="6">
        <f t="shared" si="13"/>
        <v>10.595693062016503</v>
      </c>
      <c r="Q114" s="6">
        <f t="shared" si="14"/>
        <v>-35.861709273015322</v>
      </c>
      <c r="R114" s="6"/>
      <c r="S114" s="6" t="str">
        <f t="shared" si="25"/>
        <v/>
      </c>
      <c r="T114" s="6" t="str">
        <f t="shared" si="15"/>
        <v/>
      </c>
      <c r="U114" s="6" t="str">
        <f t="shared" si="16"/>
        <v/>
      </c>
      <c r="V114" s="6">
        <v>1.27</v>
      </c>
      <c r="W114" s="6">
        <f t="shared" si="26"/>
        <v>-3.7878787878787956</v>
      </c>
      <c r="X114" s="6">
        <f t="shared" si="17"/>
        <v>-2.3488306136649593</v>
      </c>
      <c r="Y114" s="6">
        <f t="shared" si="18"/>
        <v>-1.4390481742138364</v>
      </c>
      <c r="Z114" s="6"/>
      <c r="AA114" s="6" t="str">
        <f t="shared" si="27"/>
        <v/>
      </c>
      <c r="AB114" s="6" t="str">
        <f t="shared" si="19"/>
        <v/>
      </c>
      <c r="AC114" s="6" t="str">
        <f t="shared" si="20"/>
        <v/>
      </c>
    </row>
    <row r="115" spans="1:29" x14ac:dyDescent="0.2">
      <c r="A115" t="s">
        <v>199</v>
      </c>
      <c r="B115" s="6">
        <v>179.52</v>
      </c>
      <c r="C115" s="6">
        <f t="shared" si="21"/>
        <v>-6.1725814038572135</v>
      </c>
      <c r="D115" s="6">
        <f t="shared" si="7"/>
        <v>-8.5673945596238905</v>
      </c>
      <c r="E115" s="6">
        <f t="shared" si="8"/>
        <v>2.394813155766677</v>
      </c>
      <c r="F115" s="6"/>
      <c r="G115" s="6" t="str">
        <f t="shared" si="22"/>
        <v/>
      </c>
      <c r="H115" s="6" t="str">
        <f t="shared" si="9"/>
        <v/>
      </c>
      <c r="I115" s="6" t="str">
        <f t="shared" si="10"/>
        <v/>
      </c>
      <c r="J115" s="6">
        <v>2363.4</v>
      </c>
      <c r="K115" s="6">
        <f t="shared" si="23"/>
        <v>13.926247288503269</v>
      </c>
      <c r="L115" s="6">
        <f t="shared" si="11"/>
        <v>5.1781643605037884</v>
      </c>
      <c r="M115" s="6">
        <f t="shared" si="12"/>
        <v>8.7480829279994801</v>
      </c>
      <c r="N115" s="6">
        <v>1278.46</v>
      </c>
      <c r="O115" s="6">
        <f t="shared" si="24"/>
        <v>-24.844216615326729</v>
      </c>
      <c r="P115" s="6">
        <f t="shared" si="13"/>
        <v>8.6095820694061942</v>
      </c>
      <c r="Q115" s="6">
        <f t="shared" si="14"/>
        <v>-33.453798684732924</v>
      </c>
      <c r="R115" s="6"/>
      <c r="S115" s="6" t="str">
        <f t="shared" si="25"/>
        <v/>
      </c>
      <c r="T115" s="6" t="str">
        <f t="shared" si="15"/>
        <v/>
      </c>
      <c r="U115" s="6" t="str">
        <f t="shared" si="16"/>
        <v/>
      </c>
      <c r="V115" s="6">
        <v>1.27</v>
      </c>
      <c r="W115" s="6">
        <f t="shared" si="26"/>
        <v>-3.7878787878787956</v>
      </c>
      <c r="X115" s="6">
        <f t="shared" si="17"/>
        <v>-2.3846413068032386</v>
      </c>
      <c r="Y115" s="6">
        <f t="shared" si="18"/>
        <v>-1.403237481075557</v>
      </c>
      <c r="Z115" s="6"/>
      <c r="AA115" s="6" t="str">
        <f t="shared" si="27"/>
        <v/>
      </c>
      <c r="AB115" s="6" t="str">
        <f t="shared" si="19"/>
        <v/>
      </c>
      <c r="AC115" s="6" t="str">
        <f t="shared" si="20"/>
        <v/>
      </c>
    </row>
    <row r="116" spans="1:29" x14ac:dyDescent="0.2">
      <c r="A116" t="s">
        <v>200</v>
      </c>
      <c r="B116" s="6">
        <v>170.07</v>
      </c>
      <c r="C116" s="6">
        <f t="shared" si="21"/>
        <v>-10.001587553579938</v>
      </c>
      <c r="D116" s="6">
        <f t="shared" si="7"/>
        <v>-9.2260831945782087</v>
      </c>
      <c r="E116" s="6">
        <f t="shared" si="8"/>
        <v>-0.77550435900172943</v>
      </c>
      <c r="F116" s="6"/>
      <c r="G116" s="6" t="str">
        <f t="shared" si="22"/>
        <v/>
      </c>
      <c r="H116" s="6" t="str">
        <f t="shared" si="9"/>
        <v/>
      </c>
      <c r="I116" s="6" t="str">
        <f t="shared" si="10"/>
        <v/>
      </c>
      <c r="J116" s="6">
        <v>2363.4</v>
      </c>
      <c r="K116" s="6">
        <f t="shared" si="23"/>
        <v>13.926247288503269</v>
      </c>
      <c r="L116" s="6">
        <f t="shared" si="11"/>
        <v>5.476666115868464</v>
      </c>
      <c r="M116" s="6">
        <f t="shared" si="12"/>
        <v>8.4495811726348045</v>
      </c>
      <c r="N116" s="6">
        <v>1388.03</v>
      </c>
      <c r="O116" s="6">
        <f t="shared" si="24"/>
        <v>10.592069094646606</v>
      </c>
      <c r="P116" s="6">
        <f t="shared" si="13"/>
        <v>6.7162550084093153</v>
      </c>
      <c r="Q116" s="6">
        <f t="shared" si="14"/>
        <v>3.8758140862372903</v>
      </c>
      <c r="R116" s="6"/>
      <c r="S116" s="6" t="str">
        <f t="shared" si="25"/>
        <v/>
      </c>
      <c r="T116" s="6" t="str">
        <f t="shared" si="15"/>
        <v/>
      </c>
      <c r="U116" s="6" t="str">
        <f t="shared" si="16"/>
        <v/>
      </c>
      <c r="V116" s="6">
        <v>1.27</v>
      </c>
      <c r="W116" s="6">
        <f t="shared" si="26"/>
        <v>-3.7878787878787956</v>
      </c>
      <c r="X116" s="6">
        <f t="shared" si="17"/>
        <v>-2.4204519999415184</v>
      </c>
      <c r="Y116" s="6">
        <f t="shared" si="18"/>
        <v>-1.3674267879372772</v>
      </c>
      <c r="Z116" s="6"/>
      <c r="AA116" s="6" t="str">
        <f t="shared" si="27"/>
        <v/>
      </c>
      <c r="AB116" s="6" t="str">
        <f t="shared" si="19"/>
        <v/>
      </c>
      <c r="AC116" s="6" t="str">
        <f t="shared" si="20"/>
        <v/>
      </c>
    </row>
    <row r="117" spans="1:29" x14ac:dyDescent="0.2">
      <c r="A117" t="s">
        <v>201</v>
      </c>
      <c r="B117" s="6">
        <v>166.29</v>
      </c>
      <c r="C117" s="6">
        <f t="shared" si="21"/>
        <v>-10.659216676516415</v>
      </c>
      <c r="D117" s="6">
        <f t="shared" si="7"/>
        <v>-10.013839220885737</v>
      </c>
      <c r="E117" s="6">
        <f t="shared" si="8"/>
        <v>-0.64537745563067794</v>
      </c>
      <c r="F117" s="6"/>
      <c r="G117" s="6" t="str">
        <f t="shared" si="22"/>
        <v/>
      </c>
      <c r="H117" s="6" t="str">
        <f t="shared" si="9"/>
        <v/>
      </c>
      <c r="I117" s="6" t="str">
        <f t="shared" si="10"/>
        <v/>
      </c>
      <c r="J117" s="6">
        <v>2363.4</v>
      </c>
      <c r="K117" s="6">
        <f t="shared" si="23"/>
        <v>13.926247288503269</v>
      </c>
      <c r="L117" s="6">
        <f t="shared" si="11"/>
        <v>5.7739760494469161</v>
      </c>
      <c r="M117" s="6">
        <f t="shared" si="12"/>
        <v>8.1522712390563541</v>
      </c>
      <c r="N117" s="6">
        <v>1392.44</v>
      </c>
      <c r="O117" s="6">
        <f t="shared" si="24"/>
        <v>26.980247679147908</v>
      </c>
      <c r="P117" s="6">
        <f t="shared" si="13"/>
        <v>5.7598431665464824</v>
      </c>
      <c r="Q117" s="6">
        <f t="shared" si="14"/>
        <v>21.220404512601426</v>
      </c>
      <c r="R117" s="6"/>
      <c r="S117" s="6" t="str">
        <f t="shared" si="25"/>
        <v/>
      </c>
      <c r="T117" s="6" t="str">
        <f t="shared" si="15"/>
        <v/>
      </c>
      <c r="U117" s="6" t="str">
        <f t="shared" si="16"/>
        <v/>
      </c>
      <c r="V117" s="6">
        <v>1.27</v>
      </c>
      <c r="W117" s="6">
        <f t="shared" si="26"/>
        <v>-3.7878787878787956</v>
      </c>
      <c r="X117" s="6">
        <f t="shared" si="17"/>
        <v>-2.4562626930797977</v>
      </c>
      <c r="Y117" s="6">
        <f t="shared" si="18"/>
        <v>-1.3316160947989979</v>
      </c>
      <c r="Z117" s="6"/>
      <c r="AA117" s="6" t="str">
        <f t="shared" si="27"/>
        <v/>
      </c>
      <c r="AB117" s="6" t="str">
        <f t="shared" si="19"/>
        <v/>
      </c>
      <c r="AC117" s="6" t="str">
        <f t="shared" si="20"/>
        <v/>
      </c>
    </row>
    <row r="118" spans="1:29" x14ac:dyDescent="0.2">
      <c r="A118" t="s">
        <v>202</v>
      </c>
      <c r="B118" s="6">
        <v>165.35</v>
      </c>
      <c r="C118" s="6">
        <f t="shared" si="21"/>
        <v>-5.4007666342468124</v>
      </c>
      <c r="D118" s="6">
        <f t="shared" si="7"/>
        <v>-10.864592283821766</v>
      </c>
      <c r="E118" s="6">
        <f t="shared" si="8"/>
        <v>5.4638256495749538</v>
      </c>
      <c r="F118" s="6"/>
      <c r="G118" s="6" t="str">
        <f t="shared" si="22"/>
        <v/>
      </c>
      <c r="H118" s="6" t="str">
        <f t="shared" si="9"/>
        <v/>
      </c>
      <c r="I118" s="6" t="str">
        <f t="shared" si="10"/>
        <v/>
      </c>
      <c r="J118" s="6">
        <v>2363.4</v>
      </c>
      <c r="K118" s="6">
        <f t="shared" si="23"/>
        <v>13.926247288503269</v>
      </c>
      <c r="L118" s="6">
        <f t="shared" si="11"/>
        <v>6.0724778048115908</v>
      </c>
      <c r="M118" s="6">
        <f t="shared" si="12"/>
        <v>7.8537694836916785</v>
      </c>
      <c r="N118" s="6">
        <v>1483.04</v>
      </c>
      <c r="O118" s="6">
        <f t="shared" si="24"/>
        <v>30.468901205243238</v>
      </c>
      <c r="P118" s="6">
        <f t="shared" si="13"/>
        <v>4.9378636715811286</v>
      </c>
      <c r="Q118" s="6">
        <f t="shared" si="14"/>
        <v>25.531037533662108</v>
      </c>
      <c r="R118" s="6"/>
      <c r="S118" s="6" t="str">
        <f t="shared" si="25"/>
        <v/>
      </c>
      <c r="T118" s="6" t="str">
        <f t="shared" si="15"/>
        <v/>
      </c>
      <c r="U118" s="6" t="str">
        <f t="shared" si="16"/>
        <v/>
      </c>
      <c r="V118" s="6">
        <v>1.27</v>
      </c>
      <c r="W118" s="6">
        <f t="shared" si="26"/>
        <v>-3.7878787878787956</v>
      </c>
      <c r="X118" s="6">
        <f t="shared" si="17"/>
        <v>-2.4920733862180771</v>
      </c>
      <c r="Y118" s="6">
        <f t="shared" si="18"/>
        <v>-1.2958054016607186</v>
      </c>
      <c r="Z118" s="6"/>
      <c r="AA118" s="6" t="str">
        <f t="shared" si="27"/>
        <v/>
      </c>
      <c r="AB118" s="6" t="str">
        <f t="shared" si="19"/>
        <v/>
      </c>
      <c r="AC118" s="6" t="str">
        <f t="shared" si="20"/>
        <v/>
      </c>
    </row>
    <row r="119" spans="1:29" x14ac:dyDescent="0.2">
      <c r="A119" t="s">
        <v>203</v>
      </c>
      <c r="B119" s="6">
        <v>161.80000000000001</v>
      </c>
      <c r="C119" s="6">
        <f t="shared" si="21"/>
        <v>-6.1648205068723483</v>
      </c>
      <c r="D119" s="6">
        <f t="shared" si="7"/>
        <v>-11.519490856382989</v>
      </c>
      <c r="E119" s="6">
        <f t="shared" si="8"/>
        <v>5.3546703495106405</v>
      </c>
      <c r="F119" s="6"/>
      <c r="G119" s="6" t="str">
        <f t="shared" si="22"/>
        <v/>
      </c>
      <c r="H119" s="6" t="str">
        <f t="shared" si="9"/>
        <v/>
      </c>
      <c r="I119" s="6" t="str">
        <f t="shared" si="10"/>
        <v/>
      </c>
      <c r="J119" s="6">
        <v>2363.4</v>
      </c>
      <c r="K119" s="6">
        <f t="shared" si="23"/>
        <v>13.926247288503269</v>
      </c>
      <c r="L119" s="6">
        <f t="shared" si="11"/>
        <v>6.3709795601762664</v>
      </c>
      <c r="M119" s="6">
        <f t="shared" si="12"/>
        <v>7.5552677283270029</v>
      </c>
      <c r="N119" s="6">
        <v>1453.95</v>
      </c>
      <c r="O119" s="6">
        <f t="shared" si="24"/>
        <v>37.913208442020398</v>
      </c>
      <c r="P119" s="6">
        <f t="shared" si="13"/>
        <v>4.2829670870838834</v>
      </c>
      <c r="Q119" s="6">
        <f t="shared" si="14"/>
        <v>33.630241354936516</v>
      </c>
      <c r="R119" s="6"/>
      <c r="S119" s="6" t="str">
        <f t="shared" si="25"/>
        <v/>
      </c>
      <c r="T119" s="6" t="str">
        <f t="shared" si="15"/>
        <v/>
      </c>
      <c r="U119" s="6" t="str">
        <f t="shared" si="16"/>
        <v/>
      </c>
      <c r="V119" s="6">
        <v>1.27</v>
      </c>
      <c r="W119" s="6">
        <f t="shared" si="26"/>
        <v>-3.7878787878787956</v>
      </c>
      <c r="X119" s="6">
        <f t="shared" si="17"/>
        <v>-2.5278840793563568</v>
      </c>
      <c r="Y119" s="6">
        <f t="shared" si="18"/>
        <v>-1.2599947085224388</v>
      </c>
      <c r="Z119" s="6"/>
      <c r="AA119" s="6" t="str">
        <f t="shared" si="27"/>
        <v/>
      </c>
      <c r="AB119" s="6" t="str">
        <f t="shared" si="19"/>
        <v/>
      </c>
      <c r="AC119" s="6" t="str">
        <f t="shared" si="20"/>
        <v/>
      </c>
    </row>
    <row r="120" spans="1:29" x14ac:dyDescent="0.2">
      <c r="A120" t="s">
        <v>204</v>
      </c>
      <c r="B120" s="6">
        <v>171.49</v>
      </c>
      <c r="C120" s="6">
        <f t="shared" si="21"/>
        <v>14.151634160953218</v>
      </c>
      <c r="D120" s="6">
        <f t="shared" si="7"/>
        <v>-12.043186082623691</v>
      </c>
      <c r="E120" s="6">
        <f t="shared" si="8"/>
        <v>26.19482024357691</v>
      </c>
      <c r="F120" s="6"/>
      <c r="G120" s="6" t="str">
        <f t="shared" si="22"/>
        <v/>
      </c>
      <c r="H120" s="6" t="str">
        <f t="shared" si="9"/>
        <v/>
      </c>
      <c r="I120" s="6" t="str">
        <f t="shared" si="10"/>
        <v/>
      </c>
      <c r="J120" s="6">
        <v>2363.4</v>
      </c>
      <c r="K120" s="6">
        <f t="shared" si="23"/>
        <v>13.926247288503269</v>
      </c>
      <c r="L120" s="6">
        <f t="shared" si="11"/>
        <v>6.6682894937547195</v>
      </c>
      <c r="M120" s="6">
        <f t="shared" si="12"/>
        <v>7.2579577947485499</v>
      </c>
      <c r="N120" s="6">
        <v>1606.73</v>
      </c>
      <c r="O120" s="6">
        <f t="shared" si="24"/>
        <v>52.08765204221686</v>
      </c>
      <c r="P120" s="6">
        <f t="shared" si="13"/>
        <v>4.3926932298774508</v>
      </c>
      <c r="Q120" s="6">
        <f t="shared" si="14"/>
        <v>47.694958812339408</v>
      </c>
      <c r="R120" s="6"/>
      <c r="S120" s="6" t="str">
        <f t="shared" si="25"/>
        <v/>
      </c>
      <c r="T120" s="6" t="str">
        <f t="shared" si="15"/>
        <v/>
      </c>
      <c r="U120" s="6" t="str">
        <f t="shared" si="16"/>
        <v/>
      </c>
      <c r="V120" s="6">
        <v>1.27</v>
      </c>
      <c r="W120" s="6">
        <f t="shared" si="26"/>
        <v>-3.7878787878787956</v>
      </c>
      <c r="X120" s="6">
        <f t="shared" si="17"/>
        <v>-2.5636947724946362</v>
      </c>
      <c r="Y120" s="6">
        <f t="shared" si="18"/>
        <v>-1.2241840153841594</v>
      </c>
      <c r="Z120" s="6"/>
      <c r="AA120" s="6" t="str">
        <f t="shared" si="27"/>
        <v/>
      </c>
      <c r="AB120" s="6" t="str">
        <f t="shared" si="19"/>
        <v/>
      </c>
      <c r="AC120" s="6" t="str">
        <f t="shared" si="20"/>
        <v/>
      </c>
    </row>
    <row r="121" spans="1:29" x14ac:dyDescent="0.2">
      <c r="A121" t="s">
        <v>205</v>
      </c>
      <c r="B121" s="6">
        <v>180.94</v>
      </c>
      <c r="C121" s="6">
        <f t="shared" si="21"/>
        <v>27.665279051718073</v>
      </c>
      <c r="D121" s="6">
        <f t="shared" si="7"/>
        <v>-11.943236301107214</v>
      </c>
      <c r="E121" s="6">
        <f t="shared" si="8"/>
        <v>39.608515352825286</v>
      </c>
      <c r="F121" s="6"/>
      <c r="G121" s="6" t="str">
        <f t="shared" si="22"/>
        <v/>
      </c>
      <c r="H121" s="6" t="str">
        <f t="shared" si="9"/>
        <v/>
      </c>
      <c r="I121" s="6" t="str">
        <f t="shared" si="10"/>
        <v/>
      </c>
      <c r="J121" s="6">
        <v>2363.4</v>
      </c>
      <c r="K121" s="6">
        <f t="shared" si="23"/>
        <v>13.926247288503269</v>
      </c>
      <c r="L121" s="6">
        <f t="shared" si="11"/>
        <v>6.9667912491193933</v>
      </c>
      <c r="M121" s="6">
        <f t="shared" si="12"/>
        <v>6.959456039383876</v>
      </c>
      <c r="N121" s="6">
        <v>1578.95</v>
      </c>
      <c r="O121" s="6">
        <f t="shared" si="24"/>
        <v>42.243903317928357</v>
      </c>
      <c r="P121" s="6">
        <f t="shared" si="13"/>
        <v>5.038871029739787</v>
      </c>
      <c r="Q121" s="6">
        <f t="shared" si="14"/>
        <v>37.205032288188569</v>
      </c>
      <c r="R121" s="6"/>
      <c r="S121" s="6" t="str">
        <f t="shared" si="25"/>
        <v/>
      </c>
      <c r="T121" s="6" t="str">
        <f t="shared" si="15"/>
        <v/>
      </c>
      <c r="U121" s="6" t="str">
        <f t="shared" si="16"/>
        <v/>
      </c>
      <c r="V121" s="6">
        <v>1.27</v>
      </c>
      <c r="W121" s="6">
        <f t="shared" si="26"/>
        <v>-3.7878787878787956</v>
      </c>
      <c r="X121" s="6">
        <f t="shared" si="17"/>
        <v>-2.599505465632916</v>
      </c>
      <c r="Y121" s="6">
        <f t="shared" si="18"/>
        <v>-1.1883733222458797</v>
      </c>
      <c r="Z121" s="6"/>
      <c r="AA121" s="6" t="str">
        <f t="shared" si="27"/>
        <v/>
      </c>
      <c r="AB121" s="6" t="str">
        <f t="shared" si="19"/>
        <v/>
      </c>
      <c r="AC121" s="6" t="str">
        <f t="shared" si="20"/>
        <v/>
      </c>
    </row>
    <row r="122" spans="1:29" x14ac:dyDescent="0.2">
      <c r="A122" t="s">
        <v>206</v>
      </c>
      <c r="B122" s="6">
        <v>203.14</v>
      </c>
      <c r="C122" s="6">
        <f t="shared" si="21"/>
        <v>43.328864742820848</v>
      </c>
      <c r="D122" s="6">
        <f t="shared" si="7"/>
        <v>-11.446596379798052</v>
      </c>
      <c r="E122" s="6">
        <f t="shared" si="8"/>
        <v>54.7754611226189</v>
      </c>
      <c r="F122" s="6"/>
      <c r="G122" s="6" t="str">
        <f t="shared" si="22"/>
        <v/>
      </c>
      <c r="H122" s="6" t="str">
        <f t="shared" si="9"/>
        <v/>
      </c>
      <c r="I122" s="6" t="str">
        <f t="shared" si="10"/>
        <v/>
      </c>
      <c r="J122" s="6">
        <v>2363.4</v>
      </c>
      <c r="K122" s="6">
        <f t="shared" si="23"/>
        <v>13.926247288503269</v>
      </c>
      <c r="L122" s="6">
        <f t="shared" si="11"/>
        <v>7.2652930044840689</v>
      </c>
      <c r="M122" s="6">
        <f t="shared" si="12"/>
        <v>6.6609542840192004</v>
      </c>
      <c r="N122" s="6">
        <v>1554.48</v>
      </c>
      <c r="O122" s="6">
        <f t="shared" si="24"/>
        <v>43.957326221036851</v>
      </c>
      <c r="P122" s="6">
        <f t="shared" si="13"/>
        <v>5.6217225968445916</v>
      </c>
      <c r="Q122" s="6">
        <f t="shared" si="14"/>
        <v>38.33560362419226</v>
      </c>
      <c r="R122" s="6"/>
      <c r="S122" s="6" t="str">
        <f t="shared" si="25"/>
        <v/>
      </c>
      <c r="T122" s="6" t="str">
        <f t="shared" si="15"/>
        <v/>
      </c>
      <c r="U122" s="6" t="str">
        <f t="shared" si="16"/>
        <v/>
      </c>
      <c r="V122" s="6">
        <v>1.27</v>
      </c>
      <c r="W122" s="6">
        <f t="shared" si="26"/>
        <v>-3.7878787878787956</v>
      </c>
      <c r="X122" s="6">
        <f t="shared" si="17"/>
        <v>-2.6353161587711953</v>
      </c>
      <c r="Y122" s="6">
        <f t="shared" si="18"/>
        <v>-1.1525626291076003</v>
      </c>
      <c r="Z122" s="6"/>
      <c r="AA122" s="6" t="str">
        <f t="shared" si="27"/>
        <v/>
      </c>
      <c r="AB122" s="6" t="str">
        <f t="shared" si="19"/>
        <v/>
      </c>
      <c r="AC122" s="6" t="str">
        <f t="shared" si="20"/>
        <v/>
      </c>
    </row>
    <row r="123" spans="1:29" x14ac:dyDescent="0.2">
      <c r="A123" t="s">
        <v>207</v>
      </c>
      <c r="B123" s="6">
        <v>203.14</v>
      </c>
      <c r="C123" s="6">
        <f t="shared" si="21"/>
        <v>41.917004331423783</v>
      </c>
      <c r="D123" s="6">
        <f t="shared" si="7"/>
        <v>-10.539342437643453</v>
      </c>
      <c r="E123" s="6">
        <f t="shared" si="8"/>
        <v>52.456346769067238</v>
      </c>
      <c r="F123" s="6"/>
      <c r="G123" s="6" t="str">
        <f t="shared" si="22"/>
        <v/>
      </c>
      <c r="H123" s="6" t="str">
        <f t="shared" si="9"/>
        <v/>
      </c>
      <c r="I123" s="6" t="str">
        <f t="shared" si="10"/>
        <v/>
      </c>
      <c r="J123" s="6">
        <v>2363.4</v>
      </c>
      <c r="K123" s="6">
        <f t="shared" si="23"/>
        <v>13.926247288503269</v>
      </c>
      <c r="L123" s="6">
        <f t="shared" si="11"/>
        <v>7.5626029380625219</v>
      </c>
      <c r="M123" s="6">
        <f t="shared" si="12"/>
        <v>6.3636443504407474</v>
      </c>
      <c r="N123" s="6">
        <v>1631.42</v>
      </c>
      <c r="O123" s="6">
        <f t="shared" si="24"/>
        <v>48.327090228024858</v>
      </c>
      <c r="P123" s="6">
        <f t="shared" si="13"/>
        <v>6.470549252048265</v>
      </c>
      <c r="Q123" s="6">
        <f t="shared" si="14"/>
        <v>41.856540975976593</v>
      </c>
      <c r="R123" s="6"/>
      <c r="S123" s="6" t="str">
        <f t="shared" si="25"/>
        <v/>
      </c>
      <c r="T123" s="6" t="str">
        <f t="shared" si="15"/>
        <v/>
      </c>
      <c r="U123" s="6" t="str">
        <f t="shared" si="16"/>
        <v/>
      </c>
      <c r="V123" s="6">
        <v>1.27</v>
      </c>
      <c r="W123" s="6">
        <f t="shared" si="26"/>
        <v>-3.7878787878787956</v>
      </c>
      <c r="X123" s="6">
        <f t="shared" si="17"/>
        <v>-2.6711268519094751</v>
      </c>
      <c r="Y123" s="6">
        <f t="shared" si="18"/>
        <v>-1.1167519359693205</v>
      </c>
      <c r="Z123" s="6"/>
      <c r="AA123" s="6" t="str">
        <f t="shared" si="27"/>
        <v/>
      </c>
      <c r="AB123" s="6" t="str">
        <f t="shared" si="19"/>
        <v/>
      </c>
      <c r="AC123" s="6" t="str">
        <f t="shared" si="20"/>
        <v/>
      </c>
    </row>
    <row r="124" spans="1:29" x14ac:dyDescent="0.2">
      <c r="A124" t="s">
        <v>208</v>
      </c>
      <c r="B124" s="6">
        <v>255.11</v>
      </c>
      <c r="C124" s="6">
        <f t="shared" si="21"/>
        <v>66.924033239547214</v>
      </c>
      <c r="D124" s="6">
        <f t="shared" si="7"/>
        <v>-9.6277409921885866</v>
      </c>
      <c r="E124" s="6">
        <f t="shared" si="8"/>
        <v>76.551774231735806</v>
      </c>
      <c r="F124" s="6"/>
      <c r="G124" s="6" t="str">
        <f t="shared" si="22"/>
        <v/>
      </c>
      <c r="H124" s="6" t="str">
        <f t="shared" si="9"/>
        <v/>
      </c>
      <c r="I124" s="6" t="str">
        <f t="shared" si="10"/>
        <v/>
      </c>
      <c r="J124" s="6">
        <v>2363.4</v>
      </c>
      <c r="K124" s="6">
        <f t="shared" si="23"/>
        <v>13.926247288503269</v>
      </c>
      <c r="L124" s="6">
        <f t="shared" si="11"/>
        <v>7.8611046934271966</v>
      </c>
      <c r="M124" s="6">
        <f t="shared" si="12"/>
        <v>6.0651425950760727</v>
      </c>
      <c r="N124" s="6">
        <v>1699.76</v>
      </c>
      <c r="O124" s="6">
        <f t="shared" si="24"/>
        <v>43.442083410690472</v>
      </c>
      <c r="P124" s="6">
        <f t="shared" si="13"/>
        <v>7.3750246071124508</v>
      </c>
      <c r="Q124" s="6">
        <f t="shared" si="14"/>
        <v>36.067058803578021</v>
      </c>
      <c r="R124" s="6"/>
      <c r="S124" s="6" t="str">
        <f t="shared" si="25"/>
        <v/>
      </c>
      <c r="T124" s="6" t="str">
        <f t="shared" si="15"/>
        <v/>
      </c>
      <c r="U124" s="6" t="str">
        <f t="shared" si="16"/>
        <v/>
      </c>
      <c r="V124" s="6">
        <v>1.27</v>
      </c>
      <c r="W124" s="6">
        <f t="shared" si="26"/>
        <v>-3.7878787878787956</v>
      </c>
      <c r="X124" s="6">
        <f t="shared" si="17"/>
        <v>-2.7069375450477544</v>
      </c>
      <c r="Y124" s="6">
        <f t="shared" si="18"/>
        <v>-1.0809412428310412</v>
      </c>
      <c r="Z124" s="6"/>
      <c r="AA124" s="6" t="str">
        <f t="shared" si="27"/>
        <v/>
      </c>
      <c r="AB124" s="6" t="str">
        <f t="shared" si="19"/>
        <v/>
      </c>
      <c r="AC124" s="6" t="str">
        <f t="shared" si="20"/>
        <v/>
      </c>
    </row>
    <row r="125" spans="1:29" x14ac:dyDescent="0.2">
      <c r="A125" t="s">
        <v>209</v>
      </c>
      <c r="B125" s="6">
        <v>255.34</v>
      </c>
      <c r="C125" s="6">
        <f t="shared" si="21"/>
        <v>61.342095286237843</v>
      </c>
      <c r="D125" s="6">
        <f t="shared" si="7"/>
        <v>-8.1323738722657986</v>
      </c>
      <c r="E125" s="6">
        <f t="shared" si="8"/>
        <v>69.474469158503638</v>
      </c>
      <c r="F125" s="6">
        <v>7.8</v>
      </c>
      <c r="G125" s="6" t="str">
        <f t="shared" si="22"/>
        <v/>
      </c>
      <c r="H125" s="6" t="str">
        <f t="shared" si="9"/>
        <v/>
      </c>
      <c r="I125" s="6" t="str">
        <f t="shared" si="10"/>
        <v/>
      </c>
      <c r="J125" s="6">
        <v>2846.2</v>
      </c>
      <c r="K125" s="6">
        <f t="shared" si="23"/>
        <v>20.428196665820408</v>
      </c>
      <c r="L125" s="6">
        <f t="shared" si="11"/>
        <v>8.1596064487918714</v>
      </c>
      <c r="M125" s="6">
        <f t="shared" si="12"/>
        <v>12.268590217028537</v>
      </c>
      <c r="N125" s="6">
        <v>1626.3</v>
      </c>
      <c r="O125" s="6">
        <f t="shared" si="24"/>
        <v>29.530955054837406</v>
      </c>
      <c r="P125" s="6">
        <f t="shared" si="13"/>
        <v>7.8722323670013656</v>
      </c>
      <c r="Q125" s="6">
        <f t="shared" si="14"/>
        <v>21.65872268783604</v>
      </c>
      <c r="R125" s="6"/>
      <c r="S125" s="6" t="str">
        <f t="shared" si="25"/>
        <v/>
      </c>
      <c r="T125" s="6" t="str">
        <f t="shared" si="15"/>
        <v/>
      </c>
      <c r="U125" s="6" t="str">
        <f t="shared" si="16"/>
        <v/>
      </c>
      <c r="V125" s="6">
        <v>1.21</v>
      </c>
      <c r="W125" s="6">
        <f t="shared" si="26"/>
        <v>-4.7244094488188999</v>
      </c>
      <c r="X125" s="6">
        <f t="shared" si="17"/>
        <v>-2.7427482381860337</v>
      </c>
      <c r="Y125" s="6">
        <f t="shared" si="18"/>
        <v>-1.9816612106328662</v>
      </c>
      <c r="Z125" s="6"/>
      <c r="AA125" s="6" t="str">
        <f t="shared" si="27"/>
        <v/>
      </c>
      <c r="AB125" s="6" t="str">
        <f t="shared" si="19"/>
        <v/>
      </c>
      <c r="AC125" s="6" t="str">
        <f t="shared" si="20"/>
        <v/>
      </c>
    </row>
    <row r="126" spans="1:29" x14ac:dyDescent="0.2">
      <c r="A126" t="s">
        <v>210</v>
      </c>
      <c r="B126" s="6">
        <v>256.29000000000002</v>
      </c>
      <c r="C126" s="6">
        <f t="shared" si="21"/>
        <v>61.942373309743481</v>
      </c>
      <c r="D126" s="6">
        <f t="shared" si="7"/>
        <v>-6.7034519069823313</v>
      </c>
      <c r="E126" s="6">
        <f t="shared" si="8"/>
        <v>68.645825216725811</v>
      </c>
      <c r="F126" s="6">
        <v>7.8</v>
      </c>
      <c r="G126" s="6" t="str">
        <f t="shared" si="22"/>
        <v/>
      </c>
      <c r="H126" s="6" t="str">
        <f t="shared" si="9"/>
        <v/>
      </c>
      <c r="I126" s="6" t="str">
        <f t="shared" si="10"/>
        <v/>
      </c>
      <c r="J126" s="6">
        <v>2846.2</v>
      </c>
      <c r="K126" s="6">
        <f t="shared" si="23"/>
        <v>20.428196665820408</v>
      </c>
      <c r="L126" s="6">
        <f t="shared" si="11"/>
        <v>8.5803908053624571</v>
      </c>
      <c r="M126" s="6">
        <f t="shared" si="12"/>
        <v>11.847805860457951</v>
      </c>
      <c r="N126" s="6">
        <v>1657.2</v>
      </c>
      <c r="O126" s="6">
        <f t="shared" si="24"/>
        <v>28.93588217445091</v>
      </c>
      <c r="P126" s="6">
        <f t="shared" si="13"/>
        <v>7.0751709542677439</v>
      </c>
      <c r="Q126" s="6">
        <f t="shared" si="14"/>
        <v>21.860711220183166</v>
      </c>
      <c r="R126" s="6"/>
      <c r="S126" s="6" t="str">
        <f t="shared" si="25"/>
        <v/>
      </c>
      <c r="T126" s="6" t="str">
        <f t="shared" si="15"/>
        <v/>
      </c>
      <c r="U126" s="6" t="str">
        <f t="shared" si="16"/>
        <v/>
      </c>
      <c r="V126" s="6">
        <v>1.21</v>
      </c>
      <c r="W126" s="6">
        <f t="shared" si="26"/>
        <v>-4.7244094488188999</v>
      </c>
      <c r="X126" s="6">
        <f t="shared" si="17"/>
        <v>-2.7531452660223437</v>
      </c>
      <c r="Y126" s="6">
        <f t="shared" si="18"/>
        <v>-1.9712641827965562</v>
      </c>
      <c r="Z126" s="6"/>
      <c r="AA126" s="6" t="str">
        <f t="shared" si="27"/>
        <v/>
      </c>
      <c r="AB126" s="6" t="str">
        <f t="shared" si="19"/>
        <v/>
      </c>
      <c r="AC126" s="6" t="str">
        <f t="shared" si="20"/>
        <v/>
      </c>
    </row>
    <row r="127" spans="1:29" x14ac:dyDescent="0.2">
      <c r="A127" t="s">
        <v>211</v>
      </c>
      <c r="B127" s="6">
        <v>258.88</v>
      </c>
      <c r="C127" s="6">
        <f t="shared" si="21"/>
        <v>44.206773618538307</v>
      </c>
      <c r="D127" s="6">
        <f t="shared" si="7"/>
        <v>-5.1553479380252201</v>
      </c>
      <c r="E127" s="6">
        <f t="shared" si="8"/>
        <v>49.36212155656353</v>
      </c>
      <c r="F127" s="6">
        <v>7.8</v>
      </c>
      <c r="G127" s="6" t="str">
        <f t="shared" si="22"/>
        <v/>
      </c>
      <c r="H127" s="6" t="str">
        <f t="shared" si="9"/>
        <v/>
      </c>
      <c r="I127" s="6" t="str">
        <f t="shared" si="10"/>
        <v/>
      </c>
      <c r="J127" s="6">
        <v>2846.2</v>
      </c>
      <c r="K127" s="6">
        <f t="shared" si="23"/>
        <v>20.428196665820408</v>
      </c>
      <c r="L127" s="6">
        <f t="shared" si="11"/>
        <v>9.0011751619330429</v>
      </c>
      <c r="M127" s="6">
        <f t="shared" si="12"/>
        <v>11.427021503887365</v>
      </c>
      <c r="N127" s="6">
        <v>1754</v>
      </c>
      <c r="O127" s="6">
        <f t="shared" si="24"/>
        <v>37.196314315661013</v>
      </c>
      <c r="P127" s="6">
        <f t="shared" si="13"/>
        <v>6.4518136773083503</v>
      </c>
      <c r="Q127" s="6">
        <f t="shared" si="14"/>
        <v>30.744500638352662</v>
      </c>
      <c r="R127" s="6"/>
      <c r="S127" s="6" t="str">
        <f t="shared" si="25"/>
        <v/>
      </c>
      <c r="T127" s="6" t="str">
        <f t="shared" si="15"/>
        <v/>
      </c>
      <c r="U127" s="6" t="str">
        <f t="shared" si="16"/>
        <v/>
      </c>
      <c r="V127" s="6">
        <v>1.21</v>
      </c>
      <c r="W127" s="6">
        <f t="shared" si="26"/>
        <v>-4.7244094488188999</v>
      </c>
      <c r="X127" s="6">
        <f t="shared" si="17"/>
        <v>-2.7635422938586536</v>
      </c>
      <c r="Y127" s="6">
        <f t="shared" si="18"/>
        <v>-1.9608671549602463</v>
      </c>
      <c r="Z127" s="6"/>
      <c r="AA127" s="6" t="str">
        <f t="shared" si="27"/>
        <v/>
      </c>
      <c r="AB127" s="6" t="str">
        <f t="shared" si="19"/>
        <v/>
      </c>
      <c r="AC127" s="6" t="str">
        <f t="shared" si="20"/>
        <v/>
      </c>
    </row>
    <row r="128" spans="1:29" x14ac:dyDescent="0.2">
      <c r="A128" t="s">
        <v>212</v>
      </c>
      <c r="B128" s="6">
        <v>267.62</v>
      </c>
      <c r="C128" s="6">
        <f t="shared" si="21"/>
        <v>57.3587346386782</v>
      </c>
      <c r="D128" s="6">
        <f t="shared" si="7"/>
        <v>-3.9002385156535677</v>
      </c>
      <c r="E128" s="6">
        <f t="shared" si="8"/>
        <v>61.25897315433177</v>
      </c>
      <c r="F128" s="6">
        <v>7.8</v>
      </c>
      <c r="G128" s="6" t="str">
        <f t="shared" si="22"/>
        <v/>
      </c>
      <c r="H128" s="6" t="str">
        <f t="shared" si="9"/>
        <v/>
      </c>
      <c r="I128" s="6" t="str">
        <f t="shared" si="10"/>
        <v/>
      </c>
      <c r="J128" s="6">
        <v>2846.2</v>
      </c>
      <c r="K128" s="6">
        <f t="shared" si="23"/>
        <v>20.428196665820408</v>
      </c>
      <c r="L128" s="6">
        <f t="shared" si="11"/>
        <v>9.4219595185036287</v>
      </c>
      <c r="M128" s="6">
        <f t="shared" si="12"/>
        <v>11.00623714731678</v>
      </c>
      <c r="N128" s="6">
        <v>1741.6</v>
      </c>
      <c r="O128" s="6">
        <f t="shared" si="24"/>
        <v>25.472792374804577</v>
      </c>
      <c r="P128" s="6">
        <f t="shared" si="13"/>
        <v>6.1531356485796138</v>
      </c>
      <c r="Q128" s="6">
        <f t="shared" si="14"/>
        <v>19.319656726224963</v>
      </c>
      <c r="R128" s="6"/>
      <c r="S128" s="6" t="str">
        <f t="shared" si="25"/>
        <v/>
      </c>
      <c r="T128" s="6" t="str">
        <f t="shared" si="15"/>
        <v/>
      </c>
      <c r="U128" s="6" t="str">
        <f t="shared" si="16"/>
        <v/>
      </c>
      <c r="V128" s="6">
        <v>1.21</v>
      </c>
      <c r="W128" s="6">
        <f t="shared" si="26"/>
        <v>-4.7244094488188999</v>
      </c>
      <c r="X128" s="6">
        <f t="shared" si="17"/>
        <v>-2.7739393216949639</v>
      </c>
      <c r="Y128" s="6">
        <f t="shared" si="18"/>
        <v>-1.950470127123936</v>
      </c>
      <c r="Z128" s="6"/>
      <c r="AA128" s="6" t="str">
        <f t="shared" si="27"/>
        <v/>
      </c>
      <c r="AB128" s="6" t="str">
        <f t="shared" si="19"/>
        <v/>
      </c>
      <c r="AC128" s="6" t="str">
        <f t="shared" si="20"/>
        <v/>
      </c>
    </row>
    <row r="129" spans="1:29" x14ac:dyDescent="0.2">
      <c r="A129" t="s">
        <v>213</v>
      </c>
      <c r="B129" s="6">
        <v>278.73</v>
      </c>
      <c r="C129" s="6">
        <f t="shared" si="21"/>
        <v>67.61681399963922</v>
      </c>
      <c r="D129" s="6">
        <f t="shared" ref="D129:D192" si="28">IF(COUNT(C81:C128)&lt;48,"",AVERAGE(C81:C128))</f>
        <v>-2.2577563093751882</v>
      </c>
      <c r="E129" s="6">
        <f t="shared" ref="E129:E192" si="29">IF(OR(C129="",D129=""),"",C129-D129)</f>
        <v>69.874570309014402</v>
      </c>
      <c r="F129" s="6">
        <v>7.8</v>
      </c>
      <c r="G129" s="6" t="str">
        <f t="shared" si="22"/>
        <v/>
      </c>
      <c r="H129" s="6" t="str">
        <f t="shared" ref="H129:H192" si="30">IF(COUNT(G81:G128)&lt;48,"",AVERAGE(G81:G128))</f>
        <v/>
      </c>
      <c r="I129" s="6" t="str">
        <f t="shared" ref="I129:I192" si="31">IF(OR(G129="",H129=""),"",G129-H129)</f>
        <v/>
      </c>
      <c r="J129" s="6">
        <v>2846.2</v>
      </c>
      <c r="K129" s="6">
        <f t="shared" si="23"/>
        <v>20.428196665820408</v>
      </c>
      <c r="L129" s="6">
        <f t="shared" ref="L129:L192" si="32">IF(COUNT(K81:K128)&lt;48,"",AVERAGE(K81:K128))</f>
        <v>9.8427438750742144</v>
      </c>
      <c r="M129" s="6">
        <f t="shared" ref="M129:M192" si="33">IF(OR(K129="",L129=""),"",K129-L129)</f>
        <v>10.585452790746194</v>
      </c>
      <c r="N129" s="6">
        <v>1597.9</v>
      </c>
      <c r="O129" s="6">
        <f t="shared" si="24"/>
        <v>14.755393410128992</v>
      </c>
      <c r="P129" s="6">
        <f t="shared" ref="P129:P192" si="34">IF(COUNT(O81:O128)&lt;48,"",AVERAGE(O81:O128))</f>
        <v>5.819947939845231</v>
      </c>
      <c r="Q129" s="6">
        <f t="shared" ref="Q129:Q192" si="35">IF(OR(O129="",P129=""),"",O129-P129)</f>
        <v>8.93544547028376</v>
      </c>
      <c r="R129" s="6"/>
      <c r="S129" s="6" t="str">
        <f t="shared" si="25"/>
        <v/>
      </c>
      <c r="T129" s="6" t="str">
        <f t="shared" ref="T129:T192" si="36">IF(COUNT(S81:S128)&lt;48,"",AVERAGE(S81:S128))</f>
        <v/>
      </c>
      <c r="U129" s="6" t="str">
        <f t="shared" ref="U129:U192" si="37">IF(OR(S129="",T129=""),"",S129-T129)</f>
        <v/>
      </c>
      <c r="V129" s="6">
        <v>1.21</v>
      </c>
      <c r="W129" s="6">
        <f t="shared" si="26"/>
        <v>-4.7244094488188999</v>
      </c>
      <c r="X129" s="6">
        <f t="shared" ref="X129:X192" si="38">IF(COUNT(W81:W128)&lt;48,"",AVERAGE(W81:W128))</f>
        <v>-2.7843363495312743</v>
      </c>
      <c r="Y129" s="6">
        <f t="shared" ref="Y129:Y192" si="39">IF(OR(W129="",X129=""),"",W129-X129)</f>
        <v>-1.9400730992876256</v>
      </c>
      <c r="Z129" s="6"/>
      <c r="AA129" s="6" t="str">
        <f t="shared" si="27"/>
        <v/>
      </c>
      <c r="AB129" s="6" t="str">
        <f t="shared" ref="AB129:AB192" si="40">IF(COUNT(AA81:AA128)&lt;48,"",AVERAGE(AA81:AA128))</f>
        <v/>
      </c>
      <c r="AC129" s="6" t="str">
        <f t="shared" ref="AC129:AC192" si="41">IF(OR(AA129="",AB129=""),"",AA129-AB129)</f>
        <v/>
      </c>
    </row>
    <row r="130" spans="1:29" x14ac:dyDescent="0.2">
      <c r="A130" t="s">
        <v>214</v>
      </c>
      <c r="B130" s="6">
        <v>277.07</v>
      </c>
      <c r="C130" s="6">
        <f t="shared" si="21"/>
        <v>67.565769579679483</v>
      </c>
      <c r="D130" s="6">
        <f t="shared" si="28"/>
        <v>-0.31691651376283847</v>
      </c>
      <c r="E130" s="6">
        <f t="shared" si="29"/>
        <v>67.882686093442317</v>
      </c>
      <c r="F130" s="6">
        <v>7.8</v>
      </c>
      <c r="G130" s="6" t="str">
        <f t="shared" si="22"/>
        <v/>
      </c>
      <c r="H130" s="6" t="str">
        <f t="shared" si="30"/>
        <v/>
      </c>
      <c r="I130" s="6" t="str">
        <f t="shared" si="31"/>
        <v/>
      </c>
      <c r="J130" s="6">
        <v>2846.2</v>
      </c>
      <c r="K130" s="6">
        <f t="shared" si="23"/>
        <v>20.428196665820408</v>
      </c>
      <c r="L130" s="6">
        <f t="shared" si="32"/>
        <v>10.2635282316448</v>
      </c>
      <c r="M130" s="6">
        <f t="shared" si="33"/>
        <v>10.164668434175608</v>
      </c>
      <c r="N130" s="6">
        <v>1458</v>
      </c>
      <c r="O130" s="6">
        <f t="shared" si="24"/>
        <v>-1.6884237781853439</v>
      </c>
      <c r="P130" s="6">
        <f t="shared" si="34"/>
        <v>5.6965551174583835</v>
      </c>
      <c r="Q130" s="6">
        <f t="shared" si="35"/>
        <v>-7.3849788956437274</v>
      </c>
      <c r="R130" s="6"/>
      <c r="S130" s="6" t="str">
        <f t="shared" si="25"/>
        <v/>
      </c>
      <c r="T130" s="6" t="str">
        <f t="shared" si="36"/>
        <v/>
      </c>
      <c r="U130" s="6" t="str">
        <f t="shared" si="37"/>
        <v/>
      </c>
      <c r="V130" s="6">
        <v>1.21</v>
      </c>
      <c r="W130" s="6">
        <f t="shared" si="26"/>
        <v>-4.7244094488188999</v>
      </c>
      <c r="X130" s="6">
        <f t="shared" si="38"/>
        <v>-2.7947333773675846</v>
      </c>
      <c r="Y130" s="6">
        <f t="shared" si="39"/>
        <v>-1.9296760714513153</v>
      </c>
      <c r="Z130" s="6"/>
      <c r="AA130" s="6" t="str">
        <f t="shared" si="27"/>
        <v/>
      </c>
      <c r="AB130" s="6" t="str">
        <f t="shared" si="40"/>
        <v/>
      </c>
      <c r="AC130" s="6" t="str">
        <f t="shared" si="41"/>
        <v/>
      </c>
    </row>
    <row r="131" spans="1:29" x14ac:dyDescent="0.2">
      <c r="A131" t="s">
        <v>215</v>
      </c>
      <c r="B131" s="6">
        <v>261.01</v>
      </c>
      <c r="C131" s="6">
        <f t="shared" si="21"/>
        <v>61.316440049443742</v>
      </c>
      <c r="D131" s="6">
        <f t="shared" si="28"/>
        <v>1.5813860204019419</v>
      </c>
      <c r="E131" s="6">
        <f t="shared" si="29"/>
        <v>59.735054029041798</v>
      </c>
      <c r="F131" s="6">
        <v>7.8</v>
      </c>
      <c r="G131" s="6" t="str">
        <f t="shared" si="22"/>
        <v/>
      </c>
      <c r="H131" s="6" t="str">
        <f t="shared" si="30"/>
        <v/>
      </c>
      <c r="I131" s="6" t="str">
        <f t="shared" si="31"/>
        <v/>
      </c>
      <c r="J131" s="6">
        <v>2846.2</v>
      </c>
      <c r="K131" s="6">
        <f t="shared" si="23"/>
        <v>20.428196665820408</v>
      </c>
      <c r="L131" s="6">
        <f t="shared" si="32"/>
        <v>10.684312588215386</v>
      </c>
      <c r="M131" s="6">
        <f t="shared" si="33"/>
        <v>9.7438840776050224</v>
      </c>
      <c r="N131" s="6">
        <v>1366.6</v>
      </c>
      <c r="O131" s="6">
        <f t="shared" si="24"/>
        <v>-6.0077719316345206</v>
      </c>
      <c r="P131" s="6">
        <f t="shared" si="34"/>
        <v>5.0455382156862703</v>
      </c>
      <c r="Q131" s="6">
        <f t="shared" si="35"/>
        <v>-11.05331014732079</v>
      </c>
      <c r="R131" s="6"/>
      <c r="S131" s="6" t="str">
        <f t="shared" si="25"/>
        <v/>
      </c>
      <c r="T131" s="6" t="str">
        <f t="shared" si="36"/>
        <v/>
      </c>
      <c r="U131" s="6" t="str">
        <f t="shared" si="37"/>
        <v/>
      </c>
      <c r="V131" s="6">
        <v>1.21</v>
      </c>
      <c r="W131" s="6">
        <f t="shared" si="26"/>
        <v>-4.7244094488188999</v>
      </c>
      <c r="X131" s="6">
        <f t="shared" si="38"/>
        <v>-2.8051304052038941</v>
      </c>
      <c r="Y131" s="6">
        <f t="shared" si="39"/>
        <v>-1.9192790436150058</v>
      </c>
      <c r="Z131" s="6"/>
      <c r="AA131" s="6" t="str">
        <f t="shared" si="27"/>
        <v/>
      </c>
      <c r="AB131" s="6" t="str">
        <f t="shared" si="40"/>
        <v/>
      </c>
      <c r="AC131" s="6" t="str">
        <f t="shared" si="41"/>
        <v/>
      </c>
    </row>
    <row r="132" spans="1:29" x14ac:dyDescent="0.2">
      <c r="A132" t="s">
        <v>216</v>
      </c>
      <c r="B132" s="6">
        <v>240.22</v>
      </c>
      <c r="C132" s="6">
        <f t="shared" si="21"/>
        <v>40.078138666977651</v>
      </c>
      <c r="D132" s="6">
        <f t="shared" si="28"/>
        <v>3.1910409819960877</v>
      </c>
      <c r="E132" s="6">
        <f t="shared" si="29"/>
        <v>36.887097684981562</v>
      </c>
      <c r="F132" s="6">
        <v>7.8</v>
      </c>
      <c r="G132" s="6" t="str">
        <f t="shared" si="22"/>
        <v/>
      </c>
      <c r="H132" s="6" t="str">
        <f t="shared" si="30"/>
        <v/>
      </c>
      <c r="I132" s="6" t="str">
        <f t="shared" si="31"/>
        <v/>
      </c>
      <c r="J132" s="6">
        <v>2846.2</v>
      </c>
      <c r="K132" s="6">
        <f t="shared" si="23"/>
        <v>20.428196665820408</v>
      </c>
      <c r="L132" s="6">
        <f t="shared" si="32"/>
        <v>11.105096944785972</v>
      </c>
      <c r="M132" s="6">
        <f t="shared" si="33"/>
        <v>9.3230997210344366</v>
      </c>
      <c r="N132" s="6">
        <v>1266.5</v>
      </c>
      <c r="O132" s="6">
        <f t="shared" si="24"/>
        <v>-21.175306367591318</v>
      </c>
      <c r="P132" s="6">
        <f t="shared" si="34"/>
        <v>4.1233321993087308</v>
      </c>
      <c r="Q132" s="6">
        <f t="shared" si="35"/>
        <v>-25.298638566900049</v>
      </c>
      <c r="R132" s="6"/>
      <c r="S132" s="6" t="str">
        <f t="shared" si="25"/>
        <v/>
      </c>
      <c r="T132" s="6" t="str">
        <f t="shared" si="36"/>
        <v/>
      </c>
      <c r="U132" s="6" t="str">
        <f t="shared" si="37"/>
        <v/>
      </c>
      <c r="V132" s="6">
        <v>1.21</v>
      </c>
      <c r="W132" s="6">
        <f t="shared" si="26"/>
        <v>-4.7244094488188999</v>
      </c>
      <c r="X132" s="6">
        <f t="shared" si="38"/>
        <v>-2.815527433040204</v>
      </c>
      <c r="Y132" s="6">
        <f t="shared" si="39"/>
        <v>-1.9088820157786959</v>
      </c>
      <c r="Z132" s="6"/>
      <c r="AA132" s="6" t="str">
        <f t="shared" si="27"/>
        <v/>
      </c>
      <c r="AB132" s="6" t="str">
        <f t="shared" si="40"/>
        <v/>
      </c>
      <c r="AC132" s="6" t="str">
        <f t="shared" si="41"/>
        <v/>
      </c>
    </row>
    <row r="133" spans="1:29" x14ac:dyDescent="0.2">
      <c r="A133" t="s">
        <v>217</v>
      </c>
      <c r="B133" s="6">
        <v>226.29</v>
      </c>
      <c r="C133" s="6">
        <f t="shared" si="21"/>
        <v>25.063556980214429</v>
      </c>
      <c r="D133" s="6">
        <f t="shared" si="28"/>
        <v>4.1708151359953387</v>
      </c>
      <c r="E133" s="6">
        <f t="shared" si="29"/>
        <v>20.892741844219088</v>
      </c>
      <c r="F133" s="6">
        <v>7.8</v>
      </c>
      <c r="G133" s="6" t="str">
        <f t="shared" si="22"/>
        <v/>
      </c>
      <c r="H133" s="6" t="str">
        <f t="shared" si="30"/>
        <v/>
      </c>
      <c r="I133" s="6" t="str">
        <f t="shared" si="31"/>
        <v/>
      </c>
      <c r="J133" s="6">
        <v>2846.2</v>
      </c>
      <c r="K133" s="6">
        <f t="shared" si="23"/>
        <v>20.428196665820408</v>
      </c>
      <c r="L133" s="6">
        <f t="shared" si="32"/>
        <v>11.525881301356561</v>
      </c>
      <c r="M133" s="6">
        <f t="shared" si="33"/>
        <v>8.9023153644638473</v>
      </c>
      <c r="N133" s="6">
        <v>1246.9000000000001</v>
      </c>
      <c r="O133" s="6">
        <f t="shared" si="24"/>
        <v>-21.029798283669521</v>
      </c>
      <c r="P133" s="6">
        <f t="shared" si="34"/>
        <v>3.7072509258193804</v>
      </c>
      <c r="Q133" s="6">
        <f t="shared" si="35"/>
        <v>-24.737049209488902</v>
      </c>
      <c r="R133" s="6"/>
      <c r="S133" s="6" t="str">
        <f t="shared" si="25"/>
        <v/>
      </c>
      <c r="T133" s="6" t="str">
        <f t="shared" si="36"/>
        <v/>
      </c>
      <c r="U133" s="6" t="str">
        <f t="shared" si="37"/>
        <v/>
      </c>
      <c r="V133" s="6">
        <v>1.21</v>
      </c>
      <c r="W133" s="6">
        <f t="shared" si="26"/>
        <v>-4.7244094488188999</v>
      </c>
      <c r="X133" s="6">
        <f t="shared" si="38"/>
        <v>-2.8259244608765131</v>
      </c>
      <c r="Y133" s="6">
        <f t="shared" si="39"/>
        <v>-1.8984849879423868</v>
      </c>
      <c r="Z133" s="6"/>
      <c r="AA133" s="6" t="str">
        <f t="shared" si="27"/>
        <v/>
      </c>
      <c r="AB133" s="6" t="str">
        <f t="shared" si="40"/>
        <v/>
      </c>
      <c r="AC133" s="6" t="str">
        <f t="shared" si="41"/>
        <v/>
      </c>
    </row>
    <row r="134" spans="1:29" x14ac:dyDescent="0.2">
      <c r="A134" t="s">
        <v>218</v>
      </c>
      <c r="B134" s="6">
        <v>257.47000000000003</v>
      </c>
      <c r="C134" s="6">
        <f t="shared" si="21"/>
        <v>26.745101900167391</v>
      </c>
      <c r="D134" s="6">
        <f t="shared" si="28"/>
        <v>4.7511714324192837</v>
      </c>
      <c r="E134" s="6">
        <f t="shared" si="29"/>
        <v>21.993930467748108</v>
      </c>
      <c r="F134" s="6">
        <v>7.8</v>
      </c>
      <c r="G134" s="6" t="str">
        <f t="shared" si="22"/>
        <v/>
      </c>
      <c r="H134" s="6" t="str">
        <f t="shared" si="30"/>
        <v/>
      </c>
      <c r="I134" s="6" t="str">
        <f t="shared" si="31"/>
        <v/>
      </c>
      <c r="J134" s="6">
        <v>2846.2</v>
      </c>
      <c r="K134" s="6">
        <f t="shared" si="23"/>
        <v>20.428196665820408</v>
      </c>
      <c r="L134" s="6">
        <f t="shared" si="32"/>
        <v>11.946665657927147</v>
      </c>
      <c r="M134" s="6">
        <f t="shared" si="33"/>
        <v>8.4815310078932615</v>
      </c>
      <c r="N134" s="6">
        <v>1142.4000000000001</v>
      </c>
      <c r="O134" s="6">
        <f t="shared" si="24"/>
        <v>-26.509186351706028</v>
      </c>
      <c r="P134" s="6">
        <f t="shared" si="34"/>
        <v>3.5821698519044172</v>
      </c>
      <c r="Q134" s="6">
        <f t="shared" si="35"/>
        <v>-30.091356203610445</v>
      </c>
      <c r="R134" s="6"/>
      <c r="S134" s="6" t="str">
        <f t="shared" si="25"/>
        <v/>
      </c>
      <c r="T134" s="6" t="str">
        <f t="shared" si="36"/>
        <v/>
      </c>
      <c r="U134" s="6" t="str">
        <f t="shared" si="37"/>
        <v/>
      </c>
      <c r="V134" s="6">
        <v>1.21</v>
      </c>
      <c r="W134" s="6">
        <f t="shared" si="26"/>
        <v>-4.7244094488188999</v>
      </c>
      <c r="X134" s="6">
        <f t="shared" si="38"/>
        <v>-2.836321488712823</v>
      </c>
      <c r="Y134" s="6">
        <f t="shared" si="39"/>
        <v>-1.8880879601060769</v>
      </c>
      <c r="Z134" s="6"/>
      <c r="AA134" s="6" t="str">
        <f t="shared" si="27"/>
        <v/>
      </c>
      <c r="AB134" s="6" t="str">
        <f t="shared" si="40"/>
        <v/>
      </c>
      <c r="AC134" s="6" t="str">
        <f t="shared" si="41"/>
        <v/>
      </c>
    </row>
    <row r="135" spans="1:29" x14ac:dyDescent="0.2">
      <c r="A135" t="s">
        <v>219</v>
      </c>
      <c r="B135" s="6">
        <v>269.99</v>
      </c>
      <c r="C135" s="6">
        <f t="shared" si="21"/>
        <v>32.908339076498969</v>
      </c>
      <c r="D135" s="6">
        <f t="shared" si="28"/>
        <v>5.4689697197147886</v>
      </c>
      <c r="E135" s="6">
        <f t="shared" si="29"/>
        <v>27.43936935678418</v>
      </c>
      <c r="F135" s="6">
        <v>7.8</v>
      </c>
      <c r="G135" s="6" t="str">
        <f t="shared" si="22"/>
        <v/>
      </c>
      <c r="H135" s="6" t="str">
        <f t="shared" si="30"/>
        <v/>
      </c>
      <c r="I135" s="6" t="str">
        <f t="shared" si="31"/>
        <v/>
      </c>
      <c r="J135" s="6">
        <v>2846.2</v>
      </c>
      <c r="K135" s="6">
        <f t="shared" si="23"/>
        <v>20.428196665820408</v>
      </c>
      <c r="L135" s="6">
        <f t="shared" si="32"/>
        <v>12.367450014497733</v>
      </c>
      <c r="M135" s="6">
        <f t="shared" si="33"/>
        <v>8.0607466513226758</v>
      </c>
      <c r="N135" s="6">
        <v>1085.3</v>
      </c>
      <c r="O135" s="6">
        <f t="shared" si="24"/>
        <v>-33.475132093513629</v>
      </c>
      <c r="P135" s="6">
        <f t="shared" si="34"/>
        <v>3.21795567702604</v>
      </c>
      <c r="Q135" s="6">
        <f t="shared" si="35"/>
        <v>-36.69308777053967</v>
      </c>
      <c r="R135" s="6"/>
      <c r="S135" s="6" t="str">
        <f t="shared" si="25"/>
        <v/>
      </c>
      <c r="T135" s="6" t="str">
        <f t="shared" si="36"/>
        <v/>
      </c>
      <c r="U135" s="6" t="str">
        <f t="shared" si="37"/>
        <v/>
      </c>
      <c r="V135" s="6">
        <v>1.21</v>
      </c>
      <c r="W135" s="6">
        <f t="shared" si="26"/>
        <v>-4.7244094488188999</v>
      </c>
      <c r="X135" s="6">
        <f t="shared" si="38"/>
        <v>-2.8467185165491329</v>
      </c>
      <c r="Y135" s="6">
        <f t="shared" si="39"/>
        <v>-1.877690932269767</v>
      </c>
      <c r="Z135" s="6"/>
      <c r="AA135" s="6" t="str">
        <f t="shared" si="27"/>
        <v/>
      </c>
      <c r="AB135" s="6" t="str">
        <f t="shared" si="40"/>
        <v/>
      </c>
      <c r="AC135" s="6" t="str">
        <f t="shared" si="41"/>
        <v/>
      </c>
    </row>
    <row r="136" spans="1:29" x14ac:dyDescent="0.2">
      <c r="A136" t="s">
        <v>220</v>
      </c>
      <c r="B136" s="6">
        <v>271.64</v>
      </c>
      <c r="C136" s="6">
        <f t="shared" si="21"/>
        <v>6.4795578377954577</v>
      </c>
      <c r="D136" s="6">
        <f t="shared" si="28"/>
        <v>6.3564657734975896</v>
      </c>
      <c r="E136" s="6">
        <f t="shared" si="29"/>
        <v>0.12309206429786812</v>
      </c>
      <c r="F136" s="6">
        <v>7.8</v>
      </c>
      <c r="G136" s="6" t="str">
        <f t="shared" si="22"/>
        <v/>
      </c>
      <c r="H136" s="6" t="str">
        <f t="shared" si="30"/>
        <v/>
      </c>
      <c r="I136" s="6" t="str">
        <f t="shared" si="31"/>
        <v/>
      </c>
      <c r="J136" s="6">
        <v>2846.2</v>
      </c>
      <c r="K136" s="6">
        <f t="shared" si="23"/>
        <v>20.428196665820408</v>
      </c>
      <c r="L136" s="6">
        <f t="shared" si="32"/>
        <v>12.78823437106832</v>
      </c>
      <c r="M136" s="6">
        <f t="shared" si="33"/>
        <v>7.6399622947520882</v>
      </c>
      <c r="N136" s="6">
        <v>1045.7</v>
      </c>
      <c r="O136" s="6">
        <f t="shared" si="24"/>
        <v>-38.479550054125291</v>
      </c>
      <c r="P136" s="6">
        <f t="shared" si="34"/>
        <v>2.7581503423094547</v>
      </c>
      <c r="Q136" s="6">
        <f t="shared" si="35"/>
        <v>-41.237700396434747</v>
      </c>
      <c r="R136" s="6"/>
      <c r="S136" s="6" t="str">
        <f t="shared" si="25"/>
        <v/>
      </c>
      <c r="T136" s="6" t="str">
        <f t="shared" si="36"/>
        <v/>
      </c>
      <c r="U136" s="6" t="str">
        <f t="shared" si="37"/>
        <v/>
      </c>
      <c r="V136" s="6">
        <v>1.21</v>
      </c>
      <c r="W136" s="6">
        <f t="shared" si="26"/>
        <v>-4.7244094488188999</v>
      </c>
      <c r="X136" s="6">
        <f t="shared" si="38"/>
        <v>-2.8571155443854419</v>
      </c>
      <c r="Y136" s="6">
        <f t="shared" si="39"/>
        <v>-1.867293904433458</v>
      </c>
      <c r="Z136" s="6"/>
      <c r="AA136" s="6" t="str">
        <f t="shared" si="27"/>
        <v/>
      </c>
      <c r="AB136" s="6" t="str">
        <f t="shared" si="40"/>
        <v/>
      </c>
      <c r="AC136" s="6" t="str">
        <f t="shared" si="41"/>
        <v/>
      </c>
    </row>
    <row r="137" spans="1:29" x14ac:dyDescent="0.2">
      <c r="A137" t="s">
        <v>221</v>
      </c>
      <c r="B137" s="6">
        <v>273.29000000000002</v>
      </c>
      <c r="C137" s="6">
        <f t="shared" si="21"/>
        <v>7.0298425628573691</v>
      </c>
      <c r="D137" s="6">
        <f t="shared" si="28"/>
        <v>6.6393022390590035</v>
      </c>
      <c r="E137" s="6">
        <f t="shared" si="29"/>
        <v>0.39054032379836556</v>
      </c>
      <c r="F137" s="6">
        <v>8.68</v>
      </c>
      <c r="G137" s="6">
        <f t="shared" si="22"/>
        <v>11.282051282051286</v>
      </c>
      <c r="H137" s="6" t="str">
        <f t="shared" si="30"/>
        <v/>
      </c>
      <c r="I137" s="6" t="str">
        <f t="shared" si="31"/>
        <v/>
      </c>
      <c r="J137" s="6">
        <v>2932.1</v>
      </c>
      <c r="K137" s="6">
        <f t="shared" si="23"/>
        <v>3.0180591666081114</v>
      </c>
      <c r="L137" s="6">
        <f t="shared" si="32"/>
        <v>13.209018727638906</v>
      </c>
      <c r="M137" s="6">
        <f t="shared" si="33"/>
        <v>-10.190959561030795</v>
      </c>
      <c r="N137" s="6">
        <v>1010</v>
      </c>
      <c r="O137" s="6">
        <f t="shared" si="24"/>
        <v>-37.895837176412719</v>
      </c>
      <c r="P137" s="6">
        <f t="shared" si="34"/>
        <v>2.3726078798021555</v>
      </c>
      <c r="Q137" s="6">
        <f t="shared" si="35"/>
        <v>-40.268445056214873</v>
      </c>
      <c r="R137" s="6"/>
      <c r="S137" s="6" t="str">
        <f t="shared" si="25"/>
        <v/>
      </c>
      <c r="T137" s="6" t="str">
        <f t="shared" si="36"/>
        <v/>
      </c>
      <c r="U137" s="6" t="str">
        <f t="shared" si="37"/>
        <v/>
      </c>
      <c r="V137" s="6">
        <v>1.64</v>
      </c>
      <c r="W137" s="6">
        <f t="shared" si="26"/>
        <v>35.537190082644621</v>
      </c>
      <c r="X137" s="6">
        <f t="shared" si="38"/>
        <v>-2.8675125722217509</v>
      </c>
      <c r="Y137" s="6">
        <f t="shared" si="39"/>
        <v>38.404702654866369</v>
      </c>
      <c r="Z137" s="6"/>
      <c r="AA137" s="6" t="str">
        <f t="shared" si="27"/>
        <v/>
      </c>
      <c r="AB137" s="6" t="str">
        <f t="shared" si="40"/>
        <v/>
      </c>
      <c r="AC137" s="6" t="str">
        <f t="shared" si="41"/>
        <v/>
      </c>
    </row>
    <row r="138" spans="1:29" x14ac:dyDescent="0.2">
      <c r="A138" t="s">
        <v>222</v>
      </c>
      <c r="B138" s="6">
        <v>273.29000000000002</v>
      </c>
      <c r="C138" s="6">
        <f t="shared" si="21"/>
        <v>6.6331109290257206</v>
      </c>
      <c r="D138" s="6">
        <f t="shared" si="28"/>
        <v>6.8927420108491866</v>
      </c>
      <c r="E138" s="6">
        <f t="shared" si="29"/>
        <v>-0.25963108182346595</v>
      </c>
      <c r="F138" s="6">
        <v>8.68</v>
      </c>
      <c r="G138" s="6">
        <f t="shared" si="22"/>
        <v>11.282051282051286</v>
      </c>
      <c r="H138" s="6" t="str">
        <f t="shared" si="30"/>
        <v/>
      </c>
      <c r="I138" s="6" t="str">
        <f t="shared" si="31"/>
        <v/>
      </c>
      <c r="J138" s="6">
        <v>2932.1</v>
      </c>
      <c r="K138" s="6">
        <f t="shared" si="23"/>
        <v>3.0180591666081114</v>
      </c>
      <c r="L138" s="6">
        <f t="shared" si="32"/>
        <v>13.036247078352099</v>
      </c>
      <c r="M138" s="6">
        <f t="shared" si="33"/>
        <v>-10.018187911743988</v>
      </c>
      <c r="N138" s="6">
        <v>1020.2</v>
      </c>
      <c r="O138" s="6">
        <f t="shared" si="24"/>
        <v>-38.438329712768528</v>
      </c>
      <c r="P138" s="6">
        <f t="shared" si="34"/>
        <v>2.1230899701051933</v>
      </c>
      <c r="Q138" s="6">
        <f t="shared" si="35"/>
        <v>-40.561419682873719</v>
      </c>
      <c r="R138" s="6"/>
      <c r="S138" s="6" t="str">
        <f t="shared" si="25"/>
        <v/>
      </c>
      <c r="T138" s="6" t="str">
        <f t="shared" si="36"/>
        <v/>
      </c>
      <c r="U138" s="6" t="str">
        <f t="shared" si="37"/>
        <v/>
      </c>
      <c r="V138" s="6">
        <v>1.64</v>
      </c>
      <c r="W138" s="6">
        <f t="shared" si="26"/>
        <v>35.537190082644621</v>
      </c>
      <c r="X138" s="6">
        <f t="shared" si="38"/>
        <v>-2.0811985631470464</v>
      </c>
      <c r="Y138" s="6">
        <f t="shared" si="39"/>
        <v>37.618388645791669</v>
      </c>
      <c r="Z138" s="6"/>
      <c r="AA138" s="6" t="str">
        <f t="shared" si="27"/>
        <v/>
      </c>
      <c r="AB138" s="6" t="str">
        <f t="shared" si="40"/>
        <v/>
      </c>
      <c r="AC138" s="6" t="str">
        <f t="shared" si="41"/>
        <v/>
      </c>
    </row>
    <row r="139" spans="1:29" x14ac:dyDescent="0.2">
      <c r="A139" t="s">
        <v>223</v>
      </c>
      <c r="B139" s="6">
        <v>278.02</v>
      </c>
      <c r="C139" s="6">
        <f t="shared" si="21"/>
        <v>7.3933868974042083</v>
      </c>
      <c r="D139" s="6">
        <f t="shared" si="28"/>
        <v>7.1767533953995732</v>
      </c>
      <c r="E139" s="6">
        <f t="shared" si="29"/>
        <v>0.21663350200463505</v>
      </c>
      <c r="F139" s="6">
        <v>8.68</v>
      </c>
      <c r="G139" s="6">
        <f t="shared" si="22"/>
        <v>11.282051282051286</v>
      </c>
      <c r="H139" s="6" t="str">
        <f t="shared" si="30"/>
        <v/>
      </c>
      <c r="I139" s="6" t="str">
        <f t="shared" si="31"/>
        <v/>
      </c>
      <c r="J139" s="6">
        <v>2932.1</v>
      </c>
      <c r="K139" s="6">
        <f t="shared" si="23"/>
        <v>3.0180591666081114</v>
      </c>
      <c r="L139" s="6">
        <f t="shared" si="32"/>
        <v>12.863475429065289</v>
      </c>
      <c r="M139" s="6">
        <f t="shared" si="33"/>
        <v>-9.8454162624571779</v>
      </c>
      <c r="N139" s="6">
        <v>1144.0999999999999</v>
      </c>
      <c r="O139" s="6">
        <f t="shared" si="24"/>
        <v>-34.771949828962377</v>
      </c>
      <c r="P139" s="6">
        <f t="shared" si="34"/>
        <v>2.0490800798518252</v>
      </c>
      <c r="Q139" s="6">
        <f t="shared" si="35"/>
        <v>-36.821029908814204</v>
      </c>
      <c r="R139" s="6"/>
      <c r="S139" s="6" t="str">
        <f t="shared" si="25"/>
        <v/>
      </c>
      <c r="T139" s="6" t="str">
        <f t="shared" si="36"/>
        <v/>
      </c>
      <c r="U139" s="6" t="str">
        <f t="shared" si="37"/>
        <v/>
      </c>
      <c r="V139" s="6">
        <v>1.64</v>
      </c>
      <c r="W139" s="6">
        <f t="shared" si="26"/>
        <v>35.537190082644621</v>
      </c>
      <c r="X139" s="6">
        <f t="shared" si="38"/>
        <v>-1.2948845540723422</v>
      </c>
      <c r="Y139" s="6">
        <f t="shared" si="39"/>
        <v>36.83207463671696</v>
      </c>
      <c r="Z139" s="6"/>
      <c r="AA139" s="6" t="str">
        <f t="shared" si="27"/>
        <v/>
      </c>
      <c r="AB139" s="6" t="str">
        <f t="shared" si="40"/>
        <v/>
      </c>
      <c r="AC139" s="6" t="str">
        <f t="shared" si="41"/>
        <v/>
      </c>
    </row>
    <row r="140" spans="1:29" x14ac:dyDescent="0.2">
      <c r="A140" t="s">
        <v>224</v>
      </c>
      <c r="B140" s="6">
        <v>269.27999999999997</v>
      </c>
      <c r="C140" s="6">
        <f t="shared" si="21"/>
        <v>0.62028249009788983</v>
      </c>
      <c r="D140" s="6">
        <f t="shared" si="28"/>
        <v>7.5179985765727286</v>
      </c>
      <c r="E140" s="6">
        <f t="shared" si="29"/>
        <v>-6.8977160864748388</v>
      </c>
      <c r="F140" s="6">
        <v>8.68</v>
      </c>
      <c r="G140" s="6">
        <f t="shared" si="22"/>
        <v>11.282051282051286</v>
      </c>
      <c r="H140" s="6" t="str">
        <f t="shared" si="30"/>
        <v/>
      </c>
      <c r="I140" s="6" t="str">
        <f t="shared" si="31"/>
        <v/>
      </c>
      <c r="J140" s="6">
        <v>2932.1</v>
      </c>
      <c r="K140" s="6">
        <f t="shared" si="23"/>
        <v>3.0180591666081114</v>
      </c>
      <c r="L140" s="6">
        <f t="shared" si="32"/>
        <v>12.690703779778479</v>
      </c>
      <c r="M140" s="6">
        <f t="shared" si="33"/>
        <v>-9.6726446131703678</v>
      </c>
      <c r="N140" s="6">
        <v>1251.5</v>
      </c>
      <c r="O140" s="6">
        <f t="shared" si="24"/>
        <v>-28.140790078089108</v>
      </c>
      <c r="P140" s="6">
        <f t="shared" si="34"/>
        <v>2.1874963364898643</v>
      </c>
      <c r="Q140" s="6">
        <f t="shared" si="35"/>
        <v>-30.328286414578972</v>
      </c>
      <c r="R140" s="6"/>
      <c r="S140" s="6" t="str">
        <f t="shared" si="25"/>
        <v/>
      </c>
      <c r="T140" s="6" t="str">
        <f t="shared" si="36"/>
        <v/>
      </c>
      <c r="U140" s="6" t="str">
        <f t="shared" si="37"/>
        <v/>
      </c>
      <c r="V140" s="6">
        <v>1.64</v>
      </c>
      <c r="W140" s="6">
        <f t="shared" si="26"/>
        <v>35.537190082644621</v>
      </c>
      <c r="X140" s="6">
        <f t="shared" si="38"/>
        <v>-0.50857054499763787</v>
      </c>
      <c r="Y140" s="6">
        <f t="shared" si="39"/>
        <v>36.04576062764226</v>
      </c>
      <c r="Z140" s="6"/>
      <c r="AA140" s="6" t="str">
        <f t="shared" si="27"/>
        <v/>
      </c>
      <c r="AB140" s="6" t="str">
        <f t="shared" si="40"/>
        <v/>
      </c>
      <c r="AC140" s="6" t="str">
        <f t="shared" si="41"/>
        <v/>
      </c>
    </row>
    <row r="141" spans="1:29" x14ac:dyDescent="0.2">
      <c r="A141" t="s">
        <v>225</v>
      </c>
      <c r="B141" s="6">
        <v>242.82</v>
      </c>
      <c r="C141" s="6">
        <f t="shared" si="21"/>
        <v>-12.88343558282209</v>
      </c>
      <c r="D141" s="6">
        <f t="shared" si="28"/>
        <v>7.6242605952647802</v>
      </c>
      <c r="E141" s="6">
        <f t="shared" si="29"/>
        <v>-20.507696178086871</v>
      </c>
      <c r="F141" s="6">
        <v>8.68</v>
      </c>
      <c r="G141" s="6">
        <f t="shared" si="22"/>
        <v>11.282051282051286</v>
      </c>
      <c r="H141" s="6" t="str">
        <f t="shared" si="30"/>
        <v/>
      </c>
      <c r="I141" s="6" t="str">
        <f t="shared" si="31"/>
        <v/>
      </c>
      <c r="J141" s="6">
        <v>2932.1</v>
      </c>
      <c r="K141" s="6">
        <f t="shared" si="23"/>
        <v>3.0180591666081114</v>
      </c>
      <c r="L141" s="6">
        <f t="shared" si="32"/>
        <v>12.517932130491667</v>
      </c>
      <c r="M141" s="6">
        <f t="shared" si="33"/>
        <v>-9.499872963883556</v>
      </c>
      <c r="N141" s="6">
        <v>1114.4000000000001</v>
      </c>
      <c r="O141" s="6">
        <f t="shared" si="24"/>
        <v>-30.258464234307525</v>
      </c>
      <c r="P141" s="6">
        <f t="shared" si="34"/>
        <v>2.5981157549845659</v>
      </c>
      <c r="Q141" s="6">
        <f t="shared" si="35"/>
        <v>-32.856579989292094</v>
      </c>
      <c r="R141" s="6"/>
      <c r="S141" s="6" t="str">
        <f t="shared" si="25"/>
        <v/>
      </c>
      <c r="T141" s="6" t="str">
        <f t="shared" si="36"/>
        <v/>
      </c>
      <c r="U141" s="6" t="str">
        <f t="shared" si="37"/>
        <v/>
      </c>
      <c r="V141" s="6">
        <v>1.64</v>
      </c>
      <c r="W141" s="6">
        <f t="shared" si="26"/>
        <v>35.537190082644621</v>
      </c>
      <c r="X141" s="6">
        <f t="shared" si="38"/>
        <v>0.2777434640770659</v>
      </c>
      <c r="Y141" s="6">
        <f t="shared" si="39"/>
        <v>35.259446618567551</v>
      </c>
      <c r="Z141" s="6"/>
      <c r="AA141" s="6" t="str">
        <f t="shared" si="27"/>
        <v/>
      </c>
      <c r="AB141" s="6" t="str">
        <f t="shared" si="40"/>
        <v/>
      </c>
      <c r="AC141" s="6" t="str">
        <f t="shared" si="41"/>
        <v/>
      </c>
    </row>
    <row r="142" spans="1:29" x14ac:dyDescent="0.2">
      <c r="A142" t="s">
        <v>226</v>
      </c>
      <c r="B142" s="6">
        <v>240.93</v>
      </c>
      <c r="C142" s="6">
        <f t="shared" si="21"/>
        <v>-13.043635182444868</v>
      </c>
      <c r="D142" s="6">
        <f t="shared" si="28"/>
        <v>7.3736706333829547</v>
      </c>
      <c r="E142" s="6">
        <f t="shared" si="29"/>
        <v>-20.417305815827824</v>
      </c>
      <c r="F142" s="6">
        <v>8.68</v>
      </c>
      <c r="G142" s="6">
        <f t="shared" si="22"/>
        <v>11.282051282051286</v>
      </c>
      <c r="H142" s="6" t="str">
        <f t="shared" si="30"/>
        <v/>
      </c>
      <c r="I142" s="6" t="str">
        <f t="shared" si="31"/>
        <v/>
      </c>
      <c r="J142" s="6">
        <v>2932.1</v>
      </c>
      <c r="K142" s="6">
        <f t="shared" si="23"/>
        <v>3.0180591666081114</v>
      </c>
      <c r="L142" s="6">
        <f t="shared" si="32"/>
        <v>12.345160481204857</v>
      </c>
      <c r="M142" s="6">
        <f t="shared" si="33"/>
        <v>-9.3271013145967459</v>
      </c>
      <c r="N142" s="6">
        <v>1074.2</v>
      </c>
      <c r="O142" s="6">
        <f t="shared" si="24"/>
        <v>-26.323731138545948</v>
      </c>
      <c r="P142" s="6">
        <f t="shared" si="34"/>
        <v>2.7534721325205118</v>
      </c>
      <c r="Q142" s="6">
        <f t="shared" si="35"/>
        <v>-29.077203271066459</v>
      </c>
      <c r="R142" s="6"/>
      <c r="S142" s="6" t="str">
        <f t="shared" si="25"/>
        <v/>
      </c>
      <c r="T142" s="6" t="str">
        <f t="shared" si="36"/>
        <v/>
      </c>
      <c r="U142" s="6" t="str">
        <f t="shared" si="37"/>
        <v/>
      </c>
      <c r="V142" s="6">
        <v>1.64</v>
      </c>
      <c r="W142" s="6">
        <f t="shared" si="26"/>
        <v>35.537190082644621</v>
      </c>
      <c r="X142" s="6">
        <f t="shared" si="38"/>
        <v>1.0640574731517702</v>
      </c>
      <c r="Y142" s="6">
        <f t="shared" si="39"/>
        <v>34.473132609492851</v>
      </c>
      <c r="Z142" s="6"/>
      <c r="AA142" s="6" t="str">
        <f t="shared" si="27"/>
        <v/>
      </c>
      <c r="AB142" s="6" t="str">
        <f t="shared" si="40"/>
        <v/>
      </c>
      <c r="AC142" s="6" t="str">
        <f t="shared" si="41"/>
        <v/>
      </c>
    </row>
    <row r="143" spans="1:29" x14ac:dyDescent="0.2">
      <c r="A143" t="s">
        <v>227</v>
      </c>
      <c r="B143" s="6">
        <v>263.37</v>
      </c>
      <c r="C143" s="6">
        <f t="shared" si="21"/>
        <v>0.90417991647830931</v>
      </c>
      <c r="D143" s="6">
        <f t="shared" si="28"/>
        <v>7.066254084752738</v>
      </c>
      <c r="E143" s="6">
        <f t="shared" si="29"/>
        <v>-6.1620741682744287</v>
      </c>
      <c r="F143" s="6">
        <v>8.68</v>
      </c>
      <c r="G143" s="6">
        <f t="shared" si="22"/>
        <v>11.282051282051286</v>
      </c>
      <c r="H143" s="6" t="str">
        <f t="shared" si="30"/>
        <v/>
      </c>
      <c r="I143" s="6" t="str">
        <f t="shared" si="31"/>
        <v/>
      </c>
      <c r="J143" s="6">
        <v>2932.1</v>
      </c>
      <c r="K143" s="6">
        <f t="shared" si="23"/>
        <v>3.0180591666081114</v>
      </c>
      <c r="L143" s="6">
        <f t="shared" si="32"/>
        <v>12.172388831918047</v>
      </c>
      <c r="M143" s="6">
        <f t="shared" si="33"/>
        <v>-9.1543296653099357</v>
      </c>
      <c r="N143" s="6">
        <v>1115.3</v>
      </c>
      <c r="O143" s="6">
        <f t="shared" si="24"/>
        <v>-18.388701887896964</v>
      </c>
      <c r="P143" s="6">
        <f t="shared" si="34"/>
        <v>3.0411635129951669</v>
      </c>
      <c r="Q143" s="6">
        <f t="shared" si="35"/>
        <v>-21.42986540089213</v>
      </c>
      <c r="R143" s="6"/>
      <c r="S143" s="6" t="str">
        <f t="shared" si="25"/>
        <v/>
      </c>
      <c r="T143" s="6" t="str">
        <f t="shared" si="36"/>
        <v/>
      </c>
      <c r="U143" s="6" t="str">
        <f t="shared" si="37"/>
        <v/>
      </c>
      <c r="V143" s="6">
        <v>1.74</v>
      </c>
      <c r="W143" s="6">
        <f t="shared" si="26"/>
        <v>43.801652892561989</v>
      </c>
      <c r="X143" s="6">
        <f t="shared" si="38"/>
        <v>1.8503714822264741</v>
      </c>
      <c r="Y143" s="6">
        <f t="shared" si="39"/>
        <v>41.951281410335518</v>
      </c>
      <c r="Z143" s="6"/>
      <c r="AA143" s="6" t="str">
        <f t="shared" si="27"/>
        <v/>
      </c>
      <c r="AB143" s="6" t="str">
        <f t="shared" si="40"/>
        <v/>
      </c>
      <c r="AC143" s="6" t="str">
        <f t="shared" si="41"/>
        <v/>
      </c>
    </row>
    <row r="144" spans="1:29" x14ac:dyDescent="0.2">
      <c r="A144" t="s">
        <v>228</v>
      </c>
      <c r="B144" s="6">
        <v>282.56</v>
      </c>
      <c r="C144" s="6">
        <f t="shared" si="21"/>
        <v>17.625509949213214</v>
      </c>
      <c r="D144" s="6">
        <f t="shared" si="28"/>
        <v>7.143605797659597</v>
      </c>
      <c r="E144" s="6">
        <f t="shared" si="29"/>
        <v>10.481904151553618</v>
      </c>
      <c r="F144" s="6">
        <v>8.68</v>
      </c>
      <c r="G144" s="6">
        <f t="shared" si="22"/>
        <v>11.282051282051286</v>
      </c>
      <c r="H144" s="6" t="str">
        <f t="shared" si="30"/>
        <v/>
      </c>
      <c r="I144" s="6" t="str">
        <f t="shared" si="31"/>
        <v/>
      </c>
      <c r="J144" s="6">
        <v>2932.1</v>
      </c>
      <c r="K144" s="6">
        <f t="shared" si="23"/>
        <v>3.0180591666081114</v>
      </c>
      <c r="L144" s="6">
        <f t="shared" si="32"/>
        <v>11.999617182631235</v>
      </c>
      <c r="M144" s="6">
        <f t="shared" si="33"/>
        <v>-8.9815580160231239</v>
      </c>
      <c r="N144" s="6">
        <v>1097.9000000000001</v>
      </c>
      <c r="O144" s="6">
        <f t="shared" si="24"/>
        <v>-13.312277931306749</v>
      </c>
      <c r="P144" s="6">
        <f t="shared" si="34"/>
        <v>3.4161776325789184</v>
      </c>
      <c r="Q144" s="6">
        <f t="shared" si="35"/>
        <v>-16.728455563885667</v>
      </c>
      <c r="R144" s="6"/>
      <c r="S144" s="6" t="str">
        <f t="shared" si="25"/>
        <v/>
      </c>
      <c r="T144" s="6" t="str">
        <f t="shared" si="36"/>
        <v/>
      </c>
      <c r="U144" s="6" t="str">
        <f t="shared" si="37"/>
        <v/>
      </c>
      <c r="V144" s="6">
        <v>1.74</v>
      </c>
      <c r="W144" s="6">
        <f t="shared" si="26"/>
        <v>43.801652892561989</v>
      </c>
      <c r="X144" s="6">
        <f t="shared" si="38"/>
        <v>2.8088617998411238</v>
      </c>
      <c r="Y144" s="6">
        <f t="shared" si="39"/>
        <v>40.992791092720864</v>
      </c>
      <c r="Z144" s="6"/>
      <c r="AA144" s="6" t="str">
        <f t="shared" si="27"/>
        <v/>
      </c>
      <c r="AB144" s="6" t="str">
        <f t="shared" si="40"/>
        <v/>
      </c>
      <c r="AC144" s="6" t="str">
        <f t="shared" si="41"/>
        <v/>
      </c>
    </row>
    <row r="145" spans="1:29" x14ac:dyDescent="0.2">
      <c r="A145" t="s">
        <v>229</v>
      </c>
      <c r="B145" s="6">
        <v>272.24</v>
      </c>
      <c r="C145" s="6">
        <f t="shared" ref="C145:C208" si="42">IF(OR(B145="",B133=""),"",(B145/B133-1)*100)</f>
        <v>20.305802289098061</v>
      </c>
      <c r="D145" s="6">
        <f t="shared" si="28"/>
        <v>7.6065633932734196</v>
      </c>
      <c r="E145" s="6">
        <f t="shared" si="29"/>
        <v>12.699238895824642</v>
      </c>
      <c r="F145" s="6">
        <v>8.68</v>
      </c>
      <c r="G145" s="6">
        <f t="shared" ref="G145:G208" si="43">IF(OR(F145="",F133=""),"",(F145/F133-1)*100)</f>
        <v>11.282051282051286</v>
      </c>
      <c r="H145" s="6" t="str">
        <f t="shared" si="30"/>
        <v/>
      </c>
      <c r="I145" s="6" t="str">
        <f t="shared" si="31"/>
        <v/>
      </c>
      <c r="J145" s="6">
        <v>2932.1</v>
      </c>
      <c r="K145" s="6">
        <f t="shared" ref="K145:K208" si="44">IF(OR(J145="",J133=""),"",(J145/J133-1)*100)</f>
        <v>3.0180591666081114</v>
      </c>
      <c r="L145" s="6">
        <f t="shared" si="32"/>
        <v>11.826845533344425</v>
      </c>
      <c r="M145" s="6">
        <f t="shared" si="33"/>
        <v>-8.8087863667363138</v>
      </c>
      <c r="N145" s="6">
        <v>1056.4000000000001</v>
      </c>
      <c r="O145" s="6">
        <f t="shared" ref="O145:O208" si="45">IF(OR(N145="",N133=""),"",(N145/N133-1)*100)</f>
        <v>-15.277889165129521</v>
      </c>
      <c r="P145" s="6">
        <f t="shared" si="34"/>
        <v>3.4016472775054649</v>
      </c>
      <c r="Q145" s="6">
        <f t="shared" si="35"/>
        <v>-18.679536442634987</v>
      </c>
      <c r="R145" s="6"/>
      <c r="S145" s="6" t="str">
        <f t="shared" ref="S145:S208" si="46">IF(OR(R145="",R133=""),"",(R145/R133-1)*100)</f>
        <v/>
      </c>
      <c r="T145" s="6" t="str">
        <f t="shared" si="36"/>
        <v/>
      </c>
      <c r="U145" s="6" t="str">
        <f t="shared" si="37"/>
        <v/>
      </c>
      <c r="V145" s="6">
        <v>1.74</v>
      </c>
      <c r="W145" s="6">
        <f t="shared" ref="W145:W208" si="47">IF(OR(V145="",V133=""),"",(V145/V133-1)*100)</f>
        <v>43.801652892561989</v>
      </c>
      <c r="X145" s="6">
        <f t="shared" si="38"/>
        <v>3.7673521174557734</v>
      </c>
      <c r="Y145" s="6">
        <f t="shared" si="39"/>
        <v>40.034300775106217</v>
      </c>
      <c r="Z145" s="6"/>
      <c r="AA145" s="6" t="str">
        <f t="shared" ref="AA145:AA208" si="48">IF(OR(Z145="",Z133=""),"",(Z145/Z133-1)*100)</f>
        <v/>
      </c>
      <c r="AB145" s="6" t="str">
        <f t="shared" si="40"/>
        <v/>
      </c>
      <c r="AC145" s="6" t="str">
        <f t="shared" si="41"/>
        <v/>
      </c>
    </row>
    <row r="146" spans="1:29" x14ac:dyDescent="0.2">
      <c r="A146" t="s">
        <v>230</v>
      </c>
      <c r="B146" s="6">
        <v>253.99</v>
      </c>
      <c r="C146" s="6">
        <f t="shared" si="42"/>
        <v>-1.3516137802462524</v>
      </c>
      <c r="D146" s="6">
        <f t="shared" si="28"/>
        <v>8.1564692065173592</v>
      </c>
      <c r="E146" s="6">
        <f t="shared" si="29"/>
        <v>-9.5080829867636112</v>
      </c>
      <c r="F146" s="6">
        <v>8.68</v>
      </c>
      <c r="G146" s="6">
        <f t="shared" si="43"/>
        <v>11.282051282051286</v>
      </c>
      <c r="H146" s="6" t="str">
        <f t="shared" si="30"/>
        <v/>
      </c>
      <c r="I146" s="6" t="str">
        <f t="shared" si="31"/>
        <v/>
      </c>
      <c r="J146" s="6">
        <v>2932.1</v>
      </c>
      <c r="K146" s="6">
        <f t="shared" si="44"/>
        <v>3.0180591666081114</v>
      </c>
      <c r="L146" s="6">
        <f t="shared" si="32"/>
        <v>11.654073884057615</v>
      </c>
      <c r="M146" s="6">
        <f t="shared" si="33"/>
        <v>-8.6360147174495037</v>
      </c>
      <c r="N146" s="6">
        <v>1041.2</v>
      </c>
      <c r="O146" s="6">
        <f t="shared" si="45"/>
        <v>-8.8585434173669491</v>
      </c>
      <c r="P146" s="6">
        <f t="shared" si="34"/>
        <v>3.2091348862438451</v>
      </c>
      <c r="Q146" s="6">
        <f t="shared" si="35"/>
        <v>-12.067678303610794</v>
      </c>
      <c r="R146" s="6"/>
      <c r="S146" s="6" t="str">
        <f t="shared" si="46"/>
        <v/>
      </c>
      <c r="T146" s="6" t="str">
        <f t="shared" si="36"/>
        <v/>
      </c>
      <c r="U146" s="6" t="str">
        <f t="shared" si="37"/>
        <v/>
      </c>
      <c r="V146" s="6">
        <v>1.74</v>
      </c>
      <c r="W146" s="6">
        <f t="shared" si="47"/>
        <v>43.801652892561989</v>
      </c>
      <c r="X146" s="6">
        <f t="shared" si="38"/>
        <v>4.7258424350704225</v>
      </c>
      <c r="Y146" s="6">
        <f t="shared" si="39"/>
        <v>39.075810457491571</v>
      </c>
      <c r="Z146" s="6"/>
      <c r="AA146" s="6" t="str">
        <f t="shared" si="48"/>
        <v/>
      </c>
      <c r="AB146" s="6" t="str">
        <f t="shared" si="40"/>
        <v/>
      </c>
      <c r="AC146" s="6" t="str">
        <f t="shared" si="41"/>
        <v/>
      </c>
    </row>
    <row r="147" spans="1:29" x14ac:dyDescent="0.2">
      <c r="A147" t="s">
        <v>231</v>
      </c>
      <c r="B147" s="6">
        <v>247.82</v>
      </c>
      <c r="C147" s="6">
        <f t="shared" si="42"/>
        <v>-8.2114152376013934</v>
      </c>
      <c r="D147" s="6">
        <f t="shared" si="28"/>
        <v>8.2128419736733278</v>
      </c>
      <c r="E147" s="6">
        <f t="shared" si="29"/>
        <v>-16.424257211274721</v>
      </c>
      <c r="F147" s="6">
        <v>8.68</v>
      </c>
      <c r="G147" s="6">
        <f t="shared" si="43"/>
        <v>11.282051282051286</v>
      </c>
      <c r="H147" s="6" t="str">
        <f t="shared" si="30"/>
        <v/>
      </c>
      <c r="I147" s="6" t="str">
        <f t="shared" si="31"/>
        <v/>
      </c>
      <c r="J147" s="6">
        <v>2932.1</v>
      </c>
      <c r="K147" s="6">
        <f t="shared" si="44"/>
        <v>3.0180591666081114</v>
      </c>
      <c r="L147" s="6">
        <f t="shared" si="32"/>
        <v>11.481302234770803</v>
      </c>
      <c r="M147" s="6">
        <f t="shared" si="33"/>
        <v>-8.4632430681626918</v>
      </c>
      <c r="N147" s="6">
        <v>1013.9</v>
      </c>
      <c r="O147" s="6">
        <f t="shared" si="45"/>
        <v>-6.578826131023674</v>
      </c>
      <c r="P147" s="6">
        <f t="shared" si="34"/>
        <v>3.2482098128957304</v>
      </c>
      <c r="Q147" s="6">
        <f t="shared" si="35"/>
        <v>-9.8270359439194053</v>
      </c>
      <c r="R147" s="6"/>
      <c r="S147" s="6" t="str">
        <f t="shared" si="46"/>
        <v/>
      </c>
      <c r="T147" s="6" t="str">
        <f t="shared" si="36"/>
        <v/>
      </c>
      <c r="U147" s="6" t="str">
        <f t="shared" si="37"/>
        <v/>
      </c>
      <c r="V147" s="6">
        <v>1.74</v>
      </c>
      <c r="W147" s="6">
        <f t="shared" si="47"/>
        <v>43.801652892561989</v>
      </c>
      <c r="X147" s="6">
        <f t="shared" si="38"/>
        <v>5.6843327526850729</v>
      </c>
      <c r="Y147" s="6">
        <f t="shared" si="39"/>
        <v>38.117320139876917</v>
      </c>
      <c r="Z147" s="6"/>
      <c r="AA147" s="6" t="str">
        <f t="shared" si="48"/>
        <v/>
      </c>
      <c r="AB147" s="6" t="str">
        <f t="shared" si="40"/>
        <v/>
      </c>
      <c r="AC147" s="6" t="str">
        <f t="shared" si="41"/>
        <v/>
      </c>
    </row>
    <row r="148" spans="1:29" x14ac:dyDescent="0.2">
      <c r="A148" t="s">
        <v>232</v>
      </c>
      <c r="B148" s="6">
        <v>233.69</v>
      </c>
      <c r="C148" s="6">
        <f t="shared" si="42"/>
        <v>-13.970696510086878</v>
      </c>
      <c r="D148" s="6">
        <f t="shared" si="28"/>
        <v>8.1154347310783663</v>
      </c>
      <c r="E148" s="6">
        <f t="shared" si="29"/>
        <v>-22.086131241165244</v>
      </c>
      <c r="F148" s="6">
        <v>8.68</v>
      </c>
      <c r="G148" s="6">
        <f t="shared" si="43"/>
        <v>11.282051282051286</v>
      </c>
      <c r="H148" s="6" t="str">
        <f t="shared" si="30"/>
        <v/>
      </c>
      <c r="I148" s="6" t="str">
        <f t="shared" si="31"/>
        <v/>
      </c>
      <c r="J148" s="6">
        <v>2932.1</v>
      </c>
      <c r="K148" s="6">
        <f t="shared" si="44"/>
        <v>3.0180591666081114</v>
      </c>
      <c r="L148" s="6">
        <f t="shared" si="32"/>
        <v>11.308530585483993</v>
      </c>
      <c r="M148" s="6">
        <f t="shared" si="33"/>
        <v>-8.2904714188758817</v>
      </c>
      <c r="N148" s="6">
        <v>1037.9000000000001</v>
      </c>
      <c r="O148" s="6">
        <f t="shared" si="45"/>
        <v>-0.74591182939657275</v>
      </c>
      <c r="P148" s="6">
        <f t="shared" si="34"/>
        <v>2.8835481970186998</v>
      </c>
      <c r="Q148" s="6">
        <f t="shared" si="35"/>
        <v>-3.6294600264152725</v>
      </c>
      <c r="R148" s="6"/>
      <c r="S148" s="6" t="str">
        <f t="shared" si="46"/>
        <v/>
      </c>
      <c r="T148" s="6" t="str">
        <f t="shared" si="36"/>
        <v/>
      </c>
      <c r="U148" s="6" t="str">
        <f t="shared" si="37"/>
        <v/>
      </c>
      <c r="V148" s="6">
        <v>1.74</v>
      </c>
      <c r="W148" s="6">
        <f t="shared" si="47"/>
        <v>43.801652892561989</v>
      </c>
      <c r="X148" s="6">
        <f t="shared" si="38"/>
        <v>6.6428230702997224</v>
      </c>
      <c r="Y148" s="6">
        <f t="shared" si="39"/>
        <v>37.15882982226227</v>
      </c>
      <c r="Z148" s="6"/>
      <c r="AA148" s="6" t="str">
        <f t="shared" si="48"/>
        <v/>
      </c>
      <c r="AB148" s="6" t="str">
        <f t="shared" si="40"/>
        <v/>
      </c>
      <c r="AC148" s="6" t="str">
        <f t="shared" si="41"/>
        <v/>
      </c>
    </row>
    <row r="149" spans="1:29" x14ac:dyDescent="0.2">
      <c r="A149" t="s">
        <v>233</v>
      </c>
      <c r="B149" s="6">
        <v>218.34</v>
      </c>
      <c r="C149" s="6">
        <f t="shared" si="42"/>
        <v>-20.106846207325557</v>
      </c>
      <c r="D149" s="6">
        <f t="shared" si="28"/>
        <v>8.1496935843136225</v>
      </c>
      <c r="E149" s="6">
        <f t="shared" si="29"/>
        <v>-28.256539791639177</v>
      </c>
      <c r="F149" s="6">
        <v>9.6</v>
      </c>
      <c r="G149" s="6">
        <f t="shared" si="43"/>
        <v>10.599078341013835</v>
      </c>
      <c r="H149" s="6" t="str">
        <f t="shared" si="30"/>
        <v/>
      </c>
      <c r="I149" s="6" t="str">
        <f t="shared" si="31"/>
        <v/>
      </c>
      <c r="J149" s="6">
        <v>3079.9</v>
      </c>
      <c r="K149" s="6">
        <f t="shared" si="44"/>
        <v>5.0407557723133545</v>
      </c>
      <c r="L149" s="6">
        <f t="shared" si="32"/>
        <v>11.135758936197192</v>
      </c>
      <c r="M149" s="6">
        <f t="shared" si="33"/>
        <v>-6.0950031638838373</v>
      </c>
      <c r="N149" s="6">
        <v>1078</v>
      </c>
      <c r="O149" s="6">
        <f t="shared" si="45"/>
        <v>6.7326732673267387</v>
      </c>
      <c r="P149" s="6">
        <f t="shared" si="34"/>
        <v>2.6800755866578148</v>
      </c>
      <c r="Q149" s="6">
        <f t="shared" si="35"/>
        <v>4.0525976806689243</v>
      </c>
      <c r="R149" s="6"/>
      <c r="S149" s="6" t="str">
        <f t="shared" si="46"/>
        <v/>
      </c>
      <c r="T149" s="6" t="str">
        <f t="shared" si="36"/>
        <v/>
      </c>
      <c r="U149" s="6" t="str">
        <f t="shared" si="37"/>
        <v/>
      </c>
      <c r="V149" s="6">
        <v>1.77</v>
      </c>
      <c r="W149" s="6">
        <f t="shared" si="47"/>
        <v>7.92682926829269</v>
      </c>
      <c r="X149" s="6">
        <f t="shared" si="38"/>
        <v>7.6013133879143711</v>
      </c>
      <c r="Y149" s="6">
        <f t="shared" si="39"/>
        <v>0.32551588037831891</v>
      </c>
      <c r="Z149" s="6"/>
      <c r="AA149" s="6" t="str">
        <f t="shared" si="48"/>
        <v/>
      </c>
      <c r="AB149" s="6" t="str">
        <f t="shared" si="40"/>
        <v/>
      </c>
      <c r="AC149" s="6" t="str">
        <f t="shared" si="41"/>
        <v/>
      </c>
    </row>
    <row r="150" spans="1:29" x14ac:dyDescent="0.2">
      <c r="A150" t="s">
        <v>234</v>
      </c>
      <c r="B150" s="6">
        <v>185.17</v>
      </c>
      <c r="C150" s="6">
        <f t="shared" si="42"/>
        <v>-32.244136265505517</v>
      </c>
      <c r="D150" s="6">
        <f t="shared" si="28"/>
        <v>8.1124430030362369</v>
      </c>
      <c r="E150" s="6">
        <f t="shared" si="29"/>
        <v>-40.356579268541751</v>
      </c>
      <c r="F150" s="6">
        <v>9.6</v>
      </c>
      <c r="G150" s="6">
        <f t="shared" si="43"/>
        <v>10.599078341013835</v>
      </c>
      <c r="H150" s="6" t="str">
        <f t="shared" si="30"/>
        <v/>
      </c>
      <c r="I150" s="6" t="str">
        <f t="shared" si="31"/>
        <v/>
      </c>
      <c r="J150" s="6">
        <v>3079.9</v>
      </c>
      <c r="K150" s="6">
        <f t="shared" si="44"/>
        <v>5.0407557723133545</v>
      </c>
      <c r="L150" s="6">
        <f t="shared" si="32"/>
        <v>11.091388585123363</v>
      </c>
      <c r="M150" s="6">
        <f t="shared" si="33"/>
        <v>-6.0506328128100089</v>
      </c>
      <c r="N150" s="6">
        <v>1112.4000000000001</v>
      </c>
      <c r="O150" s="6">
        <f t="shared" si="45"/>
        <v>9.0374436385022516</v>
      </c>
      <c r="P150" s="6">
        <f t="shared" si="34"/>
        <v>2.5441474141082741</v>
      </c>
      <c r="Q150" s="6">
        <f t="shared" si="35"/>
        <v>6.493296224393978</v>
      </c>
      <c r="R150" s="6"/>
      <c r="S150" s="6" t="str">
        <f t="shared" si="46"/>
        <v/>
      </c>
      <c r="T150" s="6" t="str">
        <f t="shared" si="36"/>
        <v/>
      </c>
      <c r="U150" s="6" t="str">
        <f t="shared" si="37"/>
        <v/>
      </c>
      <c r="V150" s="6">
        <v>1.77</v>
      </c>
      <c r="W150" s="6">
        <f t="shared" si="47"/>
        <v>7.92682926829269</v>
      </c>
      <c r="X150" s="6">
        <f t="shared" si="38"/>
        <v>7.7821198247381389</v>
      </c>
      <c r="Y150" s="6">
        <f t="shared" si="39"/>
        <v>0.14470944355455106</v>
      </c>
      <c r="Z150" s="6"/>
      <c r="AA150" s="6" t="str">
        <f t="shared" si="48"/>
        <v/>
      </c>
      <c r="AB150" s="6" t="str">
        <f t="shared" si="40"/>
        <v/>
      </c>
      <c r="AC150" s="6" t="str">
        <f t="shared" si="41"/>
        <v/>
      </c>
    </row>
    <row r="151" spans="1:29" x14ac:dyDescent="0.2">
      <c r="A151" t="s">
        <v>235</v>
      </c>
      <c r="B151" s="6">
        <v>216.68</v>
      </c>
      <c r="C151" s="6">
        <f t="shared" si="42"/>
        <v>-22.063160923674552</v>
      </c>
      <c r="D151" s="6">
        <f t="shared" si="28"/>
        <v>7.7959208066756567</v>
      </c>
      <c r="E151" s="6">
        <f t="shared" si="29"/>
        <v>-29.859081730350209</v>
      </c>
      <c r="F151" s="6">
        <v>9.6</v>
      </c>
      <c r="G151" s="6">
        <f t="shared" si="43"/>
        <v>10.599078341013835</v>
      </c>
      <c r="H151" s="6" t="str">
        <f t="shared" si="30"/>
        <v/>
      </c>
      <c r="I151" s="6" t="str">
        <f t="shared" si="31"/>
        <v/>
      </c>
      <c r="J151" s="6">
        <v>3079.9</v>
      </c>
      <c r="K151" s="6">
        <f t="shared" si="44"/>
        <v>5.0407557723133545</v>
      </c>
      <c r="L151" s="6">
        <f t="shared" si="32"/>
        <v>11.04701823404954</v>
      </c>
      <c r="M151" s="6">
        <f t="shared" si="33"/>
        <v>-6.0062624617361857</v>
      </c>
      <c r="N151" s="6">
        <v>1108.2</v>
      </c>
      <c r="O151" s="6">
        <f t="shared" si="45"/>
        <v>-3.1378376016082399</v>
      </c>
      <c r="P151" s="6">
        <f t="shared" si="34"/>
        <v>1.8800647583075374</v>
      </c>
      <c r="Q151" s="6">
        <f t="shared" si="35"/>
        <v>-5.0179023599157775</v>
      </c>
      <c r="R151" s="6"/>
      <c r="S151" s="6" t="str">
        <f t="shared" si="46"/>
        <v/>
      </c>
      <c r="T151" s="6" t="str">
        <f t="shared" si="36"/>
        <v/>
      </c>
      <c r="U151" s="6" t="str">
        <f t="shared" si="37"/>
        <v/>
      </c>
      <c r="V151" s="6">
        <v>1.77</v>
      </c>
      <c r="W151" s="6">
        <f t="shared" si="47"/>
        <v>7.92682926829269</v>
      </c>
      <c r="X151" s="6">
        <f t="shared" si="38"/>
        <v>7.962926261561905</v>
      </c>
      <c r="Y151" s="6">
        <f t="shared" si="39"/>
        <v>-3.6096993269215005E-2</v>
      </c>
      <c r="Z151" s="6"/>
      <c r="AA151" s="6" t="str">
        <f t="shared" si="48"/>
        <v/>
      </c>
      <c r="AB151" s="6" t="str">
        <f t="shared" si="40"/>
        <v/>
      </c>
      <c r="AC151" s="6" t="str">
        <f t="shared" si="41"/>
        <v/>
      </c>
    </row>
    <row r="152" spans="1:29" x14ac:dyDescent="0.2">
      <c r="A152" t="s">
        <v>236</v>
      </c>
      <c r="B152" s="6">
        <v>227.34</v>
      </c>
      <c r="C152" s="6">
        <f t="shared" si="42"/>
        <v>-15.574866310160418</v>
      </c>
      <c r="D152" s="6">
        <f t="shared" si="28"/>
        <v>7.633904001376826</v>
      </c>
      <c r="E152" s="6">
        <f t="shared" si="29"/>
        <v>-23.208770311537243</v>
      </c>
      <c r="F152" s="6">
        <v>9.6</v>
      </c>
      <c r="G152" s="6">
        <f t="shared" si="43"/>
        <v>10.599078341013835</v>
      </c>
      <c r="H152" s="6" t="str">
        <f t="shared" si="30"/>
        <v/>
      </c>
      <c r="I152" s="6" t="str">
        <f t="shared" si="31"/>
        <v/>
      </c>
      <c r="J152" s="6">
        <v>3079.9</v>
      </c>
      <c r="K152" s="6">
        <f t="shared" si="44"/>
        <v>5.0407557723133545</v>
      </c>
      <c r="L152" s="6">
        <f t="shared" si="32"/>
        <v>11.002647882975717</v>
      </c>
      <c r="M152" s="6">
        <f t="shared" si="33"/>
        <v>-5.9618921106623626</v>
      </c>
      <c r="N152" s="6">
        <v>1133</v>
      </c>
      <c r="O152" s="6">
        <f t="shared" si="45"/>
        <v>-9.4686376348381955</v>
      </c>
      <c r="P152" s="6">
        <f t="shared" si="34"/>
        <v>0.67141480035298706</v>
      </c>
      <c r="Q152" s="6">
        <f t="shared" si="35"/>
        <v>-10.140052435191183</v>
      </c>
      <c r="R152" s="6"/>
      <c r="S152" s="6" t="str">
        <f t="shared" si="46"/>
        <v/>
      </c>
      <c r="T152" s="6" t="str">
        <f t="shared" si="36"/>
        <v/>
      </c>
      <c r="U152" s="6" t="str">
        <f t="shared" si="37"/>
        <v/>
      </c>
      <c r="V152" s="6">
        <v>1.77</v>
      </c>
      <c r="W152" s="6">
        <f t="shared" si="47"/>
        <v>7.92682926829269</v>
      </c>
      <c r="X152" s="6">
        <f t="shared" si="38"/>
        <v>8.1437326983856728</v>
      </c>
      <c r="Y152" s="6">
        <f t="shared" si="39"/>
        <v>-0.21690343009298285</v>
      </c>
      <c r="Z152" s="6"/>
      <c r="AA152" s="6" t="str">
        <f t="shared" si="48"/>
        <v/>
      </c>
      <c r="AB152" s="6" t="str">
        <f t="shared" si="40"/>
        <v/>
      </c>
      <c r="AC152" s="6" t="str">
        <f t="shared" si="41"/>
        <v/>
      </c>
    </row>
    <row r="153" spans="1:29" x14ac:dyDescent="0.2">
      <c r="A153" t="s">
        <v>237</v>
      </c>
      <c r="B153" s="6">
        <v>227.51</v>
      </c>
      <c r="C153" s="6">
        <f t="shared" si="42"/>
        <v>-6.3050819537105678</v>
      </c>
      <c r="D153" s="6">
        <f t="shared" si="28"/>
        <v>7.6290861033246413</v>
      </c>
      <c r="E153" s="6">
        <f t="shared" si="29"/>
        <v>-13.934168057035208</v>
      </c>
      <c r="F153" s="6">
        <v>9.6</v>
      </c>
      <c r="G153" s="6">
        <f t="shared" si="43"/>
        <v>10.599078341013835</v>
      </c>
      <c r="H153" s="6" t="str">
        <f t="shared" si="30"/>
        <v/>
      </c>
      <c r="I153" s="6" t="str">
        <f t="shared" si="31"/>
        <v/>
      </c>
      <c r="J153" s="6">
        <v>3079.9</v>
      </c>
      <c r="K153" s="6">
        <f t="shared" si="44"/>
        <v>5.0407557723133545</v>
      </c>
      <c r="L153" s="6">
        <f t="shared" si="32"/>
        <v>10.958277531901892</v>
      </c>
      <c r="M153" s="6">
        <f t="shared" si="33"/>
        <v>-5.9175217595885377</v>
      </c>
      <c r="N153" s="6">
        <v>1106.4000000000001</v>
      </c>
      <c r="O153" s="6">
        <f t="shared" si="45"/>
        <v>-0.71787508973438774</v>
      </c>
      <c r="P153" s="6">
        <f t="shared" si="34"/>
        <v>-7.1165256265255897E-2</v>
      </c>
      <c r="Q153" s="6">
        <f t="shared" si="35"/>
        <v>-0.6467098334691318</v>
      </c>
      <c r="R153" s="6"/>
      <c r="S153" s="6" t="str">
        <f t="shared" si="46"/>
        <v/>
      </c>
      <c r="T153" s="6" t="str">
        <f t="shared" si="36"/>
        <v/>
      </c>
      <c r="U153" s="6" t="str">
        <f t="shared" si="37"/>
        <v/>
      </c>
      <c r="V153" s="6">
        <v>1.77</v>
      </c>
      <c r="W153" s="6">
        <f t="shared" si="47"/>
        <v>7.92682926829269</v>
      </c>
      <c r="X153" s="6">
        <f t="shared" si="38"/>
        <v>8.3245391352094398</v>
      </c>
      <c r="Y153" s="6">
        <f t="shared" si="39"/>
        <v>-0.39770986691674981</v>
      </c>
      <c r="Z153" s="6"/>
      <c r="AA153" s="6" t="str">
        <f t="shared" si="48"/>
        <v/>
      </c>
      <c r="AB153" s="6" t="str">
        <f t="shared" si="40"/>
        <v/>
      </c>
      <c r="AC153" s="6" t="str">
        <f t="shared" si="41"/>
        <v/>
      </c>
    </row>
    <row r="154" spans="1:29" x14ac:dyDescent="0.2">
      <c r="A154" t="s">
        <v>238</v>
      </c>
      <c r="B154" s="6">
        <v>216.13</v>
      </c>
      <c r="C154" s="6">
        <f t="shared" si="42"/>
        <v>-10.293446229195203</v>
      </c>
      <c r="D154" s="6">
        <f t="shared" si="28"/>
        <v>7.8481644549075726</v>
      </c>
      <c r="E154" s="6">
        <f t="shared" si="29"/>
        <v>-18.141610684102776</v>
      </c>
      <c r="F154" s="6">
        <v>9.6</v>
      </c>
      <c r="G154" s="6">
        <f t="shared" si="43"/>
        <v>10.599078341013835</v>
      </c>
      <c r="H154" s="6" t="str">
        <f t="shared" si="30"/>
        <v/>
      </c>
      <c r="I154" s="6" t="str">
        <f t="shared" si="31"/>
        <v/>
      </c>
      <c r="J154" s="6">
        <v>3079.9</v>
      </c>
      <c r="K154" s="6">
        <f t="shared" si="44"/>
        <v>5.0407557723133545</v>
      </c>
      <c r="L154" s="6">
        <f t="shared" si="32"/>
        <v>10.913907180828064</v>
      </c>
      <c r="M154" s="6">
        <f t="shared" si="33"/>
        <v>-5.8731514085147092</v>
      </c>
      <c r="N154" s="6">
        <v>1063.2</v>
      </c>
      <c r="O154" s="6">
        <f t="shared" si="45"/>
        <v>-1.0240178737665251</v>
      </c>
      <c r="P154" s="6">
        <f t="shared" si="34"/>
        <v>-0.20758191231047537</v>
      </c>
      <c r="Q154" s="6">
        <f t="shared" si="35"/>
        <v>-0.81643596145604969</v>
      </c>
      <c r="R154" s="6"/>
      <c r="S154" s="6" t="str">
        <f t="shared" si="46"/>
        <v/>
      </c>
      <c r="T154" s="6" t="str">
        <f t="shared" si="36"/>
        <v/>
      </c>
      <c r="U154" s="6" t="str">
        <f t="shared" si="37"/>
        <v/>
      </c>
      <c r="V154" s="6">
        <v>1.77</v>
      </c>
      <c r="W154" s="6">
        <f t="shared" si="47"/>
        <v>7.92682926829269</v>
      </c>
      <c r="X154" s="6">
        <f t="shared" si="38"/>
        <v>8.5053455720332067</v>
      </c>
      <c r="Y154" s="6">
        <f t="shared" si="39"/>
        <v>-0.57851630374051677</v>
      </c>
      <c r="Z154" s="6"/>
      <c r="AA154" s="6" t="str">
        <f t="shared" si="48"/>
        <v/>
      </c>
      <c r="AB154" s="6" t="str">
        <f t="shared" si="40"/>
        <v/>
      </c>
      <c r="AC154" s="6" t="str">
        <f t="shared" si="41"/>
        <v/>
      </c>
    </row>
    <row r="155" spans="1:29" x14ac:dyDescent="0.2">
      <c r="A155" t="s">
        <v>239</v>
      </c>
      <c r="B155" s="6">
        <v>214.6</v>
      </c>
      <c r="C155" s="6">
        <f t="shared" si="42"/>
        <v>-18.51767475414816</v>
      </c>
      <c r="D155" s="6">
        <f t="shared" si="28"/>
        <v>8.1288364360887098</v>
      </c>
      <c r="E155" s="6">
        <f t="shared" si="29"/>
        <v>-26.646511190236872</v>
      </c>
      <c r="F155" s="6">
        <v>9.6</v>
      </c>
      <c r="G155" s="6">
        <f t="shared" si="43"/>
        <v>10.599078341013835</v>
      </c>
      <c r="H155" s="6" t="str">
        <f t="shared" si="30"/>
        <v/>
      </c>
      <c r="I155" s="6" t="str">
        <f t="shared" si="31"/>
        <v/>
      </c>
      <c r="J155" s="6">
        <v>3079.9</v>
      </c>
      <c r="K155" s="6">
        <f t="shared" si="44"/>
        <v>5.0407557723133545</v>
      </c>
      <c r="L155" s="6">
        <f t="shared" si="32"/>
        <v>10.869536829754239</v>
      </c>
      <c r="M155" s="6">
        <f t="shared" si="33"/>
        <v>-5.8287810574408843</v>
      </c>
      <c r="N155" s="6">
        <v>1034.5999999999999</v>
      </c>
      <c r="O155" s="6">
        <f t="shared" si="45"/>
        <v>-7.2357213305836998</v>
      </c>
      <c r="P155" s="6">
        <f t="shared" si="34"/>
        <v>-0.47820477044724341</v>
      </c>
      <c r="Q155" s="6">
        <f t="shared" si="35"/>
        <v>-6.7575165601364562</v>
      </c>
      <c r="R155" s="6"/>
      <c r="S155" s="6" t="str">
        <f t="shared" si="46"/>
        <v/>
      </c>
      <c r="T155" s="6" t="str">
        <f t="shared" si="36"/>
        <v/>
      </c>
      <c r="U155" s="6" t="str">
        <f t="shared" si="37"/>
        <v/>
      </c>
      <c r="V155" s="6">
        <v>1.87</v>
      </c>
      <c r="W155" s="6">
        <f t="shared" si="47"/>
        <v>7.4712643678160884</v>
      </c>
      <c r="X155" s="6">
        <f t="shared" si="38"/>
        <v>8.6861520088569737</v>
      </c>
      <c r="Y155" s="6">
        <f t="shared" si="39"/>
        <v>-1.2148876410408853</v>
      </c>
      <c r="Z155" s="6"/>
      <c r="AA155" s="6" t="str">
        <f t="shared" si="48"/>
        <v/>
      </c>
      <c r="AB155" s="6" t="str">
        <f t="shared" si="40"/>
        <v/>
      </c>
      <c r="AC155" s="6" t="str">
        <f t="shared" si="41"/>
        <v/>
      </c>
    </row>
    <row r="156" spans="1:29" x14ac:dyDescent="0.2">
      <c r="A156" t="s">
        <v>240</v>
      </c>
      <c r="B156" s="6">
        <v>220.64</v>
      </c>
      <c r="C156" s="6">
        <f t="shared" si="42"/>
        <v>-21.913929784824472</v>
      </c>
      <c r="D156" s="6">
        <f t="shared" si="28"/>
        <v>8.2558468353115657</v>
      </c>
      <c r="E156" s="6">
        <f t="shared" si="29"/>
        <v>-30.169776620136037</v>
      </c>
      <c r="F156" s="6">
        <v>9.6</v>
      </c>
      <c r="G156" s="6">
        <f t="shared" si="43"/>
        <v>10.599078341013835</v>
      </c>
      <c r="H156" s="6" t="str">
        <f t="shared" si="30"/>
        <v/>
      </c>
      <c r="I156" s="6" t="str">
        <f t="shared" si="31"/>
        <v/>
      </c>
      <c r="J156" s="6">
        <v>3079.9</v>
      </c>
      <c r="K156" s="6">
        <f t="shared" si="44"/>
        <v>5.0407557723133545</v>
      </c>
      <c r="L156" s="6">
        <f t="shared" si="32"/>
        <v>10.82516647868041</v>
      </c>
      <c r="M156" s="6">
        <f t="shared" si="33"/>
        <v>-5.7844107063670558</v>
      </c>
      <c r="N156" s="6">
        <v>1046.7</v>
      </c>
      <c r="O156" s="6">
        <f t="shared" si="45"/>
        <v>-4.6634484014937634</v>
      </c>
      <c r="P156" s="6">
        <f t="shared" si="34"/>
        <v>-0.74776144164842506</v>
      </c>
      <c r="Q156" s="6">
        <f t="shared" si="35"/>
        <v>-3.9156869598453383</v>
      </c>
      <c r="R156" s="6"/>
      <c r="S156" s="6" t="str">
        <f t="shared" si="46"/>
        <v/>
      </c>
      <c r="T156" s="6" t="str">
        <f t="shared" si="36"/>
        <v/>
      </c>
      <c r="U156" s="6" t="str">
        <f t="shared" si="37"/>
        <v/>
      </c>
      <c r="V156" s="6">
        <v>1.87</v>
      </c>
      <c r="W156" s="6">
        <f t="shared" si="47"/>
        <v>7.4712643678160884</v>
      </c>
      <c r="X156" s="6">
        <f t="shared" si="38"/>
        <v>8.8574675102541445</v>
      </c>
      <c r="Y156" s="6">
        <f t="shared" si="39"/>
        <v>-1.3862031424380561</v>
      </c>
      <c r="Z156" s="6"/>
      <c r="AA156" s="6" t="str">
        <f t="shared" si="48"/>
        <v/>
      </c>
      <c r="AB156" s="6" t="str">
        <f t="shared" si="40"/>
        <v/>
      </c>
      <c r="AC156" s="6" t="str">
        <f t="shared" si="41"/>
        <v/>
      </c>
    </row>
    <row r="157" spans="1:29" x14ac:dyDescent="0.2">
      <c r="A157" t="s">
        <v>241</v>
      </c>
      <c r="B157" s="6">
        <v>224.87</v>
      </c>
      <c r="C157" s="6">
        <f t="shared" si="42"/>
        <v>-17.400088157508087</v>
      </c>
      <c r="D157" s="6">
        <f t="shared" si="28"/>
        <v>8.514305392737084</v>
      </c>
      <c r="E157" s="6">
        <f t="shared" si="29"/>
        <v>-25.914393550245173</v>
      </c>
      <c r="F157" s="6">
        <v>9.6</v>
      </c>
      <c r="G157" s="6">
        <f t="shared" si="43"/>
        <v>10.599078341013835</v>
      </c>
      <c r="H157" s="6" t="str">
        <f t="shared" si="30"/>
        <v/>
      </c>
      <c r="I157" s="6" t="str">
        <f t="shared" si="31"/>
        <v/>
      </c>
      <c r="J157" s="6">
        <v>3079.9</v>
      </c>
      <c r="K157" s="6">
        <f t="shared" si="44"/>
        <v>5.0407557723133545</v>
      </c>
      <c r="L157" s="6">
        <f t="shared" si="32"/>
        <v>10.780796127606585</v>
      </c>
      <c r="M157" s="6">
        <f t="shared" si="33"/>
        <v>-5.7400403552932309</v>
      </c>
      <c r="N157" s="6">
        <v>1060.5999999999999</v>
      </c>
      <c r="O157" s="6">
        <f t="shared" si="45"/>
        <v>0.3975766755016874</v>
      </c>
      <c r="P157" s="6">
        <f t="shared" si="34"/>
        <v>-0.86865092012760137</v>
      </c>
      <c r="Q157" s="6">
        <f t="shared" si="35"/>
        <v>1.2662275956292888</v>
      </c>
      <c r="R157" s="6"/>
      <c r="S157" s="6" t="str">
        <f t="shared" si="46"/>
        <v/>
      </c>
      <c r="T157" s="6" t="str">
        <f t="shared" si="36"/>
        <v/>
      </c>
      <c r="U157" s="6" t="str">
        <f t="shared" si="37"/>
        <v/>
      </c>
      <c r="V157" s="6">
        <v>1.87</v>
      </c>
      <c r="W157" s="6">
        <f t="shared" si="47"/>
        <v>7.4712643678160884</v>
      </c>
      <c r="X157" s="6">
        <f t="shared" si="38"/>
        <v>9.028783011651317</v>
      </c>
      <c r="Y157" s="6">
        <f t="shared" si="39"/>
        <v>-1.5575186438352286</v>
      </c>
      <c r="Z157" s="6"/>
      <c r="AA157" s="6" t="str">
        <f t="shared" si="48"/>
        <v/>
      </c>
      <c r="AB157" s="6" t="str">
        <f t="shared" si="40"/>
        <v/>
      </c>
      <c r="AC157" s="6" t="str">
        <f t="shared" si="41"/>
        <v/>
      </c>
    </row>
    <row r="158" spans="1:29" x14ac:dyDescent="0.2">
      <c r="A158" t="s">
        <v>242</v>
      </c>
      <c r="B158" s="6">
        <v>224.02</v>
      </c>
      <c r="C158" s="6">
        <f t="shared" si="42"/>
        <v>-11.799677152643806</v>
      </c>
      <c r="D158" s="6">
        <f t="shared" si="28"/>
        <v>8.9236963683216022</v>
      </c>
      <c r="E158" s="6">
        <f t="shared" si="29"/>
        <v>-20.72337352096541</v>
      </c>
      <c r="F158" s="6">
        <v>9.6</v>
      </c>
      <c r="G158" s="6">
        <f t="shared" si="43"/>
        <v>10.599078341013835</v>
      </c>
      <c r="H158" s="6" t="str">
        <f t="shared" si="30"/>
        <v/>
      </c>
      <c r="I158" s="6" t="str">
        <f t="shared" si="31"/>
        <v/>
      </c>
      <c r="J158" s="6">
        <v>3079.9</v>
      </c>
      <c r="K158" s="6">
        <f t="shared" si="44"/>
        <v>5.0407557723133545</v>
      </c>
      <c r="L158" s="6">
        <f t="shared" si="32"/>
        <v>10.736425776532757</v>
      </c>
      <c r="M158" s="6">
        <f t="shared" si="33"/>
        <v>-5.6956700042194024</v>
      </c>
      <c r="N158" s="6">
        <v>917.5</v>
      </c>
      <c r="O158" s="6">
        <f t="shared" si="45"/>
        <v>-11.880522474068389</v>
      </c>
      <c r="P158" s="6">
        <f t="shared" si="34"/>
        <v>-0.95828591841080801</v>
      </c>
      <c r="Q158" s="6">
        <f t="shared" si="35"/>
        <v>-10.92223655565758</v>
      </c>
      <c r="R158" s="6"/>
      <c r="S158" s="6" t="str">
        <f t="shared" si="46"/>
        <v/>
      </c>
      <c r="T158" s="6" t="str">
        <f t="shared" si="36"/>
        <v/>
      </c>
      <c r="U158" s="6" t="str">
        <f t="shared" si="37"/>
        <v/>
      </c>
      <c r="V158" s="6">
        <v>1.87</v>
      </c>
      <c r="W158" s="6">
        <f t="shared" si="47"/>
        <v>7.4712643678160884</v>
      </c>
      <c r="X158" s="6">
        <f t="shared" si="38"/>
        <v>9.2000985130484896</v>
      </c>
      <c r="Y158" s="6">
        <f t="shared" si="39"/>
        <v>-1.7288341452324012</v>
      </c>
      <c r="Z158" s="6"/>
      <c r="AA158" s="6" t="str">
        <f t="shared" si="48"/>
        <v/>
      </c>
      <c r="AB158" s="6" t="str">
        <f t="shared" si="40"/>
        <v/>
      </c>
      <c r="AC158" s="6" t="str">
        <f t="shared" si="41"/>
        <v/>
      </c>
    </row>
    <row r="159" spans="1:29" x14ac:dyDescent="0.2">
      <c r="A159" t="s">
        <v>243</v>
      </c>
      <c r="B159" s="6">
        <v>218.54</v>
      </c>
      <c r="C159" s="6">
        <f t="shared" si="42"/>
        <v>-11.815027035751758</v>
      </c>
      <c r="D159" s="6">
        <f t="shared" si="28"/>
        <v>9.4285129276114343</v>
      </c>
      <c r="E159" s="6">
        <f t="shared" si="29"/>
        <v>-21.24353996336319</v>
      </c>
      <c r="F159" s="6">
        <v>9.6</v>
      </c>
      <c r="G159" s="6">
        <f t="shared" si="43"/>
        <v>10.599078341013835</v>
      </c>
      <c r="H159" s="6" t="str">
        <f t="shared" si="30"/>
        <v/>
      </c>
      <c r="I159" s="6" t="str">
        <f t="shared" si="31"/>
        <v/>
      </c>
      <c r="J159" s="6">
        <v>3079.9</v>
      </c>
      <c r="K159" s="6">
        <f t="shared" si="44"/>
        <v>5.0407557723133545</v>
      </c>
      <c r="L159" s="6">
        <f t="shared" si="32"/>
        <v>10.692055425458932</v>
      </c>
      <c r="M159" s="6">
        <f t="shared" si="33"/>
        <v>-5.6512996531455775</v>
      </c>
      <c r="N159" s="6">
        <v>1007.1</v>
      </c>
      <c r="O159" s="6">
        <f t="shared" si="45"/>
        <v>-0.67067758161554192</v>
      </c>
      <c r="P159" s="6">
        <f t="shared" si="34"/>
        <v>-1.0984707428728155</v>
      </c>
      <c r="Q159" s="6">
        <f t="shared" si="35"/>
        <v>0.42779316125727362</v>
      </c>
      <c r="R159" s="6"/>
      <c r="S159" s="6" t="str">
        <f t="shared" si="46"/>
        <v/>
      </c>
      <c r="T159" s="6" t="str">
        <f t="shared" si="36"/>
        <v/>
      </c>
      <c r="U159" s="6" t="str">
        <f t="shared" si="37"/>
        <v/>
      </c>
      <c r="V159" s="6">
        <v>1.87</v>
      </c>
      <c r="W159" s="6">
        <f t="shared" si="47"/>
        <v>7.4712643678160884</v>
      </c>
      <c r="X159" s="6">
        <f t="shared" si="38"/>
        <v>9.3714140144456604</v>
      </c>
      <c r="Y159" s="6">
        <f t="shared" si="39"/>
        <v>-1.900149646629572</v>
      </c>
      <c r="Z159" s="6"/>
      <c r="AA159" s="6" t="str">
        <f t="shared" si="48"/>
        <v/>
      </c>
      <c r="AB159" s="6" t="str">
        <f t="shared" si="40"/>
        <v/>
      </c>
      <c r="AC159" s="6" t="str">
        <f t="shared" si="41"/>
        <v/>
      </c>
    </row>
    <row r="160" spans="1:29" x14ac:dyDescent="0.2">
      <c r="A160" t="s">
        <v>244</v>
      </c>
      <c r="B160" s="6">
        <v>213.26</v>
      </c>
      <c r="C160" s="6">
        <f t="shared" si="42"/>
        <v>-8.7423509777910908</v>
      </c>
      <c r="D160" s="6">
        <f t="shared" si="28"/>
        <v>9.8976462203013984</v>
      </c>
      <c r="E160" s="6">
        <f t="shared" si="29"/>
        <v>-18.639997198092487</v>
      </c>
      <c r="F160" s="6">
        <v>9.6</v>
      </c>
      <c r="G160" s="6">
        <f t="shared" si="43"/>
        <v>10.599078341013835</v>
      </c>
      <c r="H160" s="6" t="str">
        <f t="shared" si="30"/>
        <v/>
      </c>
      <c r="I160" s="6" t="str">
        <f t="shared" si="31"/>
        <v/>
      </c>
      <c r="J160" s="6">
        <v>3079.9</v>
      </c>
      <c r="K160" s="6">
        <f t="shared" si="44"/>
        <v>5.0407557723133545</v>
      </c>
      <c r="L160" s="6">
        <f t="shared" si="32"/>
        <v>10.647685074385103</v>
      </c>
      <c r="M160" s="6">
        <f t="shared" si="33"/>
        <v>-5.606929302071749</v>
      </c>
      <c r="N160" s="6">
        <v>1024.4000000000001</v>
      </c>
      <c r="O160" s="6">
        <f t="shared" si="45"/>
        <v>-1.3007033432893333</v>
      </c>
      <c r="P160" s="6">
        <f t="shared" si="34"/>
        <v>-0.61617233044193875</v>
      </c>
      <c r="Q160" s="6">
        <f t="shared" si="35"/>
        <v>-0.68453101284739459</v>
      </c>
      <c r="R160" s="6"/>
      <c r="S160" s="6" t="str">
        <f t="shared" si="46"/>
        <v/>
      </c>
      <c r="T160" s="6" t="str">
        <f t="shared" si="36"/>
        <v/>
      </c>
      <c r="U160" s="6" t="str">
        <f t="shared" si="37"/>
        <v/>
      </c>
      <c r="V160" s="6">
        <v>1.87</v>
      </c>
      <c r="W160" s="6">
        <f t="shared" si="47"/>
        <v>7.4712643678160884</v>
      </c>
      <c r="X160" s="6">
        <f t="shared" si="38"/>
        <v>9.5427295158428311</v>
      </c>
      <c r="Y160" s="6">
        <f t="shared" si="39"/>
        <v>-2.0714651480267428</v>
      </c>
      <c r="Z160" s="6"/>
      <c r="AA160" s="6" t="str">
        <f t="shared" si="48"/>
        <v/>
      </c>
      <c r="AB160" s="6" t="str">
        <f t="shared" si="40"/>
        <v/>
      </c>
      <c r="AC160" s="6" t="str">
        <f t="shared" si="41"/>
        <v/>
      </c>
    </row>
    <row r="161" spans="1:29" x14ac:dyDescent="0.2">
      <c r="A161" t="s">
        <v>245</v>
      </c>
      <c r="B161" s="6">
        <v>211.77</v>
      </c>
      <c r="C161" s="6">
        <f t="shared" si="42"/>
        <v>-3.0090684253915922</v>
      </c>
      <c r="D161" s="6">
        <f t="shared" si="28"/>
        <v>10.164958837362114</v>
      </c>
      <c r="E161" s="6">
        <f t="shared" si="29"/>
        <v>-13.174027262753707</v>
      </c>
      <c r="F161" s="6">
        <v>11.48</v>
      </c>
      <c r="G161" s="6">
        <f t="shared" si="43"/>
        <v>19.583333333333353</v>
      </c>
      <c r="H161" s="6" t="str">
        <f t="shared" si="30"/>
        <v/>
      </c>
      <c r="I161" s="6" t="str">
        <f t="shared" si="31"/>
        <v/>
      </c>
      <c r="J161" s="6">
        <v>3373.1</v>
      </c>
      <c r="K161" s="6">
        <f t="shared" si="44"/>
        <v>9.5197896035585483</v>
      </c>
      <c r="L161" s="6">
        <f t="shared" si="32"/>
        <v>10.603314723311279</v>
      </c>
      <c r="M161" s="6">
        <f t="shared" si="33"/>
        <v>-1.0835251197527302</v>
      </c>
      <c r="N161" s="6">
        <v>1119</v>
      </c>
      <c r="O161" s="6">
        <f t="shared" si="45"/>
        <v>3.8033395176252371</v>
      </c>
      <c r="P161" s="6">
        <f t="shared" si="34"/>
        <v>-0.42439357877437772</v>
      </c>
      <c r="Q161" s="6">
        <f t="shared" si="35"/>
        <v>4.2277330963996151</v>
      </c>
      <c r="R161" s="6"/>
      <c r="S161" s="6" t="str">
        <f t="shared" si="46"/>
        <v/>
      </c>
      <c r="T161" s="6" t="str">
        <f t="shared" si="36"/>
        <v/>
      </c>
      <c r="U161" s="6" t="str">
        <f t="shared" si="37"/>
        <v/>
      </c>
      <c r="V161" s="6">
        <v>2.08</v>
      </c>
      <c r="W161" s="6">
        <f t="shared" si="47"/>
        <v>17.514124293785315</v>
      </c>
      <c r="X161" s="6">
        <f t="shared" si="38"/>
        <v>9.7140450172400019</v>
      </c>
      <c r="Y161" s="6">
        <f t="shared" si="39"/>
        <v>7.8000792765453131</v>
      </c>
      <c r="Z161" s="6"/>
      <c r="AA161" s="6" t="str">
        <f t="shared" si="48"/>
        <v/>
      </c>
      <c r="AB161" s="6" t="str">
        <f t="shared" si="40"/>
        <v/>
      </c>
      <c r="AC161" s="6" t="str">
        <f t="shared" si="41"/>
        <v/>
      </c>
    </row>
    <row r="162" spans="1:29" x14ac:dyDescent="0.2">
      <c r="A162" t="s">
        <v>246</v>
      </c>
      <c r="B162" s="6">
        <v>258.66000000000003</v>
      </c>
      <c r="C162" s="6">
        <f t="shared" si="42"/>
        <v>39.687854404061149</v>
      </c>
      <c r="D162" s="6">
        <f t="shared" si="28"/>
        <v>10.462358937774342</v>
      </c>
      <c r="E162" s="6">
        <f t="shared" si="29"/>
        <v>29.225495466286809</v>
      </c>
      <c r="F162" s="6">
        <v>11.48</v>
      </c>
      <c r="G162" s="6">
        <f t="shared" si="43"/>
        <v>19.583333333333353</v>
      </c>
      <c r="H162" s="6" t="str">
        <f t="shared" si="30"/>
        <v/>
      </c>
      <c r="I162" s="6" t="str">
        <f t="shared" si="31"/>
        <v/>
      </c>
      <c r="J162" s="6">
        <v>3373.1</v>
      </c>
      <c r="K162" s="6">
        <f t="shared" si="44"/>
        <v>9.5197896035585483</v>
      </c>
      <c r="L162" s="6">
        <f t="shared" si="32"/>
        <v>10.511513521541596</v>
      </c>
      <c r="M162" s="6">
        <f t="shared" si="33"/>
        <v>-0.99172391798304815</v>
      </c>
      <c r="N162" s="6">
        <v>1243.5999999999999</v>
      </c>
      <c r="O162" s="6">
        <f t="shared" si="45"/>
        <v>11.794318590435072</v>
      </c>
      <c r="P162" s="6">
        <f t="shared" si="34"/>
        <v>-0.11856757248253208</v>
      </c>
      <c r="Q162" s="6">
        <f t="shared" si="35"/>
        <v>11.912886162917603</v>
      </c>
      <c r="R162" s="6"/>
      <c r="S162" s="6" t="str">
        <f t="shared" si="46"/>
        <v/>
      </c>
      <c r="T162" s="6" t="str">
        <f t="shared" si="36"/>
        <v/>
      </c>
      <c r="U162" s="6" t="str">
        <f t="shared" si="37"/>
        <v/>
      </c>
      <c r="V162" s="6">
        <v>2.08</v>
      </c>
      <c r="W162" s="6">
        <f t="shared" si="47"/>
        <v>17.514124293785315</v>
      </c>
      <c r="X162" s="6">
        <f t="shared" si="38"/>
        <v>10.157836748108005</v>
      </c>
      <c r="Y162" s="6">
        <f t="shared" si="39"/>
        <v>7.3562875456773096</v>
      </c>
      <c r="Z162" s="6"/>
      <c r="AA162" s="6" t="str">
        <f t="shared" si="48"/>
        <v/>
      </c>
      <c r="AB162" s="6" t="str">
        <f t="shared" si="40"/>
        <v/>
      </c>
      <c r="AC162" s="6" t="str">
        <f t="shared" si="41"/>
        <v/>
      </c>
    </row>
    <row r="163" spans="1:29" x14ac:dyDescent="0.2">
      <c r="A163" t="s">
        <v>247</v>
      </c>
      <c r="B163" s="6">
        <v>280.36</v>
      </c>
      <c r="C163" s="6">
        <f t="shared" si="42"/>
        <v>29.388960679342802</v>
      </c>
      <c r="D163" s="6">
        <f t="shared" si="28"/>
        <v>11.64927826380017</v>
      </c>
      <c r="E163" s="6">
        <f t="shared" si="29"/>
        <v>17.739682415542632</v>
      </c>
      <c r="F163" s="6">
        <v>11.48</v>
      </c>
      <c r="G163" s="6">
        <f t="shared" si="43"/>
        <v>19.583333333333353</v>
      </c>
      <c r="H163" s="6" t="str">
        <f t="shared" si="30"/>
        <v/>
      </c>
      <c r="I163" s="6" t="str">
        <f t="shared" si="31"/>
        <v/>
      </c>
      <c r="J163" s="6">
        <v>3373.1</v>
      </c>
      <c r="K163" s="6">
        <f t="shared" si="44"/>
        <v>9.5197896035585483</v>
      </c>
      <c r="L163" s="6">
        <f t="shared" si="32"/>
        <v>10.419712319771914</v>
      </c>
      <c r="M163" s="6">
        <f t="shared" si="33"/>
        <v>-0.89992271621336606</v>
      </c>
      <c r="N163" s="6">
        <v>1509.5</v>
      </c>
      <c r="O163" s="6">
        <f t="shared" si="45"/>
        <v>36.211875112795511</v>
      </c>
      <c r="P163" s="6">
        <f t="shared" si="34"/>
        <v>0.65352273588067422</v>
      </c>
      <c r="Q163" s="6">
        <f t="shared" si="35"/>
        <v>35.55835237691484</v>
      </c>
      <c r="R163" s="6"/>
      <c r="S163" s="6" t="str">
        <f t="shared" si="46"/>
        <v/>
      </c>
      <c r="T163" s="6" t="str">
        <f t="shared" si="36"/>
        <v/>
      </c>
      <c r="U163" s="6" t="str">
        <f t="shared" si="37"/>
        <v/>
      </c>
      <c r="V163" s="6">
        <v>2.08</v>
      </c>
      <c r="W163" s="6">
        <f t="shared" si="47"/>
        <v>17.514124293785315</v>
      </c>
      <c r="X163" s="6">
        <f t="shared" si="38"/>
        <v>10.601628478976007</v>
      </c>
      <c r="Y163" s="6">
        <f t="shared" si="39"/>
        <v>6.9124958148093079</v>
      </c>
      <c r="Z163" s="6"/>
      <c r="AA163" s="6" t="str">
        <f t="shared" si="48"/>
        <v/>
      </c>
      <c r="AB163" s="6" t="str">
        <f t="shared" si="40"/>
        <v/>
      </c>
      <c r="AC163" s="6" t="str">
        <f t="shared" si="41"/>
        <v/>
      </c>
    </row>
    <row r="164" spans="1:29" x14ac:dyDescent="0.2">
      <c r="A164" t="s">
        <v>248</v>
      </c>
      <c r="B164" s="6">
        <v>290.2</v>
      </c>
      <c r="C164" s="6">
        <f t="shared" si="42"/>
        <v>27.650215536201284</v>
      </c>
      <c r="D164" s="6">
        <f t="shared" si="28"/>
        <v>12.390143723866833</v>
      </c>
      <c r="E164" s="6">
        <f t="shared" si="29"/>
        <v>15.26007181233445</v>
      </c>
      <c r="F164" s="6">
        <v>11.48</v>
      </c>
      <c r="G164" s="6">
        <f t="shared" si="43"/>
        <v>19.583333333333353</v>
      </c>
      <c r="H164" s="6" t="str">
        <f t="shared" si="30"/>
        <v/>
      </c>
      <c r="I164" s="6" t="str">
        <f t="shared" si="31"/>
        <v/>
      </c>
      <c r="J164" s="6">
        <v>3373.1</v>
      </c>
      <c r="K164" s="6">
        <f t="shared" si="44"/>
        <v>9.5197896035585483</v>
      </c>
      <c r="L164" s="6">
        <f t="shared" si="32"/>
        <v>10.327911118002232</v>
      </c>
      <c r="M164" s="6">
        <f t="shared" si="33"/>
        <v>-0.80812151444368396</v>
      </c>
      <c r="N164" s="6">
        <v>1588.4</v>
      </c>
      <c r="O164" s="6">
        <f t="shared" si="45"/>
        <v>40.194174757281552</v>
      </c>
      <c r="P164" s="6">
        <f t="shared" si="34"/>
        <v>1.9255246468832192</v>
      </c>
      <c r="Q164" s="6">
        <f t="shared" si="35"/>
        <v>38.268650110398333</v>
      </c>
      <c r="R164" s="6"/>
      <c r="S164" s="6" t="str">
        <f t="shared" si="46"/>
        <v/>
      </c>
      <c r="T164" s="6" t="str">
        <f t="shared" si="36"/>
        <v/>
      </c>
      <c r="U164" s="6" t="str">
        <f t="shared" si="37"/>
        <v/>
      </c>
      <c r="V164" s="6">
        <v>2.35</v>
      </c>
      <c r="W164" s="6">
        <f t="shared" si="47"/>
        <v>32.768361581920914</v>
      </c>
      <c r="X164" s="6">
        <f t="shared" si="38"/>
        <v>11.045420209844011</v>
      </c>
      <c r="Y164" s="6">
        <f t="shared" si="39"/>
        <v>21.722941372076903</v>
      </c>
      <c r="Z164" s="6"/>
      <c r="AA164" s="6" t="str">
        <f t="shared" si="48"/>
        <v/>
      </c>
      <c r="AB164" s="6" t="str">
        <f t="shared" si="40"/>
        <v/>
      </c>
      <c r="AC164" s="6" t="str">
        <f t="shared" si="41"/>
        <v/>
      </c>
    </row>
    <row r="165" spans="1:29" x14ac:dyDescent="0.2">
      <c r="A165" t="s">
        <v>249</v>
      </c>
      <c r="B165" s="6">
        <v>323.83</v>
      </c>
      <c r="C165" s="6">
        <f t="shared" si="42"/>
        <v>42.336600588985092</v>
      </c>
      <c r="D165" s="6">
        <f t="shared" si="28"/>
        <v>13.174556288237277</v>
      </c>
      <c r="E165" s="6">
        <f t="shared" si="29"/>
        <v>29.162044300747816</v>
      </c>
      <c r="F165" s="6">
        <v>11.48</v>
      </c>
      <c r="G165" s="6">
        <f t="shared" si="43"/>
        <v>19.583333333333353</v>
      </c>
      <c r="H165" s="6" t="str">
        <f t="shared" si="30"/>
        <v/>
      </c>
      <c r="I165" s="6" t="str">
        <f t="shared" si="31"/>
        <v/>
      </c>
      <c r="J165" s="6">
        <v>3373.1</v>
      </c>
      <c r="K165" s="6">
        <f t="shared" si="44"/>
        <v>9.5197896035585483</v>
      </c>
      <c r="L165" s="6">
        <f t="shared" si="32"/>
        <v>10.23610991623255</v>
      </c>
      <c r="M165" s="6">
        <f t="shared" si="33"/>
        <v>-0.71632031267400187</v>
      </c>
      <c r="N165" s="6">
        <v>1552.2</v>
      </c>
      <c r="O165" s="6">
        <f t="shared" si="45"/>
        <v>40.292841648590013</v>
      </c>
      <c r="P165" s="6">
        <f t="shared" si="34"/>
        <v>2.5422351815214479</v>
      </c>
      <c r="Q165" s="6">
        <f t="shared" si="35"/>
        <v>37.750606467068565</v>
      </c>
      <c r="R165" s="6"/>
      <c r="S165" s="6" t="str">
        <f t="shared" si="46"/>
        <v/>
      </c>
      <c r="T165" s="6" t="str">
        <f t="shared" si="36"/>
        <v/>
      </c>
      <c r="U165" s="6" t="str">
        <f t="shared" si="37"/>
        <v/>
      </c>
      <c r="V165" s="6">
        <v>2.35</v>
      </c>
      <c r="W165" s="6">
        <f t="shared" si="47"/>
        <v>32.768361581920914</v>
      </c>
      <c r="X165" s="6">
        <f t="shared" si="38"/>
        <v>11.807008550881504</v>
      </c>
      <c r="Y165" s="6">
        <f t="shared" si="39"/>
        <v>20.961353031039408</v>
      </c>
      <c r="Z165" s="6"/>
      <c r="AA165" s="6" t="str">
        <f t="shared" si="48"/>
        <v/>
      </c>
      <c r="AB165" s="6" t="str">
        <f t="shared" si="40"/>
        <v/>
      </c>
      <c r="AC165" s="6" t="str">
        <f t="shared" si="41"/>
        <v/>
      </c>
    </row>
    <row r="166" spans="1:29" x14ac:dyDescent="0.2">
      <c r="A166" t="s">
        <v>250</v>
      </c>
      <c r="B166" s="6">
        <v>371.41</v>
      </c>
      <c r="C166" s="6">
        <f t="shared" si="42"/>
        <v>71.845648452320376</v>
      </c>
      <c r="D166" s="6">
        <f t="shared" si="28"/>
        <v>14.278635814601889</v>
      </c>
      <c r="E166" s="6">
        <f t="shared" si="29"/>
        <v>57.567012637718484</v>
      </c>
      <c r="F166" s="6">
        <v>11.48</v>
      </c>
      <c r="G166" s="6">
        <f t="shared" si="43"/>
        <v>19.583333333333353</v>
      </c>
      <c r="H166" s="6" t="str">
        <f t="shared" si="30"/>
        <v/>
      </c>
      <c r="I166" s="6" t="str">
        <f t="shared" si="31"/>
        <v/>
      </c>
      <c r="J166" s="6">
        <v>3373.1</v>
      </c>
      <c r="K166" s="6">
        <f t="shared" si="44"/>
        <v>9.5197896035585483</v>
      </c>
      <c r="L166" s="6">
        <f t="shared" si="32"/>
        <v>10.144308714462868</v>
      </c>
      <c r="M166" s="6">
        <f t="shared" si="33"/>
        <v>-0.62451911090431977</v>
      </c>
      <c r="N166" s="6">
        <v>1748.7</v>
      </c>
      <c r="O166" s="6">
        <f t="shared" si="45"/>
        <v>64.475169300225716</v>
      </c>
      <c r="P166" s="6">
        <f t="shared" si="34"/>
        <v>2.8195808892181593</v>
      </c>
      <c r="Q166" s="6">
        <f t="shared" si="35"/>
        <v>61.655588411007557</v>
      </c>
      <c r="R166" s="6"/>
      <c r="S166" s="6" t="str">
        <f t="shared" si="46"/>
        <v/>
      </c>
      <c r="T166" s="6" t="str">
        <f t="shared" si="36"/>
        <v/>
      </c>
      <c r="U166" s="6" t="str">
        <f t="shared" si="37"/>
        <v/>
      </c>
      <c r="V166" s="6">
        <v>2.35</v>
      </c>
      <c r="W166" s="6">
        <f t="shared" si="47"/>
        <v>32.768361581920914</v>
      </c>
      <c r="X166" s="6">
        <f t="shared" si="38"/>
        <v>12.568596891918999</v>
      </c>
      <c r="Y166" s="6">
        <f t="shared" si="39"/>
        <v>20.199764690001913</v>
      </c>
      <c r="Z166" s="6"/>
      <c r="AA166" s="6" t="str">
        <f t="shared" si="48"/>
        <v/>
      </c>
      <c r="AB166" s="6" t="str">
        <f t="shared" si="40"/>
        <v/>
      </c>
      <c r="AC166" s="6" t="str">
        <f t="shared" si="41"/>
        <v/>
      </c>
    </row>
    <row r="167" spans="1:29" x14ac:dyDescent="0.2">
      <c r="A167" t="s">
        <v>251</v>
      </c>
      <c r="B167" s="6">
        <v>472.85</v>
      </c>
      <c r="C167" s="6">
        <f t="shared" si="42"/>
        <v>120.34016775396088</v>
      </c>
      <c r="D167" s="6">
        <f t="shared" si="28"/>
        <v>15.887936128905375</v>
      </c>
      <c r="E167" s="6">
        <f t="shared" si="29"/>
        <v>104.4522316250555</v>
      </c>
      <c r="F167" s="6">
        <v>11.48</v>
      </c>
      <c r="G167" s="6">
        <f t="shared" si="43"/>
        <v>19.583333333333353</v>
      </c>
      <c r="H167" s="6" t="str">
        <f t="shared" si="30"/>
        <v/>
      </c>
      <c r="I167" s="6" t="str">
        <f t="shared" si="31"/>
        <v/>
      </c>
      <c r="J167" s="6">
        <v>3373.1</v>
      </c>
      <c r="K167" s="6">
        <f t="shared" si="44"/>
        <v>9.5197896035585483</v>
      </c>
      <c r="L167" s="6">
        <f t="shared" si="32"/>
        <v>10.052507512693186</v>
      </c>
      <c r="M167" s="6">
        <f t="shared" si="33"/>
        <v>-0.53271790913463768</v>
      </c>
      <c r="N167" s="6">
        <v>2021.2</v>
      </c>
      <c r="O167" s="6">
        <f t="shared" si="45"/>
        <v>95.36052580707522</v>
      </c>
      <c r="P167" s="6">
        <f t="shared" si="34"/>
        <v>3.5280448078636275</v>
      </c>
      <c r="Q167" s="6">
        <f t="shared" si="35"/>
        <v>91.832480999211597</v>
      </c>
      <c r="R167" s="6"/>
      <c r="S167" s="6" t="str">
        <f t="shared" si="46"/>
        <v/>
      </c>
      <c r="T167" s="6" t="str">
        <f t="shared" si="36"/>
        <v/>
      </c>
      <c r="U167" s="6" t="str">
        <f t="shared" si="37"/>
        <v/>
      </c>
      <c r="V167" s="6">
        <v>2.7</v>
      </c>
      <c r="W167" s="6">
        <f t="shared" si="47"/>
        <v>44.385026737967912</v>
      </c>
      <c r="X167" s="6">
        <f t="shared" si="38"/>
        <v>13.33018523295649</v>
      </c>
      <c r="Y167" s="6">
        <f t="shared" si="39"/>
        <v>31.054841505011424</v>
      </c>
      <c r="Z167" s="6"/>
      <c r="AA167" s="6" t="str">
        <f t="shared" si="48"/>
        <v/>
      </c>
      <c r="AB167" s="6" t="str">
        <f t="shared" si="40"/>
        <v/>
      </c>
      <c r="AC167" s="6" t="str">
        <f t="shared" si="41"/>
        <v/>
      </c>
    </row>
    <row r="168" spans="1:29" x14ac:dyDescent="0.2">
      <c r="A168" t="s">
        <v>252</v>
      </c>
      <c r="B168" s="6">
        <v>536.33000000000004</v>
      </c>
      <c r="C168" s="6">
        <f t="shared" si="42"/>
        <v>143.07922407541702</v>
      </c>
      <c r="D168" s="6">
        <f t="shared" si="28"/>
        <v>18.523456717672733</v>
      </c>
      <c r="E168" s="6">
        <f t="shared" si="29"/>
        <v>124.55576735774429</v>
      </c>
      <c r="F168" s="6">
        <v>11.48</v>
      </c>
      <c r="G168" s="6">
        <f t="shared" si="43"/>
        <v>19.583333333333353</v>
      </c>
      <c r="H168" s="6" t="str">
        <f t="shared" si="30"/>
        <v/>
      </c>
      <c r="I168" s="6" t="str">
        <f t="shared" si="31"/>
        <v/>
      </c>
      <c r="J168" s="6">
        <v>3373.1</v>
      </c>
      <c r="K168" s="6">
        <f t="shared" si="44"/>
        <v>9.5197896035585483</v>
      </c>
      <c r="L168" s="6">
        <f t="shared" si="32"/>
        <v>9.9607063109235039</v>
      </c>
      <c r="M168" s="6">
        <f t="shared" si="33"/>
        <v>-0.44091670736495558</v>
      </c>
      <c r="N168" s="6">
        <v>2123</v>
      </c>
      <c r="O168" s="6">
        <f t="shared" si="45"/>
        <v>102.82793541606954</v>
      </c>
      <c r="P168" s="6">
        <f t="shared" si="34"/>
        <v>4.7248639196356041</v>
      </c>
      <c r="Q168" s="6">
        <f t="shared" si="35"/>
        <v>98.103071496433927</v>
      </c>
      <c r="R168" s="6"/>
      <c r="S168" s="6" t="str">
        <f t="shared" si="46"/>
        <v/>
      </c>
      <c r="T168" s="6" t="str">
        <f t="shared" si="36"/>
        <v/>
      </c>
      <c r="U168" s="6" t="str">
        <f t="shared" si="37"/>
        <v/>
      </c>
      <c r="V168" s="6">
        <v>2.7</v>
      </c>
      <c r="W168" s="6">
        <f t="shared" si="47"/>
        <v>44.385026737967912</v>
      </c>
      <c r="X168" s="6">
        <f t="shared" si="38"/>
        <v>14.333787431411631</v>
      </c>
      <c r="Y168" s="6">
        <f t="shared" si="39"/>
        <v>30.051239306556283</v>
      </c>
      <c r="Z168" s="6"/>
      <c r="AA168" s="6" t="str">
        <f t="shared" si="48"/>
        <v/>
      </c>
      <c r="AB168" s="6" t="str">
        <f t="shared" si="40"/>
        <v/>
      </c>
      <c r="AC168" s="6" t="str">
        <f t="shared" si="41"/>
        <v/>
      </c>
    </row>
    <row r="169" spans="1:29" x14ac:dyDescent="0.2">
      <c r="A169" t="s">
        <v>253</v>
      </c>
      <c r="B169" s="6">
        <v>424.13</v>
      </c>
      <c r="C169" s="6">
        <f t="shared" si="42"/>
        <v>88.611197580824481</v>
      </c>
      <c r="D169" s="6">
        <f t="shared" si="28"/>
        <v>21.209448174224061</v>
      </c>
      <c r="E169" s="6">
        <f t="shared" si="29"/>
        <v>67.401749406600416</v>
      </c>
      <c r="F169" s="6">
        <v>11.48</v>
      </c>
      <c r="G169" s="6">
        <f t="shared" si="43"/>
        <v>19.583333333333353</v>
      </c>
      <c r="H169" s="6" t="str">
        <f t="shared" si="30"/>
        <v/>
      </c>
      <c r="I169" s="6" t="str">
        <f t="shared" si="31"/>
        <v/>
      </c>
      <c r="J169" s="6">
        <v>3373.1</v>
      </c>
      <c r="K169" s="6">
        <f t="shared" si="44"/>
        <v>9.5197896035585483</v>
      </c>
      <c r="L169" s="6">
        <f t="shared" si="32"/>
        <v>9.8689051091538236</v>
      </c>
      <c r="M169" s="6">
        <f t="shared" si="33"/>
        <v>-0.34911550559527527</v>
      </c>
      <c r="N169" s="6">
        <v>1936.1</v>
      </c>
      <c r="O169" s="6">
        <f t="shared" si="45"/>
        <v>82.547614557797488</v>
      </c>
      <c r="P169" s="6">
        <f t="shared" si="34"/>
        <v>5.7819531565908688</v>
      </c>
      <c r="Q169" s="6">
        <f t="shared" si="35"/>
        <v>76.765661401206614</v>
      </c>
      <c r="R169" s="6"/>
      <c r="S169" s="6" t="str">
        <f t="shared" si="46"/>
        <v/>
      </c>
      <c r="T169" s="6" t="str">
        <f t="shared" si="36"/>
        <v/>
      </c>
      <c r="U169" s="6" t="str">
        <f t="shared" si="37"/>
        <v/>
      </c>
      <c r="V169" s="6">
        <v>2.7</v>
      </c>
      <c r="W169" s="6">
        <f t="shared" si="47"/>
        <v>44.385026737967912</v>
      </c>
      <c r="X169" s="6">
        <f t="shared" si="38"/>
        <v>15.33738962986677</v>
      </c>
      <c r="Y169" s="6">
        <f t="shared" si="39"/>
        <v>29.047637108101142</v>
      </c>
      <c r="Z169" s="6"/>
      <c r="AA169" s="6" t="str">
        <f t="shared" si="48"/>
        <v/>
      </c>
      <c r="AB169" s="6" t="str">
        <f t="shared" si="40"/>
        <v/>
      </c>
      <c r="AC169" s="6" t="str">
        <f t="shared" si="41"/>
        <v/>
      </c>
    </row>
    <row r="170" spans="1:29" x14ac:dyDescent="0.2">
      <c r="A170" t="s">
        <v>254</v>
      </c>
      <c r="B170" s="6">
        <v>434.92</v>
      </c>
      <c r="C170" s="6">
        <f t="shared" si="42"/>
        <v>94.143380055352182</v>
      </c>
      <c r="D170" s="6">
        <f t="shared" si="28"/>
        <v>22.47915481024711</v>
      </c>
      <c r="E170" s="6">
        <f t="shared" si="29"/>
        <v>71.664225245105072</v>
      </c>
      <c r="F170" s="6">
        <v>11.48</v>
      </c>
      <c r="G170" s="6">
        <f t="shared" si="43"/>
        <v>19.583333333333353</v>
      </c>
      <c r="H170" s="6" t="str">
        <f t="shared" si="30"/>
        <v/>
      </c>
      <c r="I170" s="6" t="str">
        <f t="shared" si="31"/>
        <v/>
      </c>
      <c r="J170" s="6">
        <v>3373.1</v>
      </c>
      <c r="K170" s="6">
        <f t="shared" si="44"/>
        <v>9.5197896035585483</v>
      </c>
      <c r="L170" s="6">
        <f t="shared" si="32"/>
        <v>9.7771039073841397</v>
      </c>
      <c r="M170" s="6">
        <f t="shared" si="33"/>
        <v>-0.2573143038255914</v>
      </c>
      <c r="N170" s="6">
        <v>2065.3000000000002</v>
      </c>
      <c r="O170" s="6">
        <f t="shared" si="45"/>
        <v>125.1008174386921</v>
      </c>
      <c r="P170" s="6">
        <f t="shared" si="34"/>
        <v>6.6216138074214728</v>
      </c>
      <c r="Q170" s="6">
        <f t="shared" si="35"/>
        <v>118.47920363127064</v>
      </c>
      <c r="R170" s="6"/>
      <c r="S170" s="6" t="str">
        <f t="shared" si="46"/>
        <v/>
      </c>
      <c r="T170" s="6" t="str">
        <f t="shared" si="36"/>
        <v/>
      </c>
      <c r="U170" s="6" t="str">
        <f t="shared" si="37"/>
        <v/>
      </c>
      <c r="V170" s="6">
        <v>4.0999999999999996</v>
      </c>
      <c r="W170" s="6">
        <f t="shared" si="47"/>
        <v>119.25133689839571</v>
      </c>
      <c r="X170" s="6">
        <f t="shared" si="38"/>
        <v>16.340991828321911</v>
      </c>
      <c r="Y170" s="6">
        <f t="shared" si="39"/>
        <v>102.91034507007379</v>
      </c>
      <c r="Z170" s="6"/>
      <c r="AA170" s="6" t="str">
        <f t="shared" si="48"/>
        <v/>
      </c>
      <c r="AB170" s="6" t="str">
        <f t="shared" si="40"/>
        <v/>
      </c>
      <c r="AC170" s="6" t="str">
        <f t="shared" si="41"/>
        <v/>
      </c>
    </row>
    <row r="171" spans="1:29" x14ac:dyDescent="0.2">
      <c r="A171" t="s">
        <v>255</v>
      </c>
      <c r="B171" s="6">
        <v>429.29</v>
      </c>
      <c r="C171" s="6">
        <f t="shared" si="42"/>
        <v>96.435435160611348</v>
      </c>
      <c r="D171" s="6">
        <f t="shared" si="28"/>
        <v>23.53779054592485</v>
      </c>
      <c r="E171" s="6">
        <f t="shared" si="29"/>
        <v>72.897644614686499</v>
      </c>
      <c r="F171" s="6">
        <v>11.48</v>
      </c>
      <c r="G171" s="6">
        <f t="shared" si="43"/>
        <v>19.583333333333353</v>
      </c>
      <c r="H171" s="6" t="str">
        <f t="shared" si="30"/>
        <v/>
      </c>
      <c r="I171" s="6" t="str">
        <f t="shared" si="31"/>
        <v/>
      </c>
      <c r="J171" s="6">
        <v>3373.1</v>
      </c>
      <c r="K171" s="6">
        <f t="shared" si="44"/>
        <v>9.5197896035585483</v>
      </c>
      <c r="L171" s="6">
        <f t="shared" si="32"/>
        <v>9.6853027056144594</v>
      </c>
      <c r="M171" s="6">
        <f t="shared" si="33"/>
        <v>-0.16551310205591108</v>
      </c>
      <c r="N171" s="6">
        <v>2273</v>
      </c>
      <c r="O171" s="6">
        <f t="shared" si="45"/>
        <v>125.69754741336511</v>
      </c>
      <c r="P171" s="6">
        <f t="shared" si="34"/>
        <v>8.312103207789292</v>
      </c>
      <c r="Q171" s="6">
        <f t="shared" si="35"/>
        <v>117.38544420557582</v>
      </c>
      <c r="R171" s="6"/>
      <c r="S171" s="6" t="str">
        <f t="shared" si="46"/>
        <v/>
      </c>
      <c r="T171" s="6" t="str">
        <f t="shared" si="36"/>
        <v/>
      </c>
      <c r="U171" s="6" t="str">
        <f t="shared" si="37"/>
        <v/>
      </c>
      <c r="V171" s="6">
        <v>4.0999999999999996</v>
      </c>
      <c r="W171" s="6">
        <f t="shared" si="47"/>
        <v>119.25133689839571</v>
      </c>
      <c r="X171" s="6">
        <f t="shared" si="38"/>
        <v>18.904308821785964</v>
      </c>
      <c r="Y171" s="6">
        <f t="shared" si="39"/>
        <v>100.34702807660975</v>
      </c>
      <c r="Z171" s="6"/>
      <c r="AA171" s="6" t="str">
        <f t="shared" si="48"/>
        <v/>
      </c>
      <c r="AB171" s="6" t="str">
        <f t="shared" si="40"/>
        <v/>
      </c>
      <c r="AC171" s="6" t="str">
        <f t="shared" si="41"/>
        <v/>
      </c>
    </row>
    <row r="172" spans="1:29" x14ac:dyDescent="0.2">
      <c r="A172" t="s">
        <v>256</v>
      </c>
      <c r="B172" s="6">
        <v>496.71</v>
      </c>
      <c r="C172" s="6">
        <f t="shared" si="42"/>
        <v>132.91287630122858</v>
      </c>
      <c r="D172" s="6">
        <f t="shared" si="28"/>
        <v>24.673591188199591</v>
      </c>
      <c r="E172" s="6">
        <f t="shared" si="29"/>
        <v>108.23928511302898</v>
      </c>
      <c r="F172" s="6">
        <v>11.48</v>
      </c>
      <c r="G172" s="6">
        <f t="shared" si="43"/>
        <v>19.583333333333353</v>
      </c>
      <c r="H172" s="6" t="str">
        <f t="shared" si="30"/>
        <v/>
      </c>
      <c r="I172" s="6" t="str">
        <f t="shared" si="31"/>
        <v/>
      </c>
      <c r="J172" s="6">
        <v>3373.1</v>
      </c>
      <c r="K172" s="6">
        <f t="shared" si="44"/>
        <v>9.5197896035585483</v>
      </c>
      <c r="L172" s="6">
        <f t="shared" si="32"/>
        <v>9.5935015038447773</v>
      </c>
      <c r="M172" s="6">
        <f t="shared" si="33"/>
        <v>-7.3711900286228982E-2</v>
      </c>
      <c r="N172" s="6">
        <v>2244.3000000000002</v>
      </c>
      <c r="O172" s="6">
        <f t="shared" si="45"/>
        <v>119.08434205388518</v>
      </c>
      <c r="P172" s="6">
        <f t="shared" si="34"/>
        <v>9.9239877324838801</v>
      </c>
      <c r="Q172" s="6">
        <f t="shared" si="35"/>
        <v>109.1603543214013</v>
      </c>
      <c r="R172" s="6"/>
      <c r="S172" s="6" t="str">
        <f t="shared" si="46"/>
        <v/>
      </c>
      <c r="T172" s="6" t="str">
        <f t="shared" si="36"/>
        <v/>
      </c>
      <c r="U172" s="6" t="str">
        <f t="shared" si="37"/>
        <v/>
      </c>
      <c r="V172" s="6">
        <v>4.0999999999999996</v>
      </c>
      <c r="W172" s="6">
        <f t="shared" si="47"/>
        <v>119.25133689839571</v>
      </c>
      <c r="X172" s="6">
        <f t="shared" si="38"/>
        <v>21.467625815250017</v>
      </c>
      <c r="Y172" s="6">
        <f t="shared" si="39"/>
        <v>97.78371108314569</v>
      </c>
      <c r="Z172" s="6"/>
      <c r="AA172" s="6" t="str">
        <f t="shared" si="48"/>
        <v/>
      </c>
      <c r="AB172" s="6" t="str">
        <f t="shared" si="40"/>
        <v/>
      </c>
      <c r="AC172" s="6" t="str">
        <f t="shared" si="41"/>
        <v/>
      </c>
    </row>
    <row r="173" spans="1:29" x14ac:dyDescent="0.2">
      <c r="A173" t="s">
        <v>257</v>
      </c>
      <c r="B173" s="6">
        <v>578.77</v>
      </c>
      <c r="C173" s="6">
        <f t="shared" si="42"/>
        <v>173.30122302497992</v>
      </c>
      <c r="D173" s="6">
        <f t="shared" si="28"/>
        <v>26.048358751984622</v>
      </c>
      <c r="E173" s="6">
        <f t="shared" si="29"/>
        <v>147.25286427299528</v>
      </c>
      <c r="F173" s="6">
        <v>16.89</v>
      </c>
      <c r="G173" s="6">
        <f t="shared" si="43"/>
        <v>47.125435540069695</v>
      </c>
      <c r="H173" s="6" t="str">
        <f t="shared" si="30"/>
        <v/>
      </c>
      <c r="I173" s="6" t="str">
        <f t="shared" si="31"/>
        <v/>
      </c>
      <c r="J173" s="6">
        <v>3571.5</v>
      </c>
      <c r="K173" s="6">
        <f t="shared" si="44"/>
        <v>5.8818297708339573</v>
      </c>
      <c r="L173" s="6">
        <f t="shared" si="32"/>
        <v>9.5017003020750952</v>
      </c>
      <c r="M173" s="6">
        <f t="shared" si="33"/>
        <v>-3.6198705312411379</v>
      </c>
      <c r="N173" s="6">
        <v>2032.4</v>
      </c>
      <c r="O173" s="6">
        <f t="shared" si="45"/>
        <v>81.626452189454881</v>
      </c>
      <c r="P173" s="6">
        <f t="shared" si="34"/>
        <v>11.499868120883768</v>
      </c>
      <c r="Q173" s="6">
        <f t="shared" si="35"/>
        <v>70.126584068571105</v>
      </c>
      <c r="R173" s="6"/>
      <c r="S173" s="6" t="str">
        <f t="shared" si="46"/>
        <v/>
      </c>
      <c r="T173" s="6" t="str">
        <f t="shared" si="36"/>
        <v/>
      </c>
      <c r="U173" s="6" t="str">
        <f t="shared" si="37"/>
        <v/>
      </c>
      <c r="V173" s="6">
        <v>13</v>
      </c>
      <c r="W173" s="6">
        <f t="shared" si="47"/>
        <v>525</v>
      </c>
      <c r="X173" s="6">
        <f t="shared" si="38"/>
        <v>24.03094280871407</v>
      </c>
      <c r="Y173" s="6">
        <f t="shared" si="39"/>
        <v>500.96905719128591</v>
      </c>
      <c r="Z173" s="6"/>
      <c r="AA173" s="6" t="str">
        <f t="shared" si="48"/>
        <v/>
      </c>
      <c r="AB173" s="6" t="str">
        <f t="shared" si="40"/>
        <v/>
      </c>
      <c r="AC173" s="6" t="str">
        <f t="shared" si="41"/>
        <v/>
      </c>
    </row>
    <row r="174" spans="1:29" x14ac:dyDescent="0.2">
      <c r="A174" t="s">
        <v>258</v>
      </c>
      <c r="B174" s="6">
        <v>667.24</v>
      </c>
      <c r="C174" s="6">
        <f t="shared" si="42"/>
        <v>157.96025670764706</v>
      </c>
      <c r="D174" s="6">
        <f t="shared" si="28"/>
        <v>28.380840579875088</v>
      </c>
      <c r="E174" s="6">
        <f t="shared" si="29"/>
        <v>129.57941612777196</v>
      </c>
      <c r="F174" s="6">
        <v>16.89</v>
      </c>
      <c r="G174" s="6">
        <f t="shared" si="43"/>
        <v>47.125435540069695</v>
      </c>
      <c r="H174" s="6" t="str">
        <f t="shared" si="30"/>
        <v/>
      </c>
      <c r="I174" s="6" t="str">
        <f t="shared" si="31"/>
        <v/>
      </c>
      <c r="J174" s="6">
        <v>3571.5</v>
      </c>
      <c r="K174" s="6">
        <f t="shared" si="44"/>
        <v>5.8818297708339573</v>
      </c>
      <c r="L174" s="6">
        <f t="shared" si="32"/>
        <v>9.1986509917628787</v>
      </c>
      <c r="M174" s="6">
        <f t="shared" si="33"/>
        <v>-3.3168212209289214</v>
      </c>
      <c r="N174" s="6">
        <v>2291.6999999999998</v>
      </c>
      <c r="O174" s="6">
        <f t="shared" si="45"/>
        <v>84.279511096815682</v>
      </c>
      <c r="P174" s="6">
        <f t="shared" si="34"/>
        <v>12.585190977854964</v>
      </c>
      <c r="Q174" s="6">
        <f t="shared" si="35"/>
        <v>71.694320118960718</v>
      </c>
      <c r="R174" s="6"/>
      <c r="S174" s="6" t="str">
        <f t="shared" si="46"/>
        <v/>
      </c>
      <c r="T174" s="6" t="str">
        <f t="shared" si="36"/>
        <v/>
      </c>
      <c r="U174" s="6" t="str">
        <f t="shared" si="37"/>
        <v/>
      </c>
      <c r="V174" s="6">
        <v>13</v>
      </c>
      <c r="W174" s="6">
        <f t="shared" si="47"/>
        <v>525</v>
      </c>
      <c r="X174" s="6">
        <f t="shared" si="38"/>
        <v>35.066868005564466</v>
      </c>
      <c r="Y174" s="6">
        <f t="shared" si="39"/>
        <v>489.93313199443554</v>
      </c>
      <c r="Z174" s="6"/>
      <c r="AA174" s="6" t="str">
        <f t="shared" si="48"/>
        <v/>
      </c>
      <c r="AB174" s="6" t="str">
        <f t="shared" si="40"/>
        <v/>
      </c>
      <c r="AC174" s="6" t="str">
        <f t="shared" si="41"/>
        <v/>
      </c>
    </row>
    <row r="175" spans="1:29" x14ac:dyDescent="0.2">
      <c r="A175" t="s">
        <v>259</v>
      </c>
      <c r="B175" s="6">
        <v>632.88</v>
      </c>
      <c r="C175" s="6">
        <f t="shared" si="42"/>
        <v>125.73833642459692</v>
      </c>
      <c r="D175" s="6">
        <f t="shared" si="28"/>
        <v>30.381213150664745</v>
      </c>
      <c r="E175" s="6">
        <f t="shared" si="29"/>
        <v>95.357123273932174</v>
      </c>
      <c r="F175" s="6">
        <v>16.89</v>
      </c>
      <c r="G175" s="6">
        <f t="shared" si="43"/>
        <v>47.125435540069695</v>
      </c>
      <c r="H175" s="6" t="str">
        <f t="shared" si="30"/>
        <v/>
      </c>
      <c r="I175" s="6" t="str">
        <f t="shared" si="31"/>
        <v/>
      </c>
      <c r="J175" s="6">
        <v>3571.5</v>
      </c>
      <c r="K175" s="6">
        <f t="shared" si="44"/>
        <v>5.8818297708339573</v>
      </c>
      <c r="L175" s="6">
        <f t="shared" si="32"/>
        <v>8.895601681450664</v>
      </c>
      <c r="M175" s="6">
        <f t="shared" si="33"/>
        <v>-3.0137719106167067</v>
      </c>
      <c r="N175" s="6">
        <v>2743.4</v>
      </c>
      <c r="O175" s="6">
        <f t="shared" si="45"/>
        <v>81.742298774428619</v>
      </c>
      <c r="P175" s="6">
        <f t="shared" si="34"/>
        <v>13.738183247070898</v>
      </c>
      <c r="Q175" s="6">
        <f t="shared" si="35"/>
        <v>68.004115527357726</v>
      </c>
      <c r="R175" s="6"/>
      <c r="S175" s="6" t="str">
        <f t="shared" si="46"/>
        <v/>
      </c>
      <c r="T175" s="6" t="str">
        <f t="shared" si="36"/>
        <v/>
      </c>
      <c r="U175" s="6" t="str">
        <f t="shared" si="37"/>
        <v/>
      </c>
      <c r="V175" s="6">
        <v>13</v>
      </c>
      <c r="W175" s="6">
        <f t="shared" si="47"/>
        <v>525</v>
      </c>
      <c r="X175" s="6">
        <f t="shared" si="38"/>
        <v>46.102793202414851</v>
      </c>
      <c r="Y175" s="6">
        <f t="shared" si="39"/>
        <v>478.89720679758517</v>
      </c>
      <c r="Z175" s="6"/>
      <c r="AA175" s="6" t="str">
        <f t="shared" si="48"/>
        <v/>
      </c>
      <c r="AB175" s="6" t="str">
        <f t="shared" si="40"/>
        <v/>
      </c>
      <c r="AC175" s="6" t="str">
        <f t="shared" si="41"/>
        <v/>
      </c>
    </row>
    <row r="176" spans="1:29" x14ac:dyDescent="0.2">
      <c r="A176" t="s">
        <v>260</v>
      </c>
      <c r="B176" s="6">
        <v>613.85</v>
      </c>
      <c r="C176" s="6">
        <f t="shared" si="42"/>
        <v>111.526533425224</v>
      </c>
      <c r="D176" s="6">
        <f t="shared" si="28"/>
        <v>32.079787375790964</v>
      </c>
      <c r="E176" s="6">
        <f t="shared" si="29"/>
        <v>79.446746049433045</v>
      </c>
      <c r="F176" s="6">
        <v>16.89</v>
      </c>
      <c r="G176" s="6">
        <f t="shared" si="43"/>
        <v>47.125435540069695</v>
      </c>
      <c r="H176" s="6" t="str">
        <f t="shared" si="30"/>
        <v/>
      </c>
      <c r="I176" s="6" t="str">
        <f t="shared" si="31"/>
        <v/>
      </c>
      <c r="J176" s="6">
        <v>3571.5</v>
      </c>
      <c r="K176" s="6">
        <f t="shared" si="44"/>
        <v>5.8818297708339573</v>
      </c>
      <c r="L176" s="6">
        <f t="shared" si="32"/>
        <v>8.5925523711384493</v>
      </c>
      <c r="M176" s="6">
        <f t="shared" si="33"/>
        <v>-2.710722600304492</v>
      </c>
      <c r="N176" s="6">
        <v>3031.8</v>
      </c>
      <c r="O176" s="6">
        <f t="shared" si="45"/>
        <v>90.871317048602364</v>
      </c>
      <c r="P176" s="6">
        <f t="shared" si="34"/>
        <v>14.666224589961887</v>
      </c>
      <c r="Q176" s="6">
        <f t="shared" si="35"/>
        <v>76.205092458640479</v>
      </c>
      <c r="R176" s="6"/>
      <c r="S176" s="6" t="str">
        <f t="shared" si="46"/>
        <v/>
      </c>
      <c r="T176" s="6" t="str">
        <f t="shared" si="36"/>
        <v/>
      </c>
      <c r="U176" s="6" t="str">
        <f t="shared" si="37"/>
        <v/>
      </c>
      <c r="V176" s="6">
        <v>10.6</v>
      </c>
      <c r="W176" s="6">
        <f t="shared" si="47"/>
        <v>351.063829787234</v>
      </c>
      <c r="X176" s="6">
        <f t="shared" si="38"/>
        <v>57.138718399265251</v>
      </c>
      <c r="Y176" s="6">
        <f t="shared" si="39"/>
        <v>293.92511138796874</v>
      </c>
      <c r="Z176" s="6"/>
      <c r="AA176" s="6" t="str">
        <f t="shared" si="48"/>
        <v/>
      </c>
      <c r="AB176" s="6" t="str">
        <f t="shared" si="40"/>
        <v/>
      </c>
      <c r="AC176" s="6" t="str">
        <f t="shared" si="41"/>
        <v/>
      </c>
    </row>
    <row r="177" spans="1:29" x14ac:dyDescent="0.2">
      <c r="A177" t="s">
        <v>261</v>
      </c>
      <c r="B177" s="6">
        <v>591.5</v>
      </c>
      <c r="C177" s="6">
        <f t="shared" si="42"/>
        <v>82.65756724207148</v>
      </c>
      <c r="D177" s="6">
        <f t="shared" si="28"/>
        <v>33.208283183844003</v>
      </c>
      <c r="E177" s="6">
        <f t="shared" si="29"/>
        <v>49.449284058227477</v>
      </c>
      <c r="F177" s="6">
        <v>16.89</v>
      </c>
      <c r="G177" s="6">
        <f t="shared" si="43"/>
        <v>47.125435540069695</v>
      </c>
      <c r="H177" s="6" t="str">
        <f t="shared" si="30"/>
        <v/>
      </c>
      <c r="I177" s="6" t="str">
        <f t="shared" si="31"/>
        <v/>
      </c>
      <c r="J177" s="6">
        <v>3571.5</v>
      </c>
      <c r="K177" s="6">
        <f t="shared" si="44"/>
        <v>5.8818297708339573</v>
      </c>
      <c r="L177" s="6">
        <f t="shared" si="32"/>
        <v>8.2895030608262346</v>
      </c>
      <c r="M177" s="6">
        <f t="shared" si="33"/>
        <v>-2.4076732899922773</v>
      </c>
      <c r="N177" s="6">
        <v>2875.7</v>
      </c>
      <c r="O177" s="6">
        <f t="shared" si="45"/>
        <v>85.266073959541288</v>
      </c>
      <c r="P177" s="6">
        <f t="shared" si="34"/>
        <v>16.028693853999343</v>
      </c>
      <c r="Q177" s="6">
        <f t="shared" si="35"/>
        <v>69.237380105541945</v>
      </c>
      <c r="R177" s="6"/>
      <c r="S177" s="6" t="str">
        <f t="shared" si="46"/>
        <v/>
      </c>
      <c r="T177" s="6" t="str">
        <f t="shared" si="36"/>
        <v/>
      </c>
      <c r="U177" s="6" t="str">
        <f t="shared" si="37"/>
        <v/>
      </c>
      <c r="V177" s="6">
        <v>10.6</v>
      </c>
      <c r="W177" s="6">
        <f t="shared" si="47"/>
        <v>351.063829787234</v>
      </c>
      <c r="X177" s="6">
        <f t="shared" si="38"/>
        <v>64.550973383349685</v>
      </c>
      <c r="Y177" s="6">
        <f t="shared" si="39"/>
        <v>286.51285640388431</v>
      </c>
      <c r="Z177" s="6"/>
      <c r="AA177" s="6" t="str">
        <f t="shared" si="48"/>
        <v/>
      </c>
      <c r="AB177" s="6" t="str">
        <f t="shared" si="40"/>
        <v/>
      </c>
      <c r="AC177" s="6" t="str">
        <f t="shared" si="41"/>
        <v/>
      </c>
    </row>
    <row r="178" spans="1:29" x14ac:dyDescent="0.2">
      <c r="A178" t="s">
        <v>262</v>
      </c>
      <c r="B178" s="6">
        <v>603.30999999999995</v>
      </c>
      <c r="C178" s="6">
        <f t="shared" si="42"/>
        <v>62.437737271478944</v>
      </c>
      <c r="D178" s="6">
        <f t="shared" si="28"/>
        <v>33.521632209728004</v>
      </c>
      <c r="E178" s="6">
        <f t="shared" si="29"/>
        <v>28.91610506175094</v>
      </c>
      <c r="F178" s="6">
        <v>16.89</v>
      </c>
      <c r="G178" s="6">
        <f t="shared" si="43"/>
        <v>47.125435540069695</v>
      </c>
      <c r="H178" s="6" t="str">
        <f t="shared" si="30"/>
        <v/>
      </c>
      <c r="I178" s="6" t="str">
        <f t="shared" si="31"/>
        <v/>
      </c>
      <c r="J178" s="6">
        <v>3571.5</v>
      </c>
      <c r="K178" s="6">
        <f t="shared" si="44"/>
        <v>5.8818297708339573</v>
      </c>
      <c r="L178" s="6">
        <f t="shared" si="32"/>
        <v>7.9864537505140172</v>
      </c>
      <c r="M178" s="6">
        <f t="shared" si="33"/>
        <v>-2.1046239796800599</v>
      </c>
      <c r="N178" s="6">
        <v>2440</v>
      </c>
      <c r="O178" s="6">
        <f t="shared" si="45"/>
        <v>39.532223937782348</v>
      </c>
      <c r="P178" s="6">
        <f t="shared" si="34"/>
        <v>17.497666365445429</v>
      </c>
      <c r="Q178" s="6">
        <f t="shared" si="35"/>
        <v>22.034557572336919</v>
      </c>
      <c r="R178" s="6"/>
      <c r="S178" s="6" t="str">
        <f t="shared" si="46"/>
        <v/>
      </c>
      <c r="T178" s="6" t="str">
        <f t="shared" si="36"/>
        <v/>
      </c>
      <c r="U178" s="6" t="str">
        <f t="shared" si="37"/>
        <v/>
      </c>
      <c r="V178" s="6">
        <v>10.6</v>
      </c>
      <c r="W178" s="6">
        <f t="shared" si="47"/>
        <v>351.063829787234</v>
      </c>
      <c r="X178" s="6">
        <f t="shared" si="38"/>
        <v>71.963228367434112</v>
      </c>
      <c r="Y178" s="6">
        <f t="shared" si="39"/>
        <v>279.10060141979989</v>
      </c>
      <c r="Z178" s="6"/>
      <c r="AA178" s="6" t="str">
        <f t="shared" si="48"/>
        <v/>
      </c>
      <c r="AB178" s="6" t="str">
        <f t="shared" si="40"/>
        <v/>
      </c>
      <c r="AC178" s="6" t="str">
        <f t="shared" si="41"/>
        <v/>
      </c>
    </row>
    <row r="179" spans="1:29" x14ac:dyDescent="0.2">
      <c r="A179" t="s">
        <v>263</v>
      </c>
      <c r="B179" s="6">
        <v>609.64</v>
      </c>
      <c r="C179" s="6">
        <f t="shared" si="42"/>
        <v>28.92883578301786</v>
      </c>
      <c r="D179" s="6">
        <f t="shared" si="28"/>
        <v>33.414798203307164</v>
      </c>
      <c r="E179" s="6">
        <f t="shared" si="29"/>
        <v>-4.4859624202893045</v>
      </c>
      <c r="F179" s="6">
        <v>16.89</v>
      </c>
      <c r="G179" s="6">
        <f t="shared" si="43"/>
        <v>47.125435540069695</v>
      </c>
      <c r="H179" s="6" t="str">
        <f t="shared" si="30"/>
        <v/>
      </c>
      <c r="I179" s="6" t="str">
        <f t="shared" si="31"/>
        <v/>
      </c>
      <c r="J179" s="6">
        <v>4079</v>
      </c>
      <c r="K179" s="6">
        <f t="shared" si="44"/>
        <v>20.927336871127444</v>
      </c>
      <c r="L179" s="6">
        <f t="shared" si="32"/>
        <v>7.6834044402018007</v>
      </c>
      <c r="M179" s="6">
        <f t="shared" si="33"/>
        <v>13.243932430925643</v>
      </c>
      <c r="N179" s="6">
        <v>1919.1</v>
      </c>
      <c r="O179" s="6">
        <f t="shared" si="45"/>
        <v>-5.0514545814367757</v>
      </c>
      <c r="P179" s="6">
        <f t="shared" si="34"/>
        <v>18.356429859528088</v>
      </c>
      <c r="Q179" s="6">
        <f t="shared" si="35"/>
        <v>-23.407884440964864</v>
      </c>
      <c r="R179" s="6"/>
      <c r="S179" s="6" t="str">
        <f t="shared" si="46"/>
        <v/>
      </c>
      <c r="T179" s="6" t="str">
        <f t="shared" si="36"/>
        <v/>
      </c>
      <c r="U179" s="6" t="str">
        <f t="shared" si="37"/>
        <v/>
      </c>
      <c r="V179" s="6">
        <v>10</v>
      </c>
      <c r="W179" s="6">
        <f t="shared" si="47"/>
        <v>270.37037037037032</v>
      </c>
      <c r="X179" s="6">
        <f t="shared" si="38"/>
        <v>79.37548335151854</v>
      </c>
      <c r="Y179" s="6">
        <f t="shared" si="39"/>
        <v>190.99488701885178</v>
      </c>
      <c r="Z179" s="6"/>
      <c r="AA179" s="6" t="str">
        <f t="shared" si="48"/>
        <v/>
      </c>
      <c r="AB179" s="6" t="str">
        <f t="shared" si="40"/>
        <v/>
      </c>
      <c r="AC179" s="6" t="str">
        <f t="shared" si="41"/>
        <v/>
      </c>
    </row>
    <row r="180" spans="1:29" x14ac:dyDescent="0.2">
      <c r="A180" t="s">
        <v>264</v>
      </c>
      <c r="B180" s="6">
        <v>727.84</v>
      </c>
      <c r="C180" s="6">
        <f t="shared" si="42"/>
        <v>35.707493520780112</v>
      </c>
      <c r="D180" s="6">
        <f t="shared" si="28"/>
        <v>32.740056447756622</v>
      </c>
      <c r="E180" s="6">
        <f t="shared" si="29"/>
        <v>2.9674370730234898</v>
      </c>
      <c r="F180" s="6">
        <v>16.89</v>
      </c>
      <c r="G180" s="6">
        <f t="shared" si="43"/>
        <v>47.125435540069695</v>
      </c>
      <c r="H180" s="6" t="str">
        <f t="shared" si="30"/>
        <v/>
      </c>
      <c r="I180" s="6" t="str">
        <f t="shared" si="31"/>
        <v/>
      </c>
      <c r="J180" s="6">
        <v>4079</v>
      </c>
      <c r="K180" s="6">
        <f t="shared" si="44"/>
        <v>20.927336871127444</v>
      </c>
      <c r="L180" s="6">
        <f t="shared" si="32"/>
        <v>7.6938031944790302</v>
      </c>
      <c r="M180" s="6">
        <f t="shared" si="33"/>
        <v>13.233533676648413</v>
      </c>
      <c r="N180" s="6">
        <v>1802.9</v>
      </c>
      <c r="O180" s="6">
        <f t="shared" si="45"/>
        <v>-15.077720207253886</v>
      </c>
      <c r="P180" s="6">
        <f t="shared" si="34"/>
        <v>18.376353137657208</v>
      </c>
      <c r="Q180" s="6">
        <f t="shared" si="35"/>
        <v>-33.454073344911095</v>
      </c>
      <c r="R180" s="6"/>
      <c r="S180" s="6" t="str">
        <f t="shared" si="46"/>
        <v/>
      </c>
      <c r="T180" s="6" t="str">
        <f t="shared" si="36"/>
        <v/>
      </c>
      <c r="U180" s="6" t="str">
        <f t="shared" si="37"/>
        <v/>
      </c>
      <c r="V180" s="6">
        <v>10</v>
      </c>
      <c r="W180" s="6">
        <f t="shared" si="47"/>
        <v>270.37037037037032</v>
      </c>
      <c r="X180" s="6">
        <f t="shared" si="38"/>
        <v>85.106624597751647</v>
      </c>
      <c r="Y180" s="6">
        <f t="shared" si="39"/>
        <v>185.26374577261868</v>
      </c>
      <c r="Z180" s="6"/>
      <c r="AA180" s="6" t="str">
        <f t="shared" si="48"/>
        <v/>
      </c>
      <c r="AB180" s="6" t="str">
        <f t="shared" si="40"/>
        <v/>
      </c>
      <c r="AC180" s="6" t="str">
        <f t="shared" si="41"/>
        <v/>
      </c>
    </row>
    <row r="181" spans="1:29" x14ac:dyDescent="0.2">
      <c r="A181" t="s">
        <v>265</v>
      </c>
      <c r="B181" s="6">
        <v>706.65</v>
      </c>
      <c r="C181" s="6">
        <f t="shared" si="42"/>
        <v>66.611652087803265</v>
      </c>
      <c r="D181" s="6">
        <f t="shared" si="28"/>
        <v>32.649001340544167</v>
      </c>
      <c r="E181" s="6">
        <f t="shared" si="29"/>
        <v>33.962650747259097</v>
      </c>
      <c r="F181" s="6">
        <v>16.89</v>
      </c>
      <c r="G181" s="6">
        <f t="shared" si="43"/>
        <v>47.125435540069695</v>
      </c>
      <c r="H181" s="6" t="str">
        <f t="shared" si="30"/>
        <v/>
      </c>
      <c r="I181" s="6" t="str">
        <f t="shared" si="31"/>
        <v/>
      </c>
      <c r="J181" s="6">
        <v>4079</v>
      </c>
      <c r="K181" s="6">
        <f t="shared" si="44"/>
        <v>20.927336871127444</v>
      </c>
      <c r="L181" s="6">
        <f t="shared" si="32"/>
        <v>7.7042019487562605</v>
      </c>
      <c r="M181" s="6">
        <f t="shared" si="33"/>
        <v>13.223134922371184</v>
      </c>
      <c r="N181" s="6">
        <v>1460.5</v>
      </c>
      <c r="O181" s="6">
        <f t="shared" si="45"/>
        <v>-24.564846857083822</v>
      </c>
      <c r="P181" s="6">
        <f t="shared" si="34"/>
        <v>18.50338618266424</v>
      </c>
      <c r="Q181" s="6">
        <f t="shared" si="35"/>
        <v>-43.068233039748065</v>
      </c>
      <c r="R181" s="6"/>
      <c r="S181" s="6" t="str">
        <f t="shared" si="46"/>
        <v/>
      </c>
      <c r="T181" s="6" t="str">
        <f t="shared" si="36"/>
        <v/>
      </c>
      <c r="U181" s="6" t="str">
        <f t="shared" si="37"/>
        <v/>
      </c>
      <c r="V181" s="6">
        <v>10</v>
      </c>
      <c r="W181" s="6">
        <f t="shared" si="47"/>
        <v>270.37037037037032</v>
      </c>
      <c r="X181" s="6">
        <f t="shared" si="38"/>
        <v>90.837765843984755</v>
      </c>
      <c r="Y181" s="6">
        <f t="shared" si="39"/>
        <v>179.53260452638557</v>
      </c>
      <c r="Z181" s="6"/>
      <c r="AA181" s="6" t="str">
        <f t="shared" si="48"/>
        <v/>
      </c>
      <c r="AB181" s="6" t="str">
        <f t="shared" si="40"/>
        <v/>
      </c>
      <c r="AC181" s="6" t="str">
        <f t="shared" si="41"/>
        <v/>
      </c>
    </row>
    <row r="182" spans="1:29" x14ac:dyDescent="0.2">
      <c r="A182" t="s">
        <v>266</v>
      </c>
      <c r="B182" s="6">
        <v>840.17</v>
      </c>
      <c r="C182" s="6">
        <f t="shared" si="42"/>
        <v>93.178055734387911</v>
      </c>
      <c r="D182" s="6">
        <f t="shared" si="28"/>
        <v>33.514586655285605</v>
      </c>
      <c r="E182" s="6">
        <f t="shared" si="29"/>
        <v>59.663469079102306</v>
      </c>
      <c r="F182" s="6">
        <v>16.89</v>
      </c>
      <c r="G182" s="6">
        <f t="shared" si="43"/>
        <v>47.125435540069695</v>
      </c>
      <c r="H182" s="6" t="str">
        <f t="shared" si="30"/>
        <v/>
      </c>
      <c r="I182" s="6" t="str">
        <f t="shared" si="31"/>
        <v/>
      </c>
      <c r="J182" s="6">
        <v>4079</v>
      </c>
      <c r="K182" s="6">
        <f t="shared" si="44"/>
        <v>20.927336871127444</v>
      </c>
      <c r="L182" s="6">
        <f t="shared" si="32"/>
        <v>7.7146007030334909</v>
      </c>
      <c r="M182" s="6">
        <f t="shared" si="33"/>
        <v>13.212736168093954</v>
      </c>
      <c r="N182" s="6">
        <v>1398.8</v>
      </c>
      <c r="O182" s="6">
        <f t="shared" si="45"/>
        <v>-32.271340725318368</v>
      </c>
      <c r="P182" s="6">
        <f t="shared" si="34"/>
        <v>18.429739337384774</v>
      </c>
      <c r="Q182" s="6">
        <f t="shared" si="35"/>
        <v>-50.701080062703141</v>
      </c>
      <c r="R182" s="6"/>
      <c r="S182" s="6" t="str">
        <f t="shared" si="46"/>
        <v/>
      </c>
      <c r="T182" s="6" t="str">
        <f t="shared" si="36"/>
        <v/>
      </c>
      <c r="U182" s="6" t="str">
        <f t="shared" si="37"/>
        <v/>
      </c>
      <c r="V182" s="6">
        <v>10.3</v>
      </c>
      <c r="W182" s="6">
        <f t="shared" si="47"/>
        <v>151.21951219512201</v>
      </c>
      <c r="X182" s="6">
        <f t="shared" si="38"/>
        <v>96.568907090217863</v>
      </c>
      <c r="Y182" s="6">
        <f t="shared" si="39"/>
        <v>54.650605104904145</v>
      </c>
      <c r="Z182" s="6"/>
      <c r="AA182" s="6" t="str">
        <f t="shared" si="48"/>
        <v/>
      </c>
      <c r="AB182" s="6" t="str">
        <f t="shared" si="40"/>
        <v/>
      </c>
      <c r="AC182" s="6" t="str">
        <f t="shared" si="41"/>
        <v/>
      </c>
    </row>
    <row r="183" spans="1:29" x14ac:dyDescent="0.2">
      <c r="A183" t="s">
        <v>267</v>
      </c>
      <c r="B183" s="6">
        <v>767.53</v>
      </c>
      <c r="C183" s="6">
        <f t="shared" si="42"/>
        <v>78.7905611591232</v>
      </c>
      <c r="D183" s="6">
        <f t="shared" si="28"/>
        <v>34.89860652683187</v>
      </c>
      <c r="E183" s="6">
        <f t="shared" si="29"/>
        <v>43.891954632291331</v>
      </c>
      <c r="F183" s="6">
        <v>16.89</v>
      </c>
      <c r="G183" s="6">
        <f t="shared" si="43"/>
        <v>47.125435540069695</v>
      </c>
      <c r="H183" s="6" t="str">
        <f t="shared" si="30"/>
        <v/>
      </c>
      <c r="I183" s="6" t="str">
        <f t="shared" si="31"/>
        <v/>
      </c>
      <c r="J183" s="6">
        <v>4079</v>
      </c>
      <c r="K183" s="6">
        <f t="shared" si="44"/>
        <v>20.927336871127444</v>
      </c>
      <c r="L183" s="6">
        <f t="shared" si="32"/>
        <v>7.7249994573107204</v>
      </c>
      <c r="M183" s="6">
        <f t="shared" si="33"/>
        <v>13.202337413816725</v>
      </c>
      <c r="N183" s="6">
        <v>1416.7</v>
      </c>
      <c r="O183" s="6">
        <f t="shared" si="45"/>
        <v>-37.672679278486576</v>
      </c>
      <c r="P183" s="6">
        <f t="shared" si="34"/>
        <v>18.309694454601185</v>
      </c>
      <c r="Q183" s="6">
        <f t="shared" si="35"/>
        <v>-55.982373733087762</v>
      </c>
      <c r="R183" s="6"/>
      <c r="S183" s="6" t="str">
        <f t="shared" si="46"/>
        <v/>
      </c>
      <c r="T183" s="6" t="str">
        <f t="shared" si="36"/>
        <v/>
      </c>
      <c r="U183" s="6" t="str">
        <f t="shared" si="37"/>
        <v/>
      </c>
      <c r="V183" s="6">
        <v>10.3</v>
      </c>
      <c r="W183" s="6">
        <f t="shared" si="47"/>
        <v>151.21951219512201</v>
      </c>
      <c r="X183" s="6">
        <f t="shared" si="38"/>
        <v>99.817738791133308</v>
      </c>
      <c r="Y183" s="6">
        <f t="shared" si="39"/>
        <v>51.401773403988699</v>
      </c>
      <c r="Z183" s="6"/>
      <c r="AA183" s="6" t="str">
        <f t="shared" si="48"/>
        <v/>
      </c>
      <c r="AB183" s="6" t="str">
        <f t="shared" si="40"/>
        <v/>
      </c>
      <c r="AC183" s="6" t="str">
        <f t="shared" si="41"/>
        <v/>
      </c>
    </row>
    <row r="184" spans="1:29" x14ac:dyDescent="0.2">
      <c r="A184" t="s">
        <v>268</v>
      </c>
      <c r="B184" s="6">
        <v>689.26</v>
      </c>
      <c r="C184" s="6">
        <f t="shared" si="42"/>
        <v>38.765074188158088</v>
      </c>
      <c r="D184" s="6">
        <f t="shared" si="28"/>
        <v>35.854486153553204</v>
      </c>
      <c r="E184" s="6">
        <f t="shared" si="29"/>
        <v>2.9105880346048849</v>
      </c>
      <c r="F184" s="6">
        <v>16.89</v>
      </c>
      <c r="G184" s="6">
        <f t="shared" si="43"/>
        <v>47.125435540069695</v>
      </c>
      <c r="H184" s="6" t="str">
        <f t="shared" si="30"/>
        <v/>
      </c>
      <c r="I184" s="6" t="str">
        <f t="shared" si="31"/>
        <v/>
      </c>
      <c r="J184" s="6">
        <v>4079</v>
      </c>
      <c r="K184" s="6">
        <f t="shared" si="44"/>
        <v>20.927336871127444</v>
      </c>
      <c r="L184" s="6">
        <f t="shared" si="32"/>
        <v>7.7353982115879489</v>
      </c>
      <c r="M184" s="6">
        <f t="shared" si="33"/>
        <v>13.191938659539495</v>
      </c>
      <c r="N184" s="6">
        <v>1289</v>
      </c>
      <c r="O184" s="6">
        <f t="shared" si="45"/>
        <v>-42.565610658111666</v>
      </c>
      <c r="P184" s="6">
        <f t="shared" si="34"/>
        <v>18.222245554914249</v>
      </c>
      <c r="Q184" s="6">
        <f t="shared" si="35"/>
        <v>-60.787856213025918</v>
      </c>
      <c r="R184" s="6"/>
      <c r="S184" s="6" t="str">
        <f t="shared" si="46"/>
        <v/>
      </c>
      <c r="T184" s="6" t="str">
        <f t="shared" si="36"/>
        <v/>
      </c>
      <c r="U184" s="6" t="str">
        <f t="shared" si="37"/>
        <v/>
      </c>
      <c r="V184" s="6">
        <v>10.3</v>
      </c>
      <c r="W184" s="6">
        <f t="shared" si="47"/>
        <v>151.21951219512201</v>
      </c>
      <c r="X184" s="6">
        <f t="shared" si="38"/>
        <v>103.06657049204874</v>
      </c>
      <c r="Y184" s="6">
        <f t="shared" si="39"/>
        <v>48.152941703073267</v>
      </c>
      <c r="Z184" s="6"/>
      <c r="AA184" s="6" t="str">
        <f t="shared" si="48"/>
        <v/>
      </c>
      <c r="AB184" s="6" t="str">
        <f t="shared" si="40"/>
        <v/>
      </c>
      <c r="AC184" s="6" t="str">
        <f t="shared" si="41"/>
        <v/>
      </c>
    </row>
    <row r="185" spans="1:29" x14ac:dyDescent="0.2">
      <c r="A185" t="s">
        <v>269</v>
      </c>
      <c r="B185" s="6">
        <v>589.4</v>
      </c>
      <c r="C185" s="6">
        <f t="shared" si="42"/>
        <v>1.8366535929643879</v>
      </c>
      <c r="D185" s="6">
        <f t="shared" si="28"/>
        <v>36.527101077519099</v>
      </c>
      <c r="E185" s="6">
        <f t="shared" si="29"/>
        <v>-34.69044748455471</v>
      </c>
      <c r="F185" s="6">
        <v>26.84</v>
      </c>
      <c r="G185" s="6">
        <f t="shared" si="43"/>
        <v>58.910597986974537</v>
      </c>
      <c r="H185" s="6">
        <f t="shared" si="30"/>
        <v>22.147474624117049</v>
      </c>
      <c r="I185" s="6">
        <f t="shared" si="31"/>
        <v>36.763123362857485</v>
      </c>
      <c r="J185" s="6">
        <v>4431</v>
      </c>
      <c r="K185" s="6">
        <f t="shared" si="44"/>
        <v>24.065518689626209</v>
      </c>
      <c r="L185" s="6">
        <f t="shared" si="32"/>
        <v>7.7457969658651784</v>
      </c>
      <c r="M185" s="6">
        <f t="shared" si="33"/>
        <v>16.319721723761031</v>
      </c>
      <c r="N185" s="6">
        <v>1211.2</v>
      </c>
      <c r="O185" s="6">
        <f t="shared" si="45"/>
        <v>-40.405432001574496</v>
      </c>
      <c r="P185" s="6">
        <f t="shared" si="34"/>
        <v>18.137119292331203</v>
      </c>
      <c r="Q185" s="6">
        <f t="shared" si="35"/>
        <v>-58.542551293905703</v>
      </c>
      <c r="R185" s="6"/>
      <c r="S185" s="6" t="str">
        <f t="shared" si="46"/>
        <v/>
      </c>
      <c r="T185" s="6" t="str">
        <f t="shared" si="36"/>
        <v/>
      </c>
      <c r="U185" s="6" t="str">
        <f t="shared" si="37"/>
        <v/>
      </c>
      <c r="V185" s="6">
        <v>10.42</v>
      </c>
      <c r="W185" s="6">
        <f t="shared" si="47"/>
        <v>-19.846153846153847</v>
      </c>
      <c r="X185" s="6">
        <f t="shared" si="38"/>
        <v>106.31540219296416</v>
      </c>
      <c r="Y185" s="6">
        <f t="shared" si="39"/>
        <v>-126.16155603911801</v>
      </c>
      <c r="Z185" s="6"/>
      <c r="AA185" s="6" t="str">
        <f t="shared" si="48"/>
        <v/>
      </c>
      <c r="AB185" s="6" t="str">
        <f t="shared" si="40"/>
        <v/>
      </c>
      <c r="AC185" s="6" t="str">
        <f t="shared" si="41"/>
        <v/>
      </c>
    </row>
    <row r="186" spans="1:29" x14ac:dyDescent="0.2">
      <c r="A186" t="s">
        <v>270</v>
      </c>
      <c r="B186" s="6">
        <v>497.67</v>
      </c>
      <c r="C186" s="6">
        <f t="shared" si="42"/>
        <v>-25.4136442659313</v>
      </c>
      <c r="D186" s="6">
        <f t="shared" si="28"/>
        <v>36.418909640646326</v>
      </c>
      <c r="E186" s="6">
        <f t="shared" si="29"/>
        <v>-61.83255390657763</v>
      </c>
      <c r="F186" s="6">
        <v>26.84</v>
      </c>
      <c r="G186" s="6">
        <f t="shared" si="43"/>
        <v>58.910597986974537</v>
      </c>
      <c r="H186" s="6">
        <f t="shared" si="30"/>
        <v>23.139736013802949</v>
      </c>
      <c r="I186" s="6">
        <f t="shared" si="31"/>
        <v>35.770861973171591</v>
      </c>
      <c r="J186" s="6">
        <v>4431</v>
      </c>
      <c r="K186" s="6">
        <f t="shared" si="44"/>
        <v>24.065518689626209</v>
      </c>
      <c r="L186" s="6">
        <f t="shared" si="32"/>
        <v>8.1842857059280565</v>
      </c>
      <c r="M186" s="6">
        <f t="shared" si="33"/>
        <v>15.881232983698153</v>
      </c>
      <c r="N186" s="6">
        <v>1266.5</v>
      </c>
      <c r="O186" s="6">
        <f t="shared" si="45"/>
        <v>-44.735349304010121</v>
      </c>
      <c r="P186" s="6">
        <f t="shared" si="34"/>
        <v>18.084836066807004</v>
      </c>
      <c r="Q186" s="6">
        <f t="shared" si="35"/>
        <v>-62.820185370817129</v>
      </c>
      <c r="R186" s="6"/>
      <c r="S186" s="6" t="str">
        <f t="shared" si="46"/>
        <v/>
      </c>
      <c r="T186" s="6" t="str">
        <f t="shared" si="36"/>
        <v/>
      </c>
      <c r="U186" s="6" t="str">
        <f t="shared" si="37"/>
        <v/>
      </c>
      <c r="V186" s="6">
        <v>10.42</v>
      </c>
      <c r="W186" s="6">
        <f t="shared" si="47"/>
        <v>-19.846153846153847</v>
      </c>
      <c r="X186" s="6">
        <f t="shared" si="38"/>
        <v>105.16158252778085</v>
      </c>
      <c r="Y186" s="6">
        <f t="shared" si="39"/>
        <v>-125.0077363739347</v>
      </c>
      <c r="Z186" s="6"/>
      <c r="AA186" s="6" t="str">
        <f t="shared" si="48"/>
        <v/>
      </c>
      <c r="AB186" s="6" t="str">
        <f t="shared" si="40"/>
        <v/>
      </c>
      <c r="AC186" s="6" t="str">
        <f t="shared" si="41"/>
        <v/>
      </c>
    </row>
    <row r="187" spans="1:29" x14ac:dyDescent="0.2">
      <c r="A187" t="s">
        <v>271</v>
      </c>
      <c r="B187" s="6">
        <v>478.26</v>
      </c>
      <c r="C187" s="6">
        <f t="shared" si="42"/>
        <v>-24.431171786120597</v>
      </c>
      <c r="D187" s="6">
        <f t="shared" si="28"/>
        <v>35.751268907418059</v>
      </c>
      <c r="E187" s="6">
        <f t="shared" si="29"/>
        <v>-60.182440693538652</v>
      </c>
      <c r="F187" s="6">
        <v>26.84</v>
      </c>
      <c r="G187" s="6">
        <f t="shared" si="43"/>
        <v>58.910597986974537</v>
      </c>
      <c r="H187" s="6">
        <f t="shared" si="30"/>
        <v>24.131997403488853</v>
      </c>
      <c r="I187" s="6">
        <f t="shared" si="31"/>
        <v>34.778600583485684</v>
      </c>
      <c r="J187" s="6">
        <v>4431</v>
      </c>
      <c r="K187" s="6">
        <f t="shared" si="44"/>
        <v>24.065518689626209</v>
      </c>
      <c r="L187" s="6">
        <f t="shared" si="32"/>
        <v>8.6227744459909328</v>
      </c>
      <c r="M187" s="6">
        <f t="shared" si="33"/>
        <v>15.442744243635277</v>
      </c>
      <c r="N187" s="6">
        <v>1344.2</v>
      </c>
      <c r="O187" s="6">
        <f t="shared" si="45"/>
        <v>-51.002405773857262</v>
      </c>
      <c r="P187" s="6">
        <f t="shared" si="34"/>
        <v>17.953648158656137</v>
      </c>
      <c r="Q187" s="6">
        <f t="shared" si="35"/>
        <v>-68.956053932513399</v>
      </c>
      <c r="R187" s="6"/>
      <c r="S187" s="6" t="str">
        <f t="shared" si="46"/>
        <v/>
      </c>
      <c r="T187" s="6" t="str">
        <f t="shared" si="36"/>
        <v/>
      </c>
      <c r="U187" s="6" t="str">
        <f t="shared" si="37"/>
        <v/>
      </c>
      <c r="V187" s="6">
        <v>10.42</v>
      </c>
      <c r="W187" s="6">
        <f t="shared" si="47"/>
        <v>-19.846153846153847</v>
      </c>
      <c r="X187" s="6">
        <f t="shared" si="38"/>
        <v>104.00776286259754</v>
      </c>
      <c r="Y187" s="6">
        <f t="shared" si="39"/>
        <v>-123.8539167087514</v>
      </c>
      <c r="Z187" s="6"/>
      <c r="AA187" s="6" t="str">
        <f t="shared" si="48"/>
        <v/>
      </c>
      <c r="AB187" s="6" t="str">
        <f t="shared" si="40"/>
        <v/>
      </c>
      <c r="AC187" s="6" t="str">
        <f t="shared" si="41"/>
        <v/>
      </c>
    </row>
    <row r="188" spans="1:29" x14ac:dyDescent="0.2">
      <c r="A188" t="s">
        <v>272</v>
      </c>
      <c r="B188" s="6">
        <v>451.1</v>
      </c>
      <c r="C188" s="6">
        <f t="shared" si="42"/>
        <v>-26.512991773234507</v>
      </c>
      <c r="D188" s="6">
        <f t="shared" si="28"/>
        <v>35.088257268177955</v>
      </c>
      <c r="E188" s="6">
        <f t="shared" si="29"/>
        <v>-61.601249041412458</v>
      </c>
      <c r="F188" s="6">
        <v>26.84</v>
      </c>
      <c r="G188" s="6">
        <f t="shared" si="43"/>
        <v>58.910597986974537</v>
      </c>
      <c r="H188" s="6">
        <f t="shared" si="30"/>
        <v>25.124258793174757</v>
      </c>
      <c r="I188" s="6">
        <f t="shared" si="31"/>
        <v>33.786339193799776</v>
      </c>
      <c r="J188" s="6">
        <v>4431</v>
      </c>
      <c r="K188" s="6">
        <f t="shared" si="44"/>
        <v>24.065518689626209</v>
      </c>
      <c r="L188" s="6">
        <f t="shared" si="32"/>
        <v>9.0612631860538109</v>
      </c>
      <c r="M188" s="6">
        <f t="shared" si="33"/>
        <v>15.004255503572399</v>
      </c>
      <c r="N188" s="6">
        <v>1329.2</v>
      </c>
      <c r="O188" s="6">
        <f t="shared" si="45"/>
        <v>-56.158057919387815</v>
      </c>
      <c r="P188" s="6">
        <f t="shared" si="34"/>
        <v>17.615513659804158</v>
      </c>
      <c r="Q188" s="6">
        <f t="shared" si="35"/>
        <v>-73.77357157919198</v>
      </c>
      <c r="R188" s="6"/>
      <c r="S188" s="6" t="str">
        <f t="shared" si="46"/>
        <v/>
      </c>
      <c r="T188" s="6" t="str">
        <f t="shared" si="36"/>
        <v/>
      </c>
      <c r="U188" s="6" t="str">
        <f t="shared" si="37"/>
        <v/>
      </c>
      <c r="V188" s="6">
        <v>10.42</v>
      </c>
      <c r="W188" s="6">
        <f t="shared" si="47"/>
        <v>-1.6981132075471694</v>
      </c>
      <c r="X188" s="6">
        <f t="shared" si="38"/>
        <v>102.85394319741424</v>
      </c>
      <c r="Y188" s="6">
        <f t="shared" si="39"/>
        <v>-104.55205640496141</v>
      </c>
      <c r="Z188" s="6"/>
      <c r="AA188" s="6" t="str">
        <f t="shared" si="48"/>
        <v/>
      </c>
      <c r="AB188" s="6" t="str">
        <f t="shared" si="40"/>
        <v/>
      </c>
      <c r="AC188" s="6" t="str">
        <f t="shared" si="41"/>
        <v/>
      </c>
    </row>
    <row r="189" spans="1:29" x14ac:dyDescent="0.2">
      <c r="A189" t="s">
        <v>273</v>
      </c>
      <c r="B189" s="6">
        <v>391.74</v>
      </c>
      <c r="C189" s="6">
        <f t="shared" si="42"/>
        <v>-33.77176669484362</v>
      </c>
      <c r="D189" s="6">
        <f t="shared" si="28"/>
        <v>34.522980721025199</v>
      </c>
      <c r="E189" s="6">
        <f t="shared" si="29"/>
        <v>-68.294747415868812</v>
      </c>
      <c r="F189" s="6">
        <v>26.84</v>
      </c>
      <c r="G189" s="6">
        <f t="shared" si="43"/>
        <v>58.910597986974537</v>
      </c>
      <c r="H189" s="6">
        <f t="shared" si="30"/>
        <v>26.116520182860654</v>
      </c>
      <c r="I189" s="6">
        <f t="shared" si="31"/>
        <v>32.794077804113883</v>
      </c>
      <c r="J189" s="6">
        <v>4431</v>
      </c>
      <c r="K189" s="6">
        <f t="shared" si="44"/>
        <v>24.065518689626209</v>
      </c>
      <c r="L189" s="6">
        <f t="shared" si="32"/>
        <v>9.4997519261166872</v>
      </c>
      <c r="M189" s="6">
        <f t="shared" si="33"/>
        <v>14.565766763509522</v>
      </c>
      <c r="N189" s="6">
        <v>1253.8</v>
      </c>
      <c r="O189" s="6">
        <f t="shared" si="45"/>
        <v>-56.400180825538129</v>
      </c>
      <c r="P189" s="6">
        <f t="shared" si="34"/>
        <v>17.031820579777101</v>
      </c>
      <c r="Q189" s="6">
        <f t="shared" si="35"/>
        <v>-73.432001405315233</v>
      </c>
      <c r="R189" s="6"/>
      <c r="S189" s="6" t="str">
        <f t="shared" si="46"/>
        <v/>
      </c>
      <c r="T189" s="6" t="str">
        <f t="shared" si="36"/>
        <v/>
      </c>
      <c r="U189" s="6" t="str">
        <f t="shared" si="37"/>
        <v/>
      </c>
      <c r="V189" s="6">
        <v>10.42</v>
      </c>
      <c r="W189" s="6">
        <f t="shared" si="47"/>
        <v>-1.6981132075471694</v>
      </c>
      <c r="X189" s="6">
        <f t="shared" si="38"/>
        <v>102.0782077122019</v>
      </c>
      <c r="Y189" s="6">
        <f t="shared" si="39"/>
        <v>-103.77632091974907</v>
      </c>
      <c r="Z189" s="6"/>
      <c r="AA189" s="6" t="str">
        <f t="shared" si="48"/>
        <v/>
      </c>
      <c r="AB189" s="6" t="str">
        <f t="shared" si="40"/>
        <v/>
      </c>
      <c r="AC189" s="6" t="str">
        <f t="shared" si="41"/>
        <v/>
      </c>
    </row>
    <row r="190" spans="1:29" x14ac:dyDescent="0.2">
      <c r="A190" t="s">
        <v>274</v>
      </c>
      <c r="B190" s="6">
        <v>356</v>
      </c>
      <c r="C190" s="6">
        <f t="shared" si="42"/>
        <v>-40.992193068240198</v>
      </c>
      <c r="D190" s="6">
        <f t="shared" si="28"/>
        <v>34.087807156191417</v>
      </c>
      <c r="E190" s="6">
        <f t="shared" si="29"/>
        <v>-75.080000224431615</v>
      </c>
      <c r="F190" s="6">
        <v>26.84</v>
      </c>
      <c r="G190" s="6">
        <f t="shared" si="43"/>
        <v>58.910597986974537</v>
      </c>
      <c r="H190" s="6">
        <f t="shared" si="30"/>
        <v>27.108781572546558</v>
      </c>
      <c r="I190" s="6">
        <f t="shared" si="31"/>
        <v>31.801816414427979</v>
      </c>
      <c r="J190" s="6">
        <v>4431</v>
      </c>
      <c r="K190" s="6">
        <f t="shared" si="44"/>
        <v>24.065518689626209</v>
      </c>
      <c r="L190" s="6">
        <f t="shared" si="32"/>
        <v>9.9382406661795653</v>
      </c>
      <c r="M190" s="6">
        <f t="shared" si="33"/>
        <v>14.127278023446644</v>
      </c>
      <c r="N190" s="6">
        <v>1193</v>
      </c>
      <c r="O190" s="6">
        <f t="shared" si="45"/>
        <v>-51.106557377049178</v>
      </c>
      <c r="P190" s="6">
        <f t="shared" si="34"/>
        <v>16.487201484126462</v>
      </c>
      <c r="Q190" s="6">
        <f t="shared" si="35"/>
        <v>-67.593758861175644</v>
      </c>
      <c r="R190" s="6"/>
      <c r="S190" s="6" t="str">
        <f t="shared" si="46"/>
        <v/>
      </c>
      <c r="T190" s="6" t="str">
        <f t="shared" si="36"/>
        <v/>
      </c>
      <c r="U190" s="6" t="str">
        <f t="shared" si="37"/>
        <v/>
      </c>
      <c r="V190" s="6">
        <v>10.42</v>
      </c>
      <c r="W190" s="6">
        <f t="shared" si="47"/>
        <v>-1.6981132075471694</v>
      </c>
      <c r="X190" s="6">
        <f t="shared" si="38"/>
        <v>101.30247222698959</v>
      </c>
      <c r="Y190" s="6">
        <f t="shared" si="39"/>
        <v>-103.00058543453676</v>
      </c>
      <c r="Z190" s="6"/>
      <c r="AA190" s="6" t="str">
        <f t="shared" si="48"/>
        <v/>
      </c>
      <c r="AB190" s="6" t="str">
        <f t="shared" si="40"/>
        <v/>
      </c>
      <c r="AC190" s="6" t="str">
        <f t="shared" si="41"/>
        <v/>
      </c>
    </row>
    <row r="191" spans="1:29" x14ac:dyDescent="0.2">
      <c r="A191" t="s">
        <v>275</v>
      </c>
      <c r="B191" s="6">
        <v>401.98</v>
      </c>
      <c r="C191" s="6">
        <f t="shared" si="42"/>
        <v>-34.062725542943376</v>
      </c>
      <c r="D191" s="6">
        <f t="shared" si="28"/>
        <v>33.505545533570675</v>
      </c>
      <c r="E191" s="6">
        <f t="shared" si="29"/>
        <v>-67.568271076514051</v>
      </c>
      <c r="F191" s="6">
        <v>26.84</v>
      </c>
      <c r="G191" s="6">
        <f t="shared" si="43"/>
        <v>58.910597986974537</v>
      </c>
      <c r="H191" s="6">
        <f t="shared" si="30"/>
        <v>28.101042962232459</v>
      </c>
      <c r="I191" s="6">
        <f t="shared" si="31"/>
        <v>30.809555024742078</v>
      </c>
      <c r="J191" s="6">
        <v>4431</v>
      </c>
      <c r="K191" s="6">
        <f t="shared" si="44"/>
        <v>8.6295660701152244</v>
      </c>
      <c r="L191" s="6">
        <f t="shared" si="32"/>
        <v>10.376729406242442</v>
      </c>
      <c r="M191" s="6">
        <f t="shared" si="33"/>
        <v>-1.7471633361272172</v>
      </c>
      <c r="N191" s="6">
        <v>1222.4000000000001</v>
      </c>
      <c r="O191" s="6">
        <f t="shared" si="45"/>
        <v>-36.303475587514974</v>
      </c>
      <c r="P191" s="6">
        <f t="shared" si="34"/>
        <v>15.970892604157646</v>
      </c>
      <c r="Q191" s="6">
        <f t="shared" si="35"/>
        <v>-52.274368191672622</v>
      </c>
      <c r="R191" s="6"/>
      <c r="S191" s="6" t="str">
        <f t="shared" si="46"/>
        <v/>
      </c>
      <c r="T191" s="6" t="str">
        <f t="shared" si="36"/>
        <v/>
      </c>
      <c r="U191" s="6" t="str">
        <f t="shared" si="37"/>
        <v/>
      </c>
      <c r="V191" s="6">
        <v>10.43</v>
      </c>
      <c r="W191" s="6">
        <f t="shared" si="47"/>
        <v>4.2999999999999927</v>
      </c>
      <c r="X191" s="6">
        <f t="shared" si="38"/>
        <v>100.52673674177726</v>
      </c>
      <c r="Y191" s="6">
        <f t="shared" si="39"/>
        <v>-96.226736741777259</v>
      </c>
      <c r="Z191" s="6"/>
      <c r="AA191" s="6" t="str">
        <f t="shared" si="48"/>
        <v/>
      </c>
      <c r="AB191" s="6" t="str">
        <f t="shared" si="40"/>
        <v/>
      </c>
      <c r="AC191" s="6" t="str">
        <f t="shared" si="41"/>
        <v/>
      </c>
    </row>
    <row r="192" spans="1:29" x14ac:dyDescent="0.2">
      <c r="A192" t="s">
        <v>276</v>
      </c>
      <c r="B192" s="6">
        <v>472.61</v>
      </c>
      <c r="C192" s="6">
        <f t="shared" si="42"/>
        <v>-35.066772917124645</v>
      </c>
      <c r="D192" s="6">
        <f t="shared" si="28"/>
        <v>32.777068336499404</v>
      </c>
      <c r="E192" s="6">
        <f t="shared" si="29"/>
        <v>-67.843841253624049</v>
      </c>
      <c r="F192" s="6">
        <v>26.84</v>
      </c>
      <c r="G192" s="6">
        <f t="shared" si="43"/>
        <v>58.910597986974537</v>
      </c>
      <c r="H192" s="6">
        <f t="shared" si="30"/>
        <v>29.093304351918363</v>
      </c>
      <c r="I192" s="6">
        <f t="shared" si="31"/>
        <v>29.817293635056174</v>
      </c>
      <c r="J192" s="6">
        <v>4431</v>
      </c>
      <c r="K192" s="6">
        <f t="shared" si="44"/>
        <v>8.6295660701152244</v>
      </c>
      <c r="L192" s="6">
        <f t="shared" si="32"/>
        <v>10.493635800065507</v>
      </c>
      <c r="M192" s="6">
        <f t="shared" si="33"/>
        <v>-1.8640697299502822</v>
      </c>
      <c r="N192" s="6">
        <v>1277.0999999999999</v>
      </c>
      <c r="O192" s="6">
        <f t="shared" si="45"/>
        <v>-29.164124466137899</v>
      </c>
      <c r="P192" s="6">
        <f t="shared" si="34"/>
        <v>15.597668152082271</v>
      </c>
      <c r="Q192" s="6">
        <f t="shared" si="35"/>
        <v>-44.76179261822017</v>
      </c>
      <c r="R192" s="6"/>
      <c r="S192" s="6" t="str">
        <f t="shared" si="46"/>
        <v/>
      </c>
      <c r="T192" s="6" t="str">
        <f t="shared" si="36"/>
        <v/>
      </c>
      <c r="U192" s="6" t="str">
        <f t="shared" si="37"/>
        <v/>
      </c>
      <c r="V192" s="6">
        <v>10.43</v>
      </c>
      <c r="W192" s="6">
        <f t="shared" si="47"/>
        <v>4.2999999999999927</v>
      </c>
      <c r="X192" s="6">
        <f t="shared" si="38"/>
        <v>99.703785639848888</v>
      </c>
      <c r="Y192" s="6">
        <f t="shared" si="39"/>
        <v>-95.403785639848891</v>
      </c>
      <c r="Z192" s="6"/>
      <c r="AA192" s="6" t="str">
        <f t="shared" si="48"/>
        <v/>
      </c>
      <c r="AB192" s="6" t="str">
        <f t="shared" si="40"/>
        <v/>
      </c>
      <c r="AC192" s="6" t="str">
        <f t="shared" si="41"/>
        <v/>
      </c>
    </row>
    <row r="193" spans="1:29" x14ac:dyDescent="0.2">
      <c r="A193" t="s">
        <v>277</v>
      </c>
      <c r="B193" s="6">
        <v>412.35</v>
      </c>
      <c r="C193" s="6">
        <f t="shared" si="42"/>
        <v>-41.647208660581612</v>
      </c>
      <c r="D193" s="6">
        <f t="shared" ref="D193:D256" si="49">IF(COUNT(C145:C192)&lt;48,"",AVERAGE(C145:C192))</f>
        <v>31.679312443450698</v>
      </c>
      <c r="E193" s="6">
        <f t="shared" ref="E193:E256" si="50">IF(OR(C193="",D193=""),"",C193-D193)</f>
        <v>-73.326521104032309</v>
      </c>
      <c r="F193" s="6">
        <v>26.84</v>
      </c>
      <c r="G193" s="6">
        <f t="shared" si="43"/>
        <v>58.910597986974537</v>
      </c>
      <c r="H193" s="6">
        <f t="shared" ref="H193:H256" si="51">IF(COUNT(G145:G192)&lt;48,"",AVERAGE(G145:G192))</f>
        <v>30.085565741604267</v>
      </c>
      <c r="I193" s="6">
        <f t="shared" ref="I193:I256" si="52">IF(OR(G193="",H193=""),"",G193-H193)</f>
        <v>28.82503224537027</v>
      </c>
      <c r="J193" s="6">
        <v>4852</v>
      </c>
      <c r="K193" s="6">
        <f t="shared" si="44"/>
        <v>18.950723216474618</v>
      </c>
      <c r="L193" s="6">
        <f t="shared" ref="L193:L256" si="53">IF(COUNT(K145:K192)&lt;48,"",AVERAGE(K145:K192))</f>
        <v>10.610542193888572</v>
      </c>
      <c r="M193" s="6">
        <f t="shared" ref="M193:M256" si="54">IF(OR(K193="",L193=""),"",K193-L193)</f>
        <v>8.3401810225860462</v>
      </c>
      <c r="N193" s="6">
        <v>1210.0999999999999</v>
      </c>
      <c r="O193" s="6">
        <f t="shared" si="45"/>
        <v>-17.144813420061634</v>
      </c>
      <c r="P193" s="6">
        <f t="shared" ref="P193:P256" si="55">IF(COUNT(O145:O192)&lt;48,"",AVERAGE(O145:O192))</f>
        <v>15.267421349273286</v>
      </c>
      <c r="Q193" s="6">
        <f t="shared" ref="Q193:Q256" si="56">IF(OR(O193="",P193=""),"",O193-P193)</f>
        <v>-32.412234769334923</v>
      </c>
      <c r="R193" s="6"/>
      <c r="S193" s="6" t="str">
        <f t="shared" si="46"/>
        <v/>
      </c>
      <c r="T193" s="6" t="str">
        <f t="shared" ref="T193:T256" si="57">IF(COUNT(S145:S192)&lt;48,"",AVERAGE(S145:S192))</f>
        <v/>
      </c>
      <c r="U193" s="6" t="str">
        <f t="shared" ref="U193:U256" si="58">IF(OR(S193="",T193=""),"",S193-T193)</f>
        <v/>
      </c>
      <c r="V193" s="6">
        <v>10.43</v>
      </c>
      <c r="W193" s="6">
        <f t="shared" si="47"/>
        <v>4.2999999999999927</v>
      </c>
      <c r="X193" s="6">
        <f t="shared" ref="X193:X256" si="59">IF(COUNT(W145:W192)&lt;48,"",AVERAGE(W145:W192))</f>
        <v>98.880834537920506</v>
      </c>
      <c r="Y193" s="6">
        <f t="shared" ref="Y193:Y256" si="60">IF(OR(W193="",X193=""),"",W193-X193)</f>
        <v>-94.580834537920509</v>
      </c>
      <c r="Z193" s="6"/>
      <c r="AA193" s="6" t="str">
        <f t="shared" si="48"/>
        <v/>
      </c>
      <c r="AB193" s="6" t="str">
        <f t="shared" ref="AB193:AB256" si="61">IF(COUNT(AA145:AA192)&lt;48,"",AVERAGE(AA145:AA192))</f>
        <v/>
      </c>
      <c r="AC193" s="6" t="str">
        <f t="shared" ref="AC193:AC256" si="62">IF(OR(AA193="",AB193=""),"",AA193-AB193)</f>
        <v/>
      </c>
    </row>
    <row r="194" spans="1:29" x14ac:dyDescent="0.2">
      <c r="A194" t="s">
        <v>278</v>
      </c>
      <c r="B194" s="6">
        <v>412.19</v>
      </c>
      <c r="C194" s="6">
        <f t="shared" si="42"/>
        <v>-50.939690776866584</v>
      </c>
      <c r="D194" s="6">
        <f t="shared" si="49"/>
        <v>30.388624715332369</v>
      </c>
      <c r="E194" s="6">
        <f t="shared" si="50"/>
        <v>-81.328315492198954</v>
      </c>
      <c r="F194" s="6">
        <v>26.84</v>
      </c>
      <c r="G194" s="6">
        <f t="shared" si="43"/>
        <v>58.910597986974537</v>
      </c>
      <c r="H194" s="6">
        <f t="shared" si="51"/>
        <v>31.077827131290164</v>
      </c>
      <c r="I194" s="6">
        <f t="shared" si="52"/>
        <v>27.832770855684373</v>
      </c>
      <c r="J194" s="6">
        <v>4852</v>
      </c>
      <c r="K194" s="6">
        <f t="shared" si="44"/>
        <v>18.950723216474618</v>
      </c>
      <c r="L194" s="6">
        <f t="shared" si="53"/>
        <v>10.94247269492746</v>
      </c>
      <c r="M194" s="6">
        <f t="shared" si="54"/>
        <v>8.0082505215471578</v>
      </c>
      <c r="N194" s="6">
        <v>1178.8</v>
      </c>
      <c r="O194" s="6">
        <f t="shared" si="45"/>
        <v>-15.727766657134691</v>
      </c>
      <c r="P194" s="6">
        <f t="shared" si="55"/>
        <v>15.228527093962207</v>
      </c>
      <c r="Q194" s="6">
        <f t="shared" si="56"/>
        <v>-30.956293751096897</v>
      </c>
      <c r="R194" s="6"/>
      <c r="S194" s="6" t="str">
        <f t="shared" si="46"/>
        <v/>
      </c>
      <c r="T194" s="6" t="str">
        <f t="shared" si="57"/>
        <v/>
      </c>
      <c r="U194" s="6" t="str">
        <f t="shared" si="58"/>
        <v/>
      </c>
      <c r="V194" s="6">
        <v>10.46</v>
      </c>
      <c r="W194" s="6">
        <f t="shared" si="47"/>
        <v>1.5533980582524309</v>
      </c>
      <c r="X194" s="6">
        <f t="shared" si="59"/>
        <v>98.057883435992139</v>
      </c>
      <c r="Y194" s="6">
        <f t="shared" si="60"/>
        <v>-96.504485377739712</v>
      </c>
      <c r="Z194" s="6"/>
      <c r="AA194" s="6" t="str">
        <f t="shared" si="48"/>
        <v/>
      </c>
      <c r="AB194" s="6" t="str">
        <f t="shared" si="61"/>
        <v/>
      </c>
      <c r="AC194" s="6" t="str">
        <f t="shared" si="62"/>
        <v/>
      </c>
    </row>
    <row r="195" spans="1:29" x14ac:dyDescent="0.2">
      <c r="A195" t="s">
        <v>279</v>
      </c>
      <c r="B195" s="6">
        <v>378.8</v>
      </c>
      <c r="C195" s="6">
        <f t="shared" si="42"/>
        <v>-50.646880252237693</v>
      </c>
      <c r="D195" s="6">
        <f t="shared" si="49"/>
        <v>29.355539777902777</v>
      </c>
      <c r="E195" s="6">
        <f t="shared" si="50"/>
        <v>-80.00242003014047</v>
      </c>
      <c r="F195" s="6">
        <v>26.84</v>
      </c>
      <c r="G195" s="6">
        <f t="shared" si="43"/>
        <v>58.910597986974537</v>
      </c>
      <c r="H195" s="6">
        <f t="shared" si="51"/>
        <v>32.070088520976064</v>
      </c>
      <c r="I195" s="6">
        <f t="shared" si="52"/>
        <v>26.840509465998473</v>
      </c>
      <c r="J195" s="6">
        <v>4852</v>
      </c>
      <c r="K195" s="6">
        <f t="shared" si="44"/>
        <v>18.950723216474618</v>
      </c>
      <c r="L195" s="6">
        <f t="shared" si="53"/>
        <v>11.274403195966345</v>
      </c>
      <c r="M195" s="6">
        <f t="shared" si="54"/>
        <v>7.6763200205082729</v>
      </c>
      <c r="N195" s="6">
        <v>1179.7</v>
      </c>
      <c r="O195" s="6">
        <f t="shared" si="45"/>
        <v>-16.729018140749631</v>
      </c>
      <c r="P195" s="6">
        <f t="shared" si="55"/>
        <v>15.08541827646704</v>
      </c>
      <c r="Q195" s="6">
        <f t="shared" si="56"/>
        <v>-31.814436417216669</v>
      </c>
      <c r="R195" s="6"/>
      <c r="S195" s="6" t="str">
        <f t="shared" si="46"/>
        <v/>
      </c>
      <c r="T195" s="6" t="str">
        <f t="shared" si="57"/>
        <v/>
      </c>
      <c r="U195" s="6" t="str">
        <f t="shared" si="58"/>
        <v/>
      </c>
      <c r="V195" s="6">
        <v>10.46</v>
      </c>
      <c r="W195" s="6">
        <f t="shared" si="47"/>
        <v>1.5533980582524309</v>
      </c>
      <c r="X195" s="6">
        <f t="shared" si="59"/>
        <v>97.177711460277351</v>
      </c>
      <c r="Y195" s="6">
        <f t="shared" si="60"/>
        <v>-95.624313402024924</v>
      </c>
      <c r="Z195" s="6"/>
      <c r="AA195" s="6" t="str">
        <f t="shared" si="48"/>
        <v/>
      </c>
      <c r="AB195" s="6" t="str">
        <f t="shared" si="61"/>
        <v/>
      </c>
      <c r="AC195" s="6" t="str">
        <f t="shared" si="62"/>
        <v/>
      </c>
    </row>
    <row r="196" spans="1:29" x14ac:dyDescent="0.2">
      <c r="A196" t="s">
        <v>280</v>
      </c>
      <c r="B196" s="6">
        <v>367.93</v>
      </c>
      <c r="C196" s="6">
        <f t="shared" si="42"/>
        <v>-46.619563009604505</v>
      </c>
      <c r="D196" s="6">
        <f t="shared" si="49"/>
        <v>28.471467590097856</v>
      </c>
      <c r="E196" s="6">
        <f t="shared" si="50"/>
        <v>-75.091030599702364</v>
      </c>
      <c r="F196" s="6">
        <v>26.84</v>
      </c>
      <c r="G196" s="6">
        <f t="shared" si="43"/>
        <v>58.910597986974537</v>
      </c>
      <c r="H196" s="6">
        <f t="shared" si="51"/>
        <v>33.062349910661972</v>
      </c>
      <c r="I196" s="6">
        <f t="shared" si="52"/>
        <v>25.848248076312565</v>
      </c>
      <c r="J196" s="6">
        <v>4852</v>
      </c>
      <c r="K196" s="6">
        <f t="shared" si="44"/>
        <v>18.950723216474618</v>
      </c>
      <c r="L196" s="6">
        <f t="shared" si="53"/>
        <v>11.606333697005232</v>
      </c>
      <c r="M196" s="6">
        <f t="shared" si="54"/>
        <v>7.3443895194693862</v>
      </c>
      <c r="N196" s="6">
        <v>1151</v>
      </c>
      <c r="O196" s="6">
        <f t="shared" si="45"/>
        <v>-10.705973622963539</v>
      </c>
      <c r="P196" s="6">
        <f t="shared" si="55"/>
        <v>14.873955942931085</v>
      </c>
      <c r="Q196" s="6">
        <f t="shared" si="56"/>
        <v>-25.579929565894624</v>
      </c>
      <c r="R196" s="6"/>
      <c r="S196" s="6" t="str">
        <f t="shared" si="46"/>
        <v/>
      </c>
      <c r="T196" s="6" t="str">
        <f t="shared" si="57"/>
        <v/>
      </c>
      <c r="U196" s="6" t="str">
        <f t="shared" si="58"/>
        <v/>
      </c>
      <c r="V196" s="6">
        <v>10.46</v>
      </c>
      <c r="W196" s="6">
        <f t="shared" si="47"/>
        <v>1.5533980582524309</v>
      </c>
      <c r="X196" s="6">
        <f t="shared" si="59"/>
        <v>96.297539484562563</v>
      </c>
      <c r="Y196" s="6">
        <f t="shared" si="60"/>
        <v>-94.744141426310136</v>
      </c>
      <c r="Z196" s="6"/>
      <c r="AA196" s="6" t="str">
        <f t="shared" si="48"/>
        <v/>
      </c>
      <c r="AB196" s="6" t="str">
        <f t="shared" si="61"/>
        <v/>
      </c>
      <c r="AC196" s="6" t="str">
        <f t="shared" si="62"/>
        <v/>
      </c>
    </row>
    <row r="197" spans="1:29" x14ac:dyDescent="0.2">
      <c r="A197" t="s">
        <v>281</v>
      </c>
      <c r="B197" s="6">
        <v>353.88</v>
      </c>
      <c r="C197" s="6">
        <f t="shared" si="42"/>
        <v>-39.959280624363757</v>
      </c>
      <c r="D197" s="6">
        <f t="shared" si="49"/>
        <v>27.791282871357907</v>
      </c>
      <c r="E197" s="6">
        <f t="shared" si="50"/>
        <v>-67.750563495721664</v>
      </c>
      <c r="F197" s="6">
        <v>27.16</v>
      </c>
      <c r="G197" s="6">
        <f t="shared" si="43"/>
        <v>1.1922503725782407</v>
      </c>
      <c r="H197" s="6">
        <f t="shared" si="51"/>
        <v>34.054611300347872</v>
      </c>
      <c r="I197" s="6">
        <f t="shared" si="52"/>
        <v>-32.862360927769629</v>
      </c>
      <c r="J197" s="6">
        <v>4850</v>
      </c>
      <c r="K197" s="6">
        <f t="shared" si="44"/>
        <v>9.4561047167682322</v>
      </c>
      <c r="L197" s="6">
        <f t="shared" si="53"/>
        <v>11.938264198044118</v>
      </c>
      <c r="M197" s="6">
        <f t="shared" si="54"/>
        <v>-2.482159481275886</v>
      </c>
      <c r="N197" s="6">
        <v>1193</v>
      </c>
      <c r="O197" s="6">
        <f t="shared" si="45"/>
        <v>-1.502642007926025</v>
      </c>
      <c r="P197" s="6">
        <f t="shared" si="55"/>
        <v>14.66645465556511</v>
      </c>
      <c r="Q197" s="6">
        <f t="shared" si="56"/>
        <v>-16.169096663491136</v>
      </c>
      <c r="R197" s="6"/>
      <c r="S197" s="6" t="str">
        <f t="shared" si="46"/>
        <v/>
      </c>
      <c r="T197" s="6" t="str">
        <f t="shared" si="57"/>
        <v/>
      </c>
      <c r="U197" s="6" t="str">
        <f t="shared" si="58"/>
        <v/>
      </c>
      <c r="V197" s="6">
        <v>11.51</v>
      </c>
      <c r="W197" s="6">
        <f t="shared" si="47"/>
        <v>10.460652591170817</v>
      </c>
      <c r="X197" s="6">
        <f t="shared" si="59"/>
        <v>95.417367508847789</v>
      </c>
      <c r="Y197" s="6">
        <f t="shared" si="60"/>
        <v>-84.956714917676976</v>
      </c>
      <c r="Z197" s="6"/>
      <c r="AA197" s="6" t="str">
        <f t="shared" si="48"/>
        <v/>
      </c>
      <c r="AB197" s="6" t="str">
        <f t="shared" si="61"/>
        <v/>
      </c>
      <c r="AC197" s="6" t="str">
        <f t="shared" si="62"/>
        <v/>
      </c>
    </row>
    <row r="198" spans="1:29" x14ac:dyDescent="0.2">
      <c r="A198" t="s">
        <v>282</v>
      </c>
      <c r="B198" s="6">
        <v>365.84</v>
      </c>
      <c r="C198" s="6">
        <f t="shared" si="42"/>
        <v>-26.489440794100517</v>
      </c>
      <c r="D198" s="6">
        <f t="shared" si="49"/>
        <v>27.377690487669607</v>
      </c>
      <c r="E198" s="6">
        <f t="shared" si="50"/>
        <v>-53.867131281770128</v>
      </c>
      <c r="F198" s="6">
        <v>27.16</v>
      </c>
      <c r="G198" s="6">
        <f t="shared" si="43"/>
        <v>1.1922503725782407</v>
      </c>
      <c r="H198" s="6">
        <f t="shared" si="51"/>
        <v>33.858635717672129</v>
      </c>
      <c r="I198" s="6">
        <f t="shared" si="52"/>
        <v>-32.666385345093886</v>
      </c>
      <c r="J198" s="6">
        <v>4850</v>
      </c>
      <c r="K198" s="6">
        <f t="shared" si="44"/>
        <v>9.4561047167682322</v>
      </c>
      <c r="L198" s="6">
        <f t="shared" si="53"/>
        <v>12.030250634386926</v>
      </c>
      <c r="M198" s="6">
        <f t="shared" si="54"/>
        <v>-2.5741459176186936</v>
      </c>
      <c r="N198" s="6">
        <v>1219</v>
      </c>
      <c r="O198" s="6">
        <f t="shared" si="45"/>
        <v>-3.7504934859849959</v>
      </c>
      <c r="P198" s="6">
        <f t="shared" si="55"/>
        <v>14.494885587330673</v>
      </c>
      <c r="Q198" s="6">
        <f t="shared" si="56"/>
        <v>-18.245379073315668</v>
      </c>
      <c r="R198" s="6"/>
      <c r="S198" s="6" t="str">
        <f t="shared" si="46"/>
        <v/>
      </c>
      <c r="T198" s="6" t="str">
        <f t="shared" si="57"/>
        <v/>
      </c>
      <c r="U198" s="6" t="str">
        <f t="shared" si="58"/>
        <v/>
      </c>
      <c r="V198" s="6">
        <v>11.51</v>
      </c>
      <c r="W198" s="6">
        <f t="shared" si="47"/>
        <v>10.460652591170817</v>
      </c>
      <c r="X198" s="6">
        <f t="shared" si="59"/>
        <v>95.470155494741064</v>
      </c>
      <c r="Y198" s="6">
        <f t="shared" si="60"/>
        <v>-85.009502903570251</v>
      </c>
      <c r="Z198" s="6"/>
      <c r="AA198" s="6" t="str">
        <f t="shared" si="48"/>
        <v/>
      </c>
      <c r="AB198" s="6" t="str">
        <f t="shared" si="61"/>
        <v/>
      </c>
      <c r="AC198" s="6" t="str">
        <f t="shared" si="62"/>
        <v/>
      </c>
    </row>
    <row r="199" spans="1:29" x14ac:dyDescent="0.2">
      <c r="A199" t="s">
        <v>283</v>
      </c>
      <c r="B199" s="6">
        <v>375.79</v>
      </c>
      <c r="C199" s="6">
        <f t="shared" si="42"/>
        <v>-21.425584410153466</v>
      </c>
      <c r="D199" s="6">
        <f t="shared" si="49"/>
        <v>27.497579976657207</v>
      </c>
      <c r="E199" s="6">
        <f t="shared" si="50"/>
        <v>-48.923164386810669</v>
      </c>
      <c r="F199" s="6">
        <v>27.16</v>
      </c>
      <c r="G199" s="6">
        <f t="shared" si="43"/>
        <v>1.1922503725782407</v>
      </c>
      <c r="H199" s="6">
        <f t="shared" si="51"/>
        <v>33.662660134996386</v>
      </c>
      <c r="I199" s="6">
        <f t="shared" si="52"/>
        <v>-32.470409762418143</v>
      </c>
      <c r="J199" s="6">
        <v>4850</v>
      </c>
      <c r="K199" s="6">
        <f t="shared" si="44"/>
        <v>9.4561047167682322</v>
      </c>
      <c r="L199" s="6">
        <f t="shared" si="53"/>
        <v>12.122237070729737</v>
      </c>
      <c r="M199" s="6">
        <f t="shared" si="54"/>
        <v>-2.6661323539615047</v>
      </c>
      <c r="N199" s="6">
        <v>1329</v>
      </c>
      <c r="O199" s="6">
        <f t="shared" si="45"/>
        <v>-1.1307841095075211</v>
      </c>
      <c r="P199" s="6">
        <f t="shared" si="55"/>
        <v>14.228470230570522</v>
      </c>
      <c r="Q199" s="6">
        <f t="shared" si="56"/>
        <v>-15.359254340078044</v>
      </c>
      <c r="R199" s="6"/>
      <c r="S199" s="6" t="str">
        <f t="shared" si="46"/>
        <v/>
      </c>
      <c r="T199" s="6" t="str">
        <f t="shared" si="57"/>
        <v/>
      </c>
      <c r="U199" s="6" t="str">
        <f t="shared" si="58"/>
        <v/>
      </c>
      <c r="V199" s="6">
        <v>11.51</v>
      </c>
      <c r="W199" s="6">
        <f t="shared" si="47"/>
        <v>10.460652591170817</v>
      </c>
      <c r="X199" s="6">
        <f t="shared" si="59"/>
        <v>95.522943480634353</v>
      </c>
      <c r="Y199" s="6">
        <f t="shared" si="60"/>
        <v>-85.06229088946354</v>
      </c>
      <c r="Z199" s="6"/>
      <c r="AA199" s="6" t="str">
        <f t="shared" si="48"/>
        <v/>
      </c>
      <c r="AB199" s="6" t="str">
        <f t="shared" si="61"/>
        <v/>
      </c>
      <c r="AC199" s="6" t="str">
        <f t="shared" si="62"/>
        <v/>
      </c>
    </row>
    <row r="200" spans="1:29" x14ac:dyDescent="0.2">
      <c r="A200" t="s">
        <v>284</v>
      </c>
      <c r="B200" s="6">
        <v>348.4</v>
      </c>
      <c r="C200" s="6">
        <f t="shared" si="42"/>
        <v>-22.766570605187329</v>
      </c>
      <c r="D200" s="6">
        <f t="shared" si="49"/>
        <v>27.510862820688899</v>
      </c>
      <c r="E200" s="6">
        <f t="shared" si="50"/>
        <v>-50.277433425876225</v>
      </c>
      <c r="F200" s="6">
        <v>27.16</v>
      </c>
      <c r="G200" s="6">
        <f t="shared" si="43"/>
        <v>1.1922503725782407</v>
      </c>
      <c r="H200" s="6">
        <f t="shared" si="51"/>
        <v>33.466684552320636</v>
      </c>
      <c r="I200" s="6">
        <f t="shared" si="52"/>
        <v>-32.274434179742393</v>
      </c>
      <c r="J200" s="6">
        <v>4850</v>
      </c>
      <c r="K200" s="6">
        <f t="shared" si="44"/>
        <v>9.4561047167682322</v>
      </c>
      <c r="L200" s="6">
        <f t="shared" si="53"/>
        <v>12.214223507072546</v>
      </c>
      <c r="M200" s="6">
        <f t="shared" si="54"/>
        <v>-2.7581187903043141</v>
      </c>
      <c r="N200" s="6">
        <v>1510</v>
      </c>
      <c r="O200" s="6">
        <f t="shared" si="45"/>
        <v>13.602166716822151</v>
      </c>
      <c r="P200" s="6">
        <f t="shared" si="55"/>
        <v>14.270283844989292</v>
      </c>
      <c r="Q200" s="6">
        <f t="shared" si="56"/>
        <v>-0.66811712816714142</v>
      </c>
      <c r="R200" s="6"/>
      <c r="S200" s="6" t="str">
        <f t="shared" si="46"/>
        <v/>
      </c>
      <c r="T200" s="6" t="str">
        <f t="shared" si="57"/>
        <v/>
      </c>
      <c r="U200" s="6" t="str">
        <f t="shared" si="58"/>
        <v/>
      </c>
      <c r="V200" s="6">
        <v>11.51</v>
      </c>
      <c r="W200" s="6">
        <f t="shared" si="47"/>
        <v>10.460652591170817</v>
      </c>
      <c r="X200" s="6">
        <f t="shared" si="59"/>
        <v>95.575731466527643</v>
      </c>
      <c r="Y200" s="6">
        <f t="shared" si="60"/>
        <v>-85.115078875356829</v>
      </c>
      <c r="Z200" s="6"/>
      <c r="AA200" s="6" t="str">
        <f t="shared" si="48"/>
        <v/>
      </c>
      <c r="AB200" s="6" t="str">
        <f t="shared" si="61"/>
        <v/>
      </c>
      <c r="AC200" s="6" t="str">
        <f t="shared" si="62"/>
        <v/>
      </c>
    </row>
    <row r="201" spans="1:29" x14ac:dyDescent="0.2">
      <c r="A201" t="s">
        <v>285</v>
      </c>
      <c r="B201" s="6">
        <v>344.8</v>
      </c>
      <c r="C201" s="6">
        <f t="shared" si="42"/>
        <v>-11.982437330882723</v>
      </c>
      <c r="D201" s="6">
        <f t="shared" si="49"/>
        <v>27.361035647875838</v>
      </c>
      <c r="E201" s="6">
        <f t="shared" si="50"/>
        <v>-39.343472978758562</v>
      </c>
      <c r="F201" s="6">
        <v>27.16</v>
      </c>
      <c r="G201" s="6">
        <f t="shared" si="43"/>
        <v>1.1922503725782407</v>
      </c>
      <c r="H201" s="6">
        <f t="shared" si="51"/>
        <v>33.2707089696449</v>
      </c>
      <c r="I201" s="6">
        <f t="shared" si="52"/>
        <v>-32.078458597066657</v>
      </c>
      <c r="J201" s="6">
        <v>4850</v>
      </c>
      <c r="K201" s="6">
        <f t="shared" si="44"/>
        <v>9.4561047167682322</v>
      </c>
      <c r="L201" s="6">
        <f t="shared" si="53"/>
        <v>12.306209943415356</v>
      </c>
      <c r="M201" s="6">
        <f t="shared" si="54"/>
        <v>-2.8501052266471234</v>
      </c>
      <c r="N201" s="6">
        <v>1512</v>
      </c>
      <c r="O201" s="6">
        <f t="shared" si="45"/>
        <v>20.593396075929181</v>
      </c>
      <c r="P201" s="6">
        <f t="shared" si="55"/>
        <v>14.750925602315542</v>
      </c>
      <c r="Q201" s="6">
        <f t="shared" si="56"/>
        <v>5.8424704736136395</v>
      </c>
      <c r="R201" s="6"/>
      <c r="S201" s="6" t="str">
        <f t="shared" si="46"/>
        <v/>
      </c>
      <c r="T201" s="6" t="str">
        <f t="shared" si="57"/>
        <v/>
      </c>
      <c r="U201" s="6" t="str">
        <f t="shared" si="58"/>
        <v/>
      </c>
      <c r="V201" s="6">
        <v>11.51</v>
      </c>
      <c r="W201" s="6">
        <f t="shared" si="47"/>
        <v>10.460652591170817</v>
      </c>
      <c r="X201" s="6">
        <f t="shared" si="59"/>
        <v>95.628519452420917</v>
      </c>
      <c r="Y201" s="6">
        <f t="shared" si="60"/>
        <v>-85.167866861250104</v>
      </c>
      <c r="Z201" s="6"/>
      <c r="AA201" s="6" t="str">
        <f t="shared" si="48"/>
        <v/>
      </c>
      <c r="AB201" s="6" t="str">
        <f t="shared" si="61"/>
        <v/>
      </c>
      <c r="AC201" s="6" t="str">
        <f t="shared" si="62"/>
        <v/>
      </c>
    </row>
    <row r="202" spans="1:29" x14ac:dyDescent="0.2">
      <c r="A202" t="s">
        <v>286</v>
      </c>
      <c r="B202" s="6">
        <v>394.8</v>
      </c>
      <c r="C202" s="6">
        <f t="shared" si="42"/>
        <v>10.898876404494384</v>
      </c>
      <c r="D202" s="6">
        <f t="shared" si="49"/>
        <v>27.242757410851421</v>
      </c>
      <c r="E202" s="6">
        <f t="shared" si="50"/>
        <v>-16.343881006357037</v>
      </c>
      <c r="F202" s="6">
        <v>27.16</v>
      </c>
      <c r="G202" s="6">
        <f t="shared" si="43"/>
        <v>1.1922503725782407</v>
      </c>
      <c r="H202" s="6">
        <f t="shared" si="51"/>
        <v>33.074733386969157</v>
      </c>
      <c r="I202" s="6">
        <f t="shared" si="52"/>
        <v>-31.882483014390917</v>
      </c>
      <c r="J202" s="6">
        <v>4850</v>
      </c>
      <c r="K202" s="6">
        <f t="shared" si="44"/>
        <v>9.4561047167682322</v>
      </c>
      <c r="L202" s="6">
        <f t="shared" si="53"/>
        <v>12.398196379758163</v>
      </c>
      <c r="M202" s="6">
        <f t="shared" si="54"/>
        <v>-2.942091662989931</v>
      </c>
      <c r="N202" s="6">
        <v>1550</v>
      </c>
      <c r="O202" s="6">
        <f t="shared" si="45"/>
        <v>29.924559932942163</v>
      </c>
      <c r="P202" s="6">
        <f t="shared" si="55"/>
        <v>15.194910418266867</v>
      </c>
      <c r="Q202" s="6">
        <f t="shared" si="56"/>
        <v>14.729649514675296</v>
      </c>
      <c r="R202" s="6"/>
      <c r="S202" s="6" t="str">
        <f t="shared" si="46"/>
        <v/>
      </c>
      <c r="T202" s="6" t="str">
        <f t="shared" si="57"/>
        <v/>
      </c>
      <c r="U202" s="6" t="str">
        <f t="shared" si="58"/>
        <v/>
      </c>
      <c r="V202" s="6">
        <v>11.51</v>
      </c>
      <c r="W202" s="6">
        <f t="shared" si="47"/>
        <v>10.460652591170817</v>
      </c>
      <c r="X202" s="6">
        <f t="shared" si="59"/>
        <v>95.681307438314207</v>
      </c>
      <c r="Y202" s="6">
        <f t="shared" si="60"/>
        <v>-85.220654847143393</v>
      </c>
      <c r="Z202" s="6"/>
      <c r="AA202" s="6" t="str">
        <f t="shared" si="48"/>
        <v/>
      </c>
      <c r="AB202" s="6" t="str">
        <f t="shared" si="61"/>
        <v/>
      </c>
      <c r="AC202" s="6" t="str">
        <f t="shared" si="62"/>
        <v/>
      </c>
    </row>
    <row r="203" spans="1:29" x14ac:dyDescent="0.2">
      <c r="A203" t="s">
        <v>287</v>
      </c>
      <c r="B203" s="6">
        <v>450.5</v>
      </c>
      <c r="C203" s="6">
        <f t="shared" si="42"/>
        <v>12.070252251355784</v>
      </c>
      <c r="D203" s="6">
        <f t="shared" si="49"/>
        <v>27.684264132386616</v>
      </c>
      <c r="E203" s="6">
        <f t="shared" si="50"/>
        <v>-15.614011881030832</v>
      </c>
      <c r="F203" s="6">
        <v>27.16</v>
      </c>
      <c r="G203" s="6">
        <f t="shared" si="43"/>
        <v>1.1922503725782407</v>
      </c>
      <c r="H203" s="6">
        <f t="shared" si="51"/>
        <v>32.878757804293414</v>
      </c>
      <c r="I203" s="6">
        <f t="shared" si="52"/>
        <v>-31.686507431715174</v>
      </c>
      <c r="J203" s="6">
        <v>4850</v>
      </c>
      <c r="K203" s="6">
        <f t="shared" si="44"/>
        <v>9.4561047167682322</v>
      </c>
      <c r="L203" s="6">
        <f t="shared" si="53"/>
        <v>12.490182816100974</v>
      </c>
      <c r="M203" s="6">
        <f t="shared" si="54"/>
        <v>-3.0340780993327421</v>
      </c>
      <c r="N203" s="6">
        <v>1647</v>
      </c>
      <c r="O203" s="6">
        <f t="shared" si="45"/>
        <v>34.734947643979041</v>
      </c>
      <c r="P203" s="6">
        <f t="shared" si="55"/>
        <v>15.839672455906632</v>
      </c>
      <c r="Q203" s="6">
        <f t="shared" si="56"/>
        <v>18.895275188072411</v>
      </c>
      <c r="R203" s="6"/>
      <c r="S203" s="6" t="str">
        <f t="shared" si="46"/>
        <v/>
      </c>
      <c r="T203" s="6" t="str">
        <f t="shared" si="57"/>
        <v/>
      </c>
      <c r="U203" s="6" t="str">
        <f t="shared" si="58"/>
        <v/>
      </c>
      <c r="V203" s="6">
        <v>11.6</v>
      </c>
      <c r="W203" s="6">
        <f t="shared" si="47"/>
        <v>11.217641418983693</v>
      </c>
      <c r="X203" s="6">
        <f t="shared" si="59"/>
        <v>95.734095424207496</v>
      </c>
      <c r="Y203" s="6">
        <f t="shared" si="60"/>
        <v>-84.516454005223807</v>
      </c>
      <c r="Z203" s="6"/>
      <c r="AA203" s="6" t="str">
        <f t="shared" si="48"/>
        <v/>
      </c>
      <c r="AB203" s="6" t="str">
        <f t="shared" si="61"/>
        <v/>
      </c>
      <c r="AC203" s="6" t="str">
        <f t="shared" si="62"/>
        <v/>
      </c>
    </row>
    <row r="204" spans="1:29" x14ac:dyDescent="0.2">
      <c r="A204" t="s">
        <v>288</v>
      </c>
      <c r="B204" s="6">
        <v>431</v>
      </c>
      <c r="C204" s="6">
        <f t="shared" si="42"/>
        <v>-8.8042995281521819</v>
      </c>
      <c r="D204" s="6">
        <f t="shared" si="49"/>
        <v>28.321512611667952</v>
      </c>
      <c r="E204" s="6">
        <f t="shared" si="50"/>
        <v>-37.125812139820134</v>
      </c>
      <c r="F204" s="6">
        <v>27.16</v>
      </c>
      <c r="G204" s="6">
        <f t="shared" si="43"/>
        <v>1.1922503725782407</v>
      </c>
      <c r="H204" s="6">
        <f t="shared" si="51"/>
        <v>32.682782221617671</v>
      </c>
      <c r="I204" s="6">
        <f t="shared" si="52"/>
        <v>-31.490531849039431</v>
      </c>
      <c r="J204" s="6">
        <v>4850</v>
      </c>
      <c r="K204" s="6">
        <f t="shared" si="44"/>
        <v>9.4561047167682322</v>
      </c>
      <c r="L204" s="6">
        <f t="shared" si="53"/>
        <v>12.582169252443784</v>
      </c>
      <c r="M204" s="6">
        <f t="shared" si="54"/>
        <v>-3.1260645356755514</v>
      </c>
      <c r="N204" s="6">
        <v>1539</v>
      </c>
      <c r="O204" s="6">
        <f t="shared" si="45"/>
        <v>20.507399577167028</v>
      </c>
      <c r="P204" s="6">
        <f t="shared" si="55"/>
        <v>16.71406139287669</v>
      </c>
      <c r="Q204" s="6">
        <f t="shared" si="56"/>
        <v>3.793338184290338</v>
      </c>
      <c r="R204" s="6"/>
      <c r="S204" s="6" t="str">
        <f t="shared" si="46"/>
        <v/>
      </c>
      <c r="T204" s="6" t="str">
        <f t="shared" si="57"/>
        <v/>
      </c>
      <c r="U204" s="6" t="str">
        <f t="shared" si="58"/>
        <v/>
      </c>
      <c r="V204" s="6">
        <v>11.6</v>
      </c>
      <c r="W204" s="6">
        <f t="shared" si="47"/>
        <v>11.217641418983693</v>
      </c>
      <c r="X204" s="6">
        <f t="shared" si="59"/>
        <v>95.812144946106812</v>
      </c>
      <c r="Y204" s="6">
        <f t="shared" si="60"/>
        <v>-84.594503527123123</v>
      </c>
      <c r="Z204" s="6"/>
      <c r="AA204" s="6" t="str">
        <f t="shared" si="48"/>
        <v/>
      </c>
      <c r="AB204" s="6" t="str">
        <f t="shared" si="61"/>
        <v/>
      </c>
      <c r="AC204" s="6" t="str">
        <f t="shared" si="62"/>
        <v/>
      </c>
    </row>
    <row r="205" spans="1:29" x14ac:dyDescent="0.2">
      <c r="A205" t="s">
        <v>289</v>
      </c>
      <c r="B205" s="6">
        <v>456.5</v>
      </c>
      <c r="C205" s="6">
        <f t="shared" si="42"/>
        <v>10.706923729841144</v>
      </c>
      <c r="D205" s="6">
        <f t="shared" si="49"/>
        <v>28.594629908681963</v>
      </c>
      <c r="E205" s="6">
        <f t="shared" si="50"/>
        <v>-17.887706178840819</v>
      </c>
      <c r="F205" s="6">
        <v>27.16</v>
      </c>
      <c r="G205" s="6">
        <f t="shared" si="43"/>
        <v>1.1922503725782407</v>
      </c>
      <c r="H205" s="6">
        <f t="shared" si="51"/>
        <v>32.486806638941928</v>
      </c>
      <c r="I205" s="6">
        <f t="shared" si="52"/>
        <v>-31.294556266363688</v>
      </c>
      <c r="J205" s="6">
        <v>4938</v>
      </c>
      <c r="K205" s="6">
        <f t="shared" si="44"/>
        <v>1.7724649629018874</v>
      </c>
      <c r="L205" s="6">
        <f t="shared" si="53"/>
        <v>12.674155688786591</v>
      </c>
      <c r="M205" s="6">
        <f t="shared" si="54"/>
        <v>-10.901690725884704</v>
      </c>
      <c r="N205" s="6">
        <v>1459</v>
      </c>
      <c r="O205" s="6">
        <f t="shared" si="45"/>
        <v>20.568548053879844</v>
      </c>
      <c r="P205" s="6">
        <f t="shared" si="55"/>
        <v>17.238454059098789</v>
      </c>
      <c r="Q205" s="6">
        <f t="shared" si="56"/>
        <v>3.3300939947810555</v>
      </c>
      <c r="R205" s="6"/>
      <c r="S205" s="6" t="str">
        <f t="shared" si="46"/>
        <v/>
      </c>
      <c r="T205" s="6" t="str">
        <f t="shared" si="57"/>
        <v/>
      </c>
      <c r="U205" s="6" t="str">
        <f t="shared" si="58"/>
        <v/>
      </c>
      <c r="V205" s="6">
        <v>11.6</v>
      </c>
      <c r="W205" s="6">
        <f t="shared" si="47"/>
        <v>11.217641418983693</v>
      </c>
      <c r="X205" s="6">
        <f t="shared" si="59"/>
        <v>95.890194468006143</v>
      </c>
      <c r="Y205" s="6">
        <f t="shared" si="60"/>
        <v>-84.672553049022454</v>
      </c>
      <c r="Z205" s="6"/>
      <c r="AA205" s="6" t="str">
        <f t="shared" si="48"/>
        <v/>
      </c>
      <c r="AB205" s="6" t="str">
        <f t="shared" si="61"/>
        <v/>
      </c>
      <c r="AC205" s="6" t="str">
        <f t="shared" si="62"/>
        <v/>
      </c>
    </row>
    <row r="206" spans="1:29" x14ac:dyDescent="0.2">
      <c r="A206" t="s">
        <v>290</v>
      </c>
      <c r="B206" s="6">
        <v>443.6</v>
      </c>
      <c r="C206" s="6">
        <f t="shared" si="42"/>
        <v>7.62027220456587</v>
      </c>
      <c r="D206" s="6">
        <f t="shared" si="49"/>
        <v>29.180192656335066</v>
      </c>
      <c r="E206" s="6">
        <f t="shared" si="50"/>
        <v>-21.559920451769194</v>
      </c>
      <c r="F206" s="6">
        <v>27.16</v>
      </c>
      <c r="G206" s="6">
        <f t="shared" si="43"/>
        <v>1.1922503725782407</v>
      </c>
      <c r="H206" s="6">
        <f t="shared" si="51"/>
        <v>32.290831056266185</v>
      </c>
      <c r="I206" s="6">
        <f t="shared" si="52"/>
        <v>-31.098580683687945</v>
      </c>
      <c r="J206" s="6">
        <v>5313</v>
      </c>
      <c r="K206" s="6">
        <f t="shared" si="44"/>
        <v>9.5012366034624929</v>
      </c>
      <c r="L206" s="6">
        <f t="shared" si="53"/>
        <v>12.606066296923851</v>
      </c>
      <c r="M206" s="6">
        <f t="shared" si="54"/>
        <v>-3.1048296934613582</v>
      </c>
      <c r="N206" s="6">
        <v>1285</v>
      </c>
      <c r="O206" s="6">
        <f t="shared" si="45"/>
        <v>9.0091618595181657</v>
      </c>
      <c r="P206" s="6">
        <f t="shared" si="55"/>
        <v>17.658682629481664</v>
      </c>
      <c r="Q206" s="6">
        <f t="shared" si="56"/>
        <v>-8.6495207699634982</v>
      </c>
      <c r="R206" s="6"/>
      <c r="S206" s="6" t="str">
        <f t="shared" si="46"/>
        <v/>
      </c>
      <c r="T206" s="6" t="str">
        <f t="shared" si="57"/>
        <v/>
      </c>
      <c r="U206" s="6" t="str">
        <f t="shared" si="58"/>
        <v/>
      </c>
      <c r="V206" s="6">
        <v>11.9</v>
      </c>
      <c r="W206" s="6">
        <f t="shared" si="47"/>
        <v>13.766730401529625</v>
      </c>
      <c r="X206" s="6">
        <f t="shared" si="59"/>
        <v>95.968243989905446</v>
      </c>
      <c r="Y206" s="6">
        <f t="shared" si="60"/>
        <v>-82.201513588375818</v>
      </c>
      <c r="Z206" s="6"/>
      <c r="AA206" s="6" t="str">
        <f t="shared" si="48"/>
        <v/>
      </c>
      <c r="AB206" s="6" t="str">
        <f t="shared" si="61"/>
        <v/>
      </c>
      <c r="AC206" s="6" t="str">
        <f t="shared" si="62"/>
        <v/>
      </c>
    </row>
    <row r="207" spans="1:29" x14ac:dyDescent="0.2">
      <c r="A207" t="s">
        <v>291</v>
      </c>
      <c r="B207" s="6">
        <v>456.5</v>
      </c>
      <c r="C207" s="6">
        <f t="shared" si="42"/>
        <v>20.512143611404433</v>
      </c>
      <c r="D207" s="6">
        <f t="shared" si="49"/>
        <v>29.584774934610266</v>
      </c>
      <c r="E207" s="6">
        <f t="shared" si="50"/>
        <v>-9.0726313232058331</v>
      </c>
      <c r="F207" s="6">
        <v>27.16</v>
      </c>
      <c r="G207" s="6">
        <f t="shared" si="43"/>
        <v>1.1922503725782407</v>
      </c>
      <c r="H207" s="6">
        <f t="shared" si="51"/>
        <v>32.094855473590442</v>
      </c>
      <c r="I207" s="6">
        <f t="shared" si="52"/>
        <v>-30.902605101012202</v>
      </c>
      <c r="J207" s="6">
        <v>5313</v>
      </c>
      <c r="K207" s="6">
        <f t="shared" si="44"/>
        <v>9.5012366034624929</v>
      </c>
      <c r="L207" s="6">
        <f t="shared" si="53"/>
        <v>12.698992980906127</v>
      </c>
      <c r="M207" s="6">
        <f t="shared" si="54"/>
        <v>-3.1977563774436337</v>
      </c>
      <c r="N207" s="6">
        <v>1279</v>
      </c>
      <c r="O207" s="6">
        <f t="shared" si="45"/>
        <v>8.4173942527761234</v>
      </c>
      <c r="P207" s="6">
        <f t="shared" si="55"/>
        <v>18.093884386431387</v>
      </c>
      <c r="Q207" s="6">
        <f t="shared" si="56"/>
        <v>-9.676490133655264</v>
      </c>
      <c r="R207" s="6"/>
      <c r="S207" s="6" t="str">
        <f t="shared" si="46"/>
        <v/>
      </c>
      <c r="T207" s="6" t="str">
        <f t="shared" si="57"/>
        <v/>
      </c>
      <c r="U207" s="6" t="str">
        <f t="shared" si="58"/>
        <v/>
      </c>
      <c r="V207" s="6">
        <v>11.9</v>
      </c>
      <c r="W207" s="6">
        <f t="shared" si="47"/>
        <v>13.766730401529625</v>
      </c>
      <c r="X207" s="6">
        <f t="shared" si="59"/>
        <v>96.099399532274489</v>
      </c>
      <c r="Y207" s="6">
        <f t="shared" si="60"/>
        <v>-82.332669130744861</v>
      </c>
      <c r="Z207" s="6"/>
      <c r="AA207" s="6" t="str">
        <f t="shared" si="48"/>
        <v/>
      </c>
      <c r="AB207" s="6" t="str">
        <f t="shared" si="61"/>
        <v/>
      </c>
      <c r="AC207" s="6" t="str">
        <f t="shared" si="62"/>
        <v/>
      </c>
    </row>
    <row r="208" spans="1:29" x14ac:dyDescent="0.2">
      <c r="A208" t="s">
        <v>292</v>
      </c>
      <c r="B208" s="6">
        <v>456.8</v>
      </c>
      <c r="C208" s="6">
        <f t="shared" si="42"/>
        <v>24.154051042317825</v>
      </c>
      <c r="D208" s="6">
        <f t="shared" si="49"/>
        <v>30.258257656426021</v>
      </c>
      <c r="E208" s="6">
        <f t="shared" si="50"/>
        <v>-6.1042066141081968</v>
      </c>
      <c r="F208" s="6">
        <v>27.16</v>
      </c>
      <c r="G208" s="6">
        <f t="shared" si="43"/>
        <v>1.1922503725782407</v>
      </c>
      <c r="H208" s="6">
        <f t="shared" si="51"/>
        <v>31.898879890914699</v>
      </c>
      <c r="I208" s="6">
        <f t="shared" si="52"/>
        <v>-30.706629518336459</v>
      </c>
      <c r="J208" s="6">
        <v>5313</v>
      </c>
      <c r="K208" s="6">
        <f t="shared" si="44"/>
        <v>9.5012366034624929</v>
      </c>
      <c r="L208" s="6">
        <f t="shared" si="53"/>
        <v>12.791919664888399</v>
      </c>
      <c r="M208" s="6">
        <f t="shared" si="54"/>
        <v>-3.2906830614259057</v>
      </c>
      <c r="N208" s="6">
        <v>1287</v>
      </c>
      <c r="O208" s="6">
        <f t="shared" si="45"/>
        <v>11.815812337098187</v>
      </c>
      <c r="P208" s="6">
        <f t="shared" si="55"/>
        <v>18.283219216314546</v>
      </c>
      <c r="Q208" s="6">
        <f t="shared" si="56"/>
        <v>-6.4674068792163588</v>
      </c>
      <c r="R208" s="6"/>
      <c r="S208" s="6" t="str">
        <f t="shared" si="46"/>
        <v/>
      </c>
      <c r="T208" s="6" t="str">
        <f t="shared" si="57"/>
        <v/>
      </c>
      <c r="U208" s="6" t="str">
        <f t="shared" si="58"/>
        <v/>
      </c>
      <c r="V208" s="6">
        <v>11.9</v>
      </c>
      <c r="W208" s="6">
        <f t="shared" si="47"/>
        <v>13.766730401529625</v>
      </c>
      <c r="X208" s="6">
        <f t="shared" si="59"/>
        <v>96.230555074643519</v>
      </c>
      <c r="Y208" s="6">
        <f t="shared" si="60"/>
        <v>-82.463824673113891</v>
      </c>
      <c r="Z208" s="6"/>
      <c r="AA208" s="6" t="str">
        <f t="shared" si="48"/>
        <v/>
      </c>
      <c r="AB208" s="6" t="str">
        <f t="shared" si="61"/>
        <v/>
      </c>
      <c r="AC208" s="6" t="str">
        <f t="shared" si="62"/>
        <v/>
      </c>
    </row>
    <row r="209" spans="1:29" x14ac:dyDescent="0.2">
      <c r="A209" t="s">
        <v>293</v>
      </c>
      <c r="B209" s="6">
        <v>462</v>
      </c>
      <c r="C209" s="6">
        <f t="shared" ref="C209:C272" si="63">IF(OR(B209="",B197=""),"",(B209/B197-1)*100)</f>
        <v>30.552729738894534</v>
      </c>
      <c r="D209" s="6">
        <f t="shared" si="49"/>
        <v>30.943599365178287</v>
      </c>
      <c r="E209" s="6">
        <f t="shared" si="50"/>
        <v>-0.39086962628375232</v>
      </c>
      <c r="F209" s="6">
        <v>28.68</v>
      </c>
      <c r="G209" s="6">
        <f t="shared" ref="G209:G272" si="64">IF(OR(F209="",F197=""),"",(F209/F197-1)*100)</f>
        <v>5.5964653902798256</v>
      </c>
      <c r="H209" s="6">
        <f t="shared" si="51"/>
        <v>31.702904308238956</v>
      </c>
      <c r="I209" s="6">
        <f t="shared" si="52"/>
        <v>-26.106438917959132</v>
      </c>
      <c r="J209" s="6">
        <v>5313</v>
      </c>
      <c r="K209" s="6">
        <f t="shared" ref="K209:K272" si="65">IF(OR(J209="",J197=""),"",(J209/J197-1)*100)</f>
        <v>9.5463917525773212</v>
      </c>
      <c r="L209" s="6">
        <f t="shared" si="53"/>
        <v>12.884846348870674</v>
      </c>
      <c r="M209" s="6">
        <f t="shared" si="54"/>
        <v>-3.3384545962933529</v>
      </c>
      <c r="N209" s="6">
        <v>1396</v>
      </c>
      <c r="O209" s="6">
        <f t="shared" ref="O209:O272" si="66">IF(OR(N209="",N197=""),"",(N209/N197-1)*100)</f>
        <v>17.015926236378888</v>
      </c>
      <c r="P209" s="6">
        <f t="shared" si="55"/>
        <v>18.556479959655952</v>
      </c>
      <c r="Q209" s="6">
        <f t="shared" si="56"/>
        <v>-1.5405537232770641</v>
      </c>
      <c r="R209" s="6"/>
      <c r="S209" s="6" t="str">
        <f t="shared" ref="S209:S272" si="67">IF(OR(R209="",R197=""),"",(R209/R197-1)*100)</f>
        <v/>
      </c>
      <c r="T209" s="6" t="str">
        <f t="shared" si="57"/>
        <v/>
      </c>
      <c r="U209" s="6" t="str">
        <f t="shared" si="58"/>
        <v/>
      </c>
      <c r="V209" s="6">
        <v>12.5</v>
      </c>
      <c r="W209" s="6">
        <f t="shared" ref="W209:W272" si="68">IF(OR(V209="",V197=""),"",(V209/V197-1)*100)</f>
        <v>8.6012163336229399</v>
      </c>
      <c r="X209" s="6">
        <f t="shared" si="59"/>
        <v>96.361710617012534</v>
      </c>
      <c r="Y209" s="6">
        <f t="shared" si="60"/>
        <v>-87.76049428338959</v>
      </c>
      <c r="Z209" s="6"/>
      <c r="AA209" s="6" t="str">
        <f t="shared" ref="AA209:AA272" si="69">IF(OR(Z209="",Z197=""),"",(Z209/Z197-1)*100)</f>
        <v/>
      </c>
      <c r="AB209" s="6" t="str">
        <f t="shared" si="61"/>
        <v/>
      </c>
      <c r="AC209" s="6" t="str">
        <f t="shared" si="62"/>
        <v/>
      </c>
    </row>
    <row r="210" spans="1:29" x14ac:dyDescent="0.2">
      <c r="A210" t="s">
        <v>294</v>
      </c>
      <c r="B210" s="6">
        <v>507</v>
      </c>
      <c r="C210" s="6">
        <f t="shared" si="63"/>
        <v>38.585173846490271</v>
      </c>
      <c r="D210" s="6">
        <f t="shared" si="49"/>
        <v>31.642803493600923</v>
      </c>
      <c r="E210" s="6">
        <f t="shared" si="50"/>
        <v>6.9423703528893483</v>
      </c>
      <c r="F210" s="6">
        <v>28.68</v>
      </c>
      <c r="G210" s="6">
        <f t="shared" si="64"/>
        <v>5.5964653902798256</v>
      </c>
      <c r="H210" s="6">
        <f t="shared" si="51"/>
        <v>31.411511226092003</v>
      </c>
      <c r="I210" s="6">
        <f t="shared" si="52"/>
        <v>-25.815045835812178</v>
      </c>
      <c r="J210" s="6">
        <v>5313</v>
      </c>
      <c r="K210" s="6">
        <f t="shared" si="65"/>
        <v>9.5463917525773212</v>
      </c>
      <c r="L210" s="6">
        <f t="shared" si="53"/>
        <v>12.885400560308566</v>
      </c>
      <c r="M210" s="6">
        <f t="shared" si="54"/>
        <v>-3.3390088077312452</v>
      </c>
      <c r="N210" s="6">
        <v>1426</v>
      </c>
      <c r="O210" s="6">
        <f t="shared" si="66"/>
        <v>16.981132075471695</v>
      </c>
      <c r="P210" s="6">
        <f t="shared" si="55"/>
        <v>18.831742182963321</v>
      </c>
      <c r="Q210" s="6">
        <f t="shared" si="56"/>
        <v>-1.8506101074916259</v>
      </c>
      <c r="R210" s="6"/>
      <c r="S210" s="6" t="str">
        <f t="shared" si="67"/>
        <v/>
      </c>
      <c r="T210" s="6" t="str">
        <f t="shared" si="57"/>
        <v/>
      </c>
      <c r="U210" s="6" t="str">
        <f t="shared" si="58"/>
        <v/>
      </c>
      <c r="V210" s="6">
        <v>12.5</v>
      </c>
      <c r="W210" s="6">
        <f t="shared" si="68"/>
        <v>8.6012163336229399</v>
      </c>
      <c r="X210" s="6">
        <f t="shared" si="59"/>
        <v>96.176025034509152</v>
      </c>
      <c r="Y210" s="6">
        <f t="shared" si="60"/>
        <v>-87.574808700886209</v>
      </c>
      <c r="Z210" s="6"/>
      <c r="AA210" s="6" t="str">
        <f t="shared" si="69"/>
        <v/>
      </c>
      <c r="AB210" s="6" t="str">
        <f t="shared" si="61"/>
        <v/>
      </c>
      <c r="AC210" s="6" t="str">
        <f t="shared" si="62"/>
        <v/>
      </c>
    </row>
    <row r="211" spans="1:29" x14ac:dyDescent="0.2">
      <c r="A211" t="s">
        <v>295</v>
      </c>
      <c r="B211" s="6">
        <v>598</v>
      </c>
      <c r="C211" s="6">
        <f t="shared" si="63"/>
        <v>59.131429787913461</v>
      </c>
      <c r="D211" s="6">
        <f t="shared" si="49"/>
        <v>31.619830981984858</v>
      </c>
      <c r="E211" s="6">
        <f t="shared" si="50"/>
        <v>27.511598805928603</v>
      </c>
      <c r="F211" s="6">
        <v>28.68</v>
      </c>
      <c r="G211" s="6">
        <f t="shared" si="64"/>
        <v>5.5964653902798256</v>
      </c>
      <c r="H211" s="6">
        <f t="shared" si="51"/>
        <v>31.120118143945053</v>
      </c>
      <c r="I211" s="6">
        <f t="shared" si="52"/>
        <v>-25.523652753665228</v>
      </c>
      <c r="J211" s="6">
        <v>5313</v>
      </c>
      <c r="K211" s="6">
        <f t="shared" si="65"/>
        <v>9.5463917525773212</v>
      </c>
      <c r="L211" s="6">
        <f t="shared" si="53"/>
        <v>12.885954771746455</v>
      </c>
      <c r="M211" s="6">
        <f t="shared" si="54"/>
        <v>-3.3395630191691339</v>
      </c>
      <c r="N211" s="6">
        <v>1515</v>
      </c>
      <c r="O211" s="6">
        <f t="shared" si="66"/>
        <v>13.995485327313762</v>
      </c>
      <c r="P211" s="6">
        <f t="shared" si="55"/>
        <v>18.93980079723492</v>
      </c>
      <c r="Q211" s="6">
        <f t="shared" si="56"/>
        <v>-4.9443154699211576</v>
      </c>
      <c r="R211" s="6"/>
      <c r="S211" s="6" t="str">
        <f t="shared" si="67"/>
        <v/>
      </c>
      <c r="T211" s="6" t="str">
        <f t="shared" si="57"/>
        <v/>
      </c>
      <c r="U211" s="6" t="str">
        <f t="shared" si="58"/>
        <v/>
      </c>
      <c r="V211" s="6">
        <v>12.5</v>
      </c>
      <c r="W211" s="6">
        <f t="shared" si="68"/>
        <v>8.6012163336229399</v>
      </c>
      <c r="X211" s="6">
        <f t="shared" si="59"/>
        <v>95.990339452005756</v>
      </c>
      <c r="Y211" s="6">
        <f t="shared" si="60"/>
        <v>-87.389123118382813</v>
      </c>
      <c r="Z211" s="6"/>
      <c r="AA211" s="6" t="str">
        <f t="shared" si="69"/>
        <v/>
      </c>
      <c r="AB211" s="6" t="str">
        <f t="shared" si="61"/>
        <v/>
      </c>
      <c r="AC211" s="6" t="str">
        <f t="shared" si="62"/>
        <v/>
      </c>
    </row>
    <row r="212" spans="1:29" x14ac:dyDescent="0.2">
      <c r="A212" t="s">
        <v>296</v>
      </c>
      <c r="B212" s="6">
        <v>647</v>
      </c>
      <c r="C212" s="6">
        <f t="shared" si="63"/>
        <v>85.706084959816309</v>
      </c>
      <c r="D212" s="6">
        <f t="shared" si="49"/>
        <v>32.239465755080083</v>
      </c>
      <c r="E212" s="6">
        <f t="shared" si="50"/>
        <v>53.466619204736226</v>
      </c>
      <c r="F212" s="6">
        <v>28.68</v>
      </c>
      <c r="G212" s="6">
        <f t="shared" si="64"/>
        <v>5.5964653902798256</v>
      </c>
      <c r="H212" s="6">
        <f t="shared" si="51"/>
        <v>30.828725061798099</v>
      </c>
      <c r="I212" s="6">
        <f t="shared" si="52"/>
        <v>-25.232259671518275</v>
      </c>
      <c r="J212" s="6">
        <v>5187</v>
      </c>
      <c r="K212" s="6">
        <f t="shared" si="65"/>
        <v>6.9484536082474291</v>
      </c>
      <c r="L212" s="6">
        <f t="shared" si="53"/>
        <v>12.886508983184344</v>
      </c>
      <c r="M212" s="6">
        <f t="shared" si="54"/>
        <v>-5.9380553749369147</v>
      </c>
      <c r="N212" s="6">
        <v>1429</v>
      </c>
      <c r="O212" s="6">
        <f t="shared" si="66"/>
        <v>-5.3642384105960232</v>
      </c>
      <c r="P212" s="6">
        <f t="shared" si="55"/>
        <v>18.476959343370712</v>
      </c>
      <c r="Q212" s="6">
        <f t="shared" si="56"/>
        <v>-23.841197753966735</v>
      </c>
      <c r="R212" s="6"/>
      <c r="S212" s="6" t="str">
        <f t="shared" si="67"/>
        <v/>
      </c>
      <c r="T212" s="6" t="str">
        <f t="shared" si="57"/>
        <v/>
      </c>
      <c r="U212" s="6" t="str">
        <f t="shared" si="58"/>
        <v/>
      </c>
      <c r="V212" s="6">
        <v>12.45</v>
      </c>
      <c r="W212" s="6">
        <f t="shared" si="68"/>
        <v>8.1668114682884365</v>
      </c>
      <c r="X212" s="6">
        <f t="shared" si="59"/>
        <v>95.804653869502374</v>
      </c>
      <c r="Y212" s="6">
        <f t="shared" si="60"/>
        <v>-87.637842401213931</v>
      </c>
      <c r="Z212" s="6"/>
      <c r="AA212" s="6" t="str">
        <f t="shared" si="69"/>
        <v/>
      </c>
      <c r="AB212" s="6" t="str">
        <f t="shared" si="61"/>
        <v/>
      </c>
      <c r="AC212" s="6" t="str">
        <f t="shared" si="62"/>
        <v/>
      </c>
    </row>
    <row r="213" spans="1:29" x14ac:dyDescent="0.2">
      <c r="A213" t="s">
        <v>297</v>
      </c>
      <c r="B213" s="6">
        <v>659</v>
      </c>
      <c r="C213" s="6">
        <f t="shared" si="63"/>
        <v>91.125290023201842</v>
      </c>
      <c r="D213" s="6">
        <f t="shared" si="49"/>
        <v>33.448963034738725</v>
      </c>
      <c r="E213" s="6">
        <f t="shared" si="50"/>
        <v>57.676326988463117</v>
      </c>
      <c r="F213" s="6">
        <v>28.68</v>
      </c>
      <c r="G213" s="6">
        <f t="shared" si="64"/>
        <v>5.5964653902798256</v>
      </c>
      <c r="H213" s="6">
        <f t="shared" si="51"/>
        <v>30.537331979651146</v>
      </c>
      <c r="I213" s="6">
        <f t="shared" si="52"/>
        <v>-24.940866589371321</v>
      </c>
      <c r="J213" s="6">
        <v>5282</v>
      </c>
      <c r="K213" s="6">
        <f t="shared" si="65"/>
        <v>8.9072164948453612</v>
      </c>
      <c r="L213" s="6">
        <f t="shared" si="53"/>
        <v>12.832939483282031</v>
      </c>
      <c r="M213" s="6">
        <f t="shared" si="54"/>
        <v>-3.9257229884366698</v>
      </c>
      <c r="N213" s="6">
        <v>1371</v>
      </c>
      <c r="O213" s="6">
        <f t="shared" si="66"/>
        <v>-9.325396825396826</v>
      </c>
      <c r="P213" s="6">
        <f t="shared" si="55"/>
        <v>17.527825735706596</v>
      </c>
      <c r="Q213" s="6">
        <f t="shared" si="56"/>
        <v>-26.853222561103422</v>
      </c>
      <c r="R213" s="6"/>
      <c r="S213" s="6" t="str">
        <f t="shared" si="67"/>
        <v/>
      </c>
      <c r="T213" s="6" t="str">
        <f t="shared" si="57"/>
        <v/>
      </c>
      <c r="U213" s="6" t="str">
        <f t="shared" si="58"/>
        <v/>
      </c>
      <c r="V213" s="6">
        <v>12.45</v>
      </c>
      <c r="W213" s="6">
        <f t="shared" si="68"/>
        <v>8.1668114682884365</v>
      </c>
      <c r="X213" s="6">
        <f t="shared" si="59"/>
        <v>95.292121575468386</v>
      </c>
      <c r="Y213" s="6">
        <f t="shared" si="60"/>
        <v>-87.125310107179956</v>
      </c>
      <c r="Z213" s="6"/>
      <c r="AA213" s="6" t="str">
        <f t="shared" si="69"/>
        <v/>
      </c>
      <c r="AB213" s="6" t="str">
        <f t="shared" si="61"/>
        <v/>
      </c>
      <c r="AC213" s="6" t="str">
        <f t="shared" si="62"/>
        <v/>
      </c>
    </row>
    <row r="214" spans="1:29" x14ac:dyDescent="0.2">
      <c r="A214" t="s">
        <v>298</v>
      </c>
      <c r="B214" s="6">
        <v>619</v>
      </c>
      <c r="C214" s="6">
        <f t="shared" si="63"/>
        <v>56.78824721377913</v>
      </c>
      <c r="D214" s="6">
        <f t="shared" si="49"/>
        <v>34.465394064618245</v>
      </c>
      <c r="E214" s="6">
        <f t="shared" si="50"/>
        <v>22.322853149160885</v>
      </c>
      <c r="F214" s="6">
        <v>28.68</v>
      </c>
      <c r="G214" s="6">
        <f t="shared" si="64"/>
        <v>5.5964653902798256</v>
      </c>
      <c r="H214" s="6">
        <f t="shared" si="51"/>
        <v>30.2459388975042</v>
      </c>
      <c r="I214" s="6">
        <f t="shared" si="52"/>
        <v>-24.649473507224375</v>
      </c>
      <c r="J214" s="6">
        <v>5313</v>
      </c>
      <c r="K214" s="6">
        <f t="shared" si="65"/>
        <v>9.5463917525773212</v>
      </c>
      <c r="L214" s="6">
        <f t="shared" si="53"/>
        <v>12.82017754351717</v>
      </c>
      <c r="M214" s="6">
        <f t="shared" si="54"/>
        <v>-3.2737857909398489</v>
      </c>
      <c r="N214" s="6">
        <v>1312</v>
      </c>
      <c r="O214" s="6">
        <f t="shared" si="66"/>
        <v>-15.35483870967742</v>
      </c>
      <c r="P214" s="6">
        <f t="shared" si="55"/>
        <v>16.494112434165206</v>
      </c>
      <c r="Q214" s="6">
        <f t="shared" si="56"/>
        <v>-31.848951143842626</v>
      </c>
      <c r="R214" s="6"/>
      <c r="S214" s="6" t="str">
        <f t="shared" si="67"/>
        <v/>
      </c>
      <c r="T214" s="6" t="str">
        <f t="shared" si="57"/>
        <v/>
      </c>
      <c r="U214" s="6" t="str">
        <f t="shared" si="58"/>
        <v/>
      </c>
      <c r="V214" s="6">
        <v>12.45</v>
      </c>
      <c r="W214" s="6">
        <f t="shared" si="68"/>
        <v>8.1668114682884365</v>
      </c>
      <c r="X214" s="6">
        <f t="shared" si="59"/>
        <v>94.779589281434369</v>
      </c>
      <c r="Y214" s="6">
        <f t="shared" si="60"/>
        <v>-86.612777813145925</v>
      </c>
      <c r="Z214" s="6"/>
      <c r="AA214" s="6" t="str">
        <f t="shared" si="69"/>
        <v/>
      </c>
      <c r="AB214" s="6" t="str">
        <f t="shared" si="61"/>
        <v/>
      </c>
      <c r="AC214" s="6" t="str">
        <f t="shared" si="62"/>
        <v/>
      </c>
    </row>
    <row r="215" spans="1:29" x14ac:dyDescent="0.2">
      <c r="A215" t="s">
        <v>299</v>
      </c>
      <c r="B215" s="6">
        <v>520</v>
      </c>
      <c r="C215" s="6">
        <f t="shared" si="63"/>
        <v>15.427302996670367</v>
      </c>
      <c r="D215" s="6">
        <f t="shared" si="49"/>
        <v>34.151698205481971</v>
      </c>
      <c r="E215" s="6">
        <f t="shared" si="50"/>
        <v>-18.724395208811604</v>
      </c>
      <c r="F215" s="6">
        <v>28.68</v>
      </c>
      <c r="G215" s="6">
        <f t="shared" si="64"/>
        <v>5.5964653902798256</v>
      </c>
      <c r="H215" s="6">
        <f t="shared" si="51"/>
        <v>29.95454581535725</v>
      </c>
      <c r="I215" s="6">
        <f t="shared" si="52"/>
        <v>-24.358080425077425</v>
      </c>
      <c r="J215" s="6">
        <v>5313</v>
      </c>
      <c r="K215" s="6">
        <f t="shared" si="65"/>
        <v>9.5463917525773212</v>
      </c>
      <c r="L215" s="6">
        <f t="shared" si="53"/>
        <v>12.820731754955061</v>
      </c>
      <c r="M215" s="6">
        <f t="shared" si="54"/>
        <v>-3.2743400023777394</v>
      </c>
      <c r="N215" s="6">
        <v>1248</v>
      </c>
      <c r="O215" s="6">
        <f t="shared" si="66"/>
        <v>-24.225865209471763</v>
      </c>
      <c r="P215" s="6">
        <f t="shared" si="55"/>
        <v>14.830987267292224</v>
      </c>
      <c r="Q215" s="6">
        <f t="shared" si="56"/>
        <v>-39.056852476763986</v>
      </c>
      <c r="R215" s="6"/>
      <c r="S215" s="6" t="str">
        <f t="shared" si="67"/>
        <v/>
      </c>
      <c r="T215" s="6" t="str">
        <f t="shared" si="57"/>
        <v/>
      </c>
      <c r="U215" s="6" t="str">
        <f t="shared" si="58"/>
        <v/>
      </c>
      <c r="V215" s="6">
        <v>12.63</v>
      </c>
      <c r="W215" s="6">
        <f t="shared" si="68"/>
        <v>8.8793103448276067</v>
      </c>
      <c r="X215" s="6">
        <f t="shared" si="59"/>
        <v>94.267056987400395</v>
      </c>
      <c r="Y215" s="6">
        <f t="shared" si="60"/>
        <v>-85.387746642572793</v>
      </c>
      <c r="Z215" s="6"/>
      <c r="AA215" s="6" t="str">
        <f t="shared" si="69"/>
        <v/>
      </c>
      <c r="AB215" s="6" t="str">
        <f t="shared" si="61"/>
        <v/>
      </c>
      <c r="AC215" s="6" t="str">
        <f t="shared" si="62"/>
        <v/>
      </c>
    </row>
    <row r="216" spans="1:29" x14ac:dyDescent="0.2">
      <c r="A216" t="s">
        <v>300</v>
      </c>
      <c r="B216" s="6">
        <v>493</v>
      </c>
      <c r="C216" s="6">
        <f t="shared" si="63"/>
        <v>14.385150812064973</v>
      </c>
      <c r="D216" s="6">
        <f t="shared" si="49"/>
        <v>31.966013523038416</v>
      </c>
      <c r="E216" s="6">
        <f t="shared" si="50"/>
        <v>-17.580862710973442</v>
      </c>
      <c r="F216" s="6">
        <v>28.68</v>
      </c>
      <c r="G216" s="6">
        <f t="shared" si="64"/>
        <v>5.5964653902798256</v>
      </c>
      <c r="H216" s="6">
        <f t="shared" si="51"/>
        <v>29.663152733210296</v>
      </c>
      <c r="I216" s="6">
        <f t="shared" si="52"/>
        <v>-24.066687342930472</v>
      </c>
      <c r="J216" s="6">
        <v>5313</v>
      </c>
      <c r="K216" s="6">
        <f t="shared" si="65"/>
        <v>9.5463917525773212</v>
      </c>
      <c r="L216" s="6">
        <f t="shared" si="53"/>
        <v>12.821285966392951</v>
      </c>
      <c r="M216" s="6">
        <f t="shared" si="54"/>
        <v>-3.2748942138156298</v>
      </c>
      <c r="N216" s="6">
        <v>1160</v>
      </c>
      <c r="O216" s="6">
        <f t="shared" si="66"/>
        <v>-24.62638076673165</v>
      </c>
      <c r="P216" s="6">
        <f t="shared" si="55"/>
        <v>12.339604121114158</v>
      </c>
      <c r="Q216" s="6">
        <f t="shared" si="56"/>
        <v>-36.965984887845806</v>
      </c>
      <c r="R216" s="6"/>
      <c r="S216" s="6" t="str">
        <f t="shared" si="67"/>
        <v/>
      </c>
      <c r="T216" s="6" t="str">
        <f t="shared" si="57"/>
        <v/>
      </c>
      <c r="U216" s="6" t="str">
        <f t="shared" si="58"/>
        <v/>
      </c>
      <c r="V216" s="6">
        <v>12.63</v>
      </c>
      <c r="W216" s="6">
        <f t="shared" si="68"/>
        <v>8.8793103448276067</v>
      </c>
      <c r="X216" s="6">
        <f t="shared" si="59"/>
        <v>93.527354562543323</v>
      </c>
      <c r="Y216" s="6">
        <f t="shared" si="60"/>
        <v>-84.648044217715722</v>
      </c>
      <c r="Z216" s="6"/>
      <c r="AA216" s="6" t="str">
        <f t="shared" si="69"/>
        <v/>
      </c>
      <c r="AB216" s="6" t="str">
        <f t="shared" si="61"/>
        <v/>
      </c>
      <c r="AC216" s="6" t="str">
        <f t="shared" si="62"/>
        <v/>
      </c>
    </row>
    <row r="217" spans="1:29" x14ac:dyDescent="0.2">
      <c r="A217" t="s">
        <v>301</v>
      </c>
      <c r="B217" s="6">
        <v>459.5</v>
      </c>
      <c r="C217" s="6">
        <f t="shared" si="63"/>
        <v>0.65717415115005284</v>
      </c>
      <c r="D217" s="6">
        <f t="shared" si="49"/>
        <v>29.284886996718583</v>
      </c>
      <c r="E217" s="6">
        <f t="shared" si="50"/>
        <v>-28.627712845568531</v>
      </c>
      <c r="F217" s="6">
        <v>28.68</v>
      </c>
      <c r="G217" s="6">
        <f t="shared" si="64"/>
        <v>5.5964653902798256</v>
      </c>
      <c r="H217" s="6">
        <f t="shared" si="51"/>
        <v>29.371759651063343</v>
      </c>
      <c r="I217" s="6">
        <f t="shared" si="52"/>
        <v>-23.775294260783518</v>
      </c>
      <c r="J217" s="6">
        <v>5313</v>
      </c>
      <c r="K217" s="6">
        <f t="shared" si="65"/>
        <v>7.5941676792223634</v>
      </c>
      <c r="L217" s="6">
        <f t="shared" si="53"/>
        <v>12.821840177830842</v>
      </c>
      <c r="M217" s="6">
        <f t="shared" si="54"/>
        <v>-5.2276724986084782</v>
      </c>
      <c r="N217" s="6">
        <v>1195</v>
      </c>
      <c r="O217" s="6">
        <f t="shared" si="66"/>
        <v>-18.094585332419467</v>
      </c>
      <c r="P217" s="6">
        <f t="shared" si="55"/>
        <v>9.6843058673058007</v>
      </c>
      <c r="Q217" s="6">
        <f t="shared" si="56"/>
        <v>-27.778891199725265</v>
      </c>
      <c r="R217" s="6"/>
      <c r="S217" s="6" t="str">
        <f t="shared" si="67"/>
        <v/>
      </c>
      <c r="T217" s="6" t="str">
        <f t="shared" si="57"/>
        <v/>
      </c>
      <c r="U217" s="6" t="str">
        <f t="shared" si="58"/>
        <v/>
      </c>
      <c r="V217" s="6">
        <v>12.63</v>
      </c>
      <c r="W217" s="6">
        <f t="shared" si="68"/>
        <v>8.8793103448276067</v>
      </c>
      <c r="X217" s="6">
        <f t="shared" si="59"/>
        <v>92.787652137686223</v>
      </c>
      <c r="Y217" s="6">
        <f t="shared" si="60"/>
        <v>-83.908341792858621</v>
      </c>
      <c r="Z217" s="6"/>
      <c r="AA217" s="6" t="str">
        <f t="shared" si="69"/>
        <v/>
      </c>
      <c r="AB217" s="6" t="str">
        <f t="shared" si="61"/>
        <v/>
      </c>
      <c r="AC217" s="6" t="str">
        <f t="shared" si="62"/>
        <v/>
      </c>
    </row>
    <row r="218" spans="1:29" x14ac:dyDescent="0.2">
      <c r="A218" t="s">
        <v>302</v>
      </c>
      <c r="B218" s="6">
        <v>450</v>
      </c>
      <c r="C218" s="6">
        <f t="shared" si="63"/>
        <v>1.4427412082957503</v>
      </c>
      <c r="D218" s="6">
        <f t="shared" si="49"/>
        <v>27.452511508600363</v>
      </c>
      <c r="E218" s="6">
        <f t="shared" si="50"/>
        <v>-26.009770300304613</v>
      </c>
      <c r="F218" s="6">
        <v>28.68</v>
      </c>
      <c r="G218" s="6">
        <f t="shared" si="64"/>
        <v>5.5964653902798256</v>
      </c>
      <c r="H218" s="6">
        <f t="shared" si="51"/>
        <v>29.080366568916393</v>
      </c>
      <c r="I218" s="6">
        <f t="shared" si="52"/>
        <v>-23.483901178636568</v>
      </c>
      <c r="J218" s="6">
        <v>4586</v>
      </c>
      <c r="K218" s="6">
        <f t="shared" si="65"/>
        <v>-13.683418031244122</v>
      </c>
      <c r="L218" s="6">
        <f t="shared" si="53"/>
        <v>12.781723054407168</v>
      </c>
      <c r="M218" s="6">
        <f t="shared" si="54"/>
        <v>-26.46514108565129</v>
      </c>
      <c r="N218" s="6">
        <v>1210</v>
      </c>
      <c r="O218" s="6">
        <f t="shared" si="66"/>
        <v>-5.8365758754863828</v>
      </c>
      <c r="P218" s="6">
        <f t="shared" si="55"/>
        <v>7.5875933695929509</v>
      </c>
      <c r="Q218" s="6">
        <f t="shared" si="56"/>
        <v>-13.424169245079334</v>
      </c>
      <c r="R218" s="6"/>
      <c r="S218" s="6" t="str">
        <f t="shared" si="67"/>
        <v/>
      </c>
      <c r="T218" s="6" t="str">
        <f t="shared" si="57"/>
        <v/>
      </c>
      <c r="U218" s="6" t="str">
        <f t="shared" si="58"/>
        <v/>
      </c>
      <c r="V218" s="6">
        <v>12.68</v>
      </c>
      <c r="W218" s="6">
        <f t="shared" si="68"/>
        <v>6.5546218487394947</v>
      </c>
      <c r="X218" s="6">
        <f t="shared" si="59"/>
        <v>92.047949712829151</v>
      </c>
      <c r="Y218" s="6">
        <f t="shared" si="60"/>
        <v>-85.49332786408965</v>
      </c>
      <c r="Z218" s="6"/>
      <c r="AA218" s="6" t="str">
        <f t="shared" si="69"/>
        <v/>
      </c>
      <c r="AB218" s="6" t="str">
        <f t="shared" si="61"/>
        <v/>
      </c>
      <c r="AC218" s="6" t="str">
        <f t="shared" si="62"/>
        <v/>
      </c>
    </row>
    <row r="219" spans="1:29" x14ac:dyDescent="0.2">
      <c r="A219" t="s">
        <v>303</v>
      </c>
      <c r="B219" s="6">
        <v>444.8</v>
      </c>
      <c r="C219" s="6">
        <f t="shared" si="63"/>
        <v>-2.562979189485215</v>
      </c>
      <c r="D219" s="6">
        <f t="shared" si="49"/>
        <v>25.521248199286685</v>
      </c>
      <c r="E219" s="6">
        <f t="shared" si="50"/>
        <v>-28.0842273887719</v>
      </c>
      <c r="F219" s="6">
        <v>28.68</v>
      </c>
      <c r="G219" s="6">
        <f t="shared" si="64"/>
        <v>5.5964653902798256</v>
      </c>
      <c r="H219" s="6">
        <f t="shared" si="51"/>
        <v>28.788973486769439</v>
      </c>
      <c r="I219" s="6">
        <f t="shared" si="52"/>
        <v>-23.192508096489615</v>
      </c>
      <c r="J219" s="6">
        <v>4586</v>
      </c>
      <c r="K219" s="6">
        <f t="shared" si="65"/>
        <v>-13.683418031244122</v>
      </c>
      <c r="L219" s="6">
        <f t="shared" si="53"/>
        <v>12.298322895348777</v>
      </c>
      <c r="M219" s="6">
        <f t="shared" si="54"/>
        <v>-25.981740926592899</v>
      </c>
      <c r="N219" s="6">
        <v>1182</v>
      </c>
      <c r="O219" s="6">
        <f t="shared" si="66"/>
        <v>-7.5840500390930377</v>
      </c>
      <c r="P219" s="6">
        <f t="shared" si="55"/>
        <v>4.8597310088808943</v>
      </c>
      <c r="Q219" s="6">
        <f t="shared" si="56"/>
        <v>-12.443781047973932</v>
      </c>
      <c r="R219" s="6"/>
      <c r="S219" s="6" t="str">
        <f t="shared" si="67"/>
        <v/>
      </c>
      <c r="T219" s="6" t="str">
        <f t="shared" si="57"/>
        <v/>
      </c>
      <c r="U219" s="6" t="str">
        <f t="shared" si="58"/>
        <v/>
      </c>
      <c r="V219" s="6">
        <v>12.68</v>
      </c>
      <c r="W219" s="6">
        <f t="shared" si="68"/>
        <v>6.5546218487394947</v>
      </c>
      <c r="X219" s="6">
        <f t="shared" si="59"/>
        <v>89.700101482628028</v>
      </c>
      <c r="Y219" s="6">
        <f t="shared" si="60"/>
        <v>-83.145479633888527</v>
      </c>
      <c r="Z219" s="6"/>
      <c r="AA219" s="6" t="str">
        <f t="shared" si="69"/>
        <v/>
      </c>
      <c r="AB219" s="6" t="str">
        <f t="shared" si="61"/>
        <v/>
      </c>
      <c r="AC219" s="6" t="str">
        <f t="shared" si="62"/>
        <v/>
      </c>
    </row>
    <row r="220" spans="1:29" x14ac:dyDescent="0.2">
      <c r="A220" t="s">
        <v>304</v>
      </c>
      <c r="B220" s="6">
        <v>501</v>
      </c>
      <c r="C220" s="6">
        <f t="shared" si="63"/>
        <v>9.6760070052539291</v>
      </c>
      <c r="D220" s="6">
        <f t="shared" si="49"/>
        <v>23.458781233659664</v>
      </c>
      <c r="E220" s="6">
        <f t="shared" si="50"/>
        <v>-13.782774228405735</v>
      </c>
      <c r="F220" s="6">
        <v>28.68</v>
      </c>
      <c r="G220" s="6">
        <f t="shared" si="64"/>
        <v>5.5964653902798256</v>
      </c>
      <c r="H220" s="6">
        <f t="shared" si="51"/>
        <v>28.497580404622486</v>
      </c>
      <c r="I220" s="6">
        <f t="shared" si="52"/>
        <v>-22.901115014342661</v>
      </c>
      <c r="J220" s="6">
        <v>4586</v>
      </c>
      <c r="K220" s="6">
        <f t="shared" si="65"/>
        <v>-13.683418031244122</v>
      </c>
      <c r="L220" s="6">
        <f t="shared" si="53"/>
        <v>11.814922736290386</v>
      </c>
      <c r="M220" s="6">
        <f t="shared" si="54"/>
        <v>-25.498340767534508</v>
      </c>
      <c r="N220" s="6">
        <v>1261</v>
      </c>
      <c r="O220" s="6">
        <f t="shared" si="66"/>
        <v>-2.0202020202020221</v>
      </c>
      <c r="P220" s="6">
        <f t="shared" si="55"/>
        <v>2.0830310619546846</v>
      </c>
      <c r="Q220" s="6">
        <f t="shared" si="56"/>
        <v>-4.1032330821567067</v>
      </c>
      <c r="R220" s="6"/>
      <c r="S220" s="6" t="str">
        <f t="shared" si="67"/>
        <v/>
      </c>
      <c r="T220" s="6" t="str">
        <f t="shared" si="57"/>
        <v/>
      </c>
      <c r="U220" s="6" t="str">
        <f t="shared" si="58"/>
        <v/>
      </c>
      <c r="V220" s="6">
        <v>12.68</v>
      </c>
      <c r="W220" s="6">
        <f t="shared" si="68"/>
        <v>6.5546218487394947</v>
      </c>
      <c r="X220" s="6">
        <f t="shared" si="59"/>
        <v>87.35225325242692</v>
      </c>
      <c r="Y220" s="6">
        <f t="shared" si="60"/>
        <v>-80.797631403687419</v>
      </c>
      <c r="Z220" s="6"/>
      <c r="AA220" s="6" t="str">
        <f t="shared" si="69"/>
        <v/>
      </c>
      <c r="AB220" s="6" t="str">
        <f t="shared" si="61"/>
        <v/>
      </c>
      <c r="AC220" s="6" t="str">
        <f t="shared" si="62"/>
        <v/>
      </c>
    </row>
    <row r="221" spans="1:29" x14ac:dyDescent="0.2">
      <c r="A221" t="s">
        <v>305</v>
      </c>
      <c r="B221" s="6">
        <v>514</v>
      </c>
      <c r="C221" s="6">
        <f t="shared" si="63"/>
        <v>11.255411255411252</v>
      </c>
      <c r="D221" s="6">
        <f t="shared" si="49"/>
        <v>20.891346456660198</v>
      </c>
      <c r="E221" s="6">
        <f t="shared" si="50"/>
        <v>-9.6359352012489463</v>
      </c>
      <c r="F221" s="6">
        <v>27.87</v>
      </c>
      <c r="G221" s="6">
        <f t="shared" si="64"/>
        <v>-2.8242677824267703</v>
      </c>
      <c r="H221" s="6">
        <f t="shared" si="51"/>
        <v>28.20618732247554</v>
      </c>
      <c r="I221" s="6">
        <f t="shared" si="52"/>
        <v>-31.030455104902309</v>
      </c>
      <c r="J221" s="6">
        <v>4586</v>
      </c>
      <c r="K221" s="6">
        <f t="shared" si="65"/>
        <v>-13.683418031244122</v>
      </c>
      <c r="L221" s="6">
        <f t="shared" si="53"/>
        <v>11.331522577231995</v>
      </c>
      <c r="M221" s="6">
        <f t="shared" si="54"/>
        <v>-25.014940608476117</v>
      </c>
      <c r="N221" s="6">
        <v>1261</v>
      </c>
      <c r="O221" s="6">
        <f t="shared" si="66"/>
        <v>-9.6704871060171893</v>
      </c>
      <c r="P221" s="6">
        <f t="shared" si="55"/>
        <v>-0.43998027292212888</v>
      </c>
      <c r="Q221" s="6">
        <f t="shared" si="56"/>
        <v>-9.2305068330950597</v>
      </c>
      <c r="R221" s="6"/>
      <c r="S221" s="6" t="str">
        <f t="shared" si="67"/>
        <v/>
      </c>
      <c r="T221" s="6" t="str">
        <f t="shared" si="57"/>
        <v/>
      </c>
      <c r="U221" s="6" t="str">
        <f t="shared" si="58"/>
        <v/>
      </c>
      <c r="V221" s="6">
        <v>12.66</v>
      </c>
      <c r="W221" s="6">
        <f t="shared" si="68"/>
        <v>1.2799999999999923</v>
      </c>
      <c r="X221" s="6">
        <f t="shared" si="59"/>
        <v>85.004405022225697</v>
      </c>
      <c r="Y221" s="6">
        <f t="shared" si="60"/>
        <v>-83.72440502222571</v>
      </c>
      <c r="Z221" s="6"/>
      <c r="AA221" s="6" t="str">
        <f t="shared" si="69"/>
        <v/>
      </c>
      <c r="AB221" s="6" t="str">
        <f t="shared" si="61"/>
        <v/>
      </c>
      <c r="AC221" s="6" t="str">
        <f t="shared" si="62"/>
        <v/>
      </c>
    </row>
    <row r="222" spans="1:29" x14ac:dyDescent="0.2">
      <c r="A222" t="s">
        <v>306</v>
      </c>
      <c r="B222" s="6">
        <v>558</v>
      </c>
      <c r="C222" s="6">
        <f t="shared" si="63"/>
        <v>10.059171597633142</v>
      </c>
      <c r="D222" s="6">
        <f t="shared" si="49"/>
        <v>17.515392044794179</v>
      </c>
      <c r="E222" s="6">
        <f t="shared" si="50"/>
        <v>-7.4562204471610372</v>
      </c>
      <c r="F222" s="6">
        <v>27.06</v>
      </c>
      <c r="G222" s="6">
        <f t="shared" si="64"/>
        <v>-5.6485355648535629</v>
      </c>
      <c r="H222" s="6">
        <f t="shared" si="51"/>
        <v>27.165568503256861</v>
      </c>
      <c r="I222" s="6">
        <f t="shared" si="52"/>
        <v>-32.814104068110424</v>
      </c>
      <c r="J222" s="6">
        <v>4586</v>
      </c>
      <c r="K222" s="6">
        <f t="shared" si="65"/>
        <v>-13.683418031244122</v>
      </c>
      <c r="L222" s="6">
        <f t="shared" si="53"/>
        <v>10.923913248022037</v>
      </c>
      <c r="M222" s="6">
        <f t="shared" si="54"/>
        <v>-24.607331279266159</v>
      </c>
      <c r="N222" s="6">
        <v>1217</v>
      </c>
      <c r="O222" s="6">
        <f t="shared" si="66"/>
        <v>-14.656381486676018</v>
      </c>
      <c r="P222" s="6">
        <f t="shared" si="55"/>
        <v>-2.3419998415777949</v>
      </c>
      <c r="Q222" s="6">
        <f t="shared" si="56"/>
        <v>-12.314381645098223</v>
      </c>
      <c r="R222" s="6"/>
      <c r="S222" s="6" t="str">
        <f t="shared" si="67"/>
        <v/>
      </c>
      <c r="T222" s="6" t="str">
        <f t="shared" si="57"/>
        <v/>
      </c>
      <c r="U222" s="6" t="str">
        <f t="shared" si="58"/>
        <v/>
      </c>
      <c r="V222" s="6">
        <v>12.66</v>
      </c>
      <c r="W222" s="6">
        <f t="shared" si="68"/>
        <v>1.2799999999999923</v>
      </c>
      <c r="X222" s="6">
        <f t="shared" si="59"/>
        <v>74.093571688892368</v>
      </c>
      <c r="Y222" s="6">
        <f t="shared" si="60"/>
        <v>-72.813571688892381</v>
      </c>
      <c r="Z222" s="6"/>
      <c r="AA222" s="6" t="str">
        <f t="shared" si="69"/>
        <v/>
      </c>
      <c r="AB222" s="6" t="str">
        <f t="shared" si="61"/>
        <v/>
      </c>
      <c r="AC222" s="6" t="str">
        <f t="shared" si="62"/>
        <v/>
      </c>
    </row>
    <row r="223" spans="1:29" x14ac:dyDescent="0.2">
      <c r="A223" t="s">
        <v>307</v>
      </c>
      <c r="B223" s="6">
        <v>598</v>
      </c>
      <c r="C223" s="6">
        <f t="shared" si="63"/>
        <v>0</v>
      </c>
      <c r="D223" s="6">
        <f t="shared" si="49"/>
        <v>14.434119438335557</v>
      </c>
      <c r="E223" s="6">
        <f t="shared" si="50"/>
        <v>-14.434119438335557</v>
      </c>
      <c r="F223" s="6">
        <v>27.06</v>
      </c>
      <c r="G223" s="6">
        <f t="shared" si="64"/>
        <v>-5.6485355648535629</v>
      </c>
      <c r="H223" s="6">
        <f t="shared" si="51"/>
        <v>26.066110771904292</v>
      </c>
      <c r="I223" s="6">
        <f t="shared" si="52"/>
        <v>-31.714646336757855</v>
      </c>
      <c r="J223" s="6">
        <v>4586</v>
      </c>
      <c r="K223" s="6">
        <f t="shared" si="65"/>
        <v>-13.683418031244122</v>
      </c>
      <c r="L223" s="6">
        <f t="shared" si="53"/>
        <v>10.516303918812076</v>
      </c>
      <c r="M223" s="6">
        <f t="shared" si="54"/>
        <v>-24.199721950056198</v>
      </c>
      <c r="N223" s="6">
        <v>1254</v>
      </c>
      <c r="O223" s="6">
        <f t="shared" si="66"/>
        <v>-17.227722772277232</v>
      </c>
      <c r="P223" s="6">
        <f t="shared" si="55"/>
        <v>-4.4031642704005405</v>
      </c>
      <c r="Q223" s="6">
        <f t="shared" si="56"/>
        <v>-12.824558501876691</v>
      </c>
      <c r="R223" s="6"/>
      <c r="S223" s="6" t="str">
        <f t="shared" si="67"/>
        <v/>
      </c>
      <c r="T223" s="6" t="str">
        <f t="shared" si="57"/>
        <v/>
      </c>
      <c r="U223" s="6" t="str">
        <f t="shared" si="58"/>
        <v/>
      </c>
      <c r="V223" s="6">
        <v>12.66</v>
      </c>
      <c r="W223" s="6">
        <f t="shared" si="68"/>
        <v>1.2799999999999923</v>
      </c>
      <c r="X223" s="6">
        <f t="shared" si="59"/>
        <v>63.182738355559032</v>
      </c>
      <c r="Y223" s="6">
        <f t="shared" si="60"/>
        <v>-61.902738355559038</v>
      </c>
      <c r="Z223" s="6"/>
      <c r="AA223" s="6" t="str">
        <f t="shared" si="69"/>
        <v/>
      </c>
      <c r="AB223" s="6" t="str">
        <f t="shared" si="61"/>
        <v/>
      </c>
      <c r="AC223" s="6" t="str">
        <f t="shared" si="62"/>
        <v/>
      </c>
    </row>
    <row r="224" spans="1:29" x14ac:dyDescent="0.2">
      <c r="A224" t="s">
        <v>308</v>
      </c>
      <c r="B224" s="6">
        <v>603</v>
      </c>
      <c r="C224" s="6">
        <f t="shared" si="63"/>
        <v>-6.800618238021638</v>
      </c>
      <c r="D224" s="6">
        <f t="shared" si="49"/>
        <v>11.814570762823122</v>
      </c>
      <c r="E224" s="6">
        <f t="shared" si="50"/>
        <v>-18.615189000844758</v>
      </c>
      <c r="F224" s="6">
        <v>27.06</v>
      </c>
      <c r="G224" s="6">
        <f t="shared" si="64"/>
        <v>-5.6485355648535629</v>
      </c>
      <c r="H224" s="6">
        <f t="shared" si="51"/>
        <v>24.966653040551723</v>
      </c>
      <c r="I224" s="6">
        <f t="shared" si="52"/>
        <v>-30.615188605405287</v>
      </c>
      <c r="J224" s="6">
        <v>4696</v>
      </c>
      <c r="K224" s="6">
        <f t="shared" si="65"/>
        <v>-9.4659726238673585</v>
      </c>
      <c r="L224" s="6">
        <f t="shared" si="53"/>
        <v>10.108694589602116</v>
      </c>
      <c r="M224" s="6">
        <f t="shared" si="54"/>
        <v>-19.574667213469475</v>
      </c>
      <c r="N224" s="6">
        <v>1285</v>
      </c>
      <c r="O224" s="6">
        <f t="shared" si="66"/>
        <v>-10.076976906927925</v>
      </c>
      <c r="P224" s="6">
        <f t="shared" si="55"/>
        <v>-6.465039719290246</v>
      </c>
      <c r="Q224" s="6">
        <f t="shared" si="56"/>
        <v>-3.6119371876376789</v>
      </c>
      <c r="R224" s="6"/>
      <c r="S224" s="6" t="str">
        <f t="shared" si="67"/>
        <v/>
      </c>
      <c r="T224" s="6" t="str">
        <f t="shared" si="57"/>
        <v/>
      </c>
      <c r="U224" s="6" t="str">
        <f t="shared" si="58"/>
        <v/>
      </c>
      <c r="V224" s="6">
        <v>12.68</v>
      </c>
      <c r="W224" s="6">
        <f t="shared" si="68"/>
        <v>1.8473895582329369</v>
      </c>
      <c r="X224" s="6">
        <f t="shared" si="59"/>
        <v>52.271905022225695</v>
      </c>
      <c r="Y224" s="6">
        <f t="shared" si="60"/>
        <v>-50.424515463992762</v>
      </c>
      <c r="Z224" s="6"/>
      <c r="AA224" s="6" t="str">
        <f t="shared" si="69"/>
        <v/>
      </c>
      <c r="AB224" s="6" t="str">
        <f t="shared" si="61"/>
        <v/>
      </c>
      <c r="AC224" s="6" t="str">
        <f t="shared" si="62"/>
        <v/>
      </c>
    </row>
    <row r="225" spans="1:29" x14ac:dyDescent="0.2">
      <c r="A225" t="s">
        <v>309</v>
      </c>
      <c r="B225" s="6">
        <v>624</v>
      </c>
      <c r="C225" s="6">
        <f t="shared" si="63"/>
        <v>-5.3110773899848311</v>
      </c>
      <c r="D225" s="6">
        <f t="shared" si="49"/>
        <v>9.3494217698388429</v>
      </c>
      <c r="E225" s="6">
        <f t="shared" si="50"/>
        <v>-14.660499159823674</v>
      </c>
      <c r="F225" s="6">
        <v>28.61</v>
      </c>
      <c r="G225" s="6">
        <f t="shared" si="64"/>
        <v>-0.24407252440725724</v>
      </c>
      <c r="H225" s="6">
        <f t="shared" si="51"/>
        <v>23.867195309199158</v>
      </c>
      <c r="I225" s="6">
        <f t="shared" si="52"/>
        <v>-24.111267833606416</v>
      </c>
      <c r="J225" s="6">
        <v>4696</v>
      </c>
      <c r="K225" s="6">
        <f t="shared" si="65"/>
        <v>-11.094282468761829</v>
      </c>
      <c r="L225" s="6">
        <f t="shared" si="53"/>
        <v>9.7889487063791751</v>
      </c>
      <c r="M225" s="6">
        <f t="shared" si="54"/>
        <v>-20.883231175141006</v>
      </c>
      <c r="N225" s="6">
        <v>1303</v>
      </c>
      <c r="O225" s="6">
        <f t="shared" si="66"/>
        <v>-4.9598832968635982</v>
      </c>
      <c r="P225" s="6">
        <f t="shared" si="55"/>
        <v>-8.568129176697127</v>
      </c>
      <c r="Q225" s="6">
        <f t="shared" si="56"/>
        <v>3.6082458798335288</v>
      </c>
      <c r="R225" s="6"/>
      <c r="S225" s="6" t="str">
        <f t="shared" si="67"/>
        <v/>
      </c>
      <c r="T225" s="6" t="str">
        <f t="shared" si="57"/>
        <v/>
      </c>
      <c r="U225" s="6" t="str">
        <f t="shared" si="58"/>
        <v/>
      </c>
      <c r="V225" s="6">
        <v>12.7</v>
      </c>
      <c r="W225" s="6">
        <f t="shared" si="68"/>
        <v>2.008032128514059</v>
      </c>
      <c r="X225" s="6">
        <f t="shared" si="59"/>
        <v>44.996562517454855</v>
      </c>
      <c r="Y225" s="6">
        <f t="shared" si="60"/>
        <v>-42.988530388940795</v>
      </c>
      <c r="Z225" s="6"/>
      <c r="AA225" s="6" t="str">
        <f t="shared" si="69"/>
        <v/>
      </c>
      <c r="AB225" s="6" t="str">
        <f t="shared" si="61"/>
        <v/>
      </c>
      <c r="AC225" s="6" t="str">
        <f t="shared" si="62"/>
        <v/>
      </c>
    </row>
    <row r="226" spans="1:29" x14ac:dyDescent="0.2">
      <c r="A226" t="s">
        <v>310</v>
      </c>
      <c r="B226" s="6">
        <v>654</v>
      </c>
      <c r="C226" s="6">
        <f t="shared" si="63"/>
        <v>5.6542810985460434</v>
      </c>
      <c r="D226" s="6">
        <f t="shared" si="49"/>
        <v>7.5167416733376671</v>
      </c>
      <c r="E226" s="6">
        <f t="shared" si="50"/>
        <v>-1.8624605747916236</v>
      </c>
      <c r="F226" s="6">
        <v>30.15</v>
      </c>
      <c r="G226" s="6">
        <f t="shared" si="64"/>
        <v>5.125523012552291</v>
      </c>
      <c r="H226" s="6">
        <f t="shared" si="51"/>
        <v>22.880330557855885</v>
      </c>
      <c r="I226" s="6">
        <f t="shared" si="52"/>
        <v>-17.754807545303592</v>
      </c>
      <c r="J226" s="6">
        <v>4645</v>
      </c>
      <c r="K226" s="6">
        <f t="shared" si="65"/>
        <v>-12.572934312064742</v>
      </c>
      <c r="L226" s="6">
        <f t="shared" si="53"/>
        <v>9.4352797013875964</v>
      </c>
      <c r="M226" s="6">
        <f t="shared" si="54"/>
        <v>-22.008214013452339</v>
      </c>
      <c r="N226" s="6">
        <v>1333</v>
      </c>
      <c r="O226" s="6">
        <f t="shared" si="66"/>
        <v>1.6006097560975707</v>
      </c>
      <c r="P226" s="6">
        <f t="shared" si="55"/>
        <v>-10.447836619538897</v>
      </c>
      <c r="Q226" s="6">
        <f t="shared" si="56"/>
        <v>12.048446375636468</v>
      </c>
      <c r="R226" s="6"/>
      <c r="S226" s="6" t="str">
        <f t="shared" si="67"/>
        <v/>
      </c>
      <c r="T226" s="6" t="str">
        <f t="shared" si="57"/>
        <v/>
      </c>
      <c r="U226" s="6" t="str">
        <f t="shared" si="58"/>
        <v/>
      </c>
      <c r="V226" s="6">
        <v>12.73</v>
      </c>
      <c r="W226" s="6">
        <f t="shared" si="68"/>
        <v>2.2489959839357532</v>
      </c>
      <c r="X226" s="6">
        <f t="shared" si="59"/>
        <v>37.724566732898197</v>
      </c>
      <c r="Y226" s="6">
        <f t="shared" si="60"/>
        <v>-35.47557074896244</v>
      </c>
      <c r="Z226" s="6"/>
      <c r="AA226" s="6" t="str">
        <f t="shared" si="69"/>
        <v/>
      </c>
      <c r="AB226" s="6" t="str">
        <f t="shared" si="61"/>
        <v/>
      </c>
      <c r="AC226" s="6" t="str">
        <f t="shared" si="62"/>
        <v/>
      </c>
    </row>
    <row r="227" spans="1:29" x14ac:dyDescent="0.2">
      <c r="A227" t="s">
        <v>311</v>
      </c>
      <c r="B227" s="6">
        <v>622</v>
      </c>
      <c r="C227" s="6">
        <f t="shared" si="63"/>
        <v>19.615384615384613</v>
      </c>
      <c r="D227" s="6">
        <f t="shared" si="49"/>
        <v>6.3337530030682325</v>
      </c>
      <c r="E227" s="6">
        <f t="shared" si="50"/>
        <v>13.281631612316382</v>
      </c>
      <c r="F227" s="6">
        <v>30.15</v>
      </c>
      <c r="G227" s="6">
        <f t="shared" si="64"/>
        <v>5.125523012552291</v>
      </c>
      <c r="H227" s="6">
        <f t="shared" si="51"/>
        <v>22.005332380199278</v>
      </c>
      <c r="I227" s="6">
        <f t="shared" si="52"/>
        <v>-16.879809367646985</v>
      </c>
      <c r="J227" s="6">
        <v>4586</v>
      </c>
      <c r="K227" s="6">
        <f t="shared" si="65"/>
        <v>-13.683418031244122</v>
      </c>
      <c r="L227" s="6">
        <f t="shared" si="53"/>
        <v>9.0508054496605421</v>
      </c>
      <c r="M227" s="6">
        <f t="shared" si="54"/>
        <v>-22.734223480904664</v>
      </c>
      <c r="N227" s="6">
        <v>1337</v>
      </c>
      <c r="O227" s="6">
        <f t="shared" si="66"/>
        <v>7.1314102564102644</v>
      </c>
      <c r="P227" s="6">
        <f t="shared" si="55"/>
        <v>-11.238078581657328</v>
      </c>
      <c r="Q227" s="6">
        <f t="shared" si="56"/>
        <v>18.369488838067593</v>
      </c>
      <c r="R227" s="6"/>
      <c r="S227" s="6" t="str">
        <f t="shared" si="67"/>
        <v/>
      </c>
      <c r="T227" s="6" t="str">
        <f t="shared" si="57"/>
        <v/>
      </c>
      <c r="U227" s="6" t="str">
        <f t="shared" si="58"/>
        <v/>
      </c>
      <c r="V227" s="6">
        <v>12.77</v>
      </c>
      <c r="W227" s="6">
        <f t="shared" si="68"/>
        <v>1.1084718923198622</v>
      </c>
      <c r="X227" s="6">
        <f t="shared" si="59"/>
        <v>30.457591028662819</v>
      </c>
      <c r="Y227" s="6">
        <f t="shared" si="60"/>
        <v>-29.349119136342956</v>
      </c>
      <c r="Z227" s="6"/>
      <c r="AA227" s="6" t="str">
        <f t="shared" si="69"/>
        <v/>
      </c>
      <c r="AB227" s="6" t="str">
        <f t="shared" si="61"/>
        <v/>
      </c>
      <c r="AC227" s="6" t="str">
        <f t="shared" si="62"/>
        <v/>
      </c>
    </row>
    <row r="228" spans="1:29" x14ac:dyDescent="0.2">
      <c r="A228" t="s">
        <v>312</v>
      </c>
      <c r="B228" s="6">
        <v>585</v>
      </c>
      <c r="C228" s="6">
        <f t="shared" si="63"/>
        <v>18.661257606490867</v>
      </c>
      <c r="D228" s="6">
        <f t="shared" si="49"/>
        <v>6.1397227704092048</v>
      </c>
      <c r="E228" s="6">
        <f t="shared" si="50"/>
        <v>12.521534836081663</v>
      </c>
      <c r="F228" s="6">
        <v>30.15</v>
      </c>
      <c r="G228" s="6">
        <f t="shared" si="64"/>
        <v>5.125523012552291</v>
      </c>
      <c r="H228" s="6">
        <f t="shared" si="51"/>
        <v>21.130334202542688</v>
      </c>
      <c r="I228" s="6">
        <f t="shared" si="52"/>
        <v>-16.004811189990399</v>
      </c>
      <c r="J228" s="6">
        <v>4586</v>
      </c>
      <c r="K228" s="6">
        <f t="shared" si="65"/>
        <v>-13.683418031244122</v>
      </c>
      <c r="L228" s="6">
        <f t="shared" si="53"/>
        <v>8.3297480558611383</v>
      </c>
      <c r="M228" s="6">
        <f t="shared" si="54"/>
        <v>-22.013166087105262</v>
      </c>
      <c r="N228" s="6">
        <v>1426</v>
      </c>
      <c r="O228" s="6">
        <f t="shared" si="66"/>
        <v>22.931034482758616</v>
      </c>
      <c r="P228" s="6">
        <f t="shared" si="55"/>
        <v>-10.984268897535514</v>
      </c>
      <c r="Q228" s="6">
        <f t="shared" si="56"/>
        <v>33.915303380294134</v>
      </c>
      <c r="R228" s="6"/>
      <c r="S228" s="6" t="str">
        <f t="shared" si="67"/>
        <v/>
      </c>
      <c r="T228" s="6" t="str">
        <f t="shared" si="57"/>
        <v/>
      </c>
      <c r="U228" s="6" t="str">
        <f t="shared" si="58"/>
        <v/>
      </c>
      <c r="V228" s="6">
        <v>12.79</v>
      </c>
      <c r="W228" s="6">
        <f t="shared" si="68"/>
        <v>1.2668250197941378</v>
      </c>
      <c r="X228" s="6">
        <f t="shared" si="59"/>
        <v>24.847968143703422</v>
      </c>
      <c r="Y228" s="6">
        <f t="shared" si="60"/>
        <v>-23.581143123909285</v>
      </c>
      <c r="Z228" s="6"/>
      <c r="AA228" s="6" t="str">
        <f t="shared" si="69"/>
        <v/>
      </c>
      <c r="AB228" s="6" t="str">
        <f t="shared" si="61"/>
        <v/>
      </c>
      <c r="AC228" s="6" t="str">
        <f t="shared" si="62"/>
        <v/>
      </c>
    </row>
    <row r="229" spans="1:29" x14ac:dyDescent="0.2">
      <c r="A229" t="s">
        <v>313</v>
      </c>
      <c r="B229" s="6">
        <v>615</v>
      </c>
      <c r="C229" s="6">
        <f t="shared" si="63"/>
        <v>33.841131664853094</v>
      </c>
      <c r="D229" s="6">
        <f t="shared" si="49"/>
        <v>5.7845928555281789</v>
      </c>
      <c r="E229" s="6">
        <f t="shared" si="50"/>
        <v>28.056538809324916</v>
      </c>
      <c r="F229" s="6">
        <v>30.15</v>
      </c>
      <c r="G229" s="6">
        <f t="shared" si="64"/>
        <v>5.125523012552291</v>
      </c>
      <c r="H229" s="6">
        <f t="shared" si="51"/>
        <v>20.255336024886077</v>
      </c>
      <c r="I229" s="6">
        <f t="shared" si="52"/>
        <v>-15.129813012333786</v>
      </c>
      <c r="J229" s="6">
        <v>4586</v>
      </c>
      <c r="K229" s="6">
        <f t="shared" si="65"/>
        <v>-13.683418031244122</v>
      </c>
      <c r="L229" s="6">
        <f t="shared" si="53"/>
        <v>7.6086906620617354</v>
      </c>
      <c r="M229" s="6">
        <f t="shared" si="54"/>
        <v>-21.292108693305856</v>
      </c>
      <c r="N229" s="6">
        <v>1442</v>
      </c>
      <c r="O229" s="6">
        <f t="shared" si="66"/>
        <v>20.669456066945614</v>
      </c>
      <c r="P229" s="6">
        <f t="shared" si="55"/>
        <v>-10.192419841493589</v>
      </c>
      <c r="Q229" s="6">
        <f t="shared" si="56"/>
        <v>30.861875908439202</v>
      </c>
      <c r="R229" s="6"/>
      <c r="S229" s="6" t="str">
        <f t="shared" si="67"/>
        <v/>
      </c>
      <c r="T229" s="6" t="str">
        <f t="shared" si="57"/>
        <v/>
      </c>
      <c r="U229" s="6" t="str">
        <f t="shared" si="58"/>
        <v/>
      </c>
      <c r="V229" s="6">
        <v>12.8</v>
      </c>
      <c r="W229" s="6">
        <f t="shared" si="68"/>
        <v>1.3460015835312644</v>
      </c>
      <c r="X229" s="6">
        <f t="shared" si="59"/>
        <v>19.241644282233072</v>
      </c>
      <c r="Y229" s="6">
        <f t="shared" si="60"/>
        <v>-17.895642698701806</v>
      </c>
      <c r="Z229" s="6"/>
      <c r="AA229" s="6" t="str">
        <f t="shared" si="69"/>
        <v/>
      </c>
      <c r="AB229" s="6" t="str">
        <f t="shared" si="61"/>
        <v/>
      </c>
      <c r="AC229" s="6" t="str">
        <f t="shared" si="62"/>
        <v/>
      </c>
    </row>
    <row r="230" spans="1:29" x14ac:dyDescent="0.2">
      <c r="A230" t="s">
        <v>314</v>
      </c>
      <c r="B230" s="6">
        <v>623</v>
      </c>
      <c r="C230" s="6">
        <f t="shared" si="63"/>
        <v>38.444444444444436</v>
      </c>
      <c r="D230" s="6">
        <f t="shared" si="49"/>
        <v>5.1018736800500504</v>
      </c>
      <c r="E230" s="6">
        <f t="shared" si="50"/>
        <v>33.342570764394388</v>
      </c>
      <c r="F230" s="6">
        <v>30.15</v>
      </c>
      <c r="G230" s="6">
        <f t="shared" si="64"/>
        <v>5.125523012552291</v>
      </c>
      <c r="H230" s="6">
        <f t="shared" si="51"/>
        <v>19.380337847229466</v>
      </c>
      <c r="I230" s="6">
        <f t="shared" si="52"/>
        <v>-14.254814834677175</v>
      </c>
      <c r="J230" s="6">
        <v>4586</v>
      </c>
      <c r="K230" s="6">
        <f t="shared" si="65"/>
        <v>0</v>
      </c>
      <c r="L230" s="6">
        <f t="shared" si="53"/>
        <v>6.8876332682623271</v>
      </c>
      <c r="M230" s="6">
        <f t="shared" si="54"/>
        <v>-6.8876332682623271</v>
      </c>
      <c r="N230" s="6">
        <v>1506</v>
      </c>
      <c r="O230" s="6">
        <f t="shared" si="66"/>
        <v>24.462809917355365</v>
      </c>
      <c r="P230" s="6">
        <f t="shared" si="55"/>
        <v>-9.2500385305763064</v>
      </c>
      <c r="Q230" s="6">
        <f t="shared" si="56"/>
        <v>33.71284844793167</v>
      </c>
      <c r="R230" s="6"/>
      <c r="S230" s="6" t="str">
        <f t="shared" si="67"/>
        <v/>
      </c>
      <c r="T230" s="6" t="str">
        <f t="shared" si="57"/>
        <v/>
      </c>
      <c r="U230" s="6" t="str">
        <f t="shared" si="58"/>
        <v/>
      </c>
      <c r="V230" s="6">
        <v>12.85</v>
      </c>
      <c r="W230" s="6">
        <f t="shared" si="68"/>
        <v>1.3406940063091399</v>
      </c>
      <c r="X230" s="6">
        <f t="shared" si="59"/>
        <v>13.636969932507251</v>
      </c>
      <c r="Y230" s="6">
        <f t="shared" si="60"/>
        <v>-12.29627592619811</v>
      </c>
      <c r="Z230" s="6"/>
      <c r="AA230" s="6" t="str">
        <f t="shared" si="69"/>
        <v/>
      </c>
      <c r="AB230" s="6" t="str">
        <f t="shared" si="61"/>
        <v/>
      </c>
      <c r="AC230" s="6" t="str">
        <f t="shared" si="62"/>
        <v/>
      </c>
    </row>
    <row r="231" spans="1:29" x14ac:dyDescent="0.2">
      <c r="A231" t="s">
        <v>315</v>
      </c>
      <c r="B231" s="6">
        <v>604</v>
      </c>
      <c r="C231" s="6">
        <f t="shared" si="63"/>
        <v>35.791366906474821</v>
      </c>
      <c r="D231" s="6">
        <f t="shared" si="49"/>
        <v>3.9615901115095595</v>
      </c>
      <c r="E231" s="6">
        <f t="shared" si="50"/>
        <v>31.829776794965262</v>
      </c>
      <c r="F231" s="6">
        <v>30.15</v>
      </c>
      <c r="G231" s="6">
        <f t="shared" si="64"/>
        <v>5.125523012552291</v>
      </c>
      <c r="H231" s="6">
        <f t="shared" si="51"/>
        <v>18.505339669572855</v>
      </c>
      <c r="I231" s="6">
        <f t="shared" si="52"/>
        <v>-13.379816657020564</v>
      </c>
      <c r="J231" s="6">
        <v>4586</v>
      </c>
      <c r="K231" s="6">
        <f t="shared" si="65"/>
        <v>0</v>
      </c>
      <c r="L231" s="6">
        <f t="shared" si="53"/>
        <v>6.4516470834471731</v>
      </c>
      <c r="M231" s="6">
        <f t="shared" si="54"/>
        <v>-6.4516470834471731</v>
      </c>
      <c r="N231" s="6">
        <v>1481</v>
      </c>
      <c r="O231" s="6">
        <f t="shared" si="66"/>
        <v>25.296108291032148</v>
      </c>
      <c r="P231" s="6">
        <f t="shared" si="55"/>
        <v>-8.0680770588539392</v>
      </c>
      <c r="Q231" s="6">
        <f t="shared" si="56"/>
        <v>33.364185349886085</v>
      </c>
      <c r="R231" s="6"/>
      <c r="S231" s="6" t="str">
        <f t="shared" si="67"/>
        <v/>
      </c>
      <c r="T231" s="6" t="str">
        <f t="shared" si="57"/>
        <v/>
      </c>
      <c r="U231" s="6" t="str">
        <f t="shared" si="58"/>
        <v/>
      </c>
      <c r="V231" s="6">
        <v>13.2</v>
      </c>
      <c r="W231" s="6">
        <f t="shared" si="68"/>
        <v>4.1009463722397443</v>
      </c>
      <c r="X231" s="6">
        <f t="shared" si="59"/>
        <v>10.514494553573654</v>
      </c>
      <c r="Y231" s="6">
        <f t="shared" si="60"/>
        <v>-6.4135481813339092</v>
      </c>
      <c r="Z231" s="6"/>
      <c r="AA231" s="6" t="str">
        <f t="shared" si="69"/>
        <v/>
      </c>
      <c r="AB231" s="6" t="str">
        <f t="shared" si="61"/>
        <v/>
      </c>
      <c r="AC231" s="6" t="str">
        <f t="shared" si="62"/>
        <v/>
      </c>
    </row>
    <row r="232" spans="1:29" x14ac:dyDescent="0.2">
      <c r="A232" t="s">
        <v>316</v>
      </c>
      <c r="B232" s="6">
        <v>604</v>
      </c>
      <c r="C232" s="6">
        <f t="shared" si="63"/>
        <v>20.558882235528952</v>
      </c>
      <c r="D232" s="6">
        <f t="shared" si="49"/>
        <v>3.065773564579386</v>
      </c>
      <c r="E232" s="6">
        <f t="shared" si="50"/>
        <v>17.493108670949567</v>
      </c>
      <c r="F232" s="6">
        <v>30.15</v>
      </c>
      <c r="G232" s="6">
        <f t="shared" si="64"/>
        <v>5.125523012552291</v>
      </c>
      <c r="H232" s="6">
        <f t="shared" si="51"/>
        <v>17.630341491916244</v>
      </c>
      <c r="I232" s="6">
        <f t="shared" si="52"/>
        <v>-12.504818479363953</v>
      </c>
      <c r="J232" s="6">
        <v>4586</v>
      </c>
      <c r="K232" s="6">
        <f t="shared" si="65"/>
        <v>0</v>
      </c>
      <c r="L232" s="6">
        <f t="shared" si="53"/>
        <v>6.0156608986320173</v>
      </c>
      <c r="M232" s="6">
        <f t="shared" si="54"/>
        <v>-6.0156608986320173</v>
      </c>
      <c r="N232" s="6">
        <v>1533</v>
      </c>
      <c r="O232" s="6">
        <f t="shared" si="66"/>
        <v>21.570182394924654</v>
      </c>
      <c r="P232" s="6">
        <f t="shared" si="55"/>
        <v>-6.7562273178222982</v>
      </c>
      <c r="Q232" s="6">
        <f t="shared" si="56"/>
        <v>28.326409712746951</v>
      </c>
      <c r="R232" s="6"/>
      <c r="S232" s="6" t="str">
        <f t="shared" si="67"/>
        <v/>
      </c>
      <c r="T232" s="6" t="str">
        <f t="shared" si="57"/>
        <v/>
      </c>
      <c r="U232" s="6" t="str">
        <f t="shared" si="58"/>
        <v/>
      </c>
      <c r="V232" s="6">
        <v>14.5</v>
      </c>
      <c r="W232" s="6">
        <f t="shared" si="68"/>
        <v>14.353312302839116</v>
      </c>
      <c r="X232" s="6">
        <f t="shared" si="59"/>
        <v>7.4495244322636109</v>
      </c>
      <c r="Y232" s="6">
        <f t="shared" si="60"/>
        <v>6.9037878705755054</v>
      </c>
      <c r="Z232" s="6"/>
      <c r="AA232" s="6" t="str">
        <f t="shared" si="69"/>
        <v/>
      </c>
      <c r="AB232" s="6" t="str">
        <f t="shared" si="61"/>
        <v/>
      </c>
      <c r="AC232" s="6" t="str">
        <f t="shared" si="62"/>
        <v/>
      </c>
    </row>
    <row r="233" spans="1:29" x14ac:dyDescent="0.2">
      <c r="A233" t="s">
        <v>317</v>
      </c>
      <c r="B233" s="6">
        <v>636</v>
      </c>
      <c r="C233" s="6">
        <f t="shared" si="63"/>
        <v>23.735408560311289</v>
      </c>
      <c r="D233" s="6">
        <f t="shared" si="49"/>
        <v>2.6864778988996094</v>
      </c>
      <c r="E233" s="6">
        <f t="shared" si="50"/>
        <v>21.048930661411678</v>
      </c>
      <c r="F233" s="6">
        <v>30.15</v>
      </c>
      <c r="G233" s="6">
        <f t="shared" si="64"/>
        <v>8.1808396124865457</v>
      </c>
      <c r="H233" s="6">
        <f t="shared" si="51"/>
        <v>16.755343314259633</v>
      </c>
      <c r="I233" s="6">
        <f t="shared" si="52"/>
        <v>-8.5745037017730876</v>
      </c>
      <c r="J233" s="6">
        <v>4586</v>
      </c>
      <c r="K233" s="6">
        <f t="shared" si="65"/>
        <v>0</v>
      </c>
      <c r="L233" s="6">
        <f t="shared" si="53"/>
        <v>5.5796747138168632</v>
      </c>
      <c r="M233" s="6">
        <f t="shared" si="54"/>
        <v>-5.5796747138168632</v>
      </c>
      <c r="N233" s="6">
        <v>1659</v>
      </c>
      <c r="O233" s="6">
        <f t="shared" si="66"/>
        <v>31.56225218080888</v>
      </c>
      <c r="P233" s="6">
        <f t="shared" si="55"/>
        <v>-5.4200649625507076</v>
      </c>
      <c r="Q233" s="6">
        <f t="shared" si="56"/>
        <v>36.982317143359587</v>
      </c>
      <c r="R233" s="6"/>
      <c r="S233" s="6" t="str">
        <f t="shared" si="67"/>
        <v/>
      </c>
      <c r="T233" s="6" t="str">
        <f t="shared" si="57"/>
        <v/>
      </c>
      <c r="U233" s="6" t="str">
        <f t="shared" si="58"/>
        <v/>
      </c>
      <c r="V233" s="6">
        <v>17.45</v>
      </c>
      <c r="W233" s="6">
        <f t="shared" si="68"/>
        <v>37.835703001579766</v>
      </c>
      <c r="X233" s="6">
        <f t="shared" si="59"/>
        <v>4.5981452678410539</v>
      </c>
      <c r="Y233" s="6">
        <f t="shared" si="60"/>
        <v>33.237557733738711</v>
      </c>
      <c r="Z233" s="6"/>
      <c r="AA233" s="6" t="str">
        <f t="shared" si="69"/>
        <v/>
      </c>
      <c r="AB233" s="6" t="str">
        <f t="shared" si="61"/>
        <v/>
      </c>
      <c r="AC233" s="6" t="str">
        <f t="shared" si="62"/>
        <v/>
      </c>
    </row>
    <row r="234" spans="1:29" x14ac:dyDescent="0.2">
      <c r="A234" t="s">
        <v>318</v>
      </c>
      <c r="B234" s="6">
        <v>694</v>
      </c>
      <c r="C234" s="6">
        <f t="shared" si="63"/>
        <v>24.372759856630832</v>
      </c>
      <c r="D234" s="6">
        <f t="shared" si="49"/>
        <v>3.1427019607193354</v>
      </c>
      <c r="E234" s="6">
        <f t="shared" si="50"/>
        <v>21.230057895911497</v>
      </c>
      <c r="F234" s="6">
        <v>30.15</v>
      </c>
      <c r="G234" s="6">
        <f t="shared" si="64"/>
        <v>11.419068736141913</v>
      </c>
      <c r="H234" s="6">
        <f t="shared" si="51"/>
        <v>15.698473348124468</v>
      </c>
      <c r="I234" s="6">
        <f t="shared" si="52"/>
        <v>-4.2794046119825548</v>
      </c>
      <c r="J234" s="6">
        <v>4546</v>
      </c>
      <c r="K234" s="6">
        <f t="shared" si="65"/>
        <v>-0.87221979938945093</v>
      </c>
      <c r="L234" s="6">
        <f t="shared" si="53"/>
        <v>5.0783097411163185</v>
      </c>
      <c r="M234" s="6">
        <f t="shared" si="54"/>
        <v>-5.9505295405057694</v>
      </c>
      <c r="N234" s="6">
        <v>1944</v>
      </c>
      <c r="O234" s="6">
        <f t="shared" si="66"/>
        <v>59.737058340180774</v>
      </c>
      <c r="P234" s="6">
        <f t="shared" si="55"/>
        <v>-3.9207382087510552</v>
      </c>
      <c r="Q234" s="6">
        <f t="shared" si="56"/>
        <v>63.657796548931827</v>
      </c>
      <c r="R234" s="6"/>
      <c r="S234" s="6" t="str">
        <f t="shared" si="67"/>
        <v/>
      </c>
      <c r="T234" s="6" t="str">
        <f t="shared" si="57"/>
        <v/>
      </c>
      <c r="U234" s="6" t="str">
        <f t="shared" si="58"/>
        <v/>
      </c>
      <c r="V234" s="6">
        <v>20.75</v>
      </c>
      <c r="W234" s="6">
        <f t="shared" si="68"/>
        <v>63.902053712480253</v>
      </c>
      <c r="X234" s="6">
        <f t="shared" si="59"/>
        <v>5.7998506188355039</v>
      </c>
      <c r="Y234" s="6">
        <f t="shared" si="60"/>
        <v>58.102203093644746</v>
      </c>
      <c r="Z234" s="6"/>
      <c r="AA234" s="6" t="str">
        <f t="shared" si="69"/>
        <v/>
      </c>
      <c r="AB234" s="6" t="str">
        <f t="shared" si="61"/>
        <v/>
      </c>
      <c r="AC234" s="6" t="str">
        <f t="shared" si="62"/>
        <v/>
      </c>
    </row>
    <row r="235" spans="1:29" x14ac:dyDescent="0.2">
      <c r="A235" t="s">
        <v>319</v>
      </c>
      <c r="B235" s="6">
        <v>688</v>
      </c>
      <c r="C235" s="6">
        <f t="shared" si="63"/>
        <v>15.050167224080258</v>
      </c>
      <c r="D235" s="6">
        <f t="shared" si="49"/>
        <v>4.1799187132727171</v>
      </c>
      <c r="E235" s="6">
        <f t="shared" si="50"/>
        <v>10.870248510807542</v>
      </c>
      <c r="F235" s="6">
        <v>30.15</v>
      </c>
      <c r="G235" s="6">
        <f t="shared" si="64"/>
        <v>11.419068736141913</v>
      </c>
      <c r="H235" s="6">
        <f t="shared" si="51"/>
        <v>14.709066488732121</v>
      </c>
      <c r="I235" s="6">
        <f t="shared" si="52"/>
        <v>-3.2899977525902084</v>
      </c>
      <c r="J235" s="6">
        <v>4819</v>
      </c>
      <c r="K235" s="6">
        <f t="shared" si="65"/>
        <v>5.0806803314435323</v>
      </c>
      <c r="L235" s="6">
        <f t="shared" si="53"/>
        <v>4.5587735225951613</v>
      </c>
      <c r="M235" s="6">
        <f t="shared" si="54"/>
        <v>0.52190680884837093</v>
      </c>
      <c r="N235" s="6">
        <v>2050</v>
      </c>
      <c r="O235" s="6">
        <f t="shared" si="66"/>
        <v>63.476874003189799</v>
      </c>
      <c r="P235" s="6">
        <f t="shared" si="55"/>
        <v>-1.744229716163743</v>
      </c>
      <c r="Q235" s="6">
        <f t="shared" si="56"/>
        <v>65.221103719353536</v>
      </c>
      <c r="R235" s="6"/>
      <c r="S235" s="6" t="str">
        <f t="shared" si="67"/>
        <v/>
      </c>
      <c r="T235" s="6" t="str">
        <f t="shared" si="57"/>
        <v/>
      </c>
      <c r="U235" s="6" t="str">
        <f t="shared" si="58"/>
        <v/>
      </c>
      <c r="V235" s="6">
        <v>22.02</v>
      </c>
      <c r="W235" s="6">
        <f t="shared" si="68"/>
        <v>73.933649289099506</v>
      </c>
      <c r="X235" s="6">
        <f t="shared" si="59"/>
        <v>7.5446049429737139</v>
      </c>
      <c r="Y235" s="6">
        <f t="shared" si="60"/>
        <v>66.389044346125786</v>
      </c>
      <c r="Z235" s="6"/>
      <c r="AA235" s="6" t="str">
        <f t="shared" si="69"/>
        <v/>
      </c>
      <c r="AB235" s="6" t="str">
        <f t="shared" si="61"/>
        <v/>
      </c>
      <c r="AC235" s="6" t="str">
        <f t="shared" si="62"/>
        <v/>
      </c>
    </row>
    <row r="236" spans="1:29" x14ac:dyDescent="0.2">
      <c r="A236" t="s">
        <v>320</v>
      </c>
      <c r="B236" s="6">
        <v>666</v>
      </c>
      <c r="C236" s="6">
        <f t="shared" si="63"/>
        <v>10.447761194029859</v>
      </c>
      <c r="D236" s="6">
        <f t="shared" si="49"/>
        <v>5.0024466093185689</v>
      </c>
      <c r="E236" s="6">
        <f t="shared" si="50"/>
        <v>5.4453145847112898</v>
      </c>
      <c r="F236" s="6">
        <v>30.15</v>
      </c>
      <c r="G236" s="6">
        <f t="shared" si="64"/>
        <v>11.419068736141913</v>
      </c>
      <c r="H236" s="6">
        <f t="shared" si="51"/>
        <v>13.719659629339775</v>
      </c>
      <c r="I236" s="6">
        <f t="shared" si="52"/>
        <v>-2.300590893197862</v>
      </c>
      <c r="J236" s="6">
        <v>5379</v>
      </c>
      <c r="K236" s="6">
        <f t="shared" si="65"/>
        <v>14.544293015332199</v>
      </c>
      <c r="L236" s="6">
        <f t="shared" si="53"/>
        <v>4.1632560567996899</v>
      </c>
      <c r="M236" s="6">
        <f t="shared" si="54"/>
        <v>10.381036958532508</v>
      </c>
      <c r="N236" s="6">
        <v>2100</v>
      </c>
      <c r="O236" s="6">
        <f t="shared" si="66"/>
        <v>63.424124513618672</v>
      </c>
      <c r="P236" s="6">
        <f t="shared" si="55"/>
        <v>0.64075527919140252</v>
      </c>
      <c r="Q236" s="6">
        <f t="shared" si="56"/>
        <v>62.783369234427269</v>
      </c>
      <c r="R236" s="6"/>
      <c r="S236" s="6" t="str">
        <f t="shared" si="67"/>
        <v/>
      </c>
      <c r="T236" s="6" t="str">
        <f t="shared" si="57"/>
        <v/>
      </c>
      <c r="U236" s="6" t="str">
        <f t="shared" si="58"/>
        <v/>
      </c>
      <c r="V236" s="6">
        <v>22.43</v>
      </c>
      <c r="W236" s="6">
        <f t="shared" si="68"/>
        <v>76.892744479495278</v>
      </c>
      <c r="X236" s="6">
        <f t="shared" si="59"/>
        <v>9.4983508416248252</v>
      </c>
      <c r="Y236" s="6">
        <f t="shared" si="60"/>
        <v>67.394393637870451</v>
      </c>
      <c r="Z236" s="6"/>
      <c r="AA236" s="6" t="str">
        <f t="shared" si="69"/>
        <v/>
      </c>
      <c r="AB236" s="6" t="str">
        <f t="shared" si="61"/>
        <v/>
      </c>
      <c r="AC236" s="6" t="str">
        <f t="shared" si="62"/>
        <v/>
      </c>
    </row>
    <row r="237" spans="1:29" x14ac:dyDescent="0.2">
      <c r="A237" t="s">
        <v>321</v>
      </c>
      <c r="B237" s="6">
        <v>665</v>
      </c>
      <c r="C237" s="6">
        <f t="shared" si="63"/>
        <v>6.5705128205128194</v>
      </c>
      <c r="D237" s="6">
        <f t="shared" si="49"/>
        <v>5.7724622961365766</v>
      </c>
      <c r="E237" s="6">
        <f t="shared" si="50"/>
        <v>0.7980505243762428</v>
      </c>
      <c r="F237" s="6">
        <v>30.15</v>
      </c>
      <c r="G237" s="6">
        <f t="shared" si="64"/>
        <v>5.3827333100314512</v>
      </c>
      <c r="H237" s="6">
        <f t="shared" si="51"/>
        <v>12.730252769947441</v>
      </c>
      <c r="I237" s="6">
        <f t="shared" si="52"/>
        <v>-7.3475194599159899</v>
      </c>
      <c r="J237" s="6">
        <v>5968</v>
      </c>
      <c r="K237" s="6">
        <f t="shared" si="65"/>
        <v>27.086882453151627</v>
      </c>
      <c r="L237" s="6">
        <f t="shared" si="53"/>
        <v>3.9648971885852311</v>
      </c>
      <c r="M237" s="6">
        <f t="shared" si="54"/>
        <v>23.121985264566398</v>
      </c>
      <c r="N237" s="6">
        <v>1926</v>
      </c>
      <c r="O237" s="6">
        <f t="shared" si="66"/>
        <v>47.812739831158858</v>
      </c>
      <c r="P237" s="6">
        <f t="shared" si="55"/>
        <v>3.1320507465457035</v>
      </c>
      <c r="Q237" s="6">
        <f t="shared" si="56"/>
        <v>44.680689084613157</v>
      </c>
      <c r="R237" s="6"/>
      <c r="S237" s="6" t="str">
        <f t="shared" si="67"/>
        <v/>
      </c>
      <c r="T237" s="6" t="str">
        <f t="shared" si="57"/>
        <v/>
      </c>
      <c r="U237" s="6" t="str">
        <f t="shared" si="58"/>
        <v/>
      </c>
      <c r="V237" s="6">
        <v>33.5</v>
      </c>
      <c r="W237" s="6">
        <f t="shared" si="68"/>
        <v>163.77952755905514</v>
      </c>
      <c r="X237" s="6">
        <f t="shared" si="59"/>
        <v>11.135660376771542</v>
      </c>
      <c r="Y237" s="6">
        <f t="shared" si="60"/>
        <v>152.6438671822836</v>
      </c>
      <c r="Z237" s="6"/>
      <c r="AA237" s="6" t="str">
        <f t="shared" si="69"/>
        <v/>
      </c>
      <c r="AB237" s="6" t="str">
        <f t="shared" si="61"/>
        <v/>
      </c>
      <c r="AC237" s="6" t="str">
        <f t="shared" si="62"/>
        <v/>
      </c>
    </row>
    <row r="238" spans="1:29" x14ac:dyDescent="0.2">
      <c r="A238" t="s">
        <v>322</v>
      </c>
      <c r="B238" s="6">
        <v>675</v>
      </c>
      <c r="C238" s="6">
        <f t="shared" si="63"/>
        <v>3.2110091743119185</v>
      </c>
      <c r="D238" s="6">
        <f t="shared" si="49"/>
        <v>6.6129264527065006</v>
      </c>
      <c r="E238" s="6">
        <f t="shared" si="50"/>
        <v>-3.4019172783945821</v>
      </c>
      <c r="F238" s="6">
        <v>30.15</v>
      </c>
      <c r="G238" s="6">
        <f t="shared" si="64"/>
        <v>0</v>
      </c>
      <c r="H238" s="6">
        <f t="shared" si="51"/>
        <v>11.615088922511118</v>
      </c>
      <c r="I238" s="6">
        <f t="shared" si="52"/>
        <v>-11.615088922511118</v>
      </c>
      <c r="J238" s="6">
        <v>6519</v>
      </c>
      <c r="K238" s="6">
        <f t="shared" si="65"/>
        <v>40.34445640473627</v>
      </c>
      <c r="L238" s="6">
        <f t="shared" si="53"/>
        <v>4.0278422669920113</v>
      </c>
      <c r="M238" s="6">
        <f t="shared" si="54"/>
        <v>36.31661413774426</v>
      </c>
      <c r="N238" s="6">
        <v>1877.9</v>
      </c>
      <c r="O238" s="6">
        <f t="shared" si="66"/>
        <v>40.877719429857471</v>
      </c>
      <c r="P238" s="6">
        <f t="shared" si="55"/>
        <v>5.3031532602268916</v>
      </c>
      <c r="Q238" s="6">
        <f t="shared" si="56"/>
        <v>35.574566169630579</v>
      </c>
      <c r="R238" s="6"/>
      <c r="S238" s="6" t="str">
        <f t="shared" si="67"/>
        <v/>
      </c>
      <c r="T238" s="6" t="str">
        <f t="shared" si="57"/>
        <v/>
      </c>
      <c r="U238" s="6" t="str">
        <f t="shared" si="58"/>
        <v/>
      </c>
      <c r="V238" s="6">
        <v>34.67</v>
      </c>
      <c r="W238" s="6">
        <f t="shared" si="68"/>
        <v>172.3487824037706</v>
      </c>
      <c r="X238" s="6">
        <f t="shared" si="59"/>
        <v>14.583111226075758</v>
      </c>
      <c r="Y238" s="6">
        <f t="shared" si="60"/>
        <v>157.76567117769486</v>
      </c>
      <c r="Z238" s="6"/>
      <c r="AA238" s="6" t="str">
        <f t="shared" si="69"/>
        <v/>
      </c>
      <c r="AB238" s="6" t="str">
        <f t="shared" si="61"/>
        <v/>
      </c>
      <c r="AC238" s="6" t="str">
        <f t="shared" si="62"/>
        <v/>
      </c>
    </row>
    <row r="239" spans="1:29" x14ac:dyDescent="0.2">
      <c r="A239" t="s">
        <v>323</v>
      </c>
      <c r="B239" s="6">
        <v>678</v>
      </c>
      <c r="C239" s="6">
        <f t="shared" si="63"/>
        <v>9.0032154340836001</v>
      </c>
      <c r="D239" s="6">
        <f t="shared" si="49"/>
        <v>7.5338264994263353</v>
      </c>
      <c r="E239" s="6">
        <f t="shared" si="50"/>
        <v>1.4693889346572648</v>
      </c>
      <c r="F239" s="6">
        <v>30.15</v>
      </c>
      <c r="G239" s="6">
        <f t="shared" si="64"/>
        <v>0</v>
      </c>
      <c r="H239" s="6">
        <f t="shared" si="51"/>
        <v>10.387784797782484</v>
      </c>
      <c r="I239" s="6">
        <f t="shared" si="52"/>
        <v>-10.387784797782484</v>
      </c>
      <c r="J239" s="6">
        <v>6614</v>
      </c>
      <c r="K239" s="6">
        <f t="shared" si="65"/>
        <v>44.221543829044933</v>
      </c>
      <c r="L239" s="6">
        <f t="shared" si="53"/>
        <v>4.3669868027234697</v>
      </c>
      <c r="M239" s="6">
        <f t="shared" si="54"/>
        <v>39.854557026321466</v>
      </c>
      <c r="N239" s="6">
        <v>1814</v>
      </c>
      <c r="O239" s="6">
        <f t="shared" si="66"/>
        <v>35.676888556469713</v>
      </c>
      <c r="P239" s="6">
        <f t="shared" si="55"/>
        <v>7.2194923603707801</v>
      </c>
      <c r="Q239" s="6">
        <f t="shared" si="56"/>
        <v>28.457396196098934</v>
      </c>
      <c r="R239" s="6"/>
      <c r="S239" s="6" t="str">
        <f t="shared" si="67"/>
        <v/>
      </c>
      <c r="T239" s="6" t="str">
        <f t="shared" si="57"/>
        <v/>
      </c>
      <c r="U239" s="6" t="str">
        <f t="shared" si="58"/>
        <v/>
      </c>
      <c r="V239" s="6">
        <v>33.5</v>
      </c>
      <c r="W239" s="6">
        <f t="shared" si="68"/>
        <v>162.33359436178546</v>
      </c>
      <c r="X239" s="6">
        <f t="shared" si="59"/>
        <v>18.209088217978209</v>
      </c>
      <c r="Y239" s="6">
        <f t="shared" si="60"/>
        <v>144.12450614380725</v>
      </c>
      <c r="Z239" s="6"/>
      <c r="AA239" s="6" t="str">
        <f t="shared" si="69"/>
        <v/>
      </c>
      <c r="AB239" s="6" t="str">
        <f t="shared" si="61"/>
        <v/>
      </c>
      <c r="AC239" s="6" t="str">
        <f t="shared" si="62"/>
        <v/>
      </c>
    </row>
    <row r="240" spans="1:29" x14ac:dyDescent="0.2">
      <c r="A240" t="s">
        <v>324</v>
      </c>
      <c r="B240" s="6">
        <v>652</v>
      </c>
      <c r="C240" s="6">
        <f t="shared" si="63"/>
        <v>11.452991452991457</v>
      </c>
      <c r="D240" s="6">
        <f t="shared" si="49"/>
        <v>8.4310336031143986</v>
      </c>
      <c r="E240" s="6">
        <f t="shared" si="50"/>
        <v>3.0219578498770581</v>
      </c>
      <c r="F240" s="6">
        <v>31.26</v>
      </c>
      <c r="G240" s="6">
        <f t="shared" si="64"/>
        <v>3.6815920398010071</v>
      </c>
      <c r="H240" s="6">
        <f t="shared" si="51"/>
        <v>9.1604806730538471</v>
      </c>
      <c r="I240" s="6">
        <f t="shared" si="52"/>
        <v>-5.4788886332528399</v>
      </c>
      <c r="J240" s="6">
        <v>6614</v>
      </c>
      <c r="K240" s="6">
        <f t="shared" si="65"/>
        <v>44.221543829044933</v>
      </c>
      <c r="L240" s="6">
        <f t="shared" si="53"/>
        <v>5.1084863393678388</v>
      </c>
      <c r="M240" s="6">
        <f t="shared" si="54"/>
        <v>39.113057489677097</v>
      </c>
      <c r="N240" s="6">
        <v>1976.4</v>
      </c>
      <c r="O240" s="6">
        <f t="shared" si="66"/>
        <v>38.597475455820486</v>
      </c>
      <c r="P240" s="6">
        <f t="shared" si="55"/>
        <v>8.7190832800371272</v>
      </c>
      <c r="Q240" s="6">
        <f t="shared" si="56"/>
        <v>29.878392175783361</v>
      </c>
      <c r="R240" s="6"/>
      <c r="S240" s="6" t="str">
        <f t="shared" si="67"/>
        <v/>
      </c>
      <c r="T240" s="6" t="str">
        <f t="shared" si="57"/>
        <v/>
      </c>
      <c r="U240" s="6" t="str">
        <f t="shared" si="58"/>
        <v/>
      </c>
      <c r="V240" s="6">
        <v>34</v>
      </c>
      <c r="W240" s="6">
        <f t="shared" si="68"/>
        <v>165.83268178264271</v>
      </c>
      <c r="X240" s="6">
        <f t="shared" si="59"/>
        <v>21.501454767182071</v>
      </c>
      <c r="Y240" s="6">
        <f t="shared" si="60"/>
        <v>144.33122701546063</v>
      </c>
      <c r="Z240" s="6"/>
      <c r="AA240" s="6" t="str">
        <f t="shared" si="69"/>
        <v/>
      </c>
      <c r="AB240" s="6" t="str">
        <f t="shared" si="61"/>
        <v/>
      </c>
      <c r="AC240" s="6" t="str">
        <f t="shared" si="62"/>
        <v/>
      </c>
    </row>
    <row r="241" spans="1:29" x14ac:dyDescent="0.2">
      <c r="A241" t="s">
        <v>325</v>
      </c>
      <c r="B241" s="6">
        <v>640</v>
      </c>
      <c r="C241" s="6">
        <f t="shared" si="63"/>
        <v>4.0650406504065151</v>
      </c>
      <c r="D241" s="6">
        <f t="shared" si="49"/>
        <v>9.4001953608251512</v>
      </c>
      <c r="E241" s="6">
        <f t="shared" si="50"/>
        <v>-5.3351547104186361</v>
      </c>
      <c r="F241" s="6">
        <v>31.26</v>
      </c>
      <c r="G241" s="6">
        <f t="shared" si="64"/>
        <v>3.6815920398010071</v>
      </c>
      <c r="H241" s="6">
        <f t="shared" si="51"/>
        <v>8.0098763824877235</v>
      </c>
      <c r="I241" s="6">
        <f t="shared" si="52"/>
        <v>-4.3282843426867164</v>
      </c>
      <c r="J241" s="6">
        <v>6614</v>
      </c>
      <c r="K241" s="6">
        <f t="shared" si="65"/>
        <v>44.221543829044933</v>
      </c>
      <c r="L241" s="6">
        <f t="shared" si="53"/>
        <v>5.8499858760122079</v>
      </c>
      <c r="M241" s="6">
        <f t="shared" si="54"/>
        <v>38.371557953032728</v>
      </c>
      <c r="N241" s="6">
        <v>2095.9</v>
      </c>
      <c r="O241" s="6">
        <f t="shared" si="66"/>
        <v>45.346740638002771</v>
      </c>
      <c r="P241" s="6">
        <f t="shared" si="55"/>
        <v>10.130783278411259</v>
      </c>
      <c r="Q241" s="6">
        <f t="shared" si="56"/>
        <v>35.215957359591513</v>
      </c>
      <c r="R241" s="6"/>
      <c r="S241" s="6" t="str">
        <f t="shared" si="67"/>
        <v/>
      </c>
      <c r="T241" s="6" t="str">
        <f t="shared" si="57"/>
        <v/>
      </c>
      <c r="U241" s="6" t="str">
        <f t="shared" si="58"/>
        <v/>
      </c>
      <c r="V241" s="6">
        <v>35.5</v>
      </c>
      <c r="W241" s="6">
        <f t="shared" si="68"/>
        <v>177.34375</v>
      </c>
      <c r="X241" s="6">
        <f t="shared" si="59"/>
        <v>24.866718970987137</v>
      </c>
      <c r="Y241" s="6">
        <f t="shared" si="60"/>
        <v>152.47703102901286</v>
      </c>
      <c r="Z241" s="6"/>
      <c r="AA241" s="6" t="str">
        <f t="shared" si="69"/>
        <v/>
      </c>
      <c r="AB241" s="6" t="str">
        <f t="shared" si="61"/>
        <v/>
      </c>
      <c r="AC241" s="6" t="str">
        <f t="shared" si="62"/>
        <v/>
      </c>
    </row>
    <row r="242" spans="1:29" x14ac:dyDescent="0.2">
      <c r="A242" t="s">
        <v>326</v>
      </c>
      <c r="B242" s="6">
        <v>602</v>
      </c>
      <c r="C242" s="6">
        <f t="shared" si="63"/>
        <v>-3.3707865168539297</v>
      </c>
      <c r="D242" s="6">
        <f t="shared" si="49"/>
        <v>10.352533888137403</v>
      </c>
      <c r="E242" s="6">
        <f t="shared" si="50"/>
        <v>-13.723320404991332</v>
      </c>
      <c r="F242" s="6">
        <v>32.369999999999997</v>
      </c>
      <c r="G242" s="6">
        <f t="shared" si="64"/>
        <v>7.3631840796019921</v>
      </c>
      <c r="H242" s="6">
        <f t="shared" si="51"/>
        <v>6.8592720919216097</v>
      </c>
      <c r="I242" s="6">
        <f t="shared" si="52"/>
        <v>0.50391198768038237</v>
      </c>
      <c r="J242" s="6">
        <v>6614</v>
      </c>
      <c r="K242" s="6">
        <f t="shared" si="65"/>
        <v>44.221543829044933</v>
      </c>
      <c r="L242" s="6">
        <f t="shared" si="53"/>
        <v>6.3764613054407553</v>
      </c>
      <c r="M242" s="6">
        <f t="shared" si="54"/>
        <v>37.845082523604177</v>
      </c>
      <c r="N242" s="6">
        <v>2075.9</v>
      </c>
      <c r="O242" s="6">
        <f t="shared" si="66"/>
        <v>37.841965471447558</v>
      </c>
      <c r="P242" s="6">
        <f t="shared" si="55"/>
        <v>11.432690654620934</v>
      </c>
      <c r="Q242" s="6">
        <f t="shared" si="56"/>
        <v>26.409274816826624</v>
      </c>
      <c r="R242" s="6"/>
      <c r="S242" s="6" t="str">
        <f t="shared" si="67"/>
        <v/>
      </c>
      <c r="T242" s="6" t="str">
        <f t="shared" si="57"/>
        <v/>
      </c>
      <c r="U242" s="6" t="str">
        <f t="shared" si="58"/>
        <v/>
      </c>
      <c r="V242" s="6">
        <v>37.25</v>
      </c>
      <c r="W242" s="6">
        <f t="shared" si="68"/>
        <v>189.88326848249025</v>
      </c>
      <c r="X242" s="6">
        <f t="shared" si="59"/>
        <v>28.471797095987132</v>
      </c>
      <c r="Y242" s="6">
        <f t="shared" si="60"/>
        <v>161.41147138650311</v>
      </c>
      <c r="Z242" s="6"/>
      <c r="AA242" s="6" t="str">
        <f t="shared" si="69"/>
        <v/>
      </c>
      <c r="AB242" s="6" t="str">
        <f t="shared" si="61"/>
        <v/>
      </c>
      <c r="AC242" s="6" t="str">
        <f t="shared" si="62"/>
        <v/>
      </c>
    </row>
    <row r="243" spans="1:29" x14ac:dyDescent="0.2">
      <c r="A243" t="s">
        <v>327</v>
      </c>
      <c r="B243" s="6">
        <v>620</v>
      </c>
      <c r="C243" s="6">
        <f t="shared" si="63"/>
        <v>2.6490066225165476</v>
      </c>
      <c r="D243" s="6">
        <f t="shared" si="49"/>
        <v>11.343552726887671</v>
      </c>
      <c r="E243" s="6">
        <f t="shared" si="50"/>
        <v>-8.6945461043711241</v>
      </c>
      <c r="F243" s="6">
        <v>32.369999999999997</v>
      </c>
      <c r="G243" s="6">
        <f t="shared" si="64"/>
        <v>7.3631840796019921</v>
      </c>
      <c r="H243" s="6">
        <f t="shared" si="51"/>
        <v>5.7853676355180186</v>
      </c>
      <c r="I243" s="6">
        <f t="shared" si="52"/>
        <v>1.5778164440839735</v>
      </c>
      <c r="J243" s="6">
        <v>6614</v>
      </c>
      <c r="K243" s="6">
        <f t="shared" si="65"/>
        <v>44.221543829044933</v>
      </c>
      <c r="L243" s="6">
        <f t="shared" si="53"/>
        <v>6.9029367348693045</v>
      </c>
      <c r="M243" s="6">
        <f t="shared" si="54"/>
        <v>37.318607094175626</v>
      </c>
      <c r="N243" s="6">
        <v>2090</v>
      </c>
      <c r="O243" s="6">
        <f t="shared" si="66"/>
        <v>41.120864280891297</v>
      </c>
      <c r="P243" s="6">
        <f t="shared" si="55"/>
        <v>12.548726740633064</v>
      </c>
      <c r="Q243" s="6">
        <f t="shared" si="56"/>
        <v>28.572137540258232</v>
      </c>
      <c r="R243" s="6"/>
      <c r="S243" s="6" t="str">
        <f t="shared" si="67"/>
        <v/>
      </c>
      <c r="T243" s="6" t="str">
        <f t="shared" si="57"/>
        <v/>
      </c>
      <c r="U243" s="6" t="str">
        <f t="shared" si="58"/>
        <v/>
      </c>
      <c r="V243" s="6">
        <v>40.75</v>
      </c>
      <c r="W243" s="6">
        <f t="shared" si="68"/>
        <v>208.71212121212125</v>
      </c>
      <c r="X243" s="6">
        <f t="shared" si="59"/>
        <v>32.395336063158751</v>
      </c>
      <c r="Y243" s="6">
        <f t="shared" si="60"/>
        <v>176.31678514896248</v>
      </c>
      <c r="Z243" s="6"/>
      <c r="AA243" s="6" t="str">
        <f t="shared" si="69"/>
        <v/>
      </c>
      <c r="AB243" s="6" t="str">
        <f t="shared" si="61"/>
        <v/>
      </c>
      <c r="AC243" s="6" t="str">
        <f t="shared" si="62"/>
        <v/>
      </c>
    </row>
    <row r="244" spans="1:29" x14ac:dyDescent="0.2">
      <c r="A244" t="s">
        <v>328</v>
      </c>
      <c r="B244" s="6">
        <v>630</v>
      </c>
      <c r="C244" s="6">
        <f t="shared" si="63"/>
        <v>4.3046357615894149</v>
      </c>
      <c r="D244" s="6">
        <f t="shared" si="49"/>
        <v>12.453883703445053</v>
      </c>
      <c r="E244" s="6">
        <f t="shared" si="50"/>
        <v>-8.1492479418556378</v>
      </c>
      <c r="F244" s="6">
        <v>32.369999999999997</v>
      </c>
      <c r="G244" s="6">
        <f t="shared" si="64"/>
        <v>7.3631840796019921</v>
      </c>
      <c r="H244" s="6">
        <f t="shared" si="51"/>
        <v>4.7114631791144275</v>
      </c>
      <c r="I244" s="6">
        <f t="shared" si="52"/>
        <v>2.6517209004875646</v>
      </c>
      <c r="J244" s="6">
        <v>6945</v>
      </c>
      <c r="K244" s="6">
        <f t="shared" si="65"/>
        <v>51.43916266899258</v>
      </c>
      <c r="L244" s="6">
        <f t="shared" si="53"/>
        <v>7.4294121642978519</v>
      </c>
      <c r="M244" s="6">
        <f t="shared" si="54"/>
        <v>44.009750504694729</v>
      </c>
      <c r="N244" s="6">
        <v>2214</v>
      </c>
      <c r="O244" s="6">
        <f t="shared" si="66"/>
        <v>44.422700587084151</v>
      </c>
      <c r="P244" s="6">
        <f t="shared" si="55"/>
        <v>13.753932624417251</v>
      </c>
      <c r="Q244" s="6">
        <f t="shared" si="56"/>
        <v>30.668767962666898</v>
      </c>
      <c r="R244" s="6"/>
      <c r="S244" s="6" t="str">
        <f t="shared" si="67"/>
        <v/>
      </c>
      <c r="T244" s="6" t="str">
        <f t="shared" si="57"/>
        <v/>
      </c>
      <c r="U244" s="6" t="str">
        <f t="shared" si="58"/>
        <v/>
      </c>
      <c r="V244" s="6">
        <v>39.75</v>
      </c>
      <c r="W244" s="6">
        <f t="shared" si="68"/>
        <v>174.13793103448273</v>
      </c>
      <c r="X244" s="6">
        <f t="shared" si="59"/>
        <v>36.711142795531018</v>
      </c>
      <c r="Y244" s="6">
        <f t="shared" si="60"/>
        <v>137.4267882389517</v>
      </c>
      <c r="Z244" s="6"/>
      <c r="AA244" s="6" t="str">
        <f t="shared" si="69"/>
        <v/>
      </c>
      <c r="AB244" s="6" t="str">
        <f t="shared" si="61"/>
        <v/>
      </c>
      <c r="AC244" s="6" t="str">
        <f t="shared" si="62"/>
        <v/>
      </c>
    </row>
    <row r="245" spans="1:29" x14ac:dyDescent="0.2">
      <c r="A245" t="s">
        <v>329</v>
      </c>
      <c r="B245" s="6">
        <v>662</v>
      </c>
      <c r="C245" s="6">
        <f t="shared" si="63"/>
        <v>4.088050314465419</v>
      </c>
      <c r="D245" s="6">
        <f t="shared" si="49"/>
        <v>13.51480451117826</v>
      </c>
      <c r="E245" s="6">
        <f t="shared" si="50"/>
        <v>-9.4267541967128423</v>
      </c>
      <c r="F245" s="6">
        <v>32.369999999999997</v>
      </c>
      <c r="G245" s="6">
        <f t="shared" si="64"/>
        <v>7.3631840796019921</v>
      </c>
      <c r="H245" s="6">
        <f t="shared" si="51"/>
        <v>3.6375587227108306</v>
      </c>
      <c r="I245" s="6">
        <f t="shared" si="52"/>
        <v>3.7256253568911615</v>
      </c>
      <c r="J245" s="6">
        <v>6584.8</v>
      </c>
      <c r="K245" s="6">
        <f t="shared" si="65"/>
        <v>43.584823375490636</v>
      </c>
      <c r="L245" s="6">
        <f t="shared" si="53"/>
        <v>8.106254652891975</v>
      </c>
      <c r="M245" s="6">
        <f t="shared" si="54"/>
        <v>35.478568722598659</v>
      </c>
      <c r="N245" s="6">
        <v>2601</v>
      </c>
      <c r="O245" s="6">
        <f t="shared" si="66"/>
        <v>56.781193490054264</v>
      </c>
      <c r="P245" s="6">
        <f t="shared" si="55"/>
        <v>14.902446670459911</v>
      </c>
      <c r="Q245" s="6">
        <f t="shared" si="56"/>
        <v>41.878746819594355</v>
      </c>
      <c r="R245" s="6"/>
      <c r="S245" s="6" t="str">
        <f t="shared" si="67"/>
        <v/>
      </c>
      <c r="T245" s="6" t="str">
        <f t="shared" si="57"/>
        <v/>
      </c>
      <c r="U245" s="6" t="str">
        <f t="shared" si="58"/>
        <v/>
      </c>
      <c r="V245" s="6">
        <v>39</v>
      </c>
      <c r="W245" s="6">
        <f t="shared" si="68"/>
        <v>123.49570200573066</v>
      </c>
      <c r="X245" s="6">
        <f t="shared" si="59"/>
        <v>40.30665389920248</v>
      </c>
      <c r="Y245" s="6">
        <f t="shared" si="60"/>
        <v>83.18904810652819</v>
      </c>
      <c r="Z245" s="6"/>
      <c r="AA245" s="6" t="str">
        <f t="shared" si="69"/>
        <v/>
      </c>
      <c r="AB245" s="6" t="str">
        <f t="shared" si="61"/>
        <v/>
      </c>
      <c r="AC245" s="6" t="str">
        <f t="shared" si="62"/>
        <v/>
      </c>
    </row>
    <row r="246" spans="1:29" x14ac:dyDescent="0.2">
      <c r="A246" t="s">
        <v>330</v>
      </c>
      <c r="B246" s="6">
        <v>672</v>
      </c>
      <c r="C246" s="6">
        <f t="shared" si="63"/>
        <v>-3.1700288184438041</v>
      </c>
      <c r="D246" s="6">
        <f t="shared" si="49"/>
        <v>14.432457239070535</v>
      </c>
      <c r="E246" s="6">
        <f t="shared" si="50"/>
        <v>-17.602486057514341</v>
      </c>
      <c r="F246" s="6">
        <v>32.369999999999997</v>
      </c>
      <c r="G246" s="6">
        <f t="shared" si="64"/>
        <v>7.3631840796019921</v>
      </c>
      <c r="H246" s="6">
        <f t="shared" si="51"/>
        <v>3.7661198416071584</v>
      </c>
      <c r="I246" s="6">
        <f t="shared" si="52"/>
        <v>3.5970642379948337</v>
      </c>
      <c r="J246" s="6">
        <v>6978.9</v>
      </c>
      <c r="K246" s="6">
        <f t="shared" si="65"/>
        <v>53.517377914650233</v>
      </c>
      <c r="L246" s="6">
        <f t="shared" si="53"/>
        <v>8.8172696249486915</v>
      </c>
      <c r="M246" s="6">
        <f t="shared" si="54"/>
        <v>44.700108289701539</v>
      </c>
      <c r="N246" s="6">
        <v>2918</v>
      </c>
      <c r="O246" s="6">
        <f t="shared" si="66"/>
        <v>50.10288065843622</v>
      </c>
      <c r="P246" s="6">
        <f t="shared" si="55"/>
        <v>16.116693243334499</v>
      </c>
      <c r="Q246" s="6">
        <f t="shared" si="56"/>
        <v>33.986187415101725</v>
      </c>
      <c r="R246" s="6"/>
      <c r="S246" s="6" t="str">
        <f t="shared" si="67"/>
        <v/>
      </c>
      <c r="T246" s="6" t="str">
        <f t="shared" si="57"/>
        <v/>
      </c>
      <c r="U246" s="6" t="str">
        <f t="shared" si="58"/>
        <v/>
      </c>
      <c r="V246" s="6">
        <v>37.25</v>
      </c>
      <c r="W246" s="6">
        <f t="shared" si="68"/>
        <v>79.518072289156621</v>
      </c>
      <c r="X246" s="6">
        <f t="shared" si="59"/>
        <v>42.66155076200581</v>
      </c>
      <c r="Y246" s="6">
        <f t="shared" si="60"/>
        <v>36.856521527150811</v>
      </c>
      <c r="Z246" s="6"/>
      <c r="AA246" s="6" t="str">
        <f t="shared" si="69"/>
        <v/>
      </c>
      <c r="AB246" s="6" t="str">
        <f t="shared" si="61"/>
        <v/>
      </c>
      <c r="AC246" s="6" t="str">
        <f t="shared" si="62"/>
        <v/>
      </c>
    </row>
    <row r="247" spans="1:29" x14ac:dyDescent="0.2">
      <c r="A247" t="s">
        <v>331</v>
      </c>
      <c r="B247" s="6">
        <v>637</v>
      </c>
      <c r="C247" s="6">
        <f t="shared" si="63"/>
        <v>-7.4127906976744207</v>
      </c>
      <c r="D247" s="6">
        <f t="shared" si="49"/>
        <v>14.918278321896713</v>
      </c>
      <c r="E247" s="6">
        <f t="shared" si="50"/>
        <v>-22.331069019571132</v>
      </c>
      <c r="F247" s="6">
        <v>32.369999999999997</v>
      </c>
      <c r="G247" s="6">
        <f t="shared" si="64"/>
        <v>7.3631840796019921</v>
      </c>
      <c r="H247" s="6">
        <f t="shared" si="51"/>
        <v>3.8946809605034858</v>
      </c>
      <c r="I247" s="6">
        <f t="shared" si="52"/>
        <v>3.4685031190985063</v>
      </c>
      <c r="J247" s="6">
        <v>6733.8</v>
      </c>
      <c r="K247" s="6">
        <f t="shared" si="65"/>
        <v>39.734384727121807</v>
      </c>
      <c r="L247" s="6">
        <f t="shared" si="53"/>
        <v>9.7352128165712344</v>
      </c>
      <c r="M247" s="6">
        <f t="shared" si="54"/>
        <v>29.999171910550572</v>
      </c>
      <c r="N247" s="6">
        <v>2306</v>
      </c>
      <c r="O247" s="6">
        <f t="shared" si="66"/>
        <v>12.487804878048792</v>
      </c>
      <c r="P247" s="6">
        <f t="shared" si="55"/>
        <v>17.238638538009941</v>
      </c>
      <c r="Q247" s="6">
        <f t="shared" si="56"/>
        <v>-4.7508336599611489</v>
      </c>
      <c r="R247" s="6"/>
      <c r="S247" s="6" t="str">
        <f t="shared" si="67"/>
        <v/>
      </c>
      <c r="T247" s="6" t="str">
        <f t="shared" si="57"/>
        <v/>
      </c>
      <c r="U247" s="6" t="str">
        <f t="shared" si="58"/>
        <v/>
      </c>
      <c r="V247" s="6">
        <v>37</v>
      </c>
      <c r="W247" s="6">
        <f t="shared" si="68"/>
        <v>68.029064486830151</v>
      </c>
      <c r="X247" s="6">
        <f t="shared" si="59"/>
        <v>44.100247005713847</v>
      </c>
      <c r="Y247" s="6">
        <f t="shared" si="60"/>
        <v>23.928817481116305</v>
      </c>
      <c r="Z247" s="6"/>
      <c r="AA247" s="6" t="str">
        <f t="shared" si="69"/>
        <v/>
      </c>
      <c r="AB247" s="6" t="str">
        <f t="shared" si="61"/>
        <v/>
      </c>
      <c r="AC247" s="6" t="str">
        <f t="shared" si="62"/>
        <v/>
      </c>
    </row>
    <row r="248" spans="1:29" x14ac:dyDescent="0.2">
      <c r="A248" t="s">
        <v>332</v>
      </c>
      <c r="B248" s="6">
        <v>611</v>
      </c>
      <c r="C248" s="6">
        <f t="shared" si="63"/>
        <v>-8.2582582582582553</v>
      </c>
      <c r="D248" s="6">
        <f t="shared" si="49"/>
        <v>15.210211524240028</v>
      </c>
      <c r="E248" s="6">
        <f t="shared" si="50"/>
        <v>-23.468469782498282</v>
      </c>
      <c r="F248" s="6">
        <v>39.54</v>
      </c>
      <c r="G248" s="6">
        <f t="shared" si="64"/>
        <v>31.14427860696518</v>
      </c>
      <c r="H248" s="6">
        <f t="shared" si="51"/>
        <v>4.0232420793998136</v>
      </c>
      <c r="I248" s="6">
        <f t="shared" si="52"/>
        <v>27.121036527565366</v>
      </c>
      <c r="J248" s="6">
        <v>6233.3</v>
      </c>
      <c r="K248" s="6">
        <f t="shared" si="65"/>
        <v>15.882134225692512</v>
      </c>
      <c r="L248" s="6">
        <f t="shared" si="53"/>
        <v>10.366010316786934</v>
      </c>
      <c r="M248" s="6">
        <f t="shared" si="54"/>
        <v>5.5161239089055787</v>
      </c>
      <c r="N248" s="6">
        <v>2070</v>
      </c>
      <c r="O248" s="6">
        <f t="shared" si="66"/>
        <v>-1.4285714285714235</v>
      </c>
      <c r="P248" s="6">
        <f t="shared" si="55"/>
        <v>17.522359141917367</v>
      </c>
      <c r="Q248" s="6">
        <f t="shared" si="56"/>
        <v>-18.95093057048879</v>
      </c>
      <c r="R248" s="6"/>
      <c r="S248" s="6" t="str">
        <f t="shared" si="67"/>
        <v/>
      </c>
      <c r="T248" s="6" t="str">
        <f t="shared" si="57"/>
        <v/>
      </c>
      <c r="U248" s="6" t="str">
        <f t="shared" si="58"/>
        <v/>
      </c>
      <c r="V248" s="6">
        <v>36.58</v>
      </c>
      <c r="W248" s="6">
        <f t="shared" si="68"/>
        <v>63.085153811859108</v>
      </c>
      <c r="X248" s="6">
        <f t="shared" si="59"/>
        <v>45.299588920206752</v>
      </c>
      <c r="Y248" s="6">
        <f t="shared" si="60"/>
        <v>17.785564891652356</v>
      </c>
      <c r="Z248" s="6"/>
      <c r="AA248" s="6" t="str">
        <f t="shared" si="69"/>
        <v/>
      </c>
      <c r="AB248" s="6" t="str">
        <f t="shared" si="61"/>
        <v/>
      </c>
      <c r="AC248" s="6" t="str">
        <f t="shared" si="62"/>
        <v/>
      </c>
    </row>
    <row r="249" spans="1:29" x14ac:dyDescent="0.2">
      <c r="A249" t="s">
        <v>333</v>
      </c>
      <c r="B249" s="6">
        <v>584</v>
      </c>
      <c r="C249" s="6">
        <f t="shared" si="63"/>
        <v>-12.180451127819547</v>
      </c>
      <c r="D249" s="6">
        <f t="shared" si="49"/>
        <v>15.512468031467717</v>
      </c>
      <c r="E249" s="6">
        <f t="shared" si="50"/>
        <v>-27.692919159287264</v>
      </c>
      <c r="F249" s="6">
        <v>40.14</v>
      </c>
      <c r="G249" s="6">
        <f t="shared" si="64"/>
        <v>33.134328358208954</v>
      </c>
      <c r="H249" s="6">
        <f t="shared" si="51"/>
        <v>4.6472426676162089</v>
      </c>
      <c r="I249" s="6">
        <f t="shared" si="52"/>
        <v>28.487085690592746</v>
      </c>
      <c r="J249" s="6">
        <v>6000.8</v>
      </c>
      <c r="K249" s="6">
        <f t="shared" si="65"/>
        <v>0.54959785522787907</v>
      </c>
      <c r="L249" s="6">
        <f t="shared" si="53"/>
        <v>10.499885931556188</v>
      </c>
      <c r="M249" s="6">
        <f t="shared" si="54"/>
        <v>-9.9502880763283095</v>
      </c>
      <c r="N249" s="6">
        <v>2037</v>
      </c>
      <c r="O249" s="6">
        <f t="shared" si="66"/>
        <v>5.7632398753894032</v>
      </c>
      <c r="P249" s="6">
        <f t="shared" si="55"/>
        <v>17.209218763888334</v>
      </c>
      <c r="Q249" s="6">
        <f t="shared" si="56"/>
        <v>-11.445978888498932</v>
      </c>
      <c r="R249" s="6"/>
      <c r="S249" s="6" t="str">
        <f t="shared" si="67"/>
        <v/>
      </c>
      <c r="T249" s="6" t="str">
        <f t="shared" si="57"/>
        <v/>
      </c>
      <c r="U249" s="6" t="str">
        <f t="shared" si="58"/>
        <v/>
      </c>
      <c r="V249" s="6">
        <v>37.049999999999997</v>
      </c>
      <c r="W249" s="6">
        <f t="shared" si="68"/>
        <v>10.597014925373127</v>
      </c>
      <c r="X249" s="6">
        <f t="shared" si="59"/>
        <v>46.395932695637754</v>
      </c>
      <c r="Y249" s="6">
        <f t="shared" si="60"/>
        <v>-35.798917770264623</v>
      </c>
      <c r="Z249" s="6"/>
      <c r="AA249" s="6" t="str">
        <f t="shared" si="69"/>
        <v/>
      </c>
      <c r="AB249" s="6" t="str">
        <f t="shared" si="61"/>
        <v/>
      </c>
      <c r="AC249" s="6" t="str">
        <f t="shared" si="62"/>
        <v/>
      </c>
    </row>
    <row r="250" spans="1:29" x14ac:dyDescent="0.2">
      <c r="A250" t="s">
        <v>334</v>
      </c>
      <c r="B250" s="6">
        <v>555</v>
      </c>
      <c r="C250" s="6">
        <f t="shared" si="63"/>
        <v>-17.777777777777782</v>
      </c>
      <c r="D250" s="6">
        <f t="shared" si="49"/>
        <v>15.508342744031532</v>
      </c>
      <c r="E250" s="6">
        <f t="shared" si="50"/>
        <v>-33.286120521809316</v>
      </c>
      <c r="F250" s="6">
        <v>40.74</v>
      </c>
      <c r="G250" s="6">
        <f t="shared" si="64"/>
        <v>35.124378109452749</v>
      </c>
      <c r="H250" s="6">
        <f t="shared" si="51"/>
        <v>5.3127026256501813</v>
      </c>
      <c r="I250" s="6">
        <f t="shared" si="52"/>
        <v>29.811675483802567</v>
      </c>
      <c r="J250" s="6">
        <v>6294.9</v>
      </c>
      <c r="K250" s="6">
        <f t="shared" si="65"/>
        <v>-3.4376438104003704</v>
      </c>
      <c r="L250" s="6">
        <f t="shared" si="53"/>
        <v>10.314333705274098</v>
      </c>
      <c r="M250" s="6">
        <f t="shared" si="54"/>
        <v>-13.751977515674469</v>
      </c>
      <c r="N250" s="6">
        <v>2006</v>
      </c>
      <c r="O250" s="6">
        <f t="shared" si="66"/>
        <v>6.8214494914532242</v>
      </c>
      <c r="P250" s="6">
        <f t="shared" si="55"/>
        <v>16.900257176377089</v>
      </c>
      <c r="Q250" s="6">
        <f t="shared" si="56"/>
        <v>-10.078807684923865</v>
      </c>
      <c r="R250" s="6"/>
      <c r="S250" s="6" t="str">
        <f t="shared" si="67"/>
        <v/>
      </c>
      <c r="T250" s="6" t="str">
        <f t="shared" si="57"/>
        <v/>
      </c>
      <c r="U250" s="6" t="str">
        <f t="shared" si="58"/>
        <v/>
      </c>
      <c r="V250" s="6">
        <v>37</v>
      </c>
      <c r="W250" s="6">
        <f t="shared" si="68"/>
        <v>6.72050764349581</v>
      </c>
      <c r="X250" s="6">
        <f t="shared" si="59"/>
        <v>46.398773577600302</v>
      </c>
      <c r="Y250" s="6">
        <f t="shared" si="60"/>
        <v>-39.678265934104495</v>
      </c>
      <c r="Z250" s="6"/>
      <c r="AA250" s="6" t="str">
        <f t="shared" si="69"/>
        <v/>
      </c>
      <c r="AB250" s="6" t="str">
        <f t="shared" si="61"/>
        <v/>
      </c>
      <c r="AC250" s="6" t="str">
        <f t="shared" si="62"/>
        <v/>
      </c>
    </row>
    <row r="251" spans="1:29" x14ac:dyDescent="0.2">
      <c r="A251" t="s">
        <v>335</v>
      </c>
      <c r="B251" s="6">
        <v>545</v>
      </c>
      <c r="C251" s="6">
        <f t="shared" si="63"/>
        <v>-19.616519174041301</v>
      </c>
      <c r="D251" s="6">
        <f t="shared" si="49"/>
        <v>14.910912448567524</v>
      </c>
      <c r="E251" s="6">
        <f t="shared" si="50"/>
        <v>-34.527431622608823</v>
      </c>
      <c r="F251" s="6">
        <v>40.74</v>
      </c>
      <c r="G251" s="6">
        <f t="shared" si="64"/>
        <v>35.124378109452749</v>
      </c>
      <c r="H251" s="6">
        <f t="shared" si="51"/>
        <v>6.0196219535017335</v>
      </c>
      <c r="I251" s="6">
        <f t="shared" si="52"/>
        <v>29.104756155951016</v>
      </c>
      <c r="J251" s="6">
        <v>6622.2</v>
      </c>
      <c r="K251" s="6">
        <f t="shared" si="65"/>
        <v>0.12397943755668717</v>
      </c>
      <c r="L251" s="6">
        <f t="shared" si="53"/>
        <v>10.045713944291419</v>
      </c>
      <c r="M251" s="6">
        <f t="shared" si="54"/>
        <v>-9.9217345067347331</v>
      </c>
      <c r="N251" s="6">
        <v>2176</v>
      </c>
      <c r="O251" s="6">
        <f t="shared" si="66"/>
        <v>19.955898566703411</v>
      </c>
      <c r="P251" s="6">
        <f t="shared" si="55"/>
        <v>16.418942375512735</v>
      </c>
      <c r="Q251" s="6">
        <f t="shared" si="56"/>
        <v>3.5369561911906757</v>
      </c>
      <c r="R251" s="6"/>
      <c r="S251" s="6" t="str">
        <f t="shared" si="67"/>
        <v/>
      </c>
      <c r="T251" s="6" t="str">
        <f t="shared" si="57"/>
        <v/>
      </c>
      <c r="U251" s="6" t="str">
        <f t="shared" si="58"/>
        <v/>
      </c>
      <c r="V251" s="6">
        <v>35.380000000000003</v>
      </c>
      <c r="W251" s="6">
        <f t="shared" si="68"/>
        <v>5.6119402985074673</v>
      </c>
      <c r="X251" s="6">
        <f t="shared" si="59"/>
        <v>46.320853891190403</v>
      </c>
      <c r="Y251" s="6">
        <f t="shared" si="60"/>
        <v>-40.708913592682933</v>
      </c>
      <c r="Z251" s="6"/>
      <c r="AA251" s="6" t="str">
        <f t="shared" si="69"/>
        <v/>
      </c>
      <c r="AB251" s="6" t="str">
        <f t="shared" si="61"/>
        <v/>
      </c>
      <c r="AC251" s="6" t="str">
        <f t="shared" si="62"/>
        <v/>
      </c>
    </row>
    <row r="252" spans="1:29" x14ac:dyDescent="0.2">
      <c r="A252" t="s">
        <v>336</v>
      </c>
      <c r="B252" s="6">
        <v>518</v>
      </c>
      <c r="C252" s="6">
        <f t="shared" si="63"/>
        <v>-20.552147239263807</v>
      </c>
      <c r="D252" s="6">
        <f t="shared" si="49"/>
        <v>14.250771377205089</v>
      </c>
      <c r="E252" s="6">
        <f t="shared" si="50"/>
        <v>-34.802918616468894</v>
      </c>
      <c r="F252" s="6">
        <v>44.24</v>
      </c>
      <c r="G252" s="6">
        <f t="shared" si="64"/>
        <v>41.522712731925779</v>
      </c>
      <c r="H252" s="6">
        <f t="shared" si="51"/>
        <v>6.7265412813532874</v>
      </c>
      <c r="I252" s="6">
        <f t="shared" si="52"/>
        <v>34.796171450572494</v>
      </c>
      <c r="J252" s="6">
        <v>6584.5</v>
      </c>
      <c r="K252" s="6">
        <f t="shared" si="65"/>
        <v>-0.44602358633202277</v>
      </c>
      <c r="L252" s="6">
        <f t="shared" si="53"/>
        <v>9.851294667641179</v>
      </c>
      <c r="M252" s="6">
        <f t="shared" si="54"/>
        <v>-10.297318253973202</v>
      </c>
      <c r="N252" s="6">
        <v>2082.1</v>
      </c>
      <c r="O252" s="6">
        <f t="shared" si="66"/>
        <v>5.3481076705120367</v>
      </c>
      <c r="P252" s="6">
        <f t="shared" si="55"/>
        <v>16.111045519736162</v>
      </c>
      <c r="Q252" s="6">
        <f t="shared" si="56"/>
        <v>-10.762937849224127</v>
      </c>
      <c r="R252" s="6"/>
      <c r="S252" s="6" t="str">
        <f t="shared" si="67"/>
        <v/>
      </c>
      <c r="T252" s="6" t="str">
        <f t="shared" si="57"/>
        <v/>
      </c>
      <c r="U252" s="6" t="str">
        <f t="shared" si="58"/>
        <v/>
      </c>
      <c r="V252" s="6">
        <v>32.950000000000003</v>
      </c>
      <c r="W252" s="6">
        <f t="shared" si="68"/>
        <v>-3.0882352941176361</v>
      </c>
      <c r="X252" s="6">
        <f t="shared" si="59"/>
        <v>46.204068451180483</v>
      </c>
      <c r="Y252" s="6">
        <f t="shared" si="60"/>
        <v>-49.292303745298121</v>
      </c>
      <c r="Z252" s="6"/>
      <c r="AA252" s="6" t="str">
        <f t="shared" si="69"/>
        <v/>
      </c>
      <c r="AB252" s="6" t="str">
        <f t="shared" si="61"/>
        <v/>
      </c>
      <c r="AC252" s="6" t="str">
        <f t="shared" si="62"/>
        <v/>
      </c>
    </row>
    <row r="253" spans="1:29" x14ac:dyDescent="0.2">
      <c r="A253" t="s">
        <v>337</v>
      </c>
      <c r="B253" s="6">
        <v>509</v>
      </c>
      <c r="C253" s="6">
        <f t="shared" si="63"/>
        <v>-20.468750000000004</v>
      </c>
      <c r="D253" s="6">
        <f t="shared" si="49"/>
        <v>14.006024549890261</v>
      </c>
      <c r="E253" s="6">
        <f t="shared" si="50"/>
        <v>-34.474774549890263</v>
      </c>
      <c r="F253" s="6">
        <v>44.61</v>
      </c>
      <c r="G253" s="6">
        <f t="shared" si="64"/>
        <v>42.706333973128594</v>
      </c>
      <c r="H253" s="6">
        <f t="shared" si="51"/>
        <v>7.5667592471730254</v>
      </c>
      <c r="I253" s="6">
        <f t="shared" si="52"/>
        <v>35.139574725955569</v>
      </c>
      <c r="J253" s="6">
        <v>6655.3</v>
      </c>
      <c r="K253" s="6">
        <f t="shared" si="65"/>
        <v>0.6244330208648341</v>
      </c>
      <c r="L253" s="6">
        <f t="shared" si="53"/>
        <v>9.645000327993257</v>
      </c>
      <c r="M253" s="6">
        <f t="shared" si="54"/>
        <v>-9.0205673071284238</v>
      </c>
      <c r="N253" s="6">
        <v>2060</v>
      </c>
      <c r="O253" s="6">
        <f t="shared" si="66"/>
        <v>-1.7128679803425806</v>
      </c>
      <c r="P253" s="6">
        <f t="shared" si="55"/>
        <v>15.795226938347517</v>
      </c>
      <c r="Q253" s="6">
        <f t="shared" si="56"/>
        <v>-17.508094918690098</v>
      </c>
      <c r="R253" s="6"/>
      <c r="S253" s="6" t="str">
        <f t="shared" si="67"/>
        <v/>
      </c>
      <c r="T253" s="6" t="str">
        <f t="shared" si="57"/>
        <v/>
      </c>
      <c r="U253" s="6" t="str">
        <f t="shared" si="58"/>
        <v/>
      </c>
      <c r="V253" s="6">
        <v>32.83</v>
      </c>
      <c r="W253" s="6">
        <f t="shared" si="68"/>
        <v>-7.5211267605633907</v>
      </c>
      <c r="X253" s="6">
        <f t="shared" si="59"/>
        <v>45.906029352990863</v>
      </c>
      <c r="Y253" s="6">
        <f t="shared" si="60"/>
        <v>-53.427156113554254</v>
      </c>
      <c r="Z253" s="6"/>
      <c r="AA253" s="6" t="str">
        <f t="shared" si="69"/>
        <v/>
      </c>
      <c r="AB253" s="6" t="str">
        <f t="shared" si="61"/>
        <v/>
      </c>
      <c r="AC253" s="6" t="str">
        <f t="shared" si="62"/>
        <v/>
      </c>
    </row>
    <row r="254" spans="1:29" x14ac:dyDescent="0.2">
      <c r="A254" t="s">
        <v>338</v>
      </c>
      <c r="B254" s="6">
        <v>507</v>
      </c>
      <c r="C254" s="6">
        <f t="shared" si="63"/>
        <v>-15.780730897009965</v>
      </c>
      <c r="D254" s="6">
        <f t="shared" si="49"/>
        <v>13.356531347185239</v>
      </c>
      <c r="E254" s="6">
        <f t="shared" si="50"/>
        <v>-29.137262244195206</v>
      </c>
      <c r="F254" s="6">
        <v>44.61</v>
      </c>
      <c r="G254" s="6">
        <f t="shared" si="64"/>
        <v>37.812789620018549</v>
      </c>
      <c r="H254" s="6">
        <f t="shared" si="51"/>
        <v>8.4316359888511592</v>
      </c>
      <c r="I254" s="6">
        <f t="shared" si="52"/>
        <v>29.38115363116739</v>
      </c>
      <c r="J254" s="6">
        <v>6691.9</v>
      </c>
      <c r="K254" s="6">
        <f t="shared" si="65"/>
        <v>1.177804656788628</v>
      </c>
      <c r="L254" s="6">
        <f t="shared" si="53"/>
        <v>9.6210829958674839</v>
      </c>
      <c r="M254" s="6">
        <f t="shared" si="54"/>
        <v>-8.4432783390788551</v>
      </c>
      <c r="N254" s="6">
        <v>2040</v>
      </c>
      <c r="O254" s="6">
        <f t="shared" si="66"/>
        <v>-1.7293703935642446</v>
      </c>
      <c r="P254" s="6">
        <f t="shared" si="55"/>
        <v>15.331030770967878</v>
      </c>
      <c r="Q254" s="6">
        <f t="shared" si="56"/>
        <v>-17.060401164532124</v>
      </c>
      <c r="R254" s="6"/>
      <c r="S254" s="6" t="str">
        <f t="shared" si="67"/>
        <v/>
      </c>
      <c r="T254" s="6" t="str">
        <f t="shared" si="57"/>
        <v/>
      </c>
      <c r="U254" s="6" t="str">
        <f t="shared" si="58"/>
        <v/>
      </c>
      <c r="V254" s="6">
        <v>37.35</v>
      </c>
      <c r="W254" s="6">
        <f t="shared" si="68"/>
        <v>0.26845637583892135</v>
      </c>
      <c r="X254" s="6">
        <f t="shared" si="59"/>
        <v>45.51563834925031</v>
      </c>
      <c r="Y254" s="6">
        <f t="shared" si="60"/>
        <v>-45.247181973411386</v>
      </c>
      <c r="Z254" s="6"/>
      <c r="AA254" s="6" t="str">
        <f t="shared" si="69"/>
        <v/>
      </c>
      <c r="AB254" s="6" t="str">
        <f t="shared" si="61"/>
        <v/>
      </c>
      <c r="AC254" s="6" t="str">
        <f t="shared" si="62"/>
        <v/>
      </c>
    </row>
    <row r="255" spans="1:29" x14ac:dyDescent="0.2">
      <c r="A255" t="s">
        <v>339</v>
      </c>
      <c r="B255" s="6">
        <v>585</v>
      </c>
      <c r="C255" s="6">
        <f t="shared" si="63"/>
        <v>-5.6451612903225756</v>
      </c>
      <c r="D255" s="6">
        <f t="shared" si="49"/>
        <v>12.869010449235745</v>
      </c>
      <c r="E255" s="6">
        <f t="shared" si="50"/>
        <v>-18.514171739558321</v>
      </c>
      <c r="F255" s="6">
        <v>44.98</v>
      </c>
      <c r="G255" s="6">
        <f t="shared" si="64"/>
        <v>38.955823293172685</v>
      </c>
      <c r="H255" s="6">
        <f t="shared" si="51"/>
        <v>9.1945638898394986</v>
      </c>
      <c r="I255" s="6">
        <f t="shared" si="52"/>
        <v>29.761259403333185</v>
      </c>
      <c r="J255" s="6">
        <v>6452.7</v>
      </c>
      <c r="K255" s="6">
        <f t="shared" si="65"/>
        <v>-2.4387662534018806</v>
      </c>
      <c r="L255" s="6">
        <f t="shared" si="53"/>
        <v>9.4476781636451115</v>
      </c>
      <c r="M255" s="6">
        <f t="shared" si="54"/>
        <v>-11.886444417046992</v>
      </c>
      <c r="N255" s="6">
        <v>2010</v>
      </c>
      <c r="O255" s="6">
        <f t="shared" si="66"/>
        <v>-3.8277511961722466</v>
      </c>
      <c r="P255" s="6">
        <f t="shared" si="55"/>
        <v>15.107311349028661</v>
      </c>
      <c r="Q255" s="6">
        <f t="shared" si="56"/>
        <v>-18.935062545200907</v>
      </c>
      <c r="R255" s="6"/>
      <c r="S255" s="6" t="str">
        <f t="shared" si="67"/>
        <v/>
      </c>
      <c r="T255" s="6" t="str">
        <f t="shared" si="57"/>
        <v/>
      </c>
      <c r="U255" s="6" t="str">
        <f t="shared" si="58"/>
        <v/>
      </c>
      <c r="V255" s="6">
        <v>40.299999999999997</v>
      </c>
      <c r="W255" s="6">
        <f t="shared" si="68"/>
        <v>-1.1042944785276121</v>
      </c>
      <c r="X255" s="6">
        <f t="shared" si="59"/>
        <v>45.234424307048421</v>
      </c>
      <c r="Y255" s="6">
        <f t="shared" si="60"/>
        <v>-46.338718785576035</v>
      </c>
      <c r="Z255" s="6"/>
      <c r="AA255" s="6" t="str">
        <f t="shared" si="69"/>
        <v/>
      </c>
      <c r="AB255" s="6" t="str">
        <f t="shared" si="61"/>
        <v/>
      </c>
      <c r="AC255" s="6" t="str">
        <f t="shared" si="62"/>
        <v/>
      </c>
    </row>
    <row r="256" spans="1:29" x14ac:dyDescent="0.2">
      <c r="A256" t="s">
        <v>340</v>
      </c>
      <c r="B256" s="6">
        <v>619.29999999999995</v>
      </c>
      <c r="C256" s="6">
        <f t="shared" si="63"/>
        <v>-1.6984126984127101</v>
      </c>
      <c r="D256" s="6">
        <f t="shared" si="49"/>
        <v>12.324066597116429</v>
      </c>
      <c r="E256" s="6">
        <f t="shared" si="50"/>
        <v>-14.02247929552914</v>
      </c>
      <c r="F256" s="6">
        <v>44.98</v>
      </c>
      <c r="G256" s="6">
        <f t="shared" si="64"/>
        <v>38.955823293172685</v>
      </c>
      <c r="H256" s="6">
        <f t="shared" si="51"/>
        <v>9.9813049923518822</v>
      </c>
      <c r="I256" s="6">
        <f t="shared" si="52"/>
        <v>28.974518300820804</v>
      </c>
      <c r="J256" s="6">
        <v>6391</v>
      </c>
      <c r="K256" s="6">
        <f t="shared" si="65"/>
        <v>-7.9769618430525551</v>
      </c>
      <c r="L256" s="6">
        <f t="shared" si="53"/>
        <v>9.1989281041271038</v>
      </c>
      <c r="M256" s="6">
        <f t="shared" si="54"/>
        <v>-17.175889947179659</v>
      </c>
      <c r="N256" s="6">
        <v>1879</v>
      </c>
      <c r="O256" s="6">
        <f t="shared" si="66"/>
        <v>-15.130984643179769</v>
      </c>
      <c r="P256" s="6">
        <f t="shared" si="55"/>
        <v>14.852204152175569</v>
      </c>
      <c r="Q256" s="6">
        <f t="shared" si="56"/>
        <v>-29.983188795355339</v>
      </c>
      <c r="R256" s="6"/>
      <c r="S256" s="6" t="str">
        <f t="shared" si="67"/>
        <v/>
      </c>
      <c r="T256" s="6" t="str">
        <f t="shared" si="57"/>
        <v/>
      </c>
      <c r="U256" s="6" t="str">
        <f t="shared" si="58"/>
        <v/>
      </c>
      <c r="V256" s="6">
        <v>39.75</v>
      </c>
      <c r="W256" s="6">
        <f t="shared" si="68"/>
        <v>0</v>
      </c>
      <c r="X256" s="6">
        <f t="shared" si="59"/>
        <v>44.924611288713891</v>
      </c>
      <c r="Y256" s="6">
        <f t="shared" si="60"/>
        <v>-44.924611288713891</v>
      </c>
      <c r="Z256" s="6"/>
      <c r="AA256" s="6" t="str">
        <f t="shared" si="69"/>
        <v/>
      </c>
      <c r="AB256" s="6" t="str">
        <f t="shared" si="61"/>
        <v/>
      </c>
      <c r="AC256" s="6" t="str">
        <f t="shared" si="62"/>
        <v/>
      </c>
    </row>
    <row r="257" spans="1:29" x14ac:dyDescent="0.2">
      <c r="A257" t="s">
        <v>341</v>
      </c>
      <c r="B257" s="6">
        <v>625</v>
      </c>
      <c r="C257" s="6">
        <f t="shared" si="63"/>
        <v>-5.5891238670694898</v>
      </c>
      <c r="D257" s="6">
        <f t="shared" ref="D257:D320" si="70">IF(COUNT(C209:C256)&lt;48,"",AVERAGE(C209:C256))</f>
        <v>11.785473602517877</v>
      </c>
      <c r="E257" s="6">
        <f t="shared" ref="E257:E320" si="71">IF(OR(C257="",D257=""),"",C257-D257)</f>
        <v>-17.374597469587368</v>
      </c>
      <c r="F257" s="6">
        <v>44.98</v>
      </c>
      <c r="G257" s="6">
        <f t="shared" si="64"/>
        <v>38.955823293172685</v>
      </c>
      <c r="H257" s="6">
        <f t="shared" ref="H257:H320" si="72">IF(COUNT(G209:G256)&lt;48,"",AVERAGE(G209:G256))</f>
        <v>10.768046094864268</v>
      </c>
      <c r="I257" s="6">
        <f t="shared" ref="I257:I320" si="73">IF(OR(G257="",H257=""),"",G257-H257)</f>
        <v>28.187777198308417</v>
      </c>
      <c r="J257" s="6">
        <v>6403.8</v>
      </c>
      <c r="K257" s="6">
        <f t="shared" si="65"/>
        <v>-2.748754707811929</v>
      </c>
      <c r="L257" s="6">
        <f t="shared" ref="L257:L320" si="74">IF(COUNT(K209:K256)&lt;48,"",AVERAGE(K209:K256))</f>
        <v>8.8347989698247087</v>
      </c>
      <c r="M257" s="6">
        <f t="shared" ref="M257:M320" si="75">IF(OR(K257="",L257=""),"",K257-L257)</f>
        <v>-11.583553677636637</v>
      </c>
      <c r="N257" s="6">
        <v>1869.1</v>
      </c>
      <c r="O257" s="6">
        <f t="shared" si="66"/>
        <v>-28.13917723952326</v>
      </c>
      <c r="P257" s="6">
        <f t="shared" ref="P257:P320" si="76">IF(COUNT(O209:O256)&lt;48,"",AVERAGE(O209:O256))</f>
        <v>14.29081254841978</v>
      </c>
      <c r="Q257" s="6">
        <f t="shared" ref="Q257:Q320" si="77">IF(OR(O257="",P257=""),"",O257-P257)</f>
        <v>-42.429989787943043</v>
      </c>
      <c r="R257" s="6"/>
      <c r="S257" s="6" t="str">
        <f t="shared" si="67"/>
        <v/>
      </c>
      <c r="T257" s="6" t="str">
        <f t="shared" ref="T257:T320" si="78">IF(COUNT(S209:S256)&lt;48,"",AVERAGE(S209:S256))</f>
        <v/>
      </c>
      <c r="U257" s="6" t="str">
        <f t="shared" ref="U257:U320" si="79">IF(OR(S257="",T257=""),"",S257-T257)</f>
        <v/>
      </c>
      <c r="V257" s="6">
        <v>39.770000000000003</v>
      </c>
      <c r="W257" s="6">
        <f t="shared" si="68"/>
        <v>1.9743589743589807</v>
      </c>
      <c r="X257" s="6">
        <f t="shared" ref="X257:X320" si="80">IF(COUNT(W209:W256)&lt;48,"",AVERAGE(W209:W256))</f>
        <v>44.637804405348696</v>
      </c>
      <c r="Y257" s="6">
        <f t="shared" ref="Y257:Y320" si="81">IF(OR(W257="",X257=""),"",W257-X257)</f>
        <v>-42.663445430989718</v>
      </c>
      <c r="Z257" s="6"/>
      <c r="AA257" s="6" t="str">
        <f t="shared" si="69"/>
        <v/>
      </c>
      <c r="AB257" s="6" t="str">
        <f t="shared" ref="AB257:AB320" si="82">IF(COUNT(AA209:AA256)&lt;48,"",AVERAGE(AA209:AA256))</f>
        <v/>
      </c>
      <c r="AC257" s="6" t="str">
        <f t="shared" ref="AC257:AC320" si="83">IF(OR(AA257="",AB257=""),"",AA257-AB257)</f>
        <v/>
      </c>
    </row>
    <row r="258" spans="1:29" x14ac:dyDescent="0.2">
      <c r="A258" t="s">
        <v>342</v>
      </c>
      <c r="B258" s="6">
        <v>640</v>
      </c>
      <c r="C258" s="6">
        <f t="shared" si="63"/>
        <v>-4.7619047619047672</v>
      </c>
      <c r="D258" s="6">
        <f t="shared" si="70"/>
        <v>11.032518319060296</v>
      </c>
      <c r="E258" s="6">
        <f t="shared" si="71"/>
        <v>-15.794423080965064</v>
      </c>
      <c r="F258" s="6">
        <v>44.98</v>
      </c>
      <c r="G258" s="6">
        <f t="shared" si="64"/>
        <v>38.955823293172685</v>
      </c>
      <c r="H258" s="6">
        <f t="shared" si="72"/>
        <v>11.463032717841202</v>
      </c>
      <c r="I258" s="6">
        <f t="shared" si="73"/>
        <v>27.492790575331483</v>
      </c>
      <c r="J258" s="6">
        <v>6370.7</v>
      </c>
      <c r="K258" s="6">
        <f t="shared" si="65"/>
        <v>-8.7148404476350088</v>
      </c>
      <c r="L258" s="6">
        <f t="shared" si="74"/>
        <v>8.5786500852332654</v>
      </c>
      <c r="M258" s="6">
        <f t="shared" si="75"/>
        <v>-17.293490532868276</v>
      </c>
      <c r="N258" s="6">
        <v>1801</v>
      </c>
      <c r="O258" s="6">
        <f t="shared" si="66"/>
        <v>-38.279643591501035</v>
      </c>
      <c r="P258" s="6">
        <f t="shared" si="76"/>
        <v>13.350081226005152</v>
      </c>
      <c r="Q258" s="6">
        <f t="shared" si="77"/>
        <v>-51.629724817506187</v>
      </c>
      <c r="R258" s="6"/>
      <c r="S258" s="6" t="str">
        <f t="shared" si="67"/>
        <v/>
      </c>
      <c r="T258" s="6" t="str">
        <f t="shared" si="78"/>
        <v/>
      </c>
      <c r="U258" s="6" t="str">
        <f t="shared" si="79"/>
        <v/>
      </c>
      <c r="V258" s="6">
        <v>37.9</v>
      </c>
      <c r="W258" s="6">
        <f t="shared" si="68"/>
        <v>1.744966442953011</v>
      </c>
      <c r="X258" s="6">
        <f t="shared" si="80"/>
        <v>44.4997448770307</v>
      </c>
      <c r="Y258" s="6">
        <f t="shared" si="81"/>
        <v>-42.754778434077693</v>
      </c>
      <c r="Z258" s="6"/>
      <c r="AA258" s="6" t="str">
        <f t="shared" si="69"/>
        <v/>
      </c>
      <c r="AB258" s="6" t="str">
        <f t="shared" si="82"/>
        <v/>
      </c>
      <c r="AC258" s="6" t="str">
        <f t="shared" si="83"/>
        <v/>
      </c>
    </row>
    <row r="259" spans="1:29" x14ac:dyDescent="0.2">
      <c r="A259" t="s">
        <v>343</v>
      </c>
      <c r="B259" s="6">
        <v>620</v>
      </c>
      <c r="C259" s="6">
        <f t="shared" si="63"/>
        <v>-2.6687598116169498</v>
      </c>
      <c r="D259" s="6">
        <f t="shared" si="70"/>
        <v>10.1294541813854</v>
      </c>
      <c r="E259" s="6">
        <f t="shared" si="71"/>
        <v>-12.798213993002349</v>
      </c>
      <c r="F259" s="6">
        <v>44.98</v>
      </c>
      <c r="G259" s="6">
        <f t="shared" si="64"/>
        <v>38.955823293172685</v>
      </c>
      <c r="H259" s="6">
        <f t="shared" si="72"/>
        <v>12.158019340818136</v>
      </c>
      <c r="I259" s="6">
        <f t="shared" si="73"/>
        <v>26.797803952354549</v>
      </c>
      <c r="J259" s="6">
        <v>6292.4</v>
      </c>
      <c r="K259" s="6">
        <f t="shared" si="65"/>
        <v>-6.5549912382310227</v>
      </c>
      <c r="L259" s="6">
        <f t="shared" si="74"/>
        <v>8.1982077477288406</v>
      </c>
      <c r="M259" s="6">
        <f t="shared" si="75"/>
        <v>-14.753198985959862</v>
      </c>
      <c r="N259" s="6">
        <v>1818</v>
      </c>
      <c r="O259" s="6">
        <f t="shared" si="66"/>
        <v>-21.162185602775374</v>
      </c>
      <c r="P259" s="6">
        <f t="shared" si="76"/>
        <v>12.198815066276557</v>
      </c>
      <c r="Q259" s="6">
        <f t="shared" si="77"/>
        <v>-33.361000669051933</v>
      </c>
      <c r="R259" s="6"/>
      <c r="S259" s="6" t="str">
        <f t="shared" si="67"/>
        <v/>
      </c>
      <c r="T259" s="6" t="str">
        <f t="shared" si="78"/>
        <v/>
      </c>
      <c r="U259" s="6" t="str">
        <f t="shared" si="79"/>
        <v/>
      </c>
      <c r="V259" s="6">
        <v>37.6</v>
      </c>
      <c r="W259" s="6">
        <f t="shared" si="68"/>
        <v>1.6216216216216273</v>
      </c>
      <c r="X259" s="6">
        <f t="shared" si="80"/>
        <v>44.356906337641739</v>
      </c>
      <c r="Y259" s="6">
        <f t="shared" si="81"/>
        <v>-42.735284716020111</v>
      </c>
      <c r="Z259" s="6"/>
      <c r="AA259" s="6" t="str">
        <f t="shared" si="69"/>
        <v/>
      </c>
      <c r="AB259" s="6" t="str">
        <f t="shared" si="82"/>
        <v/>
      </c>
      <c r="AC259" s="6" t="str">
        <f t="shared" si="83"/>
        <v/>
      </c>
    </row>
    <row r="260" spans="1:29" x14ac:dyDescent="0.2">
      <c r="A260" t="s">
        <v>344</v>
      </c>
      <c r="B260" s="6">
        <v>588</v>
      </c>
      <c r="C260" s="6">
        <f t="shared" si="63"/>
        <v>-3.7643207855973859</v>
      </c>
      <c r="D260" s="6">
        <f t="shared" si="70"/>
        <v>8.8419502313951792</v>
      </c>
      <c r="E260" s="6">
        <f t="shared" si="71"/>
        <v>-12.606271016992565</v>
      </c>
      <c r="F260" s="6">
        <v>56.5</v>
      </c>
      <c r="G260" s="6">
        <f t="shared" si="64"/>
        <v>42.893272635306026</v>
      </c>
      <c r="H260" s="6">
        <f t="shared" si="72"/>
        <v>12.85300596379507</v>
      </c>
      <c r="I260" s="6">
        <f t="shared" si="73"/>
        <v>30.040266671510956</v>
      </c>
      <c r="J260" s="6">
        <v>6307</v>
      </c>
      <c r="K260" s="6">
        <f t="shared" si="65"/>
        <v>1.1823592639532698</v>
      </c>
      <c r="L260" s="6">
        <f t="shared" si="74"/>
        <v>7.8627622687536673</v>
      </c>
      <c r="M260" s="6">
        <f t="shared" si="75"/>
        <v>-6.6804030048003975</v>
      </c>
      <c r="N260" s="6">
        <v>1821</v>
      </c>
      <c r="O260" s="6">
        <f t="shared" si="66"/>
        <v>-12.028985507246382</v>
      </c>
      <c r="P260" s="6">
        <f t="shared" si="76"/>
        <v>11.466363588566365</v>
      </c>
      <c r="Q260" s="6">
        <f t="shared" si="77"/>
        <v>-23.495349095812749</v>
      </c>
      <c r="R260" s="6"/>
      <c r="S260" s="6" t="str">
        <f t="shared" si="67"/>
        <v/>
      </c>
      <c r="T260" s="6" t="str">
        <f t="shared" si="78"/>
        <v/>
      </c>
      <c r="U260" s="6" t="str">
        <f t="shared" si="79"/>
        <v/>
      </c>
      <c r="V260" s="6">
        <v>36.369999999999997</v>
      </c>
      <c r="W260" s="6">
        <f t="shared" si="68"/>
        <v>-0.57408419901585628</v>
      </c>
      <c r="X260" s="6">
        <f t="shared" si="80"/>
        <v>44.211498114475042</v>
      </c>
      <c r="Y260" s="6">
        <f t="shared" si="81"/>
        <v>-44.785582313490899</v>
      </c>
      <c r="Z260" s="6"/>
      <c r="AA260" s="6" t="str">
        <f t="shared" si="69"/>
        <v/>
      </c>
      <c r="AB260" s="6" t="str">
        <f t="shared" si="82"/>
        <v/>
      </c>
      <c r="AC260" s="6" t="str">
        <f t="shared" si="83"/>
        <v/>
      </c>
    </row>
    <row r="261" spans="1:29" x14ac:dyDescent="0.2">
      <c r="A261" t="s">
        <v>345</v>
      </c>
      <c r="B261" s="6">
        <v>599</v>
      </c>
      <c r="C261" s="6">
        <f t="shared" si="63"/>
        <v>2.5684931506849251</v>
      </c>
      <c r="D261" s="6">
        <f t="shared" si="70"/>
        <v>6.9779834450323905</v>
      </c>
      <c r="E261" s="6">
        <f t="shared" si="71"/>
        <v>-4.4094902943474654</v>
      </c>
      <c r="F261" s="6">
        <v>56.5</v>
      </c>
      <c r="G261" s="6">
        <f t="shared" si="64"/>
        <v>40.757349277528654</v>
      </c>
      <c r="H261" s="6">
        <f t="shared" si="72"/>
        <v>13.630022781399783</v>
      </c>
      <c r="I261" s="6">
        <f t="shared" si="73"/>
        <v>27.127326496128873</v>
      </c>
      <c r="J261" s="6">
        <v>6352.2</v>
      </c>
      <c r="K261" s="6">
        <f t="shared" si="65"/>
        <v>5.8558858818824167</v>
      </c>
      <c r="L261" s="6">
        <f t="shared" si="74"/>
        <v>7.7426353032475399</v>
      </c>
      <c r="M261" s="6">
        <f t="shared" si="75"/>
        <v>-1.8867494213651232</v>
      </c>
      <c r="N261" s="6">
        <v>1742</v>
      </c>
      <c r="O261" s="6">
        <f t="shared" si="66"/>
        <v>-14.482081492390774</v>
      </c>
      <c r="P261" s="6">
        <f t="shared" si="76"/>
        <v>11.327514690719482</v>
      </c>
      <c r="Q261" s="6">
        <f t="shared" si="77"/>
        <v>-25.809596183110258</v>
      </c>
      <c r="R261" s="6"/>
      <c r="S261" s="6" t="str">
        <f t="shared" si="67"/>
        <v/>
      </c>
      <c r="T261" s="6" t="str">
        <f t="shared" si="78"/>
        <v/>
      </c>
      <c r="U261" s="6" t="str">
        <f t="shared" si="79"/>
        <v/>
      </c>
      <c r="V261" s="6">
        <v>34.28</v>
      </c>
      <c r="W261" s="6">
        <f t="shared" si="68"/>
        <v>-7.4763832658569456</v>
      </c>
      <c r="X261" s="6">
        <f t="shared" si="80"/>
        <v>44.029396121406201</v>
      </c>
      <c r="Y261" s="6">
        <f t="shared" si="81"/>
        <v>-51.505779387263146</v>
      </c>
      <c r="Z261" s="6"/>
      <c r="AA261" s="6" t="str">
        <f t="shared" si="69"/>
        <v/>
      </c>
      <c r="AB261" s="6" t="str">
        <f t="shared" si="82"/>
        <v/>
      </c>
      <c r="AC261" s="6" t="str">
        <f t="shared" si="83"/>
        <v/>
      </c>
    </row>
    <row r="262" spans="1:29" x14ac:dyDescent="0.2">
      <c r="A262" t="s">
        <v>346</v>
      </c>
      <c r="B262" s="6">
        <v>640</v>
      </c>
      <c r="C262" s="6">
        <f t="shared" si="63"/>
        <v>15.315315315315313</v>
      </c>
      <c r="D262" s="6">
        <f t="shared" si="70"/>
        <v>5.1330501768549528</v>
      </c>
      <c r="E262" s="6">
        <f t="shared" si="71"/>
        <v>10.182265138460361</v>
      </c>
      <c r="F262" s="6">
        <v>56.5</v>
      </c>
      <c r="G262" s="6">
        <f t="shared" si="64"/>
        <v>38.684339715267548</v>
      </c>
      <c r="H262" s="6">
        <f t="shared" si="72"/>
        <v>14.362541195717467</v>
      </c>
      <c r="I262" s="6">
        <f t="shared" si="73"/>
        <v>24.321798519550079</v>
      </c>
      <c r="J262" s="6">
        <v>6169.4</v>
      </c>
      <c r="K262" s="6">
        <f t="shared" si="65"/>
        <v>-1.9936774214046271</v>
      </c>
      <c r="L262" s="6">
        <f t="shared" si="74"/>
        <v>7.6790659154774774</v>
      </c>
      <c r="M262" s="6">
        <f t="shared" si="75"/>
        <v>-9.672743336882105</v>
      </c>
      <c r="N262" s="6">
        <v>1700</v>
      </c>
      <c r="O262" s="6">
        <f t="shared" si="66"/>
        <v>-15.254237288135597</v>
      </c>
      <c r="P262" s="6">
        <f t="shared" si="76"/>
        <v>11.22008376015711</v>
      </c>
      <c r="Q262" s="6">
        <f t="shared" si="77"/>
        <v>-26.474321048292708</v>
      </c>
      <c r="R262" s="6"/>
      <c r="S262" s="6" t="str">
        <f t="shared" si="67"/>
        <v/>
      </c>
      <c r="T262" s="6" t="str">
        <f t="shared" si="78"/>
        <v/>
      </c>
      <c r="U262" s="6" t="str">
        <f t="shared" si="79"/>
        <v/>
      </c>
      <c r="V262" s="6">
        <v>32.71</v>
      </c>
      <c r="W262" s="6">
        <f t="shared" si="68"/>
        <v>-11.594594594594588</v>
      </c>
      <c r="X262" s="6">
        <f t="shared" si="80"/>
        <v>43.703496231111508</v>
      </c>
      <c r="Y262" s="6">
        <f t="shared" si="81"/>
        <v>-55.298090825706097</v>
      </c>
      <c r="Z262" s="6"/>
      <c r="AA262" s="6" t="str">
        <f t="shared" si="69"/>
        <v/>
      </c>
      <c r="AB262" s="6" t="str">
        <f t="shared" si="82"/>
        <v/>
      </c>
      <c r="AC262" s="6" t="str">
        <f t="shared" si="83"/>
        <v/>
      </c>
    </row>
    <row r="263" spans="1:29" x14ac:dyDescent="0.2">
      <c r="A263" t="s">
        <v>347</v>
      </c>
      <c r="B263" s="6">
        <v>600</v>
      </c>
      <c r="C263" s="6">
        <f t="shared" si="63"/>
        <v>10.091743119266061</v>
      </c>
      <c r="D263" s="6">
        <f t="shared" si="70"/>
        <v>4.2690307623036263</v>
      </c>
      <c r="E263" s="6">
        <f t="shared" si="71"/>
        <v>5.8227123569624348</v>
      </c>
      <c r="F263" s="6">
        <v>56.5</v>
      </c>
      <c r="G263" s="6">
        <f t="shared" si="64"/>
        <v>38.684339715267548</v>
      </c>
      <c r="H263" s="6">
        <f t="shared" si="72"/>
        <v>15.051871910821378</v>
      </c>
      <c r="I263" s="6">
        <f t="shared" si="73"/>
        <v>23.632467804446172</v>
      </c>
      <c r="J263" s="6">
        <v>6150.2</v>
      </c>
      <c r="K263" s="6">
        <f t="shared" si="65"/>
        <v>-7.1275406964452888</v>
      </c>
      <c r="L263" s="6">
        <f t="shared" si="74"/>
        <v>7.4386478076861877</v>
      </c>
      <c r="M263" s="6">
        <f t="shared" si="75"/>
        <v>-14.566188504131476</v>
      </c>
      <c r="N263" s="6">
        <v>1681.9</v>
      </c>
      <c r="O263" s="6">
        <f t="shared" si="66"/>
        <v>-22.706801470588232</v>
      </c>
      <c r="P263" s="6">
        <f t="shared" si="76"/>
        <v>11.222179623105895</v>
      </c>
      <c r="Q263" s="6">
        <f t="shared" si="77"/>
        <v>-33.928981093694127</v>
      </c>
      <c r="R263" s="6"/>
      <c r="S263" s="6" t="str">
        <f t="shared" si="67"/>
        <v/>
      </c>
      <c r="T263" s="6" t="str">
        <f t="shared" si="78"/>
        <v/>
      </c>
      <c r="U263" s="6" t="str">
        <f t="shared" si="79"/>
        <v/>
      </c>
      <c r="V263" s="6">
        <v>33.51</v>
      </c>
      <c r="W263" s="6">
        <f t="shared" si="68"/>
        <v>-5.2854720180893322</v>
      </c>
      <c r="X263" s="6">
        <f t="shared" si="80"/>
        <v>43.291800271468112</v>
      </c>
      <c r="Y263" s="6">
        <f t="shared" si="81"/>
        <v>-48.577272289557442</v>
      </c>
      <c r="Z263" s="6"/>
      <c r="AA263" s="6" t="str">
        <f t="shared" si="69"/>
        <v/>
      </c>
      <c r="AB263" s="6" t="str">
        <f t="shared" si="82"/>
        <v/>
      </c>
      <c r="AC263" s="6" t="str">
        <f t="shared" si="83"/>
        <v/>
      </c>
    </row>
    <row r="264" spans="1:29" x14ac:dyDescent="0.2">
      <c r="A264" t="s">
        <v>348</v>
      </c>
      <c r="B264" s="6">
        <v>531</v>
      </c>
      <c r="C264" s="6">
        <f t="shared" si="63"/>
        <v>2.5096525096525157</v>
      </c>
      <c r="D264" s="6">
        <f t="shared" si="70"/>
        <v>4.1578732648577033</v>
      </c>
      <c r="E264" s="6">
        <f t="shared" si="71"/>
        <v>-1.6482207552051875</v>
      </c>
      <c r="F264" s="6">
        <v>56.5</v>
      </c>
      <c r="G264" s="6">
        <f t="shared" si="64"/>
        <v>27.712477396021697</v>
      </c>
      <c r="H264" s="6">
        <f t="shared" si="72"/>
        <v>15.74120262592529</v>
      </c>
      <c r="I264" s="6">
        <f t="shared" si="73"/>
        <v>11.971274770096407</v>
      </c>
      <c r="J264" s="6">
        <v>5999.2</v>
      </c>
      <c r="K264" s="6">
        <f t="shared" si="65"/>
        <v>-8.8890576353557567</v>
      </c>
      <c r="L264" s="6">
        <f t="shared" si="74"/>
        <v>7.0912742149982151</v>
      </c>
      <c r="M264" s="6">
        <f t="shared" si="75"/>
        <v>-15.980331850353972</v>
      </c>
      <c r="N264" s="6">
        <v>1787</v>
      </c>
      <c r="O264" s="6">
        <f t="shared" si="66"/>
        <v>-14.173190528793045</v>
      </c>
      <c r="P264" s="6">
        <f t="shared" si="76"/>
        <v>11.253826784332636</v>
      </c>
      <c r="Q264" s="6">
        <f t="shared" si="77"/>
        <v>-25.427017313125681</v>
      </c>
      <c r="R264" s="6"/>
      <c r="S264" s="6" t="str">
        <f t="shared" si="67"/>
        <v/>
      </c>
      <c r="T264" s="6" t="str">
        <f t="shared" si="78"/>
        <v/>
      </c>
      <c r="U264" s="6" t="str">
        <f t="shared" si="79"/>
        <v/>
      </c>
      <c r="V264" s="6">
        <v>33.979999999999997</v>
      </c>
      <c r="W264" s="6">
        <f t="shared" si="68"/>
        <v>3.1259484066767707</v>
      </c>
      <c r="X264" s="6">
        <f t="shared" si="80"/>
        <v>42.996700638907349</v>
      </c>
      <c r="Y264" s="6">
        <f t="shared" si="81"/>
        <v>-39.870752232230579</v>
      </c>
      <c r="Z264" s="6"/>
      <c r="AA264" s="6" t="str">
        <f t="shared" si="69"/>
        <v/>
      </c>
      <c r="AB264" s="6" t="str">
        <f t="shared" si="82"/>
        <v/>
      </c>
      <c r="AC264" s="6" t="str">
        <f t="shared" si="83"/>
        <v/>
      </c>
    </row>
    <row r="265" spans="1:29" x14ac:dyDescent="0.2">
      <c r="A265" t="s">
        <v>349</v>
      </c>
      <c r="B265" s="6">
        <v>509</v>
      </c>
      <c r="C265" s="6">
        <f t="shared" si="63"/>
        <v>0</v>
      </c>
      <c r="D265" s="6">
        <f t="shared" si="70"/>
        <v>3.9104670502241103</v>
      </c>
      <c r="E265" s="6">
        <f t="shared" si="71"/>
        <v>-3.9104670502241103</v>
      </c>
      <c r="F265" s="6">
        <v>56.5</v>
      </c>
      <c r="G265" s="6">
        <f t="shared" si="64"/>
        <v>26.653216767540911</v>
      </c>
      <c r="H265" s="6">
        <f t="shared" si="72"/>
        <v>16.20195287604491</v>
      </c>
      <c r="I265" s="6">
        <f t="shared" si="73"/>
        <v>10.451263891496001</v>
      </c>
      <c r="J265" s="6">
        <v>5579</v>
      </c>
      <c r="K265" s="6">
        <f t="shared" si="65"/>
        <v>-16.172073385121632</v>
      </c>
      <c r="L265" s="6">
        <f t="shared" si="74"/>
        <v>6.7072023527496079</v>
      </c>
      <c r="M265" s="6">
        <f t="shared" si="75"/>
        <v>-22.879275737871239</v>
      </c>
      <c r="N265" s="6">
        <v>1710.4</v>
      </c>
      <c r="O265" s="6">
        <f t="shared" si="66"/>
        <v>-16.970873786407758</v>
      </c>
      <c r="P265" s="6">
        <f t="shared" si="76"/>
        <v>11.471601580956358</v>
      </c>
      <c r="Q265" s="6">
        <f t="shared" si="77"/>
        <v>-28.442475367364118</v>
      </c>
      <c r="R265" s="6"/>
      <c r="S265" s="6" t="str">
        <f t="shared" si="67"/>
        <v/>
      </c>
      <c r="T265" s="6" t="str">
        <f t="shared" si="78"/>
        <v/>
      </c>
      <c r="U265" s="6" t="str">
        <f t="shared" si="79"/>
        <v/>
      </c>
      <c r="V265" s="6">
        <v>33.99</v>
      </c>
      <c r="W265" s="6">
        <f t="shared" si="68"/>
        <v>3.5333536399634546</v>
      </c>
      <c r="X265" s="6">
        <f t="shared" si="80"/>
        <v>42.876838931862544</v>
      </c>
      <c r="Y265" s="6">
        <f t="shared" si="81"/>
        <v>-39.343485291899086</v>
      </c>
      <c r="Z265" s="6"/>
      <c r="AA265" s="6" t="str">
        <f t="shared" si="69"/>
        <v/>
      </c>
      <c r="AB265" s="6" t="str">
        <f t="shared" si="82"/>
        <v/>
      </c>
      <c r="AC265" s="6" t="str">
        <f t="shared" si="83"/>
        <v/>
      </c>
    </row>
    <row r="266" spans="1:29" x14ac:dyDescent="0.2">
      <c r="A266" t="s">
        <v>350</v>
      </c>
      <c r="B266" s="6">
        <v>513</v>
      </c>
      <c r="C266" s="6">
        <f t="shared" si="63"/>
        <v>1.1834319526627279</v>
      </c>
      <c r="D266" s="6">
        <f t="shared" si="70"/>
        <v>3.8967759220751508</v>
      </c>
      <c r="E266" s="6">
        <f t="shared" si="71"/>
        <v>-2.7133439694124228</v>
      </c>
      <c r="F266" s="6">
        <v>56.5</v>
      </c>
      <c r="G266" s="6">
        <f t="shared" si="64"/>
        <v>26.653216767540911</v>
      </c>
      <c r="H266" s="6">
        <f t="shared" si="72"/>
        <v>16.640635196404517</v>
      </c>
      <c r="I266" s="6">
        <f t="shared" si="73"/>
        <v>10.012581571136394</v>
      </c>
      <c r="J266" s="6">
        <v>5216.8</v>
      </c>
      <c r="K266" s="6">
        <f t="shared" si="65"/>
        <v>-22.043066991437399</v>
      </c>
      <c r="L266" s="6">
        <f t="shared" si="74"/>
        <v>6.2120723305757757</v>
      </c>
      <c r="M266" s="6">
        <f t="shared" si="75"/>
        <v>-28.255139322013175</v>
      </c>
      <c r="N266" s="6">
        <v>1666.3</v>
      </c>
      <c r="O266" s="6">
        <f t="shared" si="66"/>
        <v>-18.318627450980397</v>
      </c>
      <c r="P266" s="6">
        <f t="shared" si="76"/>
        <v>11.495012238164934</v>
      </c>
      <c r="Q266" s="6">
        <f t="shared" si="77"/>
        <v>-29.813639689145333</v>
      </c>
      <c r="R266" s="6"/>
      <c r="S266" s="6" t="str">
        <f t="shared" si="67"/>
        <v/>
      </c>
      <c r="T266" s="6" t="str">
        <f t="shared" si="78"/>
        <v/>
      </c>
      <c r="U266" s="6" t="str">
        <f t="shared" si="79"/>
        <v/>
      </c>
      <c r="V266" s="6">
        <v>34.61</v>
      </c>
      <c r="W266" s="6">
        <f t="shared" si="68"/>
        <v>-7.3360107095046923</v>
      </c>
      <c r="X266" s="6">
        <f t="shared" si="80"/>
        <v>42.765464833844533</v>
      </c>
      <c r="Y266" s="6">
        <f t="shared" si="81"/>
        <v>-50.101475543349224</v>
      </c>
      <c r="Z266" s="6"/>
      <c r="AA266" s="6" t="str">
        <f t="shared" si="69"/>
        <v/>
      </c>
      <c r="AB266" s="6" t="str">
        <f t="shared" si="82"/>
        <v/>
      </c>
      <c r="AC266" s="6" t="str">
        <f t="shared" si="83"/>
        <v/>
      </c>
    </row>
    <row r="267" spans="1:29" x14ac:dyDescent="0.2">
      <c r="A267" t="s">
        <v>351</v>
      </c>
      <c r="B267" s="6">
        <v>500</v>
      </c>
      <c r="C267" s="6">
        <f t="shared" si="63"/>
        <v>-14.529914529914533</v>
      </c>
      <c r="D267" s="6">
        <f t="shared" si="70"/>
        <v>3.8913736459161297</v>
      </c>
      <c r="E267" s="6">
        <f t="shared" si="71"/>
        <v>-18.421288175830664</v>
      </c>
      <c r="F267" s="6">
        <v>56.5</v>
      </c>
      <c r="G267" s="6">
        <f t="shared" si="64"/>
        <v>25.611382836816365</v>
      </c>
      <c r="H267" s="6">
        <f t="shared" si="72"/>
        <v>17.079317516764124</v>
      </c>
      <c r="I267" s="6">
        <f t="shared" si="73"/>
        <v>8.5320653200522401</v>
      </c>
      <c r="J267" s="6">
        <v>5100.2</v>
      </c>
      <c r="K267" s="6">
        <f t="shared" si="65"/>
        <v>-20.96021820323276</v>
      </c>
      <c r="L267" s="6">
        <f t="shared" si="74"/>
        <v>6.0379129772384168</v>
      </c>
      <c r="M267" s="6">
        <f t="shared" si="75"/>
        <v>-26.998131180471177</v>
      </c>
      <c r="N267" s="6">
        <v>1651.4</v>
      </c>
      <c r="O267" s="6">
        <f t="shared" si="66"/>
        <v>-17.840796019900495</v>
      </c>
      <c r="P267" s="6">
        <f t="shared" si="76"/>
        <v>11.234969497008811</v>
      </c>
      <c r="Q267" s="6">
        <f t="shared" si="77"/>
        <v>-29.075765516909307</v>
      </c>
      <c r="R267" s="6"/>
      <c r="S267" s="6" t="str">
        <f t="shared" si="67"/>
        <v/>
      </c>
      <c r="T267" s="6" t="str">
        <f t="shared" si="78"/>
        <v/>
      </c>
      <c r="U267" s="6" t="str">
        <f t="shared" si="79"/>
        <v/>
      </c>
      <c r="V267" s="6">
        <v>35.68</v>
      </c>
      <c r="W267" s="6">
        <f t="shared" si="68"/>
        <v>-11.464019851116625</v>
      </c>
      <c r="X267" s="6">
        <f t="shared" si="80"/>
        <v>42.476076655547779</v>
      </c>
      <c r="Y267" s="6">
        <f t="shared" si="81"/>
        <v>-53.940096506664403</v>
      </c>
      <c r="Z267" s="6"/>
      <c r="AA267" s="6" t="str">
        <f t="shared" si="69"/>
        <v/>
      </c>
      <c r="AB267" s="6" t="str">
        <f t="shared" si="82"/>
        <v/>
      </c>
      <c r="AC267" s="6" t="str">
        <f t="shared" si="83"/>
        <v/>
      </c>
    </row>
    <row r="268" spans="1:29" x14ac:dyDescent="0.2">
      <c r="A268" t="s">
        <v>352</v>
      </c>
      <c r="B268" s="6">
        <v>483</v>
      </c>
      <c r="C268" s="6">
        <f t="shared" si="63"/>
        <v>-22.008719522041009</v>
      </c>
      <c r="D268" s="6">
        <f t="shared" si="70"/>
        <v>3.6420624929905188</v>
      </c>
      <c r="E268" s="6">
        <f t="shared" si="71"/>
        <v>-25.650782015031528</v>
      </c>
      <c r="F268" s="6">
        <v>56.5</v>
      </c>
      <c r="G268" s="6">
        <f t="shared" si="64"/>
        <v>25.611382836816365</v>
      </c>
      <c r="H268" s="6">
        <f t="shared" si="72"/>
        <v>17.496294963566971</v>
      </c>
      <c r="I268" s="6">
        <f t="shared" si="73"/>
        <v>8.1150878732493936</v>
      </c>
      <c r="J268" s="6">
        <v>5496.1</v>
      </c>
      <c r="K268" s="6">
        <f t="shared" si="65"/>
        <v>-14.002503520575804</v>
      </c>
      <c r="L268" s="6">
        <f t="shared" si="74"/>
        <v>5.886312973655321</v>
      </c>
      <c r="M268" s="6">
        <f t="shared" si="75"/>
        <v>-19.888816494231126</v>
      </c>
      <c r="N268" s="6">
        <v>1655.3</v>
      </c>
      <c r="O268" s="6">
        <f t="shared" si="66"/>
        <v>-11.905268759978716</v>
      </c>
      <c r="P268" s="6">
        <f t="shared" si="76"/>
        <v>11.021287289075319</v>
      </c>
      <c r="Q268" s="6">
        <f t="shared" si="77"/>
        <v>-22.926556049054035</v>
      </c>
      <c r="R268" s="6"/>
      <c r="S268" s="6" t="str">
        <f t="shared" si="67"/>
        <v/>
      </c>
      <c r="T268" s="6" t="str">
        <f t="shared" si="78"/>
        <v/>
      </c>
      <c r="U268" s="6" t="str">
        <f t="shared" si="79"/>
        <v/>
      </c>
      <c r="V268" s="6">
        <v>35.409999999999997</v>
      </c>
      <c r="W268" s="6">
        <f t="shared" si="68"/>
        <v>-10.918238993710705</v>
      </c>
      <c r="X268" s="6">
        <f t="shared" si="80"/>
        <v>42.100688286800775</v>
      </c>
      <c r="Y268" s="6">
        <f t="shared" si="81"/>
        <v>-53.018927280511477</v>
      </c>
      <c r="Z268" s="6"/>
      <c r="AA268" s="6" t="str">
        <f t="shared" si="69"/>
        <v/>
      </c>
      <c r="AB268" s="6" t="str">
        <f t="shared" si="82"/>
        <v/>
      </c>
      <c r="AC268" s="6" t="str">
        <f t="shared" si="83"/>
        <v/>
      </c>
    </row>
    <row r="269" spans="1:29" x14ac:dyDescent="0.2">
      <c r="A269" t="s">
        <v>353</v>
      </c>
      <c r="B269" s="6">
        <v>502</v>
      </c>
      <c r="C269" s="6">
        <f t="shared" si="63"/>
        <v>-19.679999999999996</v>
      </c>
      <c r="D269" s="6">
        <f t="shared" si="70"/>
        <v>2.9819640236718747</v>
      </c>
      <c r="E269" s="6">
        <f t="shared" si="71"/>
        <v>-22.661964023671871</v>
      </c>
      <c r="F269" s="6">
        <v>55.61</v>
      </c>
      <c r="G269" s="6">
        <f t="shared" si="64"/>
        <v>23.632725655847043</v>
      </c>
      <c r="H269" s="6">
        <f t="shared" si="72"/>
        <v>17.913272410369814</v>
      </c>
      <c r="I269" s="6">
        <f t="shared" si="73"/>
        <v>5.7194532454772293</v>
      </c>
      <c r="J269" s="6">
        <v>5628.8</v>
      </c>
      <c r="K269" s="6">
        <f t="shared" si="65"/>
        <v>-12.102189325088231</v>
      </c>
      <c r="L269" s="6">
        <f t="shared" si="74"/>
        <v>5.8796653592942425</v>
      </c>
      <c r="M269" s="6">
        <f t="shared" si="75"/>
        <v>-17.981854684382473</v>
      </c>
      <c r="N269" s="6">
        <v>1610.6</v>
      </c>
      <c r="O269" s="6">
        <f t="shared" si="66"/>
        <v>-13.830185650848003</v>
      </c>
      <c r="P269" s="6">
        <f t="shared" si="76"/>
        <v>10.815348398663305</v>
      </c>
      <c r="Q269" s="6">
        <f t="shared" si="77"/>
        <v>-24.645534049511308</v>
      </c>
      <c r="R269" s="6"/>
      <c r="S269" s="6" t="str">
        <f t="shared" si="67"/>
        <v/>
      </c>
      <c r="T269" s="6" t="str">
        <f t="shared" si="78"/>
        <v/>
      </c>
      <c r="U269" s="6" t="str">
        <f t="shared" si="79"/>
        <v/>
      </c>
      <c r="V269" s="6">
        <v>35.049999999999997</v>
      </c>
      <c r="W269" s="6">
        <f t="shared" si="68"/>
        <v>-11.868242393764161</v>
      </c>
      <c r="X269" s="6">
        <f t="shared" si="80"/>
        <v>41.736670352583054</v>
      </c>
      <c r="Y269" s="6">
        <f t="shared" si="81"/>
        <v>-53.604912746347217</v>
      </c>
      <c r="Z269" s="6"/>
      <c r="AA269" s="6" t="str">
        <f t="shared" si="69"/>
        <v/>
      </c>
      <c r="AB269" s="6" t="str">
        <f t="shared" si="82"/>
        <v/>
      </c>
      <c r="AC269" s="6" t="str">
        <f t="shared" si="83"/>
        <v/>
      </c>
    </row>
    <row r="270" spans="1:29" x14ac:dyDescent="0.2">
      <c r="A270" t="s">
        <v>354</v>
      </c>
      <c r="B270" s="6">
        <v>528</v>
      </c>
      <c r="C270" s="6">
        <f t="shared" si="63"/>
        <v>-17.500000000000004</v>
      </c>
      <c r="D270" s="6">
        <f t="shared" si="70"/>
        <v>2.3374762891841399</v>
      </c>
      <c r="E270" s="6">
        <f t="shared" si="71"/>
        <v>-19.837476289184142</v>
      </c>
      <c r="F270" s="6">
        <v>55.61</v>
      </c>
      <c r="G270" s="6">
        <f t="shared" si="64"/>
        <v>23.632725655847043</v>
      </c>
      <c r="H270" s="6">
        <f t="shared" si="72"/>
        <v>18.464459773667183</v>
      </c>
      <c r="I270" s="6">
        <f t="shared" si="73"/>
        <v>5.1682658821798597</v>
      </c>
      <c r="J270" s="6">
        <v>5716.8</v>
      </c>
      <c r="K270" s="6">
        <f t="shared" si="65"/>
        <v>-10.26417819077966</v>
      </c>
      <c r="L270" s="6">
        <f t="shared" si="74"/>
        <v>5.9126076240058252</v>
      </c>
      <c r="M270" s="6">
        <f t="shared" si="75"/>
        <v>-16.176785814785486</v>
      </c>
      <c r="N270" s="6">
        <v>1598</v>
      </c>
      <c r="O270" s="6">
        <f t="shared" si="66"/>
        <v>-11.271515824541922</v>
      </c>
      <c r="P270" s="6">
        <f t="shared" si="76"/>
        <v>10.728688012312665</v>
      </c>
      <c r="Q270" s="6">
        <f t="shared" si="77"/>
        <v>-22.000203836854588</v>
      </c>
      <c r="R270" s="6"/>
      <c r="S270" s="6" t="str">
        <f t="shared" si="67"/>
        <v/>
      </c>
      <c r="T270" s="6" t="str">
        <f t="shared" si="78"/>
        <v/>
      </c>
      <c r="U270" s="6" t="str">
        <f t="shared" si="79"/>
        <v/>
      </c>
      <c r="V270" s="6">
        <v>32.270000000000003</v>
      </c>
      <c r="W270" s="6">
        <f t="shared" si="68"/>
        <v>-14.85488126649075</v>
      </c>
      <c r="X270" s="6">
        <f t="shared" si="80"/>
        <v>41.462748636046307</v>
      </c>
      <c r="Y270" s="6">
        <f t="shared" si="81"/>
        <v>-56.317629902537057</v>
      </c>
      <c r="Z270" s="6"/>
      <c r="AA270" s="6" t="str">
        <f t="shared" si="69"/>
        <v/>
      </c>
      <c r="AB270" s="6" t="str">
        <f t="shared" si="82"/>
        <v/>
      </c>
      <c r="AC270" s="6" t="str">
        <f t="shared" si="83"/>
        <v/>
      </c>
    </row>
    <row r="271" spans="1:29" x14ac:dyDescent="0.2">
      <c r="A271" t="s">
        <v>355</v>
      </c>
      <c r="B271" s="6">
        <v>507</v>
      </c>
      <c r="C271" s="6">
        <f t="shared" si="63"/>
        <v>-18.225806451612904</v>
      </c>
      <c r="D271" s="6">
        <f t="shared" si="70"/>
        <v>1.7633268809001172</v>
      </c>
      <c r="E271" s="6">
        <f t="shared" si="71"/>
        <v>-19.98913333251302</v>
      </c>
      <c r="F271" s="6">
        <v>55.61</v>
      </c>
      <c r="G271" s="6">
        <f t="shared" si="64"/>
        <v>23.632725655847043</v>
      </c>
      <c r="H271" s="6">
        <f t="shared" si="72"/>
        <v>19.074486049098446</v>
      </c>
      <c r="I271" s="6">
        <f t="shared" si="73"/>
        <v>4.5582396067485966</v>
      </c>
      <c r="J271" s="6">
        <v>5653.3</v>
      </c>
      <c r="K271" s="6">
        <f t="shared" si="65"/>
        <v>-10.156696967770639</v>
      </c>
      <c r="L271" s="6">
        <f t="shared" si="74"/>
        <v>5.9838417873488359</v>
      </c>
      <c r="M271" s="6">
        <f t="shared" si="75"/>
        <v>-16.140538755119476</v>
      </c>
      <c r="N271" s="6">
        <v>1510.4</v>
      </c>
      <c r="O271" s="6">
        <f t="shared" si="66"/>
        <v>-16.919691969196915</v>
      </c>
      <c r="P271" s="6">
        <f t="shared" si="76"/>
        <v>10.79920604694046</v>
      </c>
      <c r="Q271" s="6">
        <f t="shared" si="77"/>
        <v>-27.718898016137373</v>
      </c>
      <c r="R271" s="6"/>
      <c r="S271" s="6" t="str">
        <f t="shared" si="67"/>
        <v/>
      </c>
      <c r="T271" s="6" t="str">
        <f t="shared" si="78"/>
        <v/>
      </c>
      <c r="U271" s="6" t="str">
        <f t="shared" si="79"/>
        <v/>
      </c>
      <c r="V271" s="6">
        <v>30.17</v>
      </c>
      <c r="W271" s="6">
        <f t="shared" si="68"/>
        <v>-19.760638297872333</v>
      </c>
      <c r="X271" s="6">
        <f t="shared" si="80"/>
        <v>41.126605276327744</v>
      </c>
      <c r="Y271" s="6">
        <f t="shared" si="81"/>
        <v>-60.887243574200077</v>
      </c>
      <c r="Z271" s="6"/>
      <c r="AA271" s="6" t="str">
        <f t="shared" si="69"/>
        <v/>
      </c>
      <c r="AB271" s="6" t="str">
        <f t="shared" si="82"/>
        <v/>
      </c>
      <c r="AC271" s="6" t="str">
        <f t="shared" si="83"/>
        <v/>
      </c>
    </row>
    <row r="272" spans="1:29" x14ac:dyDescent="0.2">
      <c r="A272" t="s">
        <v>356</v>
      </c>
      <c r="B272" s="6">
        <v>509</v>
      </c>
      <c r="C272" s="6">
        <f t="shared" si="63"/>
        <v>-13.435374149659863</v>
      </c>
      <c r="D272" s="6">
        <f t="shared" si="70"/>
        <v>1.3836225798248485</v>
      </c>
      <c r="E272" s="6">
        <f t="shared" si="71"/>
        <v>-14.818996729484711</v>
      </c>
      <c r="F272" s="6">
        <v>55.61</v>
      </c>
      <c r="G272" s="6">
        <f t="shared" si="64"/>
        <v>-1.5752212389380515</v>
      </c>
      <c r="H272" s="6">
        <f t="shared" si="72"/>
        <v>19.68451232452971</v>
      </c>
      <c r="I272" s="6">
        <f t="shared" si="73"/>
        <v>-21.259733563467762</v>
      </c>
      <c r="J272" s="6">
        <v>5394</v>
      </c>
      <c r="K272" s="6">
        <f t="shared" si="65"/>
        <v>-14.475979070873635</v>
      </c>
      <c r="L272" s="6">
        <f t="shared" si="74"/>
        <v>6.0573151428378651</v>
      </c>
      <c r="M272" s="6">
        <f t="shared" si="75"/>
        <v>-20.5332942137115</v>
      </c>
      <c r="N272" s="6">
        <v>1521.7</v>
      </c>
      <c r="O272" s="6">
        <f t="shared" si="66"/>
        <v>-16.436024162548048</v>
      </c>
      <c r="P272" s="6">
        <f t="shared" si="76"/>
        <v>10.805623355337962</v>
      </c>
      <c r="Q272" s="6">
        <f t="shared" si="77"/>
        <v>-27.241647517886008</v>
      </c>
      <c r="R272" s="6"/>
      <c r="S272" s="6" t="str">
        <f t="shared" si="67"/>
        <v/>
      </c>
      <c r="T272" s="6" t="str">
        <f t="shared" si="78"/>
        <v/>
      </c>
      <c r="U272" s="6" t="str">
        <f t="shared" si="79"/>
        <v/>
      </c>
      <c r="V272" s="6">
        <v>31.57</v>
      </c>
      <c r="W272" s="6">
        <f t="shared" si="68"/>
        <v>-13.197690404179262</v>
      </c>
      <c r="X272" s="6">
        <f t="shared" si="80"/>
        <v>40.688258645122069</v>
      </c>
      <c r="Y272" s="6">
        <f t="shared" si="81"/>
        <v>-53.885949049301331</v>
      </c>
      <c r="Z272" s="6"/>
      <c r="AA272" s="6" t="str">
        <f t="shared" si="69"/>
        <v/>
      </c>
      <c r="AB272" s="6" t="str">
        <f t="shared" si="82"/>
        <v/>
      </c>
      <c r="AC272" s="6" t="str">
        <f t="shared" si="83"/>
        <v/>
      </c>
    </row>
    <row r="273" spans="1:29" x14ac:dyDescent="0.2">
      <c r="A273" t="s">
        <v>357</v>
      </c>
      <c r="B273" s="6">
        <v>511</v>
      </c>
      <c r="C273" s="6">
        <f t="shared" ref="C273:C336" si="84">IF(OR(B273="",B261=""),"",(B273/B261-1)*100)</f>
        <v>-14.69115191986644</v>
      </c>
      <c r="D273" s="6">
        <f t="shared" si="70"/>
        <v>1.2453984983323847</v>
      </c>
      <c r="E273" s="6">
        <f t="shared" si="71"/>
        <v>-15.936550418198825</v>
      </c>
      <c r="F273" s="6">
        <v>55.61</v>
      </c>
      <c r="G273" s="6">
        <f t="shared" ref="G273:G336" si="85">IF(OR(F273="",F261=""),"",(F273/F261-1)*100)</f>
        <v>-1.5752212389380515</v>
      </c>
      <c r="H273" s="6">
        <f t="shared" si="72"/>
        <v>19.769373039652947</v>
      </c>
      <c r="I273" s="6">
        <f t="shared" si="73"/>
        <v>-21.344594278591</v>
      </c>
      <c r="J273" s="6">
        <v>5211.8999999999996</v>
      </c>
      <c r="K273" s="6">
        <f t="shared" ref="K273:K336" si="86">IF(OR(J273="",J261=""),"",(J273/J261-1)*100)</f>
        <v>-17.951260980447724</v>
      </c>
      <c r="L273" s="6">
        <f t="shared" si="74"/>
        <v>5.9529400085252355</v>
      </c>
      <c r="M273" s="6">
        <f t="shared" si="75"/>
        <v>-23.90420098897296</v>
      </c>
      <c r="N273" s="6">
        <v>1527.7</v>
      </c>
      <c r="O273" s="6">
        <f t="shared" ref="O273:O336" si="87">IF(OR(N273="",N261=""),"",(N273/N261-1)*100)</f>
        <v>-12.301951779563714</v>
      </c>
      <c r="P273" s="6">
        <f t="shared" si="76"/>
        <v>10.67314320417921</v>
      </c>
      <c r="Q273" s="6">
        <f t="shared" si="77"/>
        <v>-22.975094983742924</v>
      </c>
      <c r="R273" s="6"/>
      <c r="S273" s="6" t="str">
        <f t="shared" ref="S273:S336" si="88">IF(OR(R273="",R261=""),"",(R273/R261-1)*100)</f>
        <v/>
      </c>
      <c r="T273" s="6" t="str">
        <f t="shared" si="78"/>
        <v/>
      </c>
      <c r="U273" s="6" t="str">
        <f t="shared" si="79"/>
        <v/>
      </c>
      <c r="V273" s="6">
        <v>33.04</v>
      </c>
      <c r="W273" s="6">
        <f t="shared" ref="W273:W336" si="89">IF(OR(V273="",V261=""),"",(V273/V261-1)*100)</f>
        <v>-3.6172695449241621</v>
      </c>
      <c r="X273" s="6">
        <f t="shared" si="80"/>
        <v>40.374819479238496</v>
      </c>
      <c r="Y273" s="6">
        <f t="shared" si="81"/>
        <v>-43.992089024162659</v>
      </c>
      <c r="Z273" s="6"/>
      <c r="AA273" s="6" t="str">
        <f t="shared" ref="AA273:AA336" si="90">IF(OR(Z273="",Z261=""),"",(Z273/Z261-1)*100)</f>
        <v/>
      </c>
      <c r="AB273" s="6" t="str">
        <f t="shared" si="82"/>
        <v/>
      </c>
      <c r="AC273" s="6" t="str">
        <f t="shared" si="83"/>
        <v/>
      </c>
    </row>
    <row r="274" spans="1:29" x14ac:dyDescent="0.2">
      <c r="A274" t="s">
        <v>358</v>
      </c>
      <c r="B274" s="6">
        <v>494</v>
      </c>
      <c r="C274" s="6">
        <f t="shared" si="84"/>
        <v>-22.812500000000004</v>
      </c>
      <c r="D274" s="6">
        <f t="shared" si="70"/>
        <v>1.0499802789598505</v>
      </c>
      <c r="E274" s="6">
        <f t="shared" si="71"/>
        <v>-23.862480278959854</v>
      </c>
      <c r="F274" s="6">
        <v>55.61</v>
      </c>
      <c r="G274" s="6">
        <f t="shared" si="85"/>
        <v>-1.5752212389380515</v>
      </c>
      <c r="H274" s="6">
        <f t="shared" si="72"/>
        <v>19.741640774766889</v>
      </c>
      <c r="I274" s="6">
        <f t="shared" si="73"/>
        <v>-21.316862013704942</v>
      </c>
      <c r="J274" s="6">
        <v>5186.6000000000004</v>
      </c>
      <c r="K274" s="6">
        <f t="shared" si="86"/>
        <v>-15.930236327681769</v>
      </c>
      <c r="L274" s="6">
        <f t="shared" si="74"/>
        <v>5.8100862895317782</v>
      </c>
      <c r="M274" s="6">
        <f t="shared" si="75"/>
        <v>-21.740322617213547</v>
      </c>
      <c r="N274" s="6">
        <v>1300</v>
      </c>
      <c r="O274" s="6">
        <f t="shared" si="87"/>
        <v>-23.529411764705888</v>
      </c>
      <c r="P274" s="6">
        <f t="shared" si="76"/>
        <v>10.520183444122958</v>
      </c>
      <c r="Q274" s="6">
        <f t="shared" si="77"/>
        <v>-34.049595208828848</v>
      </c>
      <c r="R274" s="6"/>
      <c r="S274" s="6" t="str">
        <f t="shared" si="88"/>
        <v/>
      </c>
      <c r="T274" s="6" t="str">
        <f t="shared" si="78"/>
        <v/>
      </c>
      <c r="U274" s="6" t="str">
        <f t="shared" si="79"/>
        <v/>
      </c>
      <c r="V274" s="6">
        <v>32.770000000000003</v>
      </c>
      <c r="W274" s="6">
        <f t="shared" si="89"/>
        <v>0.18343014368695787</v>
      </c>
      <c r="X274" s="6">
        <f t="shared" si="80"/>
        <v>40.2576256943752</v>
      </c>
      <c r="Y274" s="6">
        <f t="shared" si="81"/>
        <v>-40.074195550688245</v>
      </c>
      <c r="Z274" s="6"/>
      <c r="AA274" s="6" t="str">
        <f t="shared" si="90"/>
        <v/>
      </c>
      <c r="AB274" s="6" t="str">
        <f t="shared" si="82"/>
        <v/>
      </c>
      <c r="AC274" s="6" t="str">
        <f t="shared" si="83"/>
        <v/>
      </c>
    </row>
    <row r="275" spans="1:29" x14ac:dyDescent="0.2">
      <c r="A275" t="s">
        <v>359</v>
      </c>
      <c r="B275" s="6">
        <v>421</v>
      </c>
      <c r="C275" s="6">
        <f t="shared" si="84"/>
        <v>-29.833333333333336</v>
      </c>
      <c r="D275" s="6">
        <f t="shared" si="70"/>
        <v>0.45692233940680765</v>
      </c>
      <c r="E275" s="6">
        <f t="shared" si="71"/>
        <v>-30.290255672740145</v>
      </c>
      <c r="F275" s="6">
        <v>55.61</v>
      </c>
      <c r="G275" s="6">
        <f t="shared" si="85"/>
        <v>-1.5752212389380515</v>
      </c>
      <c r="H275" s="6">
        <f t="shared" si="72"/>
        <v>19.602041936194173</v>
      </c>
      <c r="I275" s="6">
        <f t="shared" si="73"/>
        <v>-21.177263175132225</v>
      </c>
      <c r="J275" s="6">
        <v>5068.6000000000004</v>
      </c>
      <c r="K275" s="6">
        <f t="shared" si="86"/>
        <v>-17.586419953822631</v>
      </c>
      <c r="L275" s="6">
        <f t="shared" si="74"/>
        <v>5.7401424975397584</v>
      </c>
      <c r="M275" s="6">
        <f t="shared" si="75"/>
        <v>-23.326562451362388</v>
      </c>
      <c r="N275" s="6">
        <v>1440.9</v>
      </c>
      <c r="O275" s="6">
        <f t="shared" si="87"/>
        <v>-14.329032641655271</v>
      </c>
      <c r="P275" s="6">
        <f t="shared" si="76"/>
        <v>9.9966413291062182</v>
      </c>
      <c r="Q275" s="6">
        <f t="shared" si="77"/>
        <v>-24.325673970761489</v>
      </c>
      <c r="R275" s="6"/>
      <c r="S275" s="6" t="str">
        <f t="shared" si="88"/>
        <v/>
      </c>
      <c r="T275" s="6" t="str">
        <f t="shared" si="78"/>
        <v/>
      </c>
      <c r="U275" s="6" t="str">
        <f t="shared" si="79"/>
        <v/>
      </c>
      <c r="V275" s="6">
        <v>32.92</v>
      </c>
      <c r="W275" s="6">
        <f t="shared" si="89"/>
        <v>-1.7606684571769504</v>
      </c>
      <c r="X275" s="6">
        <f t="shared" si="80"/>
        <v>40.214593072703352</v>
      </c>
      <c r="Y275" s="6">
        <f t="shared" si="81"/>
        <v>-41.975261529880299</v>
      </c>
      <c r="Z275" s="6"/>
      <c r="AA275" s="6" t="str">
        <f t="shared" si="90"/>
        <v/>
      </c>
      <c r="AB275" s="6" t="str">
        <f t="shared" si="82"/>
        <v/>
      </c>
      <c r="AC275" s="6" t="str">
        <f t="shared" si="83"/>
        <v/>
      </c>
    </row>
    <row r="276" spans="1:29" x14ac:dyDescent="0.2">
      <c r="A276" t="s">
        <v>360</v>
      </c>
      <c r="B276" s="6">
        <v>396</v>
      </c>
      <c r="C276" s="6">
        <f t="shared" si="84"/>
        <v>-25.423728813559322</v>
      </c>
      <c r="D276" s="6">
        <f t="shared" si="70"/>
        <v>-0.57325928452481523</v>
      </c>
      <c r="E276" s="6">
        <f t="shared" si="71"/>
        <v>-24.850469529034505</v>
      </c>
      <c r="F276" s="6">
        <v>55.61</v>
      </c>
      <c r="G276" s="6">
        <f t="shared" si="85"/>
        <v>-1.5752212389380515</v>
      </c>
      <c r="H276" s="6">
        <f t="shared" si="72"/>
        <v>19.462443097621456</v>
      </c>
      <c r="I276" s="6">
        <f t="shared" si="73"/>
        <v>-21.037664336559509</v>
      </c>
      <c r="J276" s="6">
        <v>4953.1000000000004</v>
      </c>
      <c r="K276" s="6">
        <f t="shared" si="86"/>
        <v>-17.437324976663547</v>
      </c>
      <c r="L276" s="6">
        <f t="shared" si="74"/>
        <v>5.6588299574860379</v>
      </c>
      <c r="M276" s="6">
        <f t="shared" si="75"/>
        <v>-23.096154934149585</v>
      </c>
      <c r="N276" s="6">
        <v>1451.5</v>
      </c>
      <c r="O276" s="6">
        <f t="shared" si="87"/>
        <v>-18.774482372691658</v>
      </c>
      <c r="P276" s="6">
        <f t="shared" si="76"/>
        <v>9.5495487687298546</v>
      </c>
      <c r="Q276" s="6">
        <f t="shared" si="77"/>
        <v>-28.324031141421514</v>
      </c>
      <c r="R276" s="6"/>
      <c r="S276" s="6" t="str">
        <f t="shared" si="88"/>
        <v/>
      </c>
      <c r="T276" s="6" t="str">
        <f t="shared" si="78"/>
        <v/>
      </c>
      <c r="U276" s="6" t="str">
        <f t="shared" si="79"/>
        <v/>
      </c>
      <c r="V276" s="6">
        <v>32.42</v>
      </c>
      <c r="W276" s="6">
        <f t="shared" si="89"/>
        <v>-4.5909358446144637</v>
      </c>
      <c r="X276" s="6">
        <f t="shared" si="80"/>
        <v>40.154819315422166</v>
      </c>
      <c r="Y276" s="6">
        <f t="shared" si="81"/>
        <v>-44.74575516003663</v>
      </c>
      <c r="Z276" s="6"/>
      <c r="AA276" s="6" t="str">
        <f t="shared" si="90"/>
        <v/>
      </c>
      <c r="AB276" s="6" t="str">
        <f t="shared" si="82"/>
        <v/>
      </c>
      <c r="AC276" s="6" t="str">
        <f t="shared" si="83"/>
        <v/>
      </c>
    </row>
    <row r="277" spans="1:29" x14ac:dyDescent="0.2">
      <c r="A277" t="s">
        <v>361</v>
      </c>
      <c r="B277" s="6">
        <v>380</v>
      </c>
      <c r="C277" s="6">
        <f t="shared" si="84"/>
        <v>-25.343811394891947</v>
      </c>
      <c r="D277" s="6">
        <f t="shared" si="70"/>
        <v>-1.4916965016091934</v>
      </c>
      <c r="E277" s="6">
        <f t="shared" si="71"/>
        <v>-23.852114893282753</v>
      </c>
      <c r="F277" s="6">
        <v>55.61</v>
      </c>
      <c r="G277" s="6">
        <f t="shared" si="85"/>
        <v>-1.5752212389380515</v>
      </c>
      <c r="H277" s="6">
        <f t="shared" si="72"/>
        <v>19.32284425904874</v>
      </c>
      <c r="I277" s="6">
        <f t="shared" si="73"/>
        <v>-20.898065497986792</v>
      </c>
      <c r="J277" s="6">
        <v>4310.3</v>
      </c>
      <c r="K277" s="6">
        <f t="shared" si="86"/>
        <v>-22.74063452231583</v>
      </c>
      <c r="L277" s="6">
        <f t="shared" si="74"/>
        <v>5.5806235627898007</v>
      </c>
      <c r="M277" s="6">
        <f t="shared" si="75"/>
        <v>-28.321258085105629</v>
      </c>
      <c r="N277" s="6">
        <v>1426.5</v>
      </c>
      <c r="O277" s="6">
        <f t="shared" si="87"/>
        <v>-16.598456501403181</v>
      </c>
      <c r="P277" s="6">
        <f t="shared" si="76"/>
        <v>8.6806838342413091</v>
      </c>
      <c r="Q277" s="6">
        <f t="shared" si="77"/>
        <v>-25.279140335644492</v>
      </c>
      <c r="R277" s="6"/>
      <c r="S277" s="6" t="str">
        <f t="shared" si="88"/>
        <v/>
      </c>
      <c r="T277" s="6" t="str">
        <f t="shared" si="78"/>
        <v/>
      </c>
      <c r="U277" s="6" t="str">
        <f t="shared" si="79"/>
        <v/>
      </c>
      <c r="V277" s="6">
        <v>33.47</v>
      </c>
      <c r="W277" s="6">
        <f t="shared" si="89"/>
        <v>-1.5298617240364853</v>
      </c>
      <c r="X277" s="6">
        <f t="shared" si="80"/>
        <v>40.032782630746993</v>
      </c>
      <c r="Y277" s="6">
        <f t="shared" si="81"/>
        <v>-41.56264435478348</v>
      </c>
      <c r="Z277" s="6"/>
      <c r="AA277" s="6" t="str">
        <f t="shared" si="90"/>
        <v/>
      </c>
      <c r="AB277" s="6" t="str">
        <f t="shared" si="82"/>
        <v/>
      </c>
      <c r="AC277" s="6" t="str">
        <f t="shared" si="83"/>
        <v/>
      </c>
    </row>
    <row r="278" spans="1:29" x14ac:dyDescent="0.2">
      <c r="A278" t="s">
        <v>362</v>
      </c>
      <c r="B278" s="6">
        <v>355</v>
      </c>
      <c r="C278" s="6">
        <f t="shared" si="84"/>
        <v>-30.799220272904481</v>
      </c>
      <c r="D278" s="6">
        <f t="shared" si="70"/>
        <v>-2.7247161486872149</v>
      </c>
      <c r="E278" s="6">
        <f t="shared" si="71"/>
        <v>-28.074504124217267</v>
      </c>
      <c r="F278" s="6">
        <v>55.61</v>
      </c>
      <c r="G278" s="6">
        <f t="shared" si="85"/>
        <v>-1.5752212389380515</v>
      </c>
      <c r="H278" s="6">
        <f t="shared" si="72"/>
        <v>19.183245420476027</v>
      </c>
      <c r="I278" s="6">
        <f t="shared" si="73"/>
        <v>-20.758466659414079</v>
      </c>
      <c r="J278" s="6">
        <v>3916.5</v>
      </c>
      <c r="K278" s="6">
        <f t="shared" si="86"/>
        <v>-24.92524152737311</v>
      </c>
      <c r="L278" s="6">
        <f t="shared" si="74"/>
        <v>5.3919315525591394</v>
      </c>
      <c r="M278" s="6">
        <f t="shared" si="75"/>
        <v>-30.31717307993225</v>
      </c>
      <c r="N278" s="6">
        <v>1461</v>
      </c>
      <c r="O278" s="6">
        <f t="shared" si="87"/>
        <v>-12.320710556322389</v>
      </c>
      <c r="P278" s="6">
        <f t="shared" si="76"/>
        <v>7.9042689890673721</v>
      </c>
      <c r="Q278" s="6">
        <f t="shared" si="77"/>
        <v>-20.224979545389761</v>
      </c>
      <c r="R278" s="6"/>
      <c r="S278" s="6" t="str">
        <f t="shared" si="88"/>
        <v/>
      </c>
      <c r="T278" s="6" t="str">
        <f t="shared" si="78"/>
        <v/>
      </c>
      <c r="U278" s="6" t="str">
        <f t="shared" si="79"/>
        <v/>
      </c>
      <c r="V278" s="6">
        <v>33.78</v>
      </c>
      <c r="W278" s="6">
        <f t="shared" si="89"/>
        <v>-2.3981508234614202</v>
      </c>
      <c r="X278" s="6">
        <f t="shared" si="80"/>
        <v>39.972868811839326</v>
      </c>
      <c r="Y278" s="6">
        <f t="shared" si="81"/>
        <v>-42.371019635300748</v>
      </c>
      <c r="Z278" s="6"/>
      <c r="AA278" s="6" t="str">
        <f t="shared" si="90"/>
        <v/>
      </c>
      <c r="AB278" s="6" t="str">
        <f t="shared" si="82"/>
        <v/>
      </c>
      <c r="AC278" s="6" t="str">
        <f t="shared" si="83"/>
        <v/>
      </c>
    </row>
    <row r="279" spans="1:29" x14ac:dyDescent="0.2">
      <c r="A279" t="s">
        <v>363</v>
      </c>
      <c r="B279" s="6">
        <v>362</v>
      </c>
      <c r="C279" s="6">
        <f t="shared" si="84"/>
        <v>-27.6</v>
      </c>
      <c r="D279" s="6">
        <f t="shared" si="70"/>
        <v>-4.1672924969653193</v>
      </c>
      <c r="E279" s="6">
        <f t="shared" si="71"/>
        <v>-23.432707503034681</v>
      </c>
      <c r="F279" s="6">
        <v>55.61</v>
      </c>
      <c r="G279" s="6">
        <f t="shared" si="85"/>
        <v>-1.5752212389380515</v>
      </c>
      <c r="H279" s="6">
        <f t="shared" si="72"/>
        <v>19.04364658190331</v>
      </c>
      <c r="I279" s="6">
        <f t="shared" si="73"/>
        <v>-20.618867820841363</v>
      </c>
      <c r="J279" s="6">
        <v>3433.7</v>
      </c>
      <c r="K279" s="6">
        <f t="shared" si="86"/>
        <v>-32.675189208266339</v>
      </c>
      <c r="L279" s="6">
        <f t="shared" si="74"/>
        <v>4.8726556874055325</v>
      </c>
      <c r="M279" s="6">
        <f t="shared" si="75"/>
        <v>-37.547844895671872</v>
      </c>
      <c r="N279" s="6">
        <v>1443.8</v>
      </c>
      <c r="O279" s="6">
        <f t="shared" si="87"/>
        <v>-12.571151750030285</v>
      </c>
      <c r="P279" s="6">
        <f t="shared" si="76"/>
        <v>7.1379456458657549</v>
      </c>
      <c r="Q279" s="6">
        <f t="shared" si="77"/>
        <v>-19.709097395896041</v>
      </c>
      <c r="R279" s="6"/>
      <c r="S279" s="6" t="str">
        <f t="shared" si="88"/>
        <v/>
      </c>
      <c r="T279" s="6" t="str">
        <f t="shared" si="78"/>
        <v/>
      </c>
      <c r="U279" s="6" t="str">
        <f t="shared" si="79"/>
        <v/>
      </c>
      <c r="V279" s="6">
        <v>32.85</v>
      </c>
      <c r="W279" s="6">
        <f t="shared" si="89"/>
        <v>-7.9316143497757841</v>
      </c>
      <c r="X279" s="6">
        <f t="shared" si="80"/>
        <v>39.894976211219102</v>
      </c>
      <c r="Y279" s="6">
        <f t="shared" si="81"/>
        <v>-47.826590560994887</v>
      </c>
      <c r="Z279" s="6"/>
      <c r="AA279" s="6" t="str">
        <f t="shared" si="90"/>
        <v/>
      </c>
      <c r="AB279" s="6" t="str">
        <f t="shared" si="82"/>
        <v/>
      </c>
      <c r="AC279" s="6" t="str">
        <f t="shared" si="83"/>
        <v/>
      </c>
    </row>
    <row r="280" spans="1:29" x14ac:dyDescent="0.2">
      <c r="A280" t="s">
        <v>364</v>
      </c>
      <c r="B280" s="6">
        <v>376</v>
      </c>
      <c r="C280" s="6">
        <f t="shared" si="84"/>
        <v>-22.153209109730852</v>
      </c>
      <c r="D280" s="6">
        <f t="shared" si="70"/>
        <v>-5.4879459741835435</v>
      </c>
      <c r="E280" s="6">
        <f t="shared" si="71"/>
        <v>-16.66526313554731</v>
      </c>
      <c r="F280" s="6">
        <v>45.5</v>
      </c>
      <c r="G280" s="6">
        <f t="shared" si="85"/>
        <v>-19.469026548672563</v>
      </c>
      <c r="H280" s="6">
        <f t="shared" si="72"/>
        <v>18.904047743330594</v>
      </c>
      <c r="I280" s="6">
        <f t="shared" si="73"/>
        <v>-38.373074292003153</v>
      </c>
      <c r="J280" s="6">
        <v>3576.3</v>
      </c>
      <c r="K280" s="6">
        <f t="shared" si="86"/>
        <v>-34.930223249213078</v>
      </c>
      <c r="L280" s="6">
        <f t="shared" si="74"/>
        <v>4.1919225788999839</v>
      </c>
      <c r="M280" s="6">
        <f t="shared" si="75"/>
        <v>-39.122145828113062</v>
      </c>
      <c r="N280" s="6">
        <v>1473.2</v>
      </c>
      <c r="O280" s="6">
        <f t="shared" si="87"/>
        <v>-11.001027004168428</v>
      </c>
      <c r="P280" s="6">
        <f t="shared" si="76"/>
        <v>6.3490443950102859</v>
      </c>
      <c r="Q280" s="6">
        <f t="shared" si="77"/>
        <v>-17.350071399178713</v>
      </c>
      <c r="R280" s="6"/>
      <c r="S280" s="6" t="str">
        <f t="shared" si="88"/>
        <v/>
      </c>
      <c r="T280" s="6" t="str">
        <f t="shared" si="78"/>
        <v/>
      </c>
      <c r="U280" s="6" t="str">
        <f t="shared" si="79"/>
        <v/>
      </c>
      <c r="V280" s="6">
        <v>31.47</v>
      </c>
      <c r="W280" s="6">
        <f t="shared" si="89"/>
        <v>-11.12680033888731</v>
      </c>
      <c r="X280" s="6">
        <f t="shared" si="80"/>
        <v>39.644297862843786</v>
      </c>
      <c r="Y280" s="6">
        <f t="shared" si="81"/>
        <v>-50.771098201731093</v>
      </c>
      <c r="Z280" s="6"/>
      <c r="AA280" s="6" t="str">
        <f t="shared" si="90"/>
        <v/>
      </c>
      <c r="AB280" s="6" t="str">
        <f t="shared" si="82"/>
        <v/>
      </c>
      <c r="AC280" s="6" t="str">
        <f t="shared" si="83"/>
        <v/>
      </c>
    </row>
    <row r="281" spans="1:29" x14ac:dyDescent="0.2">
      <c r="A281" t="s">
        <v>365</v>
      </c>
      <c r="B281" s="6">
        <v>372</v>
      </c>
      <c r="C281" s="6">
        <f t="shared" si="84"/>
        <v>-25.89641434262948</v>
      </c>
      <c r="D281" s="6">
        <f t="shared" si="70"/>
        <v>-6.377781210543124</v>
      </c>
      <c r="E281" s="6">
        <f t="shared" si="71"/>
        <v>-19.518633132086357</v>
      </c>
      <c r="F281" s="6">
        <v>43</v>
      </c>
      <c r="G281" s="6">
        <f t="shared" si="85"/>
        <v>-22.675777737816937</v>
      </c>
      <c r="H281" s="6">
        <f t="shared" si="72"/>
        <v>18.391661294138409</v>
      </c>
      <c r="I281" s="6">
        <f t="shared" si="73"/>
        <v>-41.067439031955345</v>
      </c>
      <c r="J281" s="6">
        <v>3797</v>
      </c>
      <c r="K281" s="6">
        <f t="shared" si="86"/>
        <v>-32.543348493462197</v>
      </c>
      <c r="L281" s="6">
        <f t="shared" si="74"/>
        <v>3.4642095945413782</v>
      </c>
      <c r="M281" s="6">
        <f t="shared" si="75"/>
        <v>-36.007558088003577</v>
      </c>
      <c r="N281" s="6">
        <v>1571.9</v>
      </c>
      <c r="O281" s="6">
        <f t="shared" si="87"/>
        <v>-2.4028312430150134</v>
      </c>
      <c r="P281" s="6">
        <f t="shared" si="76"/>
        <v>5.6704775325291825</v>
      </c>
      <c r="Q281" s="6">
        <f t="shared" si="77"/>
        <v>-8.073308775544195</v>
      </c>
      <c r="R281" s="6"/>
      <c r="S281" s="6" t="str">
        <f t="shared" si="88"/>
        <v/>
      </c>
      <c r="T281" s="6" t="str">
        <f t="shared" si="78"/>
        <v/>
      </c>
      <c r="U281" s="6" t="str">
        <f t="shared" si="79"/>
        <v/>
      </c>
      <c r="V281" s="6">
        <v>30.65</v>
      </c>
      <c r="W281" s="6">
        <f t="shared" si="89"/>
        <v>-12.553495007132664</v>
      </c>
      <c r="X281" s="6">
        <f t="shared" si="80"/>
        <v>39.113462182807815</v>
      </c>
      <c r="Y281" s="6">
        <f t="shared" si="81"/>
        <v>-51.666957189940476</v>
      </c>
      <c r="Z281" s="6"/>
      <c r="AA281" s="6" t="str">
        <f t="shared" si="90"/>
        <v/>
      </c>
      <c r="AB281" s="6" t="str">
        <f t="shared" si="82"/>
        <v/>
      </c>
      <c r="AC281" s="6" t="str">
        <f t="shared" si="83"/>
        <v/>
      </c>
    </row>
    <row r="282" spans="1:29" x14ac:dyDescent="0.2">
      <c r="A282" t="s">
        <v>366</v>
      </c>
      <c r="B282" s="6">
        <v>367</v>
      </c>
      <c r="C282" s="6">
        <f t="shared" si="84"/>
        <v>-30.492424242424242</v>
      </c>
      <c r="D282" s="6">
        <f t="shared" si="70"/>
        <v>-7.4117775210210572</v>
      </c>
      <c r="E282" s="6">
        <f t="shared" si="71"/>
        <v>-23.080646721403184</v>
      </c>
      <c r="F282" s="6">
        <v>43</v>
      </c>
      <c r="G282" s="6">
        <f t="shared" si="85"/>
        <v>-22.675777737816937</v>
      </c>
      <c r="H282" s="6">
        <f t="shared" si="72"/>
        <v>17.748815099340423</v>
      </c>
      <c r="I282" s="6">
        <f t="shared" si="73"/>
        <v>-40.424592837157363</v>
      </c>
      <c r="J282" s="6">
        <v>4228.2</v>
      </c>
      <c r="K282" s="6">
        <f t="shared" si="86"/>
        <v>-26.039042821158699</v>
      </c>
      <c r="L282" s="6">
        <f t="shared" si="74"/>
        <v>2.7862231675942493</v>
      </c>
      <c r="M282" s="6">
        <f t="shared" si="75"/>
        <v>-28.825265988752946</v>
      </c>
      <c r="N282" s="6">
        <v>1647.4</v>
      </c>
      <c r="O282" s="6">
        <f t="shared" si="87"/>
        <v>3.0913642052565748</v>
      </c>
      <c r="P282" s="6">
        <f t="shared" si="76"/>
        <v>4.9628716278661846</v>
      </c>
      <c r="Q282" s="6">
        <f t="shared" si="77"/>
        <v>-1.8715074226096098</v>
      </c>
      <c r="R282" s="6"/>
      <c r="S282" s="6" t="str">
        <f t="shared" si="88"/>
        <v/>
      </c>
      <c r="T282" s="6" t="str">
        <f t="shared" si="78"/>
        <v/>
      </c>
      <c r="U282" s="6" t="str">
        <f t="shared" si="79"/>
        <v/>
      </c>
      <c r="V282" s="6">
        <v>29.11</v>
      </c>
      <c r="W282" s="6">
        <f t="shared" si="89"/>
        <v>-9.7923768205763988</v>
      </c>
      <c r="X282" s="6">
        <f t="shared" si="80"/>
        <v>38.06368722429297</v>
      </c>
      <c r="Y282" s="6">
        <f t="shared" si="81"/>
        <v>-47.85606404486937</v>
      </c>
      <c r="Z282" s="6"/>
      <c r="AA282" s="6" t="str">
        <f t="shared" si="90"/>
        <v/>
      </c>
      <c r="AB282" s="6" t="str">
        <f t="shared" si="82"/>
        <v/>
      </c>
      <c r="AC282" s="6" t="str">
        <f t="shared" si="83"/>
        <v/>
      </c>
    </row>
    <row r="283" spans="1:29" x14ac:dyDescent="0.2">
      <c r="A283" t="s">
        <v>367</v>
      </c>
      <c r="B283" s="6">
        <v>377.6</v>
      </c>
      <c r="C283" s="6">
        <f t="shared" si="84"/>
        <v>-25.522682445759358</v>
      </c>
      <c r="D283" s="6">
        <f t="shared" si="70"/>
        <v>-8.5548021897513689</v>
      </c>
      <c r="E283" s="6">
        <f t="shared" si="71"/>
        <v>-16.967880256007987</v>
      </c>
      <c r="F283" s="6">
        <v>43</v>
      </c>
      <c r="G283" s="6">
        <f t="shared" si="85"/>
        <v>-22.675777737816937</v>
      </c>
      <c r="H283" s="6">
        <f t="shared" si="72"/>
        <v>17.038505797799612</v>
      </c>
      <c r="I283" s="6">
        <f t="shared" si="73"/>
        <v>-39.714283535616545</v>
      </c>
      <c r="J283" s="6">
        <v>4831.8999999999996</v>
      </c>
      <c r="K283" s="6">
        <f t="shared" si="86"/>
        <v>-14.529566801691052</v>
      </c>
      <c r="L283" s="6">
        <f t="shared" si="74"/>
        <v>2.2619143546407239</v>
      </c>
      <c r="M283" s="6">
        <f t="shared" si="75"/>
        <v>-16.791481156331777</v>
      </c>
      <c r="N283" s="6">
        <v>1597.7</v>
      </c>
      <c r="O283" s="6">
        <f t="shared" si="87"/>
        <v>5.7799258474576343</v>
      </c>
      <c r="P283" s="6">
        <f t="shared" si="76"/>
        <v>3.7827530000552652</v>
      </c>
      <c r="Q283" s="6">
        <f t="shared" si="77"/>
        <v>1.9971728474023691</v>
      </c>
      <c r="R283" s="6"/>
      <c r="S283" s="6" t="str">
        <f t="shared" si="88"/>
        <v/>
      </c>
      <c r="T283" s="6" t="str">
        <f t="shared" si="78"/>
        <v/>
      </c>
      <c r="U283" s="6" t="str">
        <f t="shared" si="79"/>
        <v/>
      </c>
      <c r="V283" s="6">
        <v>28.32</v>
      </c>
      <c r="W283" s="6">
        <f t="shared" si="89"/>
        <v>-6.1319191249585732</v>
      </c>
      <c r="X283" s="6">
        <f t="shared" si="80"/>
        <v>36.528386588187622</v>
      </c>
      <c r="Y283" s="6">
        <f t="shared" si="81"/>
        <v>-42.660305713146194</v>
      </c>
      <c r="Z283" s="6"/>
      <c r="AA283" s="6" t="str">
        <f t="shared" si="90"/>
        <v/>
      </c>
      <c r="AB283" s="6" t="str">
        <f t="shared" si="82"/>
        <v/>
      </c>
      <c r="AC283" s="6" t="str">
        <f t="shared" si="83"/>
        <v/>
      </c>
    </row>
    <row r="284" spans="1:29" x14ac:dyDescent="0.2">
      <c r="A284" t="s">
        <v>368</v>
      </c>
      <c r="B284" s="6">
        <v>418.5</v>
      </c>
      <c r="C284" s="6">
        <f t="shared" si="84"/>
        <v>-17.779960707269161</v>
      </c>
      <c r="D284" s="6">
        <f t="shared" si="70"/>
        <v>-9.4000698912063623</v>
      </c>
      <c r="E284" s="6">
        <f t="shared" si="71"/>
        <v>-8.3798908160627992</v>
      </c>
      <c r="F284" s="6">
        <v>43</v>
      </c>
      <c r="G284" s="6">
        <f t="shared" si="85"/>
        <v>-22.675777737816937</v>
      </c>
      <c r="H284" s="6">
        <f t="shared" si="72"/>
        <v>16.328196496258801</v>
      </c>
      <c r="I284" s="6">
        <f t="shared" si="73"/>
        <v>-39.003974234075741</v>
      </c>
      <c r="J284" s="6">
        <v>4817.8</v>
      </c>
      <c r="K284" s="6">
        <f t="shared" si="86"/>
        <v>-10.682239525398584</v>
      </c>
      <c r="L284" s="6">
        <f t="shared" si="74"/>
        <v>1.8533675393670854</v>
      </c>
      <c r="M284" s="6">
        <f t="shared" si="75"/>
        <v>-12.535607064765669</v>
      </c>
      <c r="N284" s="6">
        <v>1674.9</v>
      </c>
      <c r="O284" s="6">
        <f t="shared" si="87"/>
        <v>10.067687454820273</v>
      </c>
      <c r="P284" s="6">
        <f t="shared" si="76"/>
        <v>2.5807332468108446</v>
      </c>
      <c r="Q284" s="6">
        <f t="shared" si="77"/>
        <v>7.4869542080094291</v>
      </c>
      <c r="R284" s="6"/>
      <c r="S284" s="6" t="str">
        <f t="shared" si="88"/>
        <v/>
      </c>
      <c r="T284" s="6" t="str">
        <f t="shared" si="78"/>
        <v/>
      </c>
      <c r="U284" s="6" t="str">
        <f t="shared" si="79"/>
        <v/>
      </c>
      <c r="V284" s="6">
        <v>29.69</v>
      </c>
      <c r="W284" s="6">
        <f t="shared" si="89"/>
        <v>-5.9550205891669261</v>
      </c>
      <c r="X284" s="6">
        <f t="shared" si="80"/>
        <v>34.860353912894752</v>
      </c>
      <c r="Y284" s="6">
        <f t="shared" si="81"/>
        <v>-40.81537450206168</v>
      </c>
      <c r="Z284" s="6"/>
      <c r="AA284" s="6" t="str">
        <f t="shared" si="90"/>
        <v/>
      </c>
      <c r="AB284" s="6" t="str">
        <f t="shared" si="82"/>
        <v/>
      </c>
      <c r="AC284" s="6" t="str">
        <f t="shared" si="83"/>
        <v/>
      </c>
    </row>
    <row r="285" spans="1:29" x14ac:dyDescent="0.2">
      <c r="A285" t="s">
        <v>369</v>
      </c>
      <c r="B285" s="6">
        <v>432</v>
      </c>
      <c r="C285" s="6">
        <f t="shared" si="84"/>
        <v>-15.459882583170259</v>
      </c>
      <c r="D285" s="6">
        <f t="shared" si="70"/>
        <v>-9.9881474308167579</v>
      </c>
      <c r="E285" s="6">
        <f t="shared" si="71"/>
        <v>-5.4717351523535012</v>
      </c>
      <c r="F285" s="6">
        <v>43</v>
      </c>
      <c r="G285" s="6">
        <f t="shared" si="85"/>
        <v>-22.675777737816937</v>
      </c>
      <c r="H285" s="6">
        <f t="shared" si="72"/>
        <v>15.617887194717992</v>
      </c>
      <c r="I285" s="6">
        <f t="shared" si="73"/>
        <v>-38.293664932534931</v>
      </c>
      <c r="J285" s="6">
        <v>5031.6000000000004</v>
      </c>
      <c r="K285" s="6">
        <f t="shared" si="86"/>
        <v>-3.4593910090369939</v>
      </c>
      <c r="L285" s="6">
        <f t="shared" si="74"/>
        <v>1.327814778101861</v>
      </c>
      <c r="M285" s="6">
        <f t="shared" si="75"/>
        <v>-4.7872057871388547</v>
      </c>
      <c r="N285" s="6">
        <v>1765.7</v>
      </c>
      <c r="O285" s="6">
        <f t="shared" si="87"/>
        <v>15.578974929632782</v>
      </c>
      <c r="P285" s="6">
        <f t="shared" si="76"/>
        <v>1.4691408080858765</v>
      </c>
      <c r="Q285" s="6">
        <f t="shared" si="77"/>
        <v>14.109834121546905</v>
      </c>
      <c r="R285" s="6"/>
      <c r="S285" s="6" t="str">
        <f t="shared" si="88"/>
        <v/>
      </c>
      <c r="T285" s="6" t="str">
        <f t="shared" si="78"/>
        <v/>
      </c>
      <c r="U285" s="6" t="str">
        <f t="shared" si="79"/>
        <v/>
      </c>
      <c r="V285" s="6">
        <v>29.36</v>
      </c>
      <c r="W285" s="6">
        <f t="shared" si="89"/>
        <v>-11.13801452784503</v>
      </c>
      <c r="X285" s="6">
        <f t="shared" si="80"/>
        <v>33.134358807297623</v>
      </c>
      <c r="Y285" s="6">
        <f t="shared" si="81"/>
        <v>-44.272373335142653</v>
      </c>
      <c r="Z285" s="6"/>
      <c r="AA285" s="6" t="str">
        <f t="shared" si="90"/>
        <v/>
      </c>
      <c r="AB285" s="6" t="str">
        <f t="shared" si="82"/>
        <v/>
      </c>
      <c r="AC285" s="6" t="str">
        <f t="shared" si="83"/>
        <v/>
      </c>
    </row>
    <row r="286" spans="1:29" x14ac:dyDescent="0.2">
      <c r="A286" t="s">
        <v>370</v>
      </c>
      <c r="B286" s="6">
        <v>394</v>
      </c>
      <c r="C286" s="6">
        <f t="shared" si="84"/>
        <v>-20.242914979757089</v>
      </c>
      <c r="D286" s="6">
        <f t="shared" si="70"/>
        <v>-10.447114001726822</v>
      </c>
      <c r="E286" s="6">
        <f t="shared" si="71"/>
        <v>-9.7958009780302664</v>
      </c>
      <c r="F286" s="6">
        <v>43</v>
      </c>
      <c r="G286" s="6">
        <f t="shared" si="85"/>
        <v>-22.675777737816937</v>
      </c>
      <c r="H286" s="6">
        <f t="shared" si="72"/>
        <v>15.033334881221151</v>
      </c>
      <c r="I286" s="6">
        <f t="shared" si="73"/>
        <v>-37.709112619038088</v>
      </c>
      <c r="J286" s="6">
        <v>4883.2</v>
      </c>
      <c r="K286" s="6">
        <f t="shared" si="86"/>
        <v>-5.8496895846990471</v>
      </c>
      <c r="L286" s="6">
        <f t="shared" si="74"/>
        <v>0.69143408097293202</v>
      </c>
      <c r="M286" s="6">
        <f t="shared" si="75"/>
        <v>-6.5411236656719787</v>
      </c>
      <c r="N286" s="6">
        <v>1701.2</v>
      </c>
      <c r="O286" s="6">
        <f t="shared" si="87"/>
        <v>30.861538461538473</v>
      </c>
      <c r="P286" s="6">
        <f t="shared" si="76"/>
        <v>0.79760403930408297</v>
      </c>
      <c r="Q286" s="6">
        <f t="shared" si="77"/>
        <v>30.063934422234389</v>
      </c>
      <c r="R286" s="6"/>
      <c r="S286" s="6" t="str">
        <f t="shared" si="88"/>
        <v/>
      </c>
      <c r="T286" s="6" t="str">
        <f t="shared" si="78"/>
        <v/>
      </c>
      <c r="U286" s="6" t="str">
        <f t="shared" si="79"/>
        <v/>
      </c>
      <c r="V286" s="6">
        <v>29.97</v>
      </c>
      <c r="W286" s="6">
        <f t="shared" si="89"/>
        <v>-8.5444003661885972</v>
      </c>
      <c r="X286" s="6">
        <f t="shared" si="80"/>
        <v>29.490243347153875</v>
      </c>
      <c r="Y286" s="6">
        <f t="shared" si="81"/>
        <v>-38.034643713342476</v>
      </c>
      <c r="Z286" s="6"/>
      <c r="AA286" s="6" t="str">
        <f t="shared" si="90"/>
        <v/>
      </c>
      <c r="AB286" s="6" t="str">
        <f t="shared" si="82"/>
        <v/>
      </c>
      <c r="AC286" s="6" t="str">
        <f t="shared" si="83"/>
        <v/>
      </c>
    </row>
    <row r="287" spans="1:29" x14ac:dyDescent="0.2">
      <c r="A287" t="s">
        <v>371</v>
      </c>
      <c r="B287" s="6">
        <v>425</v>
      </c>
      <c r="C287" s="6">
        <f t="shared" si="84"/>
        <v>0.95011876484560887</v>
      </c>
      <c r="D287" s="6">
        <f t="shared" si="70"/>
        <v>-10.935737421603262</v>
      </c>
      <c r="E287" s="6">
        <f t="shared" si="71"/>
        <v>11.885856186448871</v>
      </c>
      <c r="F287" s="6">
        <v>34.75</v>
      </c>
      <c r="G287" s="6">
        <f t="shared" si="85"/>
        <v>-37.511238985793923</v>
      </c>
      <c r="H287" s="6">
        <f t="shared" si="72"/>
        <v>14.560922845016632</v>
      </c>
      <c r="I287" s="6">
        <f t="shared" si="73"/>
        <v>-52.072161830810558</v>
      </c>
      <c r="J287" s="6">
        <v>4804.1000000000004</v>
      </c>
      <c r="K287" s="6">
        <f t="shared" si="86"/>
        <v>-5.2184035039261278</v>
      </c>
      <c r="L287" s="6">
        <f t="shared" si="74"/>
        <v>-0.27094396047363817</v>
      </c>
      <c r="M287" s="6">
        <f t="shared" si="75"/>
        <v>-4.9474595434524895</v>
      </c>
      <c r="N287" s="6">
        <v>1704.3</v>
      </c>
      <c r="O287" s="6">
        <f t="shared" si="87"/>
        <v>18.280241515719343</v>
      </c>
      <c r="P287" s="6">
        <f t="shared" si="76"/>
        <v>0.5889336024641042</v>
      </c>
      <c r="Q287" s="6">
        <f t="shared" si="77"/>
        <v>17.69130791325524</v>
      </c>
      <c r="R287" s="6"/>
      <c r="S287" s="6" t="str">
        <f t="shared" si="88"/>
        <v/>
      </c>
      <c r="T287" s="6" t="str">
        <f t="shared" si="78"/>
        <v/>
      </c>
      <c r="U287" s="6" t="str">
        <f t="shared" si="79"/>
        <v/>
      </c>
      <c r="V287" s="6">
        <v>30.47</v>
      </c>
      <c r="W287" s="6">
        <f t="shared" si="89"/>
        <v>-7.4422843256379156</v>
      </c>
      <c r="X287" s="6">
        <f t="shared" si="80"/>
        <v>25.721635372779712</v>
      </c>
      <c r="Y287" s="6">
        <f t="shared" si="81"/>
        <v>-33.163919698417629</v>
      </c>
      <c r="Z287" s="6"/>
      <c r="AA287" s="6" t="str">
        <f t="shared" si="90"/>
        <v/>
      </c>
      <c r="AB287" s="6" t="str">
        <f t="shared" si="82"/>
        <v/>
      </c>
      <c r="AC287" s="6" t="str">
        <f t="shared" si="83"/>
        <v/>
      </c>
    </row>
    <row r="288" spans="1:29" x14ac:dyDescent="0.2">
      <c r="A288" t="s">
        <v>372</v>
      </c>
      <c r="B288" s="6">
        <v>559</v>
      </c>
      <c r="C288" s="6">
        <f t="shared" si="84"/>
        <v>41.161616161616152</v>
      </c>
      <c r="D288" s="6">
        <f t="shared" si="70"/>
        <v>-11.103510268879051</v>
      </c>
      <c r="E288" s="6">
        <f t="shared" si="71"/>
        <v>52.265126430495201</v>
      </c>
      <c r="F288" s="6">
        <v>34.75</v>
      </c>
      <c r="G288" s="6">
        <f t="shared" si="85"/>
        <v>-37.511238985793923</v>
      </c>
      <c r="H288" s="6">
        <f t="shared" si="72"/>
        <v>13.779438699479257</v>
      </c>
      <c r="I288" s="6">
        <f t="shared" si="73"/>
        <v>-51.290677685273181</v>
      </c>
      <c r="J288" s="6">
        <v>4852.8</v>
      </c>
      <c r="K288" s="6">
        <f t="shared" si="86"/>
        <v>-2.0249944479215021</v>
      </c>
      <c r="L288" s="6">
        <f t="shared" si="74"/>
        <v>-1.3009428632438691</v>
      </c>
      <c r="M288" s="6">
        <f t="shared" si="75"/>
        <v>-0.72405158467763298</v>
      </c>
      <c r="N288" s="6">
        <v>1639.8</v>
      </c>
      <c r="O288" s="6">
        <f t="shared" si="87"/>
        <v>12.972786772304513</v>
      </c>
      <c r="P288" s="6">
        <f t="shared" si="76"/>
        <v>0.22650345578180539</v>
      </c>
      <c r="Q288" s="6">
        <f t="shared" si="77"/>
        <v>12.746283316522707</v>
      </c>
      <c r="R288" s="6"/>
      <c r="S288" s="6" t="str">
        <f t="shared" si="88"/>
        <v/>
      </c>
      <c r="T288" s="6" t="str">
        <f t="shared" si="78"/>
        <v/>
      </c>
      <c r="U288" s="6" t="str">
        <f t="shared" si="79"/>
        <v/>
      </c>
      <c r="V288" s="6">
        <v>30.65</v>
      </c>
      <c r="W288" s="6">
        <f t="shared" si="89"/>
        <v>-5.4595928439235113</v>
      </c>
      <c r="X288" s="6">
        <f t="shared" si="80"/>
        <v>22.184637900125058</v>
      </c>
      <c r="Y288" s="6">
        <f t="shared" si="81"/>
        <v>-27.644230744048571</v>
      </c>
      <c r="Z288" s="6"/>
      <c r="AA288" s="6" t="str">
        <f t="shared" si="90"/>
        <v/>
      </c>
      <c r="AB288" s="6" t="str">
        <f t="shared" si="82"/>
        <v/>
      </c>
      <c r="AC288" s="6" t="str">
        <f t="shared" si="83"/>
        <v/>
      </c>
    </row>
    <row r="289" spans="1:29" x14ac:dyDescent="0.2">
      <c r="A289" t="s">
        <v>373</v>
      </c>
      <c r="B289" s="6">
        <v>645</v>
      </c>
      <c r="C289" s="6">
        <f t="shared" si="84"/>
        <v>69.736842105263165</v>
      </c>
      <c r="D289" s="6">
        <f t="shared" si="70"/>
        <v>-10.48458058744937</v>
      </c>
      <c r="E289" s="6">
        <f t="shared" si="71"/>
        <v>80.221422692712537</v>
      </c>
      <c r="F289" s="6">
        <v>34.75</v>
      </c>
      <c r="G289" s="6">
        <f t="shared" si="85"/>
        <v>-37.511238985793923</v>
      </c>
      <c r="H289" s="6">
        <f t="shared" si="72"/>
        <v>12.921254719779363</v>
      </c>
      <c r="I289" s="6">
        <f t="shared" si="73"/>
        <v>-50.432493705573286</v>
      </c>
      <c r="J289" s="6">
        <v>4910.6000000000004</v>
      </c>
      <c r="K289" s="6">
        <f t="shared" si="86"/>
        <v>13.927104841890369</v>
      </c>
      <c r="L289" s="6">
        <f t="shared" si="74"/>
        <v>-2.2644124106806696</v>
      </c>
      <c r="M289" s="6">
        <f t="shared" si="75"/>
        <v>16.191517252571039</v>
      </c>
      <c r="N289" s="6">
        <v>1560.7</v>
      </c>
      <c r="O289" s="6">
        <f t="shared" si="87"/>
        <v>9.4076410795653764</v>
      </c>
      <c r="P289" s="6">
        <f t="shared" si="76"/>
        <v>-0.3073442251247771</v>
      </c>
      <c r="Q289" s="6">
        <f t="shared" si="77"/>
        <v>9.7149853046901526</v>
      </c>
      <c r="R289" s="6"/>
      <c r="S289" s="6" t="str">
        <f t="shared" si="88"/>
        <v/>
      </c>
      <c r="T289" s="6" t="str">
        <f t="shared" si="78"/>
        <v/>
      </c>
      <c r="U289" s="6" t="str">
        <f t="shared" si="79"/>
        <v/>
      </c>
      <c r="V289" s="6">
        <v>30.07</v>
      </c>
      <c r="W289" s="6">
        <f t="shared" si="89"/>
        <v>-10.158350761876299</v>
      </c>
      <c r="X289" s="6">
        <f t="shared" si="80"/>
        <v>18.616048845404936</v>
      </c>
      <c r="Y289" s="6">
        <f t="shared" si="81"/>
        <v>-28.774399607281236</v>
      </c>
      <c r="Z289" s="6"/>
      <c r="AA289" s="6" t="str">
        <f t="shared" si="90"/>
        <v/>
      </c>
      <c r="AB289" s="6" t="str">
        <f t="shared" si="82"/>
        <v/>
      </c>
      <c r="AC289" s="6" t="str">
        <f t="shared" si="83"/>
        <v/>
      </c>
    </row>
    <row r="290" spans="1:29" x14ac:dyDescent="0.2">
      <c r="A290" t="s">
        <v>374</v>
      </c>
      <c r="B290" s="6">
        <v>671</v>
      </c>
      <c r="C290" s="6">
        <f t="shared" si="84"/>
        <v>89.014084507042242</v>
      </c>
      <c r="D290" s="6">
        <f t="shared" si="70"/>
        <v>-9.1164180571398568</v>
      </c>
      <c r="E290" s="6">
        <f t="shared" si="71"/>
        <v>98.130502564182095</v>
      </c>
      <c r="F290" s="6">
        <v>34.75</v>
      </c>
      <c r="G290" s="6">
        <f t="shared" si="85"/>
        <v>-37.511238985793923</v>
      </c>
      <c r="H290" s="6">
        <f t="shared" si="72"/>
        <v>12.063070740079468</v>
      </c>
      <c r="I290" s="6">
        <f t="shared" si="73"/>
        <v>-49.574309725873391</v>
      </c>
      <c r="J290" s="6">
        <v>4674.2</v>
      </c>
      <c r="K290" s="6">
        <f t="shared" si="86"/>
        <v>19.346355164049523</v>
      </c>
      <c r="L290" s="6">
        <f t="shared" si="74"/>
        <v>-2.8955465562463893</v>
      </c>
      <c r="M290" s="6">
        <f t="shared" si="75"/>
        <v>22.241901720295914</v>
      </c>
      <c r="N290" s="6">
        <v>1435.2</v>
      </c>
      <c r="O290" s="6">
        <f t="shared" si="87"/>
        <v>-1.7659137577001993</v>
      </c>
      <c r="P290" s="6">
        <f t="shared" si="76"/>
        <v>-1.0560754659255573</v>
      </c>
      <c r="Q290" s="6">
        <f t="shared" si="77"/>
        <v>-0.70983829177464197</v>
      </c>
      <c r="R290" s="6"/>
      <c r="S290" s="6" t="str">
        <f t="shared" si="88"/>
        <v/>
      </c>
      <c r="T290" s="6" t="str">
        <f t="shared" si="78"/>
        <v/>
      </c>
      <c r="U290" s="6" t="str">
        <f t="shared" si="79"/>
        <v/>
      </c>
      <c r="V290" s="6">
        <v>29.62</v>
      </c>
      <c r="W290" s="6">
        <f t="shared" si="89"/>
        <v>-12.314979277679106</v>
      </c>
      <c r="X290" s="6">
        <f t="shared" si="80"/>
        <v>14.709755079532513</v>
      </c>
      <c r="Y290" s="6">
        <f t="shared" si="81"/>
        <v>-27.024734357211621</v>
      </c>
      <c r="Z290" s="6"/>
      <c r="AA290" s="6" t="str">
        <f t="shared" si="90"/>
        <v/>
      </c>
      <c r="AB290" s="6" t="str">
        <f t="shared" si="82"/>
        <v/>
      </c>
      <c r="AC290" s="6" t="str">
        <f t="shared" si="83"/>
        <v/>
      </c>
    </row>
    <row r="291" spans="1:29" x14ac:dyDescent="0.2">
      <c r="A291" t="s">
        <v>375</v>
      </c>
      <c r="B291" s="6">
        <v>661</v>
      </c>
      <c r="C291" s="6">
        <f t="shared" si="84"/>
        <v>82.596685082872924</v>
      </c>
      <c r="D291" s="6">
        <f t="shared" si="70"/>
        <v>-7.1917332441420188</v>
      </c>
      <c r="E291" s="6">
        <f t="shared" si="71"/>
        <v>89.788418327014938</v>
      </c>
      <c r="F291" s="6">
        <v>32</v>
      </c>
      <c r="G291" s="6">
        <f t="shared" si="85"/>
        <v>-42.456392735119586</v>
      </c>
      <c r="H291" s="6">
        <f t="shared" si="72"/>
        <v>11.128186926217053</v>
      </c>
      <c r="I291" s="6">
        <f t="shared" si="73"/>
        <v>-53.58457966133664</v>
      </c>
      <c r="J291" s="6">
        <v>4585.2</v>
      </c>
      <c r="K291" s="6">
        <f t="shared" si="86"/>
        <v>33.535253516614731</v>
      </c>
      <c r="L291" s="6">
        <f t="shared" si="74"/>
        <v>-3.4137796534337954</v>
      </c>
      <c r="M291" s="6">
        <f t="shared" si="75"/>
        <v>36.949033170048523</v>
      </c>
      <c r="N291" s="6">
        <v>1389.1</v>
      </c>
      <c r="O291" s="6">
        <f t="shared" si="87"/>
        <v>-3.7886133813547662</v>
      </c>
      <c r="P291" s="6">
        <f t="shared" si="76"/>
        <v>-1.8812396165328016</v>
      </c>
      <c r="Q291" s="6">
        <f t="shared" si="77"/>
        <v>-1.9073737648219646</v>
      </c>
      <c r="R291" s="6"/>
      <c r="S291" s="6" t="str">
        <f t="shared" si="88"/>
        <v/>
      </c>
      <c r="T291" s="6" t="str">
        <f t="shared" si="78"/>
        <v/>
      </c>
      <c r="U291" s="6" t="str">
        <f t="shared" si="79"/>
        <v/>
      </c>
      <c r="V291" s="6">
        <v>29.17</v>
      </c>
      <c r="W291" s="6">
        <f t="shared" si="89"/>
        <v>-11.202435312024351</v>
      </c>
      <c r="X291" s="6">
        <f t="shared" si="80"/>
        <v>10.497291584528982</v>
      </c>
      <c r="Y291" s="6">
        <f t="shared" si="81"/>
        <v>-21.699726896553333</v>
      </c>
      <c r="Z291" s="6"/>
      <c r="AA291" s="6" t="str">
        <f t="shared" si="90"/>
        <v/>
      </c>
      <c r="AB291" s="6" t="str">
        <f t="shared" si="82"/>
        <v/>
      </c>
      <c r="AC291" s="6" t="str">
        <f t="shared" si="83"/>
        <v/>
      </c>
    </row>
    <row r="292" spans="1:29" x14ac:dyDescent="0.2">
      <c r="A292" t="s">
        <v>376</v>
      </c>
      <c r="B292" s="6">
        <v>695</v>
      </c>
      <c r="C292" s="6">
        <f t="shared" si="84"/>
        <v>84.840425531914889</v>
      </c>
      <c r="D292" s="6">
        <f t="shared" si="70"/>
        <v>-5.5261566095512622</v>
      </c>
      <c r="E292" s="6">
        <f t="shared" si="71"/>
        <v>90.366582141466154</v>
      </c>
      <c r="F292" s="6">
        <v>29.25</v>
      </c>
      <c r="G292" s="6">
        <f t="shared" si="85"/>
        <v>-35.714285714285708</v>
      </c>
      <c r="H292" s="6">
        <f t="shared" si="72"/>
        <v>10.090279075910352</v>
      </c>
      <c r="I292" s="6">
        <f t="shared" si="73"/>
        <v>-45.804564790196061</v>
      </c>
      <c r="J292" s="6">
        <v>4657</v>
      </c>
      <c r="K292" s="6">
        <f t="shared" si="86"/>
        <v>30.218382126779076</v>
      </c>
      <c r="L292" s="6">
        <f t="shared" si="74"/>
        <v>-3.6364107016094231</v>
      </c>
      <c r="M292" s="6">
        <f t="shared" si="75"/>
        <v>33.854792828388497</v>
      </c>
      <c r="N292" s="6">
        <v>1415.2</v>
      </c>
      <c r="O292" s="6">
        <f t="shared" si="87"/>
        <v>-3.9370078740157521</v>
      </c>
      <c r="P292" s="6">
        <f t="shared" si="76"/>
        <v>-2.8168537344962608</v>
      </c>
      <c r="Q292" s="6">
        <f t="shared" si="77"/>
        <v>-1.1201541395194914</v>
      </c>
      <c r="R292" s="6"/>
      <c r="S292" s="6" t="str">
        <f t="shared" si="88"/>
        <v/>
      </c>
      <c r="T292" s="6" t="str">
        <f t="shared" si="78"/>
        <v/>
      </c>
      <c r="U292" s="6" t="str">
        <f t="shared" si="79"/>
        <v/>
      </c>
      <c r="V292" s="6">
        <v>28.81</v>
      </c>
      <c r="W292" s="6">
        <f t="shared" si="89"/>
        <v>-8.4524944391483956</v>
      </c>
      <c r="X292" s="6">
        <f t="shared" si="80"/>
        <v>5.91573832360928</v>
      </c>
      <c r="Y292" s="6">
        <f t="shared" si="81"/>
        <v>-14.368232762757675</v>
      </c>
      <c r="Z292" s="6"/>
      <c r="AA292" s="6" t="str">
        <f t="shared" si="90"/>
        <v/>
      </c>
      <c r="AB292" s="6" t="str">
        <f t="shared" si="82"/>
        <v/>
      </c>
      <c r="AC292" s="6" t="str">
        <f t="shared" si="83"/>
        <v/>
      </c>
    </row>
    <row r="293" spans="1:29" x14ac:dyDescent="0.2">
      <c r="A293" t="s">
        <v>377</v>
      </c>
      <c r="B293" s="6">
        <v>875</v>
      </c>
      <c r="C293" s="6">
        <f t="shared" si="84"/>
        <v>135.21505376344086</v>
      </c>
      <c r="D293" s="6">
        <f t="shared" si="70"/>
        <v>-3.8483276560028159</v>
      </c>
      <c r="E293" s="6">
        <f t="shared" si="71"/>
        <v>139.06338141944369</v>
      </c>
      <c r="F293" s="6">
        <v>29.25</v>
      </c>
      <c r="G293" s="6">
        <f t="shared" si="85"/>
        <v>-31.976744186046513</v>
      </c>
      <c r="H293" s="6">
        <f t="shared" si="72"/>
        <v>9.1928317885376902</v>
      </c>
      <c r="I293" s="6">
        <f t="shared" si="73"/>
        <v>-41.169575974584205</v>
      </c>
      <c r="J293" s="6">
        <v>4670.5</v>
      </c>
      <c r="K293" s="6">
        <f t="shared" si="86"/>
        <v>23.005003950487236</v>
      </c>
      <c r="L293" s="6">
        <f t="shared" si="74"/>
        <v>-4.0785102962388722</v>
      </c>
      <c r="M293" s="6">
        <f t="shared" si="75"/>
        <v>27.083514246726107</v>
      </c>
      <c r="N293" s="6">
        <v>1375.7</v>
      </c>
      <c r="O293" s="6">
        <f t="shared" si="87"/>
        <v>-12.481710032444814</v>
      </c>
      <c r="P293" s="6">
        <f t="shared" si="76"/>
        <v>-3.8243476607691753</v>
      </c>
      <c r="Q293" s="6">
        <f t="shared" si="77"/>
        <v>-8.6573623716756387</v>
      </c>
      <c r="R293" s="6"/>
      <c r="S293" s="6" t="str">
        <f t="shared" si="88"/>
        <v/>
      </c>
      <c r="T293" s="6" t="str">
        <f t="shared" si="78"/>
        <v/>
      </c>
      <c r="U293" s="6" t="str">
        <f t="shared" si="79"/>
        <v/>
      </c>
      <c r="V293" s="6">
        <v>29.04</v>
      </c>
      <c r="W293" s="6">
        <f t="shared" si="89"/>
        <v>-5.252854812398045</v>
      </c>
      <c r="X293" s="6">
        <f t="shared" si="80"/>
        <v>2.1117711262419712</v>
      </c>
      <c r="Y293" s="6">
        <f t="shared" si="81"/>
        <v>-7.3646259386400157</v>
      </c>
      <c r="Z293" s="6"/>
      <c r="AA293" s="6" t="str">
        <f t="shared" si="90"/>
        <v/>
      </c>
      <c r="AB293" s="6" t="str">
        <f t="shared" si="82"/>
        <v/>
      </c>
      <c r="AC293" s="6" t="str">
        <f t="shared" si="83"/>
        <v/>
      </c>
    </row>
    <row r="294" spans="1:29" x14ac:dyDescent="0.2">
      <c r="A294" t="s">
        <v>378</v>
      </c>
      <c r="B294" s="6">
        <v>875</v>
      </c>
      <c r="C294" s="6">
        <f t="shared" si="84"/>
        <v>138.41961852861036</v>
      </c>
      <c r="D294" s="6">
        <f t="shared" si="70"/>
        <v>-1.116515084149162</v>
      </c>
      <c r="E294" s="6">
        <f t="shared" si="71"/>
        <v>139.53613361275953</v>
      </c>
      <c r="F294" s="6">
        <v>29.25</v>
      </c>
      <c r="G294" s="6">
        <f t="shared" si="85"/>
        <v>-31.976744186046513</v>
      </c>
      <c r="H294" s="6">
        <f t="shared" si="72"/>
        <v>8.3732499496700132</v>
      </c>
      <c r="I294" s="6">
        <f t="shared" si="73"/>
        <v>-40.349994135716528</v>
      </c>
      <c r="J294" s="6">
        <v>4639.8</v>
      </c>
      <c r="K294" s="6">
        <f t="shared" si="86"/>
        <v>9.7346388534128145</v>
      </c>
      <c r="L294" s="6">
        <f t="shared" si="74"/>
        <v>-4.5072565342597786</v>
      </c>
      <c r="M294" s="6">
        <f t="shared" si="75"/>
        <v>14.241895387672592</v>
      </c>
      <c r="N294" s="6">
        <v>1429.8</v>
      </c>
      <c r="O294" s="6">
        <f t="shared" si="87"/>
        <v>-13.208692485128093</v>
      </c>
      <c r="P294" s="6">
        <f t="shared" si="76"/>
        <v>-5.2673248174879044</v>
      </c>
      <c r="Q294" s="6">
        <f t="shared" si="77"/>
        <v>-7.941367667640189</v>
      </c>
      <c r="R294" s="6"/>
      <c r="S294" s="6" t="str">
        <f t="shared" si="88"/>
        <v/>
      </c>
      <c r="T294" s="6" t="str">
        <f t="shared" si="78"/>
        <v/>
      </c>
      <c r="U294" s="6" t="str">
        <f t="shared" si="79"/>
        <v/>
      </c>
      <c r="V294" s="6">
        <v>29.2</v>
      </c>
      <c r="W294" s="6">
        <f t="shared" si="89"/>
        <v>0.30917210580556631</v>
      </c>
      <c r="X294" s="6">
        <f t="shared" si="80"/>
        <v>-0.5704904741357143</v>
      </c>
      <c r="Y294" s="6">
        <f t="shared" si="81"/>
        <v>0.87966257994128061</v>
      </c>
      <c r="Z294" s="6"/>
      <c r="AA294" s="6" t="str">
        <f t="shared" si="90"/>
        <v/>
      </c>
      <c r="AB294" s="6" t="str">
        <f t="shared" si="82"/>
        <v/>
      </c>
      <c r="AC294" s="6" t="str">
        <f t="shared" si="83"/>
        <v/>
      </c>
    </row>
    <row r="295" spans="1:29" x14ac:dyDescent="0.2">
      <c r="A295" t="s">
        <v>379</v>
      </c>
      <c r="B295" s="6">
        <v>845</v>
      </c>
      <c r="C295" s="6">
        <f t="shared" si="84"/>
        <v>123.78177966101696</v>
      </c>
      <c r="D295" s="6">
        <f t="shared" si="70"/>
        <v>1.8332692355811335</v>
      </c>
      <c r="E295" s="6">
        <f t="shared" si="71"/>
        <v>121.94851042543583</v>
      </c>
      <c r="F295" s="6">
        <v>29.25</v>
      </c>
      <c r="G295" s="6">
        <f t="shared" si="85"/>
        <v>-31.976744186046513</v>
      </c>
      <c r="H295" s="6">
        <f t="shared" si="72"/>
        <v>7.5536681108023371</v>
      </c>
      <c r="I295" s="6">
        <f t="shared" si="73"/>
        <v>-39.530412296848851</v>
      </c>
      <c r="J295" s="6">
        <v>4780.7</v>
      </c>
      <c r="K295" s="6">
        <f t="shared" si="86"/>
        <v>-1.0596245783232261</v>
      </c>
      <c r="L295" s="6">
        <f t="shared" si="74"/>
        <v>-5.4193969313688903</v>
      </c>
      <c r="M295" s="6">
        <f t="shared" si="75"/>
        <v>4.3597723530456642</v>
      </c>
      <c r="N295" s="6">
        <v>1501.2</v>
      </c>
      <c r="O295" s="6">
        <f t="shared" si="87"/>
        <v>-6.0399324028290629</v>
      </c>
      <c r="P295" s="6">
        <f t="shared" si="76"/>
        <v>-6.5863159246454943</v>
      </c>
      <c r="Q295" s="6">
        <f t="shared" si="77"/>
        <v>0.54638352181643146</v>
      </c>
      <c r="R295" s="6"/>
      <c r="S295" s="6" t="str">
        <f t="shared" si="88"/>
        <v/>
      </c>
      <c r="T295" s="6" t="str">
        <f t="shared" si="78"/>
        <v/>
      </c>
      <c r="U295" s="6" t="str">
        <f t="shared" si="79"/>
        <v/>
      </c>
      <c r="V295" s="6">
        <v>29.53</v>
      </c>
      <c r="W295" s="6">
        <f t="shared" si="89"/>
        <v>4.2725988700565098</v>
      </c>
      <c r="X295" s="6">
        <f t="shared" si="80"/>
        <v>-2.2206758946221945</v>
      </c>
      <c r="Y295" s="6">
        <f t="shared" si="81"/>
        <v>6.4932747646787039</v>
      </c>
      <c r="Z295" s="6"/>
      <c r="AA295" s="6" t="str">
        <f t="shared" si="90"/>
        <v/>
      </c>
      <c r="AB295" s="6" t="str">
        <f t="shared" si="82"/>
        <v/>
      </c>
      <c r="AC295" s="6" t="str">
        <f t="shared" si="83"/>
        <v/>
      </c>
    </row>
    <row r="296" spans="1:29" x14ac:dyDescent="0.2">
      <c r="A296" t="s">
        <v>380</v>
      </c>
      <c r="B296" s="6">
        <v>841</v>
      </c>
      <c r="C296" s="6">
        <f t="shared" si="84"/>
        <v>100.9557945041816</v>
      </c>
      <c r="D296" s="6">
        <f t="shared" si="70"/>
        <v>4.5664894513872083</v>
      </c>
      <c r="E296" s="6">
        <f t="shared" si="71"/>
        <v>96.389305052794384</v>
      </c>
      <c r="F296" s="6">
        <v>29.25</v>
      </c>
      <c r="G296" s="6">
        <f t="shared" si="85"/>
        <v>-31.976744186046513</v>
      </c>
      <c r="H296" s="6">
        <f t="shared" si="72"/>
        <v>6.7340862719346601</v>
      </c>
      <c r="I296" s="6">
        <f t="shared" si="73"/>
        <v>-38.710830457981174</v>
      </c>
      <c r="J296" s="6">
        <v>4911.5</v>
      </c>
      <c r="K296" s="6">
        <f t="shared" si="86"/>
        <v>1.9448711029930621</v>
      </c>
      <c r="L296" s="6">
        <f t="shared" si="74"/>
        <v>-6.2692721252323276</v>
      </c>
      <c r="M296" s="6">
        <f t="shared" si="75"/>
        <v>8.2141432282253888</v>
      </c>
      <c r="N296" s="6">
        <v>1532.6</v>
      </c>
      <c r="O296" s="6">
        <f t="shared" si="87"/>
        <v>-8.4960296137082896</v>
      </c>
      <c r="P296" s="6">
        <f t="shared" si="76"/>
        <v>-6.9723104513304497</v>
      </c>
      <c r="Q296" s="6">
        <f t="shared" si="77"/>
        <v>-1.5237191623778399</v>
      </c>
      <c r="R296" s="6"/>
      <c r="S296" s="6" t="str">
        <f t="shared" si="88"/>
        <v/>
      </c>
      <c r="T296" s="6" t="str">
        <f t="shared" si="78"/>
        <v/>
      </c>
      <c r="U296" s="6" t="str">
        <f t="shared" si="79"/>
        <v/>
      </c>
      <c r="V296" s="6">
        <v>29.57</v>
      </c>
      <c r="W296" s="6">
        <f t="shared" si="89"/>
        <v>-0.40417649040080939</v>
      </c>
      <c r="X296" s="6">
        <f t="shared" si="80"/>
        <v>-3.5489355949716459</v>
      </c>
      <c r="Y296" s="6">
        <f t="shared" si="81"/>
        <v>3.1447591045708365</v>
      </c>
      <c r="Z296" s="6"/>
      <c r="AA296" s="6" t="str">
        <f t="shared" si="90"/>
        <v/>
      </c>
      <c r="AB296" s="6" t="str">
        <f t="shared" si="82"/>
        <v/>
      </c>
      <c r="AC296" s="6" t="str">
        <f t="shared" si="83"/>
        <v/>
      </c>
    </row>
    <row r="297" spans="1:29" x14ac:dyDescent="0.2">
      <c r="A297" t="s">
        <v>381</v>
      </c>
      <c r="B297" s="6">
        <v>951</v>
      </c>
      <c r="C297" s="6">
        <f t="shared" si="84"/>
        <v>120.13888888888889</v>
      </c>
      <c r="D297" s="6">
        <f t="shared" si="70"/>
        <v>6.8417822172713718</v>
      </c>
      <c r="E297" s="6">
        <f t="shared" si="71"/>
        <v>113.29710667161751</v>
      </c>
      <c r="F297" s="6">
        <v>29.25</v>
      </c>
      <c r="G297" s="6">
        <f t="shared" si="85"/>
        <v>-31.976744186046513</v>
      </c>
      <c r="H297" s="6">
        <f t="shared" si="72"/>
        <v>5.4190649637469157</v>
      </c>
      <c r="I297" s="6">
        <f t="shared" si="73"/>
        <v>-37.395809149793429</v>
      </c>
      <c r="J297" s="6">
        <v>4811.3999999999996</v>
      </c>
      <c r="K297" s="6">
        <f t="shared" si="86"/>
        <v>-4.3763415215836048</v>
      </c>
      <c r="L297" s="6">
        <f t="shared" si="74"/>
        <v>-6.5596317736218994</v>
      </c>
      <c r="M297" s="6">
        <f t="shared" si="75"/>
        <v>2.1832902520382946</v>
      </c>
      <c r="N297" s="6">
        <v>1420.9</v>
      </c>
      <c r="O297" s="6">
        <f t="shared" si="87"/>
        <v>-19.527666081440785</v>
      </c>
      <c r="P297" s="6">
        <f t="shared" si="76"/>
        <v>-7.1195491635208006</v>
      </c>
      <c r="Q297" s="6">
        <f t="shared" si="77"/>
        <v>-12.408116917919983</v>
      </c>
      <c r="R297" s="6"/>
      <c r="S297" s="6" t="str">
        <f t="shared" si="88"/>
        <v/>
      </c>
      <c r="T297" s="6" t="str">
        <f t="shared" si="78"/>
        <v/>
      </c>
      <c r="U297" s="6" t="str">
        <f t="shared" si="79"/>
        <v/>
      </c>
      <c r="V297" s="6">
        <v>29.46</v>
      </c>
      <c r="W297" s="6">
        <f t="shared" si="89"/>
        <v>0.34059945504087974</v>
      </c>
      <c r="X297" s="6">
        <f t="shared" si="80"/>
        <v>-4.8716299762687267</v>
      </c>
      <c r="Y297" s="6">
        <f t="shared" si="81"/>
        <v>5.2122294313096065</v>
      </c>
      <c r="Z297" s="6"/>
      <c r="AA297" s="6" t="str">
        <f t="shared" si="90"/>
        <v/>
      </c>
      <c r="AB297" s="6" t="str">
        <f t="shared" si="82"/>
        <v/>
      </c>
      <c r="AC297" s="6" t="str">
        <f t="shared" si="83"/>
        <v/>
      </c>
    </row>
    <row r="298" spans="1:29" x14ac:dyDescent="0.2">
      <c r="A298" t="s">
        <v>382</v>
      </c>
      <c r="B298" s="6">
        <v>783</v>
      </c>
      <c r="C298" s="6">
        <f t="shared" si="84"/>
        <v>98.730964467005066</v>
      </c>
      <c r="D298" s="6">
        <f t="shared" si="70"/>
        <v>9.5984351342861274</v>
      </c>
      <c r="E298" s="6">
        <f t="shared" si="71"/>
        <v>89.132529332718946</v>
      </c>
      <c r="F298" s="6">
        <v>31.75</v>
      </c>
      <c r="G298" s="6">
        <f t="shared" si="85"/>
        <v>-26.162790697674421</v>
      </c>
      <c r="H298" s="6">
        <f t="shared" si="72"/>
        <v>4.0625842857415932</v>
      </c>
      <c r="I298" s="6">
        <f t="shared" si="73"/>
        <v>-30.225374983416014</v>
      </c>
      <c r="J298" s="6">
        <v>4773.2</v>
      </c>
      <c r="K298" s="6">
        <f t="shared" si="86"/>
        <v>-2.2526212319790351</v>
      </c>
      <c r="L298" s="6">
        <f t="shared" si="74"/>
        <v>-6.6622555106388042</v>
      </c>
      <c r="M298" s="6">
        <f t="shared" si="75"/>
        <v>4.4096342786597695</v>
      </c>
      <c r="N298" s="6">
        <v>1366.5</v>
      </c>
      <c r="O298" s="6">
        <f t="shared" si="87"/>
        <v>-19.674347519398072</v>
      </c>
      <c r="P298" s="6">
        <f t="shared" si="76"/>
        <v>-7.6464430376214301</v>
      </c>
      <c r="Q298" s="6">
        <f t="shared" si="77"/>
        <v>-12.027904481776641</v>
      </c>
      <c r="R298" s="6"/>
      <c r="S298" s="6" t="str">
        <f t="shared" si="88"/>
        <v/>
      </c>
      <c r="T298" s="6" t="str">
        <f t="shared" si="78"/>
        <v/>
      </c>
      <c r="U298" s="6" t="str">
        <f t="shared" si="79"/>
        <v/>
      </c>
      <c r="V298" s="6">
        <v>29.05</v>
      </c>
      <c r="W298" s="6">
        <f t="shared" si="89"/>
        <v>-3.0697364030697338</v>
      </c>
      <c r="X298" s="6">
        <f t="shared" si="80"/>
        <v>-5.0853052985673157</v>
      </c>
      <c r="Y298" s="6">
        <f t="shared" si="81"/>
        <v>2.0155688954975819</v>
      </c>
      <c r="Z298" s="6"/>
      <c r="AA298" s="6" t="str">
        <f t="shared" si="90"/>
        <v/>
      </c>
      <c r="AB298" s="6" t="str">
        <f t="shared" si="82"/>
        <v/>
      </c>
      <c r="AC298" s="6" t="str">
        <f t="shared" si="83"/>
        <v/>
      </c>
    </row>
    <row r="299" spans="1:29" x14ac:dyDescent="0.2">
      <c r="A299" t="s">
        <v>383</v>
      </c>
      <c r="B299" s="6">
        <v>580</v>
      </c>
      <c r="C299" s="6">
        <f t="shared" si="84"/>
        <v>36.470588235294123</v>
      </c>
      <c r="D299" s="6">
        <f t="shared" si="70"/>
        <v>12.025700597719103</v>
      </c>
      <c r="E299" s="6">
        <f t="shared" si="71"/>
        <v>24.444887637575022</v>
      </c>
      <c r="F299" s="6">
        <v>31.75</v>
      </c>
      <c r="G299" s="6">
        <f t="shared" si="85"/>
        <v>-8.6330935251798575</v>
      </c>
      <c r="H299" s="6">
        <f t="shared" si="72"/>
        <v>2.7857682689264447</v>
      </c>
      <c r="I299" s="6">
        <f t="shared" si="73"/>
        <v>-11.418861794106302</v>
      </c>
      <c r="J299" s="6">
        <v>4640.3</v>
      </c>
      <c r="K299" s="6">
        <f t="shared" si="86"/>
        <v>-3.4095876438875128</v>
      </c>
      <c r="L299" s="6">
        <f t="shared" si="74"/>
        <v>-6.6375675402550272</v>
      </c>
      <c r="M299" s="6">
        <f t="shared" si="75"/>
        <v>3.2279798963675144</v>
      </c>
      <c r="N299" s="6">
        <v>1330.8</v>
      </c>
      <c r="O299" s="6">
        <f t="shared" si="87"/>
        <v>-21.91515578243267</v>
      </c>
      <c r="P299" s="6">
        <f t="shared" si="76"/>
        <v>-8.198438808680832</v>
      </c>
      <c r="Q299" s="6">
        <f t="shared" si="77"/>
        <v>-13.716716973751838</v>
      </c>
      <c r="R299" s="6"/>
      <c r="S299" s="6" t="str">
        <f t="shared" si="88"/>
        <v/>
      </c>
      <c r="T299" s="6" t="str">
        <f t="shared" si="78"/>
        <v/>
      </c>
      <c r="U299" s="6" t="str">
        <f t="shared" si="79"/>
        <v/>
      </c>
      <c r="V299" s="6">
        <v>27.99</v>
      </c>
      <c r="W299" s="6">
        <f t="shared" si="89"/>
        <v>-8.1391532655070602</v>
      </c>
      <c r="X299" s="6">
        <f t="shared" si="80"/>
        <v>-5.2892687162040977</v>
      </c>
      <c r="Y299" s="6">
        <f t="shared" si="81"/>
        <v>-2.8498845493029625</v>
      </c>
      <c r="Z299" s="6"/>
      <c r="AA299" s="6" t="str">
        <f t="shared" si="90"/>
        <v/>
      </c>
      <c r="AB299" s="6" t="str">
        <f t="shared" si="82"/>
        <v/>
      </c>
      <c r="AC299" s="6" t="str">
        <f t="shared" si="83"/>
        <v/>
      </c>
    </row>
    <row r="300" spans="1:29" x14ac:dyDescent="0.2">
      <c r="A300" t="s">
        <v>384</v>
      </c>
      <c r="B300" s="6">
        <v>562</v>
      </c>
      <c r="C300" s="6">
        <f t="shared" si="84"/>
        <v>0.53667262969587792</v>
      </c>
      <c r="D300" s="6">
        <f t="shared" si="70"/>
        <v>13.194182002080259</v>
      </c>
      <c r="E300" s="6">
        <f t="shared" si="71"/>
        <v>-12.657509372384382</v>
      </c>
      <c r="F300" s="6">
        <v>31.75</v>
      </c>
      <c r="G300" s="6">
        <f t="shared" si="85"/>
        <v>-8.6330935251798575</v>
      </c>
      <c r="H300" s="6">
        <f t="shared" si="72"/>
        <v>1.8741542765382668</v>
      </c>
      <c r="I300" s="6">
        <f t="shared" si="73"/>
        <v>-10.507247801718124</v>
      </c>
      <c r="J300" s="6">
        <v>4736</v>
      </c>
      <c r="K300" s="6">
        <f t="shared" si="86"/>
        <v>-2.4068578964721477</v>
      </c>
      <c r="L300" s="6">
        <f t="shared" si="74"/>
        <v>-6.711183521118449</v>
      </c>
      <c r="M300" s="6">
        <f t="shared" si="75"/>
        <v>4.3043256246463013</v>
      </c>
      <c r="N300" s="6">
        <v>1337.5</v>
      </c>
      <c r="O300" s="6">
        <f t="shared" si="87"/>
        <v>-18.435175021344065</v>
      </c>
      <c r="P300" s="6">
        <f t="shared" si="76"/>
        <v>-9.0707524409544984</v>
      </c>
      <c r="Q300" s="6">
        <f t="shared" si="77"/>
        <v>-9.3644225803895669</v>
      </c>
      <c r="R300" s="6"/>
      <c r="S300" s="6" t="str">
        <f t="shared" si="88"/>
        <v/>
      </c>
      <c r="T300" s="6" t="str">
        <f t="shared" si="78"/>
        <v/>
      </c>
      <c r="U300" s="6" t="str">
        <f t="shared" si="79"/>
        <v/>
      </c>
      <c r="V300" s="6">
        <v>28.17</v>
      </c>
      <c r="W300" s="6">
        <f t="shared" si="89"/>
        <v>-8.0913539967373502</v>
      </c>
      <c r="X300" s="6">
        <f t="shared" si="80"/>
        <v>-5.5757498321210663</v>
      </c>
      <c r="Y300" s="6">
        <f t="shared" si="81"/>
        <v>-2.5156041646162839</v>
      </c>
      <c r="Z300" s="6"/>
      <c r="AA300" s="6" t="str">
        <f t="shared" si="90"/>
        <v/>
      </c>
      <c r="AB300" s="6" t="str">
        <f t="shared" si="82"/>
        <v/>
      </c>
      <c r="AC300" s="6" t="str">
        <f t="shared" si="83"/>
        <v/>
      </c>
    </row>
    <row r="301" spans="1:29" x14ac:dyDescent="0.2">
      <c r="A301" t="s">
        <v>385</v>
      </c>
      <c r="B301" s="6">
        <v>611</v>
      </c>
      <c r="C301" s="6">
        <f t="shared" si="84"/>
        <v>-5.2713178294573666</v>
      </c>
      <c r="D301" s="6">
        <f t="shared" si="70"/>
        <v>13.633532416016919</v>
      </c>
      <c r="E301" s="6">
        <f t="shared" si="71"/>
        <v>-18.904850245474286</v>
      </c>
      <c r="F301" s="6">
        <v>31.75</v>
      </c>
      <c r="G301" s="6">
        <f t="shared" si="85"/>
        <v>-8.6330935251798575</v>
      </c>
      <c r="H301" s="6">
        <f t="shared" si="72"/>
        <v>0.82924164618189844</v>
      </c>
      <c r="I301" s="6">
        <f t="shared" si="73"/>
        <v>-9.4623351713617563</v>
      </c>
      <c r="J301" s="6">
        <v>4705.5</v>
      </c>
      <c r="K301" s="6">
        <f t="shared" si="86"/>
        <v>-4.1766790208935811</v>
      </c>
      <c r="L301" s="6">
        <f t="shared" si="74"/>
        <v>-6.7520342359130332</v>
      </c>
      <c r="M301" s="6">
        <f t="shared" si="75"/>
        <v>2.5753552150194521</v>
      </c>
      <c r="N301" s="6">
        <v>1293.5999999999999</v>
      </c>
      <c r="O301" s="6">
        <f t="shared" si="87"/>
        <v>-17.114115461011092</v>
      </c>
      <c r="P301" s="6">
        <f t="shared" si="76"/>
        <v>-9.5662374970348338</v>
      </c>
      <c r="Q301" s="6">
        <f t="shared" si="77"/>
        <v>-7.5478779639762585</v>
      </c>
      <c r="R301" s="6"/>
      <c r="S301" s="6" t="str">
        <f t="shared" si="88"/>
        <v/>
      </c>
      <c r="T301" s="6" t="str">
        <f t="shared" si="78"/>
        <v/>
      </c>
      <c r="U301" s="6" t="str">
        <f t="shared" si="79"/>
        <v/>
      </c>
      <c r="V301" s="6">
        <v>28.35</v>
      </c>
      <c r="W301" s="6">
        <f t="shared" si="89"/>
        <v>-5.7199866977053482</v>
      </c>
      <c r="X301" s="6">
        <f t="shared" si="80"/>
        <v>-5.6799814717589774</v>
      </c>
      <c r="Y301" s="6">
        <f t="shared" si="81"/>
        <v>-4.0005225946370793E-2</v>
      </c>
      <c r="Z301" s="6"/>
      <c r="AA301" s="6" t="str">
        <f t="shared" si="90"/>
        <v/>
      </c>
      <c r="AB301" s="6" t="str">
        <f t="shared" si="82"/>
        <v/>
      </c>
      <c r="AC301" s="6" t="str">
        <f t="shared" si="83"/>
        <v/>
      </c>
    </row>
    <row r="302" spans="1:29" x14ac:dyDescent="0.2">
      <c r="A302" t="s">
        <v>386</v>
      </c>
      <c r="B302" s="6">
        <v>615</v>
      </c>
      <c r="C302" s="6">
        <f t="shared" si="84"/>
        <v>-8.345752608047686</v>
      </c>
      <c r="D302" s="6">
        <f t="shared" si="70"/>
        <v>13.950145586236557</v>
      </c>
      <c r="E302" s="6">
        <f t="shared" si="71"/>
        <v>-22.295898194284241</v>
      </c>
      <c r="F302" s="6">
        <v>31.75</v>
      </c>
      <c r="G302" s="6">
        <f t="shared" si="85"/>
        <v>-8.6330935251798575</v>
      </c>
      <c r="H302" s="6">
        <f t="shared" si="72"/>
        <v>-0.24032976003285753</v>
      </c>
      <c r="I302" s="6">
        <f t="shared" si="73"/>
        <v>-8.3927637651470004</v>
      </c>
      <c r="J302" s="6">
        <v>4750.3</v>
      </c>
      <c r="K302" s="6">
        <f t="shared" si="86"/>
        <v>1.6280860895982352</v>
      </c>
      <c r="L302" s="6">
        <f t="shared" si="74"/>
        <v>-6.8520574034496677</v>
      </c>
      <c r="M302" s="6">
        <f t="shared" si="75"/>
        <v>8.4801434930479029</v>
      </c>
      <c r="N302" s="6">
        <v>1273</v>
      </c>
      <c r="O302" s="6">
        <f t="shared" si="87"/>
        <v>-11.301560758082497</v>
      </c>
      <c r="P302" s="6">
        <f t="shared" si="76"/>
        <v>-9.8870968195487627</v>
      </c>
      <c r="Q302" s="6">
        <f t="shared" si="77"/>
        <v>-1.4144639385337339</v>
      </c>
      <c r="R302" s="6"/>
      <c r="S302" s="6" t="str">
        <f t="shared" si="88"/>
        <v/>
      </c>
      <c r="T302" s="6" t="str">
        <f t="shared" si="78"/>
        <v/>
      </c>
      <c r="U302" s="6" t="str">
        <f t="shared" si="79"/>
        <v/>
      </c>
      <c r="V302" s="6">
        <v>27.85</v>
      </c>
      <c r="W302" s="6">
        <f t="shared" si="89"/>
        <v>-5.9756920999324725</v>
      </c>
      <c r="X302" s="6">
        <f t="shared" si="80"/>
        <v>-5.6424577204494346</v>
      </c>
      <c r="Y302" s="6">
        <f t="shared" si="81"/>
        <v>-0.33323437948303791</v>
      </c>
      <c r="Z302" s="6"/>
      <c r="AA302" s="6" t="str">
        <f t="shared" si="90"/>
        <v/>
      </c>
      <c r="AB302" s="6" t="str">
        <f t="shared" si="82"/>
        <v/>
      </c>
      <c r="AC302" s="6" t="str">
        <f t="shared" si="83"/>
        <v/>
      </c>
    </row>
    <row r="303" spans="1:29" x14ac:dyDescent="0.2">
      <c r="A303" t="s">
        <v>387</v>
      </c>
      <c r="B303" s="6">
        <v>616</v>
      </c>
      <c r="C303" s="6">
        <f t="shared" si="84"/>
        <v>-6.8078668683812404</v>
      </c>
      <c r="D303" s="6">
        <f t="shared" si="70"/>
        <v>14.105040967256604</v>
      </c>
      <c r="E303" s="6">
        <f t="shared" si="71"/>
        <v>-20.912907835637846</v>
      </c>
      <c r="F303" s="6">
        <v>32.75</v>
      </c>
      <c r="G303" s="6">
        <f t="shared" si="85"/>
        <v>2.34375</v>
      </c>
      <c r="H303" s="6">
        <f t="shared" si="72"/>
        <v>-1.2079523255578237</v>
      </c>
      <c r="I303" s="6">
        <f t="shared" si="73"/>
        <v>3.5517023255578239</v>
      </c>
      <c r="J303" s="6">
        <v>4748.3</v>
      </c>
      <c r="K303" s="6">
        <f t="shared" si="86"/>
        <v>3.5570967460525349</v>
      </c>
      <c r="L303" s="6">
        <f t="shared" si="74"/>
        <v>-6.8426765402661331</v>
      </c>
      <c r="M303" s="6">
        <f t="shared" si="75"/>
        <v>10.399773286318668</v>
      </c>
      <c r="N303" s="6">
        <v>1345.1</v>
      </c>
      <c r="O303" s="6">
        <f t="shared" si="87"/>
        <v>-3.1675185371823456</v>
      </c>
      <c r="P303" s="6">
        <f t="shared" si="76"/>
        <v>-10.086517452142891</v>
      </c>
      <c r="Q303" s="6">
        <f t="shared" si="77"/>
        <v>6.9189989149605449</v>
      </c>
      <c r="R303" s="6"/>
      <c r="S303" s="6" t="str">
        <f t="shared" si="88"/>
        <v/>
      </c>
      <c r="T303" s="6" t="str">
        <f t="shared" si="78"/>
        <v/>
      </c>
      <c r="U303" s="6" t="str">
        <f t="shared" si="79"/>
        <v/>
      </c>
      <c r="V303" s="6">
        <v>27.65</v>
      </c>
      <c r="W303" s="6">
        <f t="shared" si="89"/>
        <v>-5.2108330476517084</v>
      </c>
      <c r="X303" s="6">
        <f t="shared" si="80"/>
        <v>-5.7725441470280048</v>
      </c>
      <c r="Y303" s="6">
        <f t="shared" si="81"/>
        <v>0.56171109937629637</v>
      </c>
      <c r="Z303" s="6"/>
      <c r="AA303" s="6" t="str">
        <f t="shared" si="90"/>
        <v/>
      </c>
      <c r="AB303" s="6" t="str">
        <f t="shared" si="82"/>
        <v/>
      </c>
      <c r="AC303" s="6" t="str">
        <f t="shared" si="83"/>
        <v/>
      </c>
    </row>
    <row r="304" spans="1:29" x14ac:dyDescent="0.2">
      <c r="A304" t="s">
        <v>388</v>
      </c>
      <c r="B304" s="6">
        <v>592</v>
      </c>
      <c r="C304" s="6">
        <f t="shared" si="84"/>
        <v>-14.82014388489209</v>
      </c>
      <c r="D304" s="6">
        <f t="shared" si="70"/>
        <v>14.080817934380384</v>
      </c>
      <c r="E304" s="6">
        <f t="shared" si="71"/>
        <v>-28.900961819272474</v>
      </c>
      <c r="F304" s="6">
        <v>33.75</v>
      </c>
      <c r="G304" s="6">
        <f t="shared" si="85"/>
        <v>15.384615384615374</v>
      </c>
      <c r="H304" s="6">
        <f t="shared" si="72"/>
        <v>-1.9707038524989213</v>
      </c>
      <c r="I304" s="6">
        <f t="shared" si="73"/>
        <v>17.355319237114294</v>
      </c>
      <c r="J304" s="6">
        <v>4859</v>
      </c>
      <c r="K304" s="6">
        <f t="shared" si="86"/>
        <v>4.3375563667597206</v>
      </c>
      <c r="L304" s="6">
        <f t="shared" si="74"/>
        <v>-6.7177627277775009</v>
      </c>
      <c r="M304" s="6">
        <f t="shared" si="75"/>
        <v>11.055319094537222</v>
      </c>
      <c r="N304" s="6">
        <v>1321.1</v>
      </c>
      <c r="O304" s="6">
        <f t="shared" si="87"/>
        <v>-6.6492368569813554</v>
      </c>
      <c r="P304" s="6">
        <f t="shared" si="76"/>
        <v>-10.072762605080602</v>
      </c>
      <c r="Q304" s="6">
        <f t="shared" si="77"/>
        <v>3.4235257480992463</v>
      </c>
      <c r="R304" s="6"/>
      <c r="S304" s="6" t="str">
        <f t="shared" si="88"/>
        <v/>
      </c>
      <c r="T304" s="6" t="str">
        <f t="shared" si="78"/>
        <v/>
      </c>
      <c r="U304" s="6" t="str">
        <f t="shared" si="79"/>
        <v/>
      </c>
      <c r="V304" s="6">
        <v>26.81</v>
      </c>
      <c r="W304" s="6">
        <f t="shared" si="89"/>
        <v>-6.94203401596668</v>
      </c>
      <c r="X304" s="6">
        <f t="shared" si="80"/>
        <v>-5.8580970338847571</v>
      </c>
      <c r="Y304" s="6">
        <f t="shared" si="81"/>
        <v>-1.0839369820819229</v>
      </c>
      <c r="Z304" s="6"/>
      <c r="AA304" s="6" t="str">
        <f t="shared" si="90"/>
        <v/>
      </c>
      <c r="AB304" s="6" t="str">
        <f t="shared" si="82"/>
        <v/>
      </c>
      <c r="AC304" s="6" t="str">
        <f t="shared" si="83"/>
        <v/>
      </c>
    </row>
    <row r="305" spans="1:29" x14ac:dyDescent="0.2">
      <c r="A305" t="s">
        <v>389</v>
      </c>
      <c r="B305" s="6">
        <v>583</v>
      </c>
      <c r="C305" s="6">
        <f t="shared" si="84"/>
        <v>-33.371428571428574</v>
      </c>
      <c r="D305" s="6">
        <f t="shared" si="70"/>
        <v>13.807448534662063</v>
      </c>
      <c r="E305" s="6">
        <f t="shared" si="71"/>
        <v>-47.178877106090638</v>
      </c>
      <c r="F305" s="6">
        <v>33.75</v>
      </c>
      <c r="G305" s="6">
        <f t="shared" si="85"/>
        <v>15.384615384615374</v>
      </c>
      <c r="H305" s="6">
        <f t="shared" si="72"/>
        <v>-2.461770683927198</v>
      </c>
      <c r="I305" s="6">
        <f t="shared" si="73"/>
        <v>17.846386068542571</v>
      </c>
      <c r="J305" s="6">
        <v>4947.2</v>
      </c>
      <c r="K305" s="6">
        <f t="shared" si="86"/>
        <v>5.9244192270634821</v>
      </c>
      <c r="L305" s="6">
        <f t="shared" si="74"/>
        <v>-6.4612102650730785</v>
      </c>
      <c r="M305" s="6">
        <f t="shared" si="75"/>
        <v>12.385629492136561</v>
      </c>
      <c r="N305" s="6">
        <v>1359.1</v>
      </c>
      <c r="O305" s="6">
        <f t="shared" si="87"/>
        <v>-1.2066584284364468</v>
      </c>
      <c r="P305" s="6">
        <f t="shared" si="76"/>
        <v>-9.8960595262014674</v>
      </c>
      <c r="Q305" s="6">
        <f t="shared" si="77"/>
        <v>8.6894010977650211</v>
      </c>
      <c r="R305" s="6"/>
      <c r="S305" s="6" t="str">
        <f t="shared" si="88"/>
        <v/>
      </c>
      <c r="T305" s="6" t="str">
        <f t="shared" si="78"/>
        <v/>
      </c>
      <c r="U305" s="6" t="str">
        <f t="shared" si="79"/>
        <v/>
      </c>
      <c r="V305" s="6">
        <v>26.63</v>
      </c>
      <c r="W305" s="6">
        <f t="shared" si="89"/>
        <v>-8.2988980716253486</v>
      </c>
      <c r="X305" s="6">
        <f t="shared" si="80"/>
        <v>-6.0027227425507297</v>
      </c>
      <c r="Y305" s="6">
        <f t="shared" si="81"/>
        <v>-2.296175329074619</v>
      </c>
      <c r="Z305" s="6"/>
      <c r="AA305" s="6" t="str">
        <f t="shared" si="90"/>
        <v/>
      </c>
      <c r="AB305" s="6" t="str">
        <f t="shared" si="82"/>
        <v/>
      </c>
      <c r="AC305" s="6" t="str">
        <f t="shared" si="83"/>
        <v/>
      </c>
    </row>
    <row r="306" spans="1:29" x14ac:dyDescent="0.2">
      <c r="A306" t="s">
        <v>390</v>
      </c>
      <c r="B306" s="6">
        <v>595</v>
      </c>
      <c r="C306" s="6">
        <f t="shared" si="84"/>
        <v>-31.999999999999996</v>
      </c>
      <c r="D306" s="6">
        <f t="shared" si="70"/>
        <v>13.228650519987914</v>
      </c>
      <c r="E306" s="6">
        <f t="shared" si="71"/>
        <v>-45.228650519987909</v>
      </c>
      <c r="F306" s="6">
        <v>33.75</v>
      </c>
      <c r="G306" s="6">
        <f t="shared" si="85"/>
        <v>15.384615384615374</v>
      </c>
      <c r="H306" s="6">
        <f t="shared" si="72"/>
        <v>-2.952837515355474</v>
      </c>
      <c r="I306" s="6">
        <f t="shared" si="73"/>
        <v>18.337452899970849</v>
      </c>
      <c r="J306" s="6">
        <v>5050.8</v>
      </c>
      <c r="K306" s="6">
        <f t="shared" si="86"/>
        <v>8.8581404370878136</v>
      </c>
      <c r="L306" s="6">
        <f t="shared" si="74"/>
        <v>-6.2805191414298411</v>
      </c>
      <c r="M306" s="6">
        <f t="shared" si="75"/>
        <v>15.138659578517654</v>
      </c>
      <c r="N306" s="6">
        <v>1388.5</v>
      </c>
      <c r="O306" s="6">
        <f t="shared" si="87"/>
        <v>-2.8885158763463425</v>
      </c>
      <c r="P306" s="6">
        <f t="shared" si="76"/>
        <v>-9.3349653843038265</v>
      </c>
      <c r="Q306" s="6">
        <f t="shared" si="77"/>
        <v>6.4464495079574835</v>
      </c>
      <c r="R306" s="6"/>
      <c r="S306" s="6" t="str">
        <f t="shared" si="88"/>
        <v/>
      </c>
      <c r="T306" s="6" t="str">
        <f t="shared" si="78"/>
        <v/>
      </c>
      <c r="U306" s="6" t="str">
        <f t="shared" si="79"/>
        <v/>
      </c>
      <c r="V306" s="6">
        <v>27.6</v>
      </c>
      <c r="W306" s="6">
        <f t="shared" si="89"/>
        <v>-5.4794520547945087</v>
      </c>
      <c r="X306" s="6">
        <f t="shared" si="80"/>
        <v>-6.2167489310087367</v>
      </c>
      <c r="Y306" s="6">
        <f t="shared" si="81"/>
        <v>0.73729687621422801</v>
      </c>
      <c r="Z306" s="6"/>
      <c r="AA306" s="6" t="str">
        <f t="shared" si="90"/>
        <v/>
      </c>
      <c r="AB306" s="6" t="str">
        <f t="shared" si="82"/>
        <v/>
      </c>
      <c r="AC306" s="6" t="str">
        <f t="shared" si="83"/>
        <v/>
      </c>
    </row>
    <row r="307" spans="1:29" x14ac:dyDescent="0.2">
      <c r="A307" t="s">
        <v>391</v>
      </c>
      <c r="B307" s="6">
        <v>651</v>
      </c>
      <c r="C307" s="6">
        <f t="shared" si="84"/>
        <v>-22.958579881656803</v>
      </c>
      <c r="D307" s="6">
        <f t="shared" si="70"/>
        <v>12.661190202527598</v>
      </c>
      <c r="E307" s="6">
        <f t="shared" si="71"/>
        <v>-35.619770084184402</v>
      </c>
      <c r="F307" s="6">
        <v>33.75</v>
      </c>
      <c r="G307" s="6">
        <f t="shared" si="85"/>
        <v>15.384615384615374</v>
      </c>
      <c r="H307" s="6">
        <f t="shared" si="72"/>
        <v>-3.4439043467837518</v>
      </c>
      <c r="I307" s="6">
        <f t="shared" si="73"/>
        <v>18.828519731399126</v>
      </c>
      <c r="J307" s="6">
        <v>5211.7</v>
      </c>
      <c r="K307" s="6">
        <f t="shared" si="86"/>
        <v>9.0154161524462992</v>
      </c>
      <c r="L307" s="6">
        <f t="shared" si="74"/>
        <v>-5.9144153729981168</v>
      </c>
      <c r="M307" s="6">
        <f t="shared" si="75"/>
        <v>14.929831525444417</v>
      </c>
      <c r="N307" s="6">
        <v>1389.9</v>
      </c>
      <c r="O307" s="6">
        <f t="shared" si="87"/>
        <v>-7.4140687450039984</v>
      </c>
      <c r="P307" s="6">
        <f t="shared" si="76"/>
        <v>-8.5976502235714367</v>
      </c>
      <c r="Q307" s="6">
        <f t="shared" si="77"/>
        <v>1.1835814785674383</v>
      </c>
      <c r="R307" s="6"/>
      <c r="S307" s="6" t="str">
        <f t="shared" si="88"/>
        <v/>
      </c>
      <c r="T307" s="6" t="str">
        <f t="shared" si="78"/>
        <v/>
      </c>
      <c r="U307" s="6" t="str">
        <f t="shared" si="79"/>
        <v/>
      </c>
      <c r="V307" s="6">
        <v>27.85</v>
      </c>
      <c r="W307" s="6">
        <f t="shared" si="89"/>
        <v>-5.689129698611584</v>
      </c>
      <c r="X307" s="6">
        <f t="shared" si="80"/>
        <v>-6.3672576497118101</v>
      </c>
      <c r="Y307" s="6">
        <f t="shared" si="81"/>
        <v>0.67812795110022606</v>
      </c>
      <c r="Z307" s="6"/>
      <c r="AA307" s="6" t="str">
        <f t="shared" si="90"/>
        <v/>
      </c>
      <c r="AB307" s="6" t="str">
        <f t="shared" si="82"/>
        <v/>
      </c>
      <c r="AC307" s="6" t="str">
        <f t="shared" si="83"/>
        <v/>
      </c>
    </row>
    <row r="308" spans="1:29" x14ac:dyDescent="0.2">
      <c r="A308" t="s">
        <v>392</v>
      </c>
      <c r="B308" s="6">
        <v>653</v>
      </c>
      <c r="C308" s="6">
        <f t="shared" si="84"/>
        <v>-22.354340071343636</v>
      </c>
      <c r="D308" s="6">
        <f t="shared" si="70"/>
        <v>12.238485617735101</v>
      </c>
      <c r="E308" s="6">
        <f t="shared" si="71"/>
        <v>-34.592825689078737</v>
      </c>
      <c r="F308" s="6">
        <v>33.75</v>
      </c>
      <c r="G308" s="6">
        <f t="shared" si="85"/>
        <v>15.384615384615374</v>
      </c>
      <c r="H308" s="6">
        <f t="shared" si="72"/>
        <v>-3.9349711782120291</v>
      </c>
      <c r="I308" s="6">
        <f t="shared" si="73"/>
        <v>19.319586562827403</v>
      </c>
      <c r="J308" s="6">
        <v>5489.5</v>
      </c>
      <c r="K308" s="6">
        <f t="shared" si="86"/>
        <v>11.768298890359352</v>
      </c>
      <c r="L308" s="6">
        <f t="shared" si="74"/>
        <v>-5.5900318856923379</v>
      </c>
      <c r="M308" s="6">
        <f t="shared" si="75"/>
        <v>17.358330776051691</v>
      </c>
      <c r="N308" s="6">
        <v>1501.8</v>
      </c>
      <c r="O308" s="6">
        <f t="shared" si="87"/>
        <v>-2.0096567923789665</v>
      </c>
      <c r="P308" s="6">
        <f t="shared" si="76"/>
        <v>-8.3112311223678663</v>
      </c>
      <c r="Q308" s="6">
        <f t="shared" si="77"/>
        <v>6.3015743299888998</v>
      </c>
      <c r="R308" s="6"/>
      <c r="S308" s="6" t="str">
        <f t="shared" si="88"/>
        <v/>
      </c>
      <c r="T308" s="6" t="str">
        <f t="shared" si="78"/>
        <v/>
      </c>
      <c r="U308" s="6" t="str">
        <f t="shared" si="79"/>
        <v/>
      </c>
      <c r="V308" s="6">
        <v>27.8</v>
      </c>
      <c r="W308" s="6">
        <f t="shared" si="89"/>
        <v>-5.9857964152857601</v>
      </c>
      <c r="X308" s="6">
        <f t="shared" si="80"/>
        <v>-6.5195649688833344</v>
      </c>
      <c r="Y308" s="6">
        <f t="shared" si="81"/>
        <v>0.53376855359757425</v>
      </c>
      <c r="Z308" s="6"/>
      <c r="AA308" s="6" t="str">
        <f t="shared" si="90"/>
        <v/>
      </c>
      <c r="AB308" s="6" t="str">
        <f t="shared" si="82"/>
        <v/>
      </c>
      <c r="AC308" s="6" t="str">
        <f t="shared" si="83"/>
        <v/>
      </c>
    </row>
    <row r="309" spans="1:29" x14ac:dyDescent="0.2">
      <c r="A309" t="s">
        <v>393</v>
      </c>
      <c r="B309" s="6">
        <v>610</v>
      </c>
      <c r="C309" s="6">
        <f t="shared" si="84"/>
        <v>-35.856992639327025</v>
      </c>
      <c r="D309" s="6">
        <f t="shared" si="70"/>
        <v>11.851193549282057</v>
      </c>
      <c r="E309" s="6">
        <f t="shared" si="71"/>
        <v>-47.708186188609083</v>
      </c>
      <c r="F309" s="6">
        <v>33.75</v>
      </c>
      <c r="G309" s="6">
        <f t="shared" si="85"/>
        <v>15.384615384615374</v>
      </c>
      <c r="H309" s="6">
        <f t="shared" si="72"/>
        <v>-4.508068204268084</v>
      </c>
      <c r="I309" s="6">
        <f t="shared" si="73"/>
        <v>19.892683588883457</v>
      </c>
      <c r="J309" s="6">
        <v>5604.1</v>
      </c>
      <c r="K309" s="6">
        <f t="shared" si="86"/>
        <v>16.475454129775137</v>
      </c>
      <c r="L309" s="6">
        <f t="shared" si="74"/>
        <v>-5.3694914768088795</v>
      </c>
      <c r="M309" s="6">
        <f t="shared" si="75"/>
        <v>21.844945606584016</v>
      </c>
      <c r="N309" s="6">
        <v>1530.6</v>
      </c>
      <c r="O309" s="6">
        <f t="shared" si="87"/>
        <v>7.7204588641001992</v>
      </c>
      <c r="P309" s="6">
        <f t="shared" si="76"/>
        <v>-8.1024951074747982</v>
      </c>
      <c r="Q309" s="6">
        <f t="shared" si="77"/>
        <v>15.822953971574997</v>
      </c>
      <c r="R309" s="6"/>
      <c r="S309" s="6" t="str">
        <f t="shared" si="88"/>
        <v/>
      </c>
      <c r="T309" s="6" t="str">
        <f t="shared" si="78"/>
        <v/>
      </c>
      <c r="U309" s="6" t="str">
        <f t="shared" si="79"/>
        <v/>
      </c>
      <c r="V309" s="6">
        <v>26.65</v>
      </c>
      <c r="W309" s="6">
        <f t="shared" si="89"/>
        <v>-9.5383570943652458</v>
      </c>
      <c r="X309" s="6">
        <f t="shared" si="80"/>
        <v>-6.632308973388958</v>
      </c>
      <c r="Y309" s="6">
        <f t="shared" si="81"/>
        <v>-2.9060481209762878</v>
      </c>
      <c r="Z309" s="6"/>
      <c r="AA309" s="6" t="str">
        <f t="shared" si="90"/>
        <v/>
      </c>
      <c r="AB309" s="6" t="str">
        <f t="shared" si="82"/>
        <v/>
      </c>
      <c r="AC309" s="6" t="str">
        <f t="shared" si="83"/>
        <v/>
      </c>
    </row>
    <row r="310" spans="1:29" x14ac:dyDescent="0.2">
      <c r="A310" t="s">
        <v>394</v>
      </c>
      <c r="B310" s="6">
        <v>556</v>
      </c>
      <c r="C310" s="6">
        <f t="shared" si="84"/>
        <v>-28.991060025542779</v>
      </c>
      <c r="D310" s="6">
        <f t="shared" si="70"/>
        <v>11.050662595323473</v>
      </c>
      <c r="E310" s="6">
        <f t="shared" si="71"/>
        <v>-40.041722620866253</v>
      </c>
      <c r="F310" s="6">
        <v>33.75</v>
      </c>
      <c r="G310" s="6">
        <f t="shared" si="85"/>
        <v>6.2992125984252079</v>
      </c>
      <c r="H310" s="6">
        <f t="shared" si="72"/>
        <v>-5.036666827037112</v>
      </c>
      <c r="I310" s="6">
        <f t="shared" si="73"/>
        <v>11.33587942546232</v>
      </c>
      <c r="J310" s="6">
        <v>5553.4</v>
      </c>
      <c r="K310" s="6">
        <f t="shared" si="86"/>
        <v>16.345428643258188</v>
      </c>
      <c r="L310" s="6">
        <f t="shared" si="74"/>
        <v>-5.1482504716444479</v>
      </c>
      <c r="M310" s="6">
        <f t="shared" si="75"/>
        <v>21.493679114902637</v>
      </c>
      <c r="N310" s="6">
        <v>1432.4</v>
      </c>
      <c r="O310" s="6">
        <f t="shared" si="87"/>
        <v>4.8225393340651346</v>
      </c>
      <c r="P310" s="6">
        <f t="shared" si="76"/>
        <v>-7.6399421833812369</v>
      </c>
      <c r="Q310" s="6">
        <f t="shared" si="77"/>
        <v>12.462481517446371</v>
      </c>
      <c r="R310" s="6"/>
      <c r="S310" s="6" t="str">
        <f t="shared" si="88"/>
        <v/>
      </c>
      <c r="T310" s="6" t="str">
        <f t="shared" si="78"/>
        <v/>
      </c>
      <c r="U310" s="6" t="str">
        <f t="shared" si="79"/>
        <v/>
      </c>
      <c r="V310" s="6">
        <v>26.37</v>
      </c>
      <c r="W310" s="6">
        <f t="shared" si="89"/>
        <v>-9.2254733218588676</v>
      </c>
      <c r="X310" s="6">
        <f t="shared" si="80"/>
        <v>-6.6752667614828809</v>
      </c>
      <c r="Y310" s="6">
        <f t="shared" si="81"/>
        <v>-2.5502065603759867</v>
      </c>
      <c r="Z310" s="6"/>
      <c r="AA310" s="6" t="str">
        <f t="shared" si="90"/>
        <v/>
      </c>
      <c r="AB310" s="6" t="str">
        <f t="shared" si="82"/>
        <v/>
      </c>
      <c r="AC310" s="6" t="str">
        <f t="shared" si="83"/>
        <v/>
      </c>
    </row>
    <row r="311" spans="1:29" x14ac:dyDescent="0.2">
      <c r="A311" t="s">
        <v>395</v>
      </c>
      <c r="B311" s="6">
        <v>487</v>
      </c>
      <c r="C311" s="6">
        <f t="shared" si="84"/>
        <v>-16.034482758620694</v>
      </c>
      <c r="D311" s="6">
        <f t="shared" si="70"/>
        <v>10.127613109055595</v>
      </c>
      <c r="E311" s="6">
        <f t="shared" si="71"/>
        <v>-26.162095867676289</v>
      </c>
      <c r="F311" s="6">
        <v>33.75</v>
      </c>
      <c r="G311" s="6">
        <f t="shared" si="85"/>
        <v>6.2992125984252079</v>
      </c>
      <c r="H311" s="6">
        <f t="shared" si="72"/>
        <v>-5.7113569753046569</v>
      </c>
      <c r="I311" s="6">
        <f t="shared" si="73"/>
        <v>12.010569573729864</v>
      </c>
      <c r="J311" s="6">
        <v>5090.5</v>
      </c>
      <c r="K311" s="6">
        <f t="shared" si="86"/>
        <v>9.7019589250694871</v>
      </c>
      <c r="L311" s="6">
        <f t="shared" si="74"/>
        <v>-4.766185761963972</v>
      </c>
      <c r="M311" s="6">
        <f t="shared" si="75"/>
        <v>14.468144687033458</v>
      </c>
      <c r="N311" s="6">
        <v>1474.6</v>
      </c>
      <c r="O311" s="6">
        <f t="shared" si="87"/>
        <v>10.805530507965134</v>
      </c>
      <c r="P311" s="6">
        <f t="shared" si="76"/>
        <v>-7.2216760037520542</v>
      </c>
      <c r="Q311" s="6">
        <f t="shared" si="77"/>
        <v>18.027206511717189</v>
      </c>
      <c r="R311" s="6"/>
      <c r="S311" s="6" t="str">
        <f t="shared" si="88"/>
        <v/>
      </c>
      <c r="T311" s="6" t="str">
        <f t="shared" si="78"/>
        <v/>
      </c>
      <c r="U311" s="6" t="str">
        <f t="shared" si="79"/>
        <v/>
      </c>
      <c r="V311" s="6">
        <v>26.38</v>
      </c>
      <c r="W311" s="6">
        <f t="shared" si="89"/>
        <v>-5.7520543051089668</v>
      </c>
      <c r="X311" s="6">
        <f t="shared" si="80"/>
        <v>-6.6259100683008869</v>
      </c>
      <c r="Y311" s="6">
        <f t="shared" si="81"/>
        <v>0.87385576319192015</v>
      </c>
      <c r="Z311" s="6"/>
      <c r="AA311" s="6" t="str">
        <f t="shared" si="90"/>
        <v/>
      </c>
      <c r="AB311" s="6" t="str">
        <f t="shared" si="82"/>
        <v/>
      </c>
      <c r="AC311" s="6" t="str">
        <f t="shared" si="83"/>
        <v/>
      </c>
    </row>
    <row r="312" spans="1:29" x14ac:dyDescent="0.2">
      <c r="A312" t="s">
        <v>396</v>
      </c>
      <c r="B312" s="6">
        <v>404</v>
      </c>
      <c r="C312" s="6">
        <f t="shared" si="84"/>
        <v>-28.113879003558718</v>
      </c>
      <c r="D312" s="6">
        <f t="shared" si="70"/>
        <v>9.5833167365996221</v>
      </c>
      <c r="E312" s="6">
        <f t="shared" si="71"/>
        <v>-37.697195740158342</v>
      </c>
      <c r="F312" s="6">
        <v>33.75</v>
      </c>
      <c r="G312" s="6">
        <f t="shared" si="85"/>
        <v>6.2992125984252079</v>
      </c>
      <c r="H312" s="6">
        <f t="shared" si="72"/>
        <v>-6.3860471235722072</v>
      </c>
      <c r="I312" s="6">
        <f t="shared" si="73"/>
        <v>12.685259721997415</v>
      </c>
      <c r="J312" s="6">
        <v>4907.5</v>
      </c>
      <c r="K312" s="6">
        <f t="shared" si="86"/>
        <v>3.6211993243243201</v>
      </c>
      <c r="L312" s="6">
        <f t="shared" si="74"/>
        <v>-4.4155711865157476</v>
      </c>
      <c r="M312" s="6">
        <f t="shared" si="75"/>
        <v>8.0367705108400678</v>
      </c>
      <c r="N312" s="6">
        <v>1420.2</v>
      </c>
      <c r="O312" s="6">
        <f t="shared" si="87"/>
        <v>6.1831775700934566</v>
      </c>
      <c r="P312" s="6">
        <f t="shared" si="76"/>
        <v>-6.5235024208655261</v>
      </c>
      <c r="Q312" s="6">
        <f t="shared" si="77"/>
        <v>12.706679990958982</v>
      </c>
      <c r="R312" s="6"/>
      <c r="S312" s="6" t="str">
        <f t="shared" si="88"/>
        <v/>
      </c>
      <c r="T312" s="6" t="str">
        <f t="shared" si="78"/>
        <v/>
      </c>
      <c r="U312" s="6" t="str">
        <f t="shared" si="79"/>
        <v/>
      </c>
      <c r="V312" s="6">
        <v>27.02</v>
      </c>
      <c r="W312" s="6">
        <f t="shared" si="89"/>
        <v>-4.0823571175008899</v>
      </c>
      <c r="X312" s="6">
        <f t="shared" si="80"/>
        <v>-6.6356305326137957</v>
      </c>
      <c r="Y312" s="6">
        <f t="shared" si="81"/>
        <v>2.5532734151129057</v>
      </c>
      <c r="Z312" s="6"/>
      <c r="AA312" s="6" t="str">
        <f t="shared" si="90"/>
        <v/>
      </c>
      <c r="AB312" s="6" t="str">
        <f t="shared" si="82"/>
        <v/>
      </c>
      <c r="AC312" s="6" t="str">
        <f t="shared" si="83"/>
        <v/>
      </c>
    </row>
    <row r="313" spans="1:29" x14ac:dyDescent="0.2">
      <c r="A313" t="s">
        <v>397</v>
      </c>
      <c r="B313" s="6">
        <v>360</v>
      </c>
      <c r="C313" s="6">
        <f t="shared" si="84"/>
        <v>-41.08019639934534</v>
      </c>
      <c r="D313" s="6">
        <f t="shared" si="70"/>
        <v>8.9453264967410533</v>
      </c>
      <c r="E313" s="6">
        <f t="shared" si="71"/>
        <v>-50.025522896086393</v>
      </c>
      <c r="F313" s="6">
        <v>33.75</v>
      </c>
      <c r="G313" s="6">
        <f t="shared" si="85"/>
        <v>6.2992125984252079</v>
      </c>
      <c r="H313" s="6">
        <f t="shared" si="72"/>
        <v>-6.8321568068554681</v>
      </c>
      <c r="I313" s="6">
        <f t="shared" si="73"/>
        <v>13.131369405280676</v>
      </c>
      <c r="J313" s="6">
        <v>4570.2</v>
      </c>
      <c r="K313" s="6">
        <f t="shared" si="86"/>
        <v>-2.8753586228881134</v>
      </c>
      <c r="L313" s="6">
        <f t="shared" si="74"/>
        <v>-4.1549408331890811</v>
      </c>
      <c r="M313" s="6">
        <f t="shared" si="75"/>
        <v>1.2795822103009677</v>
      </c>
      <c r="N313" s="6">
        <v>1366.4</v>
      </c>
      <c r="O313" s="6">
        <f t="shared" si="87"/>
        <v>5.6277056277056481</v>
      </c>
      <c r="P313" s="6">
        <f t="shared" si="76"/>
        <v>-6.0994114188053912</v>
      </c>
      <c r="Q313" s="6">
        <f t="shared" si="77"/>
        <v>11.72711704651104</v>
      </c>
      <c r="R313" s="6"/>
      <c r="S313" s="6" t="str">
        <f t="shared" si="88"/>
        <v/>
      </c>
      <c r="T313" s="6" t="str">
        <f t="shared" si="78"/>
        <v/>
      </c>
      <c r="U313" s="6" t="str">
        <f t="shared" si="79"/>
        <v/>
      </c>
      <c r="V313" s="6">
        <v>26.98</v>
      </c>
      <c r="W313" s="6">
        <f t="shared" si="89"/>
        <v>-4.8324514991181733</v>
      </c>
      <c r="X313" s="6">
        <f t="shared" si="80"/>
        <v>-6.7858035643674972</v>
      </c>
      <c r="Y313" s="6">
        <f t="shared" si="81"/>
        <v>1.9533520652493239</v>
      </c>
      <c r="Z313" s="6"/>
      <c r="AA313" s="6" t="str">
        <f t="shared" si="90"/>
        <v/>
      </c>
      <c r="AB313" s="6" t="str">
        <f t="shared" si="82"/>
        <v/>
      </c>
      <c r="AC313" s="6" t="str">
        <f t="shared" si="83"/>
        <v/>
      </c>
    </row>
    <row r="314" spans="1:29" x14ac:dyDescent="0.2">
      <c r="A314" t="s">
        <v>398</v>
      </c>
      <c r="B314" s="6">
        <v>356</v>
      </c>
      <c r="C314" s="6">
        <f t="shared" si="84"/>
        <v>-42.113821138211385</v>
      </c>
      <c r="D314" s="6">
        <f t="shared" si="70"/>
        <v>8.0894890717546915</v>
      </c>
      <c r="E314" s="6">
        <f t="shared" si="71"/>
        <v>-50.203310209966077</v>
      </c>
      <c r="F314" s="6">
        <v>33.75</v>
      </c>
      <c r="G314" s="6">
        <f t="shared" si="85"/>
        <v>6.2992125984252079</v>
      </c>
      <c r="H314" s="6">
        <f t="shared" si="72"/>
        <v>-7.2561985603787127</v>
      </c>
      <c r="I314" s="6">
        <f t="shared" si="73"/>
        <v>13.555411158803921</v>
      </c>
      <c r="J314" s="6">
        <v>4239.5</v>
      </c>
      <c r="K314" s="6">
        <f t="shared" si="86"/>
        <v>-10.753005073363786</v>
      </c>
      <c r="L314" s="6">
        <f t="shared" si="74"/>
        <v>-3.8779259423092149</v>
      </c>
      <c r="M314" s="6">
        <f t="shared" si="75"/>
        <v>-6.8750791310545711</v>
      </c>
      <c r="N314" s="6">
        <v>1384.7</v>
      </c>
      <c r="O314" s="6">
        <f t="shared" si="87"/>
        <v>8.7745483110762024</v>
      </c>
      <c r="P314" s="6">
        <f t="shared" si="76"/>
        <v>-5.6286076810113626</v>
      </c>
      <c r="Q314" s="6">
        <f t="shared" si="77"/>
        <v>14.403155992087566</v>
      </c>
      <c r="R314" s="6"/>
      <c r="S314" s="6" t="str">
        <f t="shared" si="88"/>
        <v/>
      </c>
      <c r="T314" s="6" t="str">
        <f t="shared" si="78"/>
        <v/>
      </c>
      <c r="U314" s="6" t="str">
        <f t="shared" si="79"/>
        <v/>
      </c>
      <c r="V314" s="6">
        <v>27.82</v>
      </c>
      <c r="W314" s="6">
        <f t="shared" si="89"/>
        <v>-0.10771992818672249</v>
      </c>
      <c r="X314" s="6">
        <f t="shared" si="80"/>
        <v>-6.9600911714316966</v>
      </c>
      <c r="Y314" s="6">
        <f t="shared" si="81"/>
        <v>6.8523712432449742</v>
      </c>
      <c r="Z314" s="6"/>
      <c r="AA314" s="6" t="str">
        <f t="shared" si="90"/>
        <v/>
      </c>
      <c r="AB314" s="6" t="str">
        <f t="shared" si="82"/>
        <v/>
      </c>
      <c r="AC314" s="6" t="str">
        <f t="shared" si="83"/>
        <v/>
      </c>
    </row>
    <row r="315" spans="1:29" x14ac:dyDescent="0.2">
      <c r="A315" t="s">
        <v>399</v>
      </c>
      <c r="B315" s="6">
        <v>362</v>
      </c>
      <c r="C315" s="6">
        <f t="shared" si="84"/>
        <v>-41.233766233766232</v>
      </c>
      <c r="D315" s="6">
        <f t="shared" si="70"/>
        <v>7.1874629656948157</v>
      </c>
      <c r="E315" s="6">
        <f t="shared" si="71"/>
        <v>-48.421229199461045</v>
      </c>
      <c r="F315" s="6">
        <v>33.75</v>
      </c>
      <c r="G315" s="6">
        <f t="shared" si="85"/>
        <v>3.0534351145038219</v>
      </c>
      <c r="H315" s="6">
        <f t="shared" si="72"/>
        <v>-7.680240313901959</v>
      </c>
      <c r="I315" s="6">
        <f t="shared" si="73"/>
        <v>10.733675428405782</v>
      </c>
      <c r="J315" s="6">
        <v>4034.5</v>
      </c>
      <c r="K315" s="6">
        <f t="shared" si="86"/>
        <v>-15.032748562643473</v>
      </c>
      <c r="L315" s="6">
        <f t="shared" si="74"/>
        <v>-3.6427163190160159</v>
      </c>
      <c r="M315" s="6">
        <f t="shared" si="75"/>
        <v>-11.390032243627457</v>
      </c>
      <c r="N315" s="6">
        <v>1369.5</v>
      </c>
      <c r="O315" s="6">
        <f t="shared" si="87"/>
        <v>1.8139915247937122</v>
      </c>
      <c r="P315" s="6">
        <f t="shared" si="76"/>
        <v>-5.0641665193018497</v>
      </c>
      <c r="Q315" s="6">
        <f t="shared" si="77"/>
        <v>6.8781580440955619</v>
      </c>
      <c r="R315" s="6"/>
      <c r="S315" s="6" t="str">
        <f t="shared" si="88"/>
        <v/>
      </c>
      <c r="T315" s="6" t="str">
        <f t="shared" si="78"/>
        <v/>
      </c>
      <c r="U315" s="6" t="str">
        <f t="shared" si="79"/>
        <v/>
      </c>
      <c r="V315" s="6">
        <v>28.6</v>
      </c>
      <c r="W315" s="6">
        <f t="shared" si="89"/>
        <v>3.4358047016274984</v>
      </c>
      <c r="X315" s="6">
        <f t="shared" si="80"/>
        <v>-6.8095017801542399</v>
      </c>
      <c r="Y315" s="6">
        <f t="shared" si="81"/>
        <v>10.245306481781739</v>
      </c>
      <c r="Z315" s="6"/>
      <c r="AA315" s="6" t="str">
        <f t="shared" si="90"/>
        <v/>
      </c>
      <c r="AB315" s="6" t="str">
        <f t="shared" si="82"/>
        <v/>
      </c>
      <c r="AC315" s="6" t="str">
        <f t="shared" si="83"/>
        <v/>
      </c>
    </row>
    <row r="316" spans="1:29" x14ac:dyDescent="0.2">
      <c r="A316" t="s">
        <v>400</v>
      </c>
      <c r="B316" s="6">
        <v>390</v>
      </c>
      <c r="C316" s="6">
        <f t="shared" si="84"/>
        <v>-34.121621621621621</v>
      </c>
      <c r="D316" s="6">
        <f t="shared" si="70"/>
        <v>6.6311327218645699</v>
      </c>
      <c r="E316" s="6">
        <f t="shared" si="71"/>
        <v>-40.752754343486188</v>
      </c>
      <c r="F316" s="6">
        <v>33.75</v>
      </c>
      <c r="G316" s="6">
        <f t="shared" si="85"/>
        <v>0</v>
      </c>
      <c r="H316" s="6">
        <f t="shared" si="72"/>
        <v>-8.1501975581168047</v>
      </c>
      <c r="I316" s="6">
        <f t="shared" si="73"/>
        <v>8.1501975581168047</v>
      </c>
      <c r="J316" s="6">
        <v>4089.6</v>
      </c>
      <c r="K316" s="6">
        <f t="shared" si="86"/>
        <v>-15.834533854702615</v>
      </c>
      <c r="L316" s="6">
        <f t="shared" si="74"/>
        <v>-3.5192273681704052</v>
      </c>
      <c r="M316" s="6">
        <f t="shared" si="75"/>
        <v>-12.31530648653221</v>
      </c>
      <c r="N316" s="6">
        <v>1390.9</v>
      </c>
      <c r="O316" s="6">
        <f t="shared" si="87"/>
        <v>5.2834758913027136</v>
      </c>
      <c r="P316" s="6">
        <f t="shared" si="76"/>
        <v>-4.6546917787873872</v>
      </c>
      <c r="Q316" s="6">
        <f t="shared" si="77"/>
        <v>9.9381676700901007</v>
      </c>
      <c r="R316" s="6"/>
      <c r="S316" s="6" t="str">
        <f t="shared" si="88"/>
        <v/>
      </c>
      <c r="T316" s="6" t="str">
        <f t="shared" si="78"/>
        <v/>
      </c>
      <c r="U316" s="6" t="str">
        <f t="shared" si="79"/>
        <v/>
      </c>
      <c r="V316" s="6">
        <v>26.5</v>
      </c>
      <c r="W316" s="6">
        <f t="shared" si="89"/>
        <v>-1.1562849682954068</v>
      </c>
      <c r="X316" s="6">
        <f t="shared" si="80"/>
        <v>-6.499088768638738</v>
      </c>
      <c r="Y316" s="6">
        <f t="shared" si="81"/>
        <v>5.3428038003433311</v>
      </c>
      <c r="Z316" s="6"/>
      <c r="AA316" s="6" t="str">
        <f t="shared" si="90"/>
        <v/>
      </c>
      <c r="AB316" s="6" t="str">
        <f t="shared" si="82"/>
        <v/>
      </c>
      <c r="AC316" s="6" t="str">
        <f t="shared" si="83"/>
        <v/>
      </c>
    </row>
    <row r="317" spans="1:29" x14ac:dyDescent="0.2">
      <c r="A317" t="s">
        <v>401</v>
      </c>
      <c r="B317" s="6">
        <v>342</v>
      </c>
      <c r="C317" s="6">
        <f t="shared" si="84"/>
        <v>-41.337907375643226</v>
      </c>
      <c r="D317" s="6">
        <f t="shared" si="70"/>
        <v>6.3787805947899763</v>
      </c>
      <c r="E317" s="6">
        <f t="shared" si="71"/>
        <v>-47.716687970433199</v>
      </c>
      <c r="F317" s="6">
        <v>33.75</v>
      </c>
      <c r="G317" s="6">
        <f t="shared" si="85"/>
        <v>0</v>
      </c>
      <c r="H317" s="6">
        <f t="shared" si="72"/>
        <v>-8.6837680338838137</v>
      </c>
      <c r="I317" s="6">
        <f t="shared" si="73"/>
        <v>8.6837680338838137</v>
      </c>
      <c r="J317" s="6">
        <v>4034.5</v>
      </c>
      <c r="K317" s="6">
        <f t="shared" si="86"/>
        <v>-18.448819534282013</v>
      </c>
      <c r="L317" s="6">
        <f t="shared" si="74"/>
        <v>-3.5573946667980465</v>
      </c>
      <c r="M317" s="6">
        <f t="shared" si="75"/>
        <v>-14.891424867483966</v>
      </c>
      <c r="N317" s="6">
        <v>1418.3</v>
      </c>
      <c r="O317" s="6">
        <f t="shared" si="87"/>
        <v>4.3558237068648475</v>
      </c>
      <c r="P317" s="6">
        <f t="shared" si="76"/>
        <v>-4.2965929318856899</v>
      </c>
      <c r="Q317" s="6">
        <f t="shared" si="77"/>
        <v>8.6524166387505375</v>
      </c>
      <c r="R317" s="6"/>
      <c r="S317" s="6" t="str">
        <f t="shared" si="88"/>
        <v/>
      </c>
      <c r="T317" s="6" t="str">
        <f t="shared" si="78"/>
        <v/>
      </c>
      <c r="U317" s="6" t="str">
        <f t="shared" si="79"/>
        <v/>
      </c>
      <c r="V317" s="6">
        <v>24.68</v>
      </c>
      <c r="W317" s="6">
        <f t="shared" si="89"/>
        <v>-7.3225685317311324</v>
      </c>
      <c r="X317" s="6">
        <f t="shared" si="80"/>
        <v>-6.2957147264425855</v>
      </c>
      <c r="Y317" s="6">
        <f t="shared" si="81"/>
        <v>-1.026853805288547</v>
      </c>
      <c r="Z317" s="6"/>
      <c r="AA317" s="6" t="str">
        <f t="shared" si="90"/>
        <v/>
      </c>
      <c r="AB317" s="6" t="str">
        <f t="shared" si="82"/>
        <v/>
      </c>
      <c r="AC317" s="6" t="str">
        <f t="shared" si="83"/>
        <v/>
      </c>
    </row>
    <row r="318" spans="1:29" x14ac:dyDescent="0.2">
      <c r="A318" t="s">
        <v>402</v>
      </c>
      <c r="B318" s="6">
        <v>283</v>
      </c>
      <c r="C318" s="6">
        <f t="shared" si="84"/>
        <v>-52.436974789915972</v>
      </c>
      <c r="D318" s="6">
        <f t="shared" si="70"/>
        <v>5.9275741911307414</v>
      </c>
      <c r="E318" s="6">
        <f t="shared" si="71"/>
        <v>-58.36454898104671</v>
      </c>
      <c r="F318" s="6">
        <v>33.75</v>
      </c>
      <c r="G318" s="6">
        <f t="shared" si="85"/>
        <v>0</v>
      </c>
      <c r="H318" s="6">
        <f t="shared" si="72"/>
        <v>-9.1761164850472934</v>
      </c>
      <c r="I318" s="6">
        <f t="shared" si="73"/>
        <v>9.1761164850472934</v>
      </c>
      <c r="J318" s="6">
        <v>3988.2</v>
      </c>
      <c r="K318" s="6">
        <f t="shared" si="86"/>
        <v>-21.038251366120221</v>
      </c>
      <c r="L318" s="6">
        <f t="shared" si="74"/>
        <v>-3.6896161294895826</v>
      </c>
      <c r="M318" s="6">
        <f t="shared" si="75"/>
        <v>-17.348635236630638</v>
      </c>
      <c r="N318" s="6">
        <v>1405.5</v>
      </c>
      <c r="O318" s="6">
        <f t="shared" si="87"/>
        <v>1.2243428159884662</v>
      </c>
      <c r="P318" s="6">
        <f t="shared" si="76"/>
        <v>-3.9177177369333394</v>
      </c>
      <c r="Q318" s="6">
        <f t="shared" si="77"/>
        <v>5.1420605529218051</v>
      </c>
      <c r="R318" s="6"/>
      <c r="S318" s="6" t="str">
        <f t="shared" si="88"/>
        <v/>
      </c>
      <c r="T318" s="6" t="str">
        <f t="shared" si="78"/>
        <v/>
      </c>
      <c r="U318" s="6" t="str">
        <f t="shared" si="79"/>
        <v/>
      </c>
      <c r="V318" s="6">
        <v>15.92</v>
      </c>
      <c r="W318" s="6">
        <f t="shared" si="89"/>
        <v>-42.318840579710148</v>
      </c>
      <c r="X318" s="6">
        <f t="shared" si="80"/>
        <v>-6.2010131876502301</v>
      </c>
      <c r="Y318" s="6">
        <f t="shared" si="81"/>
        <v>-36.117827392059915</v>
      </c>
      <c r="Z318" s="6"/>
      <c r="AA318" s="6" t="str">
        <f t="shared" si="90"/>
        <v/>
      </c>
      <c r="AB318" s="6" t="str">
        <f t="shared" si="82"/>
        <v/>
      </c>
      <c r="AC318" s="6" t="str">
        <f t="shared" si="83"/>
        <v/>
      </c>
    </row>
    <row r="319" spans="1:29" x14ac:dyDescent="0.2">
      <c r="A319" t="s">
        <v>403</v>
      </c>
      <c r="B319" s="6">
        <v>243</v>
      </c>
      <c r="C319" s="6">
        <f t="shared" si="84"/>
        <v>-62.672811059907829</v>
      </c>
      <c r="D319" s="6">
        <f t="shared" si="70"/>
        <v>5.1997205496741605</v>
      </c>
      <c r="E319" s="6">
        <f t="shared" si="71"/>
        <v>-67.872531609581984</v>
      </c>
      <c r="F319" s="6">
        <v>30.75</v>
      </c>
      <c r="G319" s="6">
        <f t="shared" si="85"/>
        <v>-8.8888888888888911</v>
      </c>
      <c r="H319" s="6">
        <f t="shared" si="72"/>
        <v>-9.6684649362107731</v>
      </c>
      <c r="I319" s="6">
        <f t="shared" si="73"/>
        <v>0.77957604732188202</v>
      </c>
      <c r="J319" s="6">
        <v>4122.6000000000004</v>
      </c>
      <c r="K319" s="6">
        <f t="shared" si="86"/>
        <v>-20.897212042135948</v>
      </c>
      <c r="L319" s="6">
        <f t="shared" si="74"/>
        <v>-3.9140759873091775</v>
      </c>
      <c r="M319" s="6">
        <f t="shared" si="75"/>
        <v>-16.983136054826769</v>
      </c>
      <c r="N319" s="6">
        <v>1445.1</v>
      </c>
      <c r="O319" s="6">
        <f t="shared" si="87"/>
        <v>3.9715087416360761</v>
      </c>
      <c r="P319" s="6">
        <f t="shared" si="76"/>
        <v>-3.6573873485889554</v>
      </c>
      <c r="Q319" s="6">
        <f t="shared" si="77"/>
        <v>7.628896090225032</v>
      </c>
      <c r="R319" s="6"/>
      <c r="S319" s="6" t="str">
        <f t="shared" si="88"/>
        <v/>
      </c>
      <c r="T319" s="6" t="str">
        <f t="shared" si="78"/>
        <v/>
      </c>
      <c r="U319" s="6" t="str">
        <f t="shared" si="79"/>
        <v/>
      </c>
      <c r="V319" s="6">
        <v>12.65</v>
      </c>
      <c r="W319" s="6">
        <f t="shared" si="89"/>
        <v>-54.578096947935364</v>
      </c>
      <c r="X319" s="6">
        <f t="shared" si="80"/>
        <v>-6.7731790066756332</v>
      </c>
      <c r="Y319" s="6">
        <f t="shared" si="81"/>
        <v>-47.804917941259731</v>
      </c>
      <c r="Z319" s="6"/>
      <c r="AA319" s="6" t="str">
        <f t="shared" si="90"/>
        <v/>
      </c>
      <c r="AB319" s="6" t="str">
        <f t="shared" si="82"/>
        <v/>
      </c>
      <c r="AC319" s="6" t="str">
        <f t="shared" si="83"/>
        <v/>
      </c>
    </row>
    <row r="320" spans="1:29" x14ac:dyDescent="0.2">
      <c r="A320" t="s">
        <v>404</v>
      </c>
      <c r="B320" s="6">
        <v>242</v>
      </c>
      <c r="C320" s="6">
        <f t="shared" si="84"/>
        <v>-62.94027565084226</v>
      </c>
      <c r="D320" s="6">
        <f t="shared" si="70"/>
        <v>4.2737412870013509</v>
      </c>
      <c r="E320" s="6">
        <f t="shared" si="71"/>
        <v>-67.21401693784361</v>
      </c>
      <c r="F320" s="6">
        <v>30.75</v>
      </c>
      <c r="G320" s="6">
        <f t="shared" si="85"/>
        <v>-8.8888888888888911</v>
      </c>
      <c r="H320" s="6">
        <f t="shared" si="72"/>
        <v>-10.345998572559438</v>
      </c>
      <c r="I320" s="6">
        <f t="shared" si="73"/>
        <v>1.4571096836705468</v>
      </c>
      <c r="J320" s="6">
        <v>3999.2</v>
      </c>
      <c r="K320" s="6">
        <f t="shared" si="86"/>
        <v>-27.148192002914662</v>
      </c>
      <c r="L320" s="6">
        <f t="shared" si="74"/>
        <v>-4.1378367180251212</v>
      </c>
      <c r="M320" s="6">
        <f t="shared" si="75"/>
        <v>-23.010355284889542</v>
      </c>
      <c r="N320" s="6">
        <v>1434.6</v>
      </c>
      <c r="O320" s="6">
        <f t="shared" si="87"/>
        <v>-4.4746304434678414</v>
      </c>
      <c r="P320" s="6">
        <f t="shared" si="76"/>
        <v>-3.2221540004466021</v>
      </c>
      <c r="Q320" s="6">
        <f t="shared" si="77"/>
        <v>-1.2524764430212394</v>
      </c>
      <c r="R320" s="6"/>
      <c r="S320" s="6" t="str">
        <f t="shared" si="88"/>
        <v/>
      </c>
      <c r="T320" s="6" t="str">
        <f t="shared" si="78"/>
        <v/>
      </c>
      <c r="U320" s="6" t="str">
        <f t="shared" si="79"/>
        <v/>
      </c>
      <c r="V320" s="6">
        <v>11.9</v>
      </c>
      <c r="W320" s="6">
        <f t="shared" si="89"/>
        <v>-57.194244604316545</v>
      </c>
      <c r="X320" s="6">
        <f t="shared" si="80"/>
        <v>-7.4985427285519473</v>
      </c>
      <c r="Y320" s="6">
        <f t="shared" si="81"/>
        <v>-49.695701875764598</v>
      </c>
      <c r="Z320" s="6"/>
      <c r="AA320" s="6" t="str">
        <f t="shared" si="90"/>
        <v/>
      </c>
      <c r="AB320" s="6" t="str">
        <f t="shared" si="82"/>
        <v/>
      </c>
      <c r="AC320" s="6" t="str">
        <f t="shared" si="83"/>
        <v/>
      </c>
    </row>
    <row r="321" spans="1:29" x14ac:dyDescent="0.2">
      <c r="A321" t="s">
        <v>405</v>
      </c>
      <c r="B321" s="6">
        <v>238</v>
      </c>
      <c r="C321" s="6">
        <f t="shared" si="84"/>
        <v>-60.983606557377044</v>
      </c>
      <c r="D321" s="6">
        <f t="shared" ref="D321:D384" si="91">IF(COUNT(C273:C320)&lt;48,"",AVERAGE(C273:C320))</f>
        <v>3.2423891723933846</v>
      </c>
      <c r="E321" s="6">
        <f t="shared" ref="E321:E384" si="92">IF(OR(C321="",D321=""),"",C321-D321)</f>
        <v>-64.225995729770432</v>
      </c>
      <c r="F321" s="6">
        <v>30.75</v>
      </c>
      <c r="G321" s="6">
        <f t="shared" si="85"/>
        <v>-8.8888888888888911</v>
      </c>
      <c r="H321" s="6">
        <f t="shared" ref="H321:H384" si="93">IF(COUNT(G273:G320)&lt;48,"",AVERAGE(G273:G320))</f>
        <v>-10.498366648600081</v>
      </c>
      <c r="I321" s="6">
        <f t="shared" ref="I321:I384" si="94">IF(OR(G321="",H321=""),"",G321-H321)</f>
        <v>1.60947775971119</v>
      </c>
      <c r="J321" s="6">
        <v>4043.3</v>
      </c>
      <c r="K321" s="6">
        <f t="shared" si="86"/>
        <v>-27.851037633161436</v>
      </c>
      <c r="L321" s="6">
        <f t="shared" ref="L321:L384" si="95">IF(COUNT(K273:K320)&lt;48,"",AVERAGE(K273:K320))</f>
        <v>-4.4018411541093085</v>
      </c>
      <c r="M321" s="6">
        <f t="shared" ref="M321:M384" si="96">IF(OR(K321="",L321=""),"",K321-L321)</f>
        <v>-23.449196479052127</v>
      </c>
      <c r="N321" s="6">
        <v>1418.74</v>
      </c>
      <c r="O321" s="6">
        <f t="shared" si="87"/>
        <v>-7.3082451326277216</v>
      </c>
      <c r="P321" s="6">
        <f t="shared" ref="P321:P384" si="97">IF(COUNT(O273:O320)&lt;48,"",AVERAGE(O273:O320))</f>
        <v>-2.9729582979657643</v>
      </c>
      <c r="Q321" s="6">
        <f t="shared" ref="Q321:Q384" si="98">IF(OR(O321="",P321=""),"",O321-P321)</f>
        <v>-4.3352868346619573</v>
      </c>
      <c r="R321" s="6"/>
      <c r="S321" s="6" t="str">
        <f t="shared" si="88"/>
        <v/>
      </c>
      <c r="T321" s="6" t="str">
        <f t="shared" ref="T321:T384" si="99">IF(COUNT(S273:S320)&lt;48,"",AVERAGE(S273:S320))</f>
        <v/>
      </c>
      <c r="U321" s="6" t="str">
        <f t="shared" ref="U321:U384" si="100">IF(OR(S321="",T321=""),"",S321-T321)</f>
        <v/>
      </c>
      <c r="V321" s="6">
        <v>13.72</v>
      </c>
      <c r="W321" s="6">
        <f t="shared" si="89"/>
        <v>-48.517823639774861</v>
      </c>
      <c r="X321" s="6">
        <f t="shared" ref="X321:X384" si="101">IF(COUNT(W273:W320)&lt;48,"",AVERAGE(W273:W320))</f>
        <v>-8.4151376077214746</v>
      </c>
      <c r="Y321" s="6">
        <f t="shared" ref="Y321:Y384" si="102">IF(OR(W321="",X321=""),"",W321-X321)</f>
        <v>-40.102686032053384</v>
      </c>
      <c r="Z321" s="6"/>
      <c r="AA321" s="6" t="str">
        <f t="shared" si="90"/>
        <v/>
      </c>
      <c r="AB321" s="6" t="str">
        <f t="shared" ref="AB321:AB384" si="103">IF(COUNT(AA273:AA320)&lt;48,"",AVERAGE(AA273:AA320))</f>
        <v/>
      </c>
      <c r="AC321" s="6" t="str">
        <f t="shared" ref="AC321:AC384" si="104">IF(OR(AA321="",AB321=""),"",AA321-AB321)</f>
        <v/>
      </c>
    </row>
    <row r="322" spans="1:29" x14ac:dyDescent="0.2">
      <c r="A322" t="s">
        <v>406</v>
      </c>
      <c r="B322" s="6">
        <v>243</v>
      </c>
      <c r="C322" s="6">
        <f t="shared" si="84"/>
        <v>-56.294964028776981</v>
      </c>
      <c r="D322" s="6">
        <f t="shared" si="91"/>
        <v>2.2779630341119144</v>
      </c>
      <c r="E322" s="6">
        <f t="shared" si="92"/>
        <v>-58.572927062888894</v>
      </c>
      <c r="F322" s="6">
        <v>30.75</v>
      </c>
      <c r="G322" s="6">
        <f t="shared" si="85"/>
        <v>-8.8888888888888911</v>
      </c>
      <c r="H322" s="6">
        <f t="shared" si="93"/>
        <v>-10.650734724640726</v>
      </c>
      <c r="I322" s="6">
        <f t="shared" si="94"/>
        <v>1.761845835751835</v>
      </c>
      <c r="J322" s="6">
        <v>4087.4</v>
      </c>
      <c r="K322" s="6">
        <f t="shared" si="86"/>
        <v>-26.398242518097014</v>
      </c>
      <c r="L322" s="6">
        <f t="shared" si="95"/>
        <v>-4.6080865010408445</v>
      </c>
      <c r="M322" s="6">
        <f t="shared" si="96"/>
        <v>-21.790156017056169</v>
      </c>
      <c r="N322" s="6">
        <v>1413.14</v>
      </c>
      <c r="O322" s="6">
        <f t="shared" si="87"/>
        <v>-1.3445964814297717</v>
      </c>
      <c r="P322" s="6">
        <f t="shared" si="97"/>
        <v>-2.8689227428212649</v>
      </c>
      <c r="Q322" s="6">
        <f t="shared" si="98"/>
        <v>1.5243262613914932</v>
      </c>
      <c r="R322" s="6"/>
      <c r="S322" s="6" t="str">
        <f t="shared" si="88"/>
        <v/>
      </c>
      <c r="T322" s="6" t="str">
        <f t="shared" si="99"/>
        <v/>
      </c>
      <c r="U322" s="6" t="str">
        <f t="shared" si="100"/>
        <v/>
      </c>
      <c r="V322" s="6">
        <v>11.85</v>
      </c>
      <c r="W322" s="6">
        <f t="shared" si="89"/>
        <v>-55.062571103526736</v>
      </c>
      <c r="X322" s="6">
        <f t="shared" si="101"/>
        <v>-9.350565818030864</v>
      </c>
      <c r="Y322" s="6">
        <f t="shared" si="102"/>
        <v>-45.71200528549587</v>
      </c>
      <c r="Z322" s="6"/>
      <c r="AA322" s="6" t="str">
        <f t="shared" si="90"/>
        <v/>
      </c>
      <c r="AB322" s="6" t="str">
        <f t="shared" si="103"/>
        <v/>
      </c>
      <c r="AC322" s="6" t="str">
        <f t="shared" si="104"/>
        <v/>
      </c>
    </row>
    <row r="323" spans="1:29" x14ac:dyDescent="0.2">
      <c r="A323" t="s">
        <v>407</v>
      </c>
      <c r="B323" s="6">
        <v>221</v>
      </c>
      <c r="C323" s="6">
        <f t="shared" si="84"/>
        <v>-54.620123203285416</v>
      </c>
      <c r="D323" s="6">
        <f t="shared" si="91"/>
        <v>1.5804117001790605</v>
      </c>
      <c r="E323" s="6">
        <f t="shared" si="92"/>
        <v>-56.200534903464479</v>
      </c>
      <c r="F323" s="6">
        <v>30.75</v>
      </c>
      <c r="G323" s="6">
        <f t="shared" si="85"/>
        <v>-8.8888888888888911</v>
      </c>
      <c r="H323" s="6">
        <f t="shared" si="93"/>
        <v>-10.803102800681367</v>
      </c>
      <c r="I323" s="6">
        <f t="shared" si="94"/>
        <v>1.9142139117924764</v>
      </c>
      <c r="J323" s="6">
        <v>3911</v>
      </c>
      <c r="K323" s="6">
        <f t="shared" si="86"/>
        <v>-23.17061192417248</v>
      </c>
      <c r="L323" s="6">
        <f t="shared" si="95"/>
        <v>-4.8261699633411608</v>
      </c>
      <c r="M323" s="6">
        <f t="shared" si="96"/>
        <v>-18.344441960831318</v>
      </c>
      <c r="N323" s="6">
        <v>1344.3</v>
      </c>
      <c r="O323" s="6">
        <f t="shared" si="87"/>
        <v>-8.8362945883629465</v>
      </c>
      <c r="P323" s="6">
        <f t="shared" si="97"/>
        <v>-2.4067390910863451</v>
      </c>
      <c r="Q323" s="6">
        <f t="shared" si="98"/>
        <v>-6.4295554972766009</v>
      </c>
      <c r="R323" s="6"/>
      <c r="S323" s="6" t="str">
        <f t="shared" si="88"/>
        <v/>
      </c>
      <c r="T323" s="6" t="str">
        <f t="shared" si="99"/>
        <v/>
      </c>
      <c r="U323" s="6" t="str">
        <f t="shared" si="100"/>
        <v/>
      </c>
      <c r="V323" s="6">
        <v>9.6199999999999992</v>
      </c>
      <c r="W323" s="6">
        <f t="shared" si="89"/>
        <v>-63.532979529946928</v>
      </c>
      <c r="X323" s="6">
        <f t="shared" si="101"/>
        <v>-10.501524177347816</v>
      </c>
      <c r="Y323" s="6">
        <f t="shared" si="102"/>
        <v>-53.03145535259911</v>
      </c>
      <c r="Z323" s="6"/>
      <c r="AA323" s="6" t="str">
        <f t="shared" si="90"/>
        <v/>
      </c>
      <c r="AB323" s="6" t="str">
        <f t="shared" si="103"/>
        <v/>
      </c>
      <c r="AC323" s="6" t="str">
        <f t="shared" si="104"/>
        <v/>
      </c>
    </row>
    <row r="324" spans="1:29" x14ac:dyDescent="0.2">
      <c r="A324" t="s">
        <v>408</v>
      </c>
      <c r="B324" s="6">
        <v>197</v>
      </c>
      <c r="C324" s="6">
        <f t="shared" si="84"/>
        <v>-51.237623762376238</v>
      </c>
      <c r="D324" s="6">
        <f t="shared" si="91"/>
        <v>1.0640202445550573</v>
      </c>
      <c r="E324" s="6">
        <f t="shared" si="92"/>
        <v>-52.301644006931298</v>
      </c>
      <c r="F324" s="6">
        <v>30.75</v>
      </c>
      <c r="G324" s="6">
        <f t="shared" si="85"/>
        <v>-8.8888888888888911</v>
      </c>
      <c r="H324" s="6">
        <f t="shared" si="93"/>
        <v>-10.955470876722011</v>
      </c>
      <c r="I324" s="6">
        <f t="shared" si="94"/>
        <v>2.0665819878331195</v>
      </c>
      <c r="J324" s="6">
        <v>3807.4</v>
      </c>
      <c r="K324" s="6">
        <f t="shared" si="86"/>
        <v>-22.416709118695877</v>
      </c>
      <c r="L324" s="6">
        <f t="shared" si="95"/>
        <v>-4.9425072960567835</v>
      </c>
      <c r="M324" s="6">
        <f t="shared" si="96"/>
        <v>-17.474201822639095</v>
      </c>
      <c r="N324" s="6">
        <v>1303.0999999999999</v>
      </c>
      <c r="O324" s="6">
        <f t="shared" si="87"/>
        <v>-8.245317560906928</v>
      </c>
      <c r="P324" s="6">
        <f t="shared" si="97"/>
        <v>-2.2923070483094219</v>
      </c>
      <c r="Q324" s="6">
        <f t="shared" si="98"/>
        <v>-5.9530105125975066</v>
      </c>
      <c r="R324" s="6"/>
      <c r="S324" s="6" t="str">
        <f t="shared" si="88"/>
        <v/>
      </c>
      <c r="T324" s="6" t="str">
        <f t="shared" si="99"/>
        <v/>
      </c>
      <c r="U324" s="6" t="str">
        <f t="shared" si="100"/>
        <v/>
      </c>
      <c r="V324" s="6">
        <v>13.7</v>
      </c>
      <c r="W324" s="6">
        <f t="shared" si="89"/>
        <v>-49.296817172464849</v>
      </c>
      <c r="X324" s="6">
        <f t="shared" si="101"/>
        <v>-11.78844732469719</v>
      </c>
      <c r="Y324" s="6">
        <f t="shared" si="102"/>
        <v>-37.508369847767661</v>
      </c>
      <c r="Z324" s="6"/>
      <c r="AA324" s="6" t="str">
        <f t="shared" si="90"/>
        <v/>
      </c>
      <c r="AB324" s="6" t="str">
        <f t="shared" si="103"/>
        <v/>
      </c>
      <c r="AC324" s="6" t="str">
        <f t="shared" si="104"/>
        <v/>
      </c>
    </row>
    <row r="325" spans="1:29" x14ac:dyDescent="0.2">
      <c r="A325" t="s">
        <v>409</v>
      </c>
      <c r="B325" s="6">
        <v>207</v>
      </c>
      <c r="C325" s="6">
        <f t="shared" si="84"/>
        <v>-42.500000000000007</v>
      </c>
      <c r="D325" s="6">
        <f t="shared" si="91"/>
        <v>0.52623076645470335</v>
      </c>
      <c r="E325" s="6">
        <f t="shared" si="92"/>
        <v>-43.026230766454709</v>
      </c>
      <c r="F325" s="6">
        <v>30.75</v>
      </c>
      <c r="G325" s="6">
        <f t="shared" si="85"/>
        <v>-8.8888888888888911</v>
      </c>
      <c r="H325" s="6">
        <f t="shared" si="93"/>
        <v>-11.107838952762654</v>
      </c>
      <c r="I325" s="6">
        <f t="shared" si="94"/>
        <v>2.2189500638737627</v>
      </c>
      <c r="J325" s="6">
        <v>3723.6</v>
      </c>
      <c r="K325" s="6">
        <f t="shared" si="86"/>
        <v>-18.524353419981622</v>
      </c>
      <c r="L325" s="6">
        <f t="shared" si="95"/>
        <v>-5.0462444656824568</v>
      </c>
      <c r="M325" s="6">
        <f t="shared" si="96"/>
        <v>-13.478108954299167</v>
      </c>
      <c r="N325" s="6">
        <v>1347</v>
      </c>
      <c r="O325" s="6">
        <f t="shared" si="87"/>
        <v>-1.4197892271662793</v>
      </c>
      <c r="P325" s="6">
        <f t="shared" si="97"/>
        <v>-2.0729494480639077</v>
      </c>
      <c r="Q325" s="6">
        <f t="shared" si="98"/>
        <v>0.65316022089762837</v>
      </c>
      <c r="R325" s="6"/>
      <c r="S325" s="6" t="str">
        <f t="shared" si="88"/>
        <v/>
      </c>
      <c r="T325" s="6" t="str">
        <f t="shared" si="99"/>
        <v/>
      </c>
      <c r="U325" s="6" t="str">
        <f t="shared" si="100"/>
        <v/>
      </c>
      <c r="V325" s="6">
        <v>14.08</v>
      </c>
      <c r="W325" s="6">
        <f t="shared" si="89"/>
        <v>-47.813194959229058</v>
      </c>
      <c r="X325" s="6">
        <f t="shared" si="101"/>
        <v>-12.719819852360741</v>
      </c>
      <c r="Y325" s="6">
        <f t="shared" si="102"/>
        <v>-35.093375106868315</v>
      </c>
      <c r="Z325" s="6"/>
      <c r="AA325" s="6" t="str">
        <f t="shared" si="90"/>
        <v/>
      </c>
      <c r="AB325" s="6" t="str">
        <f t="shared" si="103"/>
        <v/>
      </c>
      <c r="AC325" s="6" t="str">
        <f t="shared" si="104"/>
        <v/>
      </c>
    </row>
    <row r="326" spans="1:29" x14ac:dyDescent="0.2">
      <c r="A326" t="s">
        <v>410</v>
      </c>
      <c r="B326" s="6">
        <v>272</v>
      </c>
      <c r="C326" s="6">
        <f t="shared" si="84"/>
        <v>-23.59550561797753</v>
      </c>
      <c r="D326" s="6">
        <f t="shared" si="91"/>
        <v>0.16881017051495117</v>
      </c>
      <c r="E326" s="6">
        <f t="shared" si="92"/>
        <v>-23.764315788492482</v>
      </c>
      <c r="F326" s="6">
        <v>30.75</v>
      </c>
      <c r="G326" s="6">
        <f t="shared" si="85"/>
        <v>-8.8888888888888911</v>
      </c>
      <c r="H326" s="6">
        <f t="shared" si="93"/>
        <v>-11.260207028803295</v>
      </c>
      <c r="I326" s="6">
        <f t="shared" si="94"/>
        <v>2.3713181399144041</v>
      </c>
      <c r="J326" s="6">
        <v>3644.2</v>
      </c>
      <c r="K326" s="6">
        <f t="shared" si="86"/>
        <v>-14.041750206392267</v>
      </c>
      <c r="L326" s="6">
        <f t="shared" si="95"/>
        <v>-4.9584052760504944</v>
      </c>
      <c r="M326" s="6">
        <f t="shared" si="96"/>
        <v>-9.0833449303417737</v>
      </c>
      <c r="N326" s="6">
        <v>1316.8</v>
      </c>
      <c r="O326" s="6">
        <f t="shared" si="87"/>
        <v>-4.9035892251029223</v>
      </c>
      <c r="P326" s="6">
        <f t="shared" si="97"/>
        <v>-1.7567272131839724</v>
      </c>
      <c r="Q326" s="6">
        <f t="shared" si="98"/>
        <v>-3.1468620119189499</v>
      </c>
      <c r="R326" s="6"/>
      <c r="S326" s="6" t="str">
        <f t="shared" si="88"/>
        <v/>
      </c>
      <c r="T326" s="6" t="str">
        <f t="shared" si="99"/>
        <v/>
      </c>
      <c r="U326" s="6" t="str">
        <f t="shared" si="100"/>
        <v/>
      </c>
      <c r="V326" s="6">
        <v>13.95</v>
      </c>
      <c r="W326" s="6">
        <f t="shared" si="89"/>
        <v>-49.856218547807337</v>
      </c>
      <c r="X326" s="6">
        <f t="shared" si="101"/>
        <v>-13.684055961427253</v>
      </c>
      <c r="Y326" s="6">
        <f t="shared" si="102"/>
        <v>-36.172162586380082</v>
      </c>
      <c r="Z326" s="6"/>
      <c r="AA326" s="6" t="str">
        <f t="shared" si="90"/>
        <v/>
      </c>
      <c r="AB326" s="6" t="str">
        <f t="shared" si="103"/>
        <v/>
      </c>
      <c r="AC326" s="6" t="str">
        <f t="shared" si="104"/>
        <v/>
      </c>
    </row>
    <row r="327" spans="1:29" x14ac:dyDescent="0.2">
      <c r="A327" t="s">
        <v>411</v>
      </c>
      <c r="B327" s="6">
        <v>303</v>
      </c>
      <c r="C327" s="6">
        <f t="shared" si="84"/>
        <v>-16.298342541436462</v>
      </c>
      <c r="D327" s="6">
        <f t="shared" si="91"/>
        <v>0.31888755915926037</v>
      </c>
      <c r="E327" s="6">
        <f t="shared" si="92"/>
        <v>-16.617230100595723</v>
      </c>
      <c r="F327" s="6">
        <v>30.75</v>
      </c>
      <c r="G327" s="6">
        <f t="shared" si="85"/>
        <v>-8.8888888888888911</v>
      </c>
      <c r="H327" s="6">
        <f t="shared" si="93"/>
        <v>-11.412575104843938</v>
      </c>
      <c r="I327" s="6">
        <f t="shared" si="94"/>
        <v>2.5236862159550473</v>
      </c>
      <c r="J327" s="6">
        <v>3642</v>
      </c>
      <c r="K327" s="6">
        <f t="shared" si="86"/>
        <v>-9.728590903457679</v>
      </c>
      <c r="L327" s="6">
        <f t="shared" si="95"/>
        <v>-4.7316658735300594</v>
      </c>
      <c r="M327" s="6">
        <f t="shared" si="96"/>
        <v>-4.9969250299276196</v>
      </c>
      <c r="N327" s="6">
        <v>1303.2</v>
      </c>
      <c r="O327" s="6">
        <f t="shared" si="87"/>
        <v>-4.8411829134720641</v>
      </c>
      <c r="P327" s="6">
        <f t="shared" si="97"/>
        <v>-1.6022038521168998</v>
      </c>
      <c r="Q327" s="6">
        <f t="shared" si="98"/>
        <v>-3.2389790613551641</v>
      </c>
      <c r="R327" s="6"/>
      <c r="S327" s="6" t="str">
        <f t="shared" si="88"/>
        <v/>
      </c>
      <c r="T327" s="6" t="str">
        <f t="shared" si="99"/>
        <v/>
      </c>
      <c r="U327" s="6" t="str">
        <f t="shared" si="100"/>
        <v/>
      </c>
      <c r="V327" s="6">
        <v>14.45</v>
      </c>
      <c r="W327" s="6">
        <f t="shared" si="89"/>
        <v>-49.47552447552448</v>
      </c>
      <c r="X327" s="6">
        <f t="shared" si="101"/>
        <v>-14.67276570568446</v>
      </c>
      <c r="Y327" s="6">
        <f t="shared" si="102"/>
        <v>-34.802758769840018</v>
      </c>
      <c r="Z327" s="6"/>
      <c r="AA327" s="6" t="str">
        <f t="shared" si="90"/>
        <v/>
      </c>
      <c r="AB327" s="6" t="str">
        <f t="shared" si="103"/>
        <v/>
      </c>
      <c r="AC327" s="6" t="str">
        <f t="shared" si="104"/>
        <v/>
      </c>
    </row>
    <row r="328" spans="1:29" x14ac:dyDescent="0.2">
      <c r="A328" t="s">
        <v>412</v>
      </c>
      <c r="B328" s="6">
        <v>293</v>
      </c>
      <c r="C328" s="6">
        <f t="shared" si="84"/>
        <v>-24.871794871794872</v>
      </c>
      <c r="D328" s="6">
        <f t="shared" si="91"/>
        <v>0.55433875621267037</v>
      </c>
      <c r="E328" s="6">
        <f t="shared" si="92"/>
        <v>-25.426133628007541</v>
      </c>
      <c r="F328" s="6">
        <v>29.25</v>
      </c>
      <c r="G328" s="6">
        <f t="shared" si="85"/>
        <v>-13.33333333333333</v>
      </c>
      <c r="H328" s="6">
        <f t="shared" si="93"/>
        <v>-11.564943180884583</v>
      </c>
      <c r="I328" s="6">
        <f t="shared" si="94"/>
        <v>-1.7683901524487471</v>
      </c>
      <c r="J328" s="6">
        <v>3571.5</v>
      </c>
      <c r="K328" s="6">
        <f t="shared" si="86"/>
        <v>-12.668720657276989</v>
      </c>
      <c r="L328" s="6">
        <f t="shared" si="95"/>
        <v>-4.2536117421798787</v>
      </c>
      <c r="M328" s="6">
        <f t="shared" si="96"/>
        <v>-8.415108915097111</v>
      </c>
      <c r="N328" s="6">
        <v>1335.6</v>
      </c>
      <c r="O328" s="6">
        <f t="shared" si="87"/>
        <v>-3.9758429793658956</v>
      </c>
      <c r="P328" s="6">
        <f t="shared" si="97"/>
        <v>-1.4411628346886038</v>
      </c>
      <c r="Q328" s="6">
        <f t="shared" si="98"/>
        <v>-2.5346801446772917</v>
      </c>
      <c r="R328" s="6"/>
      <c r="S328" s="6" t="str">
        <f t="shared" si="88"/>
        <v/>
      </c>
      <c r="T328" s="6" t="str">
        <f t="shared" si="99"/>
        <v/>
      </c>
      <c r="U328" s="6" t="str">
        <f t="shared" si="100"/>
        <v/>
      </c>
      <c r="V328" s="6">
        <v>15.68</v>
      </c>
      <c r="W328" s="6">
        <f t="shared" si="89"/>
        <v>-40.830188679245282</v>
      </c>
      <c r="X328" s="6">
        <f t="shared" si="101"/>
        <v>-15.538263833304223</v>
      </c>
      <c r="Y328" s="6">
        <f t="shared" si="102"/>
        <v>-25.291924845941061</v>
      </c>
      <c r="Z328" s="6"/>
      <c r="AA328" s="6" t="str">
        <f t="shared" si="90"/>
        <v/>
      </c>
      <c r="AB328" s="6" t="str">
        <f t="shared" si="103"/>
        <v/>
      </c>
      <c r="AC328" s="6" t="str">
        <f t="shared" si="104"/>
        <v/>
      </c>
    </row>
    <row r="329" spans="1:29" x14ac:dyDescent="0.2">
      <c r="A329" t="s">
        <v>413</v>
      </c>
      <c r="B329" s="6">
        <v>350</v>
      </c>
      <c r="C329" s="6">
        <f t="shared" si="84"/>
        <v>2.3391812865497075</v>
      </c>
      <c r="D329" s="6">
        <f t="shared" si="91"/>
        <v>0.49770155283633621</v>
      </c>
      <c r="E329" s="6">
        <f t="shared" si="92"/>
        <v>1.8414797337133713</v>
      </c>
      <c r="F329" s="6">
        <v>29.25</v>
      </c>
      <c r="G329" s="6">
        <f t="shared" si="85"/>
        <v>-13.33333333333333</v>
      </c>
      <c r="H329" s="6">
        <f t="shared" si="93"/>
        <v>-11.43711623889835</v>
      </c>
      <c r="I329" s="6">
        <f t="shared" si="94"/>
        <v>-1.8962170944349808</v>
      </c>
      <c r="J329" s="6">
        <v>3525.2</v>
      </c>
      <c r="K329" s="6">
        <f t="shared" si="86"/>
        <v>-12.623621266575791</v>
      </c>
      <c r="L329" s="6">
        <f t="shared" si="95"/>
        <v>-3.7898304381812102</v>
      </c>
      <c r="M329" s="6">
        <f t="shared" si="96"/>
        <v>-8.8337908283945801</v>
      </c>
      <c r="N329" s="6">
        <v>1346</v>
      </c>
      <c r="O329" s="6">
        <f t="shared" si="87"/>
        <v>-5.0976521187336976</v>
      </c>
      <c r="P329" s="6">
        <f t="shared" si="97"/>
        <v>-1.2948048341718839</v>
      </c>
      <c r="Q329" s="6">
        <f t="shared" si="98"/>
        <v>-3.802847284561814</v>
      </c>
      <c r="R329" s="6"/>
      <c r="S329" s="6" t="str">
        <f t="shared" si="88"/>
        <v/>
      </c>
      <c r="T329" s="6" t="str">
        <f t="shared" si="99"/>
        <v/>
      </c>
      <c r="U329" s="6" t="str">
        <f t="shared" si="100"/>
        <v/>
      </c>
      <c r="V329" s="6">
        <v>18.07</v>
      </c>
      <c r="W329" s="6">
        <f t="shared" si="89"/>
        <v>-26.782820097244731</v>
      </c>
      <c r="X329" s="6">
        <f t="shared" si="101"/>
        <v>-16.15708442372835</v>
      </c>
      <c r="Y329" s="6">
        <f t="shared" si="102"/>
        <v>-10.625735673516381</v>
      </c>
      <c r="Z329" s="6"/>
      <c r="AA329" s="6" t="str">
        <f t="shared" si="90"/>
        <v/>
      </c>
      <c r="AB329" s="6" t="str">
        <f t="shared" si="103"/>
        <v/>
      </c>
      <c r="AC329" s="6" t="str">
        <f t="shared" si="104"/>
        <v/>
      </c>
    </row>
    <row r="330" spans="1:29" x14ac:dyDescent="0.2">
      <c r="A330" t="s">
        <v>414</v>
      </c>
      <c r="B330" s="6">
        <v>330</v>
      </c>
      <c r="C330" s="6">
        <f t="shared" si="84"/>
        <v>16.607773851590114</v>
      </c>
      <c r="D330" s="6">
        <f t="shared" si="91"/>
        <v>1.0859431284442354</v>
      </c>
      <c r="E330" s="6">
        <f t="shared" si="92"/>
        <v>15.521830723145879</v>
      </c>
      <c r="F330" s="6">
        <v>29.25</v>
      </c>
      <c r="G330" s="6">
        <f t="shared" si="85"/>
        <v>-13.33333333333333</v>
      </c>
      <c r="H330" s="6">
        <f t="shared" si="93"/>
        <v>-11.242481980471609</v>
      </c>
      <c r="I330" s="6">
        <f t="shared" si="94"/>
        <v>-2.090851352861721</v>
      </c>
      <c r="J330" s="6">
        <v>3717</v>
      </c>
      <c r="K330" s="6">
        <f t="shared" si="86"/>
        <v>-6.800060177523692</v>
      </c>
      <c r="L330" s="6">
        <f t="shared" si="95"/>
        <v>-3.3748361209544098</v>
      </c>
      <c r="M330" s="6">
        <f t="shared" si="96"/>
        <v>-3.4252240565692822</v>
      </c>
      <c r="N330" s="6">
        <v>1379.83</v>
      </c>
      <c r="O330" s="6">
        <f t="shared" si="87"/>
        <v>-1.8263963002490224</v>
      </c>
      <c r="P330" s="6">
        <f t="shared" si="97"/>
        <v>-1.3509469357493564</v>
      </c>
      <c r="Q330" s="6">
        <f t="shared" si="98"/>
        <v>-0.47544936449966602</v>
      </c>
      <c r="R330" s="6"/>
      <c r="S330" s="6" t="str">
        <f t="shared" si="88"/>
        <v/>
      </c>
      <c r="T330" s="6" t="str">
        <f t="shared" si="99"/>
        <v/>
      </c>
      <c r="U330" s="6" t="str">
        <f t="shared" si="100"/>
        <v/>
      </c>
      <c r="V330" s="6">
        <v>17.25</v>
      </c>
      <c r="W330" s="6">
        <f t="shared" si="89"/>
        <v>8.3542713567839257</v>
      </c>
      <c r="X330" s="6">
        <f t="shared" si="101"/>
        <v>-16.453528696439019</v>
      </c>
      <c r="Y330" s="6">
        <f t="shared" si="102"/>
        <v>24.807800053222945</v>
      </c>
      <c r="Z330" s="6"/>
      <c r="AA330" s="6" t="str">
        <f t="shared" si="90"/>
        <v/>
      </c>
      <c r="AB330" s="6" t="str">
        <f t="shared" si="103"/>
        <v/>
      </c>
      <c r="AC330" s="6" t="str">
        <f t="shared" si="104"/>
        <v/>
      </c>
    </row>
    <row r="331" spans="1:29" x14ac:dyDescent="0.2">
      <c r="A331" t="s">
        <v>415</v>
      </c>
      <c r="B331" s="6">
        <v>313</v>
      </c>
      <c r="C331" s="6">
        <f t="shared" si="84"/>
        <v>28.806584362139919</v>
      </c>
      <c r="D331" s="6">
        <f t="shared" si="91"/>
        <v>2.0671972554028675</v>
      </c>
      <c r="E331" s="6">
        <f t="shared" si="92"/>
        <v>26.739387106737052</v>
      </c>
      <c r="F331" s="6">
        <v>29.25</v>
      </c>
      <c r="G331" s="6">
        <f t="shared" si="85"/>
        <v>-4.8780487804878092</v>
      </c>
      <c r="H331" s="6">
        <f t="shared" si="93"/>
        <v>-11.047847722044869</v>
      </c>
      <c r="I331" s="6">
        <f t="shared" si="94"/>
        <v>6.16979894155706</v>
      </c>
      <c r="J331" s="6">
        <v>3772.1</v>
      </c>
      <c r="K331" s="6">
        <f t="shared" si="86"/>
        <v>-8.5019162664338168</v>
      </c>
      <c r="L331" s="6">
        <f t="shared" si="95"/>
        <v>-2.9740239825453489</v>
      </c>
      <c r="M331" s="6">
        <f t="shared" si="96"/>
        <v>-5.5278922838884679</v>
      </c>
      <c r="N331" s="6">
        <v>1465.72</v>
      </c>
      <c r="O331" s="6">
        <f t="shared" si="87"/>
        <v>1.4268908726039697</v>
      </c>
      <c r="P331" s="6">
        <f t="shared" si="97"/>
        <v>-1.4534002796140564</v>
      </c>
      <c r="Q331" s="6">
        <f t="shared" si="98"/>
        <v>2.8802911522180263</v>
      </c>
      <c r="R331" s="6"/>
      <c r="S331" s="6" t="str">
        <f t="shared" si="88"/>
        <v/>
      </c>
      <c r="T331" s="6" t="str">
        <f t="shared" si="99"/>
        <v/>
      </c>
      <c r="U331" s="6" t="str">
        <f t="shared" si="100"/>
        <v/>
      </c>
      <c r="V331" s="6">
        <v>17.75</v>
      </c>
      <c r="W331" s="6">
        <f t="shared" si="89"/>
        <v>40.316205533596829</v>
      </c>
      <c r="X331" s="6">
        <f t="shared" si="101"/>
        <v>-16.075473526077346</v>
      </c>
      <c r="Y331" s="6">
        <f t="shared" si="102"/>
        <v>56.391679059674175</v>
      </c>
      <c r="Z331" s="6"/>
      <c r="AA331" s="6" t="str">
        <f t="shared" si="90"/>
        <v/>
      </c>
      <c r="AB331" s="6" t="str">
        <f t="shared" si="103"/>
        <v/>
      </c>
      <c r="AC331" s="6" t="str">
        <f t="shared" si="104"/>
        <v/>
      </c>
    </row>
    <row r="332" spans="1:29" x14ac:dyDescent="0.2">
      <c r="A332" t="s">
        <v>416</v>
      </c>
      <c r="B332" s="6">
        <v>339</v>
      </c>
      <c r="C332" s="6">
        <f t="shared" si="84"/>
        <v>40.082644628099182</v>
      </c>
      <c r="D332" s="6">
        <f t="shared" si="91"/>
        <v>3.1990569805674371</v>
      </c>
      <c r="E332" s="6">
        <f t="shared" si="92"/>
        <v>36.883587647531748</v>
      </c>
      <c r="F332" s="6">
        <v>24.75</v>
      </c>
      <c r="G332" s="6">
        <f t="shared" si="85"/>
        <v>-19.512195121951216</v>
      </c>
      <c r="H332" s="6">
        <f t="shared" si="93"/>
        <v>-10.677061702100508</v>
      </c>
      <c r="I332" s="6">
        <f t="shared" si="94"/>
        <v>-8.8351334198507079</v>
      </c>
      <c r="J332" s="6">
        <v>3897.8</v>
      </c>
      <c r="K332" s="6">
        <f t="shared" si="86"/>
        <v>-2.5355071014202757</v>
      </c>
      <c r="L332" s="6">
        <f t="shared" si="95"/>
        <v>-2.8484479297274894</v>
      </c>
      <c r="M332" s="6">
        <f t="shared" si="96"/>
        <v>0.3129408283072137</v>
      </c>
      <c r="N332" s="6">
        <v>1484.24</v>
      </c>
      <c r="O332" s="6">
        <f t="shared" si="87"/>
        <v>3.4601979645894287</v>
      </c>
      <c r="P332" s="6">
        <f t="shared" si="97"/>
        <v>-1.5440885082568414</v>
      </c>
      <c r="Q332" s="6">
        <f t="shared" si="98"/>
        <v>5.0042864728462702</v>
      </c>
      <c r="R332" s="6"/>
      <c r="S332" s="6" t="str">
        <f t="shared" si="88"/>
        <v/>
      </c>
      <c r="T332" s="6" t="str">
        <f t="shared" si="99"/>
        <v/>
      </c>
      <c r="U332" s="6" t="str">
        <f t="shared" si="100"/>
        <v/>
      </c>
      <c r="V332" s="6">
        <v>17.899999999999999</v>
      </c>
      <c r="W332" s="6">
        <f t="shared" si="89"/>
        <v>50.420168067226868</v>
      </c>
      <c r="X332" s="6">
        <f t="shared" si="101"/>
        <v>-15.10780426235744</v>
      </c>
      <c r="Y332" s="6">
        <f t="shared" si="102"/>
        <v>65.527972329584316</v>
      </c>
      <c r="Z332" s="6"/>
      <c r="AA332" s="6" t="str">
        <f t="shared" si="90"/>
        <v/>
      </c>
      <c r="AB332" s="6" t="str">
        <f t="shared" si="103"/>
        <v/>
      </c>
      <c r="AC332" s="6" t="str">
        <f t="shared" si="104"/>
        <v/>
      </c>
    </row>
    <row r="333" spans="1:29" x14ac:dyDescent="0.2">
      <c r="A333" t="s">
        <v>417</v>
      </c>
      <c r="B333" s="6">
        <v>341</v>
      </c>
      <c r="C333" s="6">
        <f t="shared" si="84"/>
        <v>43.27731092436975</v>
      </c>
      <c r="D333" s="6">
        <f t="shared" si="91"/>
        <v>4.4045279250542784</v>
      </c>
      <c r="E333" s="6">
        <f t="shared" si="92"/>
        <v>38.872782999315476</v>
      </c>
      <c r="F333" s="6">
        <v>24.75</v>
      </c>
      <c r="G333" s="6">
        <f t="shared" si="85"/>
        <v>-19.512195121951216</v>
      </c>
      <c r="H333" s="6">
        <f t="shared" si="93"/>
        <v>-10.611153730936635</v>
      </c>
      <c r="I333" s="6">
        <f t="shared" si="94"/>
        <v>-8.90104139101458</v>
      </c>
      <c r="J333" s="6">
        <v>4435.7</v>
      </c>
      <c r="K333" s="6">
        <f t="shared" si="86"/>
        <v>9.7049439814013141</v>
      </c>
      <c r="L333" s="6">
        <f t="shared" si="95"/>
        <v>-2.6787243375612744</v>
      </c>
      <c r="M333" s="6">
        <f t="shared" si="96"/>
        <v>12.383668318962588</v>
      </c>
      <c r="N333" s="6">
        <v>1520.44</v>
      </c>
      <c r="O333" s="6">
        <f t="shared" si="87"/>
        <v>7.1683324640173796</v>
      </c>
      <c r="P333" s="6">
        <f t="shared" si="97"/>
        <v>-1.681744539303317</v>
      </c>
      <c r="Q333" s="6">
        <f t="shared" si="98"/>
        <v>8.8500770033206972</v>
      </c>
      <c r="R333" s="6"/>
      <c r="S333" s="6" t="str">
        <f t="shared" si="88"/>
        <v/>
      </c>
      <c r="T333" s="6" t="str">
        <f t="shared" si="99"/>
        <v/>
      </c>
      <c r="U333" s="6" t="str">
        <f t="shared" si="100"/>
        <v/>
      </c>
      <c r="V333" s="6">
        <v>18.399999999999999</v>
      </c>
      <c r="W333" s="6">
        <f t="shared" si="89"/>
        <v>34.110787172011634</v>
      </c>
      <c r="X333" s="6">
        <f t="shared" si="101"/>
        <v>-13.933321165349236</v>
      </c>
      <c r="Y333" s="6">
        <f t="shared" si="102"/>
        <v>48.044108337360868</v>
      </c>
      <c r="Z333" s="6"/>
      <c r="AA333" s="6" t="str">
        <f t="shared" si="90"/>
        <v/>
      </c>
      <c r="AB333" s="6" t="str">
        <f t="shared" si="103"/>
        <v/>
      </c>
      <c r="AC333" s="6" t="str">
        <f t="shared" si="104"/>
        <v/>
      </c>
    </row>
    <row r="334" spans="1:29" x14ac:dyDescent="0.2">
      <c r="A334" t="s">
        <v>418</v>
      </c>
      <c r="B334" s="6">
        <v>342</v>
      </c>
      <c r="C334" s="6">
        <f t="shared" si="84"/>
        <v>40.740740740740748</v>
      </c>
      <c r="D334" s="6">
        <f t="shared" si="91"/>
        <v>5.6282194564613599</v>
      </c>
      <c r="E334" s="6">
        <f t="shared" si="92"/>
        <v>35.112521284279389</v>
      </c>
      <c r="F334" s="6">
        <v>24.75</v>
      </c>
      <c r="G334" s="6">
        <f t="shared" si="85"/>
        <v>-19.512195121951216</v>
      </c>
      <c r="H334" s="6">
        <f t="shared" si="93"/>
        <v>-10.545245759772767</v>
      </c>
      <c r="I334" s="6">
        <f t="shared" si="94"/>
        <v>-8.9669493621784486</v>
      </c>
      <c r="J334" s="6">
        <v>4435.7</v>
      </c>
      <c r="K334" s="6">
        <f t="shared" si="86"/>
        <v>8.5213093898321546</v>
      </c>
      <c r="L334" s="6">
        <f t="shared" si="95"/>
        <v>-2.4044673585938114</v>
      </c>
      <c r="M334" s="6">
        <f t="shared" si="96"/>
        <v>10.925776748425966</v>
      </c>
      <c r="N334" s="6">
        <v>1571.87</v>
      </c>
      <c r="O334" s="6">
        <f t="shared" si="87"/>
        <v>11.232432738440611</v>
      </c>
      <c r="P334" s="6">
        <f t="shared" si="97"/>
        <v>-1.8569662573369712</v>
      </c>
      <c r="Q334" s="6">
        <f t="shared" si="98"/>
        <v>13.089398995777582</v>
      </c>
      <c r="R334" s="6"/>
      <c r="S334" s="6" t="str">
        <f t="shared" si="88"/>
        <v/>
      </c>
      <c r="T334" s="6" t="str">
        <f t="shared" si="99"/>
        <v/>
      </c>
      <c r="U334" s="6" t="str">
        <f t="shared" si="100"/>
        <v/>
      </c>
      <c r="V334" s="6">
        <v>18.72</v>
      </c>
      <c r="W334" s="6">
        <f t="shared" si="89"/>
        <v>57.974683544303794</v>
      </c>
      <c r="X334" s="6">
        <f t="shared" si="101"/>
        <v>-12.99063779660222</v>
      </c>
      <c r="Y334" s="6">
        <f t="shared" si="102"/>
        <v>70.965321340906016</v>
      </c>
      <c r="Z334" s="6"/>
      <c r="AA334" s="6" t="str">
        <f t="shared" si="90"/>
        <v/>
      </c>
      <c r="AB334" s="6" t="str">
        <f t="shared" si="103"/>
        <v/>
      </c>
      <c r="AC334" s="6" t="str">
        <f t="shared" si="104"/>
        <v/>
      </c>
    </row>
    <row r="335" spans="1:29" x14ac:dyDescent="0.2">
      <c r="A335" t="s">
        <v>419</v>
      </c>
      <c r="B335" s="6">
        <v>300</v>
      </c>
      <c r="C335" s="6">
        <f t="shared" si="84"/>
        <v>35.746606334841637</v>
      </c>
      <c r="D335" s="6">
        <f t="shared" si="91"/>
        <v>6.8987122839717339</v>
      </c>
      <c r="E335" s="6">
        <f t="shared" si="92"/>
        <v>28.847894050869904</v>
      </c>
      <c r="F335" s="6">
        <v>27</v>
      </c>
      <c r="G335" s="6">
        <f t="shared" si="85"/>
        <v>-12.195121951219512</v>
      </c>
      <c r="H335" s="6">
        <f t="shared" si="93"/>
        <v>-10.479337788608897</v>
      </c>
      <c r="I335" s="6">
        <f t="shared" si="94"/>
        <v>-1.7157841626106158</v>
      </c>
      <c r="J335" s="6">
        <v>4753.2</v>
      </c>
      <c r="K335" s="6">
        <f t="shared" si="86"/>
        <v>21.534134492457156</v>
      </c>
      <c r="L335" s="6">
        <f t="shared" si="95"/>
        <v>-2.1050715466244103</v>
      </c>
      <c r="M335" s="6">
        <f t="shared" si="96"/>
        <v>23.639206039081564</v>
      </c>
      <c r="N335" s="6">
        <v>1694.62</v>
      </c>
      <c r="O335" s="6">
        <f t="shared" si="87"/>
        <v>26.05965930223908</v>
      </c>
      <c r="P335" s="6">
        <f t="shared" si="97"/>
        <v>-2.2659059599015103</v>
      </c>
      <c r="Q335" s="6">
        <f t="shared" si="98"/>
        <v>28.325565262140589</v>
      </c>
      <c r="R335" s="6"/>
      <c r="S335" s="6" t="str">
        <f t="shared" si="88"/>
        <v/>
      </c>
      <c r="T335" s="6" t="str">
        <f t="shared" si="99"/>
        <v/>
      </c>
      <c r="U335" s="6" t="str">
        <f t="shared" si="100"/>
        <v/>
      </c>
      <c r="V335" s="6">
        <v>19.62</v>
      </c>
      <c r="W335" s="6">
        <f t="shared" si="89"/>
        <v>103.95010395010398</v>
      </c>
      <c r="X335" s="6">
        <f t="shared" si="101"/>
        <v>-11.604823548466962</v>
      </c>
      <c r="Y335" s="6">
        <f t="shared" si="102"/>
        <v>115.55492749857095</v>
      </c>
      <c r="Z335" s="6"/>
      <c r="AA335" s="6" t="str">
        <f t="shared" si="90"/>
        <v/>
      </c>
      <c r="AB335" s="6" t="str">
        <f t="shared" si="103"/>
        <v/>
      </c>
      <c r="AC335" s="6" t="str">
        <f t="shared" si="104"/>
        <v/>
      </c>
    </row>
    <row r="336" spans="1:29" x14ac:dyDescent="0.2">
      <c r="A336" t="s">
        <v>420</v>
      </c>
      <c r="B336" s="6">
        <v>308</v>
      </c>
      <c r="C336" s="6">
        <f t="shared" si="84"/>
        <v>56.345177664974621</v>
      </c>
      <c r="D336" s="6">
        <f t="shared" si="91"/>
        <v>7.6236391083466506</v>
      </c>
      <c r="E336" s="6">
        <f t="shared" si="92"/>
        <v>48.721538556627969</v>
      </c>
      <c r="F336" s="6">
        <v>27</v>
      </c>
      <c r="G336" s="6">
        <f t="shared" si="85"/>
        <v>-12.195121951219512</v>
      </c>
      <c r="H336" s="6">
        <f t="shared" si="93"/>
        <v>-9.9519186837219298</v>
      </c>
      <c r="I336" s="6">
        <f t="shared" si="94"/>
        <v>-2.2432032674975826</v>
      </c>
      <c r="J336" s="6">
        <v>5306.5</v>
      </c>
      <c r="K336" s="6">
        <f t="shared" si="86"/>
        <v>39.373325629038192</v>
      </c>
      <c r="L336" s="6">
        <f t="shared" si="95"/>
        <v>-1.5477270050330916</v>
      </c>
      <c r="M336" s="6">
        <f t="shared" si="96"/>
        <v>40.92105263407128</v>
      </c>
      <c r="N336" s="6">
        <v>1756.31</v>
      </c>
      <c r="O336" s="6">
        <f t="shared" si="87"/>
        <v>34.779372266134615</v>
      </c>
      <c r="P336" s="6">
        <f t="shared" si="97"/>
        <v>-2.1038347560156825</v>
      </c>
      <c r="Q336" s="6">
        <f t="shared" si="98"/>
        <v>36.883207022150295</v>
      </c>
      <c r="R336" s="6"/>
      <c r="S336" s="6" t="str">
        <f t="shared" si="88"/>
        <v/>
      </c>
      <c r="T336" s="6" t="str">
        <f t="shared" si="99"/>
        <v/>
      </c>
      <c r="U336" s="6" t="str">
        <f t="shared" si="100"/>
        <v/>
      </c>
      <c r="V336" s="6">
        <v>18.82</v>
      </c>
      <c r="W336" s="6">
        <f t="shared" si="89"/>
        <v>37.372262773722632</v>
      </c>
      <c r="X336" s="6">
        <f t="shared" si="101"/>
        <v>-9.2841487927223394</v>
      </c>
      <c r="Y336" s="6">
        <f t="shared" si="102"/>
        <v>46.656411566444973</v>
      </c>
      <c r="Z336" s="6"/>
      <c r="AA336" s="6" t="str">
        <f t="shared" si="90"/>
        <v/>
      </c>
      <c r="AB336" s="6" t="str">
        <f t="shared" si="103"/>
        <v/>
      </c>
      <c r="AC336" s="6" t="str">
        <f t="shared" si="104"/>
        <v/>
      </c>
    </row>
    <row r="337" spans="1:29" x14ac:dyDescent="0.2">
      <c r="A337" t="s">
        <v>421</v>
      </c>
      <c r="B337" s="6">
        <v>335</v>
      </c>
      <c r="C337" s="6">
        <f t="shared" ref="C337:C400" si="105">IF(OR(B337="",B325=""),"",(B337/B325-1)*100)</f>
        <v>61.835748792270536</v>
      </c>
      <c r="D337" s="6">
        <f t="shared" si="91"/>
        <v>7.9399633063332864</v>
      </c>
      <c r="E337" s="6">
        <f t="shared" si="92"/>
        <v>53.895785485937253</v>
      </c>
      <c r="F337" s="6">
        <v>27</v>
      </c>
      <c r="G337" s="6">
        <f t="shared" ref="G337:G400" si="106">IF(OR(F337="",F325=""),"",(F337/F325-1)*100)</f>
        <v>-12.195121951219512</v>
      </c>
      <c r="H337" s="6">
        <f t="shared" si="93"/>
        <v>-9.4244995788349613</v>
      </c>
      <c r="I337" s="6">
        <f t="shared" si="94"/>
        <v>-2.7706223723845511</v>
      </c>
      <c r="J337" s="6">
        <v>5333</v>
      </c>
      <c r="K337" s="6">
        <f t="shared" ref="K337:K400" si="107">IF(OR(J337="",J325=""),"",(J337/J325-1)*100)</f>
        <v>43.221613492319257</v>
      </c>
      <c r="L337" s="6">
        <f t="shared" si="95"/>
        <v>-0.68526200342976529</v>
      </c>
      <c r="M337" s="6">
        <f t="shared" si="96"/>
        <v>43.90687549574902</v>
      </c>
      <c r="N337" s="6">
        <v>1811.01</v>
      </c>
      <c r="O337" s="6">
        <f t="shared" ref="O337:O400" si="108">IF(OR(N337="",N325=""),"",(N337/N325-1)*100)</f>
        <v>34.447661469933188</v>
      </c>
      <c r="P337" s="6">
        <f t="shared" si="97"/>
        <v>-1.6495308915608886</v>
      </c>
      <c r="Q337" s="6">
        <f t="shared" si="98"/>
        <v>36.097192361494074</v>
      </c>
      <c r="R337" s="6"/>
      <c r="S337" s="6" t="str">
        <f t="shared" ref="S337:S400" si="109">IF(OR(R337="",R325=""),"",(R337/R325-1)*100)</f>
        <v/>
      </c>
      <c r="T337" s="6" t="str">
        <f t="shared" si="99"/>
        <v/>
      </c>
      <c r="U337" s="6" t="str">
        <f t="shared" si="100"/>
        <v/>
      </c>
      <c r="V337" s="6">
        <v>18.28</v>
      </c>
      <c r="W337" s="6">
        <f t="shared" ref="W337:W400" si="110">IF(OR(V337="",V325=""),"",(V337/V325-1)*100)</f>
        <v>29.82954545454546</v>
      </c>
      <c r="X337" s="6">
        <f t="shared" si="101"/>
        <v>-8.391818467354712</v>
      </c>
      <c r="Y337" s="6">
        <f t="shared" si="102"/>
        <v>38.221363921900171</v>
      </c>
      <c r="Z337" s="6"/>
      <c r="AA337" s="6" t="str">
        <f t="shared" ref="AA337:AA400" si="111">IF(OR(Z337="",Z325=""),"",(Z337/Z325-1)*100)</f>
        <v/>
      </c>
      <c r="AB337" s="6" t="str">
        <f t="shared" si="103"/>
        <v/>
      </c>
      <c r="AC337" s="6" t="str">
        <f t="shared" si="104"/>
        <v/>
      </c>
    </row>
    <row r="338" spans="1:29" x14ac:dyDescent="0.2">
      <c r="A338" t="s">
        <v>422</v>
      </c>
      <c r="B338" s="6">
        <v>353</v>
      </c>
      <c r="C338" s="6">
        <f t="shared" si="105"/>
        <v>29.779411764705888</v>
      </c>
      <c r="D338" s="6">
        <f t="shared" si="91"/>
        <v>7.7753571956459373</v>
      </c>
      <c r="E338" s="6">
        <f t="shared" si="92"/>
        <v>22.004054569059949</v>
      </c>
      <c r="F338" s="6">
        <v>27</v>
      </c>
      <c r="G338" s="6">
        <f t="shared" si="106"/>
        <v>-12.195121951219512</v>
      </c>
      <c r="H338" s="6">
        <f t="shared" si="93"/>
        <v>-8.8970804739479892</v>
      </c>
      <c r="I338" s="6">
        <f t="shared" si="94"/>
        <v>-3.2980414772715232</v>
      </c>
      <c r="J338" s="6">
        <v>5692.3</v>
      </c>
      <c r="K338" s="6">
        <f t="shared" si="107"/>
        <v>56.201635475550191</v>
      </c>
      <c r="L338" s="6">
        <f t="shared" si="95"/>
        <v>-7.4959739879163198E-2</v>
      </c>
      <c r="M338" s="6">
        <f t="shared" si="96"/>
        <v>56.276595215429353</v>
      </c>
      <c r="N338" s="6">
        <v>1967.2</v>
      </c>
      <c r="O338" s="6">
        <f t="shared" si="108"/>
        <v>49.392466585662206</v>
      </c>
      <c r="P338" s="6">
        <f t="shared" si="97"/>
        <v>-1.1278638000948928</v>
      </c>
      <c r="Q338" s="6">
        <f t="shared" si="98"/>
        <v>50.520330385757099</v>
      </c>
      <c r="R338" s="6"/>
      <c r="S338" s="6" t="str">
        <f t="shared" si="109"/>
        <v/>
      </c>
      <c r="T338" s="6" t="str">
        <f t="shared" si="99"/>
        <v/>
      </c>
      <c r="U338" s="6" t="str">
        <f t="shared" si="100"/>
        <v/>
      </c>
      <c r="V338" s="6">
        <v>18.57</v>
      </c>
      <c r="W338" s="6">
        <f t="shared" si="110"/>
        <v>33.118279569892486</v>
      </c>
      <c r="X338" s="6">
        <f t="shared" si="101"/>
        <v>-7.5587372961792569</v>
      </c>
      <c r="Y338" s="6">
        <f t="shared" si="102"/>
        <v>40.677016866071746</v>
      </c>
      <c r="Z338" s="6"/>
      <c r="AA338" s="6" t="str">
        <f t="shared" si="111"/>
        <v/>
      </c>
      <c r="AB338" s="6" t="str">
        <f t="shared" si="103"/>
        <v/>
      </c>
      <c r="AC338" s="6" t="str">
        <f t="shared" si="104"/>
        <v/>
      </c>
    </row>
    <row r="339" spans="1:29" x14ac:dyDescent="0.2">
      <c r="A339" t="s">
        <v>423</v>
      </c>
      <c r="B339" s="6">
        <v>368</v>
      </c>
      <c r="C339" s="6">
        <f t="shared" si="105"/>
        <v>21.452145214521458</v>
      </c>
      <c r="D339" s="6">
        <f t="shared" si="91"/>
        <v>6.5413015135139316</v>
      </c>
      <c r="E339" s="6">
        <f t="shared" si="92"/>
        <v>14.910843701007526</v>
      </c>
      <c r="F339" s="6">
        <v>29</v>
      </c>
      <c r="G339" s="6">
        <f t="shared" si="106"/>
        <v>-5.6910569105691033</v>
      </c>
      <c r="H339" s="6">
        <f t="shared" si="93"/>
        <v>-8.3696613690610189</v>
      </c>
      <c r="I339" s="6">
        <f t="shared" si="94"/>
        <v>2.6786044584919155</v>
      </c>
      <c r="J339" s="6">
        <v>5937</v>
      </c>
      <c r="K339" s="6">
        <f t="shared" si="107"/>
        <v>63.014827018121913</v>
      </c>
      <c r="L339" s="6">
        <f t="shared" si="95"/>
        <v>0.69285859994376764</v>
      </c>
      <c r="M339" s="6">
        <f t="shared" si="96"/>
        <v>62.321968418178145</v>
      </c>
      <c r="N339" s="6">
        <v>2523.9</v>
      </c>
      <c r="O339" s="6">
        <f t="shared" si="108"/>
        <v>93.669429097605899</v>
      </c>
      <c r="P339" s="6">
        <f t="shared" si="97"/>
        <v>-6.2064209608175748E-2</v>
      </c>
      <c r="Q339" s="6">
        <f t="shared" si="98"/>
        <v>93.73149330721408</v>
      </c>
      <c r="R339" s="6"/>
      <c r="S339" s="6" t="str">
        <f t="shared" si="109"/>
        <v/>
      </c>
      <c r="T339" s="6" t="str">
        <f t="shared" si="99"/>
        <v/>
      </c>
      <c r="U339" s="6" t="str">
        <f t="shared" si="100"/>
        <v/>
      </c>
      <c r="V339" s="6">
        <v>17.75</v>
      </c>
      <c r="W339" s="6">
        <f t="shared" si="110"/>
        <v>22.837370242214551</v>
      </c>
      <c r="X339" s="6">
        <f t="shared" si="101"/>
        <v>-6.6122110701881809</v>
      </c>
      <c r="Y339" s="6">
        <f t="shared" si="102"/>
        <v>29.449581312402731</v>
      </c>
      <c r="Z339" s="6"/>
      <c r="AA339" s="6" t="str">
        <f t="shared" si="111"/>
        <v/>
      </c>
      <c r="AB339" s="6" t="str">
        <f t="shared" si="103"/>
        <v/>
      </c>
      <c r="AC339" s="6" t="str">
        <f t="shared" si="104"/>
        <v/>
      </c>
    </row>
    <row r="340" spans="1:29" x14ac:dyDescent="0.2">
      <c r="A340" t="s">
        <v>424</v>
      </c>
      <c r="B340" s="6">
        <v>432</v>
      </c>
      <c r="C340" s="6">
        <f t="shared" si="105"/>
        <v>47.44027303754266</v>
      </c>
      <c r="D340" s="6">
        <f t="shared" si="91"/>
        <v>5.2674569329232748</v>
      </c>
      <c r="E340" s="6">
        <f t="shared" si="92"/>
        <v>42.172816104619386</v>
      </c>
      <c r="F340" s="6">
        <v>31</v>
      </c>
      <c r="G340" s="6">
        <f t="shared" si="106"/>
        <v>5.9829059829059839</v>
      </c>
      <c r="H340" s="6">
        <f t="shared" si="93"/>
        <v>-7.603716872716217</v>
      </c>
      <c r="I340" s="6">
        <f t="shared" si="94"/>
        <v>13.586622855622201</v>
      </c>
      <c r="J340" s="6">
        <v>7661.1</v>
      </c>
      <c r="K340" s="6">
        <f t="shared" si="107"/>
        <v>114.5065098698026</v>
      </c>
      <c r="L340" s="6">
        <f t="shared" si="95"/>
        <v>1.3070163812251672</v>
      </c>
      <c r="M340" s="6">
        <f t="shared" si="96"/>
        <v>113.19949348857743</v>
      </c>
      <c r="N340" s="6">
        <v>2868.9</v>
      </c>
      <c r="O340" s="6">
        <f t="shared" si="108"/>
        <v>114.80233602875116</v>
      </c>
      <c r="P340" s="6">
        <f t="shared" si="97"/>
        <v>1.9683116753701715</v>
      </c>
      <c r="Q340" s="6">
        <f t="shared" si="98"/>
        <v>112.83402435338098</v>
      </c>
      <c r="R340" s="6"/>
      <c r="S340" s="6" t="str">
        <f t="shared" si="109"/>
        <v/>
      </c>
      <c r="T340" s="6" t="str">
        <f t="shared" si="99"/>
        <v/>
      </c>
      <c r="U340" s="6" t="str">
        <f t="shared" si="100"/>
        <v/>
      </c>
      <c r="V340" s="6">
        <v>16.63</v>
      </c>
      <c r="W340" s="6">
        <f t="shared" si="110"/>
        <v>6.0586734693877542</v>
      </c>
      <c r="X340" s="6">
        <f t="shared" si="101"/>
        <v>-5.9030484544748711</v>
      </c>
      <c r="Y340" s="6">
        <f t="shared" si="102"/>
        <v>11.961721923862626</v>
      </c>
      <c r="Z340" s="6"/>
      <c r="AA340" s="6" t="str">
        <f t="shared" si="111"/>
        <v/>
      </c>
      <c r="AB340" s="6" t="str">
        <f t="shared" si="103"/>
        <v/>
      </c>
      <c r="AC340" s="6" t="str">
        <f t="shared" si="104"/>
        <v/>
      </c>
    </row>
    <row r="341" spans="1:29" x14ac:dyDescent="0.2">
      <c r="A341" t="s">
        <v>425</v>
      </c>
      <c r="B341" s="6">
        <v>486</v>
      </c>
      <c r="C341" s="6">
        <f t="shared" si="105"/>
        <v>38.857142857142854</v>
      </c>
      <c r="D341" s="6">
        <f t="shared" si="91"/>
        <v>4.4882870892905196</v>
      </c>
      <c r="E341" s="6">
        <f t="shared" si="92"/>
        <v>34.368855767852338</v>
      </c>
      <c r="F341" s="6">
        <v>31</v>
      </c>
      <c r="G341" s="6">
        <f t="shared" si="106"/>
        <v>5.9829059829059839</v>
      </c>
      <c r="H341" s="6">
        <f t="shared" si="93"/>
        <v>-6.735025379024723</v>
      </c>
      <c r="I341" s="6">
        <f t="shared" si="94"/>
        <v>12.717931361930706</v>
      </c>
      <c r="J341" s="6">
        <v>8073.3</v>
      </c>
      <c r="K341" s="6">
        <f t="shared" si="107"/>
        <v>129.01679337342563</v>
      </c>
      <c r="L341" s="6">
        <f t="shared" si="95"/>
        <v>3.063019042538158</v>
      </c>
      <c r="M341" s="6">
        <f t="shared" si="96"/>
        <v>125.95377433088747</v>
      </c>
      <c r="N341" s="6">
        <v>2663.2</v>
      </c>
      <c r="O341" s="6">
        <f t="shared" si="108"/>
        <v>97.860326894502208</v>
      </c>
      <c r="P341" s="6">
        <f t="shared" si="97"/>
        <v>4.4420480066778154</v>
      </c>
      <c r="Q341" s="6">
        <f t="shared" si="98"/>
        <v>93.418278887824385</v>
      </c>
      <c r="R341" s="6"/>
      <c r="S341" s="6" t="str">
        <f t="shared" si="109"/>
        <v/>
      </c>
      <c r="T341" s="6" t="str">
        <f t="shared" si="99"/>
        <v/>
      </c>
      <c r="U341" s="6" t="str">
        <f t="shared" si="100"/>
        <v/>
      </c>
      <c r="V341" s="6">
        <v>16.47</v>
      </c>
      <c r="W341" s="6">
        <f t="shared" si="110"/>
        <v>-8.8544548976203785</v>
      </c>
      <c r="X341" s="6">
        <f t="shared" si="101"/>
        <v>-5.6007324563803706</v>
      </c>
      <c r="Y341" s="6">
        <f t="shared" si="102"/>
        <v>-3.2537224412400079</v>
      </c>
      <c r="Z341" s="6"/>
      <c r="AA341" s="6" t="str">
        <f t="shared" si="111"/>
        <v/>
      </c>
      <c r="AB341" s="6" t="str">
        <f t="shared" si="103"/>
        <v/>
      </c>
      <c r="AC341" s="6" t="str">
        <f t="shared" si="104"/>
        <v/>
      </c>
    </row>
    <row r="342" spans="1:29" x14ac:dyDescent="0.2">
      <c r="A342" t="s">
        <v>426</v>
      </c>
      <c r="B342" s="6">
        <v>403</v>
      </c>
      <c r="C342" s="6">
        <f t="shared" si="105"/>
        <v>22.121212121212118</v>
      </c>
      <c r="D342" s="6">
        <f t="shared" si="91"/>
        <v>2.4808306120759744</v>
      </c>
      <c r="E342" s="6">
        <f t="shared" si="92"/>
        <v>19.640381509136144</v>
      </c>
      <c r="F342" s="6">
        <v>31</v>
      </c>
      <c r="G342" s="6">
        <f t="shared" si="106"/>
        <v>5.9829059829059839</v>
      </c>
      <c r="H342" s="6">
        <f t="shared" si="93"/>
        <v>-5.9441993338382133</v>
      </c>
      <c r="I342" s="6">
        <f t="shared" si="94"/>
        <v>11.927105316744196</v>
      </c>
      <c r="J342" s="6">
        <v>8666.9</v>
      </c>
      <c r="K342" s="6">
        <f t="shared" si="107"/>
        <v>133.16922249125639</v>
      </c>
      <c r="L342" s="6">
        <f t="shared" si="95"/>
        <v>5.2715979888493738</v>
      </c>
      <c r="M342" s="6">
        <f t="shared" si="96"/>
        <v>127.89762450240701</v>
      </c>
      <c r="N342" s="6">
        <v>2330.1999999999998</v>
      </c>
      <c r="O342" s="6">
        <f t="shared" si="108"/>
        <v>68.875876013711832</v>
      </c>
      <c r="P342" s="6">
        <f t="shared" si="97"/>
        <v>6.7408404426558777</v>
      </c>
      <c r="Q342" s="6">
        <f t="shared" si="98"/>
        <v>62.135035571055951</v>
      </c>
      <c r="R342" s="6"/>
      <c r="S342" s="6" t="str">
        <f t="shared" si="109"/>
        <v/>
      </c>
      <c r="T342" s="6" t="str">
        <f t="shared" si="99"/>
        <v/>
      </c>
      <c r="U342" s="6" t="str">
        <f t="shared" si="100"/>
        <v/>
      </c>
      <c r="V342" s="6">
        <v>15.85</v>
      </c>
      <c r="W342" s="6">
        <f t="shared" si="110"/>
        <v>-8.1159420289855113</v>
      </c>
      <c r="X342" s="6">
        <f t="shared" si="101"/>
        <v>-5.6757657914891695</v>
      </c>
      <c r="Y342" s="6">
        <f t="shared" si="102"/>
        <v>-2.4401762374963418</v>
      </c>
      <c r="Z342" s="6"/>
      <c r="AA342" s="6" t="str">
        <f t="shared" si="111"/>
        <v/>
      </c>
      <c r="AB342" s="6" t="str">
        <f t="shared" si="103"/>
        <v/>
      </c>
      <c r="AC342" s="6" t="str">
        <f t="shared" si="104"/>
        <v/>
      </c>
    </row>
    <row r="343" spans="1:29" x14ac:dyDescent="0.2">
      <c r="A343" t="s">
        <v>427</v>
      </c>
      <c r="B343" s="6">
        <v>381</v>
      </c>
      <c r="C343" s="6">
        <f t="shared" si="105"/>
        <v>21.725239616613411</v>
      </c>
      <c r="D343" s="6">
        <f t="shared" si="91"/>
        <v>5.7947145255182374E-2</v>
      </c>
      <c r="E343" s="6">
        <f t="shared" si="92"/>
        <v>21.66729247135823</v>
      </c>
      <c r="F343" s="6">
        <v>33</v>
      </c>
      <c r="G343" s="6">
        <f t="shared" si="106"/>
        <v>12.820512820512819</v>
      </c>
      <c r="H343" s="6">
        <f t="shared" si="93"/>
        <v>-5.1533732886517045</v>
      </c>
      <c r="I343" s="6">
        <f t="shared" si="94"/>
        <v>17.973886109164525</v>
      </c>
      <c r="J343" s="6">
        <v>15496.8</v>
      </c>
      <c r="K343" s="6">
        <f t="shared" si="107"/>
        <v>310.82686036955539</v>
      </c>
      <c r="L343" s="6">
        <f t="shared" si="95"/>
        <v>7.843151814637781</v>
      </c>
      <c r="M343" s="6">
        <f t="shared" si="96"/>
        <v>302.9837085549176</v>
      </c>
      <c r="N343" s="6">
        <v>2359.3000000000002</v>
      </c>
      <c r="O343" s="6">
        <f t="shared" si="108"/>
        <v>60.965259394700233</v>
      </c>
      <c r="P343" s="6">
        <f t="shared" si="97"/>
        <v>8.4509356197150449</v>
      </c>
      <c r="Q343" s="6">
        <f t="shared" si="98"/>
        <v>52.514323774985186</v>
      </c>
      <c r="R343" s="6"/>
      <c r="S343" s="6" t="str">
        <f t="shared" si="109"/>
        <v/>
      </c>
      <c r="T343" s="6" t="str">
        <f t="shared" si="99"/>
        <v/>
      </c>
      <c r="U343" s="6" t="str">
        <f t="shared" si="100"/>
        <v/>
      </c>
      <c r="V343" s="6">
        <v>14.78</v>
      </c>
      <c r="W343" s="6">
        <f t="shared" si="110"/>
        <v>-16.732394366197191</v>
      </c>
      <c r="X343" s="6">
        <f t="shared" si="101"/>
        <v>-5.8512890026306508</v>
      </c>
      <c r="Y343" s="6">
        <f t="shared" si="102"/>
        <v>-10.88110536356654</v>
      </c>
      <c r="Z343" s="6"/>
      <c r="AA343" s="6" t="str">
        <f t="shared" si="111"/>
        <v/>
      </c>
      <c r="AB343" s="6" t="str">
        <f t="shared" si="103"/>
        <v/>
      </c>
      <c r="AC343" s="6" t="str">
        <f t="shared" si="104"/>
        <v/>
      </c>
    </row>
    <row r="344" spans="1:29" x14ac:dyDescent="0.2">
      <c r="A344" t="s">
        <v>428</v>
      </c>
      <c r="B344" s="6">
        <v>403</v>
      </c>
      <c r="C344" s="6">
        <f t="shared" si="105"/>
        <v>18.87905604719764</v>
      </c>
      <c r="D344" s="6">
        <f t="shared" si="91"/>
        <v>-2.0682307723365621</v>
      </c>
      <c r="E344" s="6">
        <f t="shared" si="92"/>
        <v>20.947286819534202</v>
      </c>
      <c r="F344" s="6">
        <v>33</v>
      </c>
      <c r="G344" s="6">
        <f t="shared" si="106"/>
        <v>33.333333333333329</v>
      </c>
      <c r="H344" s="6">
        <f t="shared" si="93"/>
        <v>-4.2200971010150541</v>
      </c>
      <c r="I344" s="6">
        <f t="shared" si="94"/>
        <v>37.553430434348385</v>
      </c>
      <c r="J344" s="6">
        <v>18011.8</v>
      </c>
      <c r="K344" s="6">
        <f t="shared" si="107"/>
        <v>362.10169839396576</v>
      </c>
      <c r="L344" s="6">
        <f t="shared" si="95"/>
        <v>14.340786917718583</v>
      </c>
      <c r="M344" s="6">
        <f t="shared" si="96"/>
        <v>347.7609114762472</v>
      </c>
      <c r="N344" s="6">
        <v>2286.3000000000002</v>
      </c>
      <c r="O344" s="6">
        <f t="shared" si="108"/>
        <v>54.038430442516038</v>
      </c>
      <c r="P344" s="6">
        <f t="shared" si="97"/>
        <v>9.8468771154969037</v>
      </c>
      <c r="Q344" s="6">
        <f t="shared" si="98"/>
        <v>44.191553327019136</v>
      </c>
      <c r="R344" s="6"/>
      <c r="S344" s="6" t="str">
        <f t="shared" si="109"/>
        <v/>
      </c>
      <c r="T344" s="6" t="str">
        <f t="shared" si="99"/>
        <v/>
      </c>
      <c r="U344" s="6" t="str">
        <f t="shared" si="100"/>
        <v/>
      </c>
      <c r="V344" s="6">
        <v>16.47</v>
      </c>
      <c r="W344" s="6">
        <f t="shared" si="110"/>
        <v>-7.988826815642458</v>
      </c>
      <c r="X344" s="6">
        <f t="shared" si="101"/>
        <v>-6.2888930283859317</v>
      </c>
      <c r="Y344" s="6">
        <f t="shared" si="102"/>
        <v>-1.6999337872565263</v>
      </c>
      <c r="Z344" s="6"/>
      <c r="AA344" s="6" t="str">
        <f t="shared" si="111"/>
        <v/>
      </c>
      <c r="AB344" s="6" t="str">
        <f t="shared" si="103"/>
        <v/>
      </c>
      <c r="AC344" s="6" t="str">
        <f t="shared" si="104"/>
        <v/>
      </c>
    </row>
    <row r="345" spans="1:29" x14ac:dyDescent="0.2">
      <c r="A345" t="s">
        <v>429</v>
      </c>
      <c r="B345" s="6">
        <v>422</v>
      </c>
      <c r="C345" s="6">
        <f t="shared" si="105"/>
        <v>23.75366568914956</v>
      </c>
      <c r="D345" s="6">
        <f t="shared" si="91"/>
        <v>-3.7781628235237252</v>
      </c>
      <c r="E345" s="6">
        <f t="shared" si="92"/>
        <v>27.531828512673286</v>
      </c>
      <c r="F345" s="6">
        <v>33</v>
      </c>
      <c r="G345" s="6">
        <f t="shared" si="106"/>
        <v>33.333333333333329</v>
      </c>
      <c r="H345" s="6">
        <f t="shared" si="93"/>
        <v>-2.8594704860279747</v>
      </c>
      <c r="I345" s="6">
        <f t="shared" si="94"/>
        <v>36.192803819361302</v>
      </c>
      <c r="J345" s="6">
        <v>17025</v>
      </c>
      <c r="K345" s="6">
        <f t="shared" si="107"/>
        <v>283.81766124850645</v>
      </c>
      <c r="L345" s="6">
        <f t="shared" si="95"/>
        <v>21.844054152947184</v>
      </c>
      <c r="M345" s="6">
        <f t="shared" si="96"/>
        <v>261.97360709555926</v>
      </c>
      <c r="N345" s="6">
        <v>2447.9899999999998</v>
      </c>
      <c r="O345" s="6">
        <f t="shared" si="108"/>
        <v>61.005366867485698</v>
      </c>
      <c r="P345" s="6">
        <f t="shared" si="97"/>
        <v>11.149678366668246</v>
      </c>
      <c r="Q345" s="6">
        <f t="shared" si="98"/>
        <v>49.85568850081745</v>
      </c>
      <c r="R345" s="6"/>
      <c r="S345" s="6" t="str">
        <f t="shared" si="109"/>
        <v/>
      </c>
      <c r="T345" s="6" t="str">
        <f t="shared" si="99"/>
        <v/>
      </c>
      <c r="U345" s="6" t="str">
        <f t="shared" si="100"/>
        <v/>
      </c>
      <c r="V345" s="6">
        <v>16.22</v>
      </c>
      <c r="W345" s="6">
        <f t="shared" si="110"/>
        <v>-11.847826086956525</v>
      </c>
      <c r="X345" s="6">
        <f t="shared" si="101"/>
        <v>-6.4469065768284688</v>
      </c>
      <c r="Y345" s="6">
        <f t="shared" si="102"/>
        <v>-5.4009195101280563</v>
      </c>
      <c r="Z345" s="6"/>
      <c r="AA345" s="6" t="str">
        <f t="shared" si="111"/>
        <v/>
      </c>
      <c r="AB345" s="6" t="str">
        <f t="shared" si="103"/>
        <v/>
      </c>
      <c r="AC345" s="6" t="str">
        <f t="shared" si="104"/>
        <v/>
      </c>
    </row>
    <row r="346" spans="1:29" x14ac:dyDescent="0.2">
      <c r="A346" t="s">
        <v>430</v>
      </c>
      <c r="B346" s="6">
        <v>496</v>
      </c>
      <c r="C346" s="6">
        <f t="shared" si="105"/>
        <v>45.029239766081865</v>
      </c>
      <c r="D346" s="6">
        <f t="shared" si="91"/>
        <v>-5.7861883068516304</v>
      </c>
      <c r="E346" s="6">
        <f t="shared" si="92"/>
        <v>50.815428072933493</v>
      </c>
      <c r="F346" s="6">
        <v>36</v>
      </c>
      <c r="G346" s="6">
        <f t="shared" si="106"/>
        <v>45.45454545454546</v>
      </c>
      <c r="H346" s="6">
        <f t="shared" si="93"/>
        <v>-1.4988438710408942</v>
      </c>
      <c r="I346" s="6">
        <f t="shared" si="94"/>
        <v>46.953389325586357</v>
      </c>
      <c r="J346" s="6">
        <v>15589.8</v>
      </c>
      <c r="K346" s="6">
        <f t="shared" si="107"/>
        <v>251.46200148792749</v>
      </c>
      <c r="L346" s="6">
        <f t="shared" si="95"/>
        <v>27.848095877324059</v>
      </c>
      <c r="M346" s="6">
        <f t="shared" si="96"/>
        <v>223.61390561060344</v>
      </c>
      <c r="N346" s="6">
        <v>2540.27</v>
      </c>
      <c r="O346" s="6">
        <f t="shared" si="108"/>
        <v>61.608148256535223</v>
      </c>
      <c r="P346" s="6">
        <f t="shared" si="97"/>
        <v>12.827449886437543</v>
      </c>
      <c r="Q346" s="6">
        <f t="shared" si="98"/>
        <v>48.780698370097682</v>
      </c>
      <c r="R346" s="6"/>
      <c r="S346" s="6" t="str">
        <f t="shared" si="109"/>
        <v/>
      </c>
      <c r="T346" s="6" t="str">
        <f t="shared" si="99"/>
        <v/>
      </c>
      <c r="U346" s="6" t="str">
        <f t="shared" si="100"/>
        <v/>
      </c>
      <c r="V346" s="6">
        <v>15.33</v>
      </c>
      <c r="W346" s="6">
        <f t="shared" si="110"/>
        <v>-18.108974358974351</v>
      </c>
      <c r="X346" s="6">
        <f t="shared" si="101"/>
        <v>-6.7008321089534126</v>
      </c>
      <c r="Y346" s="6">
        <f t="shared" si="102"/>
        <v>-11.408142250020937</v>
      </c>
      <c r="Z346" s="6"/>
      <c r="AA346" s="6" t="str">
        <f t="shared" si="111"/>
        <v/>
      </c>
      <c r="AB346" s="6" t="str">
        <f t="shared" si="103"/>
        <v/>
      </c>
      <c r="AC346" s="6" t="str">
        <f t="shared" si="104"/>
        <v/>
      </c>
    </row>
    <row r="347" spans="1:29" x14ac:dyDescent="0.2">
      <c r="A347" t="s">
        <v>431</v>
      </c>
      <c r="B347" s="6">
        <v>517</v>
      </c>
      <c r="C347" s="6">
        <f t="shared" si="105"/>
        <v>72.333333333333343</v>
      </c>
      <c r="D347" s="6">
        <f t="shared" si="91"/>
        <v>-6.9049742381208636</v>
      </c>
      <c r="E347" s="6">
        <f t="shared" si="92"/>
        <v>79.2383075714542</v>
      </c>
      <c r="F347" s="6">
        <v>36</v>
      </c>
      <c r="G347" s="6">
        <f t="shared" si="106"/>
        <v>33.333333333333329</v>
      </c>
      <c r="H347" s="6">
        <f t="shared" si="93"/>
        <v>-6.8160345363120394E-3</v>
      </c>
      <c r="I347" s="6">
        <f t="shared" si="94"/>
        <v>33.340149367869643</v>
      </c>
      <c r="J347" s="6">
        <v>14591.3</v>
      </c>
      <c r="K347" s="6">
        <f t="shared" si="107"/>
        <v>206.97845661869897</v>
      </c>
      <c r="L347" s="6">
        <f t="shared" si="95"/>
        <v>33.133817183988775</v>
      </c>
      <c r="M347" s="6">
        <f t="shared" si="96"/>
        <v>173.84463943471019</v>
      </c>
      <c r="N347" s="6">
        <v>2213.5100000000002</v>
      </c>
      <c r="O347" s="6">
        <f t="shared" si="108"/>
        <v>30.619843976820782</v>
      </c>
      <c r="P347" s="6">
        <f t="shared" si="97"/>
        <v>14.520835215102821</v>
      </c>
      <c r="Q347" s="6">
        <f t="shared" si="98"/>
        <v>16.099008761717961</v>
      </c>
      <c r="R347" s="6"/>
      <c r="S347" s="6" t="str">
        <f t="shared" si="109"/>
        <v/>
      </c>
      <c r="T347" s="6" t="str">
        <f t="shared" si="99"/>
        <v/>
      </c>
      <c r="U347" s="6" t="str">
        <f t="shared" si="100"/>
        <v/>
      </c>
      <c r="V347" s="6">
        <v>14.48</v>
      </c>
      <c r="W347" s="6">
        <f t="shared" si="110"/>
        <v>-26.197757390417941</v>
      </c>
      <c r="X347" s="6">
        <f t="shared" si="101"/>
        <v>-7.0141495663680962</v>
      </c>
      <c r="Y347" s="6">
        <f t="shared" si="102"/>
        <v>-19.183607824049844</v>
      </c>
      <c r="Z347" s="6"/>
      <c r="AA347" s="6" t="str">
        <f t="shared" si="111"/>
        <v/>
      </c>
      <c r="AB347" s="6" t="str">
        <f t="shared" si="103"/>
        <v/>
      </c>
      <c r="AC347" s="6" t="str">
        <f t="shared" si="104"/>
        <v/>
      </c>
    </row>
    <row r="348" spans="1:29" x14ac:dyDescent="0.2">
      <c r="A348" t="s">
        <v>432</v>
      </c>
      <c r="B348" s="6">
        <v>450</v>
      </c>
      <c r="C348" s="6">
        <f t="shared" si="105"/>
        <v>46.103896103896112</v>
      </c>
      <c r="D348" s="6">
        <f t="shared" si="91"/>
        <v>-6.1578337152450473</v>
      </c>
      <c r="E348" s="6">
        <f t="shared" si="92"/>
        <v>52.261729819141159</v>
      </c>
      <c r="F348" s="6">
        <v>36</v>
      </c>
      <c r="G348" s="6">
        <f t="shared" si="106"/>
        <v>33.333333333333329</v>
      </c>
      <c r="H348" s="6">
        <f t="shared" si="93"/>
        <v>0.867484525016046</v>
      </c>
      <c r="I348" s="6">
        <f t="shared" si="94"/>
        <v>32.465848808317283</v>
      </c>
      <c r="J348" s="6">
        <v>14187</v>
      </c>
      <c r="K348" s="6">
        <f t="shared" si="107"/>
        <v>167.35136153773675</v>
      </c>
      <c r="L348" s="6">
        <f t="shared" si="95"/>
        <v>37.516901439459332</v>
      </c>
      <c r="M348" s="6">
        <f t="shared" si="96"/>
        <v>129.83446009827742</v>
      </c>
      <c r="N348" s="6">
        <v>2200.6799999999998</v>
      </c>
      <c r="O348" s="6">
        <f t="shared" si="108"/>
        <v>25.301342018208615</v>
      </c>
      <c r="P348" s="6">
        <f t="shared" si="97"/>
        <v>15.615314376753934</v>
      </c>
      <c r="Q348" s="6">
        <f t="shared" si="98"/>
        <v>9.6860276414546806</v>
      </c>
      <c r="R348" s="6"/>
      <c r="S348" s="6" t="str">
        <f t="shared" si="109"/>
        <v/>
      </c>
      <c r="T348" s="6" t="str">
        <f t="shared" si="99"/>
        <v/>
      </c>
      <c r="U348" s="6" t="str">
        <f t="shared" si="100"/>
        <v/>
      </c>
      <c r="V348" s="6">
        <v>14.55</v>
      </c>
      <c r="W348" s="6">
        <f t="shared" si="110"/>
        <v>-22.688629117959614</v>
      </c>
      <c r="X348" s="6">
        <f t="shared" si="101"/>
        <v>-7.3903704856370682</v>
      </c>
      <c r="Y348" s="6">
        <f t="shared" si="102"/>
        <v>-15.298258632322547</v>
      </c>
      <c r="Z348" s="6"/>
      <c r="AA348" s="6" t="str">
        <f t="shared" si="111"/>
        <v/>
      </c>
      <c r="AB348" s="6" t="str">
        <f t="shared" si="103"/>
        <v/>
      </c>
      <c r="AC348" s="6" t="str">
        <f t="shared" si="104"/>
        <v/>
      </c>
    </row>
    <row r="349" spans="1:29" x14ac:dyDescent="0.2">
      <c r="A349" t="s">
        <v>433</v>
      </c>
      <c r="B349" s="6">
        <v>428</v>
      </c>
      <c r="C349" s="6">
        <f t="shared" si="105"/>
        <v>27.761194029850756</v>
      </c>
      <c r="D349" s="6">
        <f t="shared" si="91"/>
        <v>-5.2085165595325424</v>
      </c>
      <c r="E349" s="6">
        <f t="shared" si="92"/>
        <v>32.969710589383297</v>
      </c>
      <c r="F349" s="6">
        <v>37</v>
      </c>
      <c r="G349" s="6">
        <f t="shared" si="106"/>
        <v>37.037037037037045</v>
      </c>
      <c r="H349" s="6">
        <f t="shared" si="93"/>
        <v>1.7417850845684046</v>
      </c>
      <c r="I349" s="6">
        <f t="shared" si="94"/>
        <v>35.295251952468639</v>
      </c>
      <c r="J349" s="6">
        <v>11878.4</v>
      </c>
      <c r="K349" s="6">
        <f t="shared" si="107"/>
        <v>122.73392087005436</v>
      </c>
      <c r="L349" s="6">
        <f t="shared" si="95"/>
        <v>41.053531011005354</v>
      </c>
      <c r="M349" s="6">
        <f t="shared" si="96"/>
        <v>81.680389859049001</v>
      </c>
      <c r="N349" s="6">
        <v>2435.5300000000002</v>
      </c>
      <c r="O349" s="6">
        <f t="shared" si="108"/>
        <v>34.484624601741572</v>
      </c>
      <c r="P349" s="6">
        <f t="shared" si="97"/>
        <v>16.52649181507795</v>
      </c>
      <c r="Q349" s="6">
        <f t="shared" si="98"/>
        <v>17.958132786663622</v>
      </c>
      <c r="R349" s="6"/>
      <c r="S349" s="6" t="str">
        <f t="shared" si="109"/>
        <v/>
      </c>
      <c r="T349" s="6" t="str">
        <f t="shared" si="99"/>
        <v/>
      </c>
      <c r="U349" s="6" t="str">
        <f t="shared" si="100"/>
        <v/>
      </c>
      <c r="V349" s="6">
        <v>13.1</v>
      </c>
      <c r="W349" s="6">
        <f t="shared" si="110"/>
        <v>-28.336980306345737</v>
      </c>
      <c r="X349" s="6">
        <f t="shared" si="101"/>
        <v>-7.6944803839958729</v>
      </c>
      <c r="Y349" s="6">
        <f t="shared" si="102"/>
        <v>-20.642499922349863</v>
      </c>
      <c r="Z349" s="6"/>
      <c r="AA349" s="6" t="str">
        <f t="shared" si="111"/>
        <v/>
      </c>
      <c r="AB349" s="6" t="str">
        <f t="shared" si="103"/>
        <v/>
      </c>
      <c r="AC349" s="6" t="str">
        <f t="shared" si="104"/>
        <v/>
      </c>
    </row>
    <row r="350" spans="1:29" x14ac:dyDescent="0.2">
      <c r="A350" t="s">
        <v>434</v>
      </c>
      <c r="B350" s="6">
        <v>431</v>
      </c>
      <c r="C350" s="6">
        <f t="shared" si="105"/>
        <v>22.096317280453249</v>
      </c>
      <c r="D350" s="6">
        <f t="shared" si="91"/>
        <v>-4.5203392291302888</v>
      </c>
      <c r="E350" s="6">
        <f t="shared" si="92"/>
        <v>26.616656509583539</v>
      </c>
      <c r="F350" s="6">
        <v>37</v>
      </c>
      <c r="G350" s="6">
        <f t="shared" si="106"/>
        <v>37.037037037037045</v>
      </c>
      <c r="H350" s="6">
        <f t="shared" si="93"/>
        <v>2.6932461379479231</v>
      </c>
      <c r="I350" s="6">
        <f t="shared" si="94"/>
        <v>34.343790899089122</v>
      </c>
      <c r="J350" s="6">
        <v>11557.5</v>
      </c>
      <c r="K350" s="6">
        <f t="shared" si="107"/>
        <v>103.0374365370764</v>
      </c>
      <c r="L350" s="6">
        <f t="shared" si="95"/>
        <v>43.697501842066764</v>
      </c>
      <c r="M350" s="6">
        <f t="shared" si="96"/>
        <v>59.339934695009639</v>
      </c>
      <c r="N350" s="6">
        <v>2939.51</v>
      </c>
      <c r="O350" s="6">
        <f t="shared" si="108"/>
        <v>49.426087840585623</v>
      </c>
      <c r="P350" s="6">
        <f t="shared" si="97"/>
        <v>17.601465566385297</v>
      </c>
      <c r="Q350" s="6">
        <f t="shared" si="98"/>
        <v>31.824622274200326</v>
      </c>
      <c r="R350" s="6"/>
      <c r="S350" s="6" t="str">
        <f t="shared" si="109"/>
        <v/>
      </c>
      <c r="T350" s="6" t="str">
        <f t="shared" si="99"/>
        <v/>
      </c>
      <c r="U350" s="6" t="str">
        <f t="shared" si="100"/>
        <v/>
      </c>
      <c r="V350" s="6">
        <v>12.18</v>
      </c>
      <c r="W350" s="6">
        <f t="shared" si="110"/>
        <v>-34.410339256865917</v>
      </c>
      <c r="X350" s="6">
        <f t="shared" si="101"/>
        <v>-8.1656677508425446</v>
      </c>
      <c r="Y350" s="6">
        <f t="shared" si="102"/>
        <v>-26.244671506023373</v>
      </c>
      <c r="Z350" s="6"/>
      <c r="AA350" s="6" t="str">
        <f t="shared" si="111"/>
        <v/>
      </c>
      <c r="AB350" s="6" t="str">
        <f t="shared" si="103"/>
        <v/>
      </c>
      <c r="AC350" s="6" t="str">
        <f t="shared" si="104"/>
        <v/>
      </c>
    </row>
    <row r="351" spans="1:29" x14ac:dyDescent="0.2">
      <c r="A351" t="s">
        <v>435</v>
      </c>
      <c r="B351" s="6">
        <v>418</v>
      </c>
      <c r="C351" s="6">
        <f t="shared" si="105"/>
        <v>13.586956521739136</v>
      </c>
      <c r="D351" s="6">
        <f t="shared" si="91"/>
        <v>-3.88612943978652</v>
      </c>
      <c r="E351" s="6">
        <f t="shared" si="92"/>
        <v>17.473085961525655</v>
      </c>
      <c r="F351" s="6">
        <v>37.5</v>
      </c>
      <c r="G351" s="6">
        <f t="shared" si="106"/>
        <v>29.31034482758621</v>
      </c>
      <c r="H351" s="6">
        <f t="shared" si="93"/>
        <v>3.6447071913274427</v>
      </c>
      <c r="I351" s="6">
        <f t="shared" si="94"/>
        <v>25.665637636258769</v>
      </c>
      <c r="J351" s="6">
        <v>13342</v>
      </c>
      <c r="K351" s="6">
        <f t="shared" si="107"/>
        <v>124.72629274044129</v>
      </c>
      <c r="L351" s="6">
        <f t="shared" si="95"/>
        <v>45.810196643055889</v>
      </c>
      <c r="M351" s="6">
        <f t="shared" si="96"/>
        <v>78.916096097385406</v>
      </c>
      <c r="N351" s="6">
        <v>3304.66</v>
      </c>
      <c r="O351" s="6">
        <f t="shared" si="108"/>
        <v>30.93466460636316</v>
      </c>
      <c r="P351" s="6">
        <f t="shared" si="97"/>
        <v>18.866624912190883</v>
      </c>
      <c r="Q351" s="6">
        <f t="shared" si="98"/>
        <v>12.068039694172278</v>
      </c>
      <c r="R351" s="6"/>
      <c r="S351" s="6" t="str">
        <f t="shared" si="109"/>
        <v/>
      </c>
      <c r="T351" s="6" t="str">
        <f t="shared" si="99"/>
        <v/>
      </c>
      <c r="U351" s="6" t="str">
        <f t="shared" si="100"/>
        <v/>
      </c>
      <c r="V351" s="6">
        <v>12.53</v>
      </c>
      <c r="W351" s="6">
        <f t="shared" si="110"/>
        <v>-29.408450704225352</v>
      </c>
      <c r="X351" s="6">
        <f t="shared" si="101"/>
        <v>-8.758056233278662</v>
      </c>
      <c r="Y351" s="6">
        <f t="shared" si="102"/>
        <v>-20.65039447094669</v>
      </c>
      <c r="Z351" s="6"/>
      <c r="AA351" s="6" t="str">
        <f t="shared" si="111"/>
        <v/>
      </c>
      <c r="AB351" s="6" t="str">
        <f t="shared" si="103"/>
        <v/>
      </c>
      <c r="AC351" s="6" t="str">
        <f t="shared" si="104"/>
        <v/>
      </c>
    </row>
    <row r="352" spans="1:29" x14ac:dyDescent="0.2">
      <c r="A352" t="s">
        <v>436</v>
      </c>
      <c r="B352" s="6">
        <v>411</v>
      </c>
      <c r="C352" s="6">
        <f t="shared" si="105"/>
        <v>-4.861111111111116</v>
      </c>
      <c r="D352" s="6">
        <f t="shared" si="91"/>
        <v>-3.4612372858256797</v>
      </c>
      <c r="E352" s="6">
        <f t="shared" si="92"/>
        <v>-1.3998738252854364</v>
      </c>
      <c r="F352" s="6">
        <v>38</v>
      </c>
      <c r="G352" s="6">
        <f t="shared" si="106"/>
        <v>22.580645161290324</v>
      </c>
      <c r="H352" s="6">
        <f t="shared" si="93"/>
        <v>4.2065112502354891</v>
      </c>
      <c r="I352" s="6">
        <f t="shared" si="94"/>
        <v>18.374133911054834</v>
      </c>
      <c r="J352" s="6">
        <v>16920</v>
      </c>
      <c r="K352" s="6">
        <f t="shared" si="107"/>
        <v>120.85601284410852</v>
      </c>
      <c r="L352" s="6">
        <f t="shared" si="95"/>
        <v>48.334554892938996</v>
      </c>
      <c r="M352" s="6">
        <f t="shared" si="96"/>
        <v>72.521457951169523</v>
      </c>
      <c r="N352" s="6">
        <v>3498.91</v>
      </c>
      <c r="O352" s="6">
        <f t="shared" si="108"/>
        <v>21.959984663111285</v>
      </c>
      <c r="P352" s="6">
        <f t="shared" si="97"/>
        <v>19.577087061014748</v>
      </c>
      <c r="Q352" s="6">
        <f t="shared" si="98"/>
        <v>2.3828976020965378</v>
      </c>
      <c r="R352" s="6"/>
      <c r="S352" s="6" t="str">
        <f t="shared" si="109"/>
        <v/>
      </c>
      <c r="T352" s="6" t="str">
        <f t="shared" si="99"/>
        <v/>
      </c>
      <c r="U352" s="6" t="str">
        <f t="shared" si="100"/>
        <v/>
      </c>
      <c r="V352" s="6">
        <v>14.65</v>
      </c>
      <c r="W352" s="6">
        <f t="shared" si="110"/>
        <v>-11.906193625977146</v>
      </c>
      <c r="X352" s="6">
        <f t="shared" si="101"/>
        <v>-9.2621732677906135</v>
      </c>
      <c r="Y352" s="6">
        <f t="shared" si="102"/>
        <v>-2.6440203581865322</v>
      </c>
      <c r="Z352" s="6"/>
      <c r="AA352" s="6" t="str">
        <f t="shared" si="111"/>
        <v/>
      </c>
      <c r="AB352" s="6" t="str">
        <f t="shared" si="103"/>
        <v/>
      </c>
      <c r="AC352" s="6" t="str">
        <f t="shared" si="104"/>
        <v/>
      </c>
    </row>
    <row r="353" spans="1:29" x14ac:dyDescent="0.2">
      <c r="A353" t="s">
        <v>437</v>
      </c>
      <c r="B353" s="6">
        <v>383</v>
      </c>
      <c r="C353" s="6">
        <f t="shared" si="105"/>
        <v>-21.193415637860081</v>
      </c>
      <c r="D353" s="6">
        <f t="shared" si="91"/>
        <v>-3.2537574363719091</v>
      </c>
      <c r="E353" s="6">
        <f t="shared" si="92"/>
        <v>-17.939658201488172</v>
      </c>
      <c r="F353" s="6">
        <v>38</v>
      </c>
      <c r="G353" s="6">
        <f t="shared" si="106"/>
        <v>22.580645161290324</v>
      </c>
      <c r="H353" s="6">
        <f t="shared" si="93"/>
        <v>4.3564285372495499</v>
      </c>
      <c r="I353" s="6">
        <f t="shared" si="94"/>
        <v>18.224216624040775</v>
      </c>
      <c r="J353" s="6">
        <v>17725</v>
      </c>
      <c r="K353" s="6">
        <f t="shared" si="107"/>
        <v>119.55086519762675</v>
      </c>
      <c r="L353" s="6">
        <f t="shared" si="95"/>
        <v>50.762022736217091</v>
      </c>
      <c r="M353" s="6">
        <f t="shared" si="96"/>
        <v>68.788842461409658</v>
      </c>
      <c r="N353" s="6">
        <v>3394.06</v>
      </c>
      <c r="O353" s="6">
        <f t="shared" si="108"/>
        <v>27.442925803544615</v>
      </c>
      <c r="P353" s="6">
        <f t="shared" si="97"/>
        <v>20.173112509350009</v>
      </c>
      <c r="Q353" s="6">
        <f t="shared" si="98"/>
        <v>7.2698132941946056</v>
      </c>
      <c r="R353" s="6"/>
      <c r="S353" s="6" t="str">
        <f t="shared" si="109"/>
        <v/>
      </c>
      <c r="T353" s="6" t="str">
        <f t="shared" si="99"/>
        <v/>
      </c>
      <c r="U353" s="6" t="str">
        <f t="shared" si="100"/>
        <v/>
      </c>
      <c r="V353" s="6">
        <v>16.48</v>
      </c>
      <c r="W353" s="6">
        <f t="shared" si="110"/>
        <v>6.0716454159082112E-2</v>
      </c>
      <c r="X353" s="6">
        <f t="shared" si="101"/>
        <v>-9.3655932596658289</v>
      </c>
      <c r="Y353" s="6">
        <f t="shared" si="102"/>
        <v>9.4263097138249101</v>
      </c>
      <c r="Z353" s="6"/>
      <c r="AA353" s="6" t="str">
        <f t="shared" si="111"/>
        <v/>
      </c>
      <c r="AB353" s="6" t="str">
        <f t="shared" si="103"/>
        <v/>
      </c>
      <c r="AC353" s="6" t="str">
        <f t="shared" si="104"/>
        <v/>
      </c>
    </row>
    <row r="354" spans="1:29" x14ac:dyDescent="0.2">
      <c r="A354" t="s">
        <v>438</v>
      </c>
      <c r="B354" s="6">
        <v>401</v>
      </c>
      <c r="C354" s="6">
        <f t="shared" si="105"/>
        <v>-0.49627791563275903</v>
      </c>
      <c r="D354" s="6">
        <f t="shared" si="91"/>
        <v>-3.0000488335892306</v>
      </c>
      <c r="E354" s="6">
        <f t="shared" si="92"/>
        <v>2.5037709179564716</v>
      </c>
      <c r="F354" s="6">
        <v>38</v>
      </c>
      <c r="G354" s="6">
        <f t="shared" si="106"/>
        <v>22.580645161290324</v>
      </c>
      <c r="H354" s="6">
        <f t="shared" si="93"/>
        <v>4.5063458242636107</v>
      </c>
      <c r="I354" s="6">
        <f t="shared" si="94"/>
        <v>18.074299337026712</v>
      </c>
      <c r="J354" s="6">
        <v>18523.8</v>
      </c>
      <c r="K354" s="6">
        <f t="shared" si="107"/>
        <v>113.7303995661655</v>
      </c>
      <c r="L354" s="6">
        <f t="shared" si="95"/>
        <v>53.129240360603823</v>
      </c>
      <c r="M354" s="6">
        <f t="shared" si="96"/>
        <v>60.601159205561679</v>
      </c>
      <c r="N354" s="6">
        <v>3096.92</v>
      </c>
      <c r="O354" s="6">
        <f t="shared" si="108"/>
        <v>32.903613423740467</v>
      </c>
      <c r="P354" s="6">
        <f t="shared" si="97"/>
        <v>20.769978847516285</v>
      </c>
      <c r="Q354" s="6">
        <f t="shared" si="98"/>
        <v>12.133634576224182</v>
      </c>
      <c r="R354" s="6"/>
      <c r="S354" s="6" t="str">
        <f t="shared" si="109"/>
        <v/>
      </c>
      <c r="T354" s="6" t="str">
        <f t="shared" si="99"/>
        <v/>
      </c>
      <c r="U354" s="6" t="str">
        <f t="shared" si="100"/>
        <v/>
      </c>
      <c r="V354" s="6">
        <v>16.350000000000001</v>
      </c>
      <c r="W354" s="6">
        <f t="shared" si="110"/>
        <v>3.1545741324921162</v>
      </c>
      <c r="X354" s="6">
        <f t="shared" si="101"/>
        <v>-9.1914346237119897</v>
      </c>
      <c r="Y354" s="6">
        <f t="shared" si="102"/>
        <v>12.346008756204107</v>
      </c>
      <c r="Z354" s="6"/>
      <c r="AA354" s="6" t="str">
        <f t="shared" si="111"/>
        <v/>
      </c>
      <c r="AB354" s="6" t="str">
        <f t="shared" si="103"/>
        <v/>
      </c>
      <c r="AC354" s="6" t="str">
        <f t="shared" si="104"/>
        <v/>
      </c>
    </row>
    <row r="355" spans="1:29" x14ac:dyDescent="0.2">
      <c r="A355" t="s">
        <v>439</v>
      </c>
      <c r="B355" s="6">
        <v>399</v>
      </c>
      <c r="C355" s="6">
        <f t="shared" si="105"/>
        <v>4.7244094488188892</v>
      </c>
      <c r="D355" s="6">
        <f t="shared" si="91"/>
        <v>-2.343721290164912</v>
      </c>
      <c r="E355" s="6">
        <f t="shared" si="92"/>
        <v>7.0681307389838013</v>
      </c>
      <c r="F355" s="6">
        <v>38</v>
      </c>
      <c r="G355" s="6">
        <f t="shared" si="106"/>
        <v>15.151515151515159</v>
      </c>
      <c r="H355" s="6">
        <f t="shared" si="93"/>
        <v>4.6562631112776716</v>
      </c>
      <c r="I355" s="6">
        <f t="shared" si="94"/>
        <v>10.495252040237489</v>
      </c>
      <c r="J355" s="6">
        <v>17157.099999999999</v>
      </c>
      <c r="K355" s="6">
        <f t="shared" si="107"/>
        <v>10.713824789633986</v>
      </c>
      <c r="L355" s="6">
        <f t="shared" si="95"/>
        <v>55.314079092459615</v>
      </c>
      <c r="M355" s="6">
        <f t="shared" si="96"/>
        <v>-44.600254302825633</v>
      </c>
      <c r="N355" s="6">
        <v>3264.14</v>
      </c>
      <c r="O355" s="6">
        <f t="shared" si="108"/>
        <v>38.352053575212963</v>
      </c>
      <c r="P355" s="6">
        <f t="shared" si="97"/>
        <v>21.51564820793476</v>
      </c>
      <c r="Q355" s="6">
        <f t="shared" si="98"/>
        <v>16.836405367278203</v>
      </c>
      <c r="R355" s="6"/>
      <c r="S355" s="6" t="str">
        <f t="shared" si="109"/>
        <v/>
      </c>
      <c r="T355" s="6" t="str">
        <f t="shared" si="99"/>
        <v/>
      </c>
      <c r="U355" s="6" t="str">
        <f t="shared" si="100"/>
        <v/>
      </c>
      <c r="V355" s="6">
        <v>18.03</v>
      </c>
      <c r="W355" s="6">
        <f t="shared" si="110"/>
        <v>21.989174560216519</v>
      </c>
      <c r="X355" s="6">
        <f t="shared" si="101"/>
        <v>-9.0115590781435149</v>
      </c>
      <c r="Y355" s="6">
        <f t="shared" si="102"/>
        <v>31.000733638360032</v>
      </c>
      <c r="Z355" s="6"/>
      <c r="AA355" s="6" t="str">
        <f t="shared" si="111"/>
        <v/>
      </c>
      <c r="AB355" s="6" t="str">
        <f t="shared" si="103"/>
        <v/>
      </c>
      <c r="AC355" s="6" t="str">
        <f t="shared" si="104"/>
        <v/>
      </c>
    </row>
    <row r="356" spans="1:29" x14ac:dyDescent="0.2">
      <c r="A356" t="s">
        <v>440</v>
      </c>
      <c r="B356" s="6">
        <v>391</v>
      </c>
      <c r="C356" s="6">
        <f t="shared" si="105"/>
        <v>-2.9776674937965208</v>
      </c>
      <c r="D356" s="6">
        <f t="shared" si="91"/>
        <v>-1.7669923457800021</v>
      </c>
      <c r="E356" s="6">
        <f t="shared" si="92"/>
        <v>-1.2106751480165188</v>
      </c>
      <c r="F356" s="6">
        <v>38</v>
      </c>
      <c r="G356" s="6">
        <f t="shared" si="106"/>
        <v>15.151515151515159</v>
      </c>
      <c r="H356" s="6">
        <f t="shared" si="93"/>
        <v>4.651406856421417</v>
      </c>
      <c r="I356" s="6">
        <f t="shared" si="94"/>
        <v>10.500108295093742</v>
      </c>
      <c r="J356" s="6">
        <v>15261.3</v>
      </c>
      <c r="K356" s="6">
        <f t="shared" si="107"/>
        <v>-15.270544865032921</v>
      </c>
      <c r="L356" s="6">
        <f t="shared" si="95"/>
        <v>55.349462605734352</v>
      </c>
      <c r="M356" s="6">
        <f t="shared" si="96"/>
        <v>-70.620007470767277</v>
      </c>
      <c r="N356" s="6">
        <v>3117.91</v>
      </c>
      <c r="O356" s="6">
        <f t="shared" si="108"/>
        <v>36.373616760705055</v>
      </c>
      <c r="P356" s="6">
        <f t="shared" si="97"/>
        <v>22.469109089605947</v>
      </c>
      <c r="Q356" s="6">
        <f t="shared" si="98"/>
        <v>13.904507671099108</v>
      </c>
      <c r="R356" s="6"/>
      <c r="S356" s="6" t="str">
        <f t="shared" si="109"/>
        <v/>
      </c>
      <c r="T356" s="6" t="str">
        <f t="shared" si="99"/>
        <v/>
      </c>
      <c r="U356" s="6" t="str">
        <f t="shared" si="100"/>
        <v/>
      </c>
      <c r="V356" s="6">
        <v>19.2</v>
      </c>
      <c r="W356" s="6">
        <f t="shared" si="110"/>
        <v>16.575591985428062</v>
      </c>
      <c r="X356" s="6">
        <f t="shared" si="101"/>
        <v>-8.4349277394179296</v>
      </c>
      <c r="Y356" s="6">
        <f t="shared" si="102"/>
        <v>25.010519724845992</v>
      </c>
      <c r="Z356" s="6"/>
      <c r="AA356" s="6" t="str">
        <f t="shared" si="111"/>
        <v/>
      </c>
      <c r="AB356" s="6" t="str">
        <f t="shared" si="103"/>
        <v/>
      </c>
      <c r="AC356" s="6" t="str">
        <f t="shared" si="104"/>
        <v/>
      </c>
    </row>
    <row r="357" spans="1:29" x14ac:dyDescent="0.2">
      <c r="A357" t="s">
        <v>441</v>
      </c>
      <c r="B357" s="6">
        <v>406</v>
      </c>
      <c r="C357" s="6">
        <f t="shared" si="105"/>
        <v>-3.7914691943127909</v>
      </c>
      <c r="D357" s="6">
        <f t="shared" si="91"/>
        <v>-1.3633116670811036</v>
      </c>
      <c r="E357" s="6">
        <f t="shared" si="92"/>
        <v>-2.4281575272316873</v>
      </c>
      <c r="F357" s="6">
        <v>38</v>
      </c>
      <c r="G357" s="6">
        <f t="shared" si="106"/>
        <v>15.151515151515159</v>
      </c>
      <c r="H357" s="6">
        <f t="shared" si="93"/>
        <v>4.6465506015651616</v>
      </c>
      <c r="I357" s="6">
        <f t="shared" si="94"/>
        <v>10.504964549949998</v>
      </c>
      <c r="J357" s="6">
        <v>13454.2</v>
      </c>
      <c r="K357" s="6">
        <f t="shared" si="107"/>
        <v>-20.973861967694564</v>
      </c>
      <c r="L357" s="6">
        <f t="shared" si="95"/>
        <v>54.786153360830347</v>
      </c>
      <c r="M357" s="6">
        <f t="shared" si="96"/>
        <v>-75.760015328524915</v>
      </c>
      <c r="N357" s="6">
        <v>2738.98</v>
      </c>
      <c r="O357" s="6">
        <f t="shared" si="108"/>
        <v>11.886894962806238</v>
      </c>
      <c r="P357" s="6">
        <f t="shared" si="97"/>
        <v>23.26876062196186</v>
      </c>
      <c r="Q357" s="6">
        <f t="shared" si="98"/>
        <v>-11.381865659155622</v>
      </c>
      <c r="R357" s="6"/>
      <c r="S357" s="6" t="str">
        <f t="shared" si="109"/>
        <v/>
      </c>
      <c r="T357" s="6" t="str">
        <f t="shared" si="99"/>
        <v/>
      </c>
      <c r="U357" s="6" t="str">
        <f t="shared" si="100"/>
        <v/>
      </c>
      <c r="V357" s="6">
        <v>18.02</v>
      </c>
      <c r="W357" s="6">
        <f t="shared" si="110"/>
        <v>11.097410604192358</v>
      </c>
      <c r="X357" s="6">
        <f t="shared" si="101"/>
        <v>-7.9648988144030604</v>
      </c>
      <c r="Y357" s="6">
        <f t="shared" si="102"/>
        <v>19.062309418595419</v>
      </c>
      <c r="Z357" s="6"/>
      <c r="AA357" s="6" t="str">
        <f t="shared" si="111"/>
        <v/>
      </c>
      <c r="AB357" s="6" t="str">
        <f t="shared" si="103"/>
        <v/>
      </c>
      <c r="AC357" s="6" t="str">
        <f t="shared" si="104"/>
        <v/>
      </c>
    </row>
    <row r="358" spans="1:29" x14ac:dyDescent="0.2">
      <c r="A358" t="s">
        <v>442</v>
      </c>
      <c r="B358" s="6">
        <v>373</v>
      </c>
      <c r="C358" s="6">
        <f t="shared" si="105"/>
        <v>-24.798387096774189</v>
      </c>
      <c r="D358" s="6">
        <f t="shared" si="91"/>
        <v>-0.69527992864330734</v>
      </c>
      <c r="E358" s="6">
        <f t="shared" si="92"/>
        <v>-24.103107168130883</v>
      </c>
      <c r="F358" s="6">
        <v>38</v>
      </c>
      <c r="G358" s="6">
        <f t="shared" si="106"/>
        <v>5.555555555555558</v>
      </c>
      <c r="H358" s="6">
        <f t="shared" si="93"/>
        <v>4.6416943467089071</v>
      </c>
      <c r="I358" s="6">
        <f t="shared" si="94"/>
        <v>0.9138612088466509</v>
      </c>
      <c r="J358" s="6">
        <v>12142.6</v>
      </c>
      <c r="K358" s="6">
        <f t="shared" si="107"/>
        <v>-22.111893674068938</v>
      </c>
      <c r="L358" s="6">
        <f t="shared" si="95"/>
        <v>54.005959275466388</v>
      </c>
      <c r="M358" s="6">
        <f t="shared" si="96"/>
        <v>-76.117852949535319</v>
      </c>
      <c r="N358" s="6">
        <v>2546.0100000000002</v>
      </c>
      <c r="O358" s="6">
        <f t="shared" si="108"/>
        <v>0.22596023257370756</v>
      </c>
      <c r="P358" s="6">
        <f t="shared" si="97"/>
        <v>23.35556137401824</v>
      </c>
      <c r="Q358" s="6">
        <f t="shared" si="98"/>
        <v>-23.129601141444532</v>
      </c>
      <c r="R358" s="6"/>
      <c r="S358" s="6" t="str">
        <f t="shared" si="109"/>
        <v/>
      </c>
      <c r="T358" s="6" t="str">
        <f t="shared" si="99"/>
        <v/>
      </c>
      <c r="U358" s="6" t="str">
        <f t="shared" si="100"/>
        <v/>
      </c>
      <c r="V358" s="6">
        <v>17.63</v>
      </c>
      <c r="W358" s="6">
        <f t="shared" si="110"/>
        <v>15.003261578604032</v>
      </c>
      <c r="X358" s="6">
        <f t="shared" si="101"/>
        <v>-7.5349869873497726</v>
      </c>
      <c r="Y358" s="6">
        <f t="shared" si="102"/>
        <v>22.538248565953804</v>
      </c>
      <c r="Z358" s="6"/>
      <c r="AA358" s="6" t="str">
        <f t="shared" si="111"/>
        <v/>
      </c>
      <c r="AB358" s="6" t="str">
        <f t="shared" si="103"/>
        <v/>
      </c>
      <c r="AC358" s="6" t="str">
        <f t="shared" si="104"/>
        <v/>
      </c>
    </row>
    <row r="359" spans="1:29" x14ac:dyDescent="0.2">
      <c r="A359" t="s">
        <v>443</v>
      </c>
      <c r="B359" s="6">
        <v>331</v>
      </c>
      <c r="C359" s="6">
        <f t="shared" si="105"/>
        <v>-35.976789168278536</v>
      </c>
      <c r="D359" s="6">
        <f t="shared" si="91"/>
        <v>-0.60793257596062766</v>
      </c>
      <c r="E359" s="6">
        <f t="shared" si="92"/>
        <v>-35.368856592317911</v>
      </c>
      <c r="F359" s="6">
        <v>38</v>
      </c>
      <c r="G359" s="6">
        <f t="shared" si="106"/>
        <v>5.555555555555558</v>
      </c>
      <c r="H359" s="6">
        <f t="shared" si="93"/>
        <v>4.6262014916491232</v>
      </c>
      <c r="I359" s="6">
        <f t="shared" si="94"/>
        <v>0.92935406390643482</v>
      </c>
      <c r="J359" s="6">
        <v>12275</v>
      </c>
      <c r="K359" s="6">
        <f t="shared" si="107"/>
        <v>-15.874527972147778</v>
      </c>
      <c r="L359" s="6">
        <f t="shared" si="95"/>
        <v>53.204765060522078</v>
      </c>
      <c r="M359" s="6">
        <f t="shared" si="96"/>
        <v>-69.079293032669852</v>
      </c>
      <c r="N359" s="6">
        <v>2505</v>
      </c>
      <c r="O359" s="6">
        <f t="shared" si="108"/>
        <v>13.168677801320072</v>
      </c>
      <c r="P359" s="6">
        <f t="shared" si="97"/>
        <v>23.259799309403835</v>
      </c>
      <c r="Q359" s="6">
        <f t="shared" si="98"/>
        <v>-10.091121508083763</v>
      </c>
      <c r="R359" s="6"/>
      <c r="S359" s="6" t="str">
        <f t="shared" si="109"/>
        <v/>
      </c>
      <c r="T359" s="6" t="str">
        <f t="shared" si="99"/>
        <v/>
      </c>
      <c r="U359" s="6" t="str">
        <f t="shared" si="100"/>
        <v/>
      </c>
      <c r="V359" s="6">
        <v>17.670000000000002</v>
      </c>
      <c r="W359" s="6">
        <f t="shared" si="110"/>
        <v>22.030386740331508</v>
      </c>
      <c r="X359" s="6">
        <f t="shared" si="101"/>
        <v>-7.030221676923464</v>
      </c>
      <c r="Y359" s="6">
        <f t="shared" si="102"/>
        <v>29.060608417254972</v>
      </c>
      <c r="Z359" s="6"/>
      <c r="AA359" s="6" t="str">
        <f t="shared" si="111"/>
        <v/>
      </c>
      <c r="AB359" s="6" t="str">
        <f t="shared" si="103"/>
        <v/>
      </c>
      <c r="AC359" s="6" t="str">
        <f t="shared" si="104"/>
        <v/>
      </c>
    </row>
    <row r="360" spans="1:29" x14ac:dyDescent="0.2">
      <c r="A360" t="s">
        <v>444</v>
      </c>
      <c r="B360" s="6">
        <v>309</v>
      </c>
      <c r="C360" s="6">
        <f t="shared" si="105"/>
        <v>-31.333333333333336</v>
      </c>
      <c r="D360" s="6">
        <f t="shared" si="91"/>
        <v>-1.0233972928284993</v>
      </c>
      <c r="E360" s="6">
        <f t="shared" si="92"/>
        <v>-30.309936040504837</v>
      </c>
      <c r="F360" s="6">
        <v>38</v>
      </c>
      <c r="G360" s="6">
        <f t="shared" si="106"/>
        <v>5.555555555555558</v>
      </c>
      <c r="H360" s="6">
        <f t="shared" si="93"/>
        <v>4.6107086365893384</v>
      </c>
      <c r="I360" s="6">
        <f t="shared" si="94"/>
        <v>0.94484691896621964</v>
      </c>
      <c r="J360" s="6">
        <v>12909.7</v>
      </c>
      <c r="K360" s="6">
        <f t="shared" si="107"/>
        <v>-9.003312892084292</v>
      </c>
      <c r="L360" s="6">
        <f t="shared" si="95"/>
        <v>52.671921583496719</v>
      </c>
      <c r="M360" s="6">
        <f t="shared" si="96"/>
        <v>-61.675234475581007</v>
      </c>
      <c r="N360" s="6">
        <v>2762.2</v>
      </c>
      <c r="O360" s="6">
        <f t="shared" si="108"/>
        <v>25.515749677372447</v>
      </c>
      <c r="P360" s="6">
        <f t="shared" si="97"/>
        <v>23.30903154468206</v>
      </c>
      <c r="Q360" s="6">
        <f t="shared" si="98"/>
        <v>2.2067181326903871</v>
      </c>
      <c r="R360" s="6"/>
      <c r="S360" s="6" t="str">
        <f t="shared" si="109"/>
        <v/>
      </c>
      <c r="T360" s="6" t="str">
        <f t="shared" si="99"/>
        <v/>
      </c>
      <c r="U360" s="6" t="str">
        <f t="shared" si="100"/>
        <v/>
      </c>
      <c r="V360" s="6">
        <v>16.88</v>
      </c>
      <c r="W360" s="6">
        <f t="shared" si="110"/>
        <v>16.01374570446734</v>
      </c>
      <c r="X360" s="6">
        <f t="shared" si="101"/>
        <v>-6.4514208218101219</v>
      </c>
      <c r="Y360" s="6">
        <f t="shared" si="102"/>
        <v>22.465166526277461</v>
      </c>
      <c r="Z360" s="6"/>
      <c r="AA360" s="6" t="str">
        <f t="shared" si="111"/>
        <v/>
      </c>
      <c r="AB360" s="6" t="str">
        <f t="shared" si="103"/>
        <v/>
      </c>
      <c r="AC360" s="6" t="str">
        <f t="shared" si="104"/>
        <v/>
      </c>
    </row>
    <row r="361" spans="1:29" x14ac:dyDescent="0.2">
      <c r="A361" t="s">
        <v>445</v>
      </c>
      <c r="B361" s="6">
        <v>323</v>
      </c>
      <c r="C361" s="6">
        <f t="shared" si="105"/>
        <v>-24.532710280373838</v>
      </c>
      <c r="D361" s="6">
        <f t="shared" si="91"/>
        <v>-1.0904692580321365</v>
      </c>
      <c r="E361" s="6">
        <f t="shared" si="92"/>
        <v>-23.442241022341701</v>
      </c>
      <c r="F361" s="6">
        <v>38</v>
      </c>
      <c r="G361" s="6">
        <f t="shared" si="106"/>
        <v>2.7027027027026973</v>
      </c>
      <c r="H361" s="6">
        <f t="shared" si="93"/>
        <v>4.5952157815295545</v>
      </c>
      <c r="I361" s="6">
        <f t="shared" si="94"/>
        <v>-1.8925130788268572</v>
      </c>
      <c r="J361" s="6">
        <v>11222.1</v>
      </c>
      <c r="K361" s="6">
        <f t="shared" si="107"/>
        <v>-5.5251549030172376</v>
      </c>
      <c r="L361" s="6">
        <f t="shared" si="95"/>
        <v>52.408910912321538</v>
      </c>
      <c r="M361" s="6">
        <f t="shared" si="96"/>
        <v>-57.934065815338776</v>
      </c>
      <c r="N361" s="6">
        <v>2884.4</v>
      </c>
      <c r="O361" s="6">
        <f t="shared" si="108"/>
        <v>18.430074768120285</v>
      </c>
      <c r="P361" s="6">
        <f t="shared" si="97"/>
        <v>23.711793463583707</v>
      </c>
      <c r="Q361" s="6">
        <f t="shared" si="98"/>
        <v>-5.2817186954634217</v>
      </c>
      <c r="R361" s="6"/>
      <c r="S361" s="6" t="str">
        <f t="shared" si="109"/>
        <v/>
      </c>
      <c r="T361" s="6" t="str">
        <f t="shared" si="99"/>
        <v/>
      </c>
      <c r="U361" s="6" t="str">
        <f t="shared" si="100"/>
        <v/>
      </c>
      <c r="V361" s="6">
        <v>17.670000000000002</v>
      </c>
      <c r="W361" s="6">
        <f t="shared" si="110"/>
        <v>34.885496183206129</v>
      </c>
      <c r="X361" s="6">
        <f t="shared" si="101"/>
        <v>-6.0327520130191141</v>
      </c>
      <c r="Y361" s="6">
        <f t="shared" si="102"/>
        <v>40.918248196225242</v>
      </c>
      <c r="Z361" s="6"/>
      <c r="AA361" s="6" t="str">
        <f t="shared" si="111"/>
        <v/>
      </c>
      <c r="AB361" s="6" t="str">
        <f t="shared" si="103"/>
        <v/>
      </c>
      <c r="AC361" s="6" t="str">
        <f t="shared" si="104"/>
        <v/>
      </c>
    </row>
    <row r="362" spans="1:29" x14ac:dyDescent="0.2">
      <c r="A362" t="s">
        <v>446</v>
      </c>
      <c r="B362" s="6">
        <v>321</v>
      </c>
      <c r="C362" s="6">
        <f t="shared" si="105"/>
        <v>-25.522041763341065</v>
      </c>
      <c r="D362" s="6">
        <f t="shared" si="91"/>
        <v>-0.74572996388689905</v>
      </c>
      <c r="E362" s="6">
        <f t="shared" si="92"/>
        <v>-24.776311799454167</v>
      </c>
      <c r="F362" s="6">
        <v>38</v>
      </c>
      <c r="G362" s="6">
        <f t="shared" si="106"/>
        <v>2.7027027027026973</v>
      </c>
      <c r="H362" s="6">
        <f t="shared" si="93"/>
        <v>4.5202884920353368</v>
      </c>
      <c r="I362" s="6">
        <f t="shared" si="94"/>
        <v>-1.8175857893326395</v>
      </c>
      <c r="J362" s="6">
        <v>10424.9</v>
      </c>
      <c r="K362" s="6">
        <f t="shared" si="107"/>
        <v>-9.7996971663422023</v>
      </c>
      <c r="L362" s="6">
        <f t="shared" si="95"/>
        <v>52.35370682315218</v>
      </c>
      <c r="M362" s="6">
        <f t="shared" si="96"/>
        <v>-62.153403989494379</v>
      </c>
      <c r="N362" s="6">
        <v>2861.4</v>
      </c>
      <c r="O362" s="6">
        <f t="shared" si="108"/>
        <v>-2.6572455953543295</v>
      </c>
      <c r="P362" s="6">
        <f t="shared" si="97"/>
        <v>23.978509487342347</v>
      </c>
      <c r="Q362" s="6">
        <f t="shared" si="98"/>
        <v>-26.635755082696676</v>
      </c>
      <c r="R362" s="6"/>
      <c r="S362" s="6" t="str">
        <f t="shared" si="109"/>
        <v/>
      </c>
      <c r="T362" s="6" t="str">
        <f t="shared" si="99"/>
        <v/>
      </c>
      <c r="U362" s="6" t="str">
        <f t="shared" si="100"/>
        <v/>
      </c>
      <c r="V362" s="6">
        <v>18.420000000000002</v>
      </c>
      <c r="W362" s="6">
        <f t="shared" si="110"/>
        <v>51.231527093596085</v>
      </c>
      <c r="X362" s="6">
        <f t="shared" si="101"/>
        <v>-5.2052947696373577</v>
      </c>
      <c r="Y362" s="6">
        <f t="shared" si="102"/>
        <v>56.43682186323344</v>
      </c>
      <c r="Z362" s="6"/>
      <c r="AA362" s="6" t="str">
        <f t="shared" si="111"/>
        <v/>
      </c>
      <c r="AB362" s="6" t="str">
        <f t="shared" si="103"/>
        <v/>
      </c>
      <c r="AC362" s="6" t="str">
        <f t="shared" si="104"/>
        <v/>
      </c>
    </row>
    <row r="363" spans="1:29" x14ac:dyDescent="0.2">
      <c r="A363" t="s">
        <v>447</v>
      </c>
      <c r="B363" s="6">
        <v>301</v>
      </c>
      <c r="C363" s="6">
        <f t="shared" si="105"/>
        <v>-27.990430622009566</v>
      </c>
      <c r="D363" s="6">
        <f t="shared" si="91"/>
        <v>-0.40006789357710093</v>
      </c>
      <c r="E363" s="6">
        <f t="shared" si="92"/>
        <v>-27.590362728432464</v>
      </c>
      <c r="F363" s="6">
        <v>38</v>
      </c>
      <c r="G363" s="6">
        <f t="shared" si="106"/>
        <v>1.3333333333333419</v>
      </c>
      <c r="H363" s="6">
        <f t="shared" si="93"/>
        <v>4.4453612025411173</v>
      </c>
      <c r="I363" s="6">
        <f t="shared" si="94"/>
        <v>-3.1120278692077754</v>
      </c>
      <c r="J363" s="6">
        <v>9793.2000000000007</v>
      </c>
      <c r="K363" s="6">
        <f t="shared" si="107"/>
        <v>-26.59871083795532</v>
      </c>
      <c r="L363" s="6">
        <f t="shared" si="95"/>
        <v>52.37356740454846</v>
      </c>
      <c r="M363" s="6">
        <f t="shared" si="96"/>
        <v>-78.972278242503776</v>
      </c>
      <c r="N363" s="6">
        <v>2591.3000000000002</v>
      </c>
      <c r="O363" s="6">
        <f t="shared" si="108"/>
        <v>-21.586486960837114</v>
      </c>
      <c r="P363" s="6">
        <f t="shared" si="97"/>
        <v>23.740347114291708</v>
      </c>
      <c r="Q363" s="6">
        <f t="shared" si="98"/>
        <v>-45.326834075128822</v>
      </c>
      <c r="R363" s="6"/>
      <c r="S363" s="6" t="str">
        <f t="shared" si="109"/>
        <v/>
      </c>
      <c r="T363" s="6" t="str">
        <f t="shared" si="99"/>
        <v/>
      </c>
      <c r="U363" s="6" t="str">
        <f t="shared" si="100"/>
        <v/>
      </c>
      <c r="V363" s="6">
        <v>18.37</v>
      </c>
      <c r="W363" s="6">
        <f t="shared" si="110"/>
        <v>46.608140462889082</v>
      </c>
      <c r="X363" s="6">
        <f t="shared" si="101"/>
        <v>-4.1357271233502155</v>
      </c>
      <c r="Y363" s="6">
        <f t="shared" si="102"/>
        <v>50.743867586239297</v>
      </c>
      <c r="Z363" s="6"/>
      <c r="AA363" s="6" t="str">
        <f t="shared" si="111"/>
        <v/>
      </c>
      <c r="AB363" s="6" t="str">
        <f t="shared" si="103"/>
        <v/>
      </c>
      <c r="AC363" s="6" t="str">
        <f t="shared" si="104"/>
        <v/>
      </c>
    </row>
    <row r="364" spans="1:29" x14ac:dyDescent="0.2">
      <c r="A364" t="s">
        <v>448</v>
      </c>
      <c r="B364" s="6">
        <v>267</v>
      </c>
      <c r="C364" s="6">
        <f t="shared" si="105"/>
        <v>-35.036496350364963</v>
      </c>
      <c r="D364" s="6">
        <f t="shared" si="91"/>
        <v>-0.12416506833217029</v>
      </c>
      <c r="E364" s="6">
        <f t="shared" si="92"/>
        <v>-34.912331282032795</v>
      </c>
      <c r="F364" s="6">
        <v>38</v>
      </c>
      <c r="G364" s="6">
        <f t="shared" si="106"/>
        <v>0</v>
      </c>
      <c r="H364" s="6">
        <f t="shared" si="93"/>
        <v>4.4095257487667334</v>
      </c>
      <c r="I364" s="6">
        <f t="shared" si="94"/>
        <v>-4.4095257487667334</v>
      </c>
      <c r="J364" s="6">
        <v>8809.2000000000007</v>
      </c>
      <c r="K364" s="6">
        <f t="shared" si="107"/>
        <v>-47.936170212765951</v>
      </c>
      <c r="L364" s="6">
        <f t="shared" si="95"/>
        <v>52.132609857146129</v>
      </c>
      <c r="M364" s="6">
        <f t="shared" si="96"/>
        <v>-100.06878006991208</v>
      </c>
      <c r="N364" s="6">
        <v>2418.6</v>
      </c>
      <c r="O364" s="6">
        <f t="shared" si="108"/>
        <v>-30.875615548842351</v>
      </c>
      <c r="P364" s="6">
        <f t="shared" si="97"/>
        <v>23.252837145841067</v>
      </c>
      <c r="Q364" s="6">
        <f t="shared" si="98"/>
        <v>-54.128452694683418</v>
      </c>
      <c r="R364" s="6"/>
      <c r="S364" s="6" t="str">
        <f t="shared" si="109"/>
        <v/>
      </c>
      <c r="T364" s="6" t="str">
        <f t="shared" si="99"/>
        <v/>
      </c>
      <c r="U364" s="6" t="str">
        <f t="shared" si="100"/>
        <v/>
      </c>
      <c r="V364" s="6">
        <v>19.350000000000001</v>
      </c>
      <c r="W364" s="6">
        <f t="shared" si="110"/>
        <v>32.081911262798648</v>
      </c>
      <c r="X364" s="6">
        <f t="shared" si="101"/>
        <v>-3.2363034616572683</v>
      </c>
      <c r="Y364" s="6">
        <f t="shared" si="102"/>
        <v>35.318214724455913</v>
      </c>
      <c r="Z364" s="6"/>
      <c r="AA364" s="6" t="str">
        <f t="shared" si="111"/>
        <v/>
      </c>
      <c r="AB364" s="6" t="str">
        <f t="shared" si="103"/>
        <v/>
      </c>
      <c r="AC364" s="6" t="str">
        <f t="shared" si="104"/>
        <v/>
      </c>
    </row>
    <row r="365" spans="1:29" x14ac:dyDescent="0.2">
      <c r="A365" t="s">
        <v>449</v>
      </c>
      <c r="B365" s="6">
        <v>279</v>
      </c>
      <c r="C365" s="6">
        <f t="shared" si="105"/>
        <v>-27.154046997389038</v>
      </c>
      <c r="D365" s="6">
        <f t="shared" si="91"/>
        <v>-0.1432249585143246</v>
      </c>
      <c r="E365" s="6">
        <f t="shared" si="92"/>
        <v>-27.010822038874714</v>
      </c>
      <c r="F365" s="6">
        <v>38</v>
      </c>
      <c r="G365" s="6">
        <f t="shared" si="106"/>
        <v>0</v>
      </c>
      <c r="H365" s="6">
        <f t="shared" si="93"/>
        <v>4.4095257487667334</v>
      </c>
      <c r="I365" s="6">
        <f t="shared" si="94"/>
        <v>-4.4095257487667334</v>
      </c>
      <c r="J365" s="6">
        <v>7055.9</v>
      </c>
      <c r="K365" s="6">
        <f t="shared" si="107"/>
        <v>-60.192383638928071</v>
      </c>
      <c r="L365" s="6">
        <f t="shared" si="95"/>
        <v>51.463825766353146</v>
      </c>
      <c r="M365" s="6">
        <f t="shared" si="96"/>
        <v>-111.65620940528122</v>
      </c>
      <c r="N365" s="6">
        <v>2366.64</v>
      </c>
      <c r="O365" s="6">
        <f t="shared" si="108"/>
        <v>-30.271120722674326</v>
      </c>
      <c r="P365" s="6">
        <f t="shared" si="97"/>
        <v>22.499522740838035</v>
      </c>
      <c r="Q365" s="6">
        <f t="shared" si="98"/>
        <v>-52.770643463512357</v>
      </c>
      <c r="R365" s="6"/>
      <c r="S365" s="6" t="str">
        <f t="shared" si="109"/>
        <v/>
      </c>
      <c r="T365" s="6" t="str">
        <f t="shared" si="99"/>
        <v/>
      </c>
      <c r="U365" s="6" t="str">
        <f t="shared" si="100"/>
        <v/>
      </c>
      <c r="V365" s="6">
        <v>20.350000000000001</v>
      </c>
      <c r="W365" s="6">
        <f t="shared" si="110"/>
        <v>23.483009708737868</v>
      </c>
      <c r="X365" s="6">
        <f t="shared" si="101"/>
        <v>-2.5438410401761402</v>
      </c>
      <c r="Y365" s="6">
        <f t="shared" si="102"/>
        <v>26.026850748914008</v>
      </c>
      <c r="Z365" s="6"/>
      <c r="AA365" s="6" t="str">
        <f t="shared" si="111"/>
        <v/>
      </c>
      <c r="AB365" s="6" t="str">
        <f t="shared" si="103"/>
        <v/>
      </c>
      <c r="AC365" s="6" t="str">
        <f t="shared" si="104"/>
        <v/>
      </c>
    </row>
    <row r="366" spans="1:29" x14ac:dyDescent="0.2">
      <c r="A366" t="s">
        <v>450</v>
      </c>
      <c r="B366" s="6">
        <v>271</v>
      </c>
      <c r="C366" s="6">
        <f t="shared" si="105"/>
        <v>-32.418952618453865</v>
      </c>
      <c r="D366" s="6">
        <f t="shared" si="91"/>
        <v>0.15227213269930781</v>
      </c>
      <c r="E366" s="6">
        <f t="shared" si="92"/>
        <v>-32.571224751153174</v>
      </c>
      <c r="F366" s="6">
        <v>38</v>
      </c>
      <c r="G366" s="6">
        <f t="shared" si="106"/>
        <v>0</v>
      </c>
      <c r="H366" s="6">
        <f t="shared" si="93"/>
        <v>4.4095257487667334</v>
      </c>
      <c r="I366" s="6">
        <f t="shared" si="94"/>
        <v>-4.4095257487667334</v>
      </c>
      <c r="J366" s="6">
        <v>6976.9</v>
      </c>
      <c r="K366" s="6">
        <f t="shared" si="107"/>
        <v>-62.335481920556255</v>
      </c>
      <c r="L366" s="6">
        <f t="shared" si="95"/>
        <v>50.594168180839681</v>
      </c>
      <c r="M366" s="6">
        <f t="shared" si="96"/>
        <v>-112.92965010139594</v>
      </c>
      <c r="N366" s="6">
        <v>2360.16</v>
      </c>
      <c r="O366" s="6">
        <f t="shared" si="108"/>
        <v>-23.790088216679806</v>
      </c>
      <c r="P366" s="6">
        <f t="shared" si="97"/>
        <v>21.778128065222635</v>
      </c>
      <c r="Q366" s="6">
        <f t="shared" si="98"/>
        <v>-45.568216281902437</v>
      </c>
      <c r="R366" s="6"/>
      <c r="S366" s="6" t="str">
        <f t="shared" si="109"/>
        <v/>
      </c>
      <c r="T366" s="6" t="str">
        <f t="shared" si="99"/>
        <v/>
      </c>
      <c r="U366" s="6" t="str">
        <f t="shared" si="100"/>
        <v/>
      </c>
      <c r="V366" s="6">
        <v>19.600000000000001</v>
      </c>
      <c r="W366" s="6">
        <f t="shared" si="110"/>
        <v>19.877675840978593</v>
      </c>
      <c r="X366" s="6">
        <f t="shared" si="101"/>
        <v>-1.9020581601663695</v>
      </c>
      <c r="Y366" s="6">
        <f t="shared" si="102"/>
        <v>21.779734001144963</v>
      </c>
      <c r="Z366" s="6"/>
      <c r="AA366" s="6" t="str">
        <f t="shared" si="111"/>
        <v/>
      </c>
      <c r="AB366" s="6" t="str">
        <f t="shared" si="103"/>
        <v/>
      </c>
      <c r="AC366" s="6" t="str">
        <f t="shared" si="104"/>
        <v/>
      </c>
    </row>
    <row r="367" spans="1:29" x14ac:dyDescent="0.2">
      <c r="A367" t="s">
        <v>451</v>
      </c>
      <c r="B367" s="6">
        <v>286</v>
      </c>
      <c r="C367" s="6">
        <f t="shared" si="105"/>
        <v>-28.320802005012535</v>
      </c>
      <c r="D367" s="6">
        <f t="shared" si="91"/>
        <v>0.56931426127143414</v>
      </c>
      <c r="E367" s="6">
        <f t="shared" si="92"/>
        <v>-28.890116266283968</v>
      </c>
      <c r="F367" s="6">
        <v>38</v>
      </c>
      <c r="G367" s="6">
        <f t="shared" si="106"/>
        <v>0</v>
      </c>
      <c r="H367" s="6">
        <f t="shared" si="93"/>
        <v>4.4095257487667334</v>
      </c>
      <c r="I367" s="6">
        <f t="shared" si="94"/>
        <v>-4.4095257487667334</v>
      </c>
      <c r="J367" s="6">
        <v>9266.7999999999993</v>
      </c>
      <c r="K367" s="6">
        <f t="shared" si="107"/>
        <v>-45.988541187030442</v>
      </c>
      <c r="L367" s="6">
        <f t="shared" si="95"/>
        <v>49.733809210955599</v>
      </c>
      <c r="M367" s="6">
        <f t="shared" si="96"/>
        <v>-95.722350397986048</v>
      </c>
      <c r="N367" s="6">
        <v>2625.61</v>
      </c>
      <c r="O367" s="6">
        <f t="shared" si="108"/>
        <v>-19.561967317578286</v>
      </c>
      <c r="P367" s="6">
        <f t="shared" si="97"/>
        <v>21.256994085375382</v>
      </c>
      <c r="Q367" s="6">
        <f t="shared" si="98"/>
        <v>-40.818961402953668</v>
      </c>
      <c r="R367" s="6"/>
      <c r="S367" s="6" t="str">
        <f t="shared" si="109"/>
        <v/>
      </c>
      <c r="T367" s="6" t="str">
        <f t="shared" si="99"/>
        <v/>
      </c>
      <c r="U367" s="6" t="str">
        <f t="shared" si="100"/>
        <v/>
      </c>
      <c r="V367" s="6">
        <v>18.22</v>
      </c>
      <c r="W367" s="6">
        <f t="shared" si="110"/>
        <v>1.0537992235163385</v>
      </c>
      <c r="X367" s="6">
        <f t="shared" si="101"/>
        <v>-0.60629740140202126</v>
      </c>
      <c r="Y367" s="6">
        <f t="shared" si="102"/>
        <v>1.6600966249183597</v>
      </c>
      <c r="Z367" s="6"/>
      <c r="AA367" s="6" t="str">
        <f t="shared" si="111"/>
        <v/>
      </c>
      <c r="AB367" s="6" t="str">
        <f t="shared" si="103"/>
        <v/>
      </c>
      <c r="AC367" s="6" t="str">
        <f t="shared" si="104"/>
        <v/>
      </c>
    </row>
    <row r="368" spans="1:29" x14ac:dyDescent="0.2">
      <c r="A368" t="s">
        <v>452</v>
      </c>
      <c r="B368" s="6">
        <v>267</v>
      </c>
      <c r="C368" s="6">
        <f t="shared" si="105"/>
        <v>-31.713554987212277</v>
      </c>
      <c r="D368" s="6">
        <f t="shared" si="91"/>
        <v>1.2849811165817551</v>
      </c>
      <c r="E368" s="6">
        <f t="shared" si="92"/>
        <v>-32.998536103794031</v>
      </c>
      <c r="F368" s="6">
        <v>38</v>
      </c>
      <c r="G368" s="6">
        <f t="shared" si="106"/>
        <v>0</v>
      </c>
      <c r="H368" s="6">
        <f t="shared" si="93"/>
        <v>4.5947109339519177</v>
      </c>
      <c r="I368" s="6">
        <f t="shared" si="94"/>
        <v>-4.5947109339519177</v>
      </c>
      <c r="J368" s="6">
        <v>8939.5</v>
      </c>
      <c r="K368" s="6">
        <f t="shared" si="107"/>
        <v>-41.423731923230655</v>
      </c>
      <c r="L368" s="6">
        <f t="shared" si="95"/>
        <v>49.211073187103629</v>
      </c>
      <c r="M368" s="6">
        <f t="shared" si="96"/>
        <v>-90.634805110334284</v>
      </c>
      <c r="N368" s="6">
        <v>2686.15</v>
      </c>
      <c r="O368" s="6">
        <f t="shared" si="108"/>
        <v>-13.8477377474013</v>
      </c>
      <c r="P368" s="6">
        <f t="shared" si="97"/>
        <v>20.766713334141748</v>
      </c>
      <c r="Q368" s="6">
        <f t="shared" si="98"/>
        <v>-34.614451081543052</v>
      </c>
      <c r="R368" s="6"/>
      <c r="S368" s="6" t="str">
        <f t="shared" si="109"/>
        <v/>
      </c>
      <c r="T368" s="6" t="str">
        <f t="shared" si="99"/>
        <v/>
      </c>
      <c r="U368" s="6" t="str">
        <f t="shared" si="100"/>
        <v/>
      </c>
      <c r="V368" s="6">
        <v>16.55</v>
      </c>
      <c r="W368" s="6">
        <f t="shared" si="110"/>
        <v>-13.802083333333325</v>
      </c>
      <c r="X368" s="6">
        <f t="shared" si="101"/>
        <v>0.55270043550322567</v>
      </c>
      <c r="Y368" s="6">
        <f t="shared" si="102"/>
        <v>-14.354783768836551</v>
      </c>
      <c r="Z368" s="6"/>
      <c r="AA368" s="6" t="str">
        <f t="shared" si="111"/>
        <v/>
      </c>
      <c r="AB368" s="6" t="str">
        <f t="shared" si="103"/>
        <v/>
      </c>
      <c r="AC368" s="6" t="str">
        <f t="shared" si="104"/>
        <v/>
      </c>
    </row>
    <row r="369" spans="1:29" x14ac:dyDescent="0.2">
      <c r="A369" t="s">
        <v>453</v>
      </c>
      <c r="B369" s="6">
        <v>281</v>
      </c>
      <c r="C369" s="6">
        <f t="shared" si="105"/>
        <v>-30.78817733990148</v>
      </c>
      <c r="D369" s="6">
        <f t="shared" si="91"/>
        <v>1.9355377970740442</v>
      </c>
      <c r="E369" s="6">
        <f t="shared" si="92"/>
        <v>-32.723715136975528</v>
      </c>
      <c r="F369" s="6">
        <v>40.5</v>
      </c>
      <c r="G369" s="6">
        <f t="shared" si="106"/>
        <v>6.578947368421062</v>
      </c>
      <c r="H369" s="6">
        <f t="shared" si="93"/>
        <v>4.7798961191371037</v>
      </c>
      <c r="I369" s="6">
        <f t="shared" si="94"/>
        <v>1.7990512492839583</v>
      </c>
      <c r="J369" s="6">
        <v>8698</v>
      </c>
      <c r="K369" s="6">
        <f t="shared" si="107"/>
        <v>-35.351042797044798</v>
      </c>
      <c r="L369" s="6">
        <f t="shared" si="95"/>
        <v>48.913666105430373</v>
      </c>
      <c r="M369" s="6">
        <f t="shared" si="96"/>
        <v>-84.264708902475178</v>
      </c>
      <c r="N369" s="6">
        <v>2741.95</v>
      </c>
      <c r="O369" s="6">
        <f t="shared" si="108"/>
        <v>0.10843452672162357</v>
      </c>
      <c r="P369" s="6">
        <f t="shared" si="97"/>
        <v>20.571440265309803</v>
      </c>
      <c r="Q369" s="6">
        <f t="shared" si="98"/>
        <v>-20.46300573858818</v>
      </c>
      <c r="R369" s="6"/>
      <c r="S369" s="6" t="str">
        <f t="shared" si="109"/>
        <v/>
      </c>
      <c r="T369" s="6" t="str">
        <f t="shared" si="99"/>
        <v/>
      </c>
      <c r="U369" s="6" t="str">
        <f t="shared" si="100"/>
        <v/>
      </c>
      <c r="V369" s="6">
        <v>16.579999999999998</v>
      </c>
      <c r="W369" s="6">
        <f t="shared" si="110"/>
        <v>-7.9911209766925673</v>
      </c>
      <c r="X369" s="6">
        <f t="shared" si="101"/>
        <v>1.4567037953153763</v>
      </c>
      <c r="Y369" s="6">
        <f t="shared" si="102"/>
        <v>-9.4478247720079445</v>
      </c>
      <c r="Z369" s="6"/>
      <c r="AA369" s="6" t="str">
        <f t="shared" si="111"/>
        <v/>
      </c>
      <c r="AB369" s="6" t="str">
        <f t="shared" si="103"/>
        <v/>
      </c>
      <c r="AC369" s="6" t="str">
        <f t="shared" si="104"/>
        <v/>
      </c>
    </row>
    <row r="370" spans="1:29" x14ac:dyDescent="0.2">
      <c r="A370" t="s">
        <v>454</v>
      </c>
      <c r="B370" s="6">
        <v>272</v>
      </c>
      <c r="C370" s="6">
        <f t="shared" si="105"/>
        <v>-27.077747989276133</v>
      </c>
      <c r="D370" s="6">
        <f t="shared" si="91"/>
        <v>2.5646092391047843</v>
      </c>
      <c r="E370" s="6">
        <f t="shared" si="92"/>
        <v>-29.642357228380916</v>
      </c>
      <c r="F370" s="6">
        <v>40.5</v>
      </c>
      <c r="G370" s="6">
        <f t="shared" si="106"/>
        <v>6.578947368421062</v>
      </c>
      <c r="H370" s="6">
        <f t="shared" si="93"/>
        <v>5.1021427078310602</v>
      </c>
      <c r="I370" s="6">
        <f t="shared" si="94"/>
        <v>1.4768046605900018</v>
      </c>
      <c r="J370" s="6">
        <v>8422.1</v>
      </c>
      <c r="K370" s="6">
        <f t="shared" si="107"/>
        <v>-30.64006061304827</v>
      </c>
      <c r="L370" s="6">
        <f t="shared" si="95"/>
        <v>48.757415997849471</v>
      </c>
      <c r="M370" s="6">
        <f t="shared" si="96"/>
        <v>-79.397476610897741</v>
      </c>
      <c r="N370" s="6">
        <v>2584.56</v>
      </c>
      <c r="O370" s="6">
        <f t="shared" si="108"/>
        <v>1.5141338800711557</v>
      </c>
      <c r="P370" s="6">
        <f t="shared" si="97"/>
        <v>20.725954424879578</v>
      </c>
      <c r="Q370" s="6">
        <f t="shared" si="98"/>
        <v>-19.211820544808422</v>
      </c>
      <c r="R370" s="6"/>
      <c r="S370" s="6" t="str">
        <f t="shared" si="109"/>
        <v/>
      </c>
      <c r="T370" s="6" t="str">
        <f t="shared" si="99"/>
        <v/>
      </c>
      <c r="U370" s="6" t="str">
        <f t="shared" si="100"/>
        <v/>
      </c>
      <c r="V370" s="6">
        <v>15.27</v>
      </c>
      <c r="W370" s="6">
        <f t="shared" si="110"/>
        <v>-13.386273397617698</v>
      </c>
      <c r="X370" s="6">
        <f t="shared" si="101"/>
        <v>2.301010100796256</v>
      </c>
      <c r="Y370" s="6">
        <f t="shared" si="102"/>
        <v>-15.687283498413954</v>
      </c>
      <c r="Z370" s="6"/>
      <c r="AA370" s="6" t="str">
        <f t="shared" si="111"/>
        <v/>
      </c>
      <c r="AB370" s="6" t="str">
        <f t="shared" si="103"/>
        <v/>
      </c>
      <c r="AC370" s="6" t="str">
        <f t="shared" si="104"/>
        <v/>
      </c>
    </row>
    <row r="371" spans="1:29" x14ac:dyDescent="0.2">
      <c r="A371" t="s">
        <v>455</v>
      </c>
      <c r="B371" s="6">
        <v>279</v>
      </c>
      <c r="C371" s="6">
        <f t="shared" si="105"/>
        <v>-15.70996978851964</v>
      </c>
      <c r="D371" s="6">
        <f t="shared" si="91"/>
        <v>3.1733012399277207</v>
      </c>
      <c r="E371" s="6">
        <f t="shared" si="92"/>
        <v>-18.883271028447361</v>
      </c>
      <c r="F371" s="6">
        <v>40.5</v>
      </c>
      <c r="G371" s="6">
        <f t="shared" si="106"/>
        <v>6.578947368421062</v>
      </c>
      <c r="H371" s="6">
        <f t="shared" si="93"/>
        <v>5.4243892965250184</v>
      </c>
      <c r="I371" s="6">
        <f t="shared" si="94"/>
        <v>1.1545580718960435</v>
      </c>
      <c r="J371" s="6">
        <v>9318.2000000000007</v>
      </c>
      <c r="K371" s="6">
        <f t="shared" si="107"/>
        <v>-24.087983706720973</v>
      </c>
      <c r="L371" s="6">
        <f t="shared" si="95"/>
        <v>48.669044787537992</v>
      </c>
      <c r="M371" s="6">
        <f t="shared" si="96"/>
        <v>-72.757028494258961</v>
      </c>
      <c r="N371" s="6">
        <v>2769.49</v>
      </c>
      <c r="O371" s="6">
        <f t="shared" si="108"/>
        <v>10.55848303393212</v>
      </c>
      <c r="P371" s="6">
        <f t="shared" si="97"/>
        <v>20.78551130741085</v>
      </c>
      <c r="Q371" s="6">
        <f t="shared" si="98"/>
        <v>-10.22702827347873</v>
      </c>
      <c r="R371" s="6"/>
      <c r="S371" s="6" t="str">
        <f t="shared" si="109"/>
        <v/>
      </c>
      <c r="T371" s="6" t="str">
        <f t="shared" si="99"/>
        <v/>
      </c>
      <c r="U371" s="6" t="str">
        <f t="shared" si="100"/>
        <v/>
      </c>
      <c r="V371" s="6">
        <v>17.170000000000002</v>
      </c>
      <c r="W371" s="6">
        <f t="shared" si="110"/>
        <v>-2.8296547821165863</v>
      </c>
      <c r="X371" s="6">
        <f t="shared" si="101"/>
        <v>3.1692663030026935</v>
      </c>
      <c r="Y371" s="6">
        <f t="shared" si="102"/>
        <v>-5.9989210851192798</v>
      </c>
      <c r="Z371" s="6"/>
      <c r="AA371" s="6" t="str">
        <f t="shared" si="111"/>
        <v/>
      </c>
      <c r="AB371" s="6" t="str">
        <f t="shared" si="103"/>
        <v/>
      </c>
      <c r="AC371" s="6" t="str">
        <f t="shared" si="104"/>
        <v/>
      </c>
    </row>
    <row r="372" spans="1:29" x14ac:dyDescent="0.2">
      <c r="A372" t="s">
        <v>456</v>
      </c>
      <c r="B372" s="6">
        <v>291</v>
      </c>
      <c r="C372" s="6">
        <f t="shared" si="105"/>
        <v>-5.8252427184465994</v>
      </c>
      <c r="D372" s="6">
        <f t="shared" si="91"/>
        <v>3.9839294360686757</v>
      </c>
      <c r="E372" s="6">
        <f t="shared" si="92"/>
        <v>-9.8091721545152755</v>
      </c>
      <c r="F372" s="6">
        <v>40.5</v>
      </c>
      <c r="G372" s="6">
        <f t="shared" si="106"/>
        <v>6.578947368421062</v>
      </c>
      <c r="H372" s="6">
        <f t="shared" si="93"/>
        <v>5.7466358852189741</v>
      </c>
      <c r="I372" s="6">
        <f t="shared" si="94"/>
        <v>0.83231148320208792</v>
      </c>
      <c r="J372" s="6">
        <v>10957.4</v>
      </c>
      <c r="K372" s="6">
        <f t="shared" si="107"/>
        <v>-15.122737166626655</v>
      </c>
      <c r="L372" s="6">
        <f t="shared" si="95"/>
        <v>48.649932875401568</v>
      </c>
      <c r="M372" s="6">
        <f t="shared" si="96"/>
        <v>-63.772670042028224</v>
      </c>
      <c r="N372" s="6">
        <v>2957.03</v>
      </c>
      <c r="O372" s="6">
        <f t="shared" si="108"/>
        <v>7.0534356672217857</v>
      </c>
      <c r="P372" s="6">
        <f t="shared" si="97"/>
        <v>21.189569174541997</v>
      </c>
      <c r="Q372" s="6">
        <f t="shared" si="98"/>
        <v>-14.136133507320212</v>
      </c>
      <c r="R372" s="6"/>
      <c r="S372" s="6" t="str">
        <f t="shared" si="109"/>
        <v/>
      </c>
      <c r="T372" s="6" t="str">
        <f t="shared" si="99"/>
        <v/>
      </c>
      <c r="U372" s="6" t="str">
        <f t="shared" si="100"/>
        <v/>
      </c>
      <c r="V372" s="6">
        <v>26.4</v>
      </c>
      <c r="W372" s="6">
        <f t="shared" si="110"/>
        <v>56.398104265402836</v>
      </c>
      <c r="X372" s="6">
        <f t="shared" si="101"/>
        <v>4.4339189019158258</v>
      </c>
      <c r="Y372" s="6">
        <f t="shared" si="102"/>
        <v>51.964185363487012</v>
      </c>
      <c r="Z372" s="6"/>
      <c r="AA372" s="6" t="str">
        <f t="shared" si="111"/>
        <v/>
      </c>
      <c r="AB372" s="6" t="str">
        <f t="shared" si="103"/>
        <v/>
      </c>
      <c r="AC372" s="6" t="str">
        <f t="shared" si="104"/>
        <v/>
      </c>
    </row>
    <row r="373" spans="1:29" x14ac:dyDescent="0.2">
      <c r="A373" t="s">
        <v>457</v>
      </c>
      <c r="B373" s="6">
        <v>284</v>
      </c>
      <c r="C373" s="6">
        <f t="shared" si="105"/>
        <v>-12.074303405572751</v>
      </c>
      <c r="D373" s="6">
        <f t="shared" si="91"/>
        <v>4.9300207078172074</v>
      </c>
      <c r="E373" s="6">
        <f t="shared" si="92"/>
        <v>-17.004324113389959</v>
      </c>
      <c r="F373" s="6">
        <v>40.5</v>
      </c>
      <c r="G373" s="6">
        <f t="shared" si="106"/>
        <v>6.578947368421062</v>
      </c>
      <c r="H373" s="6">
        <f t="shared" si="93"/>
        <v>6.0688824739129315</v>
      </c>
      <c r="I373" s="6">
        <f t="shared" si="94"/>
        <v>0.51006489450813053</v>
      </c>
      <c r="J373" s="6">
        <v>10844</v>
      </c>
      <c r="K373" s="6">
        <f t="shared" si="107"/>
        <v>-3.3692446155354161</v>
      </c>
      <c r="L373" s="6">
        <f t="shared" si="95"/>
        <v>48.801890624403001</v>
      </c>
      <c r="M373" s="6">
        <f t="shared" si="96"/>
        <v>-52.171135239938415</v>
      </c>
      <c r="N373" s="6">
        <v>3031.37</v>
      </c>
      <c r="O373" s="6">
        <f t="shared" si="108"/>
        <v>5.0953404520870826</v>
      </c>
      <c r="P373" s="6">
        <f t="shared" si="97"/>
        <v>21.508293200128008</v>
      </c>
      <c r="Q373" s="6">
        <f t="shared" si="98"/>
        <v>-16.412952748040926</v>
      </c>
      <c r="R373" s="6"/>
      <c r="S373" s="6" t="str">
        <f t="shared" si="109"/>
        <v/>
      </c>
      <c r="T373" s="6" t="str">
        <f t="shared" si="99"/>
        <v/>
      </c>
      <c r="U373" s="6" t="str">
        <f t="shared" si="100"/>
        <v/>
      </c>
      <c r="V373" s="6">
        <v>32.700000000000003</v>
      </c>
      <c r="W373" s="6">
        <f t="shared" si="110"/>
        <v>85.059422750424446</v>
      </c>
      <c r="X373" s="6">
        <f t="shared" si="101"/>
        <v>6.6358964318714051</v>
      </c>
      <c r="Y373" s="6">
        <f t="shared" si="102"/>
        <v>78.423526318553044</v>
      </c>
      <c r="Z373" s="6"/>
      <c r="AA373" s="6" t="str">
        <f t="shared" si="111"/>
        <v/>
      </c>
      <c r="AB373" s="6" t="str">
        <f t="shared" si="103"/>
        <v/>
      </c>
      <c r="AC373" s="6" t="str">
        <f t="shared" si="104"/>
        <v/>
      </c>
    </row>
    <row r="374" spans="1:29" x14ac:dyDescent="0.2">
      <c r="A374" t="s">
        <v>458</v>
      </c>
      <c r="B374" s="6">
        <v>290</v>
      </c>
      <c r="C374" s="6">
        <f t="shared" si="105"/>
        <v>-9.6573208722741448</v>
      </c>
      <c r="D374" s="6">
        <f t="shared" si="91"/>
        <v>5.5638893868677792</v>
      </c>
      <c r="E374" s="6">
        <f t="shared" si="92"/>
        <v>-15.221210259141923</v>
      </c>
      <c r="F374" s="6">
        <v>40.5</v>
      </c>
      <c r="G374" s="6">
        <f t="shared" si="106"/>
        <v>6.578947368421062</v>
      </c>
      <c r="H374" s="6">
        <f t="shared" si="93"/>
        <v>6.3911290626068862</v>
      </c>
      <c r="I374" s="6">
        <f t="shared" si="94"/>
        <v>0.1878183058141758</v>
      </c>
      <c r="J374" s="6">
        <v>9145.4</v>
      </c>
      <c r="K374" s="6">
        <f t="shared" si="107"/>
        <v>-12.27349902636956</v>
      </c>
      <c r="L374" s="6">
        <f t="shared" si="95"/>
        <v>49.11762205782896</v>
      </c>
      <c r="M374" s="6">
        <f t="shared" si="96"/>
        <v>-61.391121084198517</v>
      </c>
      <c r="N374" s="6">
        <v>2743.56</v>
      </c>
      <c r="O374" s="6">
        <f t="shared" si="108"/>
        <v>-4.1182637869574439</v>
      </c>
      <c r="P374" s="6">
        <f t="shared" si="97"/>
        <v>21.644025068445789</v>
      </c>
      <c r="Q374" s="6">
        <f t="shared" si="98"/>
        <v>-25.762288855403234</v>
      </c>
      <c r="R374" s="6"/>
      <c r="S374" s="6" t="str">
        <f t="shared" si="109"/>
        <v/>
      </c>
      <c r="T374" s="6" t="str">
        <f t="shared" si="99"/>
        <v/>
      </c>
      <c r="U374" s="6" t="str">
        <f t="shared" si="100"/>
        <v/>
      </c>
      <c r="V374" s="6">
        <v>34.5</v>
      </c>
      <c r="W374" s="6">
        <f t="shared" si="110"/>
        <v>87.296416938110724</v>
      </c>
      <c r="X374" s="6">
        <f t="shared" si="101"/>
        <v>9.4040759674891863</v>
      </c>
      <c r="Y374" s="6">
        <f t="shared" si="102"/>
        <v>77.892340970621532</v>
      </c>
      <c r="Z374" s="6"/>
      <c r="AA374" s="6" t="str">
        <f t="shared" si="111"/>
        <v/>
      </c>
      <c r="AB374" s="6" t="str">
        <f t="shared" si="103"/>
        <v/>
      </c>
      <c r="AC374" s="6" t="str">
        <f t="shared" si="104"/>
        <v/>
      </c>
    </row>
    <row r="375" spans="1:29" x14ac:dyDescent="0.2">
      <c r="A375" t="s">
        <v>459</v>
      </c>
      <c r="B375" s="6">
        <v>331</v>
      </c>
      <c r="C375" s="6">
        <f t="shared" si="105"/>
        <v>9.9667774086378724</v>
      </c>
      <c r="D375" s="6">
        <f t="shared" si="91"/>
        <v>5.8542682357366003</v>
      </c>
      <c r="E375" s="6">
        <f t="shared" si="92"/>
        <v>4.1125091729012722</v>
      </c>
      <c r="F375" s="6">
        <v>40.5</v>
      </c>
      <c r="G375" s="6">
        <f t="shared" si="106"/>
        <v>6.578947368421062</v>
      </c>
      <c r="H375" s="6">
        <f t="shared" si="93"/>
        <v>6.7133756513008436</v>
      </c>
      <c r="I375" s="6">
        <f t="shared" si="94"/>
        <v>-0.13442828287978159</v>
      </c>
      <c r="J375" s="6">
        <v>8587.4</v>
      </c>
      <c r="K375" s="6">
        <f t="shared" si="107"/>
        <v>-12.312625086794926</v>
      </c>
      <c r="L375" s="6">
        <f t="shared" si="95"/>
        <v>49.154460624079434</v>
      </c>
      <c r="M375" s="6">
        <f t="shared" si="96"/>
        <v>-61.467085710874358</v>
      </c>
      <c r="N375" s="6">
        <v>2585.89</v>
      </c>
      <c r="O375" s="6">
        <f t="shared" si="108"/>
        <v>-0.20877551807974015</v>
      </c>
      <c r="P375" s="6">
        <f t="shared" si="97"/>
        <v>21.660386015073822</v>
      </c>
      <c r="Q375" s="6">
        <f t="shared" si="98"/>
        <v>-21.869161533153562</v>
      </c>
      <c r="R375" s="6"/>
      <c r="S375" s="6" t="str">
        <f t="shared" si="109"/>
        <v/>
      </c>
      <c r="T375" s="6" t="str">
        <f t="shared" si="99"/>
        <v/>
      </c>
      <c r="U375" s="6" t="str">
        <f t="shared" si="100"/>
        <v/>
      </c>
      <c r="V375" s="6">
        <v>31.08</v>
      </c>
      <c r="W375" s="6">
        <f t="shared" si="110"/>
        <v>69.188894937397905</v>
      </c>
      <c r="X375" s="6">
        <f t="shared" si="101"/>
        <v>12.261422540112482</v>
      </c>
      <c r="Y375" s="6">
        <f t="shared" si="102"/>
        <v>56.92747239728542</v>
      </c>
      <c r="Z375" s="6"/>
      <c r="AA375" s="6" t="str">
        <f t="shared" si="111"/>
        <v/>
      </c>
      <c r="AB375" s="6" t="str">
        <f t="shared" si="103"/>
        <v/>
      </c>
      <c r="AC375" s="6" t="str">
        <f t="shared" si="104"/>
        <v/>
      </c>
    </row>
    <row r="376" spans="1:29" x14ac:dyDescent="0.2">
      <c r="A376" t="s">
        <v>460</v>
      </c>
      <c r="B376" s="6">
        <v>346</v>
      </c>
      <c r="C376" s="6">
        <f t="shared" si="105"/>
        <v>29.588014981273414</v>
      </c>
      <c r="D376" s="6">
        <f t="shared" si="91"/>
        <v>6.4014582346964808</v>
      </c>
      <c r="E376" s="6">
        <f t="shared" si="92"/>
        <v>23.186556746576933</v>
      </c>
      <c r="F376" s="6">
        <v>40.5</v>
      </c>
      <c r="G376" s="6">
        <f t="shared" si="106"/>
        <v>6.578947368421062</v>
      </c>
      <c r="H376" s="6">
        <f t="shared" si="93"/>
        <v>7.0356222399948001</v>
      </c>
      <c r="I376" s="6">
        <f t="shared" si="94"/>
        <v>-0.45667487157373809</v>
      </c>
      <c r="J376" s="6">
        <v>8157.6</v>
      </c>
      <c r="K376" s="6">
        <f t="shared" si="107"/>
        <v>-7.3968124233755645</v>
      </c>
      <c r="L376" s="6">
        <f t="shared" si="95"/>
        <v>49.10062657859325</v>
      </c>
      <c r="M376" s="6">
        <f t="shared" si="96"/>
        <v>-56.497439001968814</v>
      </c>
      <c r="N376" s="6">
        <v>2485.38</v>
      </c>
      <c r="O376" s="6">
        <f t="shared" si="108"/>
        <v>2.7611014636566678</v>
      </c>
      <c r="P376" s="6">
        <f t="shared" si="97"/>
        <v>21.756894502477824</v>
      </c>
      <c r="Q376" s="6">
        <f t="shared" si="98"/>
        <v>-18.995793038821155</v>
      </c>
      <c r="R376" s="6"/>
      <c r="S376" s="6" t="str">
        <f t="shared" si="109"/>
        <v/>
      </c>
      <c r="T376" s="6" t="str">
        <f t="shared" si="99"/>
        <v/>
      </c>
      <c r="U376" s="6" t="str">
        <f t="shared" si="100"/>
        <v/>
      </c>
      <c r="V376" s="6">
        <v>26.13</v>
      </c>
      <c r="W376" s="6">
        <f t="shared" si="110"/>
        <v>35.038759689922472</v>
      </c>
      <c r="X376" s="6">
        <f t="shared" si="101"/>
        <v>14.733597944548363</v>
      </c>
      <c r="Y376" s="6">
        <f t="shared" si="102"/>
        <v>20.305161745374107</v>
      </c>
      <c r="Z376" s="6"/>
      <c r="AA376" s="6" t="str">
        <f t="shared" si="111"/>
        <v/>
      </c>
      <c r="AB376" s="6" t="str">
        <f t="shared" si="103"/>
        <v/>
      </c>
      <c r="AC376" s="6" t="str">
        <f t="shared" si="104"/>
        <v/>
      </c>
    </row>
    <row r="377" spans="1:29" x14ac:dyDescent="0.2">
      <c r="A377" t="s">
        <v>461</v>
      </c>
      <c r="B377" s="6">
        <v>349</v>
      </c>
      <c r="C377" s="6">
        <f t="shared" si="105"/>
        <v>25.089605734767019</v>
      </c>
      <c r="D377" s="6">
        <f t="shared" si="91"/>
        <v>7.5360376066354045</v>
      </c>
      <c r="E377" s="6">
        <f t="shared" si="92"/>
        <v>17.553568128131616</v>
      </c>
      <c r="F377" s="6">
        <v>40.5</v>
      </c>
      <c r="G377" s="6">
        <f t="shared" si="106"/>
        <v>6.578947368421062</v>
      </c>
      <c r="H377" s="6">
        <f t="shared" si="93"/>
        <v>7.45046142128135</v>
      </c>
      <c r="I377" s="6">
        <f t="shared" si="94"/>
        <v>-0.87151405286028805</v>
      </c>
      <c r="J377" s="6">
        <v>8568.7999999999993</v>
      </c>
      <c r="K377" s="6">
        <f t="shared" si="107"/>
        <v>21.441630408594214</v>
      </c>
      <c r="L377" s="6">
        <f t="shared" si="95"/>
        <v>49.21045800013286</v>
      </c>
      <c r="M377" s="6">
        <f t="shared" si="96"/>
        <v>-27.768827591538646</v>
      </c>
      <c r="N377" s="6">
        <v>2448.52</v>
      </c>
      <c r="O377" s="6">
        <f t="shared" si="108"/>
        <v>3.4597572930399334</v>
      </c>
      <c r="P377" s="6">
        <f t="shared" si="97"/>
        <v>21.897247511707459</v>
      </c>
      <c r="Q377" s="6">
        <f t="shared" si="98"/>
        <v>-18.437490218667527</v>
      </c>
      <c r="R377" s="6"/>
      <c r="S377" s="6" t="str">
        <f t="shared" si="109"/>
        <v/>
      </c>
      <c r="T377" s="6" t="str">
        <f t="shared" si="99"/>
        <v/>
      </c>
      <c r="U377" s="6" t="str">
        <f t="shared" si="100"/>
        <v/>
      </c>
      <c r="V377" s="6">
        <v>22.58</v>
      </c>
      <c r="W377" s="6">
        <f t="shared" si="110"/>
        <v>10.958230958230942</v>
      </c>
      <c r="X377" s="6">
        <f t="shared" si="101"/>
        <v>16.31420103557269</v>
      </c>
      <c r="Y377" s="6">
        <f t="shared" si="102"/>
        <v>-5.3559700773417482</v>
      </c>
      <c r="Z377" s="6"/>
      <c r="AA377" s="6" t="str">
        <f t="shared" si="111"/>
        <v/>
      </c>
      <c r="AB377" s="6" t="str">
        <f t="shared" si="103"/>
        <v/>
      </c>
      <c r="AC377" s="6" t="str">
        <f t="shared" si="104"/>
        <v/>
      </c>
    </row>
    <row r="378" spans="1:29" x14ac:dyDescent="0.2">
      <c r="A378" t="s">
        <v>462</v>
      </c>
      <c r="B378" s="6">
        <v>338</v>
      </c>
      <c r="C378" s="6">
        <f t="shared" si="105"/>
        <v>24.723247232472325</v>
      </c>
      <c r="D378" s="6">
        <f t="shared" si="91"/>
        <v>8.0100047826399301</v>
      </c>
      <c r="E378" s="6">
        <f t="shared" si="92"/>
        <v>16.713242449832393</v>
      </c>
      <c r="F378" s="6">
        <v>40.5</v>
      </c>
      <c r="G378" s="6">
        <f t="shared" si="106"/>
        <v>6.578947368421062</v>
      </c>
      <c r="H378" s="6">
        <f t="shared" si="93"/>
        <v>7.8653006025679</v>
      </c>
      <c r="I378" s="6">
        <f t="shared" si="94"/>
        <v>-1.286353234146838</v>
      </c>
      <c r="J378" s="6">
        <v>8672.2999999999993</v>
      </c>
      <c r="K378" s="6">
        <f t="shared" si="107"/>
        <v>24.300190629075956</v>
      </c>
      <c r="L378" s="6">
        <f t="shared" si="95"/>
        <v>49.920150743365561</v>
      </c>
      <c r="M378" s="6">
        <f t="shared" si="96"/>
        <v>-25.619960114289604</v>
      </c>
      <c r="N378" s="6">
        <v>2449.38</v>
      </c>
      <c r="O378" s="6">
        <f t="shared" si="108"/>
        <v>3.7802521862924765</v>
      </c>
      <c r="P378" s="6">
        <f t="shared" si="97"/>
        <v>22.075526874452745</v>
      </c>
      <c r="Q378" s="6">
        <f t="shared" si="98"/>
        <v>-18.295274688160269</v>
      </c>
      <c r="R378" s="6"/>
      <c r="S378" s="6" t="str">
        <f t="shared" si="109"/>
        <v/>
      </c>
      <c r="T378" s="6" t="str">
        <f t="shared" si="99"/>
        <v/>
      </c>
      <c r="U378" s="6" t="str">
        <f t="shared" si="100"/>
        <v/>
      </c>
      <c r="V378" s="6">
        <v>18.13</v>
      </c>
      <c r="W378" s="6">
        <f t="shared" si="110"/>
        <v>-7.5000000000000071</v>
      </c>
      <c r="X378" s="6">
        <f t="shared" si="101"/>
        <v>17.100472932561765</v>
      </c>
      <c r="Y378" s="6">
        <f t="shared" si="102"/>
        <v>-24.600472932561772</v>
      </c>
      <c r="Z378" s="6"/>
      <c r="AA378" s="6" t="str">
        <f t="shared" si="111"/>
        <v/>
      </c>
      <c r="AB378" s="6" t="str">
        <f t="shared" si="103"/>
        <v/>
      </c>
      <c r="AC378" s="6" t="str">
        <f t="shared" si="104"/>
        <v/>
      </c>
    </row>
    <row r="379" spans="1:29" x14ac:dyDescent="0.2">
      <c r="A379" t="s">
        <v>463</v>
      </c>
      <c r="B379" s="6">
        <v>348</v>
      </c>
      <c r="C379" s="6">
        <f t="shared" si="105"/>
        <v>21.678321678321687</v>
      </c>
      <c r="D379" s="6">
        <f t="shared" si="91"/>
        <v>8.1790771447416439</v>
      </c>
      <c r="E379" s="6">
        <f t="shared" si="92"/>
        <v>13.499244533580043</v>
      </c>
      <c r="F379" s="6">
        <v>39.5</v>
      </c>
      <c r="G379" s="6">
        <f t="shared" si="106"/>
        <v>3.9473684210526327</v>
      </c>
      <c r="H379" s="6">
        <f t="shared" si="93"/>
        <v>8.2801397838544499</v>
      </c>
      <c r="I379" s="6">
        <f t="shared" si="94"/>
        <v>-4.3327713628018172</v>
      </c>
      <c r="J379" s="6">
        <v>8700.7999999999993</v>
      </c>
      <c r="K379" s="6">
        <f t="shared" si="107"/>
        <v>-6.1078257866793333</v>
      </c>
      <c r="L379" s="6">
        <f t="shared" si="95"/>
        <v>50.568072635169727</v>
      </c>
      <c r="M379" s="6">
        <f t="shared" si="96"/>
        <v>-56.675898421849062</v>
      </c>
      <c r="N379" s="6">
        <v>2409.63</v>
      </c>
      <c r="O379" s="6">
        <f t="shared" si="108"/>
        <v>-8.225897981802321</v>
      </c>
      <c r="P379" s="6">
        <f t="shared" si="97"/>
        <v>22.19233205125569</v>
      </c>
      <c r="Q379" s="6">
        <f t="shared" si="98"/>
        <v>-30.418230033058009</v>
      </c>
      <c r="R379" s="6"/>
      <c r="S379" s="6" t="str">
        <f t="shared" si="109"/>
        <v/>
      </c>
      <c r="T379" s="6" t="str">
        <f t="shared" si="99"/>
        <v/>
      </c>
      <c r="U379" s="6" t="str">
        <f t="shared" si="100"/>
        <v/>
      </c>
      <c r="V379" s="6">
        <v>18.07</v>
      </c>
      <c r="W379" s="6">
        <f t="shared" si="110"/>
        <v>-0.82327113062568014</v>
      </c>
      <c r="X379" s="6">
        <f t="shared" si="101"/>
        <v>16.770175612628769</v>
      </c>
      <c r="Y379" s="6">
        <f t="shared" si="102"/>
        <v>-17.59344674325445</v>
      </c>
      <c r="Z379" s="6"/>
      <c r="AA379" s="6" t="str">
        <f t="shared" si="111"/>
        <v/>
      </c>
      <c r="AB379" s="6" t="str">
        <f t="shared" si="103"/>
        <v/>
      </c>
      <c r="AC379" s="6" t="str">
        <f t="shared" si="104"/>
        <v/>
      </c>
    </row>
    <row r="380" spans="1:29" x14ac:dyDescent="0.2">
      <c r="A380" t="s">
        <v>464</v>
      </c>
      <c r="B380" s="6">
        <v>319</v>
      </c>
      <c r="C380" s="6">
        <f t="shared" si="105"/>
        <v>19.475655430711612</v>
      </c>
      <c r="D380" s="6">
        <f t="shared" si="91"/>
        <v>8.0305716721620986</v>
      </c>
      <c r="E380" s="6">
        <f t="shared" si="92"/>
        <v>11.445083758549513</v>
      </c>
      <c r="F380" s="6">
        <v>39.5</v>
      </c>
      <c r="G380" s="6">
        <f t="shared" si="106"/>
        <v>3.9473684210526327</v>
      </c>
      <c r="H380" s="6">
        <f t="shared" si="93"/>
        <v>8.4640026422198762</v>
      </c>
      <c r="I380" s="6">
        <f t="shared" si="94"/>
        <v>-4.5166342211672434</v>
      </c>
      <c r="J380" s="6">
        <v>9021</v>
      </c>
      <c r="K380" s="6">
        <f t="shared" si="107"/>
        <v>0.91168409866324573</v>
      </c>
      <c r="L380" s="6">
        <f t="shared" si="95"/>
        <v>50.617949520164615</v>
      </c>
      <c r="M380" s="6">
        <f t="shared" si="96"/>
        <v>-49.706265421501371</v>
      </c>
      <c r="N380" s="6">
        <v>2472.04</v>
      </c>
      <c r="O380" s="6">
        <f t="shared" si="108"/>
        <v>-7.9708877017292457</v>
      </c>
      <c r="P380" s="6">
        <f t="shared" si="97"/>
        <v>21.99123228345556</v>
      </c>
      <c r="Q380" s="6">
        <f t="shared" si="98"/>
        <v>-29.962119985184806</v>
      </c>
      <c r="R380" s="6"/>
      <c r="S380" s="6" t="str">
        <f t="shared" si="109"/>
        <v/>
      </c>
      <c r="T380" s="6" t="str">
        <f t="shared" si="99"/>
        <v/>
      </c>
      <c r="U380" s="6" t="str">
        <f t="shared" si="100"/>
        <v/>
      </c>
      <c r="V380" s="6">
        <v>18.47</v>
      </c>
      <c r="W380" s="6">
        <f t="shared" si="110"/>
        <v>11.601208459214485</v>
      </c>
      <c r="X380" s="6">
        <f t="shared" si="101"/>
        <v>15.913103182124132</v>
      </c>
      <c r="Y380" s="6">
        <f t="shared" si="102"/>
        <v>-4.3118947229096474</v>
      </c>
      <c r="Z380" s="6"/>
      <c r="AA380" s="6" t="str">
        <f t="shared" si="111"/>
        <v/>
      </c>
      <c r="AB380" s="6" t="str">
        <f t="shared" si="103"/>
        <v/>
      </c>
      <c r="AC380" s="6" t="str">
        <f t="shared" si="104"/>
        <v/>
      </c>
    </row>
    <row r="381" spans="1:29" x14ac:dyDescent="0.2">
      <c r="A381" t="s">
        <v>465</v>
      </c>
      <c r="B381" s="6">
        <v>318</v>
      </c>
      <c r="C381" s="6">
        <f t="shared" si="105"/>
        <v>13.167259786476858</v>
      </c>
      <c r="D381" s="6">
        <f t="shared" si="91"/>
        <v>7.6012593972165208</v>
      </c>
      <c r="E381" s="6">
        <f t="shared" si="92"/>
        <v>5.5660003892603376</v>
      </c>
      <c r="F381" s="6">
        <v>39.5</v>
      </c>
      <c r="G381" s="6">
        <f t="shared" si="106"/>
        <v>-2.4691358024691357</v>
      </c>
      <c r="H381" s="6">
        <f t="shared" si="93"/>
        <v>8.9527435493657901</v>
      </c>
      <c r="I381" s="6">
        <f t="shared" si="94"/>
        <v>-11.421879351834926</v>
      </c>
      <c r="J381" s="6">
        <v>8452.4</v>
      </c>
      <c r="K381" s="6">
        <f t="shared" si="107"/>
        <v>-2.8236376178431888</v>
      </c>
      <c r="L381" s="6">
        <f t="shared" si="95"/>
        <v>50.689766003499678</v>
      </c>
      <c r="M381" s="6">
        <f t="shared" si="96"/>
        <v>-53.513403621342867</v>
      </c>
      <c r="N381" s="6">
        <v>2305.88</v>
      </c>
      <c r="O381" s="6">
        <f t="shared" si="108"/>
        <v>-15.90364521599591</v>
      </c>
      <c r="P381" s="6">
        <f t="shared" si="97"/>
        <v>21.753084665407258</v>
      </c>
      <c r="Q381" s="6">
        <f t="shared" si="98"/>
        <v>-37.656729881403166</v>
      </c>
      <c r="R381" s="6"/>
      <c r="S381" s="6" t="str">
        <f t="shared" si="109"/>
        <v/>
      </c>
      <c r="T381" s="6" t="str">
        <f t="shared" si="99"/>
        <v/>
      </c>
      <c r="U381" s="6" t="str">
        <f t="shared" si="100"/>
        <v/>
      </c>
      <c r="V381" s="6">
        <v>18.82</v>
      </c>
      <c r="W381" s="6">
        <f t="shared" si="110"/>
        <v>13.51025331724971</v>
      </c>
      <c r="X381" s="6">
        <f t="shared" si="101"/>
        <v>15.104374856957207</v>
      </c>
      <c r="Y381" s="6">
        <f t="shared" si="102"/>
        <v>-1.5941215397074977</v>
      </c>
      <c r="Z381" s="6"/>
      <c r="AA381" s="6" t="str">
        <f t="shared" si="111"/>
        <v/>
      </c>
      <c r="AB381" s="6" t="str">
        <f t="shared" si="103"/>
        <v/>
      </c>
      <c r="AC381" s="6" t="str">
        <f t="shared" si="104"/>
        <v/>
      </c>
    </row>
    <row r="382" spans="1:29" x14ac:dyDescent="0.2">
      <c r="A382" t="s">
        <v>466</v>
      </c>
      <c r="B382" s="6">
        <v>311</v>
      </c>
      <c r="C382" s="6">
        <f t="shared" si="105"/>
        <v>14.338235294117641</v>
      </c>
      <c r="D382" s="6">
        <f t="shared" si="91"/>
        <v>6.9739666651770849</v>
      </c>
      <c r="E382" s="6">
        <f t="shared" si="92"/>
        <v>7.3642686289405566</v>
      </c>
      <c r="F382" s="6">
        <v>39.5</v>
      </c>
      <c r="G382" s="6">
        <f t="shared" si="106"/>
        <v>-2.4691358024691357</v>
      </c>
      <c r="H382" s="6">
        <f t="shared" si="93"/>
        <v>9.307807285188332</v>
      </c>
      <c r="I382" s="6">
        <f t="shared" si="94"/>
        <v>-11.776943087657468</v>
      </c>
      <c r="J382" s="6">
        <v>8280</v>
      </c>
      <c r="K382" s="6">
        <f t="shared" si="107"/>
        <v>-1.6872276510609074</v>
      </c>
      <c r="L382" s="6">
        <f t="shared" si="95"/>
        <v>50.42875388684876</v>
      </c>
      <c r="M382" s="6">
        <f t="shared" si="96"/>
        <v>-52.115981537909668</v>
      </c>
      <c r="N382" s="6">
        <v>2219.2800000000002</v>
      </c>
      <c r="O382" s="6">
        <f t="shared" si="108"/>
        <v>-14.133159996285627</v>
      </c>
      <c r="P382" s="6">
        <f t="shared" si="97"/>
        <v>21.272418463740316</v>
      </c>
      <c r="Q382" s="6">
        <f t="shared" si="98"/>
        <v>-35.405578460025943</v>
      </c>
      <c r="R382" s="6"/>
      <c r="S382" s="6" t="str">
        <f t="shared" si="109"/>
        <v/>
      </c>
      <c r="T382" s="6" t="str">
        <f t="shared" si="99"/>
        <v/>
      </c>
      <c r="U382" s="6" t="str">
        <f t="shared" si="100"/>
        <v/>
      </c>
      <c r="V382" s="6">
        <v>17.93</v>
      </c>
      <c r="W382" s="6">
        <f t="shared" si="110"/>
        <v>17.419777341191889</v>
      </c>
      <c r="X382" s="6">
        <f t="shared" si="101"/>
        <v>14.675197068316338</v>
      </c>
      <c r="Y382" s="6">
        <f t="shared" si="102"/>
        <v>2.7445802728755506</v>
      </c>
      <c r="Z382" s="6"/>
      <c r="AA382" s="6" t="str">
        <f t="shared" si="111"/>
        <v/>
      </c>
      <c r="AB382" s="6" t="str">
        <f t="shared" si="103"/>
        <v/>
      </c>
      <c r="AC382" s="6" t="str">
        <f t="shared" si="104"/>
        <v/>
      </c>
    </row>
    <row r="383" spans="1:29" x14ac:dyDescent="0.2">
      <c r="A383" t="s">
        <v>467</v>
      </c>
      <c r="B383" s="6">
        <v>341</v>
      </c>
      <c r="C383" s="6">
        <f t="shared" si="105"/>
        <v>22.222222222222232</v>
      </c>
      <c r="D383" s="6">
        <f t="shared" si="91"/>
        <v>6.4239144683724367</v>
      </c>
      <c r="E383" s="6">
        <f t="shared" si="92"/>
        <v>15.798307753849794</v>
      </c>
      <c r="F383" s="6">
        <v>39.5</v>
      </c>
      <c r="G383" s="6">
        <f t="shared" si="106"/>
        <v>-2.4691358024691357</v>
      </c>
      <c r="H383" s="6">
        <f t="shared" si="93"/>
        <v>9.6628710210108757</v>
      </c>
      <c r="I383" s="6">
        <f t="shared" si="94"/>
        <v>-12.132006823480012</v>
      </c>
      <c r="J383" s="6">
        <v>8541.2999999999993</v>
      </c>
      <c r="K383" s="6">
        <f t="shared" si="107"/>
        <v>-8.3374471464446103</v>
      </c>
      <c r="L383" s="6">
        <f t="shared" si="95"/>
        <v>50.216076031830163</v>
      </c>
      <c r="M383" s="6">
        <f t="shared" si="96"/>
        <v>-58.553523178274773</v>
      </c>
      <c r="N383" s="6">
        <v>2236.2800000000002</v>
      </c>
      <c r="O383" s="6">
        <f t="shared" si="108"/>
        <v>-19.2530032605281</v>
      </c>
      <c r="P383" s="6">
        <f t="shared" si="97"/>
        <v>20.743968615100187</v>
      </c>
      <c r="Q383" s="6">
        <f t="shared" si="98"/>
        <v>-39.99697187562829</v>
      </c>
      <c r="R383" s="6"/>
      <c r="S383" s="6" t="str">
        <f t="shared" si="109"/>
        <v/>
      </c>
      <c r="T383" s="6" t="str">
        <f t="shared" si="99"/>
        <v/>
      </c>
      <c r="U383" s="6" t="str">
        <f t="shared" si="100"/>
        <v/>
      </c>
      <c r="V383" s="6">
        <v>19.05</v>
      </c>
      <c r="W383" s="6">
        <f t="shared" si="110"/>
        <v>10.949330227140353</v>
      </c>
      <c r="X383" s="6">
        <f t="shared" si="101"/>
        <v>13.830303189084837</v>
      </c>
      <c r="Y383" s="6">
        <f t="shared" si="102"/>
        <v>-2.8809729619444848</v>
      </c>
      <c r="Z383" s="6"/>
      <c r="AA383" s="6" t="str">
        <f t="shared" si="111"/>
        <v/>
      </c>
      <c r="AB383" s="6" t="str">
        <f t="shared" si="103"/>
        <v/>
      </c>
      <c r="AC383" s="6" t="str">
        <f t="shared" si="104"/>
        <v/>
      </c>
    </row>
    <row r="384" spans="1:29" x14ac:dyDescent="0.2">
      <c r="A384" t="s">
        <v>468</v>
      </c>
      <c r="B384" s="6">
        <v>338</v>
      </c>
      <c r="C384" s="6">
        <f t="shared" si="105"/>
        <v>16.151202749140904</v>
      </c>
      <c r="D384" s="6">
        <f t="shared" si="91"/>
        <v>6.1421564660261998</v>
      </c>
      <c r="E384" s="6">
        <f t="shared" si="92"/>
        <v>10.009046283114703</v>
      </c>
      <c r="F384" s="6">
        <v>39.5</v>
      </c>
      <c r="G384" s="6">
        <f t="shared" si="106"/>
        <v>-2.4691358024691357</v>
      </c>
      <c r="H384" s="6">
        <f t="shared" si="93"/>
        <v>9.8654957324431756</v>
      </c>
      <c r="I384" s="6">
        <f t="shared" si="94"/>
        <v>-12.334631534912312</v>
      </c>
      <c r="J384" s="6">
        <v>8144.7</v>
      </c>
      <c r="K384" s="6">
        <f t="shared" si="107"/>
        <v>-25.669410626608503</v>
      </c>
      <c r="L384" s="6">
        <f t="shared" si="95"/>
        <v>49.593751414353044</v>
      </c>
      <c r="M384" s="6">
        <f t="shared" si="96"/>
        <v>-75.263162040961546</v>
      </c>
      <c r="N384" s="6">
        <v>2233.19</v>
      </c>
      <c r="O384" s="6">
        <f t="shared" si="108"/>
        <v>-24.478615367446398</v>
      </c>
      <c r="P384" s="6">
        <f t="shared" si="97"/>
        <v>19.79995481170921</v>
      </c>
      <c r="Q384" s="6">
        <f t="shared" si="98"/>
        <v>-44.278570179155608</v>
      </c>
      <c r="R384" s="6"/>
      <c r="S384" s="6" t="str">
        <f t="shared" si="109"/>
        <v/>
      </c>
      <c r="T384" s="6" t="str">
        <f t="shared" si="99"/>
        <v/>
      </c>
      <c r="U384" s="6" t="str">
        <f t="shared" si="100"/>
        <v/>
      </c>
      <c r="V384" s="6">
        <v>19.37</v>
      </c>
      <c r="W384" s="6">
        <f t="shared" si="110"/>
        <v>-26.628787878787875</v>
      </c>
      <c r="X384" s="6">
        <f t="shared" si="101"/>
        <v>11.892787069856425</v>
      </c>
      <c r="Y384" s="6">
        <f t="shared" si="102"/>
        <v>-38.5215749486443</v>
      </c>
      <c r="Z384" s="6"/>
      <c r="AA384" s="6" t="str">
        <f t="shared" si="111"/>
        <v/>
      </c>
      <c r="AB384" s="6" t="str">
        <f t="shared" si="103"/>
        <v/>
      </c>
      <c r="AC384" s="6" t="str">
        <f t="shared" si="104"/>
        <v/>
      </c>
    </row>
    <row r="385" spans="1:29" x14ac:dyDescent="0.2">
      <c r="A385" t="s">
        <v>469</v>
      </c>
      <c r="B385" s="6">
        <v>323</v>
      </c>
      <c r="C385" s="6">
        <f t="shared" si="105"/>
        <v>13.732394366197177</v>
      </c>
      <c r="D385" s="6">
        <f t="shared" ref="D385:D448" si="112">IF(COUNT(C337:C384)&lt;48,"",AVERAGE(C337:C384))</f>
        <v>5.3047819886129961</v>
      </c>
      <c r="E385" s="6">
        <f t="shared" ref="E385:E448" si="113">IF(OR(C385="",D385=""),"",C385-D385)</f>
        <v>8.4276123775841807</v>
      </c>
      <c r="F385" s="6">
        <v>39.5</v>
      </c>
      <c r="G385" s="6">
        <f t="shared" si="106"/>
        <v>-2.4691358024691357</v>
      </c>
      <c r="H385" s="6">
        <f t="shared" ref="H385:H448" si="114">IF(COUNT(G337:G384)&lt;48,"",AVERAGE(G337:G384))</f>
        <v>10.068120443875475</v>
      </c>
      <c r="I385" s="6">
        <f t="shared" ref="I385:I448" si="115">IF(OR(G385="",H385=""),"",G385-H385)</f>
        <v>-12.537256246344612</v>
      </c>
      <c r="J385" s="6">
        <v>7680.7</v>
      </c>
      <c r="K385" s="6">
        <f t="shared" si="107"/>
        <v>-29.170970121726302</v>
      </c>
      <c r="L385" s="6">
        <f t="shared" ref="L385:L448" si="116">IF(COUNT(K337:K384)&lt;48,"",AVERAGE(K337:K384))</f>
        <v>48.238694409027069</v>
      </c>
      <c r="M385" s="6">
        <f t="shared" ref="M385:M448" si="117">IF(OR(K385="",L385=""),"",K385-L385)</f>
        <v>-77.409664530753375</v>
      </c>
      <c r="N385" s="6">
        <v>2324.5700000000002</v>
      </c>
      <c r="O385" s="6">
        <f t="shared" si="108"/>
        <v>-23.316190369370936</v>
      </c>
      <c r="P385" s="6">
        <f t="shared" ref="P385:P448" si="118">IF(COUNT(O337:O384)&lt;48,"",AVERAGE(O337:O384))</f>
        <v>18.565413402676267</v>
      </c>
      <c r="Q385" s="6">
        <f t="shared" ref="Q385:Q448" si="119">IF(OR(O385="",P385=""),"",O385-P385)</f>
        <v>-41.8816037720472</v>
      </c>
      <c r="R385" s="6"/>
      <c r="S385" s="6" t="str">
        <f t="shared" si="109"/>
        <v/>
      </c>
      <c r="T385" s="6" t="str">
        <f t="shared" ref="T385:T448" si="120">IF(COUNT(S337:S384)&lt;48,"",AVERAGE(S337:S384))</f>
        <v/>
      </c>
      <c r="U385" s="6" t="str">
        <f t="shared" ref="U385:U448" si="121">IF(OR(S385="",T385=""),"",S385-T385)</f>
        <v/>
      </c>
      <c r="V385" s="6">
        <v>20.05</v>
      </c>
      <c r="W385" s="6">
        <f t="shared" si="110"/>
        <v>-38.685015290519885</v>
      </c>
      <c r="X385" s="6">
        <f t="shared" ref="X385:X448" si="122">IF(COUNT(W337:W384)&lt;48,"",AVERAGE(W337:W384))</f>
        <v>10.559431847929121</v>
      </c>
      <c r="Y385" s="6">
        <f t="shared" ref="Y385:Y448" si="123">IF(OR(W385="",X385=""),"",W385-X385)</f>
        <v>-49.244447138449004</v>
      </c>
      <c r="Z385" s="6"/>
      <c r="AA385" s="6" t="str">
        <f t="shared" si="111"/>
        <v/>
      </c>
      <c r="AB385" s="6" t="str">
        <f t="shared" ref="AB385:AB448" si="124">IF(COUNT(AA337:AA384)&lt;48,"",AVERAGE(AA337:AA384))</f>
        <v/>
      </c>
      <c r="AC385" s="6" t="str">
        <f t="shared" ref="AC385:AC448" si="125">IF(OR(AA385="",AB385=""),"",AA385-AB385)</f>
        <v/>
      </c>
    </row>
    <row r="386" spans="1:29" x14ac:dyDescent="0.2">
      <c r="A386" t="s">
        <v>470</v>
      </c>
      <c r="B386" s="6">
        <v>345</v>
      </c>
      <c r="C386" s="6">
        <f t="shared" si="105"/>
        <v>18.965517241379317</v>
      </c>
      <c r="D386" s="6">
        <f t="shared" si="112"/>
        <v>4.3026287714031355</v>
      </c>
      <c r="E386" s="6">
        <f t="shared" si="113"/>
        <v>14.662888469976181</v>
      </c>
      <c r="F386" s="6">
        <v>39.5</v>
      </c>
      <c r="G386" s="6">
        <f t="shared" si="106"/>
        <v>-2.4691358024691357</v>
      </c>
      <c r="H386" s="6">
        <f t="shared" si="114"/>
        <v>10.270745155307775</v>
      </c>
      <c r="I386" s="6">
        <f t="shared" si="115"/>
        <v>-12.739880957776911</v>
      </c>
      <c r="J386" s="6">
        <v>7443</v>
      </c>
      <c r="K386" s="6">
        <f t="shared" si="107"/>
        <v>-18.614822752421979</v>
      </c>
      <c r="L386" s="6">
        <f t="shared" si="116"/>
        <v>46.730515583734437</v>
      </c>
      <c r="M386" s="6">
        <f t="shared" si="117"/>
        <v>-65.345338336156416</v>
      </c>
      <c r="N386" s="6">
        <v>2363.64</v>
      </c>
      <c r="O386" s="6">
        <f t="shared" si="108"/>
        <v>-13.847701526483846</v>
      </c>
      <c r="P386" s="6">
        <f t="shared" si="118"/>
        <v>17.361999822690773</v>
      </c>
      <c r="Q386" s="6">
        <f t="shared" si="119"/>
        <v>-31.209701349174619</v>
      </c>
      <c r="R386" s="6"/>
      <c r="S386" s="6" t="str">
        <f t="shared" si="109"/>
        <v/>
      </c>
      <c r="T386" s="6" t="str">
        <f t="shared" si="120"/>
        <v/>
      </c>
      <c r="U386" s="6" t="str">
        <f t="shared" si="121"/>
        <v/>
      </c>
      <c r="V386" s="6">
        <v>21.47</v>
      </c>
      <c r="W386" s="6">
        <f t="shared" si="110"/>
        <v>-37.768115942028992</v>
      </c>
      <c r="X386" s="6">
        <f t="shared" si="122"/>
        <v>9.1320451657402604</v>
      </c>
      <c r="Y386" s="6">
        <f t="shared" si="123"/>
        <v>-46.90016110776925</v>
      </c>
      <c r="Z386" s="6"/>
      <c r="AA386" s="6" t="str">
        <f t="shared" si="111"/>
        <v/>
      </c>
      <c r="AB386" s="6" t="str">
        <f t="shared" si="124"/>
        <v/>
      </c>
      <c r="AC386" s="6" t="str">
        <f t="shared" si="125"/>
        <v/>
      </c>
    </row>
    <row r="387" spans="1:29" x14ac:dyDescent="0.2">
      <c r="A387" t="s">
        <v>471</v>
      </c>
      <c r="B387" s="6">
        <v>362</v>
      </c>
      <c r="C387" s="6">
        <f t="shared" si="105"/>
        <v>9.3655589123867067</v>
      </c>
      <c r="D387" s="6">
        <f t="shared" si="112"/>
        <v>4.0773393021671644</v>
      </c>
      <c r="E387" s="6">
        <f t="shared" si="113"/>
        <v>5.2882196102195422</v>
      </c>
      <c r="F387" s="6">
        <v>39.5</v>
      </c>
      <c r="G387" s="6">
        <f t="shared" si="106"/>
        <v>-2.4691358024691357</v>
      </c>
      <c r="H387" s="6">
        <f t="shared" si="114"/>
        <v>10.473369866740072</v>
      </c>
      <c r="I387" s="6">
        <f t="shared" si="115"/>
        <v>-12.942505669209208</v>
      </c>
      <c r="J387" s="6">
        <v>7244.6</v>
      </c>
      <c r="K387" s="6">
        <f t="shared" si="107"/>
        <v>-15.636863311363147</v>
      </c>
      <c r="L387" s="6">
        <f t="shared" si="116"/>
        <v>45.171839370651696</v>
      </c>
      <c r="M387" s="6">
        <f t="shared" si="117"/>
        <v>-60.80870268201484</v>
      </c>
      <c r="N387" s="6">
        <v>2379.84</v>
      </c>
      <c r="O387" s="6">
        <f t="shared" si="108"/>
        <v>-7.9682430420474066</v>
      </c>
      <c r="P387" s="6">
        <f t="shared" si="118"/>
        <v>16.044496320354401</v>
      </c>
      <c r="Q387" s="6">
        <f t="shared" si="119"/>
        <v>-24.01273936240181</v>
      </c>
      <c r="R387" s="6"/>
      <c r="S387" s="6" t="str">
        <f t="shared" si="109"/>
        <v/>
      </c>
      <c r="T387" s="6" t="str">
        <f t="shared" si="120"/>
        <v/>
      </c>
      <c r="U387" s="6" t="str">
        <f t="shared" si="121"/>
        <v/>
      </c>
      <c r="V387" s="6">
        <v>20.77</v>
      </c>
      <c r="W387" s="6">
        <f t="shared" si="110"/>
        <v>-33.172458172458178</v>
      </c>
      <c r="X387" s="6">
        <f t="shared" si="122"/>
        <v>7.6552452592418989</v>
      </c>
      <c r="Y387" s="6">
        <f t="shared" si="123"/>
        <v>-40.82770343170008</v>
      </c>
      <c r="Z387" s="6"/>
      <c r="AA387" s="6" t="str">
        <f t="shared" si="111"/>
        <v/>
      </c>
      <c r="AB387" s="6" t="str">
        <f t="shared" si="124"/>
        <v/>
      </c>
      <c r="AC387" s="6" t="str">
        <f t="shared" si="125"/>
        <v/>
      </c>
    </row>
    <row r="388" spans="1:29" x14ac:dyDescent="0.2">
      <c r="A388" t="s">
        <v>472</v>
      </c>
      <c r="B388" s="6">
        <v>376</v>
      </c>
      <c r="C388" s="6">
        <f t="shared" si="105"/>
        <v>8.6705202312138638</v>
      </c>
      <c r="D388" s="6">
        <f t="shared" si="112"/>
        <v>3.8255354208726917</v>
      </c>
      <c r="E388" s="6">
        <f t="shared" si="113"/>
        <v>4.8449848103411721</v>
      </c>
      <c r="F388" s="6">
        <v>39.5</v>
      </c>
      <c r="G388" s="6">
        <f t="shared" si="106"/>
        <v>-2.4691358024691357</v>
      </c>
      <c r="H388" s="6">
        <f t="shared" si="114"/>
        <v>10.540493223158817</v>
      </c>
      <c r="I388" s="6">
        <f t="shared" si="115"/>
        <v>-13.009629025627953</v>
      </c>
      <c r="J388" s="6">
        <v>7117.8</v>
      </c>
      <c r="K388" s="6">
        <f t="shared" si="107"/>
        <v>-12.746395998823189</v>
      </c>
      <c r="L388" s="6">
        <f t="shared" si="116"/>
        <v>43.533262488787422</v>
      </c>
      <c r="M388" s="6">
        <f t="shared" si="117"/>
        <v>-56.279658487610611</v>
      </c>
      <c r="N388" s="6">
        <v>2223.14</v>
      </c>
      <c r="O388" s="6">
        <f t="shared" si="108"/>
        <v>-10.551304025943731</v>
      </c>
      <c r="P388" s="6">
        <f t="shared" si="118"/>
        <v>13.927044817444958</v>
      </c>
      <c r="Q388" s="6">
        <f t="shared" si="119"/>
        <v>-24.478348843388687</v>
      </c>
      <c r="R388" s="6"/>
      <c r="S388" s="6" t="str">
        <f t="shared" si="109"/>
        <v/>
      </c>
      <c r="T388" s="6" t="str">
        <f t="shared" si="120"/>
        <v/>
      </c>
      <c r="U388" s="6" t="str">
        <f t="shared" si="121"/>
        <v/>
      </c>
      <c r="V388" s="6">
        <v>17.75</v>
      </c>
      <c r="W388" s="6">
        <f t="shared" si="110"/>
        <v>-32.070417145044004</v>
      </c>
      <c r="X388" s="6">
        <f t="shared" si="122"/>
        <v>6.488373833936218</v>
      </c>
      <c r="Y388" s="6">
        <f t="shared" si="123"/>
        <v>-38.55879097898022</v>
      </c>
      <c r="Z388" s="6"/>
      <c r="AA388" s="6" t="str">
        <f t="shared" si="111"/>
        <v/>
      </c>
      <c r="AB388" s="6" t="str">
        <f t="shared" si="124"/>
        <v/>
      </c>
      <c r="AC388" s="6" t="str">
        <f t="shared" si="125"/>
        <v/>
      </c>
    </row>
    <row r="389" spans="1:29" x14ac:dyDescent="0.2">
      <c r="A389" t="s">
        <v>473</v>
      </c>
      <c r="B389" s="6">
        <v>383</v>
      </c>
      <c r="C389" s="6">
        <f t="shared" si="105"/>
        <v>9.7421203438395452</v>
      </c>
      <c r="D389" s="6">
        <f t="shared" si="112"/>
        <v>3.0178322374075068</v>
      </c>
      <c r="E389" s="6">
        <f t="shared" si="113"/>
        <v>6.7242881064320379</v>
      </c>
      <c r="F389" s="6">
        <v>39.5</v>
      </c>
      <c r="G389" s="6">
        <f t="shared" si="106"/>
        <v>-2.4691358024691357</v>
      </c>
      <c r="H389" s="6">
        <f t="shared" si="114"/>
        <v>10.364409019296838</v>
      </c>
      <c r="I389" s="6">
        <f t="shared" si="115"/>
        <v>-12.833544821765974</v>
      </c>
      <c r="J389" s="6">
        <v>7517.3</v>
      </c>
      <c r="K389" s="6">
        <f t="shared" si="107"/>
        <v>-12.271263187377457</v>
      </c>
      <c r="L389" s="6">
        <f t="shared" si="116"/>
        <v>40.882160283191062</v>
      </c>
      <c r="M389" s="6">
        <f t="shared" si="117"/>
        <v>-53.153423470568519</v>
      </c>
      <c r="N389" s="6">
        <v>2139.23</v>
      </c>
      <c r="O389" s="6">
        <f t="shared" si="108"/>
        <v>-12.631712217992908</v>
      </c>
      <c r="P389" s="6">
        <f t="shared" si="118"/>
        <v>11.315510649638815</v>
      </c>
      <c r="Q389" s="6">
        <f t="shared" si="119"/>
        <v>-23.947222867631723</v>
      </c>
      <c r="R389" s="6"/>
      <c r="S389" s="6" t="str">
        <f t="shared" si="109"/>
        <v/>
      </c>
      <c r="T389" s="6" t="str">
        <f t="shared" si="120"/>
        <v/>
      </c>
      <c r="U389" s="6" t="str">
        <f t="shared" si="121"/>
        <v/>
      </c>
      <c r="V389" s="6">
        <v>17.38</v>
      </c>
      <c r="W389" s="6">
        <f t="shared" si="110"/>
        <v>-23.029229406554474</v>
      </c>
      <c r="X389" s="6">
        <f t="shared" si="122"/>
        <v>5.6940177794688873</v>
      </c>
      <c r="Y389" s="6">
        <f t="shared" si="123"/>
        <v>-28.723247186023361</v>
      </c>
      <c r="Z389" s="6"/>
      <c r="AA389" s="6" t="str">
        <f t="shared" si="111"/>
        <v/>
      </c>
      <c r="AB389" s="6" t="str">
        <f t="shared" si="124"/>
        <v/>
      </c>
      <c r="AC389" s="6" t="str">
        <f t="shared" si="125"/>
        <v/>
      </c>
    </row>
    <row r="390" spans="1:29" x14ac:dyDescent="0.2">
      <c r="A390" t="s">
        <v>474</v>
      </c>
      <c r="B390" s="6">
        <v>382</v>
      </c>
      <c r="C390" s="6">
        <f t="shared" si="105"/>
        <v>13.017751479289942</v>
      </c>
      <c r="D390" s="6">
        <f t="shared" si="112"/>
        <v>2.4112692683803543</v>
      </c>
      <c r="E390" s="6">
        <f t="shared" si="113"/>
        <v>10.606482210909586</v>
      </c>
      <c r="F390" s="6">
        <v>39.5</v>
      </c>
      <c r="G390" s="6">
        <f t="shared" si="106"/>
        <v>-2.4691358024691357</v>
      </c>
      <c r="H390" s="6">
        <f t="shared" si="114"/>
        <v>10.188324815434862</v>
      </c>
      <c r="I390" s="6">
        <f t="shared" si="115"/>
        <v>-12.657460617903999</v>
      </c>
      <c r="J390" s="6">
        <v>7861.9</v>
      </c>
      <c r="K390" s="6">
        <f t="shared" si="107"/>
        <v>-9.3446951789029402</v>
      </c>
      <c r="L390" s="6">
        <f t="shared" si="116"/>
        <v>37.938659104841001</v>
      </c>
      <c r="M390" s="6">
        <f t="shared" si="117"/>
        <v>-47.28335428374394</v>
      </c>
      <c r="N390" s="6">
        <v>2205.9699999999998</v>
      </c>
      <c r="O390" s="6">
        <f t="shared" si="108"/>
        <v>-9.9376168663090407</v>
      </c>
      <c r="P390" s="6">
        <f t="shared" si="118"/>
        <v>9.0135931681285033</v>
      </c>
      <c r="Q390" s="6">
        <f t="shared" si="119"/>
        <v>-18.951210034437544</v>
      </c>
      <c r="R390" s="6"/>
      <c r="S390" s="6" t="str">
        <f t="shared" si="109"/>
        <v/>
      </c>
      <c r="T390" s="6" t="str">
        <f t="shared" si="120"/>
        <v/>
      </c>
      <c r="U390" s="6" t="str">
        <f t="shared" si="121"/>
        <v/>
      </c>
      <c r="V390" s="6">
        <v>17.62</v>
      </c>
      <c r="W390" s="6">
        <f t="shared" si="110"/>
        <v>-2.8130170987313741</v>
      </c>
      <c r="X390" s="6">
        <f t="shared" si="122"/>
        <v>5.3987099771994274</v>
      </c>
      <c r="Y390" s="6">
        <f t="shared" si="123"/>
        <v>-8.211727075930801</v>
      </c>
      <c r="Z390" s="6"/>
      <c r="AA390" s="6" t="str">
        <f t="shared" si="111"/>
        <v/>
      </c>
      <c r="AB390" s="6" t="str">
        <f t="shared" si="124"/>
        <v/>
      </c>
      <c r="AC390" s="6" t="str">
        <f t="shared" si="125"/>
        <v/>
      </c>
    </row>
    <row r="391" spans="1:29" x14ac:dyDescent="0.2">
      <c r="A391" t="s">
        <v>475</v>
      </c>
      <c r="B391" s="6">
        <v>396</v>
      </c>
      <c r="C391" s="6">
        <f t="shared" si="105"/>
        <v>13.793103448275868</v>
      </c>
      <c r="D391" s="6">
        <f t="shared" si="112"/>
        <v>2.221613838340311</v>
      </c>
      <c r="E391" s="6">
        <f t="shared" si="113"/>
        <v>11.571489609935558</v>
      </c>
      <c r="F391" s="6">
        <v>39.5</v>
      </c>
      <c r="G391" s="6">
        <f t="shared" si="106"/>
        <v>0</v>
      </c>
      <c r="H391" s="6">
        <f t="shared" si="114"/>
        <v>10.012240611572881</v>
      </c>
      <c r="I391" s="6">
        <f t="shared" si="115"/>
        <v>-10.012240611572881</v>
      </c>
      <c r="J391" s="6">
        <v>7417.7</v>
      </c>
      <c r="K391" s="6">
        <f t="shared" si="107"/>
        <v>-14.746919823464498</v>
      </c>
      <c r="L391" s="6">
        <f t="shared" si="116"/>
        <v>34.969619153379341</v>
      </c>
      <c r="M391" s="6">
        <f t="shared" si="117"/>
        <v>-49.716538976843836</v>
      </c>
      <c r="N391" s="6">
        <v>2227.33</v>
      </c>
      <c r="O391" s="6">
        <f t="shared" si="108"/>
        <v>-7.5654768574428548</v>
      </c>
      <c r="P391" s="6">
        <f t="shared" si="118"/>
        <v>7.3716453997947289</v>
      </c>
      <c r="Q391" s="6">
        <f t="shared" si="119"/>
        <v>-14.937122257237583</v>
      </c>
      <c r="R391" s="6"/>
      <c r="S391" s="6" t="str">
        <f t="shared" si="109"/>
        <v/>
      </c>
      <c r="T391" s="6" t="str">
        <f t="shared" si="120"/>
        <v/>
      </c>
      <c r="U391" s="6" t="str">
        <f t="shared" si="121"/>
        <v/>
      </c>
      <c r="V391" s="6">
        <v>17.45</v>
      </c>
      <c r="W391" s="6">
        <f t="shared" si="110"/>
        <v>-3.4311012728278967</v>
      </c>
      <c r="X391" s="6">
        <f t="shared" si="122"/>
        <v>5.5091875799130543</v>
      </c>
      <c r="Y391" s="6">
        <f t="shared" si="123"/>
        <v>-8.9402888527409505</v>
      </c>
      <c r="Z391" s="6"/>
      <c r="AA391" s="6" t="str">
        <f t="shared" si="111"/>
        <v/>
      </c>
      <c r="AB391" s="6" t="str">
        <f t="shared" si="124"/>
        <v/>
      </c>
      <c r="AC391" s="6" t="str">
        <f t="shared" si="125"/>
        <v/>
      </c>
    </row>
    <row r="392" spans="1:29" x14ac:dyDescent="0.2">
      <c r="A392" t="s">
        <v>476</v>
      </c>
      <c r="B392" s="6">
        <v>402</v>
      </c>
      <c r="C392" s="6">
        <f t="shared" si="105"/>
        <v>26.018808777429459</v>
      </c>
      <c r="D392" s="6">
        <f t="shared" si="112"/>
        <v>2.0563610014999445</v>
      </c>
      <c r="E392" s="6">
        <f t="shared" si="113"/>
        <v>23.962447775929515</v>
      </c>
      <c r="F392" s="6">
        <v>39.5</v>
      </c>
      <c r="G392" s="6">
        <f t="shared" si="106"/>
        <v>0</v>
      </c>
      <c r="H392" s="6">
        <f t="shared" si="114"/>
        <v>9.7451465944788644</v>
      </c>
      <c r="I392" s="6">
        <f t="shared" si="115"/>
        <v>-9.7451465944788644</v>
      </c>
      <c r="J392" s="6">
        <v>7420.6</v>
      </c>
      <c r="K392" s="6">
        <f t="shared" si="107"/>
        <v>-17.740826959317147</v>
      </c>
      <c r="L392" s="6">
        <f t="shared" si="116"/>
        <v>28.186832066024781</v>
      </c>
      <c r="M392" s="6">
        <f t="shared" si="117"/>
        <v>-45.927659025341924</v>
      </c>
      <c r="N392" s="6">
        <v>2215.33</v>
      </c>
      <c r="O392" s="6">
        <f t="shared" si="108"/>
        <v>-10.384540703224864</v>
      </c>
      <c r="P392" s="6">
        <f t="shared" si="118"/>
        <v>5.9439217278750798</v>
      </c>
      <c r="Q392" s="6">
        <f t="shared" si="119"/>
        <v>-16.328462431099943</v>
      </c>
      <c r="R392" s="6"/>
      <c r="S392" s="6" t="str">
        <f t="shared" si="109"/>
        <v/>
      </c>
      <c r="T392" s="6" t="str">
        <f t="shared" si="120"/>
        <v/>
      </c>
      <c r="U392" s="6" t="str">
        <f t="shared" si="121"/>
        <v/>
      </c>
      <c r="V392" s="6">
        <v>18.63</v>
      </c>
      <c r="W392" s="6">
        <f t="shared" si="110"/>
        <v>0.86626962642122329</v>
      </c>
      <c r="X392" s="6">
        <f t="shared" si="122"/>
        <v>5.7862978526915825</v>
      </c>
      <c r="Y392" s="6">
        <f t="shared" si="123"/>
        <v>-4.9200282262703592</v>
      </c>
      <c r="Z392" s="6"/>
      <c r="AA392" s="6" t="str">
        <f t="shared" si="111"/>
        <v/>
      </c>
      <c r="AB392" s="6" t="str">
        <f t="shared" si="124"/>
        <v/>
      </c>
      <c r="AC392" s="6" t="str">
        <f t="shared" si="125"/>
        <v/>
      </c>
    </row>
    <row r="393" spans="1:29" x14ac:dyDescent="0.2">
      <c r="A393" t="s">
        <v>477</v>
      </c>
      <c r="B393" s="6">
        <v>390</v>
      </c>
      <c r="C393" s="6">
        <f t="shared" si="105"/>
        <v>22.641509433962259</v>
      </c>
      <c r="D393" s="6">
        <f t="shared" si="112"/>
        <v>2.2051058500464413</v>
      </c>
      <c r="E393" s="6">
        <f t="shared" si="113"/>
        <v>20.436403583915819</v>
      </c>
      <c r="F393" s="6">
        <v>39.5</v>
      </c>
      <c r="G393" s="6">
        <f t="shared" si="106"/>
        <v>0</v>
      </c>
      <c r="H393" s="6">
        <f t="shared" si="114"/>
        <v>9.0507021500344198</v>
      </c>
      <c r="I393" s="6">
        <f t="shared" si="115"/>
        <v>-9.0507021500344198</v>
      </c>
      <c r="J393" s="6">
        <v>7326.8</v>
      </c>
      <c r="K393" s="6">
        <f t="shared" si="107"/>
        <v>-13.316927736500872</v>
      </c>
      <c r="L393" s="6">
        <f t="shared" si="116"/>
        <v>20.273446121164714</v>
      </c>
      <c r="M393" s="6">
        <f t="shared" si="117"/>
        <v>-33.590373857665583</v>
      </c>
      <c r="N393" s="6">
        <v>2216.52</v>
      </c>
      <c r="O393" s="6">
        <f t="shared" si="108"/>
        <v>-3.8753100768470272</v>
      </c>
      <c r="P393" s="6">
        <f t="shared" si="118"/>
        <v>4.6017764956721408</v>
      </c>
      <c r="Q393" s="6">
        <f t="shared" si="119"/>
        <v>-8.477086572519168</v>
      </c>
      <c r="R393" s="6"/>
      <c r="S393" s="6" t="str">
        <f t="shared" si="109"/>
        <v/>
      </c>
      <c r="T393" s="6" t="str">
        <f t="shared" si="120"/>
        <v/>
      </c>
      <c r="U393" s="6" t="str">
        <f t="shared" si="121"/>
        <v/>
      </c>
      <c r="V393" s="6">
        <v>19.5</v>
      </c>
      <c r="W393" s="6">
        <f t="shared" si="110"/>
        <v>3.6131774707757636</v>
      </c>
      <c r="X393" s="6">
        <f t="shared" si="122"/>
        <v>5.9707790285679101</v>
      </c>
      <c r="Y393" s="6">
        <f t="shared" si="123"/>
        <v>-2.3576015577921465</v>
      </c>
      <c r="Z393" s="6"/>
      <c r="AA393" s="6" t="str">
        <f t="shared" si="111"/>
        <v/>
      </c>
      <c r="AB393" s="6" t="str">
        <f t="shared" si="124"/>
        <v/>
      </c>
      <c r="AC393" s="6" t="str">
        <f t="shared" si="125"/>
        <v/>
      </c>
    </row>
    <row r="394" spans="1:29" x14ac:dyDescent="0.2">
      <c r="A394" t="s">
        <v>478</v>
      </c>
      <c r="B394" s="6">
        <v>404</v>
      </c>
      <c r="C394" s="6">
        <f t="shared" si="105"/>
        <v>29.903536977491953</v>
      </c>
      <c r="D394" s="6">
        <f t="shared" si="112"/>
        <v>2.1819359280633726</v>
      </c>
      <c r="E394" s="6">
        <f t="shared" si="113"/>
        <v>27.721601049428582</v>
      </c>
      <c r="F394" s="6">
        <v>39.5</v>
      </c>
      <c r="G394" s="6">
        <f t="shared" si="106"/>
        <v>0</v>
      </c>
      <c r="H394" s="6">
        <f t="shared" si="114"/>
        <v>8.3562577055899769</v>
      </c>
      <c r="I394" s="6">
        <f t="shared" si="115"/>
        <v>-8.3562577055899769</v>
      </c>
      <c r="J394" s="6">
        <v>7192.8</v>
      </c>
      <c r="K394" s="6">
        <f t="shared" si="107"/>
        <v>-13.130434782608692</v>
      </c>
      <c r="L394" s="6">
        <f t="shared" si="116"/>
        <v>14.083142183977051</v>
      </c>
      <c r="M394" s="6">
        <f t="shared" si="117"/>
        <v>-27.213576966585741</v>
      </c>
      <c r="N394" s="6">
        <v>2299.1999999999998</v>
      </c>
      <c r="O394" s="6">
        <f t="shared" si="108"/>
        <v>3.6011679463609614</v>
      </c>
      <c r="P394" s="6">
        <f t="shared" si="118"/>
        <v>3.2500957259985399</v>
      </c>
      <c r="Q394" s="6">
        <f t="shared" si="119"/>
        <v>0.35107222036242147</v>
      </c>
      <c r="R394" s="6"/>
      <c r="S394" s="6" t="str">
        <f t="shared" si="109"/>
        <v/>
      </c>
      <c r="T394" s="6" t="str">
        <f t="shared" si="120"/>
        <v/>
      </c>
      <c r="U394" s="6" t="str">
        <f t="shared" si="121"/>
        <v/>
      </c>
      <c r="V394" s="6">
        <v>20.83</v>
      </c>
      <c r="W394" s="6">
        <f t="shared" si="110"/>
        <v>16.174010039040709</v>
      </c>
      <c r="X394" s="6">
        <f t="shared" si="122"/>
        <v>6.2928832693539993</v>
      </c>
      <c r="Y394" s="6">
        <f t="shared" si="123"/>
        <v>9.8811267696867091</v>
      </c>
      <c r="Z394" s="6"/>
      <c r="AA394" s="6" t="str">
        <f t="shared" si="111"/>
        <v/>
      </c>
      <c r="AB394" s="6" t="str">
        <f t="shared" si="124"/>
        <v/>
      </c>
      <c r="AC394" s="6" t="str">
        <f t="shared" si="125"/>
        <v/>
      </c>
    </row>
    <row r="395" spans="1:29" x14ac:dyDescent="0.2">
      <c r="A395" t="s">
        <v>479</v>
      </c>
      <c r="B395" s="6">
        <v>382</v>
      </c>
      <c r="C395" s="6">
        <f t="shared" si="105"/>
        <v>12.023460410557174</v>
      </c>
      <c r="D395" s="6">
        <f t="shared" si="112"/>
        <v>1.8668171199677472</v>
      </c>
      <c r="E395" s="6">
        <f t="shared" si="113"/>
        <v>10.156643290589427</v>
      </c>
      <c r="F395" s="6">
        <v>39.5</v>
      </c>
      <c r="G395" s="6">
        <f t="shared" si="106"/>
        <v>0</v>
      </c>
      <c r="H395" s="6">
        <f t="shared" si="114"/>
        <v>7.4092880086202797</v>
      </c>
      <c r="I395" s="6">
        <f t="shared" si="115"/>
        <v>-7.4092880086202797</v>
      </c>
      <c r="J395" s="6">
        <v>7497.9</v>
      </c>
      <c r="K395" s="6">
        <f t="shared" si="107"/>
        <v>-12.215939025675249</v>
      </c>
      <c r="L395" s="6">
        <f t="shared" si="116"/>
        <v>8.570799761674218</v>
      </c>
      <c r="M395" s="6">
        <f t="shared" si="117"/>
        <v>-20.786738787349467</v>
      </c>
      <c r="N395" s="6">
        <v>2520.3200000000002</v>
      </c>
      <c r="O395" s="6">
        <f t="shared" si="108"/>
        <v>12.701450623356635</v>
      </c>
      <c r="P395" s="6">
        <f t="shared" si="118"/>
        <v>2.0416169695365785</v>
      </c>
      <c r="Q395" s="6">
        <f t="shared" si="119"/>
        <v>10.659833653820057</v>
      </c>
      <c r="R395" s="6"/>
      <c r="S395" s="6" t="str">
        <f t="shared" si="109"/>
        <v/>
      </c>
      <c r="T395" s="6" t="str">
        <f t="shared" si="120"/>
        <v/>
      </c>
      <c r="U395" s="6" t="str">
        <f t="shared" si="121"/>
        <v/>
      </c>
      <c r="V395" s="6">
        <v>20.170000000000002</v>
      </c>
      <c r="W395" s="6">
        <f t="shared" si="110"/>
        <v>5.879265091863517</v>
      </c>
      <c r="X395" s="6">
        <f t="shared" si="122"/>
        <v>7.0071121109793104</v>
      </c>
      <c r="Y395" s="6">
        <f t="shared" si="123"/>
        <v>-1.1278470191157934</v>
      </c>
      <c r="Z395" s="6"/>
      <c r="AA395" s="6" t="str">
        <f t="shared" si="111"/>
        <v/>
      </c>
      <c r="AB395" s="6" t="str">
        <f t="shared" si="124"/>
        <v/>
      </c>
      <c r="AC395" s="6" t="str">
        <f t="shared" si="125"/>
        <v/>
      </c>
    </row>
    <row r="396" spans="1:29" x14ac:dyDescent="0.2">
      <c r="A396" t="s">
        <v>480</v>
      </c>
      <c r="B396" s="6">
        <v>382</v>
      </c>
      <c r="C396" s="6">
        <f t="shared" si="105"/>
        <v>13.017751479289942</v>
      </c>
      <c r="D396" s="6">
        <f t="shared" si="112"/>
        <v>0.61036143407657717</v>
      </c>
      <c r="E396" s="6">
        <f t="shared" si="113"/>
        <v>12.407390045213365</v>
      </c>
      <c r="F396" s="6">
        <v>39.5</v>
      </c>
      <c r="G396" s="6">
        <f t="shared" si="106"/>
        <v>0</v>
      </c>
      <c r="H396" s="6">
        <f t="shared" si="114"/>
        <v>6.7148435641758359</v>
      </c>
      <c r="I396" s="6">
        <f t="shared" si="115"/>
        <v>-6.7148435641758359</v>
      </c>
      <c r="J396" s="6">
        <v>7268</v>
      </c>
      <c r="K396" s="6">
        <f t="shared" si="107"/>
        <v>-10.764055152430407</v>
      </c>
      <c r="L396" s="6">
        <f t="shared" si="116"/>
        <v>4.0042498524164225</v>
      </c>
      <c r="M396" s="6">
        <f t="shared" si="117"/>
        <v>-14.76830500484683</v>
      </c>
      <c r="N396" s="6">
        <v>2521.64</v>
      </c>
      <c r="O396" s="6">
        <f t="shared" si="108"/>
        <v>12.916500611233239</v>
      </c>
      <c r="P396" s="6">
        <f t="shared" si="118"/>
        <v>1.6683171080060764</v>
      </c>
      <c r="Q396" s="6">
        <f t="shared" si="119"/>
        <v>11.248183503227162</v>
      </c>
      <c r="R396" s="6"/>
      <c r="S396" s="6" t="str">
        <f t="shared" si="109"/>
        <v/>
      </c>
      <c r="T396" s="6" t="str">
        <f t="shared" si="120"/>
        <v/>
      </c>
      <c r="U396" s="6" t="str">
        <f t="shared" si="121"/>
        <v/>
      </c>
      <c r="V396" s="6">
        <v>19.62</v>
      </c>
      <c r="W396" s="6">
        <f t="shared" si="110"/>
        <v>1.2906556530717594</v>
      </c>
      <c r="X396" s="6">
        <f t="shared" si="122"/>
        <v>7.675383412693507</v>
      </c>
      <c r="Y396" s="6">
        <f t="shared" si="123"/>
        <v>-6.3847277596217475</v>
      </c>
      <c r="Z396" s="6"/>
      <c r="AA396" s="6" t="str">
        <f t="shared" si="111"/>
        <v/>
      </c>
      <c r="AB396" s="6" t="str">
        <f t="shared" si="124"/>
        <v/>
      </c>
      <c r="AC396" s="6" t="str">
        <f t="shared" si="125"/>
        <v/>
      </c>
    </row>
    <row r="397" spans="1:29" x14ac:dyDescent="0.2">
      <c r="A397" t="s">
        <v>481</v>
      </c>
      <c r="B397" s="6">
        <v>391</v>
      </c>
      <c r="C397" s="6">
        <f t="shared" si="105"/>
        <v>21.052631578947366</v>
      </c>
      <c r="D397" s="6">
        <f t="shared" si="112"/>
        <v>-7.8933245602716751E-2</v>
      </c>
      <c r="E397" s="6">
        <f t="shared" si="113"/>
        <v>21.131564824550082</v>
      </c>
      <c r="F397" s="6">
        <v>39.5</v>
      </c>
      <c r="G397" s="6">
        <f t="shared" si="106"/>
        <v>0</v>
      </c>
      <c r="H397" s="6">
        <f t="shared" si="114"/>
        <v>6.020399119731394</v>
      </c>
      <c r="I397" s="6">
        <f t="shared" si="115"/>
        <v>-6.020399119731394</v>
      </c>
      <c r="J397" s="6">
        <v>6917.5</v>
      </c>
      <c r="K397" s="6">
        <f t="shared" si="107"/>
        <v>-9.9365943208301282</v>
      </c>
      <c r="L397" s="6">
        <f t="shared" si="116"/>
        <v>0.29351200470460659</v>
      </c>
      <c r="M397" s="6">
        <f t="shared" si="117"/>
        <v>-10.230106325534734</v>
      </c>
      <c r="N397" s="6">
        <v>2414.06</v>
      </c>
      <c r="O397" s="6">
        <f t="shared" si="108"/>
        <v>3.8497442537759552</v>
      </c>
      <c r="P397" s="6">
        <f t="shared" si="118"/>
        <v>1.4102995786940891</v>
      </c>
      <c r="Q397" s="6">
        <f t="shared" si="119"/>
        <v>2.4394446750818659</v>
      </c>
      <c r="R397" s="6"/>
      <c r="S397" s="6" t="str">
        <f t="shared" si="109"/>
        <v/>
      </c>
      <c r="T397" s="6" t="str">
        <f t="shared" si="120"/>
        <v/>
      </c>
      <c r="U397" s="6" t="str">
        <f t="shared" si="121"/>
        <v/>
      </c>
      <c r="V397" s="6">
        <v>20.149999999999999</v>
      </c>
      <c r="W397" s="6">
        <f t="shared" si="110"/>
        <v>0.49875311720697368</v>
      </c>
      <c r="X397" s="6">
        <f t="shared" si="122"/>
        <v>8.1749518454233279</v>
      </c>
      <c r="Y397" s="6">
        <f t="shared" si="123"/>
        <v>-7.6761987282163542</v>
      </c>
      <c r="Z397" s="6"/>
      <c r="AA397" s="6" t="str">
        <f t="shared" si="111"/>
        <v/>
      </c>
      <c r="AB397" s="6" t="str">
        <f t="shared" si="124"/>
        <v/>
      </c>
      <c r="AC397" s="6" t="str">
        <f t="shared" si="125"/>
        <v/>
      </c>
    </row>
    <row r="398" spans="1:29" x14ac:dyDescent="0.2">
      <c r="A398" t="s">
        <v>482</v>
      </c>
      <c r="B398" s="6">
        <v>396</v>
      </c>
      <c r="C398" s="6">
        <f t="shared" si="105"/>
        <v>14.782608695652177</v>
      </c>
      <c r="D398" s="6">
        <f t="shared" si="112"/>
        <v>-0.21869496332987062</v>
      </c>
      <c r="E398" s="6">
        <f t="shared" si="113"/>
        <v>15.001303658982048</v>
      </c>
      <c r="F398" s="6">
        <v>37.25</v>
      </c>
      <c r="G398" s="6">
        <f t="shared" si="106"/>
        <v>-5.6962025316455662</v>
      </c>
      <c r="H398" s="6">
        <f t="shared" si="114"/>
        <v>5.2487941814597905</v>
      </c>
      <c r="I398" s="6">
        <f t="shared" si="115"/>
        <v>-10.944996713105358</v>
      </c>
      <c r="J398" s="6">
        <v>6305.3</v>
      </c>
      <c r="K398" s="6">
        <f t="shared" si="107"/>
        <v>-15.285503157329028</v>
      </c>
      <c r="L398" s="6">
        <f t="shared" si="116"/>
        <v>-2.4704570617721533</v>
      </c>
      <c r="M398" s="6">
        <f t="shared" si="117"/>
        <v>-12.815046095556875</v>
      </c>
      <c r="N398" s="6">
        <v>2249.15</v>
      </c>
      <c r="O398" s="6">
        <f t="shared" si="108"/>
        <v>-4.843800240307317</v>
      </c>
      <c r="P398" s="6">
        <f t="shared" si="118"/>
        <v>0.77207290477813884</v>
      </c>
      <c r="Q398" s="6">
        <f t="shared" si="119"/>
        <v>-5.6158731450854562</v>
      </c>
      <c r="R398" s="6"/>
      <c r="S398" s="6" t="str">
        <f t="shared" si="109"/>
        <v/>
      </c>
      <c r="T398" s="6" t="str">
        <f t="shared" si="120"/>
        <v/>
      </c>
      <c r="U398" s="6" t="str">
        <f t="shared" si="121"/>
        <v/>
      </c>
      <c r="V398" s="6">
        <v>20.079999999999998</v>
      </c>
      <c r="W398" s="6">
        <f t="shared" si="110"/>
        <v>-6.4741499767116961</v>
      </c>
      <c r="X398" s="6">
        <f t="shared" si="122"/>
        <v>8.7756962917473444</v>
      </c>
      <c r="Y398" s="6">
        <f t="shared" si="123"/>
        <v>-15.249846268459041</v>
      </c>
      <c r="Z398" s="6"/>
      <c r="AA398" s="6" t="str">
        <f t="shared" si="111"/>
        <v/>
      </c>
      <c r="AB398" s="6" t="str">
        <f t="shared" si="124"/>
        <v/>
      </c>
      <c r="AC398" s="6" t="str">
        <f t="shared" si="125"/>
        <v/>
      </c>
    </row>
    <row r="399" spans="1:29" x14ac:dyDescent="0.2">
      <c r="A399" t="s">
        <v>483</v>
      </c>
      <c r="B399" s="6">
        <v>413</v>
      </c>
      <c r="C399" s="6">
        <f t="shared" si="105"/>
        <v>14.08839779005524</v>
      </c>
      <c r="D399" s="6">
        <f t="shared" si="112"/>
        <v>-0.37106389217989316</v>
      </c>
      <c r="E399" s="6">
        <f t="shared" si="113"/>
        <v>14.459461682235133</v>
      </c>
      <c r="F399" s="6">
        <v>35</v>
      </c>
      <c r="G399" s="6">
        <f t="shared" si="106"/>
        <v>-11.392405063291145</v>
      </c>
      <c r="H399" s="6">
        <f t="shared" si="114"/>
        <v>4.3585183571122323</v>
      </c>
      <c r="I399" s="6">
        <f t="shared" si="115"/>
        <v>-15.750923420403378</v>
      </c>
      <c r="J399" s="6">
        <v>5564.88</v>
      </c>
      <c r="K399" s="6">
        <f t="shared" si="107"/>
        <v>-23.185821163349253</v>
      </c>
      <c r="L399" s="6">
        <f t="shared" si="116"/>
        <v>-4.9355183054056022</v>
      </c>
      <c r="M399" s="6">
        <f t="shared" si="117"/>
        <v>-18.250302857943652</v>
      </c>
      <c r="N399" s="6">
        <v>2158.3200000000002</v>
      </c>
      <c r="O399" s="6">
        <f t="shared" si="108"/>
        <v>-9.30818878580072</v>
      </c>
      <c r="P399" s="6">
        <f t="shared" si="118"/>
        <v>-0.35854976357379714</v>
      </c>
      <c r="Q399" s="6">
        <f t="shared" si="119"/>
        <v>-8.949639022226922</v>
      </c>
      <c r="R399" s="6"/>
      <c r="S399" s="6" t="str">
        <f t="shared" si="109"/>
        <v/>
      </c>
      <c r="T399" s="6" t="str">
        <f t="shared" si="120"/>
        <v/>
      </c>
      <c r="U399" s="6" t="str">
        <f t="shared" si="121"/>
        <v/>
      </c>
      <c r="V399" s="6">
        <v>18.88</v>
      </c>
      <c r="W399" s="6">
        <f t="shared" si="110"/>
        <v>-9.0996629754453551</v>
      </c>
      <c r="X399" s="6">
        <f t="shared" si="122"/>
        <v>9.3577002350838914</v>
      </c>
      <c r="Y399" s="6">
        <f t="shared" si="123"/>
        <v>-18.457363210529245</v>
      </c>
      <c r="Z399" s="6"/>
      <c r="AA399" s="6" t="str">
        <f t="shared" si="111"/>
        <v/>
      </c>
      <c r="AB399" s="6" t="str">
        <f t="shared" si="124"/>
        <v/>
      </c>
      <c r="AC399" s="6" t="str">
        <f t="shared" si="125"/>
        <v/>
      </c>
    </row>
    <row r="400" spans="1:29" x14ac:dyDescent="0.2">
      <c r="A400" t="s">
        <v>484</v>
      </c>
      <c r="B400" s="6">
        <v>401</v>
      </c>
      <c r="C400" s="6">
        <f t="shared" si="105"/>
        <v>6.6489361702127603</v>
      </c>
      <c r="D400" s="6">
        <f t="shared" si="112"/>
        <v>-0.36061719908997647</v>
      </c>
      <c r="E400" s="6">
        <f t="shared" si="113"/>
        <v>7.0095533693027363</v>
      </c>
      <c r="F400" s="6">
        <v>35</v>
      </c>
      <c r="G400" s="6">
        <f t="shared" si="106"/>
        <v>-11.392405063291145</v>
      </c>
      <c r="H400" s="6">
        <f t="shared" si="114"/>
        <v>3.5105444010522864</v>
      </c>
      <c r="I400" s="6">
        <f t="shared" si="115"/>
        <v>-14.902949464343431</v>
      </c>
      <c r="J400" s="6">
        <v>5724.07</v>
      </c>
      <c r="K400" s="6">
        <f t="shared" si="107"/>
        <v>-19.580909831689574</v>
      </c>
      <c r="L400" s="6">
        <f t="shared" si="116"/>
        <v>-8.0170206784012361</v>
      </c>
      <c r="M400" s="6">
        <f t="shared" si="117"/>
        <v>-11.563889153288338</v>
      </c>
      <c r="N400" s="6">
        <v>2206.8200000000002</v>
      </c>
      <c r="O400" s="6">
        <f t="shared" si="108"/>
        <v>-0.73409681801415161</v>
      </c>
      <c r="P400" s="6">
        <f t="shared" si="118"/>
        <v>-1.1969425425772127</v>
      </c>
      <c r="Q400" s="6">
        <f t="shared" si="119"/>
        <v>0.46284572456306106</v>
      </c>
      <c r="R400" s="6"/>
      <c r="S400" s="6" t="str">
        <f t="shared" si="109"/>
        <v/>
      </c>
      <c r="T400" s="6" t="str">
        <f t="shared" si="120"/>
        <v/>
      </c>
      <c r="U400" s="6" t="str">
        <f t="shared" si="121"/>
        <v/>
      </c>
      <c r="V400" s="6">
        <v>17.93</v>
      </c>
      <c r="W400" s="6">
        <f t="shared" si="110"/>
        <v>1.0140845070422566</v>
      </c>
      <c r="X400" s="6">
        <f t="shared" si="122"/>
        <v>9.7807999794334766</v>
      </c>
      <c r="Y400" s="6">
        <f t="shared" si="123"/>
        <v>-8.7667154723912191</v>
      </c>
      <c r="Z400" s="6"/>
      <c r="AA400" s="6" t="str">
        <f t="shared" si="111"/>
        <v/>
      </c>
      <c r="AB400" s="6" t="str">
        <f t="shared" si="124"/>
        <v/>
      </c>
      <c r="AC400" s="6" t="str">
        <f t="shared" si="125"/>
        <v/>
      </c>
    </row>
    <row r="401" spans="1:29" x14ac:dyDescent="0.2">
      <c r="A401" t="s">
        <v>485</v>
      </c>
      <c r="B401" s="6">
        <v>410</v>
      </c>
      <c r="C401" s="6">
        <f t="shared" ref="C401:C464" si="126">IF(OR(B401="",B389=""),"",(B401/B389-1)*100)</f>
        <v>7.0496083550913857</v>
      </c>
      <c r="D401" s="6">
        <f t="shared" si="112"/>
        <v>-0.1208245473957273</v>
      </c>
      <c r="E401" s="6">
        <f t="shared" si="113"/>
        <v>7.1704329024871134</v>
      </c>
      <c r="F401" s="6">
        <v>35</v>
      </c>
      <c r="G401" s="6">
        <f t="shared" ref="G401:G464" si="127">IF(OR(F401="",F389=""),"",(F401/F389-1)*100)</f>
        <v>-11.392405063291145</v>
      </c>
      <c r="H401" s="6">
        <f t="shared" si="114"/>
        <v>2.8027725213735053</v>
      </c>
      <c r="I401" s="6">
        <f t="shared" si="115"/>
        <v>-14.19517758466465</v>
      </c>
      <c r="J401" s="6">
        <v>5930.93</v>
      </c>
      <c r="K401" s="6">
        <f t="shared" ref="K401:K464" si="128">IF(OR(J401="",J389=""),"",(J401/J389-1)*100)</f>
        <v>-21.102922591888039</v>
      </c>
      <c r="L401" s="6">
        <f t="shared" si="116"/>
        <v>-10.942789900813699</v>
      </c>
      <c r="M401" s="6">
        <f t="shared" si="117"/>
        <v>-10.16013269107434</v>
      </c>
      <c r="N401" s="6">
        <v>2256.85</v>
      </c>
      <c r="O401" s="6">
        <f t="shared" ref="O401:O464" si="129">IF(OR(N401="",N389=""),"",(N401/N389-1)*100)</f>
        <v>5.4982400209421023</v>
      </c>
      <c r="P401" s="6">
        <f t="shared" si="118"/>
        <v>-1.6697359067673254</v>
      </c>
      <c r="Q401" s="6">
        <f t="shared" si="119"/>
        <v>7.1679759277094277</v>
      </c>
      <c r="R401" s="6"/>
      <c r="S401" s="6" t="str">
        <f t="shared" ref="S401:S464" si="130">IF(OR(R401="",R389=""),"",(R401/R389-1)*100)</f>
        <v/>
      </c>
      <c r="T401" s="6" t="str">
        <f t="shared" si="120"/>
        <v/>
      </c>
      <c r="U401" s="6" t="str">
        <f t="shared" si="121"/>
        <v/>
      </c>
      <c r="V401" s="6">
        <v>17.22</v>
      </c>
      <c r="W401" s="6">
        <f t="shared" ref="W401:W464" si="131">IF(OR(V401="",V389=""),"",(V401/V389-1)*100)</f>
        <v>-0.9205983889528202</v>
      </c>
      <c r="X401" s="6">
        <f t="shared" si="122"/>
        <v>10.049972440538044</v>
      </c>
      <c r="Y401" s="6">
        <f t="shared" si="123"/>
        <v>-10.970570829490864</v>
      </c>
      <c r="Z401" s="6"/>
      <c r="AA401" s="6" t="str">
        <f t="shared" ref="AA401:AA464" si="132">IF(OR(Z401="",Z389=""),"",(Z401/Z389-1)*100)</f>
        <v/>
      </c>
      <c r="AB401" s="6" t="str">
        <f t="shared" si="124"/>
        <v/>
      </c>
      <c r="AC401" s="6" t="str">
        <f t="shared" si="125"/>
        <v/>
      </c>
    </row>
    <row r="402" spans="1:29" x14ac:dyDescent="0.2">
      <c r="A402" t="s">
        <v>486</v>
      </c>
      <c r="B402" s="6">
        <v>425</v>
      </c>
      <c r="C402" s="6">
        <f t="shared" si="126"/>
        <v>11.256544502617793</v>
      </c>
      <c r="D402" s="6">
        <f t="shared" si="112"/>
        <v>0.46757178579076153</v>
      </c>
      <c r="E402" s="6">
        <f t="shared" si="113"/>
        <v>10.788972716827031</v>
      </c>
      <c r="F402" s="6">
        <v>31</v>
      </c>
      <c r="G402" s="6">
        <f t="shared" si="127"/>
        <v>-21.518987341772156</v>
      </c>
      <c r="H402" s="6">
        <f t="shared" si="114"/>
        <v>2.0950006416947238</v>
      </c>
      <c r="I402" s="6">
        <f t="shared" si="115"/>
        <v>-23.613987983466881</v>
      </c>
      <c r="J402" s="6">
        <v>6038.68</v>
      </c>
      <c r="K402" s="6">
        <f t="shared" si="128"/>
        <v>-23.190577341355134</v>
      </c>
      <c r="L402" s="6">
        <f t="shared" si="116"/>
        <v>-13.873077146428587</v>
      </c>
      <c r="M402" s="6">
        <f t="shared" si="117"/>
        <v>-9.3175001949265468</v>
      </c>
      <c r="N402" s="6">
        <v>2212.6</v>
      </c>
      <c r="O402" s="6">
        <f t="shared" si="129"/>
        <v>0.30054805822381514</v>
      </c>
      <c r="P402" s="6">
        <f t="shared" si="118"/>
        <v>-2.1269168605715456</v>
      </c>
      <c r="Q402" s="6">
        <f t="shared" si="119"/>
        <v>2.4274649187953607</v>
      </c>
      <c r="R402" s="6"/>
      <c r="S402" s="6" t="str">
        <f t="shared" si="130"/>
        <v/>
      </c>
      <c r="T402" s="6" t="str">
        <f t="shared" si="120"/>
        <v/>
      </c>
      <c r="U402" s="6" t="str">
        <f t="shared" si="121"/>
        <v/>
      </c>
      <c r="V402" s="6">
        <v>18.170000000000002</v>
      </c>
      <c r="W402" s="6">
        <f t="shared" si="131"/>
        <v>3.1214528944381481</v>
      </c>
      <c r="X402" s="6">
        <f t="shared" si="122"/>
        <v>10.029528381306546</v>
      </c>
      <c r="Y402" s="6">
        <f t="shared" si="123"/>
        <v>-6.9080754868683982</v>
      </c>
      <c r="Z402" s="6"/>
      <c r="AA402" s="6" t="str">
        <f t="shared" si="132"/>
        <v/>
      </c>
      <c r="AB402" s="6" t="str">
        <f t="shared" si="124"/>
        <v/>
      </c>
      <c r="AC402" s="6" t="str">
        <f t="shared" si="125"/>
        <v/>
      </c>
    </row>
    <row r="403" spans="1:29" x14ac:dyDescent="0.2">
      <c r="A403" t="s">
        <v>487</v>
      </c>
      <c r="B403" s="6">
        <v>408</v>
      </c>
      <c r="C403" s="6">
        <f t="shared" si="126"/>
        <v>3.0303030303030276</v>
      </c>
      <c r="D403" s="6">
        <f t="shared" si="112"/>
        <v>0.71242225283764749</v>
      </c>
      <c r="E403" s="6">
        <f t="shared" si="113"/>
        <v>2.3178807774653802</v>
      </c>
      <c r="F403" s="6">
        <v>31</v>
      </c>
      <c r="G403" s="6">
        <f t="shared" si="127"/>
        <v>-21.518987341772156</v>
      </c>
      <c r="H403" s="6">
        <f t="shared" si="114"/>
        <v>1.1762582978809222</v>
      </c>
      <c r="I403" s="6">
        <f t="shared" si="115"/>
        <v>-22.695245639653077</v>
      </c>
      <c r="J403" s="6">
        <v>5971.3</v>
      </c>
      <c r="K403" s="6">
        <f t="shared" si="128"/>
        <v>-19.499305714709404</v>
      </c>
      <c r="L403" s="6">
        <f t="shared" si="116"/>
        <v>-16.725597498668606</v>
      </c>
      <c r="M403" s="6">
        <f t="shared" si="117"/>
        <v>-2.7737082160407986</v>
      </c>
      <c r="N403" s="6">
        <v>2152.59</v>
      </c>
      <c r="O403" s="6">
        <f t="shared" si="129"/>
        <v>-3.3555871828601869</v>
      </c>
      <c r="P403" s="6">
        <f t="shared" si="118"/>
        <v>-2.806147389019809</v>
      </c>
      <c r="Q403" s="6">
        <f t="shared" si="119"/>
        <v>-0.54943979384037789</v>
      </c>
      <c r="R403" s="6"/>
      <c r="S403" s="6" t="str">
        <f t="shared" si="130"/>
        <v/>
      </c>
      <c r="T403" s="6" t="str">
        <f t="shared" si="120"/>
        <v/>
      </c>
      <c r="U403" s="6" t="str">
        <f t="shared" si="121"/>
        <v/>
      </c>
      <c r="V403" s="6">
        <v>18.47</v>
      </c>
      <c r="W403" s="6">
        <f t="shared" si="131"/>
        <v>5.845272206303731</v>
      </c>
      <c r="X403" s="6">
        <f t="shared" si="122"/>
        <v>10.028838355513757</v>
      </c>
      <c r="Y403" s="6">
        <f t="shared" si="123"/>
        <v>-4.1835661492100265</v>
      </c>
      <c r="Z403" s="6"/>
      <c r="AA403" s="6" t="str">
        <f t="shared" si="132"/>
        <v/>
      </c>
      <c r="AB403" s="6" t="str">
        <f t="shared" si="124"/>
        <v/>
      </c>
      <c r="AC403" s="6" t="str">
        <f t="shared" si="125"/>
        <v/>
      </c>
    </row>
    <row r="404" spans="1:29" x14ac:dyDescent="0.2">
      <c r="A404" t="s">
        <v>488</v>
      </c>
      <c r="B404" s="6">
        <v>392</v>
      </c>
      <c r="C404" s="6">
        <f t="shared" si="126"/>
        <v>-2.4875621890547261</v>
      </c>
      <c r="D404" s="6">
        <f t="shared" si="112"/>
        <v>0.67712836911856789</v>
      </c>
      <c r="E404" s="6">
        <f t="shared" si="113"/>
        <v>-3.164690558173294</v>
      </c>
      <c r="F404" s="6">
        <v>31</v>
      </c>
      <c r="G404" s="6">
        <f t="shared" si="127"/>
        <v>-21.518987341772156</v>
      </c>
      <c r="H404" s="6">
        <f t="shared" si="114"/>
        <v>0.41228949593743613</v>
      </c>
      <c r="I404" s="6">
        <f t="shared" si="115"/>
        <v>-21.931276837709593</v>
      </c>
      <c r="J404" s="6">
        <v>5972.33</v>
      </c>
      <c r="K404" s="6">
        <f t="shared" si="128"/>
        <v>-19.516885427054419</v>
      </c>
      <c r="L404" s="6">
        <f t="shared" si="116"/>
        <v>-17.355037717509095</v>
      </c>
      <c r="M404" s="6">
        <f t="shared" si="117"/>
        <v>-2.1618477095453237</v>
      </c>
      <c r="N404" s="6">
        <v>1949.88</v>
      </c>
      <c r="O404" s="6">
        <f t="shared" si="129"/>
        <v>-11.982413455331709</v>
      </c>
      <c r="P404" s="6">
        <f t="shared" si="118"/>
        <v>-3.6750565714796668</v>
      </c>
      <c r="Q404" s="6">
        <f t="shared" si="119"/>
        <v>-8.3073568838520426</v>
      </c>
      <c r="R404" s="6"/>
      <c r="S404" s="6" t="str">
        <f t="shared" si="130"/>
        <v/>
      </c>
      <c r="T404" s="6" t="str">
        <f t="shared" si="120"/>
        <v/>
      </c>
      <c r="U404" s="6" t="str">
        <f t="shared" si="121"/>
        <v/>
      </c>
      <c r="V404" s="6">
        <v>18.43</v>
      </c>
      <c r="W404" s="6">
        <f t="shared" si="131"/>
        <v>-1.0735373054213571</v>
      </c>
      <c r="X404" s="6">
        <f t="shared" si="122"/>
        <v>9.6925070564739073</v>
      </c>
      <c r="Y404" s="6">
        <f t="shared" si="123"/>
        <v>-10.766044361895265</v>
      </c>
      <c r="Z404" s="6"/>
      <c r="AA404" s="6" t="str">
        <f t="shared" si="132"/>
        <v/>
      </c>
      <c r="AB404" s="6" t="str">
        <f t="shared" si="124"/>
        <v/>
      </c>
      <c r="AC404" s="6" t="str">
        <f t="shared" si="125"/>
        <v/>
      </c>
    </row>
    <row r="405" spans="1:29" x14ac:dyDescent="0.2">
      <c r="A405" t="s">
        <v>489</v>
      </c>
      <c r="B405" s="6">
        <v>371</v>
      </c>
      <c r="C405" s="6">
        <f t="shared" si="126"/>
        <v>-4.8717948717948767</v>
      </c>
      <c r="D405" s="6">
        <f t="shared" si="112"/>
        <v>0.68733889630068834</v>
      </c>
      <c r="E405" s="6">
        <f t="shared" si="113"/>
        <v>-5.559133768095565</v>
      </c>
      <c r="F405" s="6">
        <v>31</v>
      </c>
      <c r="G405" s="6">
        <f t="shared" si="127"/>
        <v>-21.518987341772156</v>
      </c>
      <c r="H405" s="6">
        <f t="shared" si="114"/>
        <v>-0.35167930600604946</v>
      </c>
      <c r="I405" s="6">
        <f t="shared" si="115"/>
        <v>-21.167308035766109</v>
      </c>
      <c r="J405" s="6">
        <v>5762.55</v>
      </c>
      <c r="K405" s="6">
        <f t="shared" si="128"/>
        <v>-21.349702462193587</v>
      </c>
      <c r="L405" s="6">
        <f t="shared" si="116"/>
        <v>-17.443503145884545</v>
      </c>
      <c r="M405" s="6">
        <f t="shared" si="117"/>
        <v>-3.906199316309042</v>
      </c>
      <c r="N405" s="6">
        <v>1794.5</v>
      </c>
      <c r="O405" s="6">
        <f t="shared" si="129"/>
        <v>-19.039756013931751</v>
      </c>
      <c r="P405" s="6">
        <f t="shared" si="118"/>
        <v>-4.6824738676470989</v>
      </c>
      <c r="Q405" s="6">
        <f t="shared" si="119"/>
        <v>-14.357282146284652</v>
      </c>
      <c r="R405" s="6"/>
      <c r="S405" s="6" t="str">
        <f t="shared" si="130"/>
        <v/>
      </c>
      <c r="T405" s="6" t="str">
        <f t="shared" si="120"/>
        <v/>
      </c>
      <c r="U405" s="6" t="str">
        <f t="shared" si="121"/>
        <v/>
      </c>
      <c r="V405" s="6">
        <v>18.170000000000002</v>
      </c>
      <c r="W405" s="6">
        <f t="shared" si="131"/>
        <v>-6.820512820512814</v>
      </c>
      <c r="X405" s="6">
        <f t="shared" si="122"/>
        <v>9.3248168629145436</v>
      </c>
      <c r="Y405" s="6">
        <f t="shared" si="123"/>
        <v>-16.145329683427356</v>
      </c>
      <c r="Z405" s="6"/>
      <c r="AA405" s="6" t="str">
        <f t="shared" si="132"/>
        <v/>
      </c>
      <c r="AB405" s="6" t="str">
        <f t="shared" si="124"/>
        <v/>
      </c>
      <c r="AC405" s="6" t="str">
        <f t="shared" si="125"/>
        <v/>
      </c>
    </row>
    <row r="406" spans="1:29" x14ac:dyDescent="0.2">
      <c r="A406" t="s">
        <v>490</v>
      </c>
      <c r="B406" s="6">
        <v>356</v>
      </c>
      <c r="C406" s="6">
        <f t="shared" si="126"/>
        <v>-11.881188118811881</v>
      </c>
      <c r="D406" s="6">
        <f t="shared" si="112"/>
        <v>0.66483211135314413</v>
      </c>
      <c r="E406" s="6">
        <f t="shared" si="113"/>
        <v>-12.546020230165025</v>
      </c>
      <c r="F406" s="6">
        <v>31</v>
      </c>
      <c r="G406" s="6">
        <f t="shared" si="127"/>
        <v>-21.518987341772156</v>
      </c>
      <c r="H406" s="6">
        <f t="shared" si="114"/>
        <v>-1.1156481079495357</v>
      </c>
      <c r="I406" s="6">
        <f t="shared" si="115"/>
        <v>-20.403339233822621</v>
      </c>
      <c r="J406" s="6">
        <v>5532.43</v>
      </c>
      <c r="K406" s="6">
        <f t="shared" si="128"/>
        <v>-23.083778222667107</v>
      </c>
      <c r="L406" s="6">
        <f t="shared" si="116"/>
        <v>-17.451333156186607</v>
      </c>
      <c r="M406" s="6">
        <f t="shared" si="117"/>
        <v>-5.6324450664804999</v>
      </c>
      <c r="N406" s="6">
        <v>1853.42</v>
      </c>
      <c r="O406" s="6">
        <f t="shared" si="129"/>
        <v>-19.388482950591502</v>
      </c>
      <c r="P406" s="6">
        <f t="shared" si="118"/>
        <v>-5.3267790963291395</v>
      </c>
      <c r="Q406" s="6">
        <f t="shared" si="119"/>
        <v>-14.061703854262362</v>
      </c>
      <c r="R406" s="6"/>
      <c r="S406" s="6" t="str">
        <f t="shared" si="130"/>
        <v/>
      </c>
      <c r="T406" s="6" t="str">
        <f t="shared" si="120"/>
        <v/>
      </c>
      <c r="U406" s="6" t="str">
        <f t="shared" si="121"/>
        <v/>
      </c>
      <c r="V406" s="6">
        <v>17.47</v>
      </c>
      <c r="W406" s="6">
        <f t="shared" si="131"/>
        <v>-16.13058089294287</v>
      </c>
      <c r="X406" s="6">
        <f t="shared" si="122"/>
        <v>8.9515267915665202</v>
      </c>
      <c r="Y406" s="6">
        <f t="shared" si="123"/>
        <v>-25.082107684509388</v>
      </c>
      <c r="Z406" s="6"/>
      <c r="AA406" s="6" t="str">
        <f t="shared" si="132"/>
        <v/>
      </c>
      <c r="AB406" s="6" t="str">
        <f t="shared" si="124"/>
        <v/>
      </c>
      <c r="AC406" s="6" t="str">
        <f t="shared" si="125"/>
        <v/>
      </c>
    </row>
    <row r="407" spans="1:29" x14ac:dyDescent="0.2">
      <c r="A407" t="s">
        <v>491</v>
      </c>
      <c r="B407" s="6">
        <v>362</v>
      </c>
      <c r="C407" s="6">
        <f t="shared" si="126"/>
        <v>-5.2356020942408428</v>
      </c>
      <c r="D407" s="6">
        <f t="shared" si="112"/>
        <v>0.93394042339402839</v>
      </c>
      <c r="E407" s="6">
        <f t="shared" si="113"/>
        <v>-6.1695425176348708</v>
      </c>
      <c r="F407" s="6">
        <v>31</v>
      </c>
      <c r="G407" s="6">
        <f t="shared" si="127"/>
        <v>-21.518987341772156</v>
      </c>
      <c r="H407" s="6">
        <f t="shared" si="114"/>
        <v>-1.6797010849771967</v>
      </c>
      <c r="I407" s="6">
        <f t="shared" si="115"/>
        <v>-19.83928625679496</v>
      </c>
      <c r="J407" s="6">
        <v>5036.2</v>
      </c>
      <c r="K407" s="6">
        <f t="shared" si="128"/>
        <v>-32.831859587351119</v>
      </c>
      <c r="L407" s="6">
        <f t="shared" si="116"/>
        <v>-17.471580750949066</v>
      </c>
      <c r="M407" s="6">
        <f t="shared" si="117"/>
        <v>-15.360278836402053</v>
      </c>
      <c r="N407" s="6">
        <v>1927.16</v>
      </c>
      <c r="O407" s="6">
        <f t="shared" si="129"/>
        <v>-23.535106653123417</v>
      </c>
      <c r="P407" s="6">
        <f t="shared" si="118"/>
        <v>-5.7354133293117471</v>
      </c>
      <c r="Q407" s="6">
        <f t="shared" si="119"/>
        <v>-17.79969332381167</v>
      </c>
      <c r="R407" s="6"/>
      <c r="S407" s="6" t="str">
        <f t="shared" si="130"/>
        <v/>
      </c>
      <c r="T407" s="6" t="str">
        <f t="shared" si="120"/>
        <v/>
      </c>
      <c r="U407" s="6" t="str">
        <f t="shared" si="121"/>
        <v/>
      </c>
      <c r="V407" s="6">
        <v>16.32</v>
      </c>
      <c r="W407" s="6">
        <f t="shared" si="131"/>
        <v>-19.087754090233023</v>
      </c>
      <c r="X407" s="6">
        <f t="shared" si="122"/>
        <v>8.3029050734092884</v>
      </c>
      <c r="Y407" s="6">
        <f t="shared" si="123"/>
        <v>-27.390659163642312</v>
      </c>
      <c r="Z407" s="6"/>
      <c r="AA407" s="6" t="str">
        <f t="shared" si="132"/>
        <v/>
      </c>
      <c r="AB407" s="6" t="str">
        <f t="shared" si="124"/>
        <v/>
      </c>
      <c r="AC407" s="6" t="str">
        <f t="shared" si="125"/>
        <v/>
      </c>
    </row>
    <row r="408" spans="1:29" x14ac:dyDescent="0.2">
      <c r="A408" t="s">
        <v>492</v>
      </c>
      <c r="B408" s="6">
        <v>356</v>
      </c>
      <c r="C408" s="6">
        <f t="shared" si="126"/>
        <v>-6.8062827225130906</v>
      </c>
      <c r="D408" s="6">
        <f t="shared" si="112"/>
        <v>1.5743818207698117</v>
      </c>
      <c r="E408" s="6">
        <f t="shared" si="113"/>
        <v>-8.3806645432829026</v>
      </c>
      <c r="F408" s="6">
        <v>31</v>
      </c>
      <c r="G408" s="6">
        <f t="shared" si="127"/>
        <v>-21.518987341772156</v>
      </c>
      <c r="H408" s="6">
        <f t="shared" si="114"/>
        <v>-2.2437540620048568</v>
      </c>
      <c r="I408" s="6">
        <f t="shared" si="115"/>
        <v>-19.275233279767299</v>
      </c>
      <c r="J408" s="6">
        <v>4721.8100000000004</v>
      </c>
      <c r="K408" s="6">
        <f t="shared" si="128"/>
        <v>-35.032883874518426</v>
      </c>
      <c r="L408" s="6">
        <f t="shared" si="116"/>
        <v>-17.824858492932467</v>
      </c>
      <c r="M408" s="6">
        <f t="shared" si="117"/>
        <v>-17.208025381585959</v>
      </c>
      <c r="N408" s="6">
        <v>1947.45</v>
      </c>
      <c r="O408" s="6">
        <f t="shared" si="129"/>
        <v>-22.770498564426322</v>
      </c>
      <c r="P408" s="6">
        <f t="shared" si="118"/>
        <v>-6.5000755054459871</v>
      </c>
      <c r="Q408" s="6">
        <f t="shared" si="119"/>
        <v>-16.270423058980334</v>
      </c>
      <c r="R408" s="6"/>
      <c r="S408" s="6" t="str">
        <f t="shared" si="130"/>
        <v/>
      </c>
      <c r="T408" s="6" t="str">
        <f t="shared" si="120"/>
        <v/>
      </c>
      <c r="U408" s="6" t="str">
        <f t="shared" si="121"/>
        <v/>
      </c>
      <c r="V408" s="6">
        <v>16.48</v>
      </c>
      <c r="W408" s="6">
        <f t="shared" si="131"/>
        <v>-16.004077471967381</v>
      </c>
      <c r="X408" s="6">
        <f t="shared" si="122"/>
        <v>7.4462771394391956</v>
      </c>
      <c r="Y408" s="6">
        <f t="shared" si="123"/>
        <v>-23.450354611406578</v>
      </c>
      <c r="Z408" s="6"/>
      <c r="AA408" s="6" t="str">
        <f t="shared" si="132"/>
        <v/>
      </c>
      <c r="AB408" s="6" t="str">
        <f t="shared" si="124"/>
        <v/>
      </c>
      <c r="AC408" s="6" t="str">
        <f t="shared" si="125"/>
        <v/>
      </c>
    </row>
    <row r="409" spans="1:29" x14ac:dyDescent="0.2">
      <c r="A409" t="s">
        <v>493</v>
      </c>
      <c r="B409" s="6">
        <v>352</v>
      </c>
      <c r="C409" s="6">
        <f t="shared" si="126"/>
        <v>-9.9744245524296726</v>
      </c>
      <c r="D409" s="6">
        <f t="shared" si="112"/>
        <v>2.0853620418285668</v>
      </c>
      <c r="E409" s="6">
        <f t="shared" si="113"/>
        <v>-12.05978659425824</v>
      </c>
      <c r="F409" s="6">
        <v>31</v>
      </c>
      <c r="G409" s="6">
        <f t="shared" si="127"/>
        <v>-21.518987341772156</v>
      </c>
      <c r="H409" s="6">
        <f t="shared" si="114"/>
        <v>-2.8078070390325176</v>
      </c>
      <c r="I409" s="6">
        <f t="shared" si="115"/>
        <v>-18.711180302739638</v>
      </c>
      <c r="J409" s="6">
        <v>4352.8900000000003</v>
      </c>
      <c r="K409" s="6">
        <f t="shared" si="128"/>
        <v>-37.074232020238519</v>
      </c>
      <c r="L409" s="6">
        <f t="shared" si="116"/>
        <v>-18.367141221733178</v>
      </c>
      <c r="M409" s="6">
        <f t="shared" si="117"/>
        <v>-18.707090798505341</v>
      </c>
      <c r="N409" s="6">
        <v>1861.86</v>
      </c>
      <c r="O409" s="6">
        <f t="shared" si="129"/>
        <v>-22.874327895744106</v>
      </c>
      <c r="P409" s="6">
        <f t="shared" si="118"/>
        <v>-7.5060390104834598</v>
      </c>
      <c r="Q409" s="6">
        <f t="shared" si="119"/>
        <v>-15.368288885260647</v>
      </c>
      <c r="R409" s="6"/>
      <c r="S409" s="6" t="str">
        <f t="shared" si="130"/>
        <v/>
      </c>
      <c r="T409" s="6" t="str">
        <f t="shared" si="120"/>
        <v/>
      </c>
      <c r="U409" s="6" t="str">
        <f t="shared" si="121"/>
        <v/>
      </c>
      <c r="V409" s="6">
        <v>15.9</v>
      </c>
      <c r="W409" s="6">
        <f t="shared" si="131"/>
        <v>-21.091811414392048</v>
      </c>
      <c r="X409" s="6">
        <f t="shared" si="122"/>
        <v>6.7792391565968044</v>
      </c>
      <c r="Y409" s="6">
        <f t="shared" si="123"/>
        <v>-27.871050570988853</v>
      </c>
      <c r="Z409" s="6"/>
      <c r="AA409" s="6" t="str">
        <f t="shared" si="132"/>
        <v/>
      </c>
      <c r="AB409" s="6" t="str">
        <f t="shared" si="124"/>
        <v/>
      </c>
      <c r="AC409" s="6" t="str">
        <f t="shared" si="125"/>
        <v/>
      </c>
    </row>
    <row r="410" spans="1:29" x14ac:dyDescent="0.2">
      <c r="A410" t="s">
        <v>494</v>
      </c>
      <c r="B410" s="6">
        <v>333</v>
      </c>
      <c r="C410" s="6">
        <f t="shared" si="126"/>
        <v>-15.909090909090907</v>
      </c>
      <c r="D410" s="6">
        <f t="shared" si="112"/>
        <v>2.3886596611607369</v>
      </c>
      <c r="E410" s="6">
        <f t="shared" si="113"/>
        <v>-18.297750570251644</v>
      </c>
      <c r="F410" s="6">
        <v>31</v>
      </c>
      <c r="G410" s="6">
        <f t="shared" si="127"/>
        <v>-16.778523489932883</v>
      </c>
      <c r="H410" s="6">
        <f t="shared" si="114"/>
        <v>-3.3124255816257437</v>
      </c>
      <c r="I410" s="6">
        <f t="shared" si="115"/>
        <v>-13.466097908307139</v>
      </c>
      <c r="J410" s="6">
        <v>4448.8999999999996</v>
      </c>
      <c r="K410" s="6">
        <f t="shared" si="128"/>
        <v>-29.441898085737407</v>
      </c>
      <c r="L410" s="6">
        <f t="shared" si="116"/>
        <v>-19.024413661675286</v>
      </c>
      <c r="M410" s="6">
        <f t="shared" si="117"/>
        <v>-10.41748442406212</v>
      </c>
      <c r="N410" s="6">
        <v>1646.4</v>
      </c>
      <c r="O410" s="6">
        <f t="shared" si="129"/>
        <v>-26.79901296045173</v>
      </c>
      <c r="P410" s="6">
        <f t="shared" si="118"/>
        <v>-8.3665473993139692</v>
      </c>
      <c r="Q410" s="6">
        <f t="shared" si="119"/>
        <v>-18.432465561137761</v>
      </c>
      <c r="R410" s="6"/>
      <c r="S410" s="6" t="str">
        <f t="shared" si="130"/>
        <v/>
      </c>
      <c r="T410" s="6" t="str">
        <f t="shared" si="120"/>
        <v/>
      </c>
      <c r="U410" s="6" t="str">
        <f t="shared" si="121"/>
        <v/>
      </c>
      <c r="V410" s="6">
        <v>16.52</v>
      </c>
      <c r="W410" s="6">
        <f t="shared" si="131"/>
        <v>-17.729083665338642</v>
      </c>
      <c r="X410" s="6">
        <f t="shared" si="122"/>
        <v>5.6130452483135072</v>
      </c>
      <c r="Y410" s="6">
        <f t="shared" si="123"/>
        <v>-23.34212891365215</v>
      </c>
      <c r="Z410" s="6"/>
      <c r="AA410" s="6" t="str">
        <f t="shared" si="132"/>
        <v/>
      </c>
      <c r="AB410" s="6" t="str">
        <f t="shared" si="124"/>
        <v/>
      </c>
      <c r="AC410" s="6" t="str">
        <f t="shared" si="125"/>
        <v/>
      </c>
    </row>
    <row r="411" spans="1:29" x14ac:dyDescent="0.2">
      <c r="A411" t="s">
        <v>495</v>
      </c>
      <c r="B411" s="6">
        <v>357</v>
      </c>
      <c r="C411" s="6">
        <f t="shared" si="126"/>
        <v>-13.559322033898303</v>
      </c>
      <c r="D411" s="6">
        <f t="shared" si="112"/>
        <v>2.5889294706242807</v>
      </c>
      <c r="E411" s="6">
        <f t="shared" si="113"/>
        <v>-16.148251504522584</v>
      </c>
      <c r="F411" s="6">
        <v>31</v>
      </c>
      <c r="G411" s="6">
        <f t="shared" si="127"/>
        <v>-11.428571428571432</v>
      </c>
      <c r="H411" s="6">
        <f t="shared" si="114"/>
        <v>-3.7182844606389849</v>
      </c>
      <c r="I411" s="6">
        <f t="shared" si="115"/>
        <v>-7.7102869679324471</v>
      </c>
      <c r="J411" s="6">
        <v>4633.8900000000003</v>
      </c>
      <c r="K411" s="6">
        <f t="shared" si="128"/>
        <v>-16.729740803036176</v>
      </c>
      <c r="L411" s="6">
        <f t="shared" si="116"/>
        <v>-19.43362618082935</v>
      </c>
      <c r="M411" s="6">
        <f t="shared" si="117"/>
        <v>2.7038853777931742</v>
      </c>
      <c r="N411" s="6">
        <v>1630.02</v>
      </c>
      <c r="O411" s="6">
        <f t="shared" si="129"/>
        <v>-24.477371288780169</v>
      </c>
      <c r="P411" s="6">
        <f t="shared" si="118"/>
        <v>-8.869500886086831</v>
      </c>
      <c r="Q411" s="6">
        <f t="shared" si="119"/>
        <v>-15.607870402693338</v>
      </c>
      <c r="R411" s="6"/>
      <c r="S411" s="6" t="str">
        <f t="shared" si="130"/>
        <v/>
      </c>
      <c r="T411" s="6" t="str">
        <f t="shared" si="120"/>
        <v/>
      </c>
      <c r="U411" s="6" t="str">
        <f t="shared" si="121"/>
        <v/>
      </c>
      <c r="V411" s="6">
        <v>15.2</v>
      </c>
      <c r="W411" s="6">
        <f t="shared" si="131"/>
        <v>-19.491525423728817</v>
      </c>
      <c r="X411" s="6">
        <f t="shared" si="122"/>
        <v>4.1763658575023683</v>
      </c>
      <c r="Y411" s="6">
        <f t="shared" si="123"/>
        <v>-23.667891281231185</v>
      </c>
      <c r="Z411" s="6"/>
      <c r="AA411" s="6" t="str">
        <f t="shared" si="132"/>
        <v/>
      </c>
      <c r="AB411" s="6" t="str">
        <f t="shared" si="124"/>
        <v/>
      </c>
      <c r="AC411" s="6" t="str">
        <f t="shared" si="125"/>
        <v/>
      </c>
    </row>
    <row r="412" spans="1:29" x14ac:dyDescent="0.2">
      <c r="A412" t="s">
        <v>496</v>
      </c>
      <c r="B412" s="6">
        <v>411</v>
      </c>
      <c r="C412" s="6">
        <f t="shared" si="126"/>
        <v>2.4937655860349128</v>
      </c>
      <c r="D412" s="6">
        <f t="shared" si="112"/>
        <v>2.8895775662099332</v>
      </c>
      <c r="E412" s="6">
        <f t="shared" si="113"/>
        <v>-0.39581198017502039</v>
      </c>
      <c r="F412" s="6">
        <v>31</v>
      </c>
      <c r="G412" s="6">
        <f t="shared" si="127"/>
        <v>-11.428571428571432</v>
      </c>
      <c r="H412" s="6">
        <f t="shared" si="114"/>
        <v>-3.9841574765120011</v>
      </c>
      <c r="I412" s="6">
        <f t="shared" si="115"/>
        <v>-7.4444139520594312</v>
      </c>
      <c r="J412" s="6">
        <v>5119.12</v>
      </c>
      <c r="K412" s="6">
        <f t="shared" si="128"/>
        <v>-10.568529036157837</v>
      </c>
      <c r="L412" s="6">
        <f t="shared" si="116"/>
        <v>-19.228022638435203</v>
      </c>
      <c r="M412" s="6">
        <f t="shared" si="117"/>
        <v>8.6594936022773652</v>
      </c>
      <c r="N412" s="6">
        <v>1724.19</v>
      </c>
      <c r="O412" s="6">
        <f t="shared" si="129"/>
        <v>-21.869930488213818</v>
      </c>
      <c r="P412" s="6">
        <f t="shared" si="118"/>
        <v>-8.9297276429189765</v>
      </c>
      <c r="Q412" s="6">
        <f t="shared" si="119"/>
        <v>-12.940202845294841</v>
      </c>
      <c r="R412" s="6"/>
      <c r="S412" s="6" t="str">
        <f t="shared" si="130"/>
        <v/>
      </c>
      <c r="T412" s="6" t="str">
        <f t="shared" si="120"/>
        <v/>
      </c>
      <c r="U412" s="6" t="str">
        <f t="shared" si="121"/>
        <v/>
      </c>
      <c r="V412" s="6">
        <v>13.77</v>
      </c>
      <c r="W412" s="6">
        <f t="shared" si="131"/>
        <v>-23.201338538761853</v>
      </c>
      <c r="X412" s="6">
        <f t="shared" si="122"/>
        <v>2.7992894848644974</v>
      </c>
      <c r="Y412" s="6">
        <f t="shared" si="123"/>
        <v>-26.000628023626351</v>
      </c>
      <c r="Z412" s="6"/>
      <c r="AA412" s="6" t="str">
        <f t="shared" si="132"/>
        <v/>
      </c>
      <c r="AB412" s="6" t="str">
        <f t="shared" si="124"/>
        <v/>
      </c>
      <c r="AC412" s="6" t="str">
        <f t="shared" si="125"/>
        <v/>
      </c>
    </row>
    <row r="413" spans="1:29" x14ac:dyDescent="0.2">
      <c r="A413" t="s">
        <v>497</v>
      </c>
      <c r="B413" s="6">
        <v>404</v>
      </c>
      <c r="C413" s="6">
        <f t="shared" si="126"/>
        <v>-1.4634146341463428</v>
      </c>
      <c r="D413" s="6">
        <f t="shared" si="112"/>
        <v>3.6714580232182636</v>
      </c>
      <c r="E413" s="6">
        <f t="shared" si="113"/>
        <v>-5.1348726573646069</v>
      </c>
      <c r="F413" s="6">
        <v>31</v>
      </c>
      <c r="G413" s="6">
        <f t="shared" si="127"/>
        <v>-11.428571428571432</v>
      </c>
      <c r="H413" s="6">
        <f t="shared" si="114"/>
        <v>-4.2222527146072393</v>
      </c>
      <c r="I413" s="6">
        <f t="shared" si="115"/>
        <v>-7.2063187139641931</v>
      </c>
      <c r="J413" s="6">
        <v>5577.95</v>
      </c>
      <c r="K413" s="6">
        <f t="shared" si="128"/>
        <v>-5.9515118202373092</v>
      </c>
      <c r="L413" s="6">
        <f t="shared" si="116"/>
        <v>-18.449530113922535</v>
      </c>
      <c r="M413" s="6">
        <f t="shared" si="117"/>
        <v>12.498018293685226</v>
      </c>
      <c r="N413" s="6">
        <v>1805.35</v>
      </c>
      <c r="O413" s="6">
        <f t="shared" si="129"/>
        <v>-20.005760241043934</v>
      </c>
      <c r="P413" s="6">
        <f t="shared" si="118"/>
        <v>-8.7421092041558826</v>
      </c>
      <c r="Q413" s="6">
        <f t="shared" si="119"/>
        <v>-11.263651036888051</v>
      </c>
      <c r="R413" s="6"/>
      <c r="S413" s="6" t="str">
        <f t="shared" si="130"/>
        <v/>
      </c>
      <c r="T413" s="6" t="str">
        <f t="shared" si="120"/>
        <v/>
      </c>
      <c r="U413" s="6" t="str">
        <f t="shared" si="121"/>
        <v/>
      </c>
      <c r="V413" s="6">
        <v>14.13</v>
      </c>
      <c r="W413" s="6">
        <f t="shared" si="131"/>
        <v>-17.944250871080126</v>
      </c>
      <c r="X413" s="6">
        <f t="shared" si="122"/>
        <v>1.647555113998654</v>
      </c>
      <c r="Y413" s="6">
        <f t="shared" si="123"/>
        <v>-19.591805985078778</v>
      </c>
      <c r="Z413" s="6"/>
      <c r="AA413" s="6" t="str">
        <f t="shared" si="132"/>
        <v/>
      </c>
      <c r="AB413" s="6" t="str">
        <f t="shared" si="124"/>
        <v/>
      </c>
      <c r="AC413" s="6" t="str">
        <f t="shared" si="125"/>
        <v/>
      </c>
    </row>
    <row r="414" spans="1:29" x14ac:dyDescent="0.2">
      <c r="A414" t="s">
        <v>498</v>
      </c>
      <c r="B414" s="6">
        <v>387</v>
      </c>
      <c r="C414" s="6">
        <f t="shared" si="126"/>
        <v>-8.9411764705882302</v>
      </c>
      <c r="D414" s="6">
        <f t="shared" si="112"/>
        <v>4.20667953078582</v>
      </c>
      <c r="E414" s="6">
        <f t="shared" si="113"/>
        <v>-13.14785600137405</v>
      </c>
      <c r="F414" s="6">
        <v>31</v>
      </c>
      <c r="G414" s="6">
        <f t="shared" si="127"/>
        <v>0</v>
      </c>
      <c r="H414" s="6">
        <f t="shared" si="114"/>
        <v>-4.4603479527024783</v>
      </c>
      <c r="I414" s="6">
        <f t="shared" si="115"/>
        <v>4.4603479527024783</v>
      </c>
      <c r="J414" s="6">
        <v>5824.95</v>
      </c>
      <c r="K414" s="6">
        <f t="shared" si="128"/>
        <v>-3.5393496591970552</v>
      </c>
      <c r="L414" s="6">
        <f t="shared" si="116"/>
        <v>-17.319511951033146</v>
      </c>
      <c r="M414" s="6">
        <f t="shared" si="117"/>
        <v>13.78016229183609</v>
      </c>
      <c r="N414" s="6">
        <v>1866.4</v>
      </c>
      <c r="O414" s="6">
        <f t="shared" si="129"/>
        <v>-15.646750429359113</v>
      </c>
      <c r="P414" s="6">
        <f t="shared" si="118"/>
        <v>-8.5282475274552514</v>
      </c>
      <c r="Q414" s="6">
        <f t="shared" si="119"/>
        <v>-7.1185029019038613</v>
      </c>
      <c r="R414" s="6"/>
      <c r="S414" s="6" t="str">
        <f t="shared" si="130"/>
        <v/>
      </c>
      <c r="T414" s="6" t="str">
        <f t="shared" si="120"/>
        <v/>
      </c>
      <c r="U414" s="6" t="str">
        <f t="shared" si="121"/>
        <v/>
      </c>
      <c r="V414" s="6">
        <v>13.78</v>
      </c>
      <c r="W414" s="6">
        <f t="shared" si="131"/>
        <v>-24.160704457897641</v>
      </c>
      <c r="X414" s="6">
        <f t="shared" si="122"/>
        <v>0.78448718525244543</v>
      </c>
      <c r="Y414" s="6">
        <f t="shared" si="123"/>
        <v>-24.945191643150086</v>
      </c>
      <c r="Z414" s="6"/>
      <c r="AA414" s="6" t="str">
        <f t="shared" si="132"/>
        <v/>
      </c>
      <c r="AB414" s="6" t="str">
        <f t="shared" si="124"/>
        <v/>
      </c>
      <c r="AC414" s="6" t="str">
        <f t="shared" si="125"/>
        <v/>
      </c>
    </row>
    <row r="415" spans="1:29" x14ac:dyDescent="0.2">
      <c r="A415" t="s">
        <v>499</v>
      </c>
      <c r="B415" s="6">
        <v>395</v>
      </c>
      <c r="C415" s="6">
        <f t="shared" si="126"/>
        <v>-3.1862745098039214</v>
      </c>
      <c r="D415" s="6">
        <f t="shared" si="112"/>
        <v>4.6957998671996863</v>
      </c>
      <c r="E415" s="6">
        <f t="shared" si="113"/>
        <v>-7.8820743770036081</v>
      </c>
      <c r="F415" s="6">
        <v>29.5</v>
      </c>
      <c r="G415" s="6">
        <f t="shared" si="127"/>
        <v>-4.8387096774193505</v>
      </c>
      <c r="H415" s="6">
        <f t="shared" si="114"/>
        <v>-4.4603479527024783</v>
      </c>
      <c r="I415" s="6">
        <f t="shared" si="115"/>
        <v>-0.37836172471687224</v>
      </c>
      <c r="J415" s="6">
        <v>5587.54</v>
      </c>
      <c r="K415" s="6">
        <f t="shared" si="128"/>
        <v>-6.4267412456249122</v>
      </c>
      <c r="L415" s="6">
        <f t="shared" si="116"/>
        <v>-16.094592528921492</v>
      </c>
      <c r="M415" s="6">
        <f t="shared" si="117"/>
        <v>9.6678512832965797</v>
      </c>
      <c r="N415" s="6">
        <v>1914.87</v>
      </c>
      <c r="O415" s="6">
        <f t="shared" si="129"/>
        <v>-11.043440692375238</v>
      </c>
      <c r="P415" s="6">
        <f t="shared" si="118"/>
        <v>-8.358594656886071</v>
      </c>
      <c r="Q415" s="6">
        <f t="shared" si="119"/>
        <v>-2.6848460354891674</v>
      </c>
      <c r="R415" s="6"/>
      <c r="S415" s="6" t="str">
        <f t="shared" si="130"/>
        <v/>
      </c>
      <c r="T415" s="6" t="str">
        <f t="shared" si="120"/>
        <v/>
      </c>
      <c r="U415" s="6" t="str">
        <f t="shared" si="121"/>
        <v/>
      </c>
      <c r="V415" s="6">
        <v>13.62</v>
      </c>
      <c r="W415" s="6">
        <f t="shared" si="131"/>
        <v>-26.25879805089334</v>
      </c>
      <c r="X415" s="6">
        <f t="shared" si="122"/>
        <v>-0.13297907097414199</v>
      </c>
      <c r="Y415" s="6">
        <f t="shared" si="123"/>
        <v>-26.125818979919199</v>
      </c>
      <c r="Z415" s="6"/>
      <c r="AA415" s="6" t="str">
        <f t="shared" si="132"/>
        <v/>
      </c>
      <c r="AB415" s="6" t="str">
        <f t="shared" si="124"/>
        <v/>
      </c>
      <c r="AC415" s="6" t="str">
        <f t="shared" si="125"/>
        <v/>
      </c>
    </row>
    <row r="416" spans="1:29" x14ac:dyDescent="0.2">
      <c r="A416" t="s">
        <v>500</v>
      </c>
      <c r="B416" s="6">
        <v>434</v>
      </c>
      <c r="C416" s="6">
        <f t="shared" si="126"/>
        <v>10.714285714285721</v>
      </c>
      <c r="D416" s="6">
        <f t="shared" si="112"/>
        <v>5.2194358566831971</v>
      </c>
      <c r="E416" s="6">
        <f t="shared" si="113"/>
        <v>5.4948498576025235</v>
      </c>
      <c r="F416" s="6">
        <v>29.5</v>
      </c>
      <c r="G416" s="6">
        <f t="shared" si="127"/>
        <v>-4.8387096774193505</v>
      </c>
      <c r="H416" s="6">
        <f t="shared" si="114"/>
        <v>-4.5611544043153813</v>
      </c>
      <c r="I416" s="6">
        <f t="shared" si="115"/>
        <v>-0.27755527310396921</v>
      </c>
      <c r="J416" s="6">
        <v>5407.97</v>
      </c>
      <c r="K416" s="6">
        <f t="shared" si="128"/>
        <v>-9.4495783052845344</v>
      </c>
      <c r="L416" s="6">
        <f t="shared" si="116"/>
        <v>-15.270388363475547</v>
      </c>
      <c r="M416" s="6">
        <f t="shared" si="117"/>
        <v>5.8208100581910127</v>
      </c>
      <c r="N416" s="6">
        <v>1881.82</v>
      </c>
      <c r="O416" s="6">
        <f t="shared" si="129"/>
        <v>-3.4904712084846357</v>
      </c>
      <c r="P416" s="6">
        <f t="shared" si="118"/>
        <v>-8.1811253521943392</v>
      </c>
      <c r="Q416" s="6">
        <f t="shared" si="119"/>
        <v>4.690654143709704</v>
      </c>
      <c r="R416" s="6"/>
      <c r="S416" s="6" t="str">
        <f t="shared" si="130"/>
        <v/>
      </c>
      <c r="T416" s="6" t="str">
        <f t="shared" si="120"/>
        <v/>
      </c>
      <c r="U416" s="6" t="str">
        <f t="shared" si="121"/>
        <v/>
      </c>
      <c r="V416" s="6">
        <v>15.08</v>
      </c>
      <c r="W416" s="6">
        <f t="shared" si="131"/>
        <v>-18.17688551275095</v>
      </c>
      <c r="X416" s="6">
        <f t="shared" si="122"/>
        <v>-0.70199151419101202</v>
      </c>
      <c r="Y416" s="6">
        <f t="shared" si="123"/>
        <v>-17.474893998559939</v>
      </c>
      <c r="Z416" s="6"/>
      <c r="AA416" s="6" t="str">
        <f t="shared" si="132"/>
        <v/>
      </c>
      <c r="AB416" s="6" t="str">
        <f t="shared" si="124"/>
        <v/>
      </c>
      <c r="AC416" s="6" t="str">
        <f t="shared" si="125"/>
        <v/>
      </c>
    </row>
    <row r="417" spans="1:29" x14ac:dyDescent="0.2">
      <c r="A417" t="s">
        <v>501</v>
      </c>
      <c r="B417" s="6">
        <v>488</v>
      </c>
      <c r="C417" s="6">
        <f t="shared" si="126"/>
        <v>31.53638814016173</v>
      </c>
      <c r="D417" s="6">
        <f t="shared" si="112"/>
        <v>6.1033492046310727</v>
      </c>
      <c r="E417" s="6">
        <f t="shared" si="113"/>
        <v>25.433038935530657</v>
      </c>
      <c r="F417" s="6">
        <v>31.4</v>
      </c>
      <c r="G417" s="6">
        <f t="shared" si="127"/>
        <v>1.2903225806451646</v>
      </c>
      <c r="H417" s="6">
        <f t="shared" si="114"/>
        <v>-4.6619608559282844</v>
      </c>
      <c r="I417" s="6">
        <f t="shared" si="115"/>
        <v>5.9522834365734489</v>
      </c>
      <c r="J417" s="6">
        <v>6086.65</v>
      </c>
      <c r="K417" s="6">
        <f t="shared" si="128"/>
        <v>5.6242462104450164</v>
      </c>
      <c r="L417" s="6">
        <f t="shared" si="116"/>
        <v>-14.604260163101671</v>
      </c>
      <c r="M417" s="6">
        <f t="shared" si="117"/>
        <v>20.228506373546686</v>
      </c>
      <c r="N417" s="6">
        <v>2150.6</v>
      </c>
      <c r="O417" s="6">
        <f t="shared" si="129"/>
        <v>19.843967679019215</v>
      </c>
      <c r="P417" s="6">
        <f t="shared" si="118"/>
        <v>-7.9653489659669079</v>
      </c>
      <c r="Q417" s="6">
        <f t="shared" si="119"/>
        <v>27.809316644986122</v>
      </c>
      <c r="R417" s="6"/>
      <c r="S417" s="6" t="str">
        <f t="shared" si="130"/>
        <v/>
      </c>
      <c r="T417" s="6" t="str">
        <f t="shared" si="120"/>
        <v/>
      </c>
      <c r="U417" s="6" t="str">
        <f t="shared" si="121"/>
        <v/>
      </c>
      <c r="V417" s="6">
        <v>16.28</v>
      </c>
      <c r="W417" s="6">
        <f t="shared" si="131"/>
        <v>-10.401761144744082</v>
      </c>
      <c r="X417" s="6">
        <f t="shared" si="122"/>
        <v>-0.79313322626221161</v>
      </c>
      <c r="Y417" s="6">
        <f t="shared" si="123"/>
        <v>-9.6086279184818704</v>
      </c>
      <c r="Z417" s="6"/>
      <c r="AA417" s="6" t="str">
        <f t="shared" si="132"/>
        <v/>
      </c>
      <c r="AB417" s="6" t="str">
        <f t="shared" si="124"/>
        <v/>
      </c>
      <c r="AC417" s="6" t="str">
        <f t="shared" si="125"/>
        <v/>
      </c>
    </row>
    <row r="418" spans="1:29" x14ac:dyDescent="0.2">
      <c r="A418" t="s">
        <v>502</v>
      </c>
      <c r="B418" s="6">
        <v>508</v>
      </c>
      <c r="C418" s="6">
        <f t="shared" si="126"/>
        <v>42.696629213483142</v>
      </c>
      <c r="D418" s="6">
        <f t="shared" si="112"/>
        <v>7.401777652132389</v>
      </c>
      <c r="E418" s="6">
        <f t="shared" si="113"/>
        <v>35.294851561350754</v>
      </c>
      <c r="F418" s="6">
        <v>33.6</v>
      </c>
      <c r="G418" s="6">
        <f t="shared" si="127"/>
        <v>8.3870967741935587</v>
      </c>
      <c r="H418" s="6">
        <f t="shared" si="114"/>
        <v>-4.7721405390069487</v>
      </c>
      <c r="I418" s="6">
        <f t="shared" si="115"/>
        <v>13.159237313200506</v>
      </c>
      <c r="J418" s="6">
        <v>6281.84</v>
      </c>
      <c r="K418" s="6">
        <f t="shared" si="128"/>
        <v>13.545765603902794</v>
      </c>
      <c r="L418" s="6">
        <f t="shared" si="116"/>
        <v>-13.750608308778965</v>
      </c>
      <c r="M418" s="6">
        <f t="shared" si="117"/>
        <v>27.296373912681759</v>
      </c>
      <c r="N418" s="6">
        <v>2364.1999999999998</v>
      </c>
      <c r="O418" s="6">
        <f t="shared" si="129"/>
        <v>27.558783222367289</v>
      </c>
      <c r="P418" s="6">
        <f t="shared" si="118"/>
        <v>-7.554192025294042</v>
      </c>
      <c r="Q418" s="6">
        <f t="shared" si="119"/>
        <v>35.112975247661332</v>
      </c>
      <c r="R418" s="6"/>
      <c r="S418" s="6" t="str">
        <f t="shared" si="130"/>
        <v/>
      </c>
      <c r="T418" s="6" t="str">
        <f t="shared" si="120"/>
        <v/>
      </c>
      <c r="U418" s="6" t="str">
        <f t="shared" si="121"/>
        <v/>
      </c>
      <c r="V418" s="6">
        <v>17.170000000000002</v>
      </c>
      <c r="W418" s="6">
        <f t="shared" si="131"/>
        <v>-1.7172295363480083</v>
      </c>
      <c r="X418" s="6">
        <f t="shared" si="122"/>
        <v>-0.8433548964299501</v>
      </c>
      <c r="Y418" s="6">
        <f t="shared" si="123"/>
        <v>-0.87387463991805825</v>
      </c>
      <c r="Z418" s="6"/>
      <c r="AA418" s="6" t="str">
        <f t="shared" si="132"/>
        <v/>
      </c>
      <c r="AB418" s="6" t="str">
        <f t="shared" si="124"/>
        <v/>
      </c>
      <c r="AC418" s="6" t="str">
        <f t="shared" si="125"/>
        <v/>
      </c>
    </row>
    <row r="419" spans="1:29" x14ac:dyDescent="0.2">
      <c r="A419" t="s">
        <v>503</v>
      </c>
      <c r="B419" s="6">
        <v>494</v>
      </c>
      <c r="C419" s="6">
        <f t="shared" si="126"/>
        <v>36.46408839779005</v>
      </c>
      <c r="D419" s="6">
        <f t="shared" si="112"/>
        <v>8.8554105105232086</v>
      </c>
      <c r="E419" s="6">
        <f t="shared" si="113"/>
        <v>27.608677887266843</v>
      </c>
      <c r="F419" s="6">
        <v>33.1</v>
      </c>
      <c r="G419" s="6">
        <f t="shared" si="127"/>
        <v>6.7741935483871085</v>
      </c>
      <c r="H419" s="6">
        <f t="shared" si="114"/>
        <v>-4.7344707597200211</v>
      </c>
      <c r="I419" s="6">
        <f t="shared" si="115"/>
        <v>11.508664308107129</v>
      </c>
      <c r="J419" s="6">
        <v>6226.76</v>
      </c>
      <c r="K419" s="6">
        <f t="shared" si="128"/>
        <v>23.640046066478693</v>
      </c>
      <c r="L419" s="6">
        <f t="shared" si="116"/>
        <v>-12.830070262592486</v>
      </c>
      <c r="M419" s="6">
        <f t="shared" si="117"/>
        <v>36.470116329071175</v>
      </c>
      <c r="N419" s="6">
        <v>2458.19</v>
      </c>
      <c r="O419" s="6">
        <f t="shared" si="129"/>
        <v>27.555055106996829</v>
      </c>
      <c r="P419" s="6">
        <f t="shared" si="118"/>
        <v>-7.0115951639962057</v>
      </c>
      <c r="Q419" s="6">
        <f t="shared" si="119"/>
        <v>34.566650270993037</v>
      </c>
      <c r="R419" s="6"/>
      <c r="S419" s="6" t="str">
        <f t="shared" si="130"/>
        <v/>
      </c>
      <c r="T419" s="6" t="str">
        <f t="shared" si="120"/>
        <v/>
      </c>
      <c r="U419" s="6" t="str">
        <f t="shared" si="121"/>
        <v/>
      </c>
      <c r="V419" s="6">
        <v>17.88</v>
      </c>
      <c r="W419" s="6">
        <f t="shared" si="131"/>
        <v>9.5588235294117538</v>
      </c>
      <c r="X419" s="6">
        <f t="shared" si="122"/>
        <v>-0.60024981598683302</v>
      </c>
      <c r="Y419" s="6">
        <f t="shared" si="123"/>
        <v>10.159073345398587</v>
      </c>
      <c r="Z419" s="6"/>
      <c r="AA419" s="6" t="str">
        <f t="shared" si="132"/>
        <v/>
      </c>
      <c r="AB419" s="6" t="str">
        <f t="shared" si="124"/>
        <v/>
      </c>
      <c r="AC419" s="6" t="str">
        <f t="shared" si="125"/>
        <v/>
      </c>
    </row>
    <row r="420" spans="1:29" x14ac:dyDescent="0.2">
      <c r="A420" t="s">
        <v>504</v>
      </c>
      <c r="B420" s="6">
        <v>575</v>
      </c>
      <c r="C420" s="6">
        <f t="shared" si="126"/>
        <v>61.516853932584262</v>
      </c>
      <c r="D420" s="6">
        <f t="shared" si="112"/>
        <v>9.9423700560713275</v>
      </c>
      <c r="E420" s="6">
        <f t="shared" si="113"/>
        <v>51.574483876512936</v>
      </c>
      <c r="F420" s="6">
        <v>33.1</v>
      </c>
      <c r="G420" s="6">
        <f t="shared" si="127"/>
        <v>6.7741935483871085</v>
      </c>
      <c r="H420" s="6">
        <f t="shared" si="114"/>
        <v>-4.7304031309707293</v>
      </c>
      <c r="I420" s="6">
        <f t="shared" si="115"/>
        <v>11.504596679357839</v>
      </c>
      <c r="J420" s="6">
        <v>5859.5</v>
      </c>
      <c r="K420" s="6">
        <f t="shared" si="128"/>
        <v>24.094362119610892</v>
      </c>
      <c r="L420" s="6">
        <f t="shared" si="116"/>
        <v>-11.83573630898416</v>
      </c>
      <c r="M420" s="6">
        <f t="shared" si="117"/>
        <v>35.930098428595052</v>
      </c>
      <c r="N420" s="6">
        <v>2406.23</v>
      </c>
      <c r="O420" s="6">
        <f t="shared" si="129"/>
        <v>23.557986084366746</v>
      </c>
      <c r="P420" s="6">
        <f t="shared" si="118"/>
        <v>-6.657499912474024</v>
      </c>
      <c r="Q420" s="6">
        <f t="shared" si="119"/>
        <v>30.215485996840769</v>
      </c>
      <c r="R420" s="6"/>
      <c r="S420" s="6" t="str">
        <f t="shared" si="130"/>
        <v/>
      </c>
      <c r="T420" s="6" t="str">
        <f t="shared" si="120"/>
        <v/>
      </c>
      <c r="U420" s="6" t="str">
        <f t="shared" si="121"/>
        <v/>
      </c>
      <c r="V420" s="6">
        <v>17</v>
      </c>
      <c r="W420" s="6">
        <f t="shared" si="131"/>
        <v>3.1553398058252302</v>
      </c>
      <c r="X420" s="6">
        <f t="shared" si="122"/>
        <v>-0.34215651782999307</v>
      </c>
      <c r="Y420" s="6">
        <f t="shared" si="123"/>
        <v>3.4974963236552234</v>
      </c>
      <c r="Z420" s="6"/>
      <c r="AA420" s="6" t="str">
        <f t="shared" si="132"/>
        <v/>
      </c>
      <c r="AB420" s="6" t="str">
        <f t="shared" si="124"/>
        <v/>
      </c>
      <c r="AC420" s="6" t="str">
        <f t="shared" si="125"/>
        <v/>
      </c>
    </row>
    <row r="421" spans="1:29" x14ac:dyDescent="0.2">
      <c r="A421" t="s">
        <v>505</v>
      </c>
      <c r="B421" s="6">
        <v>614</v>
      </c>
      <c r="C421" s="6">
        <f t="shared" si="126"/>
        <v>74.431818181818187</v>
      </c>
      <c r="D421" s="6">
        <f t="shared" si="112"/>
        <v>11.345330402967804</v>
      </c>
      <c r="E421" s="6">
        <f t="shared" si="113"/>
        <v>63.086487778850383</v>
      </c>
      <c r="F421" s="6">
        <v>33.1</v>
      </c>
      <c r="G421" s="6">
        <f t="shared" si="127"/>
        <v>6.7741935483871085</v>
      </c>
      <c r="H421" s="6">
        <f t="shared" si="114"/>
        <v>-4.7263355022214375</v>
      </c>
      <c r="I421" s="6">
        <f t="shared" si="115"/>
        <v>11.500529050608545</v>
      </c>
      <c r="J421" s="6">
        <v>6364.75</v>
      </c>
      <c r="K421" s="6">
        <f t="shared" si="128"/>
        <v>46.218948790343873</v>
      </c>
      <c r="L421" s="6">
        <f t="shared" si="116"/>
        <v>-11.018713407187546</v>
      </c>
      <c r="M421" s="6">
        <f t="shared" si="117"/>
        <v>57.237662197531421</v>
      </c>
      <c r="N421" s="6">
        <v>2505.9299999999998</v>
      </c>
      <c r="O421" s="6">
        <f t="shared" si="129"/>
        <v>34.592826528310397</v>
      </c>
      <c r="P421" s="6">
        <f t="shared" si="118"/>
        <v>-6.3136551121168374</v>
      </c>
      <c r="Q421" s="6">
        <f t="shared" si="119"/>
        <v>40.906481640427231</v>
      </c>
      <c r="R421" s="6"/>
      <c r="S421" s="6" t="str">
        <f t="shared" si="130"/>
        <v/>
      </c>
      <c r="T421" s="6" t="str">
        <f t="shared" si="120"/>
        <v/>
      </c>
      <c r="U421" s="6" t="str">
        <f t="shared" si="121"/>
        <v/>
      </c>
      <c r="V421" s="6">
        <v>16.2</v>
      </c>
      <c r="W421" s="6">
        <f t="shared" si="131"/>
        <v>1.8867924528301883</v>
      </c>
      <c r="X421" s="6">
        <f t="shared" si="122"/>
        <v>-1.451380777404526</v>
      </c>
      <c r="Y421" s="6">
        <f t="shared" si="123"/>
        <v>3.3381732302347142</v>
      </c>
      <c r="Z421" s="6"/>
      <c r="AA421" s="6" t="str">
        <f t="shared" si="132"/>
        <v/>
      </c>
      <c r="AB421" s="6" t="str">
        <f t="shared" si="124"/>
        <v/>
      </c>
      <c r="AC421" s="6" t="str">
        <f t="shared" si="125"/>
        <v/>
      </c>
    </row>
    <row r="422" spans="1:29" x14ac:dyDescent="0.2">
      <c r="A422" t="s">
        <v>506</v>
      </c>
      <c r="B422" s="6">
        <v>616</v>
      </c>
      <c r="C422" s="6">
        <f t="shared" si="126"/>
        <v>84.98498498498499</v>
      </c>
      <c r="D422" s="6">
        <f t="shared" si="112"/>
        <v>13.14754126937178</v>
      </c>
      <c r="E422" s="6">
        <f t="shared" si="113"/>
        <v>71.837443715613205</v>
      </c>
      <c r="F422" s="6">
        <v>33.1</v>
      </c>
      <c r="G422" s="6">
        <f t="shared" si="127"/>
        <v>6.7741935483871085</v>
      </c>
      <c r="H422" s="6">
        <f t="shared" si="114"/>
        <v>-4.7222678734721439</v>
      </c>
      <c r="I422" s="6">
        <f t="shared" si="115"/>
        <v>11.496461421859252</v>
      </c>
      <c r="J422" s="6">
        <v>6748.29</v>
      </c>
      <c r="K422" s="6">
        <f t="shared" si="128"/>
        <v>51.68446132751918</v>
      </c>
      <c r="L422" s="6">
        <f t="shared" si="116"/>
        <v>-9.9856260445650573</v>
      </c>
      <c r="M422" s="6">
        <f t="shared" si="117"/>
        <v>61.67008737208424</v>
      </c>
      <c r="N422" s="6">
        <v>2547.67</v>
      </c>
      <c r="O422" s="6">
        <f t="shared" si="129"/>
        <v>54.74186103012633</v>
      </c>
      <c r="P422" s="6">
        <f t="shared" si="118"/>
        <v>-5.6991241521955187</v>
      </c>
      <c r="Q422" s="6">
        <f t="shared" si="119"/>
        <v>60.440985182321846</v>
      </c>
      <c r="R422" s="6"/>
      <c r="S422" s="6" t="str">
        <f t="shared" si="130"/>
        <v/>
      </c>
      <c r="T422" s="6" t="str">
        <f t="shared" si="120"/>
        <v/>
      </c>
      <c r="U422" s="6" t="str">
        <f t="shared" si="121"/>
        <v/>
      </c>
      <c r="V422" s="6">
        <v>16.47</v>
      </c>
      <c r="W422" s="6">
        <f t="shared" si="131"/>
        <v>-0.30266343825666731</v>
      </c>
      <c r="X422" s="6">
        <f t="shared" si="122"/>
        <v>-3.1841439086044052</v>
      </c>
      <c r="Y422" s="6">
        <f t="shared" si="123"/>
        <v>2.8814804703477379</v>
      </c>
      <c r="Z422" s="6"/>
      <c r="AA422" s="6" t="str">
        <f t="shared" si="132"/>
        <v/>
      </c>
      <c r="AB422" s="6" t="str">
        <f t="shared" si="124"/>
        <v/>
      </c>
      <c r="AC422" s="6" t="str">
        <f t="shared" si="125"/>
        <v/>
      </c>
    </row>
    <row r="423" spans="1:29" x14ac:dyDescent="0.2">
      <c r="A423" t="s">
        <v>507</v>
      </c>
      <c r="B423" s="6">
        <v>707</v>
      </c>
      <c r="C423" s="6">
        <f t="shared" si="126"/>
        <v>98.039215686274517</v>
      </c>
      <c r="D423" s="6">
        <f t="shared" si="112"/>
        <v>15.119255974731345</v>
      </c>
      <c r="E423" s="6">
        <f t="shared" si="113"/>
        <v>82.919959711543171</v>
      </c>
      <c r="F423" s="6">
        <v>33.1</v>
      </c>
      <c r="G423" s="6">
        <f t="shared" si="127"/>
        <v>6.7741935483871085</v>
      </c>
      <c r="H423" s="6">
        <f t="shared" si="114"/>
        <v>-4.7182002447228504</v>
      </c>
      <c r="I423" s="6">
        <f t="shared" si="115"/>
        <v>11.492393793109958</v>
      </c>
      <c r="J423" s="6">
        <v>7556.14</v>
      </c>
      <c r="K423" s="6">
        <f t="shared" si="128"/>
        <v>63.06256730306503</v>
      </c>
      <c r="L423" s="6">
        <f t="shared" si="116"/>
        <v>-8.6531685371923768</v>
      </c>
      <c r="M423" s="6">
        <f t="shared" si="117"/>
        <v>71.715735840257409</v>
      </c>
      <c r="N423" s="6">
        <v>2802.45</v>
      </c>
      <c r="O423" s="6">
        <f t="shared" si="129"/>
        <v>71.927338314867285</v>
      </c>
      <c r="P423" s="6">
        <f t="shared" si="118"/>
        <v>-4.4728715518396074</v>
      </c>
      <c r="Q423" s="6">
        <f t="shared" si="119"/>
        <v>76.400209866706888</v>
      </c>
      <c r="R423" s="6"/>
      <c r="S423" s="6" t="str">
        <f t="shared" si="130"/>
        <v/>
      </c>
      <c r="T423" s="6" t="str">
        <f t="shared" si="120"/>
        <v/>
      </c>
      <c r="U423" s="6" t="str">
        <f t="shared" si="121"/>
        <v/>
      </c>
      <c r="V423" s="6">
        <v>17.079999999999998</v>
      </c>
      <c r="W423" s="6">
        <f t="shared" si="131"/>
        <v>12.368421052631561</v>
      </c>
      <c r="X423" s="6">
        <f t="shared" si="122"/>
        <v>-5.0091247497787261</v>
      </c>
      <c r="Y423" s="6">
        <f t="shared" si="123"/>
        <v>17.377545802410289</v>
      </c>
      <c r="Z423" s="6"/>
      <c r="AA423" s="6" t="str">
        <f t="shared" si="132"/>
        <v/>
      </c>
      <c r="AB423" s="6" t="str">
        <f t="shared" si="124"/>
        <v/>
      </c>
      <c r="AC423" s="6" t="str">
        <f t="shared" si="125"/>
        <v/>
      </c>
    </row>
    <row r="424" spans="1:29" x14ac:dyDescent="0.2">
      <c r="A424" t="s">
        <v>508</v>
      </c>
      <c r="B424" s="6">
        <v>719</v>
      </c>
      <c r="C424" s="6">
        <f t="shared" si="126"/>
        <v>74.93917274939173</v>
      </c>
      <c r="D424" s="6">
        <f t="shared" si="112"/>
        <v>16.954098438848774</v>
      </c>
      <c r="E424" s="6">
        <f t="shared" si="113"/>
        <v>57.985074310542956</v>
      </c>
      <c r="F424" s="6">
        <v>36.1</v>
      </c>
      <c r="G424" s="6">
        <f t="shared" si="127"/>
        <v>16.451612903225808</v>
      </c>
      <c r="H424" s="6">
        <f t="shared" si="114"/>
        <v>-4.7141326159735586</v>
      </c>
      <c r="I424" s="6">
        <f t="shared" si="115"/>
        <v>21.165745519199366</v>
      </c>
      <c r="J424" s="6">
        <v>8555.5</v>
      </c>
      <c r="K424" s="6">
        <f t="shared" si="128"/>
        <v>67.128334557502072</v>
      </c>
      <c r="L424" s="6">
        <f t="shared" si="116"/>
        <v>-7.0828520290702945</v>
      </c>
      <c r="M424" s="6">
        <f t="shared" si="117"/>
        <v>74.211186586572367</v>
      </c>
      <c r="N424" s="6">
        <v>2985.3</v>
      </c>
      <c r="O424" s="6">
        <f t="shared" si="129"/>
        <v>73.142171106432599</v>
      </c>
      <c r="P424" s="6">
        <f t="shared" si="118"/>
        <v>-2.9700358469865429</v>
      </c>
      <c r="Q424" s="6">
        <f t="shared" si="119"/>
        <v>76.112206953419147</v>
      </c>
      <c r="R424" s="6"/>
      <c r="S424" s="6" t="str">
        <f t="shared" si="130"/>
        <v/>
      </c>
      <c r="T424" s="6" t="str">
        <f t="shared" si="120"/>
        <v/>
      </c>
      <c r="U424" s="6" t="str">
        <f t="shared" si="121"/>
        <v/>
      </c>
      <c r="V424" s="6">
        <v>15.94</v>
      </c>
      <c r="W424" s="6">
        <f t="shared" si="131"/>
        <v>15.758896151053015</v>
      </c>
      <c r="X424" s="6">
        <f t="shared" si="122"/>
        <v>-6.1928846223780241</v>
      </c>
      <c r="Y424" s="6">
        <f t="shared" si="123"/>
        <v>21.95178077343104</v>
      </c>
      <c r="Z424" s="6"/>
      <c r="AA424" s="6" t="str">
        <f t="shared" si="132"/>
        <v/>
      </c>
      <c r="AB424" s="6" t="str">
        <f t="shared" si="124"/>
        <v/>
      </c>
      <c r="AC424" s="6" t="str">
        <f t="shared" si="125"/>
        <v/>
      </c>
    </row>
    <row r="425" spans="1:29" x14ac:dyDescent="0.2">
      <c r="A425" t="s">
        <v>509</v>
      </c>
      <c r="B425" s="6">
        <v>655</v>
      </c>
      <c r="C425" s="6">
        <f t="shared" si="126"/>
        <v>62.128712871287142</v>
      </c>
      <c r="D425" s="6">
        <f t="shared" si="112"/>
        <v>17.898914225684575</v>
      </c>
      <c r="E425" s="6">
        <f t="shared" si="113"/>
        <v>44.229798645602571</v>
      </c>
      <c r="F425" s="6">
        <v>37.1</v>
      </c>
      <c r="G425" s="6">
        <f t="shared" si="127"/>
        <v>19.677419354838712</v>
      </c>
      <c r="H425" s="6">
        <f t="shared" si="114"/>
        <v>-4.508452083998459</v>
      </c>
      <c r="I425" s="6">
        <f t="shared" si="115"/>
        <v>24.185871438837172</v>
      </c>
      <c r="J425" s="6">
        <v>9592.5499999999993</v>
      </c>
      <c r="K425" s="6">
        <f t="shared" si="128"/>
        <v>71.972678134440059</v>
      </c>
      <c r="L425" s="6">
        <f t="shared" si="116"/>
        <v>-5.5302448003020137</v>
      </c>
      <c r="M425" s="6">
        <f t="shared" si="117"/>
        <v>77.502922934742074</v>
      </c>
      <c r="N425" s="6">
        <v>3008.93</v>
      </c>
      <c r="O425" s="6">
        <f t="shared" si="129"/>
        <v>66.667405212285715</v>
      </c>
      <c r="P425" s="6">
        <f t="shared" si="118"/>
        <v>-1.5037635627620451</v>
      </c>
      <c r="Q425" s="6">
        <f t="shared" si="119"/>
        <v>68.171168775047761</v>
      </c>
      <c r="R425" s="6"/>
      <c r="S425" s="6" t="str">
        <f t="shared" si="130"/>
        <v/>
      </c>
      <c r="T425" s="6" t="str">
        <f t="shared" si="120"/>
        <v/>
      </c>
      <c r="U425" s="6" t="str">
        <f t="shared" si="121"/>
        <v/>
      </c>
      <c r="V425" s="6">
        <v>16.899999999999999</v>
      </c>
      <c r="W425" s="6">
        <f t="shared" si="131"/>
        <v>19.603680113234233</v>
      </c>
      <c r="X425" s="6">
        <f t="shared" si="122"/>
        <v>-6.5945484461044694</v>
      </c>
      <c r="Y425" s="6">
        <f t="shared" si="123"/>
        <v>26.198228559338702</v>
      </c>
      <c r="Z425" s="6"/>
      <c r="AA425" s="6" t="str">
        <f t="shared" si="132"/>
        <v/>
      </c>
      <c r="AB425" s="6" t="str">
        <f t="shared" si="124"/>
        <v/>
      </c>
      <c r="AC425" s="6" t="str">
        <f t="shared" si="125"/>
        <v/>
      </c>
    </row>
    <row r="426" spans="1:29" x14ac:dyDescent="0.2">
      <c r="A426" t="s">
        <v>510</v>
      </c>
      <c r="B426" s="6">
        <v>661</v>
      </c>
      <c r="C426" s="6">
        <f t="shared" si="126"/>
        <v>70.801033591731269</v>
      </c>
      <c r="D426" s="6">
        <f t="shared" si="112"/>
        <v>18.670562291028741</v>
      </c>
      <c r="E426" s="6">
        <f t="shared" si="113"/>
        <v>52.130471300702524</v>
      </c>
      <c r="F426" s="6">
        <v>37.6</v>
      </c>
      <c r="G426" s="6">
        <f t="shared" si="127"/>
        <v>21.29032258064516</v>
      </c>
      <c r="H426" s="6">
        <f t="shared" si="114"/>
        <v>-4.2355672509480895</v>
      </c>
      <c r="I426" s="6">
        <f t="shared" si="115"/>
        <v>25.525889831593251</v>
      </c>
      <c r="J426" s="6">
        <v>8505.4500000000007</v>
      </c>
      <c r="K426" s="6">
        <f t="shared" si="128"/>
        <v>46.017562382509738</v>
      </c>
      <c r="L426" s="6">
        <f t="shared" si="116"/>
        <v>-4.4775146393468903</v>
      </c>
      <c r="M426" s="6">
        <f t="shared" si="117"/>
        <v>50.49507702185663</v>
      </c>
      <c r="N426" s="6">
        <v>2877.65</v>
      </c>
      <c r="O426" s="6">
        <f t="shared" si="129"/>
        <v>54.181847406772391</v>
      </c>
      <c r="P426" s="6">
        <f t="shared" si="118"/>
        <v>-0.186937564444424</v>
      </c>
      <c r="Q426" s="6">
        <f t="shared" si="119"/>
        <v>54.368784971216812</v>
      </c>
      <c r="R426" s="6"/>
      <c r="S426" s="6" t="str">
        <f t="shared" si="130"/>
        <v/>
      </c>
      <c r="T426" s="6" t="str">
        <f t="shared" si="120"/>
        <v/>
      </c>
      <c r="U426" s="6" t="str">
        <f t="shared" si="121"/>
        <v/>
      </c>
      <c r="V426" s="6">
        <v>17.420000000000002</v>
      </c>
      <c r="W426" s="6">
        <f t="shared" si="131"/>
        <v>26.415094339622659</v>
      </c>
      <c r="X426" s="6">
        <f t="shared" si="122"/>
        <v>-6.4144349220419015</v>
      </c>
      <c r="Y426" s="6">
        <f t="shared" si="123"/>
        <v>32.829529261664561</v>
      </c>
      <c r="Z426" s="6"/>
      <c r="AA426" s="6" t="str">
        <f t="shared" si="132"/>
        <v/>
      </c>
      <c r="AB426" s="6" t="str">
        <f t="shared" si="124"/>
        <v/>
      </c>
      <c r="AC426" s="6" t="str">
        <f t="shared" si="125"/>
        <v/>
      </c>
    </row>
    <row r="427" spans="1:29" x14ac:dyDescent="0.2">
      <c r="A427" t="s">
        <v>511</v>
      </c>
      <c r="B427" s="6">
        <v>687</v>
      </c>
      <c r="C427" s="6">
        <f t="shared" si="126"/>
        <v>73.924050632911388</v>
      </c>
      <c r="D427" s="6">
        <f t="shared" si="112"/>
        <v>19.630516173513303</v>
      </c>
      <c r="E427" s="6">
        <f t="shared" si="113"/>
        <v>54.293534459398089</v>
      </c>
      <c r="F427" s="6">
        <v>38.35</v>
      </c>
      <c r="G427" s="6">
        <f t="shared" si="127"/>
        <v>30.000000000000004</v>
      </c>
      <c r="H427" s="6">
        <f t="shared" si="114"/>
        <v>-3.9290802673600869</v>
      </c>
      <c r="I427" s="6">
        <f t="shared" si="115"/>
        <v>33.929080267360092</v>
      </c>
      <c r="J427" s="6">
        <v>7531.91</v>
      </c>
      <c r="K427" s="6">
        <f t="shared" si="128"/>
        <v>34.798319117178586</v>
      </c>
      <c r="L427" s="6">
        <f t="shared" si="116"/>
        <v>-4.0250693944836842</v>
      </c>
      <c r="M427" s="6">
        <f t="shared" si="117"/>
        <v>38.823388511662273</v>
      </c>
      <c r="N427" s="6">
        <v>2924.04</v>
      </c>
      <c r="O427" s="6">
        <f t="shared" si="129"/>
        <v>52.701749988249858</v>
      </c>
      <c r="P427" s="6">
        <f t="shared" si="118"/>
        <v>0.86309566931557369</v>
      </c>
      <c r="Q427" s="6">
        <f t="shared" si="119"/>
        <v>51.838654318934282</v>
      </c>
      <c r="R427" s="6"/>
      <c r="S427" s="6" t="str">
        <f t="shared" si="130"/>
        <v/>
      </c>
      <c r="T427" s="6" t="str">
        <f t="shared" si="120"/>
        <v/>
      </c>
      <c r="U427" s="6" t="str">
        <f t="shared" si="121"/>
        <v/>
      </c>
      <c r="V427" s="6">
        <v>17.350000000000001</v>
      </c>
      <c r="W427" s="6">
        <f t="shared" si="131"/>
        <v>27.386196769456706</v>
      </c>
      <c r="X427" s="6">
        <f t="shared" si="122"/>
        <v>-5.7078704566330947</v>
      </c>
      <c r="Y427" s="6">
        <f t="shared" si="123"/>
        <v>33.094067226089798</v>
      </c>
      <c r="Z427" s="6"/>
      <c r="AA427" s="6" t="str">
        <f t="shared" si="132"/>
        <v/>
      </c>
      <c r="AB427" s="6" t="str">
        <f t="shared" si="124"/>
        <v/>
      </c>
      <c r="AC427" s="6" t="str">
        <f t="shared" si="125"/>
        <v/>
      </c>
    </row>
    <row r="428" spans="1:29" x14ac:dyDescent="0.2">
      <c r="A428" t="s">
        <v>512</v>
      </c>
      <c r="B428" s="6">
        <v>625</v>
      </c>
      <c r="C428" s="6">
        <f t="shared" si="126"/>
        <v>44.009216589861744</v>
      </c>
      <c r="D428" s="6">
        <f t="shared" si="112"/>
        <v>20.718968860067253</v>
      </c>
      <c r="E428" s="6">
        <f t="shared" si="113"/>
        <v>23.290247729794491</v>
      </c>
      <c r="F428" s="6">
        <v>37.1</v>
      </c>
      <c r="G428" s="6">
        <f t="shared" si="127"/>
        <v>25.762711864406796</v>
      </c>
      <c r="H428" s="6">
        <f t="shared" si="114"/>
        <v>-3.3863171094653493</v>
      </c>
      <c r="I428" s="6">
        <f t="shared" si="115"/>
        <v>29.149028973872145</v>
      </c>
      <c r="J428" s="6">
        <v>7397.83</v>
      </c>
      <c r="K428" s="6">
        <f t="shared" si="128"/>
        <v>36.794952634722456</v>
      </c>
      <c r="L428" s="6">
        <f t="shared" si="116"/>
        <v>-3.1728580423199779</v>
      </c>
      <c r="M428" s="6">
        <f t="shared" si="117"/>
        <v>39.967810677042436</v>
      </c>
      <c r="N428" s="6">
        <v>2903.5</v>
      </c>
      <c r="O428" s="6">
        <f t="shared" si="129"/>
        <v>54.292121456887486</v>
      </c>
      <c r="P428" s="6">
        <f t="shared" si="118"/>
        <v>2.1324216686916615</v>
      </c>
      <c r="Q428" s="6">
        <f t="shared" si="119"/>
        <v>52.159699788195823</v>
      </c>
      <c r="R428" s="6"/>
      <c r="S428" s="6" t="str">
        <f t="shared" si="130"/>
        <v/>
      </c>
      <c r="T428" s="6" t="str">
        <f t="shared" si="120"/>
        <v/>
      </c>
      <c r="U428" s="6" t="str">
        <f t="shared" si="121"/>
        <v/>
      </c>
      <c r="V428" s="6">
        <v>18.649999999999999</v>
      </c>
      <c r="W428" s="6">
        <f t="shared" si="131"/>
        <v>23.673740053050384</v>
      </c>
      <c r="X428" s="6">
        <f t="shared" si="122"/>
        <v>-5.1201732087147107</v>
      </c>
      <c r="Y428" s="6">
        <f t="shared" si="123"/>
        <v>28.793913261765095</v>
      </c>
      <c r="Z428" s="6"/>
      <c r="AA428" s="6" t="str">
        <f t="shared" si="132"/>
        <v/>
      </c>
      <c r="AB428" s="6" t="str">
        <f t="shared" si="124"/>
        <v/>
      </c>
      <c r="AC428" s="6" t="str">
        <f t="shared" si="125"/>
        <v/>
      </c>
    </row>
    <row r="429" spans="1:29" x14ac:dyDescent="0.2">
      <c r="A429" t="s">
        <v>513</v>
      </c>
      <c r="B429" s="6">
        <v>611</v>
      </c>
      <c r="C429" s="6">
        <f t="shared" si="126"/>
        <v>25.204918032786882</v>
      </c>
      <c r="D429" s="6">
        <f t="shared" si="112"/>
        <v>21.230084717549552</v>
      </c>
      <c r="E429" s="6">
        <f t="shared" si="113"/>
        <v>3.9748333152373299</v>
      </c>
      <c r="F429" s="6">
        <v>38.770000000000003</v>
      </c>
      <c r="G429" s="6">
        <f t="shared" si="127"/>
        <v>23.471337579617856</v>
      </c>
      <c r="H429" s="6">
        <f t="shared" si="114"/>
        <v>-2.9318307877288041</v>
      </c>
      <c r="I429" s="6">
        <f t="shared" si="115"/>
        <v>26.403168367346659</v>
      </c>
      <c r="J429" s="6">
        <v>7232.19</v>
      </c>
      <c r="K429" s="6">
        <f t="shared" si="128"/>
        <v>18.820533462577949</v>
      </c>
      <c r="L429" s="6">
        <f t="shared" si="116"/>
        <v>-2.4252899478187451</v>
      </c>
      <c r="M429" s="6">
        <f t="shared" si="117"/>
        <v>21.245823410396692</v>
      </c>
      <c r="N429" s="6">
        <v>2773.31</v>
      </c>
      <c r="O429" s="6">
        <f t="shared" si="129"/>
        <v>28.955175299916313</v>
      </c>
      <c r="P429" s="6">
        <f t="shared" si="118"/>
        <v>3.4295676928295094</v>
      </c>
      <c r="Q429" s="6">
        <f t="shared" si="119"/>
        <v>25.525607607086805</v>
      </c>
      <c r="R429" s="6"/>
      <c r="S429" s="6" t="str">
        <f t="shared" si="130"/>
        <v/>
      </c>
      <c r="T429" s="6" t="str">
        <f t="shared" si="120"/>
        <v/>
      </c>
      <c r="U429" s="6" t="str">
        <f t="shared" si="121"/>
        <v/>
      </c>
      <c r="V429" s="6">
        <v>18.420000000000002</v>
      </c>
      <c r="W429" s="6">
        <f t="shared" si="131"/>
        <v>13.144963144963139</v>
      </c>
      <c r="X429" s="6">
        <f t="shared" si="122"/>
        <v>-4.8686621338431308</v>
      </c>
      <c r="Y429" s="6">
        <f t="shared" si="123"/>
        <v>18.01362527880627</v>
      </c>
      <c r="Z429" s="6"/>
      <c r="AA429" s="6" t="str">
        <f t="shared" si="132"/>
        <v/>
      </c>
      <c r="AB429" s="6" t="str">
        <f t="shared" si="124"/>
        <v/>
      </c>
      <c r="AC429" s="6" t="str">
        <f t="shared" si="125"/>
        <v/>
      </c>
    </row>
    <row r="430" spans="1:29" x14ac:dyDescent="0.2">
      <c r="A430" t="s">
        <v>514</v>
      </c>
      <c r="B430" s="6">
        <v>631</v>
      </c>
      <c r="C430" s="6">
        <f t="shared" si="126"/>
        <v>24.212598425196852</v>
      </c>
      <c r="D430" s="6">
        <f t="shared" si="112"/>
        <v>21.480869264347675</v>
      </c>
      <c r="E430" s="6">
        <f t="shared" si="113"/>
        <v>2.7317291608491772</v>
      </c>
      <c r="F430" s="6">
        <v>40.770000000000003</v>
      </c>
      <c r="G430" s="6">
        <f t="shared" si="127"/>
        <v>21.339285714285715</v>
      </c>
      <c r="H430" s="6">
        <f t="shared" si="114"/>
        <v>-2.3914042589353257</v>
      </c>
      <c r="I430" s="6">
        <f t="shared" si="115"/>
        <v>23.73068997322104</v>
      </c>
      <c r="J430" s="6">
        <v>7871.57</v>
      </c>
      <c r="K430" s="6">
        <f t="shared" si="128"/>
        <v>25.306757255835866</v>
      </c>
      <c r="L430" s="6">
        <f t="shared" si="116"/>
        <v>-1.9743697169766392</v>
      </c>
      <c r="M430" s="6">
        <f t="shared" si="117"/>
        <v>27.281126972812505</v>
      </c>
      <c r="N430" s="6">
        <v>2994.64</v>
      </c>
      <c r="O430" s="6">
        <f t="shared" si="129"/>
        <v>26.666102698587267</v>
      </c>
      <c r="P430" s="6">
        <f t="shared" si="118"/>
        <v>4.36412645357768</v>
      </c>
      <c r="Q430" s="6">
        <f t="shared" si="119"/>
        <v>22.301976245009588</v>
      </c>
      <c r="R430" s="6"/>
      <c r="S430" s="6" t="str">
        <f t="shared" si="130"/>
        <v/>
      </c>
      <c r="T430" s="6" t="str">
        <f t="shared" si="120"/>
        <v/>
      </c>
      <c r="U430" s="6" t="str">
        <f t="shared" si="121"/>
        <v/>
      </c>
      <c r="V430" s="6">
        <v>17.36</v>
      </c>
      <c r="W430" s="6">
        <f t="shared" si="131"/>
        <v>1.1065812463599167</v>
      </c>
      <c r="X430" s="6">
        <f t="shared" si="122"/>
        <v>-4.8762723457657673</v>
      </c>
      <c r="Y430" s="6">
        <f t="shared" si="123"/>
        <v>5.982853592125684</v>
      </c>
      <c r="Z430" s="6"/>
      <c r="AA430" s="6" t="str">
        <f t="shared" si="132"/>
        <v/>
      </c>
      <c r="AB430" s="6" t="str">
        <f t="shared" si="124"/>
        <v/>
      </c>
      <c r="AC430" s="6" t="str">
        <f t="shared" si="125"/>
        <v/>
      </c>
    </row>
    <row r="431" spans="1:29" x14ac:dyDescent="0.2">
      <c r="A431" t="s">
        <v>515</v>
      </c>
      <c r="B431" s="6">
        <v>655</v>
      </c>
      <c r="C431" s="6">
        <f t="shared" si="126"/>
        <v>32.59109311740891</v>
      </c>
      <c r="D431" s="6">
        <f t="shared" si="112"/>
        <v>21.686585162911825</v>
      </c>
      <c r="E431" s="6">
        <f t="shared" si="113"/>
        <v>10.904507954497085</v>
      </c>
      <c r="F431" s="6">
        <v>41.05</v>
      </c>
      <c r="G431" s="6">
        <f t="shared" si="127"/>
        <v>24.018126888217516</v>
      </c>
      <c r="H431" s="6">
        <f t="shared" si="114"/>
        <v>-1.8953954773362678</v>
      </c>
      <c r="I431" s="6">
        <f t="shared" si="115"/>
        <v>25.913522365553785</v>
      </c>
      <c r="J431" s="6">
        <v>8596.57</v>
      </c>
      <c r="K431" s="6">
        <f t="shared" si="128"/>
        <v>38.058476639536451</v>
      </c>
      <c r="L431" s="6">
        <f t="shared" si="116"/>
        <v>-1.4119950314162881</v>
      </c>
      <c r="M431" s="6">
        <f t="shared" si="117"/>
        <v>39.47047167095274</v>
      </c>
      <c r="N431" s="6">
        <v>3075.67</v>
      </c>
      <c r="O431" s="6">
        <f t="shared" si="129"/>
        <v>25.119295091103623</v>
      </c>
      <c r="P431" s="6">
        <f t="shared" si="118"/>
        <v>5.214111093054199</v>
      </c>
      <c r="Q431" s="6">
        <f t="shared" si="119"/>
        <v>19.905183998049424</v>
      </c>
      <c r="R431" s="6"/>
      <c r="S431" s="6" t="str">
        <f t="shared" si="130"/>
        <v/>
      </c>
      <c r="T431" s="6" t="str">
        <f t="shared" si="120"/>
        <v/>
      </c>
      <c r="U431" s="6" t="str">
        <f t="shared" si="121"/>
        <v/>
      </c>
      <c r="V431" s="6">
        <v>16.079999999999998</v>
      </c>
      <c r="W431" s="6">
        <f t="shared" si="131"/>
        <v>-10.06711409395974</v>
      </c>
      <c r="X431" s="6">
        <f t="shared" si="122"/>
        <v>-5.2161305977414338</v>
      </c>
      <c r="Y431" s="6">
        <f t="shared" si="123"/>
        <v>-4.8509834962183058</v>
      </c>
      <c r="Z431" s="6"/>
      <c r="AA431" s="6" t="str">
        <f t="shared" si="132"/>
        <v/>
      </c>
      <c r="AB431" s="6" t="str">
        <f t="shared" si="124"/>
        <v/>
      </c>
      <c r="AC431" s="6" t="str">
        <f t="shared" si="125"/>
        <v/>
      </c>
    </row>
    <row r="432" spans="1:29" x14ac:dyDescent="0.2">
      <c r="A432" t="s">
        <v>516</v>
      </c>
      <c r="B432" s="6">
        <v>616</v>
      </c>
      <c r="C432" s="6">
        <f t="shared" si="126"/>
        <v>7.1304347826086856</v>
      </c>
      <c r="D432" s="6">
        <f t="shared" si="112"/>
        <v>21.902603306561549</v>
      </c>
      <c r="E432" s="6">
        <f t="shared" si="113"/>
        <v>-14.772168523952864</v>
      </c>
      <c r="F432" s="6">
        <v>40.880000000000003</v>
      </c>
      <c r="G432" s="6">
        <f t="shared" si="127"/>
        <v>23.504531722054377</v>
      </c>
      <c r="H432" s="6">
        <f t="shared" si="114"/>
        <v>-1.3435775046136282</v>
      </c>
      <c r="I432" s="6">
        <f t="shared" si="115"/>
        <v>24.848109226668004</v>
      </c>
      <c r="J432" s="6">
        <v>8944.66</v>
      </c>
      <c r="K432" s="6">
        <f t="shared" si="128"/>
        <v>52.652274084819517</v>
      </c>
      <c r="L432" s="6">
        <f t="shared" si="116"/>
        <v>-0.44541328587501933</v>
      </c>
      <c r="M432" s="6">
        <f t="shared" si="117"/>
        <v>53.097687370694537</v>
      </c>
      <c r="N432" s="6">
        <v>3036.84</v>
      </c>
      <c r="O432" s="6">
        <f t="shared" si="129"/>
        <v>26.207386658798203</v>
      </c>
      <c r="P432" s="6">
        <f t="shared" si="118"/>
        <v>6.1385339753798602</v>
      </c>
      <c r="Q432" s="6">
        <f t="shared" si="119"/>
        <v>20.068852683418342</v>
      </c>
      <c r="R432" s="6"/>
      <c r="S432" s="6" t="str">
        <f t="shared" si="130"/>
        <v/>
      </c>
      <c r="T432" s="6" t="str">
        <f t="shared" si="120"/>
        <v/>
      </c>
      <c r="U432" s="6" t="str">
        <f t="shared" si="121"/>
        <v/>
      </c>
      <c r="V432" s="6">
        <v>16.47</v>
      </c>
      <c r="W432" s="6">
        <f t="shared" si="131"/>
        <v>-3.1176470588235361</v>
      </c>
      <c r="X432" s="6">
        <f t="shared" si="122"/>
        <v>-5.653973187764354</v>
      </c>
      <c r="Y432" s="6">
        <f t="shared" si="123"/>
        <v>2.5363261289408179</v>
      </c>
      <c r="Z432" s="6"/>
      <c r="AA432" s="6" t="str">
        <f t="shared" si="132"/>
        <v/>
      </c>
      <c r="AB432" s="6" t="str">
        <f t="shared" si="124"/>
        <v/>
      </c>
      <c r="AC432" s="6" t="str">
        <f t="shared" si="125"/>
        <v/>
      </c>
    </row>
    <row r="433" spans="1:29" x14ac:dyDescent="0.2">
      <c r="A433" t="s">
        <v>517</v>
      </c>
      <c r="B433" s="6">
        <v>586</v>
      </c>
      <c r="C433" s="6">
        <f t="shared" si="126"/>
        <v>-4.5602605863192203</v>
      </c>
      <c r="D433" s="6">
        <f t="shared" si="112"/>
        <v>21.714670640592132</v>
      </c>
      <c r="E433" s="6">
        <f t="shared" si="113"/>
        <v>-26.274931226911352</v>
      </c>
      <c r="F433" s="6">
        <v>40.93</v>
      </c>
      <c r="G433" s="6">
        <f t="shared" si="127"/>
        <v>23.65558912386707</v>
      </c>
      <c r="H433" s="6">
        <f t="shared" si="114"/>
        <v>-0.80245943118605589</v>
      </c>
      <c r="I433" s="6">
        <f t="shared" si="115"/>
        <v>24.458048555053125</v>
      </c>
      <c r="J433" s="6">
        <v>8405.2099999999991</v>
      </c>
      <c r="K433" s="6">
        <f t="shared" si="128"/>
        <v>32.058761145370987</v>
      </c>
      <c r="L433" s="6">
        <f t="shared" si="116"/>
        <v>1.1862884789464005</v>
      </c>
      <c r="M433" s="6">
        <f t="shared" si="117"/>
        <v>30.872472666424585</v>
      </c>
      <c r="N433" s="6">
        <v>2915.52</v>
      </c>
      <c r="O433" s="6">
        <f t="shared" si="129"/>
        <v>16.344830063090356</v>
      </c>
      <c r="P433" s="6">
        <f t="shared" si="118"/>
        <v>7.1944923509266205</v>
      </c>
      <c r="Q433" s="6">
        <f t="shared" si="119"/>
        <v>9.1503377121637364</v>
      </c>
      <c r="R433" s="6"/>
      <c r="S433" s="6" t="str">
        <f t="shared" si="130"/>
        <v/>
      </c>
      <c r="T433" s="6" t="str">
        <f t="shared" si="120"/>
        <v/>
      </c>
      <c r="U433" s="6" t="str">
        <f t="shared" si="121"/>
        <v/>
      </c>
      <c r="V433" s="6">
        <v>16.82</v>
      </c>
      <c r="W433" s="6">
        <f t="shared" si="131"/>
        <v>3.8271604938271642</v>
      </c>
      <c r="X433" s="6">
        <f t="shared" si="122"/>
        <v>-5.1641577540150951</v>
      </c>
      <c r="Y433" s="6">
        <f t="shared" si="123"/>
        <v>8.9913182478422584</v>
      </c>
      <c r="Z433" s="6"/>
      <c r="AA433" s="6" t="str">
        <f t="shared" si="132"/>
        <v/>
      </c>
      <c r="AB433" s="6" t="str">
        <f t="shared" si="124"/>
        <v/>
      </c>
      <c r="AC433" s="6" t="str">
        <f t="shared" si="125"/>
        <v/>
      </c>
    </row>
    <row r="434" spans="1:29" x14ac:dyDescent="0.2">
      <c r="A434" t="s">
        <v>518</v>
      </c>
      <c r="B434" s="6">
        <v>615</v>
      </c>
      <c r="C434" s="6">
        <f t="shared" si="126"/>
        <v>-0.16233766233766378</v>
      </c>
      <c r="D434" s="6">
        <f t="shared" si="112"/>
        <v>21.333573662414707</v>
      </c>
      <c r="E434" s="6">
        <f t="shared" si="113"/>
        <v>-21.49591132475237</v>
      </c>
      <c r="F434" s="6">
        <v>40.97</v>
      </c>
      <c r="G434" s="6">
        <f t="shared" si="127"/>
        <v>23.776435045317214</v>
      </c>
      <c r="H434" s="6">
        <f t="shared" si="114"/>
        <v>-0.25819432855405089</v>
      </c>
      <c r="I434" s="6">
        <f t="shared" si="115"/>
        <v>24.034629373871265</v>
      </c>
      <c r="J434" s="6">
        <v>8061.73</v>
      </c>
      <c r="K434" s="6">
        <f t="shared" si="128"/>
        <v>19.463301073308937</v>
      </c>
      <c r="L434" s="6">
        <f t="shared" si="116"/>
        <v>2.4619078803442638</v>
      </c>
      <c r="M434" s="6">
        <f t="shared" si="117"/>
        <v>17.001393192964674</v>
      </c>
      <c r="N434" s="6">
        <v>2813.55</v>
      </c>
      <c r="O434" s="6">
        <f t="shared" si="129"/>
        <v>10.436202490903469</v>
      </c>
      <c r="P434" s="6">
        <f t="shared" si="118"/>
        <v>8.0207636099362336</v>
      </c>
      <c r="Q434" s="6">
        <f t="shared" si="119"/>
        <v>2.4154388809672351</v>
      </c>
      <c r="R434" s="6"/>
      <c r="S434" s="6" t="str">
        <f t="shared" si="130"/>
        <v/>
      </c>
      <c r="T434" s="6" t="str">
        <f t="shared" si="120"/>
        <v/>
      </c>
      <c r="U434" s="6" t="str">
        <f t="shared" si="121"/>
        <v/>
      </c>
      <c r="V434" s="6">
        <v>16.12</v>
      </c>
      <c r="W434" s="6">
        <f t="shared" si="131"/>
        <v>-2.1250758955676852</v>
      </c>
      <c r="X434" s="6">
        <f t="shared" si="122"/>
        <v>-4.2784874251745322</v>
      </c>
      <c r="Y434" s="6">
        <f t="shared" si="123"/>
        <v>2.153411529606847</v>
      </c>
      <c r="Z434" s="6"/>
      <c r="AA434" s="6" t="str">
        <f t="shared" si="132"/>
        <v/>
      </c>
      <c r="AB434" s="6" t="str">
        <f t="shared" si="124"/>
        <v/>
      </c>
      <c r="AC434" s="6" t="str">
        <f t="shared" si="125"/>
        <v/>
      </c>
    </row>
    <row r="435" spans="1:29" x14ac:dyDescent="0.2">
      <c r="A435" t="s">
        <v>519</v>
      </c>
      <c r="B435" s="6">
        <v>607</v>
      </c>
      <c r="C435" s="6">
        <f t="shared" si="126"/>
        <v>-14.144271570014144</v>
      </c>
      <c r="D435" s="6">
        <f t="shared" si="112"/>
        <v>20.935076685253932</v>
      </c>
      <c r="E435" s="6">
        <f t="shared" si="113"/>
        <v>-35.079348255268073</v>
      </c>
      <c r="F435" s="6">
        <v>39.590000000000003</v>
      </c>
      <c r="G435" s="6">
        <f t="shared" si="127"/>
        <v>19.607250755287019</v>
      </c>
      <c r="H435" s="6">
        <f t="shared" si="114"/>
        <v>0.28858839744149756</v>
      </c>
      <c r="I435" s="6">
        <f t="shared" si="115"/>
        <v>19.318662357845522</v>
      </c>
      <c r="J435" s="6">
        <v>8505.91</v>
      </c>
      <c r="K435" s="6">
        <f t="shared" si="128"/>
        <v>12.569513005317523</v>
      </c>
      <c r="L435" s="6">
        <f t="shared" si="116"/>
        <v>3.2552021267136553</v>
      </c>
      <c r="M435" s="6">
        <f t="shared" si="117"/>
        <v>9.3143108786038677</v>
      </c>
      <c r="N435" s="6">
        <v>2977.36</v>
      </c>
      <c r="O435" s="6">
        <f t="shared" si="129"/>
        <v>6.2413245552998431</v>
      </c>
      <c r="P435" s="6">
        <f t="shared" si="118"/>
        <v>8.5266782769651357</v>
      </c>
      <c r="Q435" s="6">
        <f t="shared" si="119"/>
        <v>-2.2853537216652926</v>
      </c>
      <c r="R435" s="6"/>
      <c r="S435" s="6" t="str">
        <f t="shared" si="130"/>
        <v/>
      </c>
      <c r="T435" s="6" t="str">
        <f t="shared" si="120"/>
        <v/>
      </c>
      <c r="U435" s="6" t="str">
        <f t="shared" si="121"/>
        <v/>
      </c>
      <c r="V435" s="6">
        <v>16.739999999999998</v>
      </c>
      <c r="W435" s="6">
        <f t="shared" si="131"/>
        <v>-1.9906323185011732</v>
      </c>
      <c r="X435" s="6">
        <f t="shared" si="122"/>
        <v>-3.5359240908732557</v>
      </c>
      <c r="Y435" s="6">
        <f t="shared" si="123"/>
        <v>1.5452917723720825</v>
      </c>
      <c r="Z435" s="6"/>
      <c r="AA435" s="6" t="str">
        <f t="shared" si="132"/>
        <v/>
      </c>
      <c r="AB435" s="6" t="str">
        <f t="shared" si="124"/>
        <v/>
      </c>
      <c r="AC435" s="6" t="str">
        <f t="shared" si="125"/>
        <v/>
      </c>
    </row>
    <row r="436" spans="1:29" x14ac:dyDescent="0.2">
      <c r="A436" t="s">
        <v>520</v>
      </c>
      <c r="B436" s="6">
        <v>590</v>
      </c>
      <c r="C436" s="6">
        <f t="shared" si="126"/>
        <v>-17.941585535465919</v>
      </c>
      <c r="D436" s="6">
        <f t="shared" si="112"/>
        <v>20.445288550203916</v>
      </c>
      <c r="E436" s="6">
        <f t="shared" si="113"/>
        <v>-38.386874085669831</v>
      </c>
      <c r="F436" s="6">
        <v>39.35</v>
      </c>
      <c r="G436" s="6">
        <f t="shared" si="127"/>
        <v>9.0027700831024848</v>
      </c>
      <c r="H436" s="6">
        <f t="shared" si="114"/>
        <v>0.74851311739475157</v>
      </c>
      <c r="I436" s="6">
        <f t="shared" si="115"/>
        <v>8.254256965707734</v>
      </c>
      <c r="J436" s="6">
        <v>8090.89</v>
      </c>
      <c r="K436" s="6">
        <f t="shared" si="128"/>
        <v>-5.4305417567646508</v>
      </c>
      <c r="L436" s="6">
        <f t="shared" si="116"/>
        <v>3.8428349666445025</v>
      </c>
      <c r="M436" s="6">
        <f t="shared" si="117"/>
        <v>-9.2733767234091538</v>
      </c>
      <c r="N436" s="6">
        <v>2926.26</v>
      </c>
      <c r="O436" s="6">
        <f t="shared" si="129"/>
        <v>-1.9776906843533282</v>
      </c>
      <c r="P436" s="6">
        <f t="shared" si="118"/>
        <v>8.8227109352432027</v>
      </c>
      <c r="Q436" s="6">
        <f t="shared" si="119"/>
        <v>-10.800401619596531</v>
      </c>
      <c r="R436" s="6"/>
      <c r="S436" s="6" t="str">
        <f t="shared" si="130"/>
        <v/>
      </c>
      <c r="T436" s="6" t="str">
        <f t="shared" si="120"/>
        <v/>
      </c>
      <c r="U436" s="6" t="str">
        <f t="shared" si="121"/>
        <v/>
      </c>
      <c r="V436" s="6">
        <v>17.87</v>
      </c>
      <c r="W436" s="6">
        <f t="shared" si="131"/>
        <v>12.10790464240905</v>
      </c>
      <c r="X436" s="6">
        <f t="shared" si="122"/>
        <v>-2.8863027189158177</v>
      </c>
      <c r="Y436" s="6">
        <f t="shared" si="123"/>
        <v>14.994207361324868</v>
      </c>
      <c r="Z436" s="6"/>
      <c r="AA436" s="6" t="str">
        <f t="shared" si="132"/>
        <v/>
      </c>
      <c r="AB436" s="6" t="str">
        <f t="shared" si="124"/>
        <v/>
      </c>
      <c r="AC436" s="6" t="str">
        <f t="shared" si="125"/>
        <v/>
      </c>
    </row>
    <row r="437" spans="1:29" x14ac:dyDescent="0.2">
      <c r="A437" t="s">
        <v>521</v>
      </c>
      <c r="B437" s="6">
        <v>535</v>
      </c>
      <c r="C437" s="6">
        <f t="shared" si="126"/>
        <v>-18.320610687022899</v>
      </c>
      <c r="D437" s="6">
        <f t="shared" si="112"/>
        <v>19.890869680064753</v>
      </c>
      <c r="E437" s="6">
        <f t="shared" si="113"/>
        <v>-38.211480367087653</v>
      </c>
      <c r="F437" s="6">
        <v>39.369999999999997</v>
      </c>
      <c r="G437" s="6">
        <f t="shared" si="127"/>
        <v>6.1185983827493073</v>
      </c>
      <c r="H437" s="6">
        <f t="shared" si="114"/>
        <v>0.9875111566774919</v>
      </c>
      <c r="I437" s="6">
        <f t="shared" si="115"/>
        <v>5.1310872260718154</v>
      </c>
      <c r="J437" s="6">
        <v>7862.05</v>
      </c>
      <c r="K437" s="6">
        <f t="shared" si="128"/>
        <v>-18.04004149053171</v>
      </c>
      <c r="L437" s="6">
        <f t="shared" si="116"/>
        <v>3.9952485966873881</v>
      </c>
      <c r="M437" s="6">
        <f t="shared" si="117"/>
        <v>-22.035290087219099</v>
      </c>
      <c r="N437" s="6">
        <v>2616.41</v>
      </c>
      <c r="O437" s="6">
        <f t="shared" si="129"/>
        <v>-13.045168880631985</v>
      </c>
      <c r="P437" s="6">
        <f t="shared" si="118"/>
        <v>9.0013278798596694</v>
      </c>
      <c r="Q437" s="6">
        <f t="shared" si="119"/>
        <v>-22.046496760491657</v>
      </c>
      <c r="R437" s="6"/>
      <c r="S437" s="6" t="str">
        <f t="shared" si="130"/>
        <v/>
      </c>
      <c r="T437" s="6" t="str">
        <f t="shared" si="120"/>
        <v/>
      </c>
      <c r="U437" s="6" t="str">
        <f t="shared" si="121"/>
        <v/>
      </c>
      <c r="V437" s="6">
        <v>17.8</v>
      </c>
      <c r="W437" s="6">
        <f t="shared" si="131"/>
        <v>5.3254437869822535</v>
      </c>
      <c r="X437" s="6">
        <f t="shared" si="122"/>
        <v>-1.9659210150105475</v>
      </c>
      <c r="Y437" s="6">
        <f t="shared" si="123"/>
        <v>7.2913648019928008</v>
      </c>
      <c r="Z437" s="6"/>
      <c r="AA437" s="6" t="str">
        <f t="shared" si="132"/>
        <v/>
      </c>
      <c r="AB437" s="6" t="str">
        <f t="shared" si="124"/>
        <v/>
      </c>
      <c r="AC437" s="6" t="str">
        <f t="shared" si="125"/>
        <v/>
      </c>
    </row>
    <row r="438" spans="1:29" x14ac:dyDescent="0.2">
      <c r="A438" t="s">
        <v>522</v>
      </c>
      <c r="B438" s="6">
        <v>518</v>
      </c>
      <c r="C438" s="6">
        <f t="shared" si="126"/>
        <v>-21.633888048411499</v>
      </c>
      <c r="D438" s="6">
        <f t="shared" si="112"/>
        <v>19.30622945025512</v>
      </c>
      <c r="E438" s="6">
        <f t="shared" si="113"/>
        <v>-40.940117498666623</v>
      </c>
      <c r="F438" s="6">
        <v>39.28</v>
      </c>
      <c r="G438" s="6">
        <f t="shared" si="127"/>
        <v>4.4680851063829685</v>
      </c>
      <c r="H438" s="6">
        <f t="shared" si="114"/>
        <v>1.166422285536209</v>
      </c>
      <c r="I438" s="6">
        <f t="shared" si="115"/>
        <v>3.3016628208467598</v>
      </c>
      <c r="J438" s="6">
        <v>8215.5499999999993</v>
      </c>
      <c r="K438" s="6">
        <f t="shared" si="128"/>
        <v>-3.4084028475859784</v>
      </c>
      <c r="L438" s="6">
        <f t="shared" si="116"/>
        <v>3.8750657153716763</v>
      </c>
      <c r="M438" s="6">
        <f t="shared" si="117"/>
        <v>-7.2834685629576548</v>
      </c>
      <c r="N438" s="6">
        <v>2537.71</v>
      </c>
      <c r="O438" s="6">
        <f t="shared" si="129"/>
        <v>-11.813111392976905</v>
      </c>
      <c r="P438" s="6">
        <f t="shared" si="118"/>
        <v>8.9927141993880202</v>
      </c>
      <c r="Q438" s="6">
        <f t="shared" si="119"/>
        <v>-20.805825592364926</v>
      </c>
      <c r="R438" s="6"/>
      <c r="S438" s="6" t="str">
        <f t="shared" si="130"/>
        <v/>
      </c>
      <c r="T438" s="6" t="str">
        <f t="shared" si="120"/>
        <v/>
      </c>
      <c r="U438" s="6" t="str">
        <f t="shared" si="121"/>
        <v/>
      </c>
      <c r="V438" s="6">
        <v>17.7</v>
      </c>
      <c r="W438" s="6">
        <f t="shared" si="131"/>
        <v>1.6073478760045834</v>
      </c>
      <c r="X438" s="6">
        <f t="shared" si="122"/>
        <v>-1.3751986568118664</v>
      </c>
      <c r="Y438" s="6">
        <f t="shared" si="123"/>
        <v>2.9825465328164498</v>
      </c>
      <c r="Z438" s="6"/>
      <c r="AA438" s="6" t="str">
        <f t="shared" si="132"/>
        <v/>
      </c>
      <c r="AB438" s="6" t="str">
        <f t="shared" si="124"/>
        <v/>
      </c>
      <c r="AC438" s="6" t="str">
        <f t="shared" si="125"/>
        <v/>
      </c>
    </row>
    <row r="439" spans="1:29" x14ac:dyDescent="0.2">
      <c r="A439" t="s">
        <v>523</v>
      </c>
      <c r="B439" s="6">
        <v>519</v>
      </c>
      <c r="C439" s="6">
        <f t="shared" si="126"/>
        <v>-24.454148471615721</v>
      </c>
      <c r="D439" s="6">
        <f t="shared" si="112"/>
        <v>18.584320293428007</v>
      </c>
      <c r="E439" s="6">
        <f t="shared" si="113"/>
        <v>-43.038468765043731</v>
      </c>
      <c r="F439" s="6">
        <v>39.01</v>
      </c>
      <c r="G439" s="6">
        <f t="shared" si="127"/>
        <v>1.7209908735332347</v>
      </c>
      <c r="H439" s="6">
        <f t="shared" si="114"/>
        <v>1.3109477211372951</v>
      </c>
      <c r="I439" s="6">
        <f t="shared" si="115"/>
        <v>0.41004315239593958</v>
      </c>
      <c r="J439" s="6">
        <v>8021.74</v>
      </c>
      <c r="K439" s="6">
        <f t="shared" si="128"/>
        <v>6.5033968807380882</v>
      </c>
      <c r="L439" s="6">
        <f t="shared" si="116"/>
        <v>3.9987384722741131</v>
      </c>
      <c r="M439" s="6">
        <f t="shared" si="117"/>
        <v>2.5046584084639751</v>
      </c>
      <c r="N439" s="6">
        <v>2561.02</v>
      </c>
      <c r="O439" s="6">
        <f t="shared" si="129"/>
        <v>-12.415014842478211</v>
      </c>
      <c r="P439" s="6">
        <f t="shared" si="118"/>
        <v>8.9536413967491075</v>
      </c>
      <c r="Q439" s="6">
        <f t="shared" si="119"/>
        <v>-21.36865623922732</v>
      </c>
      <c r="R439" s="6"/>
      <c r="S439" s="6" t="str">
        <f t="shared" si="130"/>
        <v/>
      </c>
      <c r="T439" s="6" t="str">
        <f t="shared" si="120"/>
        <v/>
      </c>
      <c r="U439" s="6" t="str">
        <f t="shared" si="121"/>
        <v/>
      </c>
      <c r="V439" s="6">
        <v>19.399999999999999</v>
      </c>
      <c r="W439" s="6">
        <f t="shared" si="131"/>
        <v>11.815561959654165</v>
      </c>
      <c r="X439" s="6">
        <f t="shared" si="122"/>
        <v>-1.2831077198382013</v>
      </c>
      <c r="Y439" s="6">
        <f t="shared" si="123"/>
        <v>13.098669679492366</v>
      </c>
      <c r="Z439" s="6"/>
      <c r="AA439" s="6" t="str">
        <f t="shared" si="132"/>
        <v/>
      </c>
      <c r="AB439" s="6" t="str">
        <f t="shared" si="124"/>
        <v/>
      </c>
      <c r="AC439" s="6" t="str">
        <f t="shared" si="125"/>
        <v/>
      </c>
    </row>
    <row r="440" spans="1:29" x14ac:dyDescent="0.2">
      <c r="A440" t="s">
        <v>524</v>
      </c>
      <c r="B440" s="6">
        <v>562</v>
      </c>
      <c r="C440" s="6">
        <f t="shared" si="126"/>
        <v>-10.08</v>
      </c>
      <c r="D440" s="6">
        <f t="shared" si="112"/>
        <v>17.787502545096935</v>
      </c>
      <c r="E440" s="6">
        <f t="shared" si="113"/>
        <v>-27.867502545096933</v>
      </c>
      <c r="F440" s="6">
        <v>39.33</v>
      </c>
      <c r="G440" s="6">
        <f t="shared" si="127"/>
        <v>6.0107816711590267</v>
      </c>
      <c r="H440" s="6">
        <f t="shared" si="114"/>
        <v>1.3468016976692374</v>
      </c>
      <c r="I440" s="6">
        <f t="shared" si="115"/>
        <v>4.6639799734897895</v>
      </c>
      <c r="J440" s="6">
        <v>8042.85</v>
      </c>
      <c r="K440" s="6">
        <f t="shared" si="128"/>
        <v>8.7190432870179571</v>
      </c>
      <c r="L440" s="6">
        <f t="shared" si="116"/>
        <v>4.441453403611666</v>
      </c>
      <c r="M440" s="6">
        <f t="shared" si="117"/>
        <v>4.2775898834062911</v>
      </c>
      <c r="N440" s="6">
        <v>2595.7800000000002</v>
      </c>
      <c r="O440" s="6">
        <f t="shared" si="129"/>
        <v>-10.598243499225068</v>
      </c>
      <c r="P440" s="6">
        <f t="shared" si="118"/>
        <v>8.8526093553942022</v>
      </c>
      <c r="Q440" s="6">
        <f t="shared" si="119"/>
        <v>-19.450852854619271</v>
      </c>
      <c r="R440" s="6"/>
      <c r="S440" s="6" t="str">
        <f t="shared" si="130"/>
        <v/>
      </c>
      <c r="T440" s="6" t="str">
        <f t="shared" si="120"/>
        <v/>
      </c>
      <c r="U440" s="6" t="str">
        <f t="shared" si="121"/>
        <v/>
      </c>
      <c r="V440" s="6">
        <v>20.66</v>
      </c>
      <c r="W440" s="6">
        <f t="shared" si="131"/>
        <v>10.777479892761409</v>
      </c>
      <c r="X440" s="6">
        <f t="shared" si="122"/>
        <v>-0.96546890249482475</v>
      </c>
      <c r="Y440" s="6">
        <f t="shared" si="123"/>
        <v>11.742948795256234</v>
      </c>
      <c r="Z440" s="6"/>
      <c r="AA440" s="6" t="str">
        <f t="shared" si="132"/>
        <v/>
      </c>
      <c r="AB440" s="6" t="str">
        <f t="shared" si="124"/>
        <v/>
      </c>
      <c r="AC440" s="6" t="str">
        <f t="shared" si="125"/>
        <v/>
      </c>
    </row>
    <row r="441" spans="1:29" x14ac:dyDescent="0.2">
      <c r="A441" t="s">
        <v>525</v>
      </c>
      <c r="B441" s="6">
        <v>552</v>
      </c>
      <c r="C441" s="6">
        <f t="shared" si="126"/>
        <v>-9.656301145662848</v>
      </c>
      <c r="D441" s="6">
        <f t="shared" si="112"/>
        <v>17.035444028900486</v>
      </c>
      <c r="E441" s="6">
        <f t="shared" si="113"/>
        <v>-26.691745174563334</v>
      </c>
      <c r="F441" s="6">
        <v>38.200000000000003</v>
      </c>
      <c r="G441" s="6">
        <f t="shared" si="127"/>
        <v>-1.4702089244261085</v>
      </c>
      <c r="H441" s="6">
        <f t="shared" si="114"/>
        <v>1.4720263158183837</v>
      </c>
      <c r="I441" s="6">
        <f t="shared" si="115"/>
        <v>-2.942235240244492</v>
      </c>
      <c r="J441" s="6">
        <v>8026.55</v>
      </c>
      <c r="K441" s="6">
        <f t="shared" si="128"/>
        <v>10.983671612609736</v>
      </c>
      <c r="L441" s="6">
        <f t="shared" si="116"/>
        <v>4.9927007004103139</v>
      </c>
      <c r="M441" s="6">
        <f t="shared" si="117"/>
        <v>5.9909709121994226</v>
      </c>
      <c r="N441" s="6">
        <v>2658.26</v>
      </c>
      <c r="O441" s="6">
        <f t="shared" si="129"/>
        <v>-4.1484724030129927</v>
      </c>
      <c r="P441" s="6">
        <f t="shared" si="118"/>
        <v>8.8481572138108646</v>
      </c>
      <c r="Q441" s="6">
        <f t="shared" si="119"/>
        <v>-12.996629616823856</v>
      </c>
      <c r="R441" s="6"/>
      <c r="S441" s="6" t="str">
        <f t="shared" si="130"/>
        <v/>
      </c>
      <c r="T441" s="6" t="str">
        <f t="shared" si="120"/>
        <v/>
      </c>
      <c r="U441" s="6" t="str">
        <f t="shared" si="121"/>
        <v/>
      </c>
      <c r="V441" s="6">
        <v>19.059999999999999</v>
      </c>
      <c r="W441" s="6">
        <f t="shared" si="131"/>
        <v>3.4744842562431932</v>
      </c>
      <c r="X441" s="6">
        <f t="shared" si="122"/>
        <v>-0.75898535527940447</v>
      </c>
      <c r="Y441" s="6">
        <f t="shared" si="123"/>
        <v>4.2334696115225974</v>
      </c>
      <c r="Z441" s="6"/>
      <c r="AA441" s="6" t="str">
        <f t="shared" si="132"/>
        <v/>
      </c>
      <c r="AB441" s="6" t="str">
        <f t="shared" si="124"/>
        <v/>
      </c>
      <c r="AC441" s="6" t="str">
        <f t="shared" si="125"/>
        <v/>
      </c>
    </row>
    <row r="442" spans="1:29" x14ac:dyDescent="0.2">
      <c r="A442" t="s">
        <v>526</v>
      </c>
      <c r="B442" s="6">
        <v>508</v>
      </c>
      <c r="C442" s="6">
        <f t="shared" si="126"/>
        <v>-19.492868462757528</v>
      </c>
      <c r="D442" s="6">
        <f t="shared" si="112"/>
        <v>16.362572975158297</v>
      </c>
      <c r="E442" s="6">
        <f t="shared" si="113"/>
        <v>-35.855441437915829</v>
      </c>
      <c r="F442" s="6">
        <v>38.200000000000003</v>
      </c>
      <c r="G442" s="6">
        <f t="shared" si="127"/>
        <v>-6.303654648025514</v>
      </c>
      <c r="H442" s="6">
        <f t="shared" si="114"/>
        <v>1.4413969632261734</v>
      </c>
      <c r="I442" s="6">
        <f t="shared" si="115"/>
        <v>-7.7450516112516876</v>
      </c>
      <c r="J442" s="6">
        <v>7709.48</v>
      </c>
      <c r="K442" s="6">
        <f t="shared" si="128"/>
        <v>-2.0591826027082316</v>
      </c>
      <c r="L442" s="6">
        <f t="shared" si="116"/>
        <v>5.4989631868501183</v>
      </c>
      <c r="M442" s="6">
        <f t="shared" si="117"/>
        <v>-7.5581457895583499</v>
      </c>
      <c r="N442" s="6">
        <v>2173.4</v>
      </c>
      <c r="O442" s="6">
        <f t="shared" si="129"/>
        <v>-27.42366361232067</v>
      </c>
      <c r="P442" s="6">
        <f t="shared" si="118"/>
        <v>8.8424663320157411</v>
      </c>
      <c r="Q442" s="6">
        <f t="shared" si="119"/>
        <v>-36.266129944336413</v>
      </c>
      <c r="R442" s="6"/>
      <c r="S442" s="6" t="str">
        <f t="shared" si="130"/>
        <v/>
      </c>
      <c r="T442" s="6" t="str">
        <f t="shared" si="120"/>
        <v/>
      </c>
      <c r="U442" s="6" t="str">
        <f t="shared" si="121"/>
        <v/>
      </c>
      <c r="V442" s="6">
        <v>18.510000000000002</v>
      </c>
      <c r="W442" s="6">
        <f t="shared" si="131"/>
        <v>6.6244239631336521</v>
      </c>
      <c r="X442" s="6">
        <f t="shared" si="122"/>
        <v>-0.76187479724883245</v>
      </c>
      <c r="Y442" s="6">
        <f t="shared" si="123"/>
        <v>7.3862987603824841</v>
      </c>
      <c r="Z442" s="6"/>
      <c r="AA442" s="6" t="str">
        <f t="shared" si="132"/>
        <v/>
      </c>
      <c r="AB442" s="6" t="str">
        <f t="shared" si="124"/>
        <v/>
      </c>
      <c r="AC442" s="6" t="str">
        <f t="shared" si="125"/>
        <v/>
      </c>
    </row>
    <row r="443" spans="1:29" x14ac:dyDescent="0.2">
      <c r="A443" t="s">
        <v>527</v>
      </c>
      <c r="B443" s="6">
        <v>476</v>
      </c>
      <c r="C443" s="6">
        <f t="shared" si="126"/>
        <v>-27.328244274809165</v>
      </c>
      <c r="D443" s="6">
        <f t="shared" si="112"/>
        <v>15.333481195153098</v>
      </c>
      <c r="E443" s="6">
        <f t="shared" si="113"/>
        <v>-42.661725469962263</v>
      </c>
      <c r="F443" s="6">
        <v>38.4</v>
      </c>
      <c r="G443" s="6">
        <f t="shared" si="127"/>
        <v>-6.4555420219244759</v>
      </c>
      <c r="H443" s="6">
        <f t="shared" si="114"/>
        <v>1.3100708247256418</v>
      </c>
      <c r="I443" s="6">
        <f t="shared" si="115"/>
        <v>-7.765612846650118</v>
      </c>
      <c r="J443" s="6">
        <v>7203.65</v>
      </c>
      <c r="K443" s="6">
        <f t="shared" si="128"/>
        <v>-16.20320662775968</v>
      </c>
      <c r="L443" s="6">
        <f t="shared" si="116"/>
        <v>5.7296142739313787</v>
      </c>
      <c r="M443" s="6">
        <f t="shared" si="117"/>
        <v>-21.932820901691059</v>
      </c>
      <c r="N443" s="6">
        <v>1985.57</v>
      </c>
      <c r="O443" s="6">
        <f t="shared" si="129"/>
        <v>-35.442684033072467</v>
      </c>
      <c r="P443" s="6">
        <f t="shared" si="118"/>
        <v>8.196115674543206</v>
      </c>
      <c r="Q443" s="6">
        <f t="shared" si="119"/>
        <v>-43.638799707615675</v>
      </c>
      <c r="R443" s="6"/>
      <c r="S443" s="6" t="str">
        <f t="shared" si="130"/>
        <v/>
      </c>
      <c r="T443" s="6" t="str">
        <f t="shared" si="120"/>
        <v/>
      </c>
      <c r="U443" s="6" t="str">
        <f t="shared" si="121"/>
        <v/>
      </c>
      <c r="V443" s="6">
        <v>19.59</v>
      </c>
      <c r="W443" s="6">
        <f t="shared" si="131"/>
        <v>21.828358208955233</v>
      </c>
      <c r="X443" s="6">
        <f t="shared" si="122"/>
        <v>-0.96082450716356249</v>
      </c>
      <c r="Y443" s="6">
        <f t="shared" si="123"/>
        <v>22.789182716118795</v>
      </c>
      <c r="Z443" s="6"/>
      <c r="AA443" s="6" t="str">
        <f t="shared" si="132"/>
        <v/>
      </c>
      <c r="AB443" s="6" t="str">
        <f t="shared" si="124"/>
        <v/>
      </c>
      <c r="AC443" s="6" t="str">
        <f t="shared" si="125"/>
        <v/>
      </c>
    </row>
    <row r="444" spans="1:29" x14ac:dyDescent="0.2">
      <c r="A444" t="s">
        <v>528</v>
      </c>
      <c r="B444" s="6">
        <v>513</v>
      </c>
      <c r="C444" s="6">
        <f t="shared" si="126"/>
        <v>-16.720779220779225</v>
      </c>
      <c r="D444" s="6">
        <f t="shared" si="112"/>
        <v>14.513654014207965</v>
      </c>
      <c r="E444" s="6">
        <f t="shared" si="113"/>
        <v>-31.23443323498719</v>
      </c>
      <c r="F444" s="6">
        <v>38.35</v>
      </c>
      <c r="G444" s="6">
        <f t="shared" si="127"/>
        <v>-6.18884540117417</v>
      </c>
      <c r="H444" s="6">
        <f t="shared" si="114"/>
        <v>1.1755803659355486</v>
      </c>
      <c r="I444" s="6">
        <f t="shared" si="115"/>
        <v>-7.3644257671097186</v>
      </c>
      <c r="J444" s="6">
        <v>7054.36</v>
      </c>
      <c r="K444" s="6">
        <f t="shared" si="128"/>
        <v>-21.133279520965587</v>
      </c>
      <c r="L444" s="6">
        <f t="shared" si="116"/>
        <v>5.6465461988879504</v>
      </c>
      <c r="M444" s="6">
        <f t="shared" si="117"/>
        <v>-26.779825719853537</v>
      </c>
      <c r="N444" s="6">
        <v>2008.57</v>
      </c>
      <c r="O444" s="6">
        <f t="shared" si="129"/>
        <v>-33.859867493842287</v>
      </c>
      <c r="P444" s="6">
        <f t="shared" si="118"/>
        <v>7.1931128692009336</v>
      </c>
      <c r="Q444" s="6">
        <f t="shared" si="119"/>
        <v>-41.052980363043218</v>
      </c>
      <c r="R444" s="6"/>
      <c r="S444" s="6" t="str">
        <f t="shared" si="130"/>
        <v/>
      </c>
      <c r="T444" s="6" t="str">
        <f t="shared" si="120"/>
        <v/>
      </c>
      <c r="U444" s="6" t="str">
        <f t="shared" si="121"/>
        <v/>
      </c>
      <c r="V444" s="6">
        <v>20.440000000000001</v>
      </c>
      <c r="W444" s="6">
        <f t="shared" si="131"/>
        <v>24.104432301153622</v>
      </c>
      <c r="X444" s="6">
        <f t="shared" si="122"/>
        <v>-0.62855173389081875</v>
      </c>
      <c r="Y444" s="6">
        <f t="shared" si="123"/>
        <v>24.732984035044442</v>
      </c>
      <c r="Z444" s="6"/>
      <c r="AA444" s="6" t="str">
        <f t="shared" si="132"/>
        <v/>
      </c>
      <c r="AB444" s="6" t="str">
        <f t="shared" si="124"/>
        <v/>
      </c>
      <c r="AC444" s="6" t="str">
        <f t="shared" si="125"/>
        <v/>
      </c>
    </row>
    <row r="445" spans="1:29" x14ac:dyDescent="0.2">
      <c r="A445" t="s">
        <v>529</v>
      </c>
      <c r="B445" s="6">
        <v>545</v>
      </c>
      <c r="C445" s="6">
        <f t="shared" si="126"/>
        <v>-6.9965870307167277</v>
      </c>
      <c r="D445" s="6">
        <f t="shared" si="112"/>
        <v>13.894101291289857</v>
      </c>
      <c r="E445" s="6">
        <f t="shared" si="113"/>
        <v>-20.890688322006586</v>
      </c>
      <c r="F445" s="6">
        <v>38.1</v>
      </c>
      <c r="G445" s="6">
        <f t="shared" si="127"/>
        <v>-6.9142438309308556</v>
      </c>
      <c r="H445" s="6">
        <f t="shared" si="114"/>
        <v>1.0466460867444201</v>
      </c>
      <c r="I445" s="6">
        <f t="shared" si="115"/>
        <v>-7.9608899176752761</v>
      </c>
      <c r="J445" s="6">
        <v>7318.05</v>
      </c>
      <c r="K445" s="6">
        <f t="shared" si="128"/>
        <v>-12.934358570458071</v>
      </c>
      <c r="L445" s="6">
        <f t="shared" si="116"/>
        <v>5.430520691210134</v>
      </c>
      <c r="M445" s="6">
        <f t="shared" si="117"/>
        <v>-18.364879261668207</v>
      </c>
      <c r="N445" s="6">
        <v>1941.45</v>
      </c>
      <c r="O445" s="6">
        <f t="shared" si="129"/>
        <v>-33.40982054659203</v>
      </c>
      <c r="P445" s="6">
        <f t="shared" si="118"/>
        <v>6.2186052003451939</v>
      </c>
      <c r="Q445" s="6">
        <f t="shared" si="119"/>
        <v>-39.628425746937225</v>
      </c>
      <c r="R445" s="6"/>
      <c r="S445" s="6" t="str">
        <f t="shared" si="130"/>
        <v/>
      </c>
      <c r="T445" s="6" t="str">
        <f t="shared" si="120"/>
        <v/>
      </c>
      <c r="U445" s="6" t="str">
        <f t="shared" si="121"/>
        <v/>
      </c>
      <c r="V445" s="6">
        <v>22.26</v>
      </c>
      <c r="W445" s="6">
        <f t="shared" si="131"/>
        <v>32.34244946492273</v>
      </c>
      <c r="X445" s="6">
        <f t="shared" si="122"/>
        <v>-0.15326472038911251</v>
      </c>
      <c r="Y445" s="6">
        <f t="shared" si="123"/>
        <v>32.49571418531184</v>
      </c>
      <c r="Z445" s="6"/>
      <c r="AA445" s="6" t="str">
        <f t="shared" si="132"/>
        <v/>
      </c>
      <c r="AB445" s="6" t="str">
        <f t="shared" si="124"/>
        <v/>
      </c>
      <c r="AC445" s="6" t="str">
        <f t="shared" si="125"/>
        <v/>
      </c>
    </row>
    <row r="446" spans="1:29" x14ac:dyDescent="0.2">
      <c r="A446" t="s">
        <v>530</v>
      </c>
      <c r="B446" s="6">
        <v>532</v>
      </c>
      <c r="C446" s="6">
        <f t="shared" si="126"/>
        <v>-13.495934959349597</v>
      </c>
      <c r="D446" s="6">
        <f t="shared" si="112"/>
        <v>13.309742570255191</v>
      </c>
      <c r="E446" s="6">
        <f t="shared" si="113"/>
        <v>-26.805677529604786</v>
      </c>
      <c r="F446" s="6">
        <v>37.6</v>
      </c>
      <c r="G446" s="6">
        <f t="shared" si="127"/>
        <v>-8.2255308762509074</v>
      </c>
      <c r="H446" s="6">
        <f t="shared" si="114"/>
        <v>0.90259934026669386</v>
      </c>
      <c r="I446" s="6">
        <f t="shared" si="115"/>
        <v>-9.1281302165176008</v>
      </c>
      <c r="J446" s="6">
        <v>7031.39</v>
      </c>
      <c r="K446" s="6">
        <f t="shared" si="128"/>
        <v>-12.780631452554214</v>
      </c>
      <c r="L446" s="6">
        <f t="shared" si="116"/>
        <v>5.3680672693428848</v>
      </c>
      <c r="M446" s="6">
        <f t="shared" si="117"/>
        <v>-18.148698721897098</v>
      </c>
      <c r="N446" s="6">
        <v>1961.17</v>
      </c>
      <c r="O446" s="6">
        <f t="shared" si="129"/>
        <v>-30.295534111709411</v>
      </c>
      <c r="P446" s="6">
        <f t="shared" si="118"/>
        <v>5.4423642670041943</v>
      </c>
      <c r="Q446" s="6">
        <f t="shared" si="119"/>
        <v>-35.737898378713609</v>
      </c>
      <c r="R446" s="6"/>
      <c r="S446" s="6" t="str">
        <f t="shared" si="130"/>
        <v/>
      </c>
      <c r="T446" s="6" t="str">
        <f t="shared" si="120"/>
        <v/>
      </c>
      <c r="U446" s="6" t="str">
        <f t="shared" si="121"/>
        <v/>
      </c>
      <c r="V446" s="6">
        <v>23.61</v>
      </c>
      <c r="W446" s="6">
        <f t="shared" si="131"/>
        <v>46.46401985111661</v>
      </c>
      <c r="X446" s="6">
        <f t="shared" si="122"/>
        <v>0.51014562018829845</v>
      </c>
      <c r="Y446" s="6">
        <f t="shared" si="123"/>
        <v>45.953874230928314</v>
      </c>
      <c r="Z446" s="6"/>
      <c r="AA446" s="6" t="str">
        <f t="shared" si="132"/>
        <v/>
      </c>
      <c r="AB446" s="6" t="str">
        <f t="shared" si="124"/>
        <v/>
      </c>
      <c r="AC446" s="6" t="str">
        <f t="shared" si="125"/>
        <v/>
      </c>
    </row>
    <row r="447" spans="1:29" x14ac:dyDescent="0.2">
      <c r="A447" t="s">
        <v>531</v>
      </c>
      <c r="B447" s="6">
        <v>550</v>
      </c>
      <c r="C447" s="6">
        <f t="shared" si="126"/>
        <v>-9.3904448105436522</v>
      </c>
      <c r="D447" s="6">
        <f t="shared" si="112"/>
        <v>12.72060624410932</v>
      </c>
      <c r="E447" s="6">
        <f t="shared" si="113"/>
        <v>-22.111051054652972</v>
      </c>
      <c r="F447" s="6">
        <v>35.700000000000003</v>
      </c>
      <c r="G447" s="6">
        <f t="shared" si="127"/>
        <v>-9.8257135640313251</v>
      </c>
      <c r="H447" s="6">
        <f t="shared" si="114"/>
        <v>0.84990499975408262</v>
      </c>
      <c r="I447" s="6">
        <f t="shared" si="115"/>
        <v>-10.675618563785408</v>
      </c>
      <c r="J447" s="6">
        <v>6943.38</v>
      </c>
      <c r="K447" s="6">
        <f t="shared" si="128"/>
        <v>-18.369933375735226</v>
      </c>
      <c r="L447" s="6">
        <f t="shared" si="116"/>
        <v>5.4202520965256937</v>
      </c>
      <c r="M447" s="6">
        <f t="shared" si="117"/>
        <v>-23.790185472260919</v>
      </c>
      <c r="N447" s="6">
        <v>2230.86</v>
      </c>
      <c r="O447" s="6">
        <f t="shared" si="129"/>
        <v>-25.072547491737652</v>
      </c>
      <c r="P447" s="6">
        <f t="shared" si="118"/>
        <v>4.9121198113499851</v>
      </c>
      <c r="Q447" s="6">
        <f t="shared" si="119"/>
        <v>-29.984667303087637</v>
      </c>
      <c r="R447" s="6"/>
      <c r="S447" s="6" t="str">
        <f t="shared" si="130"/>
        <v/>
      </c>
      <c r="T447" s="6" t="str">
        <f t="shared" si="120"/>
        <v/>
      </c>
      <c r="U447" s="6" t="str">
        <f t="shared" si="121"/>
        <v/>
      </c>
      <c r="V447" s="6">
        <v>22.39</v>
      </c>
      <c r="W447" s="6">
        <f t="shared" si="131"/>
        <v>33.751493428912795</v>
      </c>
      <c r="X447" s="6">
        <f t="shared" si="122"/>
        <v>1.6130241582680549</v>
      </c>
      <c r="Y447" s="6">
        <f t="shared" si="123"/>
        <v>32.138469270644741</v>
      </c>
      <c r="Z447" s="6"/>
      <c r="AA447" s="6" t="str">
        <f t="shared" si="132"/>
        <v/>
      </c>
      <c r="AB447" s="6" t="str">
        <f t="shared" si="124"/>
        <v/>
      </c>
      <c r="AC447" s="6" t="str">
        <f t="shared" si="125"/>
        <v/>
      </c>
    </row>
    <row r="448" spans="1:29" x14ac:dyDescent="0.2">
      <c r="A448" t="s">
        <v>532</v>
      </c>
      <c r="B448" s="6">
        <v>561</v>
      </c>
      <c r="C448" s="6">
        <f t="shared" si="126"/>
        <v>-4.9152542372881358</v>
      </c>
      <c r="D448" s="6">
        <f t="shared" si="112"/>
        <v>12.231463689930179</v>
      </c>
      <c r="E448" s="6">
        <f t="shared" si="113"/>
        <v>-17.146717927218315</v>
      </c>
      <c r="F448" s="6">
        <v>35.35</v>
      </c>
      <c r="G448" s="6">
        <f t="shared" si="127"/>
        <v>-10.16518424396442</v>
      </c>
      <c r="H448" s="6">
        <f t="shared" si="114"/>
        <v>0.88254440598866035</v>
      </c>
      <c r="I448" s="6">
        <f t="shared" si="115"/>
        <v>-11.047728649953081</v>
      </c>
      <c r="J448" s="6">
        <v>6580.75</v>
      </c>
      <c r="K448" s="6">
        <f t="shared" si="128"/>
        <v>-18.664695725686542</v>
      </c>
      <c r="L448" s="6">
        <f t="shared" si="116"/>
        <v>5.5205830921009857</v>
      </c>
      <c r="M448" s="6">
        <f t="shared" si="117"/>
        <v>-24.185278817787527</v>
      </c>
      <c r="N448" s="6">
        <v>2268.08</v>
      </c>
      <c r="O448" s="6">
        <f t="shared" si="129"/>
        <v>-22.492191397893567</v>
      </c>
      <c r="P448" s="6">
        <f t="shared" si="118"/>
        <v>4.5836956716429649</v>
      </c>
      <c r="Q448" s="6">
        <f t="shared" si="119"/>
        <v>-27.075887069536531</v>
      </c>
      <c r="R448" s="6"/>
      <c r="S448" s="6" t="str">
        <f t="shared" si="130"/>
        <v/>
      </c>
      <c r="T448" s="6" t="str">
        <f t="shared" si="120"/>
        <v/>
      </c>
      <c r="U448" s="6" t="str">
        <f t="shared" si="121"/>
        <v/>
      </c>
      <c r="V448" s="6">
        <v>23.62</v>
      </c>
      <c r="W448" s="6">
        <f t="shared" si="131"/>
        <v>32.176832680470071</v>
      </c>
      <c r="X448" s="6">
        <f t="shared" si="122"/>
        <v>2.5057565833588504</v>
      </c>
      <c r="Y448" s="6">
        <f t="shared" si="123"/>
        <v>29.671076097111222</v>
      </c>
      <c r="Z448" s="6"/>
      <c r="AA448" s="6" t="str">
        <f t="shared" si="132"/>
        <v/>
      </c>
      <c r="AB448" s="6" t="str">
        <f t="shared" si="124"/>
        <v/>
      </c>
      <c r="AC448" s="6" t="str">
        <f t="shared" si="125"/>
        <v/>
      </c>
    </row>
    <row r="449" spans="1:29" x14ac:dyDescent="0.2">
      <c r="A449" t="s">
        <v>533</v>
      </c>
      <c r="B449" s="6">
        <v>567</v>
      </c>
      <c r="C449" s="6">
        <f t="shared" si="126"/>
        <v>5.9813084112149584</v>
      </c>
      <c r="D449" s="6">
        <f t="shared" ref="D449:D512" si="133">IF(COUNT(C401:C448)&lt;48,"",AVERAGE(C401:C448))</f>
        <v>11.990543056440577</v>
      </c>
      <c r="E449" s="6">
        <f t="shared" ref="E449:E512" si="134">IF(OR(C449="",D449=""),"",C449-D449)</f>
        <v>-6.0092346452256189</v>
      </c>
      <c r="F449" s="6">
        <v>35.229999999999997</v>
      </c>
      <c r="G449" s="6">
        <f t="shared" si="127"/>
        <v>-10.515621031242063</v>
      </c>
      <c r="H449" s="6">
        <f t="shared" ref="H449:H512" si="135">IF(COUNT(G401:G448)&lt;48,"",AVERAGE(G401:G448))</f>
        <v>0.90811150639129978</v>
      </c>
      <c r="I449" s="6">
        <f t="shared" ref="I449:I512" si="136">IF(OR(G449="",H449=""),"",G449-H449)</f>
        <v>-11.423732537633363</v>
      </c>
      <c r="J449" s="6">
        <v>7071.55</v>
      </c>
      <c r="K449" s="6">
        <f t="shared" si="128"/>
        <v>-10.054629517746639</v>
      </c>
      <c r="L449" s="6">
        <f t="shared" ref="L449:L512" si="137">IF(COUNT(K401:K448)&lt;48,"",AVERAGE(K401:K448))</f>
        <v>5.5396708859760482</v>
      </c>
      <c r="M449" s="6">
        <f t="shared" ref="M449:M512" si="138">IF(OR(K449="",L449=""),"",K449-L449)</f>
        <v>-15.594300403722688</v>
      </c>
      <c r="N449" s="6">
        <v>2434.9299999999998</v>
      </c>
      <c r="O449" s="6">
        <f t="shared" si="129"/>
        <v>-6.936221769523887</v>
      </c>
      <c r="P449" s="6">
        <f t="shared" ref="P449:P512" si="139">IF(COUNT(O401:O448)&lt;48,"",AVERAGE(O401:O448))</f>
        <v>4.1304020345621444</v>
      </c>
      <c r="Q449" s="6">
        <f t="shared" ref="Q449:Q512" si="140">IF(OR(O449="",P449=""),"",O449-P449)</f>
        <v>-11.066623804086031</v>
      </c>
      <c r="R449" s="6"/>
      <c r="S449" s="6" t="str">
        <f t="shared" si="130"/>
        <v/>
      </c>
      <c r="T449" s="6" t="str">
        <f t="shared" ref="T449:T512" si="141">IF(COUNT(S401:S448)&lt;48,"",AVERAGE(S401:S448))</f>
        <v/>
      </c>
      <c r="U449" s="6" t="str">
        <f t="shared" ref="U449:U512" si="142">IF(OR(S449="",T449=""),"",S449-T449)</f>
        <v/>
      </c>
      <c r="V449" s="6">
        <v>23.23</v>
      </c>
      <c r="W449" s="6">
        <f t="shared" si="131"/>
        <v>30.50561797752809</v>
      </c>
      <c r="X449" s="6">
        <f t="shared" ref="X449:X512" si="143">IF(COUNT(W401:W448)&lt;48,"",AVERAGE(W401:W448))</f>
        <v>3.1549805036385954</v>
      </c>
      <c r="Y449" s="6">
        <f t="shared" ref="Y449:Y512" si="144">IF(OR(W449="",X449=""),"",W449-X449)</f>
        <v>27.350637473889496</v>
      </c>
      <c r="Z449" s="6"/>
      <c r="AA449" s="6" t="str">
        <f t="shared" si="132"/>
        <v/>
      </c>
      <c r="AB449" s="6" t="str">
        <f t="shared" ref="AB449:AB512" si="145">IF(COUNT(AA401:AA448)&lt;48,"",AVERAGE(AA401:AA448))</f>
        <v/>
      </c>
      <c r="AC449" s="6" t="str">
        <f t="shared" ref="AC449:AC512" si="146">IF(OR(AA449="",AB449=""),"",AA449-AB449)</f>
        <v/>
      </c>
    </row>
    <row r="450" spans="1:29" x14ac:dyDescent="0.2">
      <c r="A450" t="s">
        <v>534</v>
      </c>
      <c r="B450" s="6">
        <v>580</v>
      </c>
      <c r="C450" s="6">
        <f t="shared" si="126"/>
        <v>11.969111969111967</v>
      </c>
      <c r="D450" s="6">
        <f t="shared" si="133"/>
        <v>11.968286807609816</v>
      </c>
      <c r="E450" s="6">
        <f t="shared" si="134"/>
        <v>8.2516150215106165E-4</v>
      </c>
      <c r="F450" s="6">
        <v>34.6</v>
      </c>
      <c r="G450" s="6">
        <f t="shared" si="127"/>
        <v>-11.914460285132378</v>
      </c>
      <c r="H450" s="6">
        <f t="shared" si="135"/>
        <v>0.9263778403923224</v>
      </c>
      <c r="I450" s="6">
        <f t="shared" si="136"/>
        <v>-12.840838125524701</v>
      </c>
      <c r="J450" s="6">
        <v>7734.53</v>
      </c>
      <c r="K450" s="6">
        <f t="shared" si="128"/>
        <v>-5.8549944921520769</v>
      </c>
      <c r="L450" s="6">
        <f t="shared" si="137"/>
        <v>5.7698436583539943</v>
      </c>
      <c r="M450" s="6">
        <f t="shared" si="138"/>
        <v>-11.624838150506072</v>
      </c>
      <c r="N450" s="6">
        <v>2405.85</v>
      </c>
      <c r="O450" s="6">
        <f t="shared" si="129"/>
        <v>-5.1960231862584809</v>
      </c>
      <c r="P450" s="6">
        <f t="shared" si="139"/>
        <v>3.8713507472607689</v>
      </c>
      <c r="Q450" s="6">
        <f t="shared" si="140"/>
        <v>-9.0673739335192494</v>
      </c>
      <c r="R450" s="6"/>
      <c r="S450" s="6" t="str">
        <f t="shared" si="130"/>
        <v/>
      </c>
      <c r="T450" s="6" t="str">
        <f t="shared" si="141"/>
        <v/>
      </c>
      <c r="U450" s="6" t="str">
        <f t="shared" si="142"/>
        <v/>
      </c>
      <c r="V450" s="6">
        <v>20.420000000000002</v>
      </c>
      <c r="W450" s="6">
        <f t="shared" si="131"/>
        <v>15.367231638418088</v>
      </c>
      <c r="X450" s="6">
        <f t="shared" si="143"/>
        <v>3.8096933446069481</v>
      </c>
      <c r="Y450" s="6">
        <f t="shared" si="144"/>
        <v>11.55753829381114</v>
      </c>
      <c r="Z450" s="6"/>
      <c r="AA450" s="6" t="str">
        <f t="shared" si="132"/>
        <v/>
      </c>
      <c r="AB450" s="6" t="str">
        <f t="shared" si="145"/>
        <v/>
      </c>
      <c r="AC450" s="6" t="str">
        <f t="shared" si="146"/>
        <v/>
      </c>
    </row>
    <row r="451" spans="1:29" x14ac:dyDescent="0.2">
      <c r="A451" t="s">
        <v>535</v>
      </c>
      <c r="B451" s="6">
        <v>559</v>
      </c>
      <c r="C451" s="6">
        <f t="shared" si="126"/>
        <v>7.707129094412335</v>
      </c>
      <c r="D451" s="6">
        <f t="shared" si="133"/>
        <v>11.983131963161776</v>
      </c>
      <c r="E451" s="6">
        <f t="shared" si="134"/>
        <v>-4.2760028687494414</v>
      </c>
      <c r="F451" s="6">
        <v>34.5</v>
      </c>
      <c r="G451" s="6">
        <f t="shared" si="127"/>
        <v>-11.561138169700069</v>
      </c>
      <c r="H451" s="6">
        <f t="shared" si="135"/>
        <v>1.1264721540723188</v>
      </c>
      <c r="I451" s="6">
        <f t="shared" si="136"/>
        <v>-12.687610323772388</v>
      </c>
      <c r="J451" s="6">
        <v>7895.87</v>
      </c>
      <c r="K451" s="6">
        <f t="shared" si="128"/>
        <v>-1.5691109410177817</v>
      </c>
      <c r="L451" s="6">
        <f t="shared" si="137"/>
        <v>6.1310016343790581</v>
      </c>
      <c r="M451" s="6">
        <f t="shared" si="138"/>
        <v>-7.7001125753968402</v>
      </c>
      <c r="N451" s="6">
        <v>2421.29</v>
      </c>
      <c r="O451" s="6">
        <f t="shared" si="129"/>
        <v>-5.4560292383503466</v>
      </c>
      <c r="P451" s="6">
        <f t="shared" si="139"/>
        <v>3.7568388463340536</v>
      </c>
      <c r="Q451" s="6">
        <f t="shared" si="140"/>
        <v>-9.2128680846844002</v>
      </c>
      <c r="R451" s="6"/>
      <c r="S451" s="6" t="str">
        <f t="shared" si="130"/>
        <v/>
      </c>
      <c r="T451" s="6" t="str">
        <f t="shared" si="141"/>
        <v/>
      </c>
      <c r="U451" s="6" t="str">
        <f t="shared" si="142"/>
        <v/>
      </c>
      <c r="V451" s="6">
        <v>19.329999999999998</v>
      </c>
      <c r="W451" s="6">
        <f t="shared" si="131"/>
        <v>-0.36082474226803996</v>
      </c>
      <c r="X451" s="6">
        <f t="shared" si="143"/>
        <v>4.0648137351065294</v>
      </c>
      <c r="Y451" s="6">
        <f t="shared" si="144"/>
        <v>-4.4256384773745694</v>
      </c>
      <c r="Z451" s="6"/>
      <c r="AA451" s="6" t="str">
        <f t="shared" si="132"/>
        <v/>
      </c>
      <c r="AB451" s="6" t="str">
        <f t="shared" si="145"/>
        <v/>
      </c>
      <c r="AC451" s="6" t="str">
        <f t="shared" si="146"/>
        <v/>
      </c>
    </row>
    <row r="452" spans="1:29" x14ac:dyDescent="0.2">
      <c r="A452" t="s">
        <v>536</v>
      </c>
      <c r="B452" s="6">
        <v>562</v>
      </c>
      <c r="C452" s="6">
        <f t="shared" si="126"/>
        <v>0</v>
      </c>
      <c r="D452" s="6">
        <f t="shared" si="133"/>
        <v>12.080565839497389</v>
      </c>
      <c r="E452" s="6">
        <f t="shared" si="134"/>
        <v>-12.080565839497389</v>
      </c>
      <c r="F452" s="6">
        <v>35.4</v>
      </c>
      <c r="G452" s="6">
        <f t="shared" si="127"/>
        <v>-9.9923722349351642</v>
      </c>
      <c r="H452" s="6">
        <f t="shared" si="135"/>
        <v>1.3339273451571518</v>
      </c>
      <c r="I452" s="6">
        <f t="shared" si="136"/>
        <v>-11.326299580092316</v>
      </c>
      <c r="J452" s="6">
        <v>7315.52</v>
      </c>
      <c r="K452" s="6">
        <f t="shared" si="128"/>
        <v>-9.0431874273422928</v>
      </c>
      <c r="L452" s="6">
        <f t="shared" si="137"/>
        <v>6.5045473588309681</v>
      </c>
      <c r="M452" s="6">
        <f t="shared" si="138"/>
        <v>-15.547734786173262</v>
      </c>
      <c r="N452" s="6">
        <v>2391.1799999999998</v>
      </c>
      <c r="O452" s="6">
        <f t="shared" si="129"/>
        <v>-7.8820239003305481</v>
      </c>
      <c r="P452" s="6">
        <f t="shared" si="139"/>
        <v>3.7130796368446775</v>
      </c>
      <c r="Q452" s="6">
        <f t="shared" si="140"/>
        <v>-11.595103537175225</v>
      </c>
      <c r="R452" s="6"/>
      <c r="S452" s="6" t="str">
        <f t="shared" si="130"/>
        <v/>
      </c>
      <c r="T452" s="6" t="str">
        <f t="shared" si="141"/>
        <v/>
      </c>
      <c r="U452" s="6" t="str">
        <f t="shared" si="142"/>
        <v/>
      </c>
      <c r="V452" s="6">
        <v>17.88</v>
      </c>
      <c r="W452" s="6">
        <f t="shared" si="131"/>
        <v>-13.45595353339788</v>
      </c>
      <c r="X452" s="6">
        <f t="shared" si="143"/>
        <v>3.9355200486779509</v>
      </c>
      <c r="Y452" s="6">
        <f t="shared" si="144"/>
        <v>-17.391473582075832</v>
      </c>
      <c r="Z452" s="6"/>
      <c r="AA452" s="6" t="str">
        <f t="shared" si="132"/>
        <v/>
      </c>
      <c r="AB452" s="6" t="str">
        <f t="shared" si="145"/>
        <v/>
      </c>
      <c r="AC452" s="6" t="str">
        <f t="shared" si="146"/>
        <v/>
      </c>
    </row>
    <row r="453" spans="1:29" x14ac:dyDescent="0.2">
      <c r="A453" t="s">
        <v>537</v>
      </c>
      <c r="B453" s="6">
        <v>553</v>
      </c>
      <c r="C453" s="6">
        <f t="shared" si="126"/>
        <v>0.18115942028984477</v>
      </c>
      <c r="D453" s="6">
        <f t="shared" si="133"/>
        <v>12.132390051769363</v>
      </c>
      <c r="E453" s="6">
        <f t="shared" si="134"/>
        <v>-11.951230631479518</v>
      </c>
      <c r="F453" s="6">
        <v>35.729999999999997</v>
      </c>
      <c r="G453" s="6">
        <f t="shared" si="127"/>
        <v>-6.465968586387449</v>
      </c>
      <c r="H453" s="6">
        <f t="shared" si="135"/>
        <v>1.5740651598829236</v>
      </c>
      <c r="I453" s="6">
        <f t="shared" si="136"/>
        <v>-8.0400337462703728</v>
      </c>
      <c r="J453" s="6">
        <v>7482.85</v>
      </c>
      <c r="K453" s="6">
        <f t="shared" si="128"/>
        <v>-6.7737695522983028</v>
      </c>
      <c r="L453" s="6">
        <f t="shared" si="137"/>
        <v>6.7227494004916393</v>
      </c>
      <c r="M453" s="6">
        <f t="shared" si="138"/>
        <v>-13.496518952789941</v>
      </c>
      <c r="N453" s="6">
        <v>2514.33</v>
      </c>
      <c r="O453" s="6">
        <f t="shared" si="129"/>
        <v>-5.4144440348197769</v>
      </c>
      <c r="P453" s="6">
        <f t="shared" si="139"/>
        <v>3.7985044192405337</v>
      </c>
      <c r="Q453" s="6">
        <f t="shared" si="140"/>
        <v>-9.2129484540603102</v>
      </c>
      <c r="R453" s="6"/>
      <c r="S453" s="6" t="str">
        <f t="shared" si="130"/>
        <v/>
      </c>
      <c r="T453" s="6" t="str">
        <f t="shared" si="141"/>
        <v/>
      </c>
      <c r="U453" s="6" t="str">
        <f t="shared" si="142"/>
        <v/>
      </c>
      <c r="V453" s="6">
        <v>19.37</v>
      </c>
      <c r="W453" s="6">
        <f t="shared" si="131"/>
        <v>1.626442812172102</v>
      </c>
      <c r="X453" s="6">
        <f t="shared" si="143"/>
        <v>3.6775530439284405</v>
      </c>
      <c r="Y453" s="6">
        <f t="shared" si="144"/>
        <v>-2.0511102317563386</v>
      </c>
      <c r="Z453" s="6"/>
      <c r="AA453" s="6" t="str">
        <f t="shared" si="132"/>
        <v/>
      </c>
      <c r="AB453" s="6" t="str">
        <f t="shared" si="145"/>
        <v/>
      </c>
      <c r="AC453" s="6" t="str">
        <f t="shared" si="146"/>
        <v/>
      </c>
    </row>
    <row r="454" spans="1:29" x14ac:dyDescent="0.2">
      <c r="A454" t="s">
        <v>538</v>
      </c>
      <c r="B454" s="6">
        <v>533</v>
      </c>
      <c r="C454" s="6">
        <f t="shared" si="126"/>
        <v>4.9212598425196763</v>
      </c>
      <c r="D454" s="6">
        <f t="shared" si="133"/>
        <v>12.237659932854463</v>
      </c>
      <c r="E454" s="6">
        <f t="shared" si="134"/>
        <v>-7.3164000903347866</v>
      </c>
      <c r="F454" s="6">
        <v>34.5</v>
      </c>
      <c r="G454" s="6">
        <f t="shared" si="127"/>
        <v>-9.6858638743455572</v>
      </c>
      <c r="H454" s="6">
        <f t="shared" si="135"/>
        <v>1.8876697172867722</v>
      </c>
      <c r="I454" s="6">
        <f t="shared" si="136"/>
        <v>-11.57353359163233</v>
      </c>
      <c r="J454" s="6">
        <v>7062.48</v>
      </c>
      <c r="K454" s="6">
        <f t="shared" si="128"/>
        <v>-8.3922651073742962</v>
      </c>
      <c r="L454" s="6">
        <f t="shared" si="137"/>
        <v>7.0264146694477914</v>
      </c>
      <c r="M454" s="6">
        <f t="shared" si="138"/>
        <v>-15.418679776822088</v>
      </c>
      <c r="N454" s="6">
        <v>2612.62</v>
      </c>
      <c r="O454" s="6">
        <f t="shared" si="129"/>
        <v>20.208889297874279</v>
      </c>
      <c r="P454" s="6">
        <f t="shared" si="139"/>
        <v>4.0823650854720333</v>
      </c>
      <c r="Q454" s="6">
        <f t="shared" si="140"/>
        <v>16.126524212402245</v>
      </c>
      <c r="R454" s="6"/>
      <c r="S454" s="6" t="str">
        <f t="shared" si="130"/>
        <v/>
      </c>
      <c r="T454" s="6" t="str">
        <f t="shared" si="141"/>
        <v/>
      </c>
      <c r="U454" s="6" t="str">
        <f t="shared" si="142"/>
        <v/>
      </c>
      <c r="V454" s="6">
        <v>17.920000000000002</v>
      </c>
      <c r="W454" s="6">
        <f t="shared" si="131"/>
        <v>-3.1874662344678506</v>
      </c>
      <c r="X454" s="6">
        <f t="shared" si="143"/>
        <v>3.8535312862760431</v>
      </c>
      <c r="Y454" s="6">
        <f t="shared" si="144"/>
        <v>-7.0409975207438933</v>
      </c>
      <c r="Z454" s="6"/>
      <c r="AA454" s="6" t="str">
        <f t="shared" si="132"/>
        <v/>
      </c>
      <c r="AB454" s="6" t="str">
        <f t="shared" si="145"/>
        <v/>
      </c>
      <c r="AC454" s="6" t="str">
        <f t="shared" si="146"/>
        <v/>
      </c>
    </row>
    <row r="455" spans="1:29" x14ac:dyDescent="0.2">
      <c r="A455" t="s">
        <v>539</v>
      </c>
      <c r="B455" s="6">
        <v>498</v>
      </c>
      <c r="C455" s="6">
        <f t="shared" si="126"/>
        <v>4.6218487394958041</v>
      </c>
      <c r="D455" s="6">
        <f t="shared" si="133"/>
        <v>12.587710932048871</v>
      </c>
      <c r="E455" s="6">
        <f t="shared" si="134"/>
        <v>-7.9658621925530673</v>
      </c>
      <c r="F455" s="6">
        <v>35</v>
      </c>
      <c r="G455" s="6">
        <f t="shared" si="127"/>
        <v>-8.8541666666666625</v>
      </c>
      <c r="H455" s="6">
        <f t="shared" si="135"/>
        <v>2.1341931228581612</v>
      </c>
      <c r="I455" s="6">
        <f t="shared" si="136"/>
        <v>-10.988359789524823</v>
      </c>
      <c r="J455" s="6">
        <v>6835.5</v>
      </c>
      <c r="K455" s="6">
        <f t="shared" si="128"/>
        <v>-5.1106036523151381</v>
      </c>
      <c r="L455" s="6">
        <f t="shared" si="137"/>
        <v>7.3324878593497251</v>
      </c>
      <c r="M455" s="6">
        <f t="shared" si="138"/>
        <v>-12.443091511664864</v>
      </c>
      <c r="N455" s="6">
        <v>2450.46</v>
      </c>
      <c r="O455" s="6">
        <f t="shared" si="129"/>
        <v>23.41342788216987</v>
      </c>
      <c r="P455" s="6">
        <f t="shared" si="139"/>
        <v>4.9073103406484018</v>
      </c>
      <c r="Q455" s="6">
        <f t="shared" si="140"/>
        <v>18.506117541521469</v>
      </c>
      <c r="R455" s="6"/>
      <c r="S455" s="6" t="str">
        <f t="shared" si="130"/>
        <v/>
      </c>
      <c r="T455" s="6" t="str">
        <f t="shared" si="141"/>
        <v/>
      </c>
      <c r="U455" s="6" t="str">
        <f t="shared" si="142"/>
        <v/>
      </c>
      <c r="V455" s="6">
        <v>18.329999999999998</v>
      </c>
      <c r="W455" s="6">
        <f t="shared" si="131"/>
        <v>-6.4318529862174678</v>
      </c>
      <c r="X455" s="6">
        <f t="shared" si="143"/>
        <v>4.1231795083276053</v>
      </c>
      <c r="Y455" s="6">
        <f t="shared" si="144"/>
        <v>-10.555032494545074</v>
      </c>
      <c r="Z455" s="6"/>
      <c r="AA455" s="6" t="str">
        <f t="shared" si="132"/>
        <v/>
      </c>
      <c r="AB455" s="6" t="str">
        <f t="shared" si="145"/>
        <v/>
      </c>
      <c r="AC455" s="6" t="str">
        <f t="shared" si="146"/>
        <v/>
      </c>
    </row>
    <row r="456" spans="1:29" x14ac:dyDescent="0.2">
      <c r="A456" t="s">
        <v>540</v>
      </c>
      <c r="B456" s="6">
        <v>504</v>
      </c>
      <c r="C456" s="6">
        <f t="shared" si="126"/>
        <v>-1.7543859649122862</v>
      </c>
      <c r="D456" s="6">
        <f t="shared" si="133"/>
        <v>12.793074491085051</v>
      </c>
      <c r="E456" s="6">
        <f t="shared" si="134"/>
        <v>-14.547460455997337</v>
      </c>
      <c r="F456" s="6">
        <v>36.93</v>
      </c>
      <c r="G456" s="6">
        <f t="shared" si="127"/>
        <v>-3.7027379400260796</v>
      </c>
      <c r="H456" s="6">
        <f t="shared" si="135"/>
        <v>2.3980435535895244</v>
      </c>
      <c r="I456" s="6">
        <f t="shared" si="136"/>
        <v>-6.100781493615604</v>
      </c>
      <c r="J456" s="6">
        <v>6761.3</v>
      </c>
      <c r="K456" s="6">
        <f t="shared" si="128"/>
        <v>-4.1543102421764626</v>
      </c>
      <c r="L456" s="6">
        <f t="shared" si="137"/>
        <v>7.9100140246629769</v>
      </c>
      <c r="M456" s="6">
        <f t="shared" si="138"/>
        <v>-12.064324266839439</v>
      </c>
      <c r="N456" s="6">
        <v>2251.1999999999998</v>
      </c>
      <c r="O456" s="6">
        <f t="shared" si="129"/>
        <v>12.079738321293254</v>
      </c>
      <c r="P456" s="6">
        <f t="shared" si="139"/>
        <v>5.8854048101336813</v>
      </c>
      <c r="Q456" s="6">
        <f t="shared" si="140"/>
        <v>6.1943335111595728</v>
      </c>
      <c r="R456" s="6"/>
      <c r="S456" s="6" t="str">
        <f t="shared" si="130"/>
        <v/>
      </c>
      <c r="T456" s="6" t="str">
        <f t="shared" si="141"/>
        <v/>
      </c>
      <c r="U456" s="6" t="str">
        <f t="shared" si="142"/>
        <v/>
      </c>
      <c r="V456" s="6">
        <v>18.7</v>
      </c>
      <c r="W456" s="6">
        <f t="shared" si="131"/>
        <v>-8.5127201565557868</v>
      </c>
      <c r="X456" s="6">
        <f t="shared" si="143"/>
        <v>4.3868441146612627</v>
      </c>
      <c r="Y456" s="6">
        <f t="shared" si="144"/>
        <v>-12.899564271217049</v>
      </c>
      <c r="Z456" s="6"/>
      <c r="AA456" s="6" t="str">
        <f t="shared" si="132"/>
        <v/>
      </c>
      <c r="AB456" s="6" t="str">
        <f t="shared" si="145"/>
        <v/>
      </c>
      <c r="AC456" s="6" t="str">
        <f t="shared" si="146"/>
        <v/>
      </c>
    </row>
    <row r="457" spans="1:29" x14ac:dyDescent="0.2">
      <c r="A457" t="s">
        <v>541</v>
      </c>
      <c r="B457" s="6">
        <v>525</v>
      </c>
      <c r="C457" s="6">
        <f t="shared" si="126"/>
        <v>-3.669724770642202</v>
      </c>
      <c r="D457" s="6">
        <f t="shared" si="133"/>
        <v>12.898322340201736</v>
      </c>
      <c r="E457" s="6">
        <f t="shared" si="134"/>
        <v>-16.568047110843938</v>
      </c>
      <c r="F457" s="6">
        <v>37.15</v>
      </c>
      <c r="G457" s="6">
        <f t="shared" si="127"/>
        <v>-2.4934383202099841</v>
      </c>
      <c r="H457" s="6">
        <f t="shared" si="135"/>
        <v>2.7692154161259022</v>
      </c>
      <c r="I457" s="6">
        <f t="shared" si="136"/>
        <v>-5.2626537363358867</v>
      </c>
      <c r="J457" s="6">
        <v>6503.84</v>
      </c>
      <c r="K457" s="6">
        <f t="shared" si="128"/>
        <v>-11.126051338812937</v>
      </c>
      <c r="L457" s="6">
        <f t="shared" si="137"/>
        <v>8.5533176420034334</v>
      </c>
      <c r="M457" s="6">
        <f t="shared" si="138"/>
        <v>-19.679368980816371</v>
      </c>
      <c r="N457" s="6">
        <v>2107.3000000000002</v>
      </c>
      <c r="O457" s="6">
        <f t="shared" si="129"/>
        <v>8.5425841510211598</v>
      </c>
      <c r="P457" s="6">
        <f t="shared" si="139"/>
        <v>6.6114514119195062</v>
      </c>
      <c r="Q457" s="6">
        <f t="shared" si="140"/>
        <v>1.9311327391016535</v>
      </c>
      <c r="R457" s="6"/>
      <c r="S457" s="6" t="str">
        <f t="shared" si="130"/>
        <v/>
      </c>
      <c r="T457" s="6" t="str">
        <f t="shared" si="141"/>
        <v/>
      </c>
      <c r="U457" s="6" t="str">
        <f t="shared" si="142"/>
        <v/>
      </c>
      <c r="V457" s="6">
        <v>18.66</v>
      </c>
      <c r="W457" s="6">
        <f t="shared" si="131"/>
        <v>-16.172506738544477</v>
      </c>
      <c r="X457" s="6">
        <f t="shared" si="143"/>
        <v>4.5429140587323387</v>
      </c>
      <c r="Y457" s="6">
        <f t="shared" si="144"/>
        <v>-20.715420797276817</v>
      </c>
      <c r="Z457" s="6"/>
      <c r="AA457" s="6" t="str">
        <f t="shared" si="132"/>
        <v/>
      </c>
      <c r="AB457" s="6" t="str">
        <f t="shared" si="145"/>
        <v/>
      </c>
      <c r="AC457" s="6" t="str">
        <f t="shared" si="146"/>
        <v/>
      </c>
    </row>
    <row r="458" spans="1:29" x14ac:dyDescent="0.2">
      <c r="A458" t="s">
        <v>542</v>
      </c>
      <c r="B458" s="6">
        <v>547</v>
      </c>
      <c r="C458" s="6">
        <f t="shared" si="126"/>
        <v>2.8195488721804551</v>
      </c>
      <c r="D458" s="6">
        <f t="shared" si="133"/>
        <v>13.029670252322305</v>
      </c>
      <c r="E458" s="6">
        <f t="shared" si="134"/>
        <v>-10.21012138014185</v>
      </c>
      <c r="F458" s="6">
        <v>37.15</v>
      </c>
      <c r="G458" s="6">
        <f t="shared" si="127"/>
        <v>-1.1968085106383031</v>
      </c>
      <c r="H458" s="6">
        <f t="shared" si="135"/>
        <v>3.1655810207417798</v>
      </c>
      <c r="I458" s="6">
        <f t="shared" si="136"/>
        <v>-4.3623895313800833</v>
      </c>
      <c r="J458" s="6">
        <v>6380.33</v>
      </c>
      <c r="K458" s="6">
        <f t="shared" si="128"/>
        <v>-9.2593356363393386</v>
      </c>
      <c r="L458" s="6">
        <f t="shared" si="137"/>
        <v>9.0939047395331354</v>
      </c>
      <c r="M458" s="6">
        <f t="shared" si="138"/>
        <v>-18.353240375872474</v>
      </c>
      <c r="N458" s="6">
        <v>2052.2600000000002</v>
      </c>
      <c r="O458" s="6">
        <f t="shared" si="129"/>
        <v>4.6446763921536682</v>
      </c>
      <c r="P458" s="6">
        <f t="shared" si="139"/>
        <v>7.2659704128937816</v>
      </c>
      <c r="Q458" s="6">
        <f t="shared" si="140"/>
        <v>-2.6212940207401134</v>
      </c>
      <c r="R458" s="6"/>
      <c r="S458" s="6" t="str">
        <f t="shared" si="130"/>
        <v/>
      </c>
      <c r="T458" s="6" t="str">
        <f t="shared" si="141"/>
        <v/>
      </c>
      <c r="U458" s="6" t="str">
        <f t="shared" si="142"/>
        <v/>
      </c>
      <c r="V458" s="6">
        <v>20.04</v>
      </c>
      <c r="W458" s="6">
        <f t="shared" si="131"/>
        <v>-15.120711562897082</v>
      </c>
      <c r="X458" s="6">
        <f t="shared" si="143"/>
        <v>4.6453995728124946</v>
      </c>
      <c r="Y458" s="6">
        <f t="shared" si="144"/>
        <v>-19.766111135709576</v>
      </c>
      <c r="Z458" s="6"/>
      <c r="AA458" s="6" t="str">
        <f t="shared" si="132"/>
        <v/>
      </c>
      <c r="AB458" s="6" t="str">
        <f t="shared" si="145"/>
        <v/>
      </c>
      <c r="AC458" s="6" t="str">
        <f t="shared" si="146"/>
        <v/>
      </c>
    </row>
    <row r="459" spans="1:29" x14ac:dyDescent="0.2">
      <c r="A459" t="s">
        <v>543</v>
      </c>
      <c r="B459" s="6">
        <v>556</v>
      </c>
      <c r="C459" s="6">
        <f t="shared" si="126"/>
        <v>1.0909090909090979</v>
      </c>
      <c r="D459" s="6">
        <f t="shared" si="133"/>
        <v>13.41985024776546</v>
      </c>
      <c r="E459" s="6">
        <f t="shared" si="134"/>
        <v>-12.328941156856363</v>
      </c>
      <c r="F459" s="6">
        <v>33.6</v>
      </c>
      <c r="G459" s="6">
        <f t="shared" si="127"/>
        <v>-5.8823529411764719</v>
      </c>
      <c r="H459" s="6">
        <f t="shared" si="135"/>
        <v>3.4902000828104178</v>
      </c>
      <c r="I459" s="6">
        <f t="shared" si="136"/>
        <v>-9.3725530239868888</v>
      </c>
      <c r="J459" s="6">
        <v>6139.5</v>
      </c>
      <c r="K459" s="6">
        <f t="shared" si="128"/>
        <v>-11.577646621674177</v>
      </c>
      <c r="L459" s="6">
        <f t="shared" si="137"/>
        <v>9.5143747905622629</v>
      </c>
      <c r="M459" s="6">
        <f t="shared" si="138"/>
        <v>-21.092021412236441</v>
      </c>
      <c r="N459" s="6">
        <v>1917.45</v>
      </c>
      <c r="O459" s="6">
        <f t="shared" si="129"/>
        <v>-14.04884215056077</v>
      </c>
      <c r="P459" s="6">
        <f t="shared" si="139"/>
        <v>7.9210472744063951</v>
      </c>
      <c r="Q459" s="6">
        <f t="shared" si="140"/>
        <v>-21.969889424967164</v>
      </c>
      <c r="R459" s="6"/>
      <c r="S459" s="6" t="str">
        <f t="shared" si="130"/>
        <v/>
      </c>
      <c r="T459" s="6" t="str">
        <f t="shared" si="141"/>
        <v/>
      </c>
      <c r="U459" s="6" t="str">
        <f t="shared" si="142"/>
        <v/>
      </c>
      <c r="V459" s="6">
        <v>19.09</v>
      </c>
      <c r="W459" s="6">
        <f t="shared" si="131"/>
        <v>-14.738722644037516</v>
      </c>
      <c r="X459" s="6">
        <f t="shared" si="143"/>
        <v>4.6997406582800307</v>
      </c>
      <c r="Y459" s="6">
        <f t="shared" si="144"/>
        <v>-19.438463302317547</v>
      </c>
      <c r="Z459" s="6"/>
      <c r="AA459" s="6" t="str">
        <f t="shared" si="132"/>
        <v/>
      </c>
      <c r="AB459" s="6" t="str">
        <f t="shared" si="145"/>
        <v/>
      </c>
      <c r="AC459" s="6" t="str">
        <f t="shared" si="146"/>
        <v/>
      </c>
    </row>
    <row r="460" spans="1:29" x14ac:dyDescent="0.2">
      <c r="A460" t="s">
        <v>544</v>
      </c>
      <c r="B460" s="6">
        <v>566</v>
      </c>
      <c r="C460" s="6">
        <f t="shared" si="126"/>
        <v>0.89126559714796105</v>
      </c>
      <c r="D460" s="6">
        <f t="shared" si="133"/>
        <v>13.725063396198948</v>
      </c>
      <c r="E460" s="6">
        <f t="shared" si="134"/>
        <v>-12.833797799050988</v>
      </c>
      <c r="F460" s="6">
        <v>31.4</v>
      </c>
      <c r="G460" s="6">
        <f t="shared" si="127"/>
        <v>-11.173974540311182</v>
      </c>
      <c r="H460" s="6">
        <f t="shared" si="135"/>
        <v>3.605746301297811</v>
      </c>
      <c r="I460" s="6">
        <f t="shared" si="136"/>
        <v>-14.779720841608993</v>
      </c>
      <c r="J460" s="6">
        <v>5945.36</v>
      </c>
      <c r="K460" s="6">
        <f t="shared" si="128"/>
        <v>-9.6552824526079934</v>
      </c>
      <c r="L460" s="6">
        <f t="shared" si="137"/>
        <v>9.6217100860073028</v>
      </c>
      <c r="M460" s="6">
        <f t="shared" si="138"/>
        <v>-19.276992538615296</v>
      </c>
      <c r="N460" s="6">
        <v>1762.33</v>
      </c>
      <c r="O460" s="6">
        <f t="shared" si="129"/>
        <v>-22.298596169447283</v>
      </c>
      <c r="P460" s="6">
        <f t="shared" si="139"/>
        <v>8.1383082981192985</v>
      </c>
      <c r="Q460" s="6">
        <f t="shared" si="140"/>
        <v>-30.436904467566581</v>
      </c>
      <c r="R460" s="6"/>
      <c r="S460" s="6" t="str">
        <f t="shared" si="130"/>
        <v/>
      </c>
      <c r="T460" s="6" t="str">
        <f t="shared" si="141"/>
        <v/>
      </c>
      <c r="U460" s="6" t="str">
        <f t="shared" si="142"/>
        <v/>
      </c>
      <c r="V460" s="6">
        <v>17.09</v>
      </c>
      <c r="W460" s="6">
        <f t="shared" si="131"/>
        <v>-27.646062658763761</v>
      </c>
      <c r="X460" s="6">
        <f t="shared" si="143"/>
        <v>4.798757382856933</v>
      </c>
      <c r="Y460" s="6">
        <f t="shared" si="144"/>
        <v>-32.444820041620694</v>
      </c>
      <c r="Z460" s="6"/>
      <c r="AA460" s="6" t="str">
        <f t="shared" si="132"/>
        <v/>
      </c>
      <c r="AB460" s="6" t="str">
        <f t="shared" si="145"/>
        <v/>
      </c>
      <c r="AC460" s="6" t="str">
        <f t="shared" si="146"/>
        <v/>
      </c>
    </row>
    <row r="461" spans="1:29" x14ac:dyDescent="0.2">
      <c r="A461" t="s">
        <v>545</v>
      </c>
      <c r="B461" s="6">
        <v>621</v>
      </c>
      <c r="C461" s="6">
        <f t="shared" si="126"/>
        <v>9.5238095238095344</v>
      </c>
      <c r="D461" s="6">
        <f t="shared" si="133"/>
        <v>13.691677979763803</v>
      </c>
      <c r="E461" s="6">
        <f t="shared" si="134"/>
        <v>-4.1678684559542685</v>
      </c>
      <c r="F461" s="6">
        <v>31.4</v>
      </c>
      <c r="G461" s="6">
        <f t="shared" si="127"/>
        <v>-10.871416406471756</v>
      </c>
      <c r="H461" s="6">
        <f t="shared" si="135"/>
        <v>3.6110504031365669</v>
      </c>
      <c r="I461" s="6">
        <f t="shared" si="136"/>
        <v>-14.482466809608322</v>
      </c>
      <c r="J461" s="6">
        <v>5491.75</v>
      </c>
      <c r="K461" s="6">
        <f t="shared" si="128"/>
        <v>-22.340222440624757</v>
      </c>
      <c r="L461" s="6">
        <f t="shared" si="137"/>
        <v>9.6407360564979196</v>
      </c>
      <c r="M461" s="6">
        <f t="shared" si="138"/>
        <v>-31.980958497122678</v>
      </c>
      <c r="N461" s="6">
        <v>1688.45</v>
      </c>
      <c r="O461" s="6">
        <f t="shared" si="129"/>
        <v>-30.657144147881045</v>
      </c>
      <c r="P461" s="6">
        <f t="shared" si="139"/>
        <v>8.1293777630935988</v>
      </c>
      <c r="Q461" s="6">
        <f t="shared" si="140"/>
        <v>-38.786521910974642</v>
      </c>
      <c r="R461" s="6"/>
      <c r="S461" s="6" t="str">
        <f t="shared" si="130"/>
        <v/>
      </c>
      <c r="T461" s="6" t="str">
        <f t="shared" si="141"/>
        <v/>
      </c>
      <c r="U461" s="6" t="str">
        <f t="shared" si="142"/>
        <v/>
      </c>
      <c r="V461" s="6">
        <v>15</v>
      </c>
      <c r="W461" s="6">
        <f t="shared" si="131"/>
        <v>-35.428325441239771</v>
      </c>
      <c r="X461" s="6">
        <f t="shared" si="143"/>
        <v>4.7061589636902248</v>
      </c>
      <c r="Y461" s="6">
        <f t="shared" si="144"/>
        <v>-40.134484404929992</v>
      </c>
      <c r="Z461" s="6"/>
      <c r="AA461" s="6" t="str">
        <f t="shared" si="132"/>
        <v/>
      </c>
      <c r="AB461" s="6" t="str">
        <f t="shared" si="145"/>
        <v/>
      </c>
      <c r="AC461" s="6" t="str">
        <f t="shared" si="146"/>
        <v/>
      </c>
    </row>
    <row r="462" spans="1:29" x14ac:dyDescent="0.2">
      <c r="A462" t="s">
        <v>546</v>
      </c>
      <c r="B462" s="6">
        <v>659</v>
      </c>
      <c r="C462" s="6">
        <f t="shared" si="126"/>
        <v>13.620689655172423</v>
      </c>
      <c r="D462" s="6">
        <f t="shared" si="133"/>
        <v>13.920578483054548</v>
      </c>
      <c r="E462" s="6">
        <f t="shared" si="134"/>
        <v>-0.29988882788212479</v>
      </c>
      <c r="F462" s="6">
        <v>33.44</v>
      </c>
      <c r="G462" s="6">
        <f t="shared" si="127"/>
        <v>-3.3526011560693791</v>
      </c>
      <c r="H462" s="6">
        <f t="shared" si="135"/>
        <v>3.6226577994303106</v>
      </c>
      <c r="I462" s="6">
        <f t="shared" si="136"/>
        <v>-6.9752589554996902</v>
      </c>
      <c r="J462" s="6">
        <v>5386.88</v>
      </c>
      <c r="K462" s="6">
        <f t="shared" si="128"/>
        <v>-30.352846262151665</v>
      </c>
      <c r="L462" s="6">
        <f t="shared" si="137"/>
        <v>9.2993045852398488</v>
      </c>
      <c r="M462" s="6">
        <f t="shared" si="138"/>
        <v>-39.652150847391511</v>
      </c>
      <c r="N462" s="6">
        <v>1664.8</v>
      </c>
      <c r="O462" s="6">
        <f t="shared" si="129"/>
        <v>-30.802003449924143</v>
      </c>
      <c r="P462" s="6">
        <f t="shared" si="139"/>
        <v>7.9074739317011575</v>
      </c>
      <c r="Q462" s="6">
        <f t="shared" si="140"/>
        <v>-38.709477381625298</v>
      </c>
      <c r="R462" s="6"/>
      <c r="S462" s="6" t="str">
        <f t="shared" si="130"/>
        <v/>
      </c>
      <c r="T462" s="6" t="str">
        <f t="shared" si="141"/>
        <v/>
      </c>
      <c r="U462" s="6" t="str">
        <f t="shared" si="142"/>
        <v/>
      </c>
      <c r="V462" s="6">
        <v>14.1</v>
      </c>
      <c r="W462" s="6">
        <f t="shared" si="131"/>
        <v>-30.950048971596477</v>
      </c>
      <c r="X462" s="6">
        <f t="shared" si="143"/>
        <v>4.3419074101452333</v>
      </c>
      <c r="Y462" s="6">
        <f t="shared" si="144"/>
        <v>-35.291956381741713</v>
      </c>
      <c r="Z462" s="6"/>
      <c r="AA462" s="6" t="str">
        <f t="shared" si="132"/>
        <v/>
      </c>
      <c r="AB462" s="6" t="str">
        <f t="shared" si="145"/>
        <v/>
      </c>
      <c r="AC462" s="6" t="str">
        <f t="shared" si="146"/>
        <v/>
      </c>
    </row>
    <row r="463" spans="1:29" x14ac:dyDescent="0.2">
      <c r="A463" t="s">
        <v>547</v>
      </c>
      <c r="B463" s="6">
        <v>671</v>
      </c>
      <c r="C463" s="6">
        <f t="shared" si="126"/>
        <v>20.035778175313055</v>
      </c>
      <c r="D463" s="6">
        <f t="shared" si="133"/>
        <v>14.390617360674563</v>
      </c>
      <c r="E463" s="6">
        <f t="shared" si="134"/>
        <v>5.6451608146384924</v>
      </c>
      <c r="F463" s="6">
        <v>31.88</v>
      </c>
      <c r="G463" s="6">
        <f t="shared" si="127"/>
        <v>-7.5942028985507282</v>
      </c>
      <c r="H463" s="6">
        <f t="shared" si="135"/>
        <v>3.5528119420121986</v>
      </c>
      <c r="I463" s="6">
        <f t="shared" si="136"/>
        <v>-11.147014840562926</v>
      </c>
      <c r="J463" s="6">
        <v>5395.8</v>
      </c>
      <c r="K463" s="6">
        <f t="shared" si="128"/>
        <v>-31.663008636160416</v>
      </c>
      <c r="L463" s="6">
        <f t="shared" si="137"/>
        <v>8.7406900726782979</v>
      </c>
      <c r="M463" s="6">
        <f t="shared" si="138"/>
        <v>-40.403698708838718</v>
      </c>
      <c r="N463" s="6">
        <v>1747.98</v>
      </c>
      <c r="O463" s="6">
        <f t="shared" si="129"/>
        <v>-27.807904051146291</v>
      </c>
      <c r="P463" s="6">
        <f t="shared" si="139"/>
        <v>7.5917394937727201</v>
      </c>
      <c r="Q463" s="6">
        <f t="shared" si="140"/>
        <v>-35.399643544919009</v>
      </c>
      <c r="R463" s="6"/>
      <c r="S463" s="6" t="str">
        <f t="shared" si="130"/>
        <v/>
      </c>
      <c r="T463" s="6" t="str">
        <f t="shared" si="141"/>
        <v/>
      </c>
      <c r="U463" s="6" t="str">
        <f t="shared" si="142"/>
        <v/>
      </c>
      <c r="V463" s="6">
        <v>13.12</v>
      </c>
      <c r="W463" s="6">
        <f t="shared" si="131"/>
        <v>-32.12622866011381</v>
      </c>
      <c r="X463" s="6">
        <f t="shared" si="143"/>
        <v>4.2004627327765069</v>
      </c>
      <c r="Y463" s="6">
        <f t="shared" si="144"/>
        <v>-36.326691392890318</v>
      </c>
      <c r="Z463" s="6"/>
      <c r="AA463" s="6" t="str">
        <f t="shared" si="132"/>
        <v/>
      </c>
      <c r="AB463" s="6" t="str">
        <f t="shared" si="145"/>
        <v/>
      </c>
      <c r="AC463" s="6" t="str">
        <f t="shared" si="146"/>
        <v/>
      </c>
    </row>
    <row r="464" spans="1:29" x14ac:dyDescent="0.2">
      <c r="A464" t="s">
        <v>548</v>
      </c>
      <c r="B464" s="6">
        <v>688</v>
      </c>
      <c r="C464" s="6">
        <f t="shared" si="126"/>
        <v>22.419928825622783</v>
      </c>
      <c r="D464" s="6">
        <f t="shared" si="133"/>
        <v>14.874410124947834</v>
      </c>
      <c r="E464" s="6">
        <f t="shared" si="134"/>
        <v>7.5455187006749487</v>
      </c>
      <c r="F464" s="6">
        <v>31.18</v>
      </c>
      <c r="G464" s="6">
        <f t="shared" si="127"/>
        <v>-11.920903954802252</v>
      </c>
      <c r="H464" s="6">
        <f t="shared" si="135"/>
        <v>3.4954058332386286</v>
      </c>
      <c r="I464" s="6">
        <f t="shared" si="136"/>
        <v>-15.416309788040881</v>
      </c>
      <c r="J464" s="6">
        <v>5393.88</v>
      </c>
      <c r="K464" s="6">
        <f t="shared" si="128"/>
        <v>-26.26798915183063</v>
      </c>
      <c r="L464" s="6">
        <f t="shared" si="137"/>
        <v>8.2149345020421389</v>
      </c>
      <c r="M464" s="6">
        <f t="shared" si="138"/>
        <v>-34.482923653872767</v>
      </c>
      <c r="N464" s="6">
        <v>1800.9</v>
      </c>
      <c r="O464" s="6">
        <f t="shared" si="129"/>
        <v>-24.685720021077451</v>
      </c>
      <c r="P464" s="6">
        <f t="shared" si="139"/>
        <v>7.2424798404649877</v>
      </c>
      <c r="Q464" s="6">
        <f t="shared" si="140"/>
        <v>-31.928199861542438</v>
      </c>
      <c r="R464" s="6"/>
      <c r="S464" s="6" t="str">
        <f t="shared" si="130"/>
        <v/>
      </c>
      <c r="T464" s="6" t="str">
        <f t="shared" si="141"/>
        <v/>
      </c>
      <c r="U464" s="6" t="str">
        <f t="shared" si="142"/>
        <v/>
      </c>
      <c r="V464" s="6">
        <v>13.5</v>
      </c>
      <c r="W464" s="6">
        <f t="shared" si="131"/>
        <v>-24.496644295302005</v>
      </c>
      <c r="X464" s="6">
        <f t="shared" si="143"/>
        <v>4.0782245950844134</v>
      </c>
      <c r="Y464" s="6">
        <f t="shared" si="144"/>
        <v>-28.574868890386419</v>
      </c>
      <c r="Z464" s="6"/>
      <c r="AA464" s="6" t="str">
        <f t="shared" si="132"/>
        <v/>
      </c>
      <c r="AB464" s="6" t="str">
        <f t="shared" si="145"/>
        <v/>
      </c>
      <c r="AC464" s="6" t="str">
        <f t="shared" si="146"/>
        <v/>
      </c>
    </row>
    <row r="465" spans="1:29" x14ac:dyDescent="0.2">
      <c r="A465" t="s">
        <v>549</v>
      </c>
      <c r="B465" s="6">
        <v>705</v>
      </c>
      <c r="C465" s="6">
        <f t="shared" ref="C465:C528" si="147">IF(OR(B465="",B453=""),"",(B465/B453-1)*100)</f>
        <v>27.486437613019898</v>
      </c>
      <c r="D465" s="6">
        <f t="shared" si="133"/>
        <v>15.118277689767355</v>
      </c>
      <c r="E465" s="6">
        <f t="shared" si="134"/>
        <v>12.368159923252543</v>
      </c>
      <c r="F465" s="6">
        <v>30.28</v>
      </c>
      <c r="G465" s="6">
        <f t="shared" ref="G465:G528" si="148">IF(OR(F465="",F453=""),"",(F465/F453-1)*100)</f>
        <v>-15.253288553036647</v>
      </c>
      <c r="H465" s="6">
        <f t="shared" si="135"/>
        <v>3.3478601191264858</v>
      </c>
      <c r="I465" s="6">
        <f t="shared" si="136"/>
        <v>-18.601148672163134</v>
      </c>
      <c r="J465" s="6">
        <v>5020</v>
      </c>
      <c r="K465" s="6">
        <f t="shared" ref="K465:K528" si="149">IF(OR(J465="",J453=""),"",(J465/J453-1)*100)</f>
        <v>-32.913261658325375</v>
      </c>
      <c r="L465" s="6">
        <f t="shared" si="137"/>
        <v>7.8645509427390969</v>
      </c>
      <c r="M465" s="6">
        <f t="shared" si="138"/>
        <v>-40.777812601064468</v>
      </c>
      <c r="N465" s="6">
        <v>1732.53</v>
      </c>
      <c r="O465" s="6">
        <f t="shared" ref="O465:O528" si="150">IF(OR(N465="",N453=""),"",(N465/N453-1)*100)</f>
        <v>-31.093770507451289</v>
      </c>
      <c r="P465" s="6">
        <f t="shared" si="139"/>
        <v>6.8009121568693054</v>
      </c>
      <c r="Q465" s="6">
        <f t="shared" si="140"/>
        <v>-37.894682664320598</v>
      </c>
      <c r="R465" s="6"/>
      <c r="S465" s="6" t="str">
        <f t="shared" ref="S465:S528" si="151">IF(OR(R465="",R453=""),"",(R465/R453-1)*100)</f>
        <v/>
      </c>
      <c r="T465" s="6" t="str">
        <f t="shared" si="141"/>
        <v/>
      </c>
      <c r="U465" s="6" t="str">
        <f t="shared" si="142"/>
        <v/>
      </c>
      <c r="V465" s="6">
        <v>14.03</v>
      </c>
      <c r="W465" s="6">
        <f t="shared" ref="W465:W528" si="152">IF(OR(V465="",V453=""),"",(V465/V453-1)*100)</f>
        <v>-27.568404749612807</v>
      </c>
      <c r="X465" s="6">
        <f t="shared" si="143"/>
        <v>3.9465629537812652</v>
      </c>
      <c r="Y465" s="6">
        <f t="shared" si="144"/>
        <v>-31.51496770339407</v>
      </c>
      <c r="Z465" s="6"/>
      <c r="AA465" s="6" t="str">
        <f t="shared" ref="AA465:AA528" si="153">IF(OR(Z465="",Z453=""),"",(Z465/Z453-1)*100)</f>
        <v/>
      </c>
      <c r="AB465" s="6" t="str">
        <f t="shared" si="145"/>
        <v/>
      </c>
      <c r="AC465" s="6" t="str">
        <f t="shared" si="146"/>
        <v/>
      </c>
    </row>
    <row r="466" spans="1:29" x14ac:dyDescent="0.2">
      <c r="A466" t="s">
        <v>550</v>
      </c>
      <c r="B466" s="6">
        <v>633</v>
      </c>
      <c r="C466" s="6">
        <f t="shared" si="147"/>
        <v>18.761726078799246</v>
      </c>
      <c r="D466" s="6">
        <f t="shared" si="133"/>
        <v>15.033903720451901</v>
      </c>
      <c r="E466" s="6">
        <f t="shared" si="134"/>
        <v>3.7278223583473444</v>
      </c>
      <c r="F466" s="6">
        <v>30</v>
      </c>
      <c r="G466" s="6">
        <f t="shared" si="148"/>
        <v>-13.043478260869568</v>
      </c>
      <c r="H466" s="6">
        <f t="shared" si="135"/>
        <v>3.0032015538414467</v>
      </c>
      <c r="I466" s="6">
        <f t="shared" si="136"/>
        <v>-16.046679814711016</v>
      </c>
      <c r="J466" s="6">
        <v>4475.7</v>
      </c>
      <c r="K466" s="6">
        <f t="shared" si="149"/>
        <v>-36.62707717402386</v>
      </c>
      <c r="L466" s="6">
        <f t="shared" si="137"/>
        <v>7.0616861954730448</v>
      </c>
      <c r="M466" s="6">
        <f t="shared" si="138"/>
        <v>-43.688763369496904</v>
      </c>
      <c r="N466" s="6">
        <v>1660.52</v>
      </c>
      <c r="O466" s="6">
        <f t="shared" si="150"/>
        <v>-36.442345231989336</v>
      </c>
      <c r="P466" s="6">
        <f t="shared" si="139"/>
        <v>5.7397092779845034</v>
      </c>
      <c r="Q466" s="6">
        <f t="shared" si="140"/>
        <v>-42.182054509973838</v>
      </c>
      <c r="R466" s="6"/>
      <c r="S466" s="6" t="str">
        <f t="shared" si="151"/>
        <v/>
      </c>
      <c r="T466" s="6" t="str">
        <f t="shared" si="141"/>
        <v/>
      </c>
      <c r="U466" s="6" t="str">
        <f t="shared" si="142"/>
        <v/>
      </c>
      <c r="V466" s="6">
        <v>12.48</v>
      </c>
      <c r="W466" s="6">
        <f t="shared" si="152"/>
        <v>-30.357142857142861</v>
      </c>
      <c r="X466" s="6">
        <f t="shared" si="143"/>
        <v>3.5889245453465022</v>
      </c>
      <c r="Y466" s="6">
        <f t="shared" si="144"/>
        <v>-33.946067402489362</v>
      </c>
      <c r="Z466" s="6"/>
      <c r="AA466" s="6" t="str">
        <f t="shared" si="153"/>
        <v/>
      </c>
      <c r="AB466" s="6" t="str">
        <f t="shared" si="145"/>
        <v/>
      </c>
      <c r="AC466" s="6" t="str">
        <f t="shared" si="146"/>
        <v/>
      </c>
    </row>
    <row r="467" spans="1:29" x14ac:dyDescent="0.2">
      <c r="A467" t="s">
        <v>551</v>
      </c>
      <c r="B467" s="6">
        <v>661</v>
      </c>
      <c r="C467" s="6">
        <f t="shared" si="147"/>
        <v>32.730923694779122</v>
      </c>
      <c r="D467" s="6">
        <f t="shared" si="133"/>
        <v>14.535259905145985</v>
      </c>
      <c r="E467" s="6">
        <f t="shared" si="134"/>
        <v>18.195663789633137</v>
      </c>
      <c r="F467" s="6">
        <v>30</v>
      </c>
      <c r="G467" s="6">
        <f t="shared" si="148"/>
        <v>-14.28571428571429</v>
      </c>
      <c r="H467" s="6">
        <f t="shared" si="135"/>
        <v>2.5567312406109663</v>
      </c>
      <c r="I467" s="6">
        <f t="shared" si="136"/>
        <v>-16.842445526325257</v>
      </c>
      <c r="J467" s="6">
        <v>4325.43</v>
      </c>
      <c r="K467" s="6">
        <f t="shared" si="149"/>
        <v>-36.721088435374149</v>
      </c>
      <c r="L467" s="6">
        <f t="shared" si="137"/>
        <v>6.0164186375995721</v>
      </c>
      <c r="M467" s="6">
        <f t="shared" si="138"/>
        <v>-42.73750707297372</v>
      </c>
      <c r="N467" s="6">
        <v>1651.04</v>
      </c>
      <c r="O467" s="6">
        <f t="shared" si="150"/>
        <v>-32.623262571109102</v>
      </c>
      <c r="P467" s="6">
        <f t="shared" si="139"/>
        <v>4.4063524351854086</v>
      </c>
      <c r="Q467" s="6">
        <f t="shared" si="140"/>
        <v>-37.029615006294513</v>
      </c>
      <c r="R467" s="6"/>
      <c r="S467" s="6" t="str">
        <f t="shared" si="151"/>
        <v/>
      </c>
      <c r="T467" s="6" t="str">
        <f t="shared" si="141"/>
        <v/>
      </c>
      <c r="U467" s="6" t="str">
        <f t="shared" si="142"/>
        <v/>
      </c>
      <c r="V467" s="6">
        <v>12.7</v>
      </c>
      <c r="W467" s="6">
        <f t="shared" si="152"/>
        <v>-30.714675395526459</v>
      </c>
      <c r="X467" s="6">
        <f t="shared" si="143"/>
        <v>2.992259684496609</v>
      </c>
      <c r="Y467" s="6">
        <f t="shared" si="144"/>
        <v>-33.706935080023065</v>
      </c>
      <c r="Z467" s="6"/>
      <c r="AA467" s="6" t="str">
        <f t="shared" si="153"/>
        <v/>
      </c>
      <c r="AB467" s="6" t="str">
        <f t="shared" si="145"/>
        <v/>
      </c>
      <c r="AC467" s="6" t="str">
        <f t="shared" si="146"/>
        <v/>
      </c>
    </row>
    <row r="468" spans="1:29" x14ac:dyDescent="0.2">
      <c r="A468" t="s">
        <v>552</v>
      </c>
      <c r="B468" s="6">
        <v>674</v>
      </c>
      <c r="C468" s="6">
        <f t="shared" si="147"/>
        <v>33.73015873015872</v>
      </c>
      <c r="D468" s="6">
        <f t="shared" si="133"/>
        <v>14.457485640499925</v>
      </c>
      <c r="E468" s="6">
        <f t="shared" si="134"/>
        <v>19.272673089658795</v>
      </c>
      <c r="F468" s="6">
        <v>26.2</v>
      </c>
      <c r="G468" s="6">
        <f t="shared" si="148"/>
        <v>-29.054968860005413</v>
      </c>
      <c r="H468" s="6">
        <f t="shared" si="135"/>
        <v>2.1179831607338544</v>
      </c>
      <c r="I468" s="6">
        <f t="shared" si="136"/>
        <v>-31.172952020739267</v>
      </c>
      <c r="J468" s="6">
        <v>4080.63</v>
      </c>
      <c r="K468" s="6">
        <f t="shared" si="149"/>
        <v>-39.6472571842693</v>
      </c>
      <c r="L468" s="6">
        <f t="shared" si="137"/>
        <v>4.7588950021443068</v>
      </c>
      <c r="M468" s="6">
        <f t="shared" si="138"/>
        <v>-44.406152186413607</v>
      </c>
      <c r="N468" s="6">
        <v>1620.93</v>
      </c>
      <c r="O468" s="6">
        <f t="shared" si="150"/>
        <v>-27.997068230277179</v>
      </c>
      <c r="P468" s="6">
        <f t="shared" si="139"/>
        <v>3.1526374835582023</v>
      </c>
      <c r="Q468" s="6">
        <f t="shared" si="140"/>
        <v>-31.149705713835381</v>
      </c>
      <c r="R468" s="6"/>
      <c r="S468" s="6" t="str">
        <f t="shared" si="151"/>
        <v/>
      </c>
      <c r="T468" s="6" t="str">
        <f t="shared" si="141"/>
        <v/>
      </c>
      <c r="U468" s="6" t="str">
        <f t="shared" si="142"/>
        <v/>
      </c>
      <c r="V468" s="6">
        <v>12.49</v>
      </c>
      <c r="W468" s="6">
        <f t="shared" si="152"/>
        <v>-33.208556149732615</v>
      </c>
      <c r="X468" s="6">
        <f t="shared" si="143"/>
        <v>2.153228456893729</v>
      </c>
      <c r="Y468" s="6">
        <f t="shared" si="144"/>
        <v>-35.361784606626344</v>
      </c>
      <c r="Z468" s="6"/>
      <c r="AA468" s="6" t="str">
        <f t="shared" si="153"/>
        <v/>
      </c>
      <c r="AB468" s="6" t="str">
        <f t="shared" si="145"/>
        <v/>
      </c>
      <c r="AC468" s="6" t="str">
        <f t="shared" si="146"/>
        <v/>
      </c>
    </row>
    <row r="469" spans="1:29" x14ac:dyDescent="0.2">
      <c r="A469" t="s">
        <v>553</v>
      </c>
      <c r="B469" s="6">
        <v>703</v>
      </c>
      <c r="C469" s="6">
        <f t="shared" si="147"/>
        <v>33.904761904761905</v>
      </c>
      <c r="D469" s="6">
        <f t="shared" si="133"/>
        <v>13.878596157116057</v>
      </c>
      <c r="E469" s="6">
        <f t="shared" si="134"/>
        <v>20.026165747645848</v>
      </c>
      <c r="F469" s="6">
        <v>27.09</v>
      </c>
      <c r="G469" s="6">
        <f t="shared" si="148"/>
        <v>-27.079407806191114</v>
      </c>
      <c r="H469" s="6">
        <f t="shared" si="135"/>
        <v>1.3715422772256751</v>
      </c>
      <c r="I469" s="6">
        <f t="shared" si="136"/>
        <v>-28.450950083416789</v>
      </c>
      <c r="J469" s="6">
        <v>4102.16</v>
      </c>
      <c r="K469" s="6">
        <f t="shared" si="149"/>
        <v>-36.927107677925662</v>
      </c>
      <c r="L469" s="6">
        <f t="shared" si="137"/>
        <v>3.4309445999801382</v>
      </c>
      <c r="M469" s="6">
        <f t="shared" si="138"/>
        <v>-40.358052277905799</v>
      </c>
      <c r="N469" s="6">
        <v>1647.64</v>
      </c>
      <c r="O469" s="6">
        <f t="shared" si="150"/>
        <v>-21.812746168082388</v>
      </c>
      <c r="P469" s="6">
        <f t="shared" si="139"/>
        <v>2.0785738520031241</v>
      </c>
      <c r="Q469" s="6">
        <f t="shared" si="140"/>
        <v>-23.891320020085512</v>
      </c>
      <c r="R469" s="6"/>
      <c r="S469" s="6" t="str">
        <f t="shared" si="151"/>
        <v/>
      </c>
      <c r="T469" s="6" t="str">
        <f t="shared" si="141"/>
        <v/>
      </c>
      <c r="U469" s="6" t="str">
        <f t="shared" si="142"/>
        <v/>
      </c>
      <c r="V469" s="6">
        <v>13.8</v>
      </c>
      <c r="W469" s="6">
        <f t="shared" si="152"/>
        <v>-26.045016077170413</v>
      </c>
      <c r="X469" s="6">
        <f t="shared" si="143"/>
        <v>1.3956472911529418</v>
      </c>
      <c r="Y469" s="6">
        <f t="shared" si="144"/>
        <v>-27.440663368323353</v>
      </c>
      <c r="Z469" s="6"/>
      <c r="AA469" s="6" t="str">
        <f t="shared" si="153"/>
        <v/>
      </c>
      <c r="AB469" s="6" t="str">
        <f t="shared" si="145"/>
        <v/>
      </c>
      <c r="AC469" s="6" t="str">
        <f t="shared" si="146"/>
        <v/>
      </c>
    </row>
    <row r="470" spans="1:29" x14ac:dyDescent="0.2">
      <c r="A470" t="s">
        <v>554</v>
      </c>
      <c r="B470" s="6">
        <v>694</v>
      </c>
      <c r="C470" s="6">
        <f t="shared" si="147"/>
        <v>26.873857404021926</v>
      </c>
      <c r="D470" s="6">
        <f t="shared" si="133"/>
        <v>13.034282484677385</v>
      </c>
      <c r="E470" s="6">
        <f t="shared" si="134"/>
        <v>13.839574919344541</v>
      </c>
      <c r="F470" s="6">
        <v>27.1</v>
      </c>
      <c r="G470" s="6">
        <f t="shared" si="148"/>
        <v>-27.052489905787347</v>
      </c>
      <c r="H470" s="6">
        <f t="shared" si="135"/>
        <v>0.66625891567196283</v>
      </c>
      <c r="I470" s="6">
        <f t="shared" si="136"/>
        <v>-27.718748821459311</v>
      </c>
      <c r="J470" s="6">
        <v>3871.93</v>
      </c>
      <c r="K470" s="6">
        <f t="shared" si="149"/>
        <v>-39.314580907257145</v>
      </c>
      <c r="L470" s="6">
        <f t="shared" si="137"/>
        <v>1.6987350902245195</v>
      </c>
      <c r="M470" s="6">
        <f t="shared" si="138"/>
        <v>-41.013315997481662</v>
      </c>
      <c r="N470" s="6">
        <v>1586.39</v>
      </c>
      <c r="O470" s="6">
        <f t="shared" si="150"/>
        <v>-22.700340112851201</v>
      </c>
      <c r="P470" s="6">
        <f t="shared" si="139"/>
        <v>0.9034577541616059</v>
      </c>
      <c r="Q470" s="6">
        <f t="shared" si="140"/>
        <v>-23.603797867012808</v>
      </c>
      <c r="R470" s="6"/>
      <c r="S470" s="6" t="str">
        <f t="shared" si="151"/>
        <v/>
      </c>
      <c r="T470" s="6" t="str">
        <f t="shared" si="141"/>
        <v/>
      </c>
      <c r="U470" s="6" t="str">
        <f t="shared" si="142"/>
        <v/>
      </c>
      <c r="V470" s="6">
        <v>13.26</v>
      </c>
      <c r="W470" s="6">
        <f t="shared" si="152"/>
        <v>-33.832335329341312</v>
      </c>
      <c r="X470" s="6">
        <f t="shared" si="143"/>
        <v>0.8137346134445943</v>
      </c>
      <c r="Y470" s="6">
        <f t="shared" si="144"/>
        <v>-34.646069942785907</v>
      </c>
      <c r="Z470" s="6"/>
      <c r="AA470" s="6" t="str">
        <f t="shared" si="153"/>
        <v/>
      </c>
      <c r="AB470" s="6" t="str">
        <f t="shared" si="145"/>
        <v/>
      </c>
      <c r="AC470" s="6" t="str">
        <f t="shared" si="146"/>
        <v/>
      </c>
    </row>
    <row r="471" spans="1:29" x14ac:dyDescent="0.2">
      <c r="A471" t="s">
        <v>555</v>
      </c>
      <c r="B471" s="6">
        <v>681</v>
      </c>
      <c r="C471" s="6">
        <f t="shared" si="147"/>
        <v>22.482014388489201</v>
      </c>
      <c r="D471" s="6">
        <f t="shared" si="133"/>
        <v>11.823633993407322</v>
      </c>
      <c r="E471" s="6">
        <f t="shared" si="134"/>
        <v>10.658380395081879</v>
      </c>
      <c r="F471" s="6">
        <v>26.1</v>
      </c>
      <c r="G471" s="6">
        <f t="shared" si="148"/>
        <v>-22.321428571428569</v>
      </c>
      <c r="H471" s="6">
        <f t="shared" si="135"/>
        <v>-3.8463656290005442E-2</v>
      </c>
      <c r="I471" s="6">
        <f t="shared" si="136"/>
        <v>-22.282964915138564</v>
      </c>
      <c r="J471" s="6">
        <v>4131.91</v>
      </c>
      <c r="K471" s="6">
        <f t="shared" si="149"/>
        <v>-32.699568368759671</v>
      </c>
      <c r="L471" s="6">
        <f t="shared" si="137"/>
        <v>-0.1970782896666535</v>
      </c>
      <c r="M471" s="6">
        <f t="shared" si="138"/>
        <v>-32.502490079093015</v>
      </c>
      <c r="N471" s="6">
        <v>1573.95</v>
      </c>
      <c r="O471" s="6">
        <f t="shared" si="150"/>
        <v>-17.914417585856214</v>
      </c>
      <c r="P471" s="6">
        <f t="shared" si="139"/>
        <v>-0.70992143631709581</v>
      </c>
      <c r="Q471" s="6">
        <f t="shared" si="140"/>
        <v>-17.204496149539118</v>
      </c>
      <c r="R471" s="6"/>
      <c r="S471" s="6" t="str">
        <f t="shared" si="151"/>
        <v/>
      </c>
      <c r="T471" s="6" t="str">
        <f t="shared" si="141"/>
        <v/>
      </c>
      <c r="U471" s="6" t="str">
        <f t="shared" si="142"/>
        <v/>
      </c>
      <c r="V471" s="6">
        <v>11.88</v>
      </c>
      <c r="W471" s="6">
        <f t="shared" si="152"/>
        <v>-37.768465165007861</v>
      </c>
      <c r="X471" s="6">
        <f t="shared" si="143"/>
        <v>0.11519978238033095</v>
      </c>
      <c r="Y471" s="6">
        <f t="shared" si="144"/>
        <v>-37.883664947388191</v>
      </c>
      <c r="Z471" s="6"/>
      <c r="AA471" s="6" t="str">
        <f t="shared" si="153"/>
        <v/>
      </c>
      <c r="AB471" s="6" t="str">
        <f t="shared" si="145"/>
        <v/>
      </c>
      <c r="AC471" s="6" t="str">
        <f t="shared" si="146"/>
        <v/>
      </c>
    </row>
    <row r="472" spans="1:29" x14ac:dyDescent="0.2">
      <c r="A472" t="s">
        <v>556</v>
      </c>
      <c r="B472" s="6">
        <v>663</v>
      </c>
      <c r="C472" s="6">
        <f t="shared" si="147"/>
        <v>17.137809187279164</v>
      </c>
      <c r="D472" s="6">
        <f t="shared" si="133"/>
        <v>10.249525633036795</v>
      </c>
      <c r="E472" s="6">
        <f t="shared" si="134"/>
        <v>6.8882835542423688</v>
      </c>
      <c r="F472" s="6">
        <v>26.1</v>
      </c>
      <c r="G472" s="6">
        <f t="shared" si="148"/>
        <v>-16.878980891719742</v>
      </c>
      <c r="H472" s="6">
        <f t="shared" si="135"/>
        <v>-0.6446224504528314</v>
      </c>
      <c r="I472" s="6">
        <f t="shared" si="136"/>
        <v>-16.23435844126691</v>
      </c>
      <c r="J472" s="6">
        <v>3878.21</v>
      </c>
      <c r="K472" s="6">
        <f t="shared" si="149"/>
        <v>-34.769130885261781</v>
      </c>
      <c r="L472" s="6">
        <f t="shared" si="137"/>
        <v>-2.1921227828296685</v>
      </c>
      <c r="M472" s="6">
        <f t="shared" si="138"/>
        <v>-32.57700810243211</v>
      </c>
      <c r="N472" s="6">
        <v>1473.57</v>
      </c>
      <c r="O472" s="6">
        <f t="shared" si="150"/>
        <v>-16.385126508656157</v>
      </c>
      <c r="P472" s="6">
        <f t="shared" si="139"/>
        <v>-2.5816246842488328</v>
      </c>
      <c r="Q472" s="6">
        <f t="shared" si="140"/>
        <v>-13.803501824407324</v>
      </c>
      <c r="R472" s="6"/>
      <c r="S472" s="6" t="str">
        <f t="shared" si="151"/>
        <v/>
      </c>
      <c r="T472" s="6" t="str">
        <f t="shared" si="141"/>
        <v/>
      </c>
      <c r="U472" s="6" t="str">
        <f t="shared" si="142"/>
        <v/>
      </c>
      <c r="V472" s="6">
        <v>10.41</v>
      </c>
      <c r="W472" s="6">
        <f t="shared" si="152"/>
        <v>-39.087185488589817</v>
      </c>
      <c r="X472" s="6">
        <f t="shared" si="143"/>
        <v>-0.92931868048715705</v>
      </c>
      <c r="Y472" s="6">
        <f t="shared" si="144"/>
        <v>-38.157866808102661</v>
      </c>
      <c r="Z472" s="6"/>
      <c r="AA472" s="6" t="str">
        <f t="shared" si="153"/>
        <v/>
      </c>
      <c r="AB472" s="6" t="str">
        <f t="shared" si="145"/>
        <v/>
      </c>
      <c r="AC472" s="6" t="str">
        <f t="shared" si="146"/>
        <v/>
      </c>
    </row>
    <row r="473" spans="1:29" x14ac:dyDescent="0.2">
      <c r="A473" t="s">
        <v>557</v>
      </c>
      <c r="B473" s="6">
        <v>632</v>
      </c>
      <c r="C473" s="6">
        <f t="shared" si="147"/>
        <v>1.7713365539452575</v>
      </c>
      <c r="D473" s="6">
        <f t="shared" si="133"/>
        <v>9.0453305588261141</v>
      </c>
      <c r="E473" s="6">
        <f t="shared" si="134"/>
        <v>-7.2739940048808567</v>
      </c>
      <c r="F473" s="6">
        <v>26.1</v>
      </c>
      <c r="G473" s="6">
        <f t="shared" si="148"/>
        <v>-16.878980891719742</v>
      </c>
      <c r="H473" s="6">
        <f t="shared" si="135"/>
        <v>-1.3390098211808652</v>
      </c>
      <c r="I473" s="6">
        <f t="shared" si="136"/>
        <v>-15.539971070538877</v>
      </c>
      <c r="J473" s="6">
        <v>4268.75</v>
      </c>
      <c r="K473" s="6">
        <f t="shared" si="149"/>
        <v>-22.269768288796833</v>
      </c>
      <c r="L473" s="6">
        <f t="shared" si="137"/>
        <v>-4.314986646220583</v>
      </c>
      <c r="M473" s="6">
        <f t="shared" si="138"/>
        <v>-17.954781642576251</v>
      </c>
      <c r="N473" s="6">
        <v>1431.18</v>
      </c>
      <c r="O473" s="6">
        <f t="shared" si="150"/>
        <v>-15.237051733838724</v>
      </c>
      <c r="P473" s="6">
        <f t="shared" si="139"/>
        <v>-4.4467767178965145</v>
      </c>
      <c r="Q473" s="6">
        <f t="shared" si="140"/>
        <v>-10.790275015942211</v>
      </c>
      <c r="R473" s="6">
        <v>0.6</v>
      </c>
      <c r="S473" s="6" t="str">
        <f t="shared" si="151"/>
        <v/>
      </c>
      <c r="T473" s="6" t="str">
        <f t="shared" si="141"/>
        <v/>
      </c>
      <c r="U473" s="6" t="str">
        <f t="shared" si="142"/>
        <v/>
      </c>
      <c r="V473" s="6">
        <v>11.44</v>
      </c>
      <c r="W473" s="6">
        <f t="shared" si="152"/>
        <v>-23.733333333333341</v>
      </c>
      <c r="X473" s="6">
        <f t="shared" si="143"/>
        <v>-2.0719453813130482</v>
      </c>
      <c r="Y473" s="6">
        <f t="shared" si="144"/>
        <v>-21.661387952020291</v>
      </c>
      <c r="Z473" s="6"/>
      <c r="AA473" s="6" t="str">
        <f t="shared" si="153"/>
        <v/>
      </c>
      <c r="AB473" s="6" t="str">
        <f t="shared" si="145"/>
        <v/>
      </c>
      <c r="AC473" s="6" t="str">
        <f t="shared" si="146"/>
        <v/>
      </c>
    </row>
    <row r="474" spans="1:29" x14ac:dyDescent="0.2">
      <c r="A474" t="s">
        <v>558</v>
      </c>
      <c r="B474" s="6">
        <v>561</v>
      </c>
      <c r="C474" s="6">
        <f t="shared" si="147"/>
        <v>-14.871016691957506</v>
      </c>
      <c r="D474" s="6">
        <f t="shared" si="133"/>
        <v>7.7878852188814927</v>
      </c>
      <c r="E474" s="6">
        <f t="shared" si="134"/>
        <v>-22.658901910838999</v>
      </c>
      <c r="F474" s="6">
        <v>26.1</v>
      </c>
      <c r="G474" s="6">
        <f t="shared" si="148"/>
        <v>-21.949760765550231</v>
      </c>
      <c r="H474" s="6">
        <f t="shared" si="135"/>
        <v>-2.1006014929841665</v>
      </c>
      <c r="I474" s="6">
        <f t="shared" si="136"/>
        <v>-19.849159272566062</v>
      </c>
      <c r="J474" s="6">
        <v>4626.38</v>
      </c>
      <c r="K474" s="6">
        <f t="shared" si="149"/>
        <v>-14.117633955090891</v>
      </c>
      <c r="L474" s="6">
        <f t="shared" si="137"/>
        <v>-6.2783709467046869</v>
      </c>
      <c r="M474" s="6">
        <f t="shared" si="138"/>
        <v>-7.8392630083862045</v>
      </c>
      <c r="N474" s="6">
        <v>1410.78</v>
      </c>
      <c r="O474" s="6">
        <f t="shared" si="150"/>
        <v>-15.258289283998073</v>
      </c>
      <c r="P474" s="6">
        <f t="shared" si="139"/>
        <v>-6.153119570940774</v>
      </c>
      <c r="Q474" s="6">
        <f t="shared" si="140"/>
        <v>-9.1051697130572986</v>
      </c>
      <c r="R474" s="6">
        <v>0.56000000000000005</v>
      </c>
      <c r="S474" s="6" t="str">
        <f t="shared" si="151"/>
        <v/>
      </c>
      <c r="T474" s="6" t="str">
        <f t="shared" si="141"/>
        <v/>
      </c>
      <c r="U474" s="6" t="str">
        <f t="shared" si="142"/>
        <v/>
      </c>
      <c r="V474" s="6">
        <v>10.75</v>
      </c>
      <c r="W474" s="6">
        <f t="shared" si="152"/>
        <v>-23.758865248226947</v>
      </c>
      <c r="X474" s="6">
        <f t="shared" si="143"/>
        <v>-2.9747998281165393</v>
      </c>
      <c r="Y474" s="6">
        <f t="shared" si="144"/>
        <v>-20.784065420110409</v>
      </c>
      <c r="Z474" s="6"/>
      <c r="AA474" s="6" t="str">
        <f t="shared" si="153"/>
        <v/>
      </c>
      <c r="AB474" s="6" t="str">
        <f t="shared" si="145"/>
        <v/>
      </c>
      <c r="AC474" s="6" t="str">
        <f t="shared" si="146"/>
        <v/>
      </c>
    </row>
    <row r="475" spans="1:29" x14ac:dyDescent="0.2">
      <c r="A475" t="s">
        <v>559</v>
      </c>
      <c r="B475" s="6">
        <v>497</v>
      </c>
      <c r="C475" s="6">
        <f t="shared" si="147"/>
        <v>-25.931445603576751</v>
      </c>
      <c r="D475" s="6">
        <f t="shared" si="133"/>
        <v>6.0030508379713092</v>
      </c>
      <c r="E475" s="6">
        <f t="shared" si="134"/>
        <v>-31.93449644154806</v>
      </c>
      <c r="F475" s="6">
        <v>26.1</v>
      </c>
      <c r="G475" s="6">
        <f t="shared" si="148"/>
        <v>-18.13048933500626</v>
      </c>
      <c r="H475" s="6">
        <f t="shared" si="135"/>
        <v>-3.0014365626965707</v>
      </c>
      <c r="I475" s="6">
        <f t="shared" si="136"/>
        <v>-15.12905277230969</v>
      </c>
      <c r="J475" s="6">
        <v>5011.3</v>
      </c>
      <c r="K475" s="6">
        <f t="shared" si="149"/>
        <v>-7.125912746951335</v>
      </c>
      <c r="L475" s="6">
        <f t="shared" si="137"/>
        <v>-7.5311875370713643</v>
      </c>
      <c r="M475" s="6">
        <f t="shared" si="138"/>
        <v>0.40527479012002932</v>
      </c>
      <c r="N475" s="6">
        <v>1378.35</v>
      </c>
      <c r="O475" s="6">
        <f t="shared" si="150"/>
        <v>-21.146122953351878</v>
      </c>
      <c r="P475" s="6">
        <f t="shared" si="139"/>
        <v>-7.5997890853318246</v>
      </c>
      <c r="Q475" s="6">
        <f t="shared" si="140"/>
        <v>-13.546333868020053</v>
      </c>
      <c r="R475" s="6">
        <v>0.52</v>
      </c>
      <c r="S475" s="6" t="str">
        <f t="shared" si="151"/>
        <v/>
      </c>
      <c r="T475" s="6" t="str">
        <f t="shared" si="141"/>
        <v/>
      </c>
      <c r="U475" s="6" t="str">
        <f t="shared" si="142"/>
        <v/>
      </c>
      <c r="V475" s="6">
        <v>13.17</v>
      </c>
      <c r="W475" s="6">
        <f t="shared" si="152"/>
        <v>0.38109756097561842</v>
      </c>
      <c r="X475" s="6">
        <f t="shared" si="143"/>
        <v>-4.0200906528634066</v>
      </c>
      <c r="Y475" s="6">
        <f t="shared" si="144"/>
        <v>4.401188213839025</v>
      </c>
      <c r="Z475" s="6"/>
      <c r="AA475" s="6" t="str">
        <f t="shared" si="153"/>
        <v/>
      </c>
      <c r="AB475" s="6" t="str">
        <f t="shared" si="145"/>
        <v/>
      </c>
      <c r="AC475" s="6" t="str">
        <f t="shared" si="146"/>
        <v/>
      </c>
    </row>
    <row r="476" spans="1:29" x14ac:dyDescent="0.2">
      <c r="A476" t="s">
        <v>560</v>
      </c>
      <c r="B476" s="6">
        <v>509</v>
      </c>
      <c r="C476" s="6">
        <f t="shared" si="147"/>
        <v>-26.017441860465119</v>
      </c>
      <c r="D476" s="6">
        <f t="shared" si="133"/>
        <v>3.9227279997111402</v>
      </c>
      <c r="E476" s="6">
        <f t="shared" si="134"/>
        <v>-29.940169860176258</v>
      </c>
      <c r="F476" s="6">
        <v>26.1</v>
      </c>
      <c r="G476" s="6">
        <f t="shared" si="148"/>
        <v>-16.292495189223853</v>
      </c>
      <c r="H476" s="6">
        <f t="shared" si="135"/>
        <v>-4.0041550905092</v>
      </c>
      <c r="I476" s="6">
        <f t="shared" si="136"/>
        <v>-12.288340098714652</v>
      </c>
      <c r="J476" s="6">
        <v>5102.63</v>
      </c>
      <c r="K476" s="6">
        <f t="shared" si="149"/>
        <v>-5.3996381083746714</v>
      </c>
      <c r="L476" s="6">
        <f t="shared" si="137"/>
        <v>-8.4046090342407371</v>
      </c>
      <c r="M476" s="6">
        <f t="shared" si="138"/>
        <v>3.0049709258660657</v>
      </c>
      <c r="N476" s="6">
        <v>1466</v>
      </c>
      <c r="O476" s="6">
        <f t="shared" si="150"/>
        <v>-18.596257426842133</v>
      </c>
      <c r="P476" s="6">
        <f t="shared" si="139"/>
        <v>-9.1382864382818632</v>
      </c>
      <c r="Q476" s="6">
        <f t="shared" si="140"/>
        <v>-9.4579709885602696</v>
      </c>
      <c r="R476" s="6">
        <v>0.52</v>
      </c>
      <c r="S476" s="6" t="str">
        <f t="shared" si="151"/>
        <v/>
      </c>
      <c r="T476" s="6" t="str">
        <f t="shared" si="141"/>
        <v/>
      </c>
      <c r="U476" s="6" t="str">
        <f t="shared" si="142"/>
        <v/>
      </c>
      <c r="V476" s="6">
        <v>15.87</v>
      </c>
      <c r="W476" s="6">
        <f t="shared" si="152"/>
        <v>17.555555555555546</v>
      </c>
      <c r="X476" s="6">
        <f t="shared" si="143"/>
        <v>-4.5826968863734301</v>
      </c>
      <c r="Y476" s="6">
        <f t="shared" si="144"/>
        <v>22.138252441928977</v>
      </c>
      <c r="Z476" s="6"/>
      <c r="AA476" s="6" t="str">
        <f t="shared" si="153"/>
        <v/>
      </c>
      <c r="AB476" s="6" t="str">
        <f t="shared" si="145"/>
        <v/>
      </c>
      <c r="AC476" s="6" t="str">
        <f t="shared" si="146"/>
        <v/>
      </c>
    </row>
    <row r="477" spans="1:29" x14ac:dyDescent="0.2">
      <c r="A477" t="s">
        <v>561</v>
      </c>
      <c r="B477" s="6">
        <v>475</v>
      </c>
      <c r="C477" s="6">
        <f t="shared" si="147"/>
        <v>-32.62411347517731</v>
      </c>
      <c r="D477" s="6">
        <f t="shared" si="133"/>
        <v>2.4638392819959978</v>
      </c>
      <c r="E477" s="6">
        <f t="shared" si="134"/>
        <v>-35.087952757173305</v>
      </c>
      <c r="F477" s="6">
        <v>26.1</v>
      </c>
      <c r="G477" s="6">
        <f t="shared" si="148"/>
        <v>-13.80449141347424</v>
      </c>
      <c r="H477" s="6">
        <f t="shared" si="135"/>
        <v>-4.8803052374598384</v>
      </c>
      <c r="I477" s="6">
        <f t="shared" si="136"/>
        <v>-8.9241861760144019</v>
      </c>
      <c r="J477" s="6">
        <v>5399.34</v>
      </c>
      <c r="K477" s="6">
        <f t="shared" si="149"/>
        <v>7.5565737051792814</v>
      </c>
      <c r="L477" s="6">
        <f t="shared" si="137"/>
        <v>-9.2836630080552602</v>
      </c>
      <c r="M477" s="6">
        <f t="shared" si="138"/>
        <v>16.840236713234543</v>
      </c>
      <c r="N477" s="6">
        <v>1511.16</v>
      </c>
      <c r="O477" s="6">
        <f t="shared" si="150"/>
        <v>-12.777267926096513</v>
      </c>
      <c r="P477" s="6">
        <f t="shared" si="139"/>
        <v>-10.656794331692897</v>
      </c>
      <c r="Q477" s="6">
        <f t="shared" si="140"/>
        <v>-2.1204735944036166</v>
      </c>
      <c r="R477" s="6">
        <v>0.55000000000000004</v>
      </c>
      <c r="S477" s="6" t="str">
        <f t="shared" si="151"/>
        <v/>
      </c>
      <c r="T477" s="6" t="str">
        <f t="shared" si="141"/>
        <v/>
      </c>
      <c r="U477" s="6" t="str">
        <f t="shared" si="142"/>
        <v/>
      </c>
      <c r="V477" s="6">
        <v>16.059999999999999</v>
      </c>
      <c r="W477" s="6">
        <f t="shared" si="152"/>
        <v>14.468995010691366</v>
      </c>
      <c r="X477" s="6">
        <f t="shared" si="143"/>
        <v>-4.7101590634045714</v>
      </c>
      <c r="Y477" s="6">
        <f t="shared" si="144"/>
        <v>19.179154074095937</v>
      </c>
      <c r="Z477" s="6"/>
      <c r="AA477" s="6" t="str">
        <f t="shared" si="153"/>
        <v/>
      </c>
      <c r="AB477" s="6" t="str">
        <f t="shared" si="145"/>
        <v/>
      </c>
      <c r="AC477" s="6" t="str">
        <f t="shared" si="146"/>
        <v/>
      </c>
    </row>
    <row r="478" spans="1:29" x14ac:dyDescent="0.2">
      <c r="A478" t="s">
        <v>562</v>
      </c>
      <c r="B478" s="6">
        <v>392</v>
      </c>
      <c r="C478" s="6">
        <f t="shared" si="147"/>
        <v>-38.072669826224327</v>
      </c>
      <c r="D478" s="6">
        <f t="shared" si="133"/>
        <v>1.2590677922467444</v>
      </c>
      <c r="E478" s="6">
        <f t="shared" si="134"/>
        <v>-39.331737618471074</v>
      </c>
      <c r="F478" s="6">
        <v>26.1</v>
      </c>
      <c r="G478" s="6">
        <f t="shared" si="148"/>
        <v>-13</v>
      </c>
      <c r="H478" s="6">
        <f t="shared" si="135"/>
        <v>-5.656885008149259</v>
      </c>
      <c r="I478" s="6">
        <f t="shared" si="136"/>
        <v>-7.343114991850741</v>
      </c>
      <c r="J478" s="6">
        <v>5195</v>
      </c>
      <c r="K478" s="6">
        <f t="shared" si="149"/>
        <v>16.071229081484461</v>
      </c>
      <c r="L478" s="6">
        <f t="shared" si="137"/>
        <v>-9.5183288363343994</v>
      </c>
      <c r="M478" s="6">
        <f t="shared" si="138"/>
        <v>25.589557917818858</v>
      </c>
      <c r="N478" s="6">
        <v>1422.48</v>
      </c>
      <c r="O478" s="6">
        <f t="shared" si="150"/>
        <v>-14.335268470117789</v>
      </c>
      <c r="P478" s="6">
        <f t="shared" si="139"/>
        <v>-11.526220232234833</v>
      </c>
      <c r="Q478" s="6">
        <f t="shared" si="140"/>
        <v>-2.8090482378829567</v>
      </c>
      <c r="R478" s="6">
        <v>0.55000000000000004</v>
      </c>
      <c r="S478" s="6" t="str">
        <f t="shared" si="151"/>
        <v/>
      </c>
      <c r="T478" s="6" t="str">
        <f t="shared" si="141"/>
        <v/>
      </c>
      <c r="U478" s="6" t="str">
        <f t="shared" si="142"/>
        <v/>
      </c>
      <c r="V478" s="6">
        <v>16.39</v>
      </c>
      <c r="W478" s="6">
        <f t="shared" si="152"/>
        <v>31.330128205128215</v>
      </c>
      <c r="X478" s="6">
        <f t="shared" si="143"/>
        <v>-4.6825750662019017</v>
      </c>
      <c r="Y478" s="6">
        <f t="shared" si="144"/>
        <v>36.012703271330118</v>
      </c>
      <c r="Z478" s="6"/>
      <c r="AA478" s="6" t="str">
        <f t="shared" si="153"/>
        <v/>
      </c>
      <c r="AB478" s="6" t="str">
        <f t="shared" si="145"/>
        <v/>
      </c>
      <c r="AC478" s="6" t="str">
        <f t="shared" si="146"/>
        <v/>
      </c>
    </row>
    <row r="479" spans="1:29" x14ac:dyDescent="0.2">
      <c r="A479" t="s">
        <v>563</v>
      </c>
      <c r="B479" s="6">
        <v>319</v>
      </c>
      <c r="C479" s="6">
        <f t="shared" si="147"/>
        <v>-51.739788199697422</v>
      </c>
      <c r="D479" s="6">
        <f t="shared" si="133"/>
        <v>-3.8541962991197685E-2</v>
      </c>
      <c r="E479" s="6">
        <f t="shared" si="134"/>
        <v>-51.701246236706226</v>
      </c>
      <c r="F479" s="6">
        <v>26.1</v>
      </c>
      <c r="G479" s="6">
        <f t="shared" si="148"/>
        <v>-13</v>
      </c>
      <c r="H479" s="6">
        <f t="shared" si="135"/>
        <v>-6.3722867938635446</v>
      </c>
      <c r="I479" s="6">
        <f t="shared" si="136"/>
        <v>-6.6277132061364554</v>
      </c>
      <c r="J479" s="6">
        <v>5700.11</v>
      </c>
      <c r="K479" s="6">
        <f t="shared" si="149"/>
        <v>31.781348906351493</v>
      </c>
      <c r="L479" s="6">
        <f t="shared" si="137"/>
        <v>-9.7107356733000518</v>
      </c>
      <c r="M479" s="6">
        <f t="shared" si="138"/>
        <v>41.492084579651547</v>
      </c>
      <c r="N479" s="6">
        <v>1640</v>
      </c>
      <c r="O479" s="6">
        <f t="shared" si="150"/>
        <v>-0.6686694447136321</v>
      </c>
      <c r="P479" s="6">
        <f t="shared" si="139"/>
        <v>-12.380415464916185</v>
      </c>
      <c r="Q479" s="6">
        <f t="shared" si="140"/>
        <v>11.711746020202552</v>
      </c>
      <c r="R479" s="6">
        <v>0.51</v>
      </c>
      <c r="S479" s="6" t="str">
        <f t="shared" si="151"/>
        <v/>
      </c>
      <c r="T479" s="6" t="str">
        <f t="shared" si="141"/>
        <v/>
      </c>
      <c r="U479" s="6" t="str">
        <f t="shared" si="142"/>
        <v/>
      </c>
      <c r="V479" s="6">
        <v>18.989999999999998</v>
      </c>
      <c r="W479" s="6">
        <f t="shared" si="152"/>
        <v>49.527559055118097</v>
      </c>
      <c r="X479" s="6">
        <f t="shared" si="143"/>
        <v>-4.0529178378942277</v>
      </c>
      <c r="Y479" s="6">
        <f t="shared" si="144"/>
        <v>53.580476893012325</v>
      </c>
      <c r="Z479" s="6"/>
      <c r="AA479" s="6" t="str">
        <f t="shared" si="153"/>
        <v/>
      </c>
      <c r="AB479" s="6" t="str">
        <f t="shared" si="145"/>
        <v/>
      </c>
      <c r="AC479" s="6" t="str">
        <f t="shared" si="146"/>
        <v/>
      </c>
    </row>
    <row r="480" spans="1:29" x14ac:dyDescent="0.2">
      <c r="A480" t="s">
        <v>564</v>
      </c>
      <c r="B480" s="6">
        <v>354</v>
      </c>
      <c r="C480" s="6">
        <f t="shared" si="147"/>
        <v>-47.47774480712166</v>
      </c>
      <c r="D480" s="6">
        <f t="shared" si="133"/>
        <v>-1.795435323764246</v>
      </c>
      <c r="E480" s="6">
        <f t="shared" si="134"/>
        <v>-45.682309483357415</v>
      </c>
      <c r="F480" s="6">
        <v>26.1</v>
      </c>
      <c r="G480" s="6">
        <f t="shared" si="148"/>
        <v>-0.38167938931297218</v>
      </c>
      <c r="H480" s="6">
        <f t="shared" si="135"/>
        <v>-7.1434977707014085</v>
      </c>
      <c r="I480" s="6">
        <f t="shared" si="136"/>
        <v>6.7618183813884363</v>
      </c>
      <c r="J480" s="6">
        <v>6448.69</v>
      </c>
      <c r="K480" s="6">
        <f t="shared" si="149"/>
        <v>58.031725493367439</v>
      </c>
      <c r="L480" s="6">
        <f t="shared" si="137"/>
        <v>-9.8415091677414086</v>
      </c>
      <c r="M480" s="6">
        <f t="shared" si="138"/>
        <v>67.873234661108853</v>
      </c>
      <c r="N480" s="6">
        <v>1647.62</v>
      </c>
      <c r="O480" s="6">
        <f t="shared" si="150"/>
        <v>1.6465856020926095</v>
      </c>
      <c r="P480" s="6">
        <f t="shared" si="139"/>
        <v>-12.917664726079046</v>
      </c>
      <c r="Q480" s="6">
        <f t="shared" si="140"/>
        <v>14.564250328171656</v>
      </c>
      <c r="R480" s="6">
        <v>0.54</v>
      </c>
      <c r="S480" s="6" t="str">
        <f t="shared" si="151"/>
        <v/>
      </c>
      <c r="T480" s="6" t="str">
        <f t="shared" si="141"/>
        <v/>
      </c>
      <c r="U480" s="6" t="str">
        <f t="shared" si="142"/>
        <v/>
      </c>
      <c r="V480" s="6">
        <v>20.27</v>
      </c>
      <c r="W480" s="6">
        <f t="shared" si="152"/>
        <v>62.289831865492395</v>
      </c>
      <c r="X480" s="6">
        <f t="shared" si="143"/>
        <v>-2.8113621472884383</v>
      </c>
      <c r="Y480" s="6">
        <f t="shared" si="144"/>
        <v>65.101194012780837</v>
      </c>
      <c r="Z480" s="6"/>
      <c r="AA480" s="6" t="str">
        <f t="shared" si="153"/>
        <v/>
      </c>
      <c r="AB480" s="6" t="str">
        <f t="shared" si="145"/>
        <v/>
      </c>
      <c r="AC480" s="6" t="str">
        <f t="shared" si="146"/>
        <v/>
      </c>
    </row>
    <row r="481" spans="1:29" x14ac:dyDescent="0.2">
      <c r="A481" t="s">
        <v>565</v>
      </c>
      <c r="B481" s="6">
        <v>388</v>
      </c>
      <c r="C481" s="6">
        <f t="shared" si="147"/>
        <v>-44.807965860597442</v>
      </c>
      <c r="D481" s="6">
        <f t="shared" si="133"/>
        <v>-2.9331057318836282</v>
      </c>
      <c r="E481" s="6">
        <f t="shared" si="134"/>
        <v>-41.874860128713813</v>
      </c>
      <c r="F481" s="6">
        <v>26.1</v>
      </c>
      <c r="G481" s="6">
        <f t="shared" si="148"/>
        <v>-3.6544850498338777</v>
      </c>
      <c r="H481" s="6">
        <f t="shared" si="135"/>
        <v>-7.6411271688548945</v>
      </c>
      <c r="I481" s="6">
        <f t="shared" si="136"/>
        <v>3.9866421190210168</v>
      </c>
      <c r="J481" s="6">
        <v>7028.41</v>
      </c>
      <c r="K481" s="6">
        <f t="shared" si="149"/>
        <v>71.334370185463271</v>
      </c>
      <c r="L481" s="6">
        <f t="shared" si="137"/>
        <v>-9.7294372633966599</v>
      </c>
      <c r="M481" s="6">
        <f t="shared" si="138"/>
        <v>81.063807448859933</v>
      </c>
      <c r="N481" s="6">
        <v>1750.34</v>
      </c>
      <c r="O481" s="6">
        <f t="shared" si="150"/>
        <v>6.2331577286300233</v>
      </c>
      <c r="P481" s="6">
        <f t="shared" si="139"/>
        <v>-13.429348081427079</v>
      </c>
      <c r="Q481" s="6">
        <f t="shared" si="140"/>
        <v>19.662505810057102</v>
      </c>
      <c r="R481" s="6">
        <v>0.6</v>
      </c>
      <c r="S481" s="6" t="str">
        <f t="shared" si="151"/>
        <v/>
      </c>
      <c r="T481" s="6" t="str">
        <f t="shared" si="141"/>
        <v/>
      </c>
      <c r="U481" s="6" t="str">
        <f t="shared" si="142"/>
        <v/>
      </c>
      <c r="V481" s="6">
        <v>22.7</v>
      </c>
      <c r="W481" s="6">
        <f t="shared" si="152"/>
        <v>64.492753623188378</v>
      </c>
      <c r="X481" s="6">
        <f t="shared" si="143"/>
        <v>-1.4487063363651895</v>
      </c>
      <c r="Y481" s="6">
        <f t="shared" si="144"/>
        <v>65.941459959553569</v>
      </c>
      <c r="Z481" s="6"/>
      <c r="AA481" s="6" t="str">
        <f t="shared" si="153"/>
        <v/>
      </c>
      <c r="AB481" s="6" t="str">
        <f t="shared" si="145"/>
        <v/>
      </c>
      <c r="AC481" s="6" t="str">
        <f t="shared" si="146"/>
        <v/>
      </c>
    </row>
    <row r="482" spans="1:29" x14ac:dyDescent="0.2">
      <c r="A482" t="s">
        <v>566</v>
      </c>
      <c r="B482" s="6">
        <v>381</v>
      </c>
      <c r="C482" s="6">
        <f t="shared" si="147"/>
        <v>-45.100864553314125</v>
      </c>
      <c r="D482" s="6">
        <f t="shared" si="133"/>
        <v>-3.7715995917644247</v>
      </c>
      <c r="E482" s="6">
        <f t="shared" si="134"/>
        <v>-41.329264961549697</v>
      </c>
      <c r="F482" s="6">
        <v>25.6</v>
      </c>
      <c r="G482" s="6">
        <f t="shared" si="148"/>
        <v>-5.5350553505535078</v>
      </c>
      <c r="H482" s="6">
        <f t="shared" si="135"/>
        <v>-8.210087047473662</v>
      </c>
      <c r="I482" s="6">
        <f t="shared" si="136"/>
        <v>2.6750316969201542</v>
      </c>
      <c r="J482" s="6">
        <v>7321.19</v>
      </c>
      <c r="K482" s="6">
        <f t="shared" si="149"/>
        <v>89.083738600646171</v>
      </c>
      <c r="L482" s="6">
        <f t="shared" si="137"/>
        <v>-8.911195408394736</v>
      </c>
      <c r="M482" s="6">
        <f t="shared" si="138"/>
        <v>97.994934009040904</v>
      </c>
      <c r="N482" s="6">
        <v>1724.12</v>
      </c>
      <c r="O482" s="6">
        <f t="shared" si="150"/>
        <v>8.6819760588505943</v>
      </c>
      <c r="P482" s="6">
        <f t="shared" si="139"/>
        <v>-13.640007921728335</v>
      </c>
      <c r="Q482" s="6">
        <f t="shared" si="140"/>
        <v>22.321983980578928</v>
      </c>
      <c r="R482" s="6">
        <v>0.68</v>
      </c>
      <c r="S482" s="6" t="str">
        <f t="shared" si="151"/>
        <v/>
      </c>
      <c r="T482" s="6" t="str">
        <f t="shared" si="141"/>
        <v/>
      </c>
      <c r="U482" s="6" t="str">
        <f t="shared" si="142"/>
        <v/>
      </c>
      <c r="V482" s="6">
        <v>21.95</v>
      </c>
      <c r="W482" s="6">
        <f t="shared" si="152"/>
        <v>65.535444947209641</v>
      </c>
      <c r="X482" s="6">
        <f t="shared" si="143"/>
        <v>-0.18483981283683271</v>
      </c>
      <c r="Y482" s="6">
        <f t="shared" si="144"/>
        <v>65.720284760046468</v>
      </c>
      <c r="Z482" s="6"/>
      <c r="AA482" s="6" t="str">
        <f t="shared" si="153"/>
        <v/>
      </c>
      <c r="AB482" s="6" t="str">
        <f t="shared" si="145"/>
        <v/>
      </c>
      <c r="AC482" s="6" t="str">
        <f t="shared" si="146"/>
        <v/>
      </c>
    </row>
    <row r="483" spans="1:29" x14ac:dyDescent="0.2">
      <c r="A483" t="s">
        <v>567</v>
      </c>
      <c r="B483" s="6">
        <v>370</v>
      </c>
      <c r="C483" s="6">
        <f t="shared" si="147"/>
        <v>-45.668135095447873</v>
      </c>
      <c r="D483" s="6">
        <f t="shared" si="133"/>
        <v>-4.7078189019931012</v>
      </c>
      <c r="E483" s="6">
        <f t="shared" si="134"/>
        <v>-40.960316193454773</v>
      </c>
      <c r="F483" s="6">
        <v>25.1</v>
      </c>
      <c r="G483" s="6">
        <f t="shared" si="148"/>
        <v>-3.8314176245210718</v>
      </c>
      <c r="H483" s="6">
        <f t="shared" si="135"/>
        <v>-8.820743097387636</v>
      </c>
      <c r="I483" s="6">
        <f t="shared" si="136"/>
        <v>4.9893254728665646</v>
      </c>
      <c r="J483" s="6">
        <v>7949.55</v>
      </c>
      <c r="K483" s="6">
        <f t="shared" si="149"/>
        <v>92.394074411107695</v>
      </c>
      <c r="L483" s="6">
        <f t="shared" si="137"/>
        <v>-7.4607696265752113</v>
      </c>
      <c r="M483" s="6">
        <f t="shared" si="138"/>
        <v>99.854844037682909</v>
      </c>
      <c r="N483" s="6">
        <v>1727.55</v>
      </c>
      <c r="O483" s="6">
        <f t="shared" si="150"/>
        <v>9.758886876965601</v>
      </c>
      <c r="P483" s="6">
        <f t="shared" si="139"/>
        <v>-13.676554305729438</v>
      </c>
      <c r="Q483" s="6">
        <f t="shared" si="140"/>
        <v>23.435441182695037</v>
      </c>
      <c r="R483" s="6">
        <v>0.76</v>
      </c>
      <c r="S483" s="6" t="str">
        <f t="shared" si="151"/>
        <v/>
      </c>
      <c r="T483" s="6" t="str">
        <f t="shared" si="141"/>
        <v/>
      </c>
      <c r="U483" s="6" t="str">
        <f t="shared" si="142"/>
        <v/>
      </c>
      <c r="V483" s="6">
        <v>24.16</v>
      </c>
      <c r="W483" s="6">
        <f t="shared" si="152"/>
        <v>103.36700336700338</v>
      </c>
      <c r="X483" s="6">
        <f t="shared" si="143"/>
        <v>1.2247543713876965</v>
      </c>
      <c r="Y483" s="6">
        <f t="shared" si="144"/>
        <v>102.14224899561569</v>
      </c>
      <c r="Z483" s="6"/>
      <c r="AA483" s="6" t="str">
        <f t="shared" si="153"/>
        <v/>
      </c>
      <c r="AB483" s="6" t="str">
        <f t="shared" si="145"/>
        <v/>
      </c>
      <c r="AC483" s="6" t="str">
        <f t="shared" si="146"/>
        <v/>
      </c>
    </row>
    <row r="484" spans="1:29" x14ac:dyDescent="0.2">
      <c r="A484" t="s">
        <v>568</v>
      </c>
      <c r="B484" s="6">
        <v>354</v>
      </c>
      <c r="C484" s="6">
        <f t="shared" si="147"/>
        <v>-46.606334841628957</v>
      </c>
      <c r="D484" s="6">
        <f t="shared" si="133"/>
        <v>-5.3645660587729713</v>
      </c>
      <c r="E484" s="6">
        <f t="shared" si="134"/>
        <v>-41.241768782855985</v>
      </c>
      <c r="F484" s="6">
        <v>25.1</v>
      </c>
      <c r="G484" s="6">
        <f t="shared" si="148"/>
        <v>-3.8314176245210718</v>
      </c>
      <c r="H484" s="6">
        <f t="shared" si="135"/>
        <v>-9.3090486886336361</v>
      </c>
      <c r="I484" s="6">
        <f t="shared" si="136"/>
        <v>5.4776310641125647</v>
      </c>
      <c r="J484" s="6">
        <v>8083.38</v>
      </c>
      <c r="K484" s="6">
        <f t="shared" si="149"/>
        <v>108.43069354160812</v>
      </c>
      <c r="L484" s="6">
        <f t="shared" si="137"/>
        <v>-5.7977579306212492</v>
      </c>
      <c r="M484" s="6">
        <f t="shared" si="138"/>
        <v>114.22845147222937</v>
      </c>
      <c r="N484" s="6">
        <v>1764.75</v>
      </c>
      <c r="O484" s="6">
        <f t="shared" si="150"/>
        <v>19.760174270648847</v>
      </c>
      <c r="P484" s="6">
        <f t="shared" si="139"/>
        <v>-13.6032717573614</v>
      </c>
      <c r="Q484" s="6">
        <f t="shared" si="140"/>
        <v>33.363446028010245</v>
      </c>
      <c r="R484" s="6">
        <v>0.7</v>
      </c>
      <c r="S484" s="6" t="str">
        <f t="shared" si="151"/>
        <v/>
      </c>
      <c r="T484" s="6" t="str">
        <f t="shared" si="141"/>
        <v/>
      </c>
      <c r="U484" s="6" t="str">
        <f t="shared" si="142"/>
        <v/>
      </c>
      <c r="V484" s="6">
        <v>25.1</v>
      </c>
      <c r="W484" s="6">
        <f t="shared" si="152"/>
        <v>141.11431316042265</v>
      </c>
      <c r="X484" s="6">
        <f t="shared" si="143"/>
        <v>3.419705114835708</v>
      </c>
      <c r="Y484" s="6">
        <f t="shared" si="144"/>
        <v>137.69460804558693</v>
      </c>
      <c r="Z484" s="6"/>
      <c r="AA484" s="6" t="str">
        <f t="shared" si="153"/>
        <v/>
      </c>
      <c r="AB484" s="6" t="str">
        <f t="shared" si="145"/>
        <v/>
      </c>
      <c r="AC484" s="6" t="str">
        <f t="shared" si="146"/>
        <v/>
      </c>
    </row>
    <row r="485" spans="1:29" x14ac:dyDescent="0.2">
      <c r="A485" t="s">
        <v>569</v>
      </c>
      <c r="B485" s="6">
        <v>348</v>
      </c>
      <c r="C485" s="6">
        <f t="shared" si="147"/>
        <v>-44.936708860759488</v>
      </c>
      <c r="D485" s="6">
        <f t="shared" si="133"/>
        <v>-5.9617483359847006</v>
      </c>
      <c r="E485" s="6">
        <f t="shared" si="134"/>
        <v>-38.974960524774787</v>
      </c>
      <c r="F485" s="6">
        <v>25.1</v>
      </c>
      <c r="G485" s="6">
        <f t="shared" si="148"/>
        <v>-3.8314176245210718</v>
      </c>
      <c r="H485" s="6">
        <f t="shared" si="135"/>
        <v>-9.5764275992091275</v>
      </c>
      <c r="I485" s="6">
        <f t="shared" si="136"/>
        <v>5.7450099746880561</v>
      </c>
      <c r="J485" s="6">
        <v>8309.5</v>
      </c>
      <c r="K485" s="6">
        <f t="shared" si="149"/>
        <v>94.658857979502201</v>
      </c>
      <c r="L485" s="6">
        <f t="shared" si="137"/>
        <v>-3.4256488619051519</v>
      </c>
      <c r="M485" s="6">
        <f t="shared" si="138"/>
        <v>98.084506841407347</v>
      </c>
      <c r="N485" s="6">
        <v>1843.98</v>
      </c>
      <c r="O485" s="6">
        <f t="shared" si="150"/>
        <v>28.843332075629903</v>
      </c>
      <c r="P485" s="6">
        <f t="shared" si="139"/>
        <v>-13.150399570798855</v>
      </c>
      <c r="Q485" s="6">
        <f t="shared" si="140"/>
        <v>41.993731646428756</v>
      </c>
      <c r="R485" s="6">
        <v>0.71</v>
      </c>
      <c r="S485" s="6">
        <f t="shared" si="151"/>
        <v>18.333333333333336</v>
      </c>
      <c r="T485" s="6" t="str">
        <f t="shared" si="141"/>
        <v/>
      </c>
      <c r="U485" s="6" t="str">
        <f t="shared" si="142"/>
        <v/>
      </c>
      <c r="V485" s="6">
        <v>25.31</v>
      </c>
      <c r="W485" s="6">
        <f t="shared" si="152"/>
        <v>121.24125874125875</v>
      </c>
      <c r="X485" s="6">
        <f t="shared" si="143"/>
        <v>6.1073386256276576</v>
      </c>
      <c r="Y485" s="6">
        <f t="shared" si="144"/>
        <v>115.13392011563108</v>
      </c>
      <c r="Z485" s="6"/>
      <c r="AA485" s="6" t="str">
        <f t="shared" si="153"/>
        <v/>
      </c>
      <c r="AB485" s="6" t="str">
        <f t="shared" si="145"/>
        <v/>
      </c>
      <c r="AC485" s="6" t="str">
        <f t="shared" si="146"/>
        <v/>
      </c>
    </row>
    <row r="486" spans="1:29" x14ac:dyDescent="0.2">
      <c r="A486" t="s">
        <v>570</v>
      </c>
      <c r="B486" s="6">
        <v>332</v>
      </c>
      <c r="C486" s="6">
        <f t="shared" si="147"/>
        <v>-40.819964349376114</v>
      </c>
      <c r="D486" s="6">
        <f t="shared" si="133"/>
        <v>-6.5162503812708792</v>
      </c>
      <c r="E486" s="6">
        <f t="shared" si="134"/>
        <v>-34.303713968105235</v>
      </c>
      <c r="F486" s="6">
        <v>25.1</v>
      </c>
      <c r="G486" s="6">
        <f t="shared" si="148"/>
        <v>-3.8314176245210718</v>
      </c>
      <c r="H486" s="6">
        <f t="shared" si="135"/>
        <v>-9.7837195993605928</v>
      </c>
      <c r="I486" s="6">
        <f t="shared" si="136"/>
        <v>5.9523019748395214</v>
      </c>
      <c r="J486" s="6">
        <v>9653.33</v>
      </c>
      <c r="K486" s="6">
        <f t="shared" si="149"/>
        <v>108.65838949675558</v>
      </c>
      <c r="L486" s="6">
        <f t="shared" si="137"/>
        <v>-1.0777551229461091</v>
      </c>
      <c r="M486" s="6">
        <f t="shared" si="138"/>
        <v>109.73614461970169</v>
      </c>
      <c r="N486" s="6">
        <v>1800.83</v>
      </c>
      <c r="O486" s="6">
        <f t="shared" si="150"/>
        <v>27.647826025319322</v>
      </c>
      <c r="P486" s="6">
        <f t="shared" si="139"/>
        <v>-12.2777224675434</v>
      </c>
      <c r="Q486" s="6">
        <f t="shared" si="140"/>
        <v>39.925548492862724</v>
      </c>
      <c r="R486" s="6">
        <v>0.73</v>
      </c>
      <c r="S486" s="6">
        <f t="shared" si="151"/>
        <v>30.35714285714284</v>
      </c>
      <c r="T486" s="6" t="str">
        <f t="shared" si="141"/>
        <v/>
      </c>
      <c r="U486" s="6" t="str">
        <f t="shared" si="142"/>
        <v/>
      </c>
      <c r="V486" s="6">
        <v>27.22</v>
      </c>
      <c r="W486" s="6">
        <f t="shared" si="152"/>
        <v>153.20930232558138</v>
      </c>
      <c r="X486" s="6">
        <f t="shared" si="143"/>
        <v>8.5222514371750844</v>
      </c>
      <c r="Y486" s="6">
        <f t="shared" si="144"/>
        <v>144.6870508884063</v>
      </c>
      <c r="Z486" s="6"/>
      <c r="AA486" s="6" t="str">
        <f t="shared" si="153"/>
        <v/>
      </c>
      <c r="AB486" s="6" t="str">
        <f t="shared" si="145"/>
        <v/>
      </c>
      <c r="AC486" s="6" t="str">
        <f t="shared" si="146"/>
        <v/>
      </c>
    </row>
    <row r="487" spans="1:29" x14ac:dyDescent="0.2">
      <c r="A487" t="s">
        <v>571</v>
      </c>
      <c r="B487" s="6">
        <v>349</v>
      </c>
      <c r="C487" s="6">
        <f t="shared" si="147"/>
        <v>-29.778672032193153</v>
      </c>
      <c r="D487" s="6">
        <f t="shared" si="133"/>
        <v>-6.9159603042076414</v>
      </c>
      <c r="E487" s="6">
        <f t="shared" si="134"/>
        <v>-22.862711727985513</v>
      </c>
      <c r="F487" s="6">
        <v>25.1</v>
      </c>
      <c r="G487" s="6">
        <f t="shared" si="148"/>
        <v>-3.8314176245210718</v>
      </c>
      <c r="H487" s="6">
        <f t="shared" si="135"/>
        <v>-9.9566259062544287</v>
      </c>
      <c r="I487" s="6">
        <f t="shared" si="136"/>
        <v>6.1252082817333573</v>
      </c>
      <c r="J487" s="6">
        <v>10280.11</v>
      </c>
      <c r="K487" s="6">
        <f t="shared" si="149"/>
        <v>105.13858679384592</v>
      </c>
      <c r="L487" s="6">
        <f t="shared" si="137"/>
        <v>1.2569697175610068</v>
      </c>
      <c r="M487" s="6">
        <f t="shared" si="138"/>
        <v>103.88161707628491</v>
      </c>
      <c r="N487" s="6">
        <v>1739.39</v>
      </c>
      <c r="O487" s="6">
        <f t="shared" si="150"/>
        <v>26.193637319984052</v>
      </c>
      <c r="P487" s="6">
        <f t="shared" si="139"/>
        <v>-11.45561960466223</v>
      </c>
      <c r="Q487" s="6">
        <f t="shared" si="140"/>
        <v>37.649256924646281</v>
      </c>
      <c r="R487" s="6">
        <v>0.66</v>
      </c>
      <c r="S487" s="6">
        <f t="shared" si="151"/>
        <v>26.923076923076916</v>
      </c>
      <c r="T487" s="6" t="str">
        <f t="shared" si="141"/>
        <v/>
      </c>
      <c r="U487" s="6" t="str">
        <f t="shared" si="142"/>
        <v/>
      </c>
      <c r="V487" s="6">
        <v>27.49</v>
      </c>
      <c r="W487" s="6">
        <f t="shared" si="152"/>
        <v>108.73196659073652</v>
      </c>
      <c r="X487" s="6">
        <f t="shared" si="143"/>
        <v>11.680625488207932</v>
      </c>
      <c r="Y487" s="6">
        <f t="shared" si="144"/>
        <v>97.051341102528582</v>
      </c>
      <c r="Z487" s="6"/>
      <c r="AA487" s="6" t="str">
        <f t="shared" si="153"/>
        <v/>
      </c>
      <c r="AB487" s="6" t="str">
        <f t="shared" si="145"/>
        <v/>
      </c>
      <c r="AC487" s="6" t="str">
        <f t="shared" si="146"/>
        <v/>
      </c>
    </row>
    <row r="488" spans="1:29" x14ac:dyDescent="0.2">
      <c r="A488" t="s">
        <v>572</v>
      </c>
      <c r="B488" s="6">
        <v>372</v>
      </c>
      <c r="C488" s="6">
        <f t="shared" si="147"/>
        <v>-26.915520628683698</v>
      </c>
      <c r="D488" s="6">
        <f t="shared" si="133"/>
        <v>-7.0268878783863391</v>
      </c>
      <c r="E488" s="6">
        <f t="shared" si="134"/>
        <v>-19.888632750297358</v>
      </c>
      <c r="F488" s="6">
        <v>25.1</v>
      </c>
      <c r="G488" s="6">
        <f t="shared" si="148"/>
        <v>-3.8314176245210718</v>
      </c>
      <c r="H488" s="6">
        <f t="shared" si="135"/>
        <v>-10.072301083297225</v>
      </c>
      <c r="I488" s="6">
        <f t="shared" si="136"/>
        <v>6.2408834587761532</v>
      </c>
      <c r="J488" s="6">
        <v>9727.5</v>
      </c>
      <c r="K488" s="6">
        <f t="shared" si="149"/>
        <v>90.636985240944369</v>
      </c>
      <c r="L488" s="6">
        <f t="shared" si="137"/>
        <v>3.3118695074174185</v>
      </c>
      <c r="M488" s="6">
        <f t="shared" si="138"/>
        <v>87.325115733526957</v>
      </c>
      <c r="N488" s="6">
        <v>1678.75</v>
      </c>
      <c r="O488" s="6">
        <f t="shared" si="150"/>
        <v>14.512278308321957</v>
      </c>
      <c r="P488" s="6">
        <f t="shared" si="139"/>
        <v>-10.651272684610932</v>
      </c>
      <c r="Q488" s="6">
        <f t="shared" si="140"/>
        <v>25.16355099293289</v>
      </c>
      <c r="R488" s="6">
        <v>0.64</v>
      </c>
      <c r="S488" s="6">
        <f t="shared" si="151"/>
        <v>23.076923076923084</v>
      </c>
      <c r="T488" s="6" t="str">
        <f t="shared" si="141"/>
        <v/>
      </c>
      <c r="U488" s="6" t="str">
        <f t="shared" si="142"/>
        <v/>
      </c>
      <c r="V488" s="6">
        <v>23.47</v>
      </c>
      <c r="W488" s="6">
        <f t="shared" si="152"/>
        <v>47.889098928796471</v>
      </c>
      <c r="X488" s="6">
        <f t="shared" si="143"/>
        <v>13.699717251355482</v>
      </c>
      <c r="Y488" s="6">
        <f t="shared" si="144"/>
        <v>34.189381677440991</v>
      </c>
      <c r="Z488" s="6"/>
      <c r="AA488" s="6" t="str">
        <f t="shared" si="153"/>
        <v/>
      </c>
      <c r="AB488" s="6" t="str">
        <f t="shared" si="145"/>
        <v/>
      </c>
      <c r="AC488" s="6" t="str">
        <f t="shared" si="146"/>
        <v/>
      </c>
    </row>
    <row r="489" spans="1:29" x14ac:dyDescent="0.2">
      <c r="A489" t="s">
        <v>573</v>
      </c>
      <c r="B489" s="6">
        <v>324</v>
      </c>
      <c r="C489" s="6">
        <f t="shared" si="147"/>
        <v>-31.789473684210524</v>
      </c>
      <c r="D489" s="6">
        <f t="shared" si="133"/>
        <v>-7.3776278914839146</v>
      </c>
      <c r="E489" s="6">
        <f t="shared" si="134"/>
        <v>-24.411845792726609</v>
      </c>
      <c r="F489" s="6">
        <v>25.6</v>
      </c>
      <c r="G489" s="6">
        <f t="shared" si="148"/>
        <v>-1.9157088122605415</v>
      </c>
      <c r="H489" s="6">
        <f t="shared" si="135"/>
        <v>-10.277346901957229</v>
      </c>
      <c r="I489" s="6">
        <f t="shared" si="136"/>
        <v>8.3616380896966866</v>
      </c>
      <c r="J489" s="6">
        <v>10130.24</v>
      </c>
      <c r="K489" s="6">
        <f t="shared" si="149"/>
        <v>87.619968366504054</v>
      </c>
      <c r="L489" s="6">
        <f t="shared" si="137"/>
        <v>5.0184932981242172</v>
      </c>
      <c r="M489" s="6">
        <f t="shared" si="138"/>
        <v>82.601475068379841</v>
      </c>
      <c r="N489" s="6">
        <v>1785.62</v>
      </c>
      <c r="O489" s="6">
        <f t="shared" si="150"/>
        <v>18.162206516847966</v>
      </c>
      <c r="P489" s="6">
        <f t="shared" si="139"/>
        <v>-10.128136813620369</v>
      </c>
      <c r="Q489" s="6">
        <f t="shared" si="140"/>
        <v>28.290343330468335</v>
      </c>
      <c r="R489" s="6">
        <v>0.62</v>
      </c>
      <c r="S489" s="6">
        <f t="shared" si="151"/>
        <v>12.72727272727272</v>
      </c>
      <c r="T489" s="6" t="str">
        <f t="shared" si="141"/>
        <v/>
      </c>
      <c r="U489" s="6" t="str">
        <f t="shared" si="142"/>
        <v/>
      </c>
      <c r="V489" s="6">
        <v>27.19</v>
      </c>
      <c r="W489" s="6">
        <f t="shared" si="152"/>
        <v>69.302615193026156</v>
      </c>
      <c r="X489" s="6">
        <f t="shared" si="143"/>
        <v>14.472875981272878</v>
      </c>
      <c r="Y489" s="6">
        <f t="shared" si="144"/>
        <v>54.829739211753278</v>
      </c>
      <c r="Z489" s="6"/>
      <c r="AA489" s="6" t="str">
        <f t="shared" si="153"/>
        <v/>
      </c>
      <c r="AB489" s="6" t="str">
        <f t="shared" si="145"/>
        <v/>
      </c>
      <c r="AC489" s="6" t="str">
        <f t="shared" si="146"/>
        <v/>
      </c>
    </row>
    <row r="490" spans="1:29" x14ac:dyDescent="0.2">
      <c r="A490" t="s">
        <v>574</v>
      </c>
      <c r="B490" s="6">
        <v>315</v>
      </c>
      <c r="C490" s="6">
        <f t="shared" si="147"/>
        <v>-19.642857142857139</v>
      </c>
      <c r="D490" s="6">
        <f t="shared" si="133"/>
        <v>-7.838735652703658</v>
      </c>
      <c r="E490" s="6">
        <f t="shared" si="134"/>
        <v>-11.804121490153481</v>
      </c>
      <c r="F490" s="6">
        <v>25.6</v>
      </c>
      <c r="G490" s="6">
        <f t="shared" si="148"/>
        <v>-1.9157088122605415</v>
      </c>
      <c r="H490" s="6">
        <f t="shared" si="135"/>
        <v>-10.286628149620444</v>
      </c>
      <c r="I490" s="6">
        <f t="shared" si="136"/>
        <v>8.3709193373599025</v>
      </c>
      <c r="J490" s="6">
        <v>8410.91</v>
      </c>
      <c r="K490" s="6">
        <f t="shared" si="149"/>
        <v>61.903946102021166</v>
      </c>
      <c r="L490" s="6">
        <f t="shared" si="137"/>
        <v>6.6150828138303508</v>
      </c>
      <c r="M490" s="6">
        <f t="shared" si="138"/>
        <v>55.288863288190818</v>
      </c>
      <c r="N490" s="6">
        <v>1753.18</v>
      </c>
      <c r="O490" s="6">
        <f t="shared" si="150"/>
        <v>23.248130026432712</v>
      </c>
      <c r="P490" s="6">
        <f t="shared" si="139"/>
        <v>-9.6633310027899331</v>
      </c>
      <c r="Q490" s="6">
        <f t="shared" si="140"/>
        <v>32.911461029222643</v>
      </c>
      <c r="R490" s="6">
        <v>0.6</v>
      </c>
      <c r="S490" s="6">
        <f t="shared" si="151"/>
        <v>9.0909090909090828</v>
      </c>
      <c r="T490" s="6" t="str">
        <f t="shared" si="141"/>
        <v/>
      </c>
      <c r="U490" s="6" t="str">
        <f t="shared" si="142"/>
        <v/>
      </c>
      <c r="V490" s="6">
        <v>29.62</v>
      </c>
      <c r="W490" s="6">
        <f t="shared" si="152"/>
        <v>80.719951189749835</v>
      </c>
      <c r="X490" s="6">
        <f t="shared" si="143"/>
        <v>15.844295375789192</v>
      </c>
      <c r="Y490" s="6">
        <f t="shared" si="144"/>
        <v>64.875655813960648</v>
      </c>
      <c r="Z490" s="6"/>
      <c r="AA490" s="6" t="str">
        <f t="shared" si="153"/>
        <v/>
      </c>
      <c r="AB490" s="6" t="str">
        <f t="shared" si="145"/>
        <v/>
      </c>
      <c r="AC490" s="6" t="str">
        <f t="shared" si="146"/>
        <v/>
      </c>
    </row>
    <row r="491" spans="1:29" x14ac:dyDescent="0.2">
      <c r="A491" t="s">
        <v>575</v>
      </c>
      <c r="B491" s="6">
        <v>312</v>
      </c>
      <c r="C491" s="6">
        <f t="shared" si="147"/>
        <v>-2.1943573667711602</v>
      </c>
      <c r="D491" s="6">
        <f t="shared" si="133"/>
        <v>-7.8418604168724002</v>
      </c>
      <c r="E491" s="6">
        <f t="shared" si="134"/>
        <v>5.64750305010124</v>
      </c>
      <c r="F491" s="6">
        <v>25.6</v>
      </c>
      <c r="G491" s="6">
        <f t="shared" si="148"/>
        <v>-1.9157088122605415</v>
      </c>
      <c r="H491" s="6">
        <f t="shared" si="135"/>
        <v>-10.195212611375341</v>
      </c>
      <c r="I491" s="6">
        <f t="shared" si="136"/>
        <v>8.2795037991147993</v>
      </c>
      <c r="J491" s="6">
        <v>8164.41</v>
      </c>
      <c r="K491" s="6">
        <f t="shared" si="149"/>
        <v>43.232499021948698</v>
      </c>
      <c r="L491" s="6">
        <f t="shared" si="137"/>
        <v>7.9476479951788797</v>
      </c>
      <c r="M491" s="6">
        <f t="shared" si="138"/>
        <v>35.284851026769815</v>
      </c>
      <c r="N491" s="6">
        <v>1799.36</v>
      </c>
      <c r="O491" s="6">
        <f t="shared" si="150"/>
        <v>9.7170731707316946</v>
      </c>
      <c r="P491" s="6">
        <f t="shared" si="139"/>
        <v>-8.6076686353159051</v>
      </c>
      <c r="Q491" s="6">
        <f t="shared" si="140"/>
        <v>18.324741806047598</v>
      </c>
      <c r="R491" s="6">
        <v>0.57999999999999996</v>
      </c>
      <c r="S491" s="6">
        <f t="shared" si="151"/>
        <v>13.725490196078427</v>
      </c>
      <c r="T491" s="6" t="str">
        <f t="shared" si="141"/>
        <v/>
      </c>
      <c r="U491" s="6" t="str">
        <f t="shared" si="142"/>
        <v/>
      </c>
      <c r="V491" s="6">
        <v>28.18</v>
      </c>
      <c r="W491" s="6">
        <f t="shared" si="152"/>
        <v>48.393891521853625</v>
      </c>
      <c r="X491" s="6">
        <f t="shared" si="143"/>
        <v>17.38795219301036</v>
      </c>
      <c r="Y491" s="6">
        <f t="shared" si="144"/>
        <v>31.005939328843265</v>
      </c>
      <c r="Z491" s="6"/>
      <c r="AA491" s="6" t="str">
        <f t="shared" si="153"/>
        <v/>
      </c>
      <c r="AB491" s="6" t="str">
        <f t="shared" si="145"/>
        <v/>
      </c>
      <c r="AC491" s="6" t="str">
        <f t="shared" si="146"/>
        <v/>
      </c>
    </row>
    <row r="492" spans="1:29" x14ac:dyDescent="0.2">
      <c r="A492" t="s">
        <v>576</v>
      </c>
      <c r="B492" s="6">
        <v>306</v>
      </c>
      <c r="C492" s="6">
        <f t="shared" si="147"/>
        <v>-13.559322033898303</v>
      </c>
      <c r="D492" s="6">
        <f t="shared" si="133"/>
        <v>-7.3182377729549408</v>
      </c>
      <c r="E492" s="6">
        <f t="shared" si="134"/>
        <v>-6.2410842609433619</v>
      </c>
      <c r="F492" s="6">
        <v>25.6</v>
      </c>
      <c r="G492" s="6">
        <f t="shared" si="148"/>
        <v>-1.9157088122605415</v>
      </c>
      <c r="H492" s="6">
        <f t="shared" si="135"/>
        <v>-10.100632752840678</v>
      </c>
      <c r="I492" s="6">
        <f t="shared" si="136"/>
        <v>8.1849239405801359</v>
      </c>
      <c r="J492" s="6">
        <v>8006.71</v>
      </c>
      <c r="K492" s="6">
        <f t="shared" si="149"/>
        <v>24.16025580389196</v>
      </c>
      <c r="L492" s="6">
        <f t="shared" si="137"/>
        <v>9.185891862881137</v>
      </c>
      <c r="M492" s="6">
        <f t="shared" si="138"/>
        <v>14.974363941010823</v>
      </c>
      <c r="N492" s="6">
        <v>1855.86</v>
      </c>
      <c r="O492" s="6">
        <f t="shared" si="150"/>
        <v>12.638836624949935</v>
      </c>
      <c r="P492" s="6">
        <f t="shared" si="139"/>
        <v>-7.6668403602366473</v>
      </c>
      <c r="Q492" s="6">
        <f t="shared" si="140"/>
        <v>20.305676985186583</v>
      </c>
      <c r="R492" s="6">
        <v>0.61</v>
      </c>
      <c r="S492" s="6">
        <f t="shared" si="151"/>
        <v>12.962962962962955</v>
      </c>
      <c r="T492" s="6" t="str">
        <f t="shared" si="141"/>
        <v/>
      </c>
      <c r="U492" s="6" t="str">
        <f t="shared" si="142"/>
        <v/>
      </c>
      <c r="V492" s="6">
        <v>29.26</v>
      </c>
      <c r="W492" s="6">
        <f t="shared" si="152"/>
        <v>44.351258016773578</v>
      </c>
      <c r="X492" s="6">
        <f t="shared" si="143"/>
        <v>17.941400803695746</v>
      </c>
      <c r="Y492" s="6">
        <f t="shared" si="144"/>
        <v>26.409857213077832</v>
      </c>
      <c r="Z492" s="6"/>
      <c r="AA492" s="6" t="str">
        <f t="shared" si="153"/>
        <v/>
      </c>
      <c r="AB492" s="6" t="str">
        <f t="shared" si="145"/>
        <v/>
      </c>
      <c r="AC492" s="6" t="str">
        <f t="shared" si="146"/>
        <v/>
      </c>
    </row>
    <row r="493" spans="1:29" x14ac:dyDescent="0.2">
      <c r="A493" t="s">
        <v>577</v>
      </c>
      <c r="B493" s="6">
        <v>288</v>
      </c>
      <c r="C493" s="6">
        <f t="shared" si="147"/>
        <v>-25.773195876288657</v>
      </c>
      <c r="D493" s="6">
        <f t="shared" si="133"/>
        <v>-7.25237408156159</v>
      </c>
      <c r="E493" s="6">
        <f t="shared" si="134"/>
        <v>-18.520821794727066</v>
      </c>
      <c r="F493" s="6">
        <v>27.15</v>
      </c>
      <c r="G493" s="6">
        <f t="shared" si="148"/>
        <v>4.022988505747116</v>
      </c>
      <c r="H493" s="6">
        <f t="shared" si="135"/>
        <v>-10.011609073904978</v>
      </c>
      <c r="I493" s="6">
        <f t="shared" si="136"/>
        <v>14.034597579652093</v>
      </c>
      <c r="J493" s="6">
        <v>8637.98</v>
      </c>
      <c r="K493" s="6">
        <f t="shared" si="149"/>
        <v>22.900912155096243</v>
      </c>
      <c r="L493" s="6">
        <f t="shared" si="137"/>
        <v>10.129507182149004</v>
      </c>
      <c r="M493" s="6">
        <f t="shared" si="138"/>
        <v>12.77140497294724</v>
      </c>
      <c r="N493" s="6">
        <v>1960.41</v>
      </c>
      <c r="O493" s="6">
        <f t="shared" si="150"/>
        <v>12.001668247311969</v>
      </c>
      <c r="P493" s="6">
        <f t="shared" si="139"/>
        <v>-6.6981173577618094</v>
      </c>
      <c r="Q493" s="6">
        <f t="shared" si="140"/>
        <v>18.699785605073778</v>
      </c>
      <c r="R493" s="6">
        <v>0.6</v>
      </c>
      <c r="S493" s="6">
        <f t="shared" si="151"/>
        <v>0</v>
      </c>
      <c r="T493" s="6" t="str">
        <f t="shared" si="141"/>
        <v/>
      </c>
      <c r="U493" s="6" t="str">
        <f t="shared" si="142"/>
        <v/>
      </c>
      <c r="V493" s="6">
        <v>32.08</v>
      </c>
      <c r="W493" s="6">
        <f t="shared" si="152"/>
        <v>41.321585903083701</v>
      </c>
      <c r="X493" s="6">
        <f t="shared" si="143"/>
        <v>18.363209672771163</v>
      </c>
      <c r="Y493" s="6">
        <f t="shared" si="144"/>
        <v>22.958376230312538</v>
      </c>
      <c r="Z493" s="6"/>
      <c r="AA493" s="6" t="str">
        <f t="shared" si="153"/>
        <v/>
      </c>
      <c r="AB493" s="6" t="str">
        <f t="shared" si="145"/>
        <v/>
      </c>
      <c r="AC493" s="6" t="str">
        <f t="shared" si="146"/>
        <v/>
      </c>
    </row>
    <row r="494" spans="1:29" x14ac:dyDescent="0.2">
      <c r="A494" t="s">
        <v>578</v>
      </c>
      <c r="B494" s="6">
        <v>255</v>
      </c>
      <c r="C494" s="6">
        <f t="shared" si="147"/>
        <v>-33.070866141732282</v>
      </c>
      <c r="D494" s="6">
        <f t="shared" si="133"/>
        <v>-7.6435534325110055</v>
      </c>
      <c r="E494" s="6">
        <f t="shared" si="134"/>
        <v>-25.427312709221276</v>
      </c>
      <c r="F494" s="6">
        <v>27.15</v>
      </c>
      <c r="G494" s="6">
        <f t="shared" si="148"/>
        <v>6.0546874999999778</v>
      </c>
      <c r="H494" s="6">
        <f t="shared" si="135"/>
        <v>-9.7837500668908532</v>
      </c>
      <c r="I494" s="6">
        <f t="shared" si="136"/>
        <v>15.838437566890832</v>
      </c>
      <c r="J494" s="6">
        <v>7678.07</v>
      </c>
      <c r="K494" s="6">
        <f t="shared" si="149"/>
        <v>4.8746173777760138</v>
      </c>
      <c r="L494" s="6">
        <f t="shared" si="137"/>
        <v>10.876075322264718</v>
      </c>
      <c r="M494" s="6">
        <f t="shared" si="138"/>
        <v>-6.0014579444887044</v>
      </c>
      <c r="N494" s="6">
        <v>1898.59</v>
      </c>
      <c r="O494" s="6">
        <f t="shared" si="150"/>
        <v>10.119365241398516</v>
      </c>
      <c r="P494" s="6">
        <f t="shared" si="139"/>
        <v>-5.752044674555477</v>
      </c>
      <c r="Q494" s="6">
        <f t="shared" si="140"/>
        <v>15.871409915953993</v>
      </c>
      <c r="R494" s="6">
        <v>0.61</v>
      </c>
      <c r="S494" s="6">
        <f t="shared" si="151"/>
        <v>-10.294117647058831</v>
      </c>
      <c r="T494" s="6" t="str">
        <f t="shared" si="141"/>
        <v/>
      </c>
      <c r="U494" s="6" t="str">
        <f t="shared" si="142"/>
        <v/>
      </c>
      <c r="V494" s="6">
        <v>31.4</v>
      </c>
      <c r="W494" s="6">
        <f t="shared" si="152"/>
        <v>43.052391799544409</v>
      </c>
      <c r="X494" s="6">
        <f t="shared" si="143"/>
        <v>18.550275015232849</v>
      </c>
      <c r="Y494" s="6">
        <f t="shared" si="144"/>
        <v>24.502116784311561</v>
      </c>
      <c r="Z494" s="6"/>
      <c r="AA494" s="6" t="str">
        <f t="shared" si="153"/>
        <v/>
      </c>
      <c r="AB494" s="6" t="str">
        <f t="shared" si="145"/>
        <v/>
      </c>
      <c r="AC494" s="6" t="str">
        <f t="shared" si="146"/>
        <v/>
      </c>
    </row>
    <row r="495" spans="1:29" x14ac:dyDescent="0.2">
      <c r="A495" t="s">
        <v>579</v>
      </c>
      <c r="B495" s="6">
        <v>257</v>
      </c>
      <c r="C495" s="6">
        <f t="shared" si="147"/>
        <v>-30.54054054054054</v>
      </c>
      <c r="D495" s="6">
        <f t="shared" si="133"/>
        <v>-8.0513644988106439</v>
      </c>
      <c r="E495" s="6">
        <f t="shared" si="134"/>
        <v>-22.489176041729898</v>
      </c>
      <c r="F495" s="6">
        <v>27.15</v>
      </c>
      <c r="G495" s="6">
        <f t="shared" si="148"/>
        <v>8.1673306772908294</v>
      </c>
      <c r="H495" s="6">
        <f t="shared" si="135"/>
        <v>-9.4862455173856262</v>
      </c>
      <c r="I495" s="6">
        <f t="shared" si="136"/>
        <v>17.653576194676454</v>
      </c>
      <c r="J495" s="6">
        <v>7339.77</v>
      </c>
      <c r="K495" s="6">
        <f t="shared" si="149"/>
        <v>-7.6706228654452087</v>
      </c>
      <c r="L495" s="6">
        <f t="shared" si="137"/>
        <v>11.24389300622993</v>
      </c>
      <c r="M495" s="6">
        <f t="shared" si="138"/>
        <v>-18.914515871675139</v>
      </c>
      <c r="N495" s="6">
        <v>1795.11</v>
      </c>
      <c r="O495" s="6">
        <f t="shared" si="150"/>
        <v>3.9107406442649983</v>
      </c>
      <c r="P495" s="6">
        <f t="shared" si="139"/>
        <v>-4.9100676046990603</v>
      </c>
      <c r="Q495" s="6">
        <f t="shared" si="140"/>
        <v>8.8208082489640596</v>
      </c>
      <c r="R495" s="6">
        <v>0.6</v>
      </c>
      <c r="S495" s="6">
        <f t="shared" si="151"/>
        <v>-21.052631578947366</v>
      </c>
      <c r="T495" s="6" t="str">
        <f t="shared" si="141"/>
        <v/>
      </c>
      <c r="U495" s="6" t="str">
        <f t="shared" si="142"/>
        <v/>
      </c>
      <c r="V495" s="6">
        <v>32.33</v>
      </c>
      <c r="W495" s="6">
        <f t="shared" si="152"/>
        <v>33.816225165562905</v>
      </c>
      <c r="X495" s="6">
        <f t="shared" si="143"/>
        <v>18.479199430825094</v>
      </c>
      <c r="Y495" s="6">
        <f t="shared" si="144"/>
        <v>15.337025734737811</v>
      </c>
      <c r="Z495" s="6"/>
      <c r="AA495" s="6" t="str">
        <f t="shared" si="153"/>
        <v/>
      </c>
      <c r="AB495" s="6" t="str">
        <f t="shared" si="145"/>
        <v/>
      </c>
      <c r="AC495" s="6" t="str">
        <f t="shared" si="146"/>
        <v/>
      </c>
    </row>
    <row r="496" spans="1:29" x14ac:dyDescent="0.2">
      <c r="A496" t="s">
        <v>580</v>
      </c>
      <c r="B496" s="6">
        <v>265</v>
      </c>
      <c r="C496" s="6">
        <f t="shared" si="147"/>
        <v>-25.141242937853104</v>
      </c>
      <c r="D496" s="6">
        <f t="shared" si="133"/>
        <v>-8.4919914931855782</v>
      </c>
      <c r="E496" s="6">
        <f t="shared" si="134"/>
        <v>-16.649251444667527</v>
      </c>
      <c r="F496" s="6">
        <v>30.75</v>
      </c>
      <c r="G496" s="6">
        <f t="shared" si="148"/>
        <v>22.509960159362553</v>
      </c>
      <c r="H496" s="6">
        <f t="shared" si="135"/>
        <v>-9.11139042902475</v>
      </c>
      <c r="I496" s="6">
        <f t="shared" si="136"/>
        <v>31.621350588387301</v>
      </c>
      <c r="J496" s="6">
        <v>7314.34</v>
      </c>
      <c r="K496" s="6">
        <f t="shared" si="149"/>
        <v>-9.5138419819431945</v>
      </c>
      <c r="L496" s="6">
        <f t="shared" si="137"/>
        <v>11.466795308527637</v>
      </c>
      <c r="M496" s="6">
        <f t="shared" si="138"/>
        <v>-20.980637290470831</v>
      </c>
      <c r="N496" s="6">
        <v>1850.55</v>
      </c>
      <c r="O496" s="6">
        <f t="shared" si="150"/>
        <v>4.8618784530386705</v>
      </c>
      <c r="P496" s="6">
        <f t="shared" si="139"/>
        <v>-4.3062491018656726</v>
      </c>
      <c r="Q496" s="6">
        <f t="shared" si="140"/>
        <v>9.1681275549043431</v>
      </c>
      <c r="R496" s="6">
        <v>0.6</v>
      </c>
      <c r="S496" s="6">
        <f t="shared" si="151"/>
        <v>-14.285714285714279</v>
      </c>
      <c r="T496" s="6" t="str">
        <f t="shared" si="141"/>
        <v/>
      </c>
      <c r="U496" s="6" t="str">
        <f t="shared" si="142"/>
        <v/>
      </c>
      <c r="V496" s="6">
        <v>25.2</v>
      </c>
      <c r="W496" s="6">
        <f t="shared" si="152"/>
        <v>0.39840637450199168</v>
      </c>
      <c r="X496" s="6">
        <f t="shared" si="143"/>
        <v>18.48054800867197</v>
      </c>
      <c r="Y496" s="6">
        <f t="shared" si="144"/>
        <v>-18.082141634169979</v>
      </c>
      <c r="Z496" s="6"/>
      <c r="AA496" s="6" t="str">
        <f t="shared" si="153"/>
        <v/>
      </c>
      <c r="AB496" s="6" t="str">
        <f t="shared" si="145"/>
        <v/>
      </c>
      <c r="AC496" s="6" t="str">
        <f t="shared" si="146"/>
        <v/>
      </c>
    </row>
    <row r="497" spans="1:29" x14ac:dyDescent="0.2">
      <c r="A497" t="s">
        <v>581</v>
      </c>
      <c r="B497" s="6">
        <v>254</v>
      </c>
      <c r="C497" s="6">
        <f t="shared" si="147"/>
        <v>-27.011494252873558</v>
      </c>
      <c r="D497" s="6">
        <f t="shared" si="133"/>
        <v>-8.913366257780682</v>
      </c>
      <c r="E497" s="6">
        <f t="shared" si="134"/>
        <v>-18.098127995092874</v>
      </c>
      <c r="F497" s="6">
        <v>32.1</v>
      </c>
      <c r="G497" s="6">
        <f t="shared" si="148"/>
        <v>27.888446215139439</v>
      </c>
      <c r="H497" s="6">
        <f t="shared" si="135"/>
        <v>-8.4306582539554373</v>
      </c>
      <c r="I497" s="6">
        <f t="shared" si="136"/>
        <v>36.319104469094874</v>
      </c>
      <c r="J497" s="6">
        <v>6994.77</v>
      </c>
      <c r="K497" s="6">
        <f t="shared" si="149"/>
        <v>-15.822010951320776</v>
      </c>
      <c r="L497" s="6">
        <f t="shared" si="137"/>
        <v>11.657438094855626</v>
      </c>
      <c r="M497" s="6">
        <f t="shared" si="138"/>
        <v>-27.479449046176402</v>
      </c>
      <c r="N497" s="6">
        <v>1787.5</v>
      </c>
      <c r="O497" s="6">
        <f t="shared" si="150"/>
        <v>-3.0629399451187145</v>
      </c>
      <c r="P497" s="6">
        <f t="shared" si="139"/>
        <v>-3.736372646637919</v>
      </c>
      <c r="Q497" s="6">
        <f t="shared" si="140"/>
        <v>0.67343270151920454</v>
      </c>
      <c r="R497" s="6">
        <v>0.6</v>
      </c>
      <c r="S497" s="6">
        <f t="shared" si="151"/>
        <v>-15.492957746478876</v>
      </c>
      <c r="T497" s="6" t="str">
        <f t="shared" si="141"/>
        <v/>
      </c>
      <c r="U497" s="6" t="str">
        <f t="shared" si="142"/>
        <v/>
      </c>
      <c r="V497" s="6">
        <v>25.96</v>
      </c>
      <c r="W497" s="6">
        <f t="shared" si="152"/>
        <v>2.5681548794942888</v>
      </c>
      <c r="X497" s="6">
        <f t="shared" si="143"/>
        <v>17.818497460630969</v>
      </c>
      <c r="Y497" s="6">
        <f t="shared" si="144"/>
        <v>-15.25034258113668</v>
      </c>
      <c r="Z497" s="6"/>
      <c r="AA497" s="6" t="str">
        <f t="shared" si="153"/>
        <v/>
      </c>
      <c r="AB497" s="6" t="str">
        <f t="shared" si="145"/>
        <v/>
      </c>
      <c r="AC497" s="6" t="str">
        <f t="shared" si="146"/>
        <v/>
      </c>
    </row>
    <row r="498" spans="1:29" x14ac:dyDescent="0.2">
      <c r="A498" t="s">
        <v>582</v>
      </c>
      <c r="B498" s="6">
        <v>240</v>
      </c>
      <c r="C498" s="6">
        <f t="shared" si="147"/>
        <v>-27.710843373493976</v>
      </c>
      <c r="D498" s="6">
        <f t="shared" si="133"/>
        <v>-9.6007163132825273</v>
      </c>
      <c r="E498" s="6">
        <f t="shared" si="134"/>
        <v>-18.110127060211447</v>
      </c>
      <c r="F498" s="6">
        <v>32.1</v>
      </c>
      <c r="G498" s="6">
        <f t="shared" si="148"/>
        <v>27.888446215139439</v>
      </c>
      <c r="H498" s="6">
        <f t="shared" si="135"/>
        <v>-7.6305735196558233</v>
      </c>
      <c r="I498" s="6">
        <f t="shared" si="136"/>
        <v>35.519019734795265</v>
      </c>
      <c r="J498" s="6">
        <v>6524.13</v>
      </c>
      <c r="K498" s="6">
        <f t="shared" si="149"/>
        <v>-32.415757049639858</v>
      </c>
      <c r="L498" s="6">
        <f t="shared" si="137"/>
        <v>11.537284314989497</v>
      </c>
      <c r="M498" s="6">
        <f t="shared" si="138"/>
        <v>-43.953041364629357</v>
      </c>
      <c r="N498" s="6">
        <v>1765.65</v>
      </c>
      <c r="O498" s="6">
        <f t="shared" si="150"/>
        <v>-1.953543643764255</v>
      </c>
      <c r="P498" s="6">
        <f t="shared" si="139"/>
        <v>-3.6556792752961429</v>
      </c>
      <c r="Q498" s="6">
        <f t="shared" si="140"/>
        <v>1.7021356315318878</v>
      </c>
      <c r="R498" s="6">
        <v>0.56999999999999995</v>
      </c>
      <c r="S498" s="6">
        <f t="shared" si="151"/>
        <v>-21.917808219178092</v>
      </c>
      <c r="T498" s="6" t="str">
        <f t="shared" si="141"/>
        <v/>
      </c>
      <c r="U498" s="6" t="str">
        <f t="shared" si="142"/>
        <v/>
      </c>
      <c r="V498" s="6">
        <v>27.24</v>
      </c>
      <c r="W498" s="6">
        <f t="shared" si="152"/>
        <v>7.3475385745780386E-2</v>
      </c>
      <c r="X498" s="6">
        <f t="shared" si="143"/>
        <v>17.23646697942193</v>
      </c>
      <c r="Y498" s="6">
        <f t="shared" si="144"/>
        <v>-17.16299159367615</v>
      </c>
      <c r="Z498" s="6"/>
      <c r="AA498" s="6" t="str">
        <f t="shared" si="153"/>
        <v/>
      </c>
      <c r="AB498" s="6" t="str">
        <f t="shared" si="145"/>
        <v/>
      </c>
      <c r="AC498" s="6" t="str">
        <f t="shared" si="146"/>
        <v/>
      </c>
    </row>
    <row r="499" spans="1:29" x14ac:dyDescent="0.2">
      <c r="A499" t="s">
        <v>583</v>
      </c>
      <c r="B499" s="6">
        <v>254</v>
      </c>
      <c r="C499" s="6">
        <f t="shared" si="147"/>
        <v>-27.220630372492838</v>
      </c>
      <c r="D499" s="6">
        <f t="shared" si="133"/>
        <v>-10.427382049586816</v>
      </c>
      <c r="E499" s="6">
        <f t="shared" si="134"/>
        <v>-16.793248322906024</v>
      </c>
      <c r="F499" s="6">
        <v>32.6</v>
      </c>
      <c r="G499" s="6">
        <f t="shared" si="148"/>
        <v>29.880478087649397</v>
      </c>
      <c r="H499" s="6">
        <f t="shared" si="135"/>
        <v>-6.8013463009001613</v>
      </c>
      <c r="I499" s="6">
        <f t="shared" si="136"/>
        <v>36.681824388549558</v>
      </c>
      <c r="J499" s="6">
        <v>6133.52</v>
      </c>
      <c r="K499" s="6">
        <f t="shared" si="149"/>
        <v>-40.336046987824062</v>
      </c>
      <c r="L499" s="6">
        <f t="shared" si="137"/>
        <v>10.983935095041835</v>
      </c>
      <c r="M499" s="6">
        <f t="shared" si="138"/>
        <v>-51.319982082865899</v>
      </c>
      <c r="N499" s="6">
        <v>1738.77</v>
      </c>
      <c r="O499" s="6">
        <f t="shared" si="150"/>
        <v>-3.5644680031510223E-2</v>
      </c>
      <c r="P499" s="6">
        <f t="shared" si="139"/>
        <v>-3.588127618160847</v>
      </c>
      <c r="Q499" s="6">
        <f t="shared" si="140"/>
        <v>3.5524829381293368</v>
      </c>
      <c r="R499" s="6">
        <v>0.52</v>
      </c>
      <c r="S499" s="6">
        <f t="shared" si="151"/>
        <v>-21.212121212121215</v>
      </c>
      <c r="T499" s="6" t="str">
        <f t="shared" si="141"/>
        <v/>
      </c>
      <c r="U499" s="6" t="str">
        <f t="shared" si="142"/>
        <v/>
      </c>
      <c r="V499" s="6">
        <v>25.02</v>
      </c>
      <c r="W499" s="6">
        <f t="shared" si="152"/>
        <v>-8.9850854856311386</v>
      </c>
      <c r="X499" s="6">
        <f t="shared" si="143"/>
        <v>16.917847057491258</v>
      </c>
      <c r="Y499" s="6">
        <f t="shared" si="144"/>
        <v>-25.902932543122397</v>
      </c>
      <c r="Z499" s="6"/>
      <c r="AA499" s="6" t="str">
        <f t="shared" si="153"/>
        <v/>
      </c>
      <c r="AB499" s="6" t="str">
        <f t="shared" si="145"/>
        <v/>
      </c>
      <c r="AC499" s="6" t="str">
        <f t="shared" si="146"/>
        <v/>
      </c>
    </row>
    <row r="500" spans="1:29" x14ac:dyDescent="0.2">
      <c r="A500" t="s">
        <v>584</v>
      </c>
      <c r="B500" s="6">
        <v>251</v>
      </c>
      <c r="C500" s="6">
        <f t="shared" si="147"/>
        <v>-32.526881720430111</v>
      </c>
      <c r="D500" s="6">
        <f t="shared" si="133"/>
        <v>-11.155043705147341</v>
      </c>
      <c r="E500" s="6">
        <f t="shared" si="134"/>
        <v>-21.371838015282769</v>
      </c>
      <c r="F500" s="6">
        <v>33.5</v>
      </c>
      <c r="G500" s="6">
        <f t="shared" si="148"/>
        <v>33.466135458167322</v>
      </c>
      <c r="H500" s="6">
        <f t="shared" si="135"/>
        <v>-5.9379792955387138</v>
      </c>
      <c r="I500" s="6">
        <f t="shared" si="136"/>
        <v>39.40411475370604</v>
      </c>
      <c r="J500" s="6">
        <v>6329.87</v>
      </c>
      <c r="K500" s="6">
        <f t="shared" si="149"/>
        <v>-34.928090465176055</v>
      </c>
      <c r="L500" s="6">
        <f t="shared" si="137"/>
        <v>10.176290594066707</v>
      </c>
      <c r="M500" s="6">
        <f t="shared" si="138"/>
        <v>-45.104381059242762</v>
      </c>
      <c r="N500" s="6">
        <v>1664.16</v>
      </c>
      <c r="O500" s="6">
        <f t="shared" si="150"/>
        <v>-0.86909903201786154</v>
      </c>
      <c r="P500" s="6">
        <f t="shared" si="139"/>
        <v>-3.4752029398625361</v>
      </c>
      <c r="Q500" s="6">
        <f t="shared" si="140"/>
        <v>2.6061039078446746</v>
      </c>
      <c r="R500" s="6">
        <v>0.51</v>
      </c>
      <c r="S500" s="6">
        <f t="shared" si="151"/>
        <v>-20.3125</v>
      </c>
      <c r="T500" s="6" t="str">
        <f t="shared" si="141"/>
        <v/>
      </c>
      <c r="U500" s="6" t="str">
        <f t="shared" si="142"/>
        <v/>
      </c>
      <c r="V500" s="6">
        <v>25.72</v>
      </c>
      <c r="W500" s="6">
        <f t="shared" si="152"/>
        <v>9.586706433745217</v>
      </c>
      <c r="X500" s="6">
        <f t="shared" si="143"/>
        <v>16.738174958671195</v>
      </c>
      <c r="Y500" s="6">
        <f t="shared" si="144"/>
        <v>-7.1514685249259777</v>
      </c>
      <c r="Z500" s="6"/>
      <c r="AA500" s="6" t="str">
        <f t="shared" si="153"/>
        <v/>
      </c>
      <c r="AB500" s="6" t="str">
        <f t="shared" si="145"/>
        <v/>
      </c>
      <c r="AC500" s="6" t="str">
        <f t="shared" si="146"/>
        <v/>
      </c>
    </row>
    <row r="501" spans="1:29" x14ac:dyDescent="0.2">
      <c r="A501" t="s">
        <v>585</v>
      </c>
      <c r="B501" s="6">
        <v>234</v>
      </c>
      <c r="C501" s="6">
        <f t="shared" si="147"/>
        <v>-27.777777777777779</v>
      </c>
      <c r="D501" s="6">
        <f t="shared" si="133"/>
        <v>-11.832687074322967</v>
      </c>
      <c r="E501" s="6">
        <f t="shared" si="134"/>
        <v>-15.945090703454811</v>
      </c>
      <c r="F501" s="6">
        <v>33.799999999999997</v>
      </c>
      <c r="G501" s="6">
        <f t="shared" si="148"/>
        <v>32.031249999999979</v>
      </c>
      <c r="H501" s="6">
        <f t="shared" si="135"/>
        <v>-5.0325937185990801</v>
      </c>
      <c r="I501" s="6">
        <f t="shared" si="136"/>
        <v>37.06384371859906</v>
      </c>
      <c r="J501" s="6">
        <v>7060.83</v>
      </c>
      <c r="K501" s="6">
        <f t="shared" si="149"/>
        <v>-30.299479577976427</v>
      </c>
      <c r="L501" s="6">
        <f t="shared" si="137"/>
        <v>9.6370217807785039</v>
      </c>
      <c r="M501" s="6">
        <f t="shared" si="138"/>
        <v>-39.936501358754931</v>
      </c>
      <c r="N501" s="6">
        <v>1682.21</v>
      </c>
      <c r="O501" s="6">
        <f t="shared" si="150"/>
        <v>-5.7912657788331101</v>
      </c>
      <c r="P501" s="6">
        <f t="shared" si="139"/>
        <v>-3.3291003384393556</v>
      </c>
      <c r="Q501" s="6">
        <f t="shared" si="140"/>
        <v>-2.4621654403937545</v>
      </c>
      <c r="R501" s="6">
        <v>0.51</v>
      </c>
      <c r="S501" s="6">
        <f t="shared" si="151"/>
        <v>-17.741935483870964</v>
      </c>
      <c r="T501" s="6" t="str">
        <f t="shared" si="141"/>
        <v/>
      </c>
      <c r="U501" s="6" t="str">
        <f t="shared" si="142"/>
        <v/>
      </c>
      <c r="V501" s="6">
        <v>27.55</v>
      </c>
      <c r="W501" s="6">
        <f t="shared" si="152"/>
        <v>1.3240161824199959</v>
      </c>
      <c r="X501" s="6">
        <f t="shared" si="143"/>
        <v>17.218230374653341</v>
      </c>
      <c r="Y501" s="6">
        <f t="shared" si="144"/>
        <v>-15.894214192233346</v>
      </c>
      <c r="Z501" s="6"/>
      <c r="AA501" s="6" t="str">
        <f t="shared" si="153"/>
        <v/>
      </c>
      <c r="AB501" s="6" t="str">
        <f t="shared" si="145"/>
        <v/>
      </c>
      <c r="AC501" s="6" t="str">
        <f t="shared" si="146"/>
        <v/>
      </c>
    </row>
    <row r="502" spans="1:29" x14ac:dyDescent="0.2">
      <c r="A502" t="s">
        <v>586</v>
      </c>
      <c r="B502" s="6">
        <v>255</v>
      </c>
      <c r="C502" s="6">
        <f t="shared" si="147"/>
        <v>-19.047619047619047</v>
      </c>
      <c r="D502" s="6">
        <f t="shared" si="133"/>
        <v>-12.415164932616044</v>
      </c>
      <c r="E502" s="6">
        <f t="shared" si="134"/>
        <v>-6.6324541150030036</v>
      </c>
      <c r="F502" s="6">
        <v>33.9</v>
      </c>
      <c r="G502" s="6">
        <f t="shared" si="148"/>
        <v>32.421874999999979</v>
      </c>
      <c r="H502" s="6">
        <f t="shared" si="135"/>
        <v>-4.230568331382675</v>
      </c>
      <c r="I502" s="6">
        <f t="shared" si="136"/>
        <v>36.652443331382656</v>
      </c>
      <c r="J502" s="6">
        <v>6641.19</v>
      </c>
      <c r="K502" s="6">
        <f t="shared" si="149"/>
        <v>-21.04076728915183</v>
      </c>
      <c r="L502" s="6">
        <f t="shared" si="137"/>
        <v>9.1469028219102082</v>
      </c>
      <c r="M502" s="6">
        <f t="shared" si="138"/>
        <v>-30.18767011106204</v>
      </c>
      <c r="N502" s="6">
        <v>1608.45</v>
      </c>
      <c r="O502" s="6">
        <f t="shared" si="150"/>
        <v>-8.2552846826908777</v>
      </c>
      <c r="P502" s="6">
        <f t="shared" si="139"/>
        <v>-3.3369507914396337</v>
      </c>
      <c r="Q502" s="6">
        <f t="shared" si="140"/>
        <v>-4.918333891251244</v>
      </c>
      <c r="R502" s="6">
        <v>0.51</v>
      </c>
      <c r="S502" s="6">
        <f t="shared" si="151"/>
        <v>-14.999999999999991</v>
      </c>
      <c r="T502" s="6" t="str">
        <f t="shared" si="141"/>
        <v/>
      </c>
      <c r="U502" s="6" t="str">
        <f t="shared" si="142"/>
        <v/>
      </c>
      <c r="V502" s="6">
        <v>26.97</v>
      </c>
      <c r="W502" s="6">
        <f t="shared" si="152"/>
        <v>-8.9466576637407194</v>
      </c>
      <c r="X502" s="6">
        <f t="shared" si="143"/>
        <v>17.211929819866842</v>
      </c>
      <c r="Y502" s="6">
        <f t="shared" si="144"/>
        <v>-26.158587483607562</v>
      </c>
      <c r="Z502" s="6"/>
      <c r="AA502" s="6" t="str">
        <f t="shared" si="153"/>
        <v/>
      </c>
      <c r="AB502" s="6" t="str">
        <f t="shared" si="145"/>
        <v/>
      </c>
      <c r="AC502" s="6" t="str">
        <f t="shared" si="146"/>
        <v/>
      </c>
    </row>
    <row r="503" spans="1:29" x14ac:dyDescent="0.2">
      <c r="A503" t="s">
        <v>587</v>
      </c>
      <c r="B503" s="6">
        <v>330</v>
      </c>
      <c r="C503" s="6">
        <f t="shared" si="147"/>
        <v>5.7692307692307709</v>
      </c>
      <c r="D503" s="6">
        <f t="shared" si="133"/>
        <v>-12.914516576160601</v>
      </c>
      <c r="E503" s="6">
        <f t="shared" si="134"/>
        <v>18.683747345391371</v>
      </c>
      <c r="F503" s="6">
        <v>34</v>
      </c>
      <c r="G503" s="6">
        <f t="shared" si="148"/>
        <v>32.8125</v>
      </c>
      <c r="H503" s="6">
        <f t="shared" si="135"/>
        <v>-3.3533237715004769</v>
      </c>
      <c r="I503" s="6">
        <f t="shared" si="136"/>
        <v>36.165823771500477</v>
      </c>
      <c r="J503" s="6">
        <v>5937.05</v>
      </c>
      <c r="K503" s="6">
        <f t="shared" si="149"/>
        <v>-27.281334474873255</v>
      </c>
      <c r="L503" s="6">
        <f t="shared" si="137"/>
        <v>8.8833923597898394</v>
      </c>
      <c r="M503" s="6">
        <f t="shared" si="138"/>
        <v>-36.164726834663092</v>
      </c>
      <c r="N503" s="6">
        <v>1525.21</v>
      </c>
      <c r="O503" s="6">
        <f t="shared" si="150"/>
        <v>-15.235972790325448</v>
      </c>
      <c r="P503" s="6">
        <f t="shared" si="139"/>
        <v>-3.9299544160347413</v>
      </c>
      <c r="Q503" s="6">
        <f t="shared" si="140"/>
        <v>-11.306018374290707</v>
      </c>
      <c r="R503" s="6">
        <v>0.5</v>
      </c>
      <c r="S503" s="6">
        <f t="shared" si="151"/>
        <v>-13.793103448275856</v>
      </c>
      <c r="T503" s="6" t="str">
        <f t="shared" si="141"/>
        <v/>
      </c>
      <c r="U503" s="6" t="str">
        <f t="shared" si="142"/>
        <v/>
      </c>
      <c r="V503" s="6">
        <v>24.8</v>
      </c>
      <c r="W503" s="6">
        <f t="shared" si="152"/>
        <v>-11.994322214336407</v>
      </c>
      <c r="X503" s="6">
        <f t="shared" si="143"/>
        <v>17.091946665090326</v>
      </c>
      <c r="Y503" s="6">
        <f t="shared" si="144"/>
        <v>-29.086268879426733</v>
      </c>
      <c r="Z503" s="6"/>
      <c r="AA503" s="6" t="str">
        <f t="shared" si="153"/>
        <v/>
      </c>
      <c r="AB503" s="6" t="str">
        <f t="shared" si="145"/>
        <v/>
      </c>
      <c r="AC503" s="6" t="str">
        <f t="shared" si="146"/>
        <v/>
      </c>
    </row>
    <row r="504" spans="1:29" x14ac:dyDescent="0.2">
      <c r="A504" t="s">
        <v>588</v>
      </c>
      <c r="B504" s="6">
        <v>362</v>
      </c>
      <c r="C504" s="6">
        <f t="shared" si="147"/>
        <v>18.300653594771244</v>
      </c>
      <c r="D504" s="6">
        <f t="shared" si="133"/>
        <v>-12.890612783874458</v>
      </c>
      <c r="E504" s="6">
        <f t="shared" si="134"/>
        <v>31.1912663786457</v>
      </c>
      <c r="F504" s="6">
        <v>33.799999999999997</v>
      </c>
      <c r="G504" s="6">
        <f t="shared" si="148"/>
        <v>32.031249999999979</v>
      </c>
      <c r="H504" s="6">
        <f t="shared" si="135"/>
        <v>-2.485268215944922</v>
      </c>
      <c r="I504" s="6">
        <f t="shared" si="136"/>
        <v>34.516518215944899</v>
      </c>
      <c r="J504" s="6">
        <v>5520.8</v>
      </c>
      <c r="K504" s="6">
        <f t="shared" si="149"/>
        <v>-31.04783362954322</v>
      </c>
      <c r="L504" s="6">
        <f t="shared" si="137"/>
        <v>8.4215021343198799</v>
      </c>
      <c r="M504" s="6">
        <f t="shared" si="138"/>
        <v>-39.4693357638631</v>
      </c>
      <c r="N504" s="6">
        <v>1464.43</v>
      </c>
      <c r="O504" s="6">
        <f t="shared" si="150"/>
        <v>-21.091569407175104</v>
      </c>
      <c r="P504" s="6">
        <f t="shared" si="139"/>
        <v>-4.7351502633783946</v>
      </c>
      <c r="Q504" s="6">
        <f t="shared" si="140"/>
        <v>-16.35641914379671</v>
      </c>
      <c r="R504" s="6">
        <v>0.53</v>
      </c>
      <c r="S504" s="6">
        <f t="shared" si="151"/>
        <v>-13.114754098360649</v>
      </c>
      <c r="T504" s="6" t="str">
        <f t="shared" si="141"/>
        <v/>
      </c>
      <c r="U504" s="6" t="str">
        <f t="shared" si="142"/>
        <v/>
      </c>
      <c r="V504" s="6">
        <v>25.82</v>
      </c>
      <c r="W504" s="6">
        <f t="shared" si="152"/>
        <v>-11.756664388243344</v>
      </c>
      <c r="X504" s="6">
        <f t="shared" si="143"/>
        <v>16.976061889504511</v>
      </c>
      <c r="Y504" s="6">
        <f t="shared" si="144"/>
        <v>-28.732726277747854</v>
      </c>
      <c r="Z504" s="6"/>
      <c r="AA504" s="6" t="str">
        <f t="shared" si="153"/>
        <v/>
      </c>
      <c r="AB504" s="6" t="str">
        <f t="shared" si="145"/>
        <v/>
      </c>
      <c r="AC504" s="6" t="str">
        <f t="shared" si="146"/>
        <v/>
      </c>
    </row>
    <row r="505" spans="1:29" x14ac:dyDescent="0.2">
      <c r="A505" t="s">
        <v>589</v>
      </c>
      <c r="B505" s="6">
        <v>310</v>
      </c>
      <c r="C505" s="6">
        <f t="shared" si="147"/>
        <v>7.638888888888884</v>
      </c>
      <c r="D505" s="6">
        <f t="shared" si="133"/>
        <v>-12.472799459714382</v>
      </c>
      <c r="E505" s="6">
        <f t="shared" si="134"/>
        <v>20.111688348603266</v>
      </c>
      <c r="F505" s="6">
        <v>32.799999999999997</v>
      </c>
      <c r="G505" s="6">
        <f t="shared" si="148"/>
        <v>20.81031307550645</v>
      </c>
      <c r="H505" s="6">
        <f t="shared" si="135"/>
        <v>-1.7408101338610453</v>
      </c>
      <c r="I505" s="6">
        <f t="shared" si="136"/>
        <v>22.551123209367496</v>
      </c>
      <c r="J505" s="6">
        <v>5027</v>
      </c>
      <c r="K505" s="6">
        <f t="shared" si="149"/>
        <v>-41.803523508968532</v>
      </c>
      <c r="L505" s="6">
        <f t="shared" si="137"/>
        <v>7.8612203970830734</v>
      </c>
      <c r="M505" s="6">
        <f t="shared" si="138"/>
        <v>-49.664743906051605</v>
      </c>
      <c r="N505" s="6">
        <v>1426.33</v>
      </c>
      <c r="O505" s="6">
        <f t="shared" si="150"/>
        <v>-27.243280742293706</v>
      </c>
      <c r="P505" s="6">
        <f t="shared" si="139"/>
        <v>-5.4262191743881516</v>
      </c>
      <c r="Q505" s="6">
        <f t="shared" si="140"/>
        <v>-21.817061567905554</v>
      </c>
      <c r="R505" s="6">
        <v>0.49</v>
      </c>
      <c r="S505" s="6">
        <f t="shared" si="151"/>
        <v>-18.333333333333336</v>
      </c>
      <c r="T505" s="6" t="str">
        <f t="shared" si="141"/>
        <v/>
      </c>
      <c r="U505" s="6" t="str">
        <f t="shared" si="142"/>
        <v/>
      </c>
      <c r="V505" s="6">
        <v>25.21</v>
      </c>
      <c r="W505" s="6">
        <f t="shared" si="152"/>
        <v>-21.415211970074811</v>
      </c>
      <c r="X505" s="6">
        <f t="shared" si="143"/>
        <v>16.908479718011019</v>
      </c>
      <c r="Y505" s="6">
        <f t="shared" si="144"/>
        <v>-38.32369168808583</v>
      </c>
      <c r="Z505" s="6"/>
      <c r="AA505" s="6" t="str">
        <f t="shared" si="153"/>
        <v/>
      </c>
      <c r="AB505" s="6" t="str">
        <f t="shared" si="145"/>
        <v/>
      </c>
      <c r="AC505" s="6" t="str">
        <f t="shared" si="146"/>
        <v/>
      </c>
    </row>
    <row r="506" spans="1:29" x14ac:dyDescent="0.2">
      <c r="A506" t="s">
        <v>590</v>
      </c>
      <c r="B506" s="6">
        <v>277</v>
      </c>
      <c r="C506" s="6">
        <f t="shared" si="147"/>
        <v>8.6274509803921475</v>
      </c>
      <c r="D506" s="6">
        <f t="shared" si="133"/>
        <v>-12.237203341807485</v>
      </c>
      <c r="E506" s="6">
        <f t="shared" si="134"/>
        <v>20.864654322199634</v>
      </c>
      <c r="F506" s="6">
        <v>32.4</v>
      </c>
      <c r="G506" s="6">
        <f t="shared" si="148"/>
        <v>19.33701657458564</v>
      </c>
      <c r="H506" s="6">
        <f t="shared" si="135"/>
        <v>-1.255315313116953</v>
      </c>
      <c r="I506" s="6">
        <f t="shared" si="136"/>
        <v>20.592331887702592</v>
      </c>
      <c r="J506" s="6">
        <v>4825.33</v>
      </c>
      <c r="K506" s="6">
        <f t="shared" si="149"/>
        <v>-37.154389058708759</v>
      </c>
      <c r="L506" s="6">
        <f t="shared" si="137"/>
        <v>7.2221063935381649</v>
      </c>
      <c r="M506" s="6">
        <f t="shared" si="138"/>
        <v>-44.376495452246921</v>
      </c>
      <c r="N506" s="6">
        <v>1377.28</v>
      </c>
      <c r="O506" s="6">
        <f t="shared" si="150"/>
        <v>-27.457744958100484</v>
      </c>
      <c r="P506" s="6">
        <f t="shared" si="139"/>
        <v>-6.1717580263322107</v>
      </c>
      <c r="Q506" s="6">
        <f t="shared" si="140"/>
        <v>-21.285986931768274</v>
      </c>
      <c r="R506" s="6">
        <v>0.48</v>
      </c>
      <c r="S506" s="6">
        <f t="shared" si="151"/>
        <v>-21.311475409836067</v>
      </c>
      <c r="T506" s="6" t="str">
        <f t="shared" si="141"/>
        <v/>
      </c>
      <c r="U506" s="6" t="str">
        <f t="shared" si="142"/>
        <v/>
      </c>
      <c r="V506" s="6">
        <v>20.73</v>
      </c>
      <c r="W506" s="6">
        <f t="shared" si="152"/>
        <v>-33.980891719745223</v>
      </c>
      <c r="X506" s="6">
        <f t="shared" si="143"/>
        <v>16.799256692354138</v>
      </c>
      <c r="Y506" s="6">
        <f t="shared" si="144"/>
        <v>-50.780148412099365</v>
      </c>
      <c r="Z506" s="6"/>
      <c r="AA506" s="6" t="str">
        <f t="shared" si="153"/>
        <v/>
      </c>
      <c r="AB506" s="6" t="str">
        <f t="shared" si="145"/>
        <v/>
      </c>
      <c r="AC506" s="6" t="str">
        <f t="shared" si="146"/>
        <v/>
      </c>
    </row>
    <row r="507" spans="1:29" x14ac:dyDescent="0.2">
      <c r="A507" t="s">
        <v>591</v>
      </c>
      <c r="B507" s="6">
        <v>323</v>
      </c>
      <c r="C507" s="6">
        <f t="shared" si="147"/>
        <v>25.680933852140075</v>
      </c>
      <c r="D507" s="6">
        <f t="shared" si="133"/>
        <v>-12.116205381219741</v>
      </c>
      <c r="E507" s="6">
        <f t="shared" si="134"/>
        <v>37.797139233359815</v>
      </c>
      <c r="F507" s="6">
        <v>29.4</v>
      </c>
      <c r="G507" s="6">
        <f t="shared" si="148"/>
        <v>8.287292817679548</v>
      </c>
      <c r="H507" s="6">
        <f t="shared" si="135"/>
        <v>-0.82752729050812146</v>
      </c>
      <c r="I507" s="6">
        <f t="shared" si="136"/>
        <v>9.1148201081876685</v>
      </c>
      <c r="J507" s="6">
        <v>5078.41</v>
      </c>
      <c r="K507" s="6">
        <f t="shared" si="149"/>
        <v>-30.809684772138645</v>
      </c>
      <c r="L507" s="6">
        <f t="shared" si="137"/>
        <v>6.6409594472388003</v>
      </c>
      <c r="M507" s="6">
        <f t="shared" si="138"/>
        <v>-37.450644219377445</v>
      </c>
      <c r="N507" s="6">
        <v>1427.73</v>
      </c>
      <c r="O507" s="6">
        <f t="shared" si="150"/>
        <v>-20.465598208466329</v>
      </c>
      <c r="P507" s="6">
        <f t="shared" si="139"/>
        <v>-6.8405584711291718</v>
      </c>
      <c r="Q507" s="6">
        <f t="shared" si="140"/>
        <v>-13.625039737337158</v>
      </c>
      <c r="R507" s="6">
        <v>0.47</v>
      </c>
      <c r="S507" s="6">
        <f t="shared" si="151"/>
        <v>-21.666666666666668</v>
      </c>
      <c r="T507" s="6" t="str">
        <f t="shared" si="141"/>
        <v/>
      </c>
      <c r="U507" s="6" t="str">
        <f t="shared" si="142"/>
        <v/>
      </c>
      <c r="V507" s="6">
        <v>18.690000000000001</v>
      </c>
      <c r="W507" s="6">
        <f t="shared" si="152"/>
        <v>-42.189916486235688</v>
      </c>
      <c r="X507" s="6">
        <f t="shared" si="143"/>
        <v>16.406336272419804</v>
      </c>
      <c r="Y507" s="6">
        <f t="shared" si="144"/>
        <v>-58.596252758655496</v>
      </c>
      <c r="Z507" s="6"/>
      <c r="AA507" s="6" t="str">
        <f t="shared" si="153"/>
        <v/>
      </c>
      <c r="AB507" s="6" t="str">
        <f t="shared" si="145"/>
        <v/>
      </c>
      <c r="AC507" s="6" t="str">
        <f t="shared" si="146"/>
        <v/>
      </c>
    </row>
    <row r="508" spans="1:29" x14ac:dyDescent="0.2">
      <c r="A508" t="s">
        <v>592</v>
      </c>
      <c r="B508" s="6">
        <v>359.5</v>
      </c>
      <c r="C508" s="6">
        <f t="shared" si="147"/>
        <v>35.660377358490571</v>
      </c>
      <c r="D508" s="6">
        <f t="shared" si="133"/>
        <v>-11.603913198694094</v>
      </c>
      <c r="E508" s="6">
        <f t="shared" si="134"/>
        <v>47.264290557184665</v>
      </c>
      <c r="F508" s="6">
        <v>27.35</v>
      </c>
      <c r="G508" s="6">
        <f t="shared" si="148"/>
        <v>-11.056910569105682</v>
      </c>
      <c r="H508" s="6">
        <f t="shared" si="135"/>
        <v>-0.53232633719862121</v>
      </c>
      <c r="I508" s="6">
        <f t="shared" si="136"/>
        <v>-10.524584231907061</v>
      </c>
      <c r="J508" s="6">
        <v>5263.82</v>
      </c>
      <c r="K508" s="6">
        <f t="shared" si="149"/>
        <v>-28.034245058337458</v>
      </c>
      <c r="L508" s="6">
        <f t="shared" si="137"/>
        <v>6.2402919857707895</v>
      </c>
      <c r="M508" s="6">
        <f t="shared" si="138"/>
        <v>-34.27453704410825</v>
      </c>
      <c r="N508" s="6">
        <v>1471.74</v>
      </c>
      <c r="O508" s="6">
        <f t="shared" si="150"/>
        <v>-20.470130501742723</v>
      </c>
      <c r="P508" s="6">
        <f t="shared" si="139"/>
        <v>-6.9742408890022043</v>
      </c>
      <c r="Q508" s="6">
        <f t="shared" si="140"/>
        <v>-13.49588961274052</v>
      </c>
      <c r="R508" s="6">
        <v>0.48</v>
      </c>
      <c r="S508" s="6">
        <f t="shared" si="151"/>
        <v>-19.999999999999996</v>
      </c>
      <c r="T508" s="6" t="str">
        <f t="shared" si="141"/>
        <v/>
      </c>
      <c r="U508" s="6" t="str">
        <f t="shared" si="142"/>
        <v/>
      </c>
      <c r="V508" s="6">
        <v>18.52</v>
      </c>
      <c r="W508" s="6">
        <f t="shared" si="152"/>
        <v>-26.507936507936503</v>
      </c>
      <c r="X508" s="6">
        <f t="shared" si="143"/>
        <v>15.834436400707341</v>
      </c>
      <c r="Y508" s="6">
        <f t="shared" si="144"/>
        <v>-42.342372908643846</v>
      </c>
      <c r="Z508" s="6"/>
      <c r="AA508" s="6" t="str">
        <f t="shared" si="153"/>
        <v/>
      </c>
      <c r="AB508" s="6" t="str">
        <f t="shared" si="145"/>
        <v/>
      </c>
      <c r="AC508" s="6" t="str">
        <f t="shared" si="146"/>
        <v/>
      </c>
    </row>
    <row r="509" spans="1:29" x14ac:dyDescent="0.2">
      <c r="A509" t="s">
        <v>593</v>
      </c>
      <c r="B509" s="6">
        <v>373.8</v>
      </c>
      <c r="C509" s="6">
        <f t="shared" si="147"/>
        <v>47.165354330708674</v>
      </c>
      <c r="D509" s="6">
        <f t="shared" si="133"/>
        <v>-10.879556703666124</v>
      </c>
      <c r="E509" s="6">
        <f t="shared" si="134"/>
        <v>58.044911034374799</v>
      </c>
      <c r="F509" s="6">
        <v>27.35</v>
      </c>
      <c r="G509" s="6">
        <f t="shared" si="148"/>
        <v>-14.79750778816199</v>
      </c>
      <c r="H509" s="6">
        <f t="shared" si="135"/>
        <v>-0.52988750446517197</v>
      </c>
      <c r="I509" s="6">
        <f t="shared" si="136"/>
        <v>-14.267620283696818</v>
      </c>
      <c r="J509" s="6">
        <v>6043.18</v>
      </c>
      <c r="K509" s="6">
        <f t="shared" si="149"/>
        <v>-13.604307218107248</v>
      </c>
      <c r="L509" s="6">
        <f t="shared" si="137"/>
        <v>5.8573969314847636</v>
      </c>
      <c r="M509" s="6">
        <f t="shared" si="138"/>
        <v>-19.461704149592013</v>
      </c>
      <c r="N509" s="6">
        <v>1503.96</v>
      </c>
      <c r="O509" s="6">
        <f t="shared" si="150"/>
        <v>-15.862377622377622</v>
      </c>
      <c r="P509" s="6">
        <f t="shared" si="139"/>
        <v>-6.9361478542583619</v>
      </c>
      <c r="Q509" s="6">
        <f t="shared" si="140"/>
        <v>-8.9262297681192599</v>
      </c>
      <c r="R509" s="6">
        <v>0.54</v>
      </c>
      <c r="S509" s="6">
        <f t="shared" si="151"/>
        <v>-9.9999999999999858</v>
      </c>
      <c r="T509" s="6" t="str">
        <f t="shared" si="141"/>
        <v/>
      </c>
      <c r="U509" s="6" t="str">
        <f t="shared" si="142"/>
        <v/>
      </c>
      <c r="V509" s="6">
        <v>19.149999999999999</v>
      </c>
      <c r="W509" s="6">
        <f t="shared" si="152"/>
        <v>-26.232665639445308</v>
      </c>
      <c r="X509" s="6">
        <f t="shared" si="143"/>
        <v>15.858147362182907</v>
      </c>
      <c r="Y509" s="6">
        <f t="shared" si="144"/>
        <v>-42.090813001628213</v>
      </c>
      <c r="Z509" s="6"/>
      <c r="AA509" s="6" t="str">
        <f t="shared" si="153"/>
        <v/>
      </c>
      <c r="AB509" s="6" t="str">
        <f t="shared" si="145"/>
        <v/>
      </c>
      <c r="AC509" s="6" t="str">
        <f t="shared" si="146"/>
        <v/>
      </c>
    </row>
    <row r="510" spans="1:29" x14ac:dyDescent="0.2">
      <c r="A510" t="s">
        <v>594</v>
      </c>
      <c r="B510" s="6">
        <v>352.98</v>
      </c>
      <c r="C510" s="6">
        <f t="shared" si="147"/>
        <v>47.075000000000003</v>
      </c>
      <c r="D510" s="6">
        <f t="shared" si="133"/>
        <v>-10.09535785352239</v>
      </c>
      <c r="E510" s="6">
        <f t="shared" si="134"/>
        <v>57.17035785352239</v>
      </c>
      <c r="F510" s="6">
        <v>28.1</v>
      </c>
      <c r="G510" s="6">
        <f t="shared" si="148"/>
        <v>-12.461059190031154</v>
      </c>
      <c r="H510" s="6">
        <f t="shared" si="135"/>
        <v>-0.61168107491705259</v>
      </c>
      <c r="I510" s="6">
        <f t="shared" si="136"/>
        <v>-11.849378115114101</v>
      </c>
      <c r="J510" s="6">
        <v>6029.25</v>
      </c>
      <c r="K510" s="6">
        <f t="shared" si="149"/>
        <v>-7.5853791999852866</v>
      </c>
      <c r="L510" s="6">
        <f t="shared" si="137"/>
        <v>6.0393951652872113</v>
      </c>
      <c r="M510" s="6">
        <f t="shared" si="138"/>
        <v>-13.624774365272497</v>
      </c>
      <c r="N510" s="6">
        <v>1561.9</v>
      </c>
      <c r="O510" s="6">
        <f t="shared" si="150"/>
        <v>-11.539659615439069</v>
      </c>
      <c r="P510" s="6">
        <f t="shared" si="139"/>
        <v>-6.6279235516437049</v>
      </c>
      <c r="Q510" s="6">
        <f t="shared" si="140"/>
        <v>-4.911736063795364</v>
      </c>
      <c r="R510" s="6">
        <v>0.57999999999999996</v>
      </c>
      <c r="S510" s="6">
        <f t="shared" si="151"/>
        <v>1.7543859649122862</v>
      </c>
      <c r="T510" s="6" t="str">
        <f t="shared" si="141"/>
        <v/>
      </c>
      <c r="U510" s="6" t="str">
        <f t="shared" si="142"/>
        <v/>
      </c>
      <c r="V510" s="6">
        <v>19.98</v>
      </c>
      <c r="W510" s="6">
        <f t="shared" si="152"/>
        <v>-26.651982378854623</v>
      </c>
      <c r="X510" s="6">
        <f t="shared" si="143"/>
        <v>16.049723608053629</v>
      </c>
      <c r="Y510" s="6">
        <f t="shared" si="144"/>
        <v>-42.701705986908252</v>
      </c>
      <c r="Z510" s="6"/>
      <c r="AA510" s="6" t="str">
        <f t="shared" si="153"/>
        <v/>
      </c>
      <c r="AB510" s="6" t="str">
        <f t="shared" si="145"/>
        <v/>
      </c>
      <c r="AC510" s="6" t="str">
        <f t="shared" si="146"/>
        <v/>
      </c>
    </row>
    <row r="511" spans="1:29" x14ac:dyDescent="0.2">
      <c r="A511" t="s">
        <v>595</v>
      </c>
      <c r="B511" s="6">
        <v>359</v>
      </c>
      <c r="C511" s="6">
        <f t="shared" si="147"/>
        <v>41.338582677165348</v>
      </c>
      <c r="D511" s="6">
        <f t="shared" si="133"/>
        <v>-9.398393054671816</v>
      </c>
      <c r="E511" s="6">
        <f t="shared" si="134"/>
        <v>50.736975731837163</v>
      </c>
      <c r="F511" s="6">
        <v>27.8</v>
      </c>
      <c r="G511" s="6">
        <f t="shared" si="148"/>
        <v>-14.723926380368102</v>
      </c>
      <c r="H511" s="6">
        <f t="shared" si="135"/>
        <v>-0.80144061729125582</v>
      </c>
      <c r="I511" s="6">
        <f t="shared" si="136"/>
        <v>-13.922485763076846</v>
      </c>
      <c r="J511" s="6">
        <v>6537.5</v>
      </c>
      <c r="K511" s="6">
        <f t="shared" si="149"/>
        <v>6.5864299782180558</v>
      </c>
      <c r="L511" s="6">
        <f t="shared" si="137"/>
        <v>6.5137173957490049</v>
      </c>
      <c r="M511" s="6">
        <f t="shared" si="138"/>
        <v>7.2712582469050879E-2</v>
      </c>
      <c r="N511" s="6">
        <v>1604.88</v>
      </c>
      <c r="O511" s="6">
        <f t="shared" si="150"/>
        <v>-7.7002708811401144</v>
      </c>
      <c r="P511" s="6">
        <f t="shared" si="139"/>
        <v>-6.2266247217585979</v>
      </c>
      <c r="Q511" s="6">
        <f t="shared" si="140"/>
        <v>-1.4736461593815164</v>
      </c>
      <c r="R511" s="6">
        <v>0.68</v>
      </c>
      <c r="S511" s="6">
        <f t="shared" si="151"/>
        <v>30.76923076923077</v>
      </c>
      <c r="T511" s="6" t="str">
        <f t="shared" si="141"/>
        <v/>
      </c>
      <c r="U511" s="6" t="str">
        <f t="shared" si="142"/>
        <v/>
      </c>
      <c r="V511" s="6">
        <v>23.64</v>
      </c>
      <c r="W511" s="6">
        <f t="shared" si="152"/>
        <v>-5.5155875299760186</v>
      </c>
      <c r="X511" s="6">
        <f t="shared" si="143"/>
        <v>16.139266662069083</v>
      </c>
      <c r="Y511" s="6">
        <f t="shared" si="144"/>
        <v>-21.6548541920451</v>
      </c>
      <c r="Z511" s="6"/>
      <c r="AA511" s="6" t="str">
        <f t="shared" si="153"/>
        <v/>
      </c>
      <c r="AB511" s="6" t="str">
        <f t="shared" si="145"/>
        <v/>
      </c>
      <c r="AC511" s="6" t="str">
        <f t="shared" si="146"/>
        <v/>
      </c>
    </row>
    <row r="512" spans="1:29" x14ac:dyDescent="0.2">
      <c r="A512" t="s">
        <v>596</v>
      </c>
      <c r="B512" s="6">
        <v>360.07</v>
      </c>
      <c r="C512" s="6">
        <f t="shared" si="147"/>
        <v>43.454183266932269</v>
      </c>
      <c r="D512" s="6">
        <f t="shared" si="133"/>
        <v>-8.954584627549897</v>
      </c>
      <c r="E512" s="6">
        <f t="shared" si="134"/>
        <v>52.408767894482168</v>
      </c>
      <c r="F512" s="6">
        <v>27.09</v>
      </c>
      <c r="G512" s="6">
        <f t="shared" si="148"/>
        <v>-19.134328358208951</v>
      </c>
      <c r="H512" s="6">
        <f t="shared" si="135"/>
        <v>-0.94997652316245074</v>
      </c>
      <c r="I512" s="6">
        <f t="shared" si="136"/>
        <v>-18.184351835046499</v>
      </c>
      <c r="J512" s="6">
        <v>6958.21</v>
      </c>
      <c r="K512" s="6">
        <f t="shared" si="149"/>
        <v>9.9265861700161384</v>
      </c>
      <c r="L512" s="6">
        <f t="shared" si="137"/>
        <v>7.310580700215227</v>
      </c>
      <c r="M512" s="6">
        <f t="shared" si="138"/>
        <v>2.6160054698009114</v>
      </c>
      <c r="N512" s="6">
        <v>1590.33</v>
      </c>
      <c r="O512" s="6">
        <f t="shared" si="150"/>
        <v>-4.4364724545716827</v>
      </c>
      <c r="P512" s="6">
        <f t="shared" si="139"/>
        <v>-5.8077156973834718</v>
      </c>
      <c r="Q512" s="6">
        <f t="shared" si="140"/>
        <v>1.3712432428117891</v>
      </c>
      <c r="R512" s="6">
        <v>0.64</v>
      </c>
      <c r="S512" s="6">
        <f t="shared" si="151"/>
        <v>25.490196078431371</v>
      </c>
      <c r="T512" s="6" t="str">
        <f t="shared" si="141"/>
        <v/>
      </c>
      <c r="U512" s="6" t="str">
        <f t="shared" si="142"/>
        <v/>
      </c>
      <c r="V512" s="6">
        <v>25.43</v>
      </c>
      <c r="W512" s="6">
        <f t="shared" si="152"/>
        <v>-1.1275272161741845</v>
      </c>
      <c r="X512" s="6">
        <f t="shared" si="143"/>
        <v>16.693655018946952</v>
      </c>
      <c r="Y512" s="6">
        <f t="shared" si="144"/>
        <v>-17.821182235121135</v>
      </c>
      <c r="Z512" s="6"/>
      <c r="AA512" s="6" t="str">
        <f t="shared" si="153"/>
        <v/>
      </c>
      <c r="AB512" s="6" t="str">
        <f t="shared" si="145"/>
        <v/>
      </c>
      <c r="AC512" s="6" t="str">
        <f t="shared" si="146"/>
        <v/>
      </c>
    </row>
    <row r="513" spans="1:29" x14ac:dyDescent="0.2">
      <c r="A513" t="s">
        <v>597</v>
      </c>
      <c r="B513" s="6">
        <v>384.91</v>
      </c>
      <c r="C513" s="6">
        <f t="shared" si="147"/>
        <v>64.491452991453002</v>
      </c>
      <c r="D513" s="6">
        <f t="shared" ref="D513:D576" si="154">IF(COUNT(C465:C512)&lt;48,"",AVERAGE(C465:C512))</f>
        <v>-8.516370993355947</v>
      </c>
      <c r="E513" s="6">
        <f t="shared" ref="E513:E576" si="155">IF(OR(C513="",D513=""),"",C513-D513)</f>
        <v>73.007823984808951</v>
      </c>
      <c r="F513" s="6">
        <v>26.88</v>
      </c>
      <c r="G513" s="6">
        <f t="shared" si="148"/>
        <v>-20.473372781065081</v>
      </c>
      <c r="H513" s="6">
        <f t="shared" ref="H513:H576" si="156">IF(COUNT(G465:G512)&lt;48,"",AVERAGE(G465:G512))</f>
        <v>-1.1002561982334242</v>
      </c>
      <c r="I513" s="6">
        <f t="shared" ref="I513:I576" si="157">IF(OR(G513="",H513=""),"",G513-H513)</f>
        <v>-19.373116582831656</v>
      </c>
      <c r="J513" s="6">
        <v>6761.36</v>
      </c>
      <c r="K513" s="6">
        <f t="shared" si="149"/>
        <v>-4.2412860810981172</v>
      </c>
      <c r="L513" s="6">
        <f t="shared" ref="L513:L576" si="158">IF(COUNT(K465:K512)&lt;48,"",AVERAGE(K465:K512))</f>
        <v>8.0646343527536999</v>
      </c>
      <c r="M513" s="6">
        <f t="shared" ref="M513:M576" si="159">IF(OR(K513="",L513=""),"",K513-L513)</f>
        <v>-12.305920433851817</v>
      </c>
      <c r="N513" s="6">
        <v>1595.68</v>
      </c>
      <c r="O513" s="6">
        <f t="shared" si="150"/>
        <v>-5.1438286539730482</v>
      </c>
      <c r="P513" s="6">
        <f t="shared" ref="P513:P576" si="160">IF(COUNT(O465:O512)&lt;48,"",AVERAGE(O465:O512))</f>
        <v>-5.3858563730812667</v>
      </c>
      <c r="Q513" s="6">
        <f t="shared" ref="Q513:Q576" si="161">IF(OR(O513="",P513=""),"",O513-P513)</f>
        <v>0.24202771910821852</v>
      </c>
      <c r="R513" s="6">
        <v>0.68</v>
      </c>
      <c r="S513" s="6">
        <f t="shared" si="151"/>
        <v>33.33333333333335</v>
      </c>
      <c r="T513" s="6" t="str">
        <f t="shared" ref="T513:T576" si="162">IF(COUNT(S465:S512)&lt;48,"",AVERAGE(S465:S512))</f>
        <v/>
      </c>
      <c r="U513" s="6" t="str">
        <f t="shared" ref="U513:U576" si="163">IF(OR(S513="",T513=""),"",S513-T513)</f>
        <v/>
      </c>
      <c r="V513" s="6">
        <v>25.67</v>
      </c>
      <c r="W513" s="6">
        <f t="shared" si="152"/>
        <v>-6.8239564428312143</v>
      </c>
      <c r="X513" s="6">
        <f t="shared" ref="X513:X576" si="164">IF(COUNT(W465:W512)&lt;48,"",AVERAGE(W465:W512))</f>
        <v>17.180511624762108</v>
      </c>
      <c r="Y513" s="6">
        <f t="shared" ref="Y513:Y576" si="165">IF(OR(W513="",X513=""),"",W513-X513)</f>
        <v>-24.004468067593322</v>
      </c>
      <c r="Z513" s="6"/>
      <c r="AA513" s="6" t="str">
        <f t="shared" si="153"/>
        <v/>
      </c>
      <c r="AB513" s="6" t="str">
        <f t="shared" ref="AB513:AB576" si="166">IF(COUNT(AA465:AA512)&lt;48,"",AVERAGE(AA465:AA512))</f>
        <v/>
      </c>
      <c r="AC513" s="6" t="str">
        <f t="shared" ref="AC513:AC576" si="167">IF(OR(AA513="",AB513=""),"",AA513-AB513)</f>
        <v/>
      </c>
    </row>
    <row r="514" spans="1:29" x14ac:dyDescent="0.2">
      <c r="A514" t="s">
        <v>598</v>
      </c>
      <c r="B514" s="6">
        <v>426.13</v>
      </c>
      <c r="C514" s="6">
        <f t="shared" si="147"/>
        <v>67.109803921568627</v>
      </c>
      <c r="D514" s="6">
        <f t="shared" si="154"/>
        <v>-7.7454331729719241</v>
      </c>
      <c r="E514" s="6">
        <f t="shared" si="155"/>
        <v>74.855237094540556</v>
      </c>
      <c r="F514" s="6">
        <v>24.9</v>
      </c>
      <c r="G514" s="6">
        <f t="shared" si="148"/>
        <v>-26.548672566371678</v>
      </c>
      <c r="H514" s="6">
        <f t="shared" si="156"/>
        <v>-1.2090079529840163</v>
      </c>
      <c r="I514" s="6">
        <f t="shared" si="157"/>
        <v>-25.339664613387662</v>
      </c>
      <c r="J514" s="6">
        <v>7119.86</v>
      </c>
      <c r="K514" s="6">
        <f t="shared" si="149"/>
        <v>7.2075938197823097</v>
      </c>
      <c r="L514" s="6">
        <f t="shared" si="158"/>
        <v>8.6619671772792675</v>
      </c>
      <c r="M514" s="6">
        <f t="shared" si="159"/>
        <v>-1.4543733574969577</v>
      </c>
      <c r="N514" s="6">
        <v>1647.53</v>
      </c>
      <c r="O514" s="6">
        <f t="shared" si="150"/>
        <v>2.4296683142155384</v>
      </c>
      <c r="P514" s="6">
        <f t="shared" si="160"/>
        <v>-4.845232584467138</v>
      </c>
      <c r="Q514" s="6">
        <f t="shared" si="161"/>
        <v>7.2749008986826764</v>
      </c>
      <c r="R514" s="6">
        <v>0.83</v>
      </c>
      <c r="S514" s="6">
        <f t="shared" si="151"/>
        <v>62.745098039215684</v>
      </c>
      <c r="T514" s="6" t="str">
        <f t="shared" si="162"/>
        <v/>
      </c>
      <c r="U514" s="6" t="str">
        <f t="shared" si="163"/>
        <v/>
      </c>
      <c r="V514" s="6">
        <v>24.49</v>
      </c>
      <c r="W514" s="6">
        <f t="shared" si="152"/>
        <v>-9.1954022988505741</v>
      </c>
      <c r="X514" s="6">
        <f t="shared" si="164"/>
        <v>17.612687631153396</v>
      </c>
      <c r="Y514" s="6">
        <f t="shared" si="165"/>
        <v>-26.80808993000397</v>
      </c>
      <c r="Z514" s="6"/>
      <c r="AA514" s="6" t="str">
        <f t="shared" si="153"/>
        <v/>
      </c>
      <c r="AB514" s="6" t="str">
        <f t="shared" si="166"/>
        <v/>
      </c>
      <c r="AC514" s="6" t="str">
        <f t="shared" si="167"/>
        <v/>
      </c>
    </row>
    <row r="515" spans="1:29" x14ac:dyDescent="0.2">
      <c r="A515" t="s">
        <v>599</v>
      </c>
      <c r="B515" s="6">
        <v>422.22</v>
      </c>
      <c r="C515" s="6">
        <f t="shared" si="147"/>
        <v>27.945454545454563</v>
      </c>
      <c r="D515" s="6">
        <f t="shared" si="154"/>
        <v>-6.7381815512475614</v>
      </c>
      <c r="E515" s="6">
        <f t="shared" si="155"/>
        <v>34.683636096702124</v>
      </c>
      <c r="F515" s="6">
        <v>23.15</v>
      </c>
      <c r="G515" s="6">
        <f t="shared" si="148"/>
        <v>-31.911764705882362</v>
      </c>
      <c r="H515" s="6">
        <f t="shared" si="156"/>
        <v>-1.4903661676819773</v>
      </c>
      <c r="I515" s="6">
        <f t="shared" si="157"/>
        <v>-30.421398538200386</v>
      </c>
      <c r="J515" s="6">
        <v>7142.72</v>
      </c>
      <c r="K515" s="6">
        <f t="shared" si="149"/>
        <v>20.307560151927294</v>
      </c>
      <c r="L515" s="6">
        <f t="shared" si="158"/>
        <v>9.5751894896502332</v>
      </c>
      <c r="M515" s="6">
        <f t="shared" si="159"/>
        <v>10.732370662277061</v>
      </c>
      <c r="N515" s="6">
        <v>1589.46</v>
      </c>
      <c r="O515" s="6">
        <f t="shared" si="150"/>
        <v>4.2125346673572928</v>
      </c>
      <c r="P515" s="6">
        <f t="shared" si="160"/>
        <v>-4.0353989689212026</v>
      </c>
      <c r="Q515" s="6">
        <f t="shared" si="161"/>
        <v>8.2479336362784963</v>
      </c>
      <c r="R515" s="6">
        <v>0.81</v>
      </c>
      <c r="S515" s="6">
        <f t="shared" si="151"/>
        <v>62.000000000000014</v>
      </c>
      <c r="T515" s="6" t="str">
        <f t="shared" si="162"/>
        <v/>
      </c>
      <c r="U515" s="6" t="str">
        <f t="shared" si="163"/>
        <v/>
      </c>
      <c r="V515" s="6">
        <v>25.75</v>
      </c>
      <c r="W515" s="6">
        <f t="shared" si="152"/>
        <v>3.8306451612903247</v>
      </c>
      <c r="X515" s="6">
        <f t="shared" si="164"/>
        <v>18.053557226117825</v>
      </c>
      <c r="Y515" s="6">
        <f t="shared" si="165"/>
        <v>-14.222912064827501</v>
      </c>
      <c r="Z515" s="6"/>
      <c r="AA515" s="6" t="str">
        <f t="shared" si="153"/>
        <v/>
      </c>
      <c r="AB515" s="6" t="str">
        <f t="shared" si="166"/>
        <v/>
      </c>
      <c r="AC515" s="6" t="str">
        <f t="shared" si="167"/>
        <v/>
      </c>
    </row>
    <row r="516" spans="1:29" x14ac:dyDescent="0.2">
      <c r="A516" t="s">
        <v>600</v>
      </c>
      <c r="B516" s="6">
        <v>446.09</v>
      </c>
      <c r="C516" s="6">
        <f t="shared" si="147"/>
        <v>23.229281767955801</v>
      </c>
      <c r="D516" s="6">
        <f t="shared" si="154"/>
        <v>-6.8378788251918223</v>
      </c>
      <c r="E516" s="6">
        <f t="shared" si="155"/>
        <v>30.067160593147623</v>
      </c>
      <c r="F516" s="6">
        <v>22.25</v>
      </c>
      <c r="G516" s="6">
        <f t="shared" si="148"/>
        <v>-34.171597633136088</v>
      </c>
      <c r="H516" s="6">
        <f t="shared" si="156"/>
        <v>-1.8575755514354775</v>
      </c>
      <c r="I516" s="6">
        <f t="shared" si="157"/>
        <v>-32.314022081700614</v>
      </c>
      <c r="J516" s="6">
        <v>6717.14</v>
      </c>
      <c r="K516" s="6">
        <f t="shared" si="149"/>
        <v>21.669685552818429</v>
      </c>
      <c r="L516" s="6">
        <f t="shared" si="158"/>
        <v>10.763286335219014</v>
      </c>
      <c r="M516" s="6">
        <f t="shared" si="159"/>
        <v>10.906399217599414</v>
      </c>
      <c r="N516" s="6">
        <v>1479.55</v>
      </c>
      <c r="O516" s="6">
        <f t="shared" si="150"/>
        <v>1.0324836284424599</v>
      </c>
      <c r="P516" s="6">
        <f t="shared" si="160"/>
        <v>-3.2679865264531536</v>
      </c>
      <c r="Q516" s="6">
        <f t="shared" si="161"/>
        <v>4.3004701548956135</v>
      </c>
      <c r="R516" s="6">
        <v>0.83</v>
      </c>
      <c r="S516" s="6">
        <f t="shared" si="151"/>
        <v>56.603773584905646</v>
      </c>
      <c r="T516" s="6" t="str">
        <f t="shared" si="162"/>
        <v/>
      </c>
      <c r="U516" s="6" t="str">
        <f t="shared" si="163"/>
        <v/>
      </c>
      <c r="V516" s="6">
        <v>26.78</v>
      </c>
      <c r="W516" s="6">
        <f t="shared" si="152"/>
        <v>3.7180480247869907</v>
      </c>
      <c r="X516" s="6">
        <f t="shared" si="164"/>
        <v>18.773251404384848</v>
      </c>
      <c r="Y516" s="6">
        <f t="shared" si="165"/>
        <v>-15.055203379597856</v>
      </c>
      <c r="Z516" s="6"/>
      <c r="AA516" s="6" t="str">
        <f t="shared" si="153"/>
        <v/>
      </c>
      <c r="AB516" s="6" t="str">
        <f t="shared" si="166"/>
        <v/>
      </c>
      <c r="AC516" s="6" t="str">
        <f t="shared" si="167"/>
        <v/>
      </c>
    </row>
    <row r="517" spans="1:29" x14ac:dyDescent="0.2">
      <c r="A517" t="s">
        <v>601</v>
      </c>
      <c r="B517" s="6">
        <v>424.76</v>
      </c>
      <c r="C517" s="6">
        <f t="shared" si="147"/>
        <v>37.019354838709681</v>
      </c>
      <c r="D517" s="6">
        <f t="shared" si="154"/>
        <v>-7.0566470952377172</v>
      </c>
      <c r="E517" s="6">
        <f t="shared" si="155"/>
        <v>44.076001933947396</v>
      </c>
      <c r="F517" s="6">
        <v>22.7</v>
      </c>
      <c r="G517" s="6">
        <f t="shared" si="148"/>
        <v>-30.792682926829261</v>
      </c>
      <c r="H517" s="6">
        <f t="shared" si="156"/>
        <v>-1.9641719842090304</v>
      </c>
      <c r="I517" s="6">
        <f t="shared" si="157"/>
        <v>-28.82851094262023</v>
      </c>
      <c r="J517" s="6">
        <v>6640.24</v>
      </c>
      <c r="K517" s="6">
        <f t="shared" si="149"/>
        <v>32.09150586831111</v>
      </c>
      <c r="L517" s="6">
        <f t="shared" si="158"/>
        <v>12.040722642241674</v>
      </c>
      <c r="M517" s="6">
        <f t="shared" si="159"/>
        <v>20.050783226069434</v>
      </c>
      <c r="N517" s="6">
        <v>1478.71</v>
      </c>
      <c r="O517" s="6">
        <f t="shared" si="150"/>
        <v>3.6723619358773885</v>
      </c>
      <c r="P517" s="6">
        <f t="shared" si="160"/>
        <v>-2.6632041960631607</v>
      </c>
      <c r="Q517" s="6">
        <f t="shared" si="161"/>
        <v>6.3355661319405492</v>
      </c>
      <c r="R517" s="6">
        <v>0.9</v>
      </c>
      <c r="S517" s="6">
        <f t="shared" si="151"/>
        <v>83.673469387755105</v>
      </c>
      <c r="T517" s="6" t="str">
        <f t="shared" si="162"/>
        <v/>
      </c>
      <c r="U517" s="6" t="str">
        <f t="shared" si="163"/>
        <v/>
      </c>
      <c r="V517" s="6">
        <v>28.28</v>
      </c>
      <c r="W517" s="6">
        <f t="shared" si="152"/>
        <v>12.177707259024206</v>
      </c>
      <c r="X517" s="6">
        <f t="shared" si="164"/>
        <v>19.542555658020671</v>
      </c>
      <c r="Y517" s="6">
        <f t="shared" si="165"/>
        <v>-7.3648483989964646</v>
      </c>
      <c r="Z517" s="6"/>
      <c r="AA517" s="6" t="str">
        <f t="shared" si="153"/>
        <v/>
      </c>
      <c r="AB517" s="6" t="str">
        <f t="shared" si="166"/>
        <v/>
      </c>
      <c r="AC517" s="6" t="str">
        <f t="shared" si="167"/>
        <v/>
      </c>
    </row>
    <row r="518" spans="1:29" x14ac:dyDescent="0.2">
      <c r="A518" t="s">
        <v>602</v>
      </c>
      <c r="B518" s="6">
        <v>427.24</v>
      </c>
      <c r="C518" s="6">
        <f t="shared" si="147"/>
        <v>54.238267148014451</v>
      </c>
      <c r="D518" s="6">
        <f t="shared" si="154"/>
        <v>-6.9917597424471412</v>
      </c>
      <c r="E518" s="6">
        <f t="shared" si="155"/>
        <v>61.230026890461595</v>
      </c>
      <c r="F518" s="6">
        <v>24.5</v>
      </c>
      <c r="G518" s="6">
        <f t="shared" si="148"/>
        <v>-24.382716049382715</v>
      </c>
      <c r="H518" s="6">
        <f t="shared" si="156"/>
        <v>-2.0415318825556579</v>
      </c>
      <c r="I518" s="6">
        <f t="shared" si="157"/>
        <v>-22.341184166827055</v>
      </c>
      <c r="J518" s="6">
        <v>6804.46</v>
      </c>
      <c r="K518" s="6">
        <f t="shared" si="149"/>
        <v>41.01543314136029</v>
      </c>
      <c r="L518" s="6">
        <f t="shared" si="158"/>
        <v>13.47861042445494</v>
      </c>
      <c r="M518" s="6">
        <f t="shared" si="159"/>
        <v>27.536822716905348</v>
      </c>
      <c r="N518" s="6">
        <v>1483.76</v>
      </c>
      <c r="O518" s="6">
        <f t="shared" si="150"/>
        <v>7.7311802973977661</v>
      </c>
      <c r="P518" s="6">
        <f t="shared" si="160"/>
        <v>-2.1322644438973306</v>
      </c>
      <c r="Q518" s="6">
        <f t="shared" si="161"/>
        <v>9.8634447412950976</v>
      </c>
      <c r="R518" s="6">
        <v>0.83</v>
      </c>
      <c r="S518" s="6">
        <f t="shared" si="151"/>
        <v>72.916666666666671</v>
      </c>
      <c r="T518" s="6" t="str">
        <f t="shared" si="162"/>
        <v/>
      </c>
      <c r="U518" s="6" t="str">
        <f t="shared" si="163"/>
        <v/>
      </c>
      <c r="V518" s="6">
        <v>27.53</v>
      </c>
      <c r="W518" s="6">
        <f t="shared" si="152"/>
        <v>32.802701398938751</v>
      </c>
      <c r="X518" s="6">
        <f t="shared" si="164"/>
        <v>20.338862394191391</v>
      </c>
      <c r="Y518" s="6">
        <f t="shared" si="165"/>
        <v>12.46383900474736</v>
      </c>
      <c r="Z518" s="6"/>
      <c r="AA518" s="6" t="str">
        <f t="shared" si="153"/>
        <v/>
      </c>
      <c r="AB518" s="6" t="str">
        <f t="shared" si="166"/>
        <v/>
      </c>
      <c r="AC518" s="6" t="str">
        <f t="shared" si="167"/>
        <v/>
      </c>
    </row>
    <row r="519" spans="1:29" x14ac:dyDescent="0.2">
      <c r="A519" t="s">
        <v>603</v>
      </c>
      <c r="B519" s="6">
        <v>465.02</v>
      </c>
      <c r="C519" s="6">
        <f t="shared" si="147"/>
        <v>43.969040247678002</v>
      </c>
      <c r="D519" s="6">
        <f t="shared" si="154"/>
        <v>-6.4216678727806302</v>
      </c>
      <c r="E519" s="6">
        <f t="shared" si="155"/>
        <v>50.390708120458633</v>
      </c>
      <c r="F519" s="6">
        <v>24.5</v>
      </c>
      <c r="G519" s="6">
        <f t="shared" si="148"/>
        <v>-16.666666666666664</v>
      </c>
      <c r="H519" s="6">
        <f t="shared" si="156"/>
        <v>-1.9859115938805612</v>
      </c>
      <c r="I519" s="6">
        <f t="shared" si="157"/>
        <v>-14.680755072786104</v>
      </c>
      <c r="J519" s="6">
        <v>7313.93</v>
      </c>
      <c r="K519" s="6">
        <f t="shared" si="149"/>
        <v>44.020077150131655</v>
      </c>
      <c r="L519" s="6">
        <f t="shared" si="158"/>
        <v>15.152152383801136</v>
      </c>
      <c r="M519" s="6">
        <f t="shared" si="159"/>
        <v>28.867924766330518</v>
      </c>
      <c r="N519" s="6">
        <v>1582.29</v>
      </c>
      <c r="O519" s="6">
        <f t="shared" si="150"/>
        <v>10.825576264419734</v>
      </c>
      <c r="P519" s="6">
        <f t="shared" si="160"/>
        <v>-1.4982744353504776</v>
      </c>
      <c r="Q519" s="6">
        <f t="shared" si="161"/>
        <v>12.323850699770212</v>
      </c>
      <c r="R519" s="6">
        <v>0.84</v>
      </c>
      <c r="S519" s="6">
        <f t="shared" si="151"/>
        <v>78.723404255319167</v>
      </c>
      <c r="T519" s="6" t="str">
        <f t="shared" si="162"/>
        <v/>
      </c>
      <c r="U519" s="6" t="str">
        <f t="shared" si="163"/>
        <v/>
      </c>
      <c r="V519" s="6">
        <v>24.54</v>
      </c>
      <c r="W519" s="6">
        <f t="shared" si="152"/>
        <v>31.30016051364364</v>
      </c>
      <c r="X519" s="6">
        <f t="shared" si="164"/>
        <v>21.727092326030558</v>
      </c>
      <c r="Y519" s="6">
        <f t="shared" si="165"/>
        <v>9.5730681876130816</v>
      </c>
      <c r="Z519" s="6"/>
      <c r="AA519" s="6" t="str">
        <f t="shared" si="153"/>
        <v/>
      </c>
      <c r="AB519" s="6" t="str">
        <f t="shared" si="166"/>
        <v/>
      </c>
      <c r="AC519" s="6" t="str">
        <f t="shared" si="167"/>
        <v/>
      </c>
    </row>
    <row r="520" spans="1:29" x14ac:dyDescent="0.2">
      <c r="A520" t="s">
        <v>604</v>
      </c>
      <c r="B520" s="6">
        <v>488.52</v>
      </c>
      <c r="C520" s="6">
        <f t="shared" si="147"/>
        <v>35.888734353268426</v>
      </c>
      <c r="D520" s="6">
        <f t="shared" si="154"/>
        <v>-5.974021500714195</v>
      </c>
      <c r="E520" s="6">
        <f t="shared" si="155"/>
        <v>41.86275585398262</v>
      </c>
      <c r="F520" s="6">
        <v>24.5</v>
      </c>
      <c r="G520" s="6">
        <f t="shared" si="148"/>
        <v>-10.420475319926881</v>
      </c>
      <c r="H520" s="6">
        <f t="shared" si="156"/>
        <v>-1.8681040541980216</v>
      </c>
      <c r="I520" s="6">
        <f t="shared" si="157"/>
        <v>-8.5523712657288602</v>
      </c>
      <c r="J520" s="6">
        <v>7193.16</v>
      </c>
      <c r="K520" s="6">
        <f t="shared" si="149"/>
        <v>36.652849071586793</v>
      </c>
      <c r="L520" s="6">
        <f t="shared" si="158"/>
        <v>16.750478332111374</v>
      </c>
      <c r="M520" s="6">
        <f t="shared" si="159"/>
        <v>19.902370739475419</v>
      </c>
      <c r="N520" s="6">
        <v>1595.68</v>
      </c>
      <c r="O520" s="6">
        <f t="shared" si="150"/>
        <v>8.4213244187152583</v>
      </c>
      <c r="P520" s="6">
        <f t="shared" si="160"/>
        <v>-0.89952456346972909</v>
      </c>
      <c r="Q520" s="6">
        <f t="shared" si="161"/>
        <v>9.3208489821849874</v>
      </c>
      <c r="R520" s="6">
        <v>0.85</v>
      </c>
      <c r="S520" s="6">
        <f t="shared" si="151"/>
        <v>77.083333333333329</v>
      </c>
      <c r="T520" s="6" t="str">
        <f t="shared" si="162"/>
        <v/>
      </c>
      <c r="U520" s="6" t="str">
        <f t="shared" si="163"/>
        <v/>
      </c>
      <c r="V520" s="6">
        <v>27.89</v>
      </c>
      <c r="W520" s="6">
        <f t="shared" si="152"/>
        <v>50.593952483801296</v>
      </c>
      <c r="X520" s="6">
        <f t="shared" si="164"/>
        <v>23.166022027669133</v>
      </c>
      <c r="Y520" s="6">
        <f t="shared" si="165"/>
        <v>27.427930456132163</v>
      </c>
      <c r="Z520" s="6"/>
      <c r="AA520" s="6" t="str">
        <f t="shared" si="153"/>
        <v/>
      </c>
      <c r="AB520" s="6" t="str">
        <f t="shared" si="166"/>
        <v/>
      </c>
      <c r="AC520" s="6" t="str">
        <f t="shared" si="167"/>
        <v/>
      </c>
    </row>
    <row r="521" spans="1:29" x14ac:dyDescent="0.2">
      <c r="A521" t="s">
        <v>605</v>
      </c>
      <c r="B521" s="6">
        <v>486.11</v>
      </c>
      <c r="C521" s="6">
        <f t="shared" si="147"/>
        <v>30.04547886570359</v>
      </c>
      <c r="D521" s="6">
        <f t="shared" si="154"/>
        <v>-5.5833772264227512</v>
      </c>
      <c r="E521" s="6">
        <f t="shared" si="155"/>
        <v>35.628856092126341</v>
      </c>
      <c r="F521" s="6">
        <v>24.9</v>
      </c>
      <c r="G521" s="6">
        <f t="shared" si="148"/>
        <v>-8.9579524680073241</v>
      </c>
      <c r="H521" s="6">
        <f t="shared" si="156"/>
        <v>-1.7335518547856712</v>
      </c>
      <c r="I521" s="6">
        <f t="shared" si="157"/>
        <v>-7.2244006132216532</v>
      </c>
      <c r="J521" s="6">
        <v>8026.02</v>
      </c>
      <c r="K521" s="6">
        <f t="shared" si="149"/>
        <v>32.811202049252209</v>
      </c>
      <c r="L521" s="6">
        <f t="shared" si="158"/>
        <v>18.238436247879054</v>
      </c>
      <c r="M521" s="6">
        <f t="shared" si="159"/>
        <v>14.572765801373155</v>
      </c>
      <c r="N521" s="6">
        <v>1647.66</v>
      </c>
      <c r="O521" s="6">
        <f t="shared" si="150"/>
        <v>9.5547753929625898</v>
      </c>
      <c r="P521" s="6">
        <f t="shared" si="160"/>
        <v>-0.38272350248282483</v>
      </c>
      <c r="Q521" s="6">
        <f t="shared" si="161"/>
        <v>9.9374988954454153</v>
      </c>
      <c r="R521" s="6">
        <v>0.9</v>
      </c>
      <c r="S521" s="6">
        <f t="shared" si="151"/>
        <v>66.666666666666657</v>
      </c>
      <c r="T521" s="6" t="str">
        <f t="shared" si="162"/>
        <v/>
      </c>
      <c r="U521" s="6" t="str">
        <f t="shared" si="163"/>
        <v/>
      </c>
      <c r="V521" s="6">
        <v>30.75</v>
      </c>
      <c r="W521" s="6">
        <f t="shared" si="152"/>
        <v>60.574412532637091</v>
      </c>
      <c r="X521" s="6">
        <f t="shared" si="164"/>
        <v>25.034379068760618</v>
      </c>
      <c r="Y521" s="6">
        <f t="shared" si="165"/>
        <v>35.540033463876469</v>
      </c>
      <c r="Z521" s="6"/>
      <c r="AA521" s="6" t="str">
        <f t="shared" si="153"/>
        <v/>
      </c>
      <c r="AB521" s="6" t="str">
        <f t="shared" si="166"/>
        <v/>
      </c>
      <c r="AC521" s="6" t="str">
        <f t="shared" si="167"/>
        <v/>
      </c>
    </row>
    <row r="522" spans="1:29" x14ac:dyDescent="0.2">
      <c r="A522" t="s">
        <v>606</v>
      </c>
      <c r="B522" s="6">
        <v>476.95</v>
      </c>
      <c r="C522" s="6">
        <f t="shared" si="147"/>
        <v>35.120970026630395</v>
      </c>
      <c r="D522" s="6">
        <f t="shared" si="154"/>
        <v>-4.9943325949277861</v>
      </c>
      <c r="E522" s="6">
        <f t="shared" si="155"/>
        <v>40.115302621558179</v>
      </c>
      <c r="F522" s="6">
        <v>25.15</v>
      </c>
      <c r="G522" s="6">
        <f t="shared" si="148"/>
        <v>-10.4982206405694</v>
      </c>
      <c r="H522" s="6">
        <f t="shared" si="156"/>
        <v>-1.5685304292916624</v>
      </c>
      <c r="I522" s="6">
        <f t="shared" si="157"/>
        <v>-8.9296902112777374</v>
      </c>
      <c r="J522" s="6">
        <v>8623</v>
      </c>
      <c r="K522" s="6">
        <f t="shared" si="149"/>
        <v>43.019446863208529</v>
      </c>
      <c r="L522" s="6">
        <f t="shared" si="158"/>
        <v>19.385956463255081</v>
      </c>
      <c r="M522" s="6">
        <f t="shared" si="159"/>
        <v>23.633490399953448</v>
      </c>
      <c r="N522" s="6">
        <v>1683.8</v>
      </c>
      <c r="O522" s="6">
        <f t="shared" si="150"/>
        <v>7.8045969652346336</v>
      </c>
      <c r="P522" s="6">
        <f t="shared" si="160"/>
        <v>0.13377289599220235</v>
      </c>
      <c r="Q522" s="6">
        <f t="shared" si="161"/>
        <v>7.670824069242431</v>
      </c>
      <c r="R522" s="6">
        <v>0.94</v>
      </c>
      <c r="S522" s="6">
        <f t="shared" si="151"/>
        <v>62.068965517241395</v>
      </c>
      <c r="T522" s="6" t="str">
        <f t="shared" si="162"/>
        <v/>
      </c>
      <c r="U522" s="6" t="str">
        <f t="shared" si="163"/>
        <v/>
      </c>
      <c r="V522" s="6">
        <v>32.880000000000003</v>
      </c>
      <c r="W522" s="6">
        <f t="shared" si="152"/>
        <v>64.564564564564563</v>
      </c>
      <c r="X522" s="6">
        <f t="shared" si="164"/>
        <v>26.790790440968333</v>
      </c>
      <c r="Y522" s="6">
        <f t="shared" si="165"/>
        <v>37.773774123596226</v>
      </c>
      <c r="Z522" s="6"/>
      <c r="AA522" s="6" t="str">
        <f t="shared" si="153"/>
        <v/>
      </c>
      <c r="AB522" s="6" t="str">
        <f t="shared" si="166"/>
        <v/>
      </c>
      <c r="AC522" s="6" t="str">
        <f t="shared" si="167"/>
        <v/>
      </c>
    </row>
    <row r="523" spans="1:29" x14ac:dyDescent="0.2">
      <c r="A523" t="s">
        <v>607</v>
      </c>
      <c r="B523" s="6">
        <v>453.55</v>
      </c>
      <c r="C523" s="6">
        <f t="shared" si="147"/>
        <v>26.337047353760457</v>
      </c>
      <c r="D523" s="6">
        <f t="shared" si="154"/>
        <v>-3.9528328716238721</v>
      </c>
      <c r="E523" s="6">
        <f t="shared" si="155"/>
        <v>30.28988022538433</v>
      </c>
      <c r="F523" s="6">
        <v>24.4</v>
      </c>
      <c r="G523" s="6">
        <f t="shared" si="148"/>
        <v>-12.230215827338142</v>
      </c>
      <c r="H523" s="6">
        <f t="shared" si="156"/>
        <v>-1.3299566766878967</v>
      </c>
      <c r="I523" s="6">
        <f t="shared" si="157"/>
        <v>-10.900259150650246</v>
      </c>
      <c r="J523" s="6">
        <v>8378.81</v>
      </c>
      <c r="K523" s="6">
        <f t="shared" si="149"/>
        <v>28.165353728489471</v>
      </c>
      <c r="L523" s="6">
        <f t="shared" si="158"/>
        <v>20.576312313636311</v>
      </c>
      <c r="M523" s="6">
        <f t="shared" si="159"/>
        <v>7.5890414148531598</v>
      </c>
      <c r="N523" s="6">
        <v>1658.98</v>
      </c>
      <c r="O523" s="6">
        <f t="shared" si="150"/>
        <v>3.3709685459348826</v>
      </c>
      <c r="P523" s="6">
        <f t="shared" si="160"/>
        <v>0.61424969285121644</v>
      </c>
      <c r="Q523" s="6">
        <f t="shared" si="161"/>
        <v>2.7567188530836662</v>
      </c>
      <c r="R523" s="6">
        <v>0.95</v>
      </c>
      <c r="S523" s="6">
        <f t="shared" si="151"/>
        <v>39.705882352941167</v>
      </c>
      <c r="T523" s="6" t="str">
        <f t="shared" si="162"/>
        <v/>
      </c>
      <c r="U523" s="6" t="str">
        <f t="shared" si="163"/>
        <v/>
      </c>
      <c r="V523" s="6">
        <v>30.36</v>
      </c>
      <c r="W523" s="6">
        <f t="shared" si="152"/>
        <v>28.426395939086291</v>
      </c>
      <c r="X523" s="6">
        <f t="shared" si="164"/>
        <v>28.630861895401484</v>
      </c>
      <c r="Y523" s="6">
        <f t="shared" si="165"/>
        <v>-0.20446595631519315</v>
      </c>
      <c r="Z523" s="6"/>
      <c r="AA523" s="6" t="str">
        <f t="shared" si="153"/>
        <v/>
      </c>
      <c r="AB523" s="6" t="str">
        <f t="shared" si="166"/>
        <v/>
      </c>
      <c r="AC523" s="6" t="str">
        <f t="shared" si="167"/>
        <v/>
      </c>
    </row>
    <row r="524" spans="1:29" x14ac:dyDescent="0.2">
      <c r="A524" t="s">
        <v>608</v>
      </c>
      <c r="B524" s="6">
        <v>443.02</v>
      </c>
      <c r="C524" s="6">
        <f t="shared" si="147"/>
        <v>23.037187213597356</v>
      </c>
      <c r="D524" s="6">
        <f t="shared" si="154"/>
        <v>-2.8639059350126819</v>
      </c>
      <c r="E524" s="6">
        <f t="shared" si="155"/>
        <v>25.901093148610038</v>
      </c>
      <c r="F524" s="6">
        <v>23.45</v>
      </c>
      <c r="G524" s="6">
        <f t="shared" si="148"/>
        <v>-13.436692506459947</v>
      </c>
      <c r="H524" s="6">
        <f t="shared" si="156"/>
        <v>-1.2070343119448104</v>
      </c>
      <c r="I524" s="6">
        <f t="shared" si="157"/>
        <v>-12.229658194515137</v>
      </c>
      <c r="J524" s="6">
        <v>7910.13</v>
      </c>
      <c r="K524" s="6">
        <f t="shared" si="149"/>
        <v>13.680529906398341</v>
      </c>
      <c r="L524" s="6">
        <f t="shared" si="158"/>
        <v>21.311547031874664</v>
      </c>
      <c r="M524" s="6">
        <f t="shared" si="159"/>
        <v>-7.6310171254763226</v>
      </c>
      <c r="N524" s="6">
        <v>1587.48</v>
      </c>
      <c r="O524" s="6">
        <f t="shared" si="150"/>
        <v>-0.17920808888720607</v>
      </c>
      <c r="P524" s="6">
        <f t="shared" si="160"/>
        <v>1.1250224324196896</v>
      </c>
      <c r="Q524" s="6">
        <f t="shared" si="161"/>
        <v>-1.3042305213068957</v>
      </c>
      <c r="R524" s="6">
        <v>0.88</v>
      </c>
      <c r="S524" s="6">
        <f t="shared" si="151"/>
        <v>37.5</v>
      </c>
      <c r="T524" s="6" t="str">
        <f t="shared" si="162"/>
        <v/>
      </c>
      <c r="U524" s="6" t="str">
        <f t="shared" si="163"/>
        <v/>
      </c>
      <c r="V524" s="6">
        <v>25.56</v>
      </c>
      <c r="W524" s="6">
        <f t="shared" si="152"/>
        <v>0.51120723554856085</v>
      </c>
      <c r="X524" s="6">
        <f t="shared" si="164"/>
        <v>29.215138944945462</v>
      </c>
      <c r="Y524" s="6">
        <f t="shared" si="165"/>
        <v>-28.703931709396901</v>
      </c>
      <c r="Z524" s="6"/>
      <c r="AA524" s="6" t="str">
        <f t="shared" si="153"/>
        <v/>
      </c>
      <c r="AB524" s="6" t="str">
        <f t="shared" si="166"/>
        <v/>
      </c>
      <c r="AC524" s="6" t="str">
        <f t="shared" si="167"/>
        <v/>
      </c>
    </row>
    <row r="525" spans="1:29" x14ac:dyDescent="0.2">
      <c r="A525" t="s">
        <v>609</v>
      </c>
      <c r="B525" s="6">
        <v>453.82</v>
      </c>
      <c r="C525" s="6">
        <f t="shared" si="147"/>
        <v>17.902886389025994</v>
      </c>
      <c r="D525" s="6">
        <f t="shared" si="154"/>
        <v>-1.8419344959697124</v>
      </c>
      <c r="E525" s="6">
        <f t="shared" si="155"/>
        <v>19.744820884995708</v>
      </c>
      <c r="F525" s="6">
        <v>23.3</v>
      </c>
      <c r="G525" s="6">
        <f t="shared" si="148"/>
        <v>-13.318452380952372</v>
      </c>
      <c r="H525" s="6">
        <f t="shared" si="156"/>
        <v>-1.1475384227205627</v>
      </c>
      <c r="I525" s="6">
        <f t="shared" si="157"/>
        <v>-12.170913958231809</v>
      </c>
      <c r="J525" s="6">
        <v>8330.6299999999992</v>
      </c>
      <c r="K525" s="6">
        <f t="shared" si="149"/>
        <v>23.209383910929148</v>
      </c>
      <c r="L525" s="6">
        <f t="shared" si="158"/>
        <v>21.709050532182431</v>
      </c>
      <c r="M525" s="6">
        <f t="shared" si="159"/>
        <v>1.500333378746717</v>
      </c>
      <c r="N525" s="6">
        <v>1648.28</v>
      </c>
      <c r="O525" s="6">
        <f t="shared" si="150"/>
        <v>3.2964002807580384</v>
      </c>
      <c r="P525" s="6">
        <f t="shared" si="160"/>
        <v>1.5087109602937507</v>
      </c>
      <c r="Q525" s="6">
        <f t="shared" si="161"/>
        <v>1.7876893204642876</v>
      </c>
      <c r="R525" s="6">
        <v>0.84</v>
      </c>
      <c r="S525" s="6">
        <f t="shared" si="151"/>
        <v>23.529411764705866</v>
      </c>
      <c r="T525" s="6" t="str">
        <f t="shared" si="162"/>
        <v/>
      </c>
      <c r="U525" s="6" t="str">
        <f t="shared" si="163"/>
        <v/>
      </c>
      <c r="V525" s="6">
        <v>26.06</v>
      </c>
      <c r="W525" s="6">
        <f t="shared" si="152"/>
        <v>1.5192832099727216</v>
      </c>
      <c r="X525" s="6">
        <f t="shared" si="164"/>
        <v>28.86004835494531</v>
      </c>
      <c r="Y525" s="6">
        <f t="shared" si="165"/>
        <v>-27.340765144972586</v>
      </c>
      <c r="Z525" s="6"/>
      <c r="AA525" s="6" t="str">
        <f t="shared" si="153"/>
        <v/>
      </c>
      <c r="AB525" s="6" t="str">
        <f t="shared" si="166"/>
        <v/>
      </c>
      <c r="AC525" s="6" t="str">
        <f t="shared" si="167"/>
        <v/>
      </c>
    </row>
    <row r="526" spans="1:29" x14ac:dyDescent="0.2">
      <c r="A526" t="s">
        <v>610</v>
      </c>
      <c r="B526" s="6">
        <v>466.21</v>
      </c>
      <c r="C526" s="6">
        <f t="shared" si="147"/>
        <v>9.4055804566681509</v>
      </c>
      <c r="D526" s="6">
        <f t="shared" si="154"/>
        <v>-0.78928866546547749</v>
      </c>
      <c r="E526" s="6">
        <f t="shared" si="155"/>
        <v>10.194869122133628</v>
      </c>
      <c r="F526" s="6">
        <v>24.1</v>
      </c>
      <c r="G526" s="6">
        <f t="shared" si="148"/>
        <v>-3.2128514056224744</v>
      </c>
      <c r="H526" s="6">
        <f t="shared" si="156"/>
        <v>-1.137412609543025</v>
      </c>
      <c r="I526" s="6">
        <f t="shared" si="157"/>
        <v>-2.0754387960794496</v>
      </c>
      <c r="J526" s="6">
        <v>8874.76</v>
      </c>
      <c r="K526" s="6">
        <f t="shared" si="149"/>
        <v>24.64795656094363</v>
      </c>
      <c r="L526" s="6">
        <f t="shared" si="158"/>
        <v>22.035150744802223</v>
      </c>
      <c r="M526" s="6">
        <f t="shared" si="159"/>
        <v>2.6128058161414067</v>
      </c>
      <c r="N526" s="6">
        <v>1686.5</v>
      </c>
      <c r="O526" s="6">
        <f t="shared" si="150"/>
        <v>2.3653590526424351</v>
      </c>
      <c r="P526" s="6">
        <f t="shared" si="160"/>
        <v>1.8435790479365541</v>
      </c>
      <c r="Q526" s="6">
        <f t="shared" si="161"/>
        <v>0.52178000470588093</v>
      </c>
      <c r="R526" s="6">
        <v>0.84</v>
      </c>
      <c r="S526" s="6">
        <f t="shared" si="151"/>
        <v>1.2048192771084265</v>
      </c>
      <c r="T526" s="6" t="str">
        <f t="shared" si="162"/>
        <v/>
      </c>
      <c r="U526" s="6" t="str">
        <f t="shared" si="163"/>
        <v/>
      </c>
      <c r="V526" s="6">
        <v>27.92</v>
      </c>
      <c r="W526" s="6">
        <f t="shared" si="152"/>
        <v>14.005716619028185</v>
      </c>
      <c r="X526" s="6">
        <f t="shared" si="164"/>
        <v>28.59026269243034</v>
      </c>
      <c r="Y526" s="6">
        <f t="shared" si="165"/>
        <v>-14.584546073402155</v>
      </c>
      <c r="Z526" s="6"/>
      <c r="AA526" s="6" t="str">
        <f t="shared" si="153"/>
        <v/>
      </c>
      <c r="AB526" s="6" t="str">
        <f t="shared" si="166"/>
        <v/>
      </c>
      <c r="AC526" s="6" t="str">
        <f t="shared" si="167"/>
        <v/>
      </c>
    </row>
    <row r="527" spans="1:29" x14ac:dyDescent="0.2">
      <c r="A527" t="s">
        <v>611</v>
      </c>
      <c r="B527" s="6">
        <v>457.72</v>
      </c>
      <c r="C527" s="6">
        <f t="shared" si="147"/>
        <v>8.4079389891525746</v>
      </c>
      <c r="D527" s="6">
        <f t="shared" si="154"/>
        <v>0.19984154876145058</v>
      </c>
      <c r="E527" s="6">
        <f t="shared" si="155"/>
        <v>8.2080974403911249</v>
      </c>
      <c r="F527" s="6">
        <v>24.35</v>
      </c>
      <c r="G527" s="6">
        <f t="shared" si="148"/>
        <v>5.1835853131749543</v>
      </c>
      <c r="H527" s="6">
        <f t="shared" si="156"/>
        <v>-0.93351368049349326</v>
      </c>
      <c r="I527" s="6">
        <f t="shared" si="157"/>
        <v>6.1170989936684474</v>
      </c>
      <c r="J527" s="6">
        <v>8797.39</v>
      </c>
      <c r="K527" s="6">
        <f t="shared" si="149"/>
        <v>23.165824783835841</v>
      </c>
      <c r="L527" s="6">
        <f t="shared" si="158"/>
        <v>22.213832567290954</v>
      </c>
      <c r="M527" s="6">
        <f t="shared" si="159"/>
        <v>0.95199221654488753</v>
      </c>
      <c r="N527" s="6">
        <v>1710</v>
      </c>
      <c r="O527" s="6">
        <f t="shared" si="150"/>
        <v>7.583707674304474</v>
      </c>
      <c r="P527" s="6">
        <f t="shared" si="160"/>
        <v>2.1915087879940587</v>
      </c>
      <c r="Q527" s="6">
        <f t="shared" si="161"/>
        <v>5.3921988863104158</v>
      </c>
      <c r="R527" s="6">
        <v>0.88</v>
      </c>
      <c r="S527" s="6">
        <f t="shared" si="151"/>
        <v>8.6419753086419693</v>
      </c>
      <c r="T527" s="6" t="str">
        <f t="shared" si="162"/>
        <v/>
      </c>
      <c r="U527" s="6" t="str">
        <f t="shared" si="163"/>
        <v/>
      </c>
      <c r="V527" s="6">
        <v>28.59</v>
      </c>
      <c r="W527" s="6">
        <f t="shared" si="152"/>
        <v>11.029126213592221</v>
      </c>
      <c r="X527" s="6">
        <f t="shared" si="164"/>
        <v>28.229337451053251</v>
      </c>
      <c r="Y527" s="6">
        <f t="shared" si="165"/>
        <v>-17.20021123746103</v>
      </c>
      <c r="Z527" s="6"/>
      <c r="AA527" s="6" t="str">
        <f t="shared" si="153"/>
        <v/>
      </c>
      <c r="AB527" s="6" t="str">
        <f t="shared" si="166"/>
        <v/>
      </c>
      <c r="AC527" s="6" t="str">
        <f t="shared" si="167"/>
        <v/>
      </c>
    </row>
    <row r="528" spans="1:29" x14ac:dyDescent="0.2">
      <c r="A528" t="s">
        <v>612</v>
      </c>
      <c r="B528" s="6">
        <v>439.36</v>
      </c>
      <c r="C528" s="6">
        <f t="shared" si="147"/>
        <v>-1.5086641709072035</v>
      </c>
      <c r="D528" s="6">
        <f t="shared" si="154"/>
        <v>1.4529191985291596</v>
      </c>
      <c r="E528" s="6">
        <f t="shared" si="155"/>
        <v>-2.9615833694363634</v>
      </c>
      <c r="F528" s="6">
        <v>25.33</v>
      </c>
      <c r="G528" s="6">
        <f t="shared" si="148"/>
        <v>13.842696629213469</v>
      </c>
      <c r="H528" s="6">
        <f t="shared" si="156"/>
        <v>-0.5546889864690151</v>
      </c>
      <c r="I528" s="6">
        <f t="shared" si="157"/>
        <v>14.397385615682484</v>
      </c>
      <c r="J528" s="6">
        <v>9351.3799999999992</v>
      </c>
      <c r="K528" s="6">
        <f t="shared" si="149"/>
        <v>39.216690436703708</v>
      </c>
      <c r="L528" s="6">
        <f t="shared" si="158"/>
        <v>22.034342481405215</v>
      </c>
      <c r="M528" s="6">
        <f t="shared" si="159"/>
        <v>17.182347955298493</v>
      </c>
      <c r="N528" s="6">
        <v>1760.28</v>
      </c>
      <c r="O528" s="6">
        <f t="shared" si="150"/>
        <v>18.974012368625594</v>
      </c>
      <c r="P528" s="6">
        <f t="shared" si="160"/>
        <v>2.3634333113069368</v>
      </c>
      <c r="Q528" s="6">
        <f t="shared" si="161"/>
        <v>16.610579057318656</v>
      </c>
      <c r="R528" s="6">
        <v>0.95</v>
      </c>
      <c r="S528" s="6">
        <f t="shared" si="151"/>
        <v>14.457831325301207</v>
      </c>
      <c r="T528" s="6" t="str">
        <f t="shared" si="162"/>
        <v/>
      </c>
      <c r="U528" s="6" t="str">
        <f t="shared" si="163"/>
        <v/>
      </c>
      <c r="V528" s="6">
        <v>29.68</v>
      </c>
      <c r="W528" s="6">
        <f t="shared" si="152"/>
        <v>10.828976848394323</v>
      </c>
      <c r="X528" s="6">
        <f t="shared" si="164"/>
        <v>27.427286766854802</v>
      </c>
      <c r="Y528" s="6">
        <f t="shared" si="165"/>
        <v>-16.59830991846048</v>
      </c>
      <c r="Z528" s="6"/>
      <c r="AA528" s="6" t="str">
        <f t="shared" si="153"/>
        <v/>
      </c>
      <c r="AB528" s="6" t="str">
        <f t="shared" si="166"/>
        <v/>
      </c>
      <c r="AC528" s="6" t="str">
        <f t="shared" si="167"/>
        <v/>
      </c>
    </row>
    <row r="529" spans="1:29" x14ac:dyDescent="0.2">
      <c r="A529" t="s">
        <v>613</v>
      </c>
      <c r="B529" s="6">
        <v>440.91</v>
      </c>
      <c r="C529" s="6">
        <f t="shared" ref="C529:C592" si="168">IF(OR(B529="",B517=""),"",(B529/B517-1)*100)</f>
        <v>3.8021470948300218</v>
      </c>
      <c r="D529" s="6">
        <f t="shared" si="154"/>
        <v>2.410608378450291</v>
      </c>
      <c r="E529" s="6">
        <f t="shared" si="155"/>
        <v>1.3915387163797308</v>
      </c>
      <c r="F529" s="6">
        <v>26.7</v>
      </c>
      <c r="G529" s="6">
        <f t="shared" ref="G529:G592" si="169">IF(OR(F529="",F517=""),"",(F529/F517-1)*100)</f>
        <v>17.621145374449341</v>
      </c>
      <c r="H529" s="6">
        <f t="shared" si="156"/>
        <v>-0.25834781941638074</v>
      </c>
      <c r="I529" s="6">
        <f t="shared" si="157"/>
        <v>17.879493193865724</v>
      </c>
      <c r="J529" s="6">
        <v>9965.34</v>
      </c>
      <c r="K529" s="6">
        <f t="shared" ref="K529:K592" si="170">IF(OR(J529="",J517=""),"",(J529/J517-1)*100)</f>
        <v>50.074997289254618</v>
      </c>
      <c r="L529" s="6">
        <f t="shared" si="158"/>
        <v>21.642362584391378</v>
      </c>
      <c r="M529" s="6">
        <f t="shared" si="159"/>
        <v>28.43263470486324</v>
      </c>
      <c r="N529" s="6">
        <v>1789.52</v>
      </c>
      <c r="O529" s="6">
        <f t="shared" ref="O529:O592" si="171">IF(OR(N529="",N517=""),"",(N529/N517-1)*100)</f>
        <v>21.018996287304482</v>
      </c>
      <c r="P529" s="6">
        <f t="shared" si="160"/>
        <v>2.7244213689430405</v>
      </c>
      <c r="Q529" s="6">
        <f t="shared" si="161"/>
        <v>18.294574918361441</v>
      </c>
      <c r="R529" s="6">
        <v>1.0900000000000001</v>
      </c>
      <c r="S529" s="6">
        <f t="shared" ref="S529:S592" si="172">IF(OR(R529="",R517=""),"",(R529/R517-1)*100)</f>
        <v>21.111111111111125</v>
      </c>
      <c r="T529" s="6" t="str">
        <f t="shared" si="162"/>
        <v/>
      </c>
      <c r="U529" s="6" t="str">
        <f t="shared" si="163"/>
        <v/>
      </c>
      <c r="V529" s="6">
        <v>26.88</v>
      </c>
      <c r="W529" s="6">
        <f t="shared" ref="W529:W592" si="173">IF(OR(V529="",V517=""),"",(V529/V517-1)*100)</f>
        <v>-4.9504950495049549</v>
      </c>
      <c r="X529" s="6">
        <f t="shared" si="164"/>
        <v>26.355185620665253</v>
      </c>
      <c r="Y529" s="6">
        <f t="shared" si="165"/>
        <v>-31.305680670170208</v>
      </c>
      <c r="Z529" s="6"/>
      <c r="AA529" s="6" t="str">
        <f t="shared" ref="AA529:AA592" si="174">IF(OR(Z529="",Z517=""),"",(Z529/Z517-1)*100)</f>
        <v/>
      </c>
      <c r="AB529" s="6" t="str">
        <f t="shared" si="166"/>
        <v/>
      </c>
      <c r="AC529" s="6" t="str">
        <f t="shared" si="167"/>
        <v/>
      </c>
    </row>
    <row r="530" spans="1:29" x14ac:dyDescent="0.2">
      <c r="A530" t="s">
        <v>614</v>
      </c>
      <c r="B530" s="6">
        <v>515.07000000000005</v>
      </c>
      <c r="C530" s="6">
        <f t="shared" si="168"/>
        <v>20.557532066285944</v>
      </c>
      <c r="D530" s="6">
        <f t="shared" si="154"/>
        <v>3.4233190650216989</v>
      </c>
      <c r="E530" s="6">
        <f t="shared" si="155"/>
        <v>17.134213001264246</v>
      </c>
      <c r="F530" s="6">
        <v>27.5</v>
      </c>
      <c r="G530" s="6">
        <f t="shared" si="169"/>
        <v>12.244897959183664</v>
      </c>
      <c r="H530" s="6">
        <f t="shared" si="156"/>
        <v>0.18489448108951911</v>
      </c>
      <c r="I530" s="6">
        <f t="shared" si="157"/>
        <v>12.060003478094146</v>
      </c>
      <c r="J530" s="6">
        <v>11047.17</v>
      </c>
      <c r="K530" s="6">
        <f t="shared" si="170"/>
        <v>62.35189860767791</v>
      </c>
      <c r="L530" s="6">
        <f t="shared" si="158"/>
        <v>21.199458982387032</v>
      </c>
      <c r="M530" s="6">
        <f t="shared" si="159"/>
        <v>41.152439625290882</v>
      </c>
      <c r="N530" s="6">
        <v>1920.54</v>
      </c>
      <c r="O530" s="6">
        <f t="shared" si="171"/>
        <v>29.437375316762825</v>
      </c>
      <c r="P530" s="6">
        <f t="shared" si="160"/>
        <v>3.0324596722487578</v>
      </c>
      <c r="Q530" s="6">
        <f t="shared" si="161"/>
        <v>26.404915644514066</v>
      </c>
      <c r="R530" s="6">
        <v>1.29</v>
      </c>
      <c r="S530" s="6">
        <f t="shared" si="172"/>
        <v>55.421686746987952</v>
      </c>
      <c r="T530" s="6" t="str">
        <f t="shared" si="162"/>
        <v/>
      </c>
      <c r="U530" s="6" t="str">
        <f t="shared" si="163"/>
        <v/>
      </c>
      <c r="V530" s="6">
        <v>29.01</v>
      </c>
      <c r="W530" s="6">
        <f t="shared" si="173"/>
        <v>5.3759535052669838</v>
      </c>
      <c r="X530" s="6">
        <f t="shared" si="164"/>
        <v>24.908451273317478</v>
      </c>
      <c r="Y530" s="6">
        <f t="shared" si="165"/>
        <v>-19.532497768050494</v>
      </c>
      <c r="Z530" s="6"/>
      <c r="AA530" s="6" t="str">
        <f t="shared" si="174"/>
        <v/>
      </c>
      <c r="AB530" s="6" t="str">
        <f t="shared" si="166"/>
        <v/>
      </c>
      <c r="AC530" s="6" t="str">
        <f t="shared" si="167"/>
        <v/>
      </c>
    </row>
    <row r="531" spans="1:29" x14ac:dyDescent="0.2">
      <c r="A531" t="s">
        <v>615</v>
      </c>
      <c r="B531" s="6">
        <v>548</v>
      </c>
      <c r="C531" s="6">
        <f t="shared" si="168"/>
        <v>17.844393789514434</v>
      </c>
      <c r="D531" s="6">
        <f t="shared" si="154"/>
        <v>4.7912023279300326</v>
      </c>
      <c r="E531" s="6">
        <f t="shared" si="155"/>
        <v>13.053191461584401</v>
      </c>
      <c r="F531" s="6">
        <v>29.91</v>
      </c>
      <c r="G531" s="6">
        <f t="shared" si="169"/>
        <v>22.081632653061224</v>
      </c>
      <c r="H531" s="6">
        <f t="shared" si="156"/>
        <v>0.55531017504237756</v>
      </c>
      <c r="I531" s="6">
        <f t="shared" si="157"/>
        <v>21.526322478018844</v>
      </c>
      <c r="J531" s="6">
        <v>12086.5</v>
      </c>
      <c r="K531" s="6">
        <f t="shared" si="170"/>
        <v>65.253153913149276</v>
      </c>
      <c r="L531" s="6">
        <f t="shared" si="158"/>
        <v>20.642545649200198</v>
      </c>
      <c r="M531" s="6">
        <f t="shared" si="159"/>
        <v>44.610608263949075</v>
      </c>
      <c r="N531" s="6">
        <v>2055.4299999999998</v>
      </c>
      <c r="O531" s="6">
        <f t="shared" si="171"/>
        <v>29.902230311763333</v>
      </c>
      <c r="P531" s="6">
        <f t="shared" si="160"/>
        <v>3.4648638234552629</v>
      </c>
      <c r="Q531" s="6">
        <f t="shared" si="161"/>
        <v>26.437366488308069</v>
      </c>
      <c r="R531" s="6">
        <v>1.26</v>
      </c>
      <c r="S531" s="6">
        <f t="shared" si="172"/>
        <v>50</v>
      </c>
      <c r="T531" s="6" t="str">
        <f t="shared" si="162"/>
        <v/>
      </c>
      <c r="U531" s="6" t="str">
        <f t="shared" si="163"/>
        <v/>
      </c>
      <c r="V531" s="6">
        <v>29.12</v>
      </c>
      <c r="W531" s="6">
        <f t="shared" si="173"/>
        <v>18.663406682966599</v>
      </c>
      <c r="X531" s="6">
        <f t="shared" si="164"/>
        <v>23.65512853494366</v>
      </c>
      <c r="Y531" s="6">
        <f t="shared" si="165"/>
        <v>-4.9917218519770614</v>
      </c>
      <c r="Z531" s="6"/>
      <c r="AA531" s="6" t="str">
        <f t="shared" si="174"/>
        <v/>
      </c>
      <c r="AB531" s="6" t="str">
        <f t="shared" si="166"/>
        <v/>
      </c>
      <c r="AC531" s="6" t="str">
        <f t="shared" si="167"/>
        <v/>
      </c>
    </row>
    <row r="532" spans="1:29" x14ac:dyDescent="0.2">
      <c r="A532" t="s">
        <v>616</v>
      </c>
      <c r="B532" s="6">
        <v>539.72</v>
      </c>
      <c r="C532" s="6">
        <f t="shared" si="168"/>
        <v>10.480635388520444</v>
      </c>
      <c r="D532" s="6">
        <f t="shared" si="154"/>
        <v>6.1143800130334105</v>
      </c>
      <c r="E532" s="6">
        <f t="shared" si="155"/>
        <v>4.3662553754870332</v>
      </c>
      <c r="F532" s="6">
        <v>34</v>
      </c>
      <c r="G532" s="6">
        <f t="shared" si="169"/>
        <v>38.775510204081634</v>
      </c>
      <c r="H532" s="6">
        <f t="shared" si="156"/>
        <v>1.0951653891586763</v>
      </c>
      <c r="I532" s="6">
        <f t="shared" si="157"/>
        <v>37.680344814922961</v>
      </c>
      <c r="J532" s="6">
        <v>14162.5</v>
      </c>
      <c r="K532" s="6">
        <f t="shared" si="170"/>
        <v>96.888432900144039</v>
      </c>
      <c r="L532" s="6">
        <f t="shared" si="158"/>
        <v>20.077109805492729</v>
      </c>
      <c r="M532" s="6">
        <f t="shared" si="159"/>
        <v>76.811323094651314</v>
      </c>
      <c r="N532" s="6">
        <v>2201.29</v>
      </c>
      <c r="O532" s="6">
        <f t="shared" si="171"/>
        <v>37.953098365587067</v>
      </c>
      <c r="P532" s="6">
        <f t="shared" si="160"/>
        <v>3.8845168116802156</v>
      </c>
      <c r="Q532" s="6">
        <f t="shared" si="161"/>
        <v>34.068581553906853</v>
      </c>
      <c r="R532" s="6">
        <v>1.24</v>
      </c>
      <c r="S532" s="6">
        <f t="shared" si="172"/>
        <v>45.882352941176464</v>
      </c>
      <c r="T532" s="6" t="str">
        <f t="shared" si="162"/>
        <v/>
      </c>
      <c r="U532" s="6" t="str">
        <f t="shared" si="163"/>
        <v/>
      </c>
      <c r="V532" s="6">
        <v>29.97</v>
      </c>
      <c r="W532" s="6">
        <f t="shared" si="173"/>
        <v>7.4578702043743172</v>
      </c>
      <c r="X532" s="6">
        <f t="shared" si="164"/>
        <v>21.890470270692902</v>
      </c>
      <c r="Y532" s="6">
        <f t="shared" si="165"/>
        <v>-14.432600066318585</v>
      </c>
      <c r="Z532" s="6"/>
      <c r="AA532" s="6" t="str">
        <f t="shared" si="174"/>
        <v/>
      </c>
      <c r="AB532" s="6" t="str">
        <f t="shared" si="166"/>
        <v/>
      </c>
      <c r="AC532" s="6" t="str">
        <f t="shared" si="167"/>
        <v/>
      </c>
    </row>
    <row r="533" spans="1:29" x14ac:dyDescent="0.2">
      <c r="A533" t="s">
        <v>617</v>
      </c>
      <c r="B533" s="6">
        <v>527.23</v>
      </c>
      <c r="C533" s="6">
        <f t="shared" si="168"/>
        <v>8.4589907634074599</v>
      </c>
      <c r="D533" s="6">
        <f t="shared" si="154"/>
        <v>7.3036918928281915</v>
      </c>
      <c r="E533" s="6">
        <f t="shared" si="155"/>
        <v>1.1552988705792684</v>
      </c>
      <c r="F533" s="6">
        <v>37.75</v>
      </c>
      <c r="G533" s="6">
        <f t="shared" si="169"/>
        <v>51.606425702811244</v>
      </c>
      <c r="H533" s="6">
        <f t="shared" si="156"/>
        <v>1.9828097189212326</v>
      </c>
      <c r="I533" s="6">
        <f t="shared" si="157"/>
        <v>49.623615983890012</v>
      </c>
      <c r="J533" s="6">
        <v>15326.55</v>
      </c>
      <c r="K533" s="6">
        <f t="shared" si="170"/>
        <v>90.960775079055352</v>
      </c>
      <c r="L533" s="6">
        <f t="shared" si="158"/>
        <v>19.836646042128891</v>
      </c>
      <c r="M533" s="6">
        <f t="shared" si="159"/>
        <v>71.124129036926462</v>
      </c>
      <c r="N533" s="6">
        <v>2423.5700000000002</v>
      </c>
      <c r="O533" s="6">
        <f t="shared" si="171"/>
        <v>47.091632982532808</v>
      </c>
      <c r="P533" s="6">
        <f t="shared" si="160"/>
        <v>4.263536063658095</v>
      </c>
      <c r="Q533" s="6">
        <f t="shared" si="161"/>
        <v>42.828096918874714</v>
      </c>
      <c r="R533" s="6">
        <v>1.21</v>
      </c>
      <c r="S533" s="6">
        <f t="shared" si="172"/>
        <v>34.444444444444436</v>
      </c>
      <c r="T533" s="6">
        <f t="shared" si="162"/>
        <v>18.39482471797589</v>
      </c>
      <c r="U533" s="6">
        <f t="shared" si="163"/>
        <v>16.049619726468546</v>
      </c>
      <c r="V533" s="6">
        <v>31.37</v>
      </c>
      <c r="W533" s="6">
        <f t="shared" si="173"/>
        <v>2.0162601626016352</v>
      </c>
      <c r="X533" s="6">
        <f t="shared" si="164"/>
        <v>19.105961042441898</v>
      </c>
      <c r="Y533" s="6">
        <f t="shared" si="165"/>
        <v>-17.089700879840262</v>
      </c>
      <c r="Z533" s="6"/>
      <c r="AA533" s="6" t="str">
        <f t="shared" si="174"/>
        <v/>
      </c>
      <c r="AB533" s="6" t="str">
        <f t="shared" si="166"/>
        <v/>
      </c>
      <c r="AC533" s="6" t="str">
        <f t="shared" si="167"/>
        <v/>
      </c>
    </row>
    <row r="534" spans="1:29" x14ac:dyDescent="0.2">
      <c r="A534" t="s">
        <v>618</v>
      </c>
      <c r="B534" s="6">
        <v>564.13</v>
      </c>
      <c r="C534" s="6">
        <f t="shared" si="168"/>
        <v>18.278645560331274</v>
      </c>
      <c r="D534" s="6">
        <f t="shared" si="154"/>
        <v>8.4161023016650045</v>
      </c>
      <c r="E534" s="6">
        <f t="shared" si="155"/>
        <v>9.8625432586662694</v>
      </c>
      <c r="F534" s="6">
        <v>41.75</v>
      </c>
      <c r="G534" s="6">
        <f t="shared" si="169"/>
        <v>66.003976143141159</v>
      </c>
      <c r="H534" s="6">
        <f t="shared" si="156"/>
        <v>3.1377647882406556</v>
      </c>
      <c r="I534" s="6">
        <f t="shared" si="157"/>
        <v>62.8662113549005</v>
      </c>
      <c r="J534" s="6">
        <v>15145.13</v>
      </c>
      <c r="K534" s="6">
        <f t="shared" si="170"/>
        <v>75.636437434767473</v>
      </c>
      <c r="L534" s="6">
        <f t="shared" si="158"/>
        <v>19.75960264836959</v>
      </c>
      <c r="M534" s="6">
        <f t="shared" si="159"/>
        <v>55.876834786397879</v>
      </c>
      <c r="N534" s="6">
        <v>2759.53</v>
      </c>
      <c r="O534" s="6">
        <f t="shared" si="171"/>
        <v>63.887041216296495</v>
      </c>
      <c r="P534" s="6">
        <f t="shared" si="160"/>
        <v>4.6437089992185738</v>
      </c>
      <c r="Q534" s="6">
        <f t="shared" si="161"/>
        <v>59.243332217077921</v>
      </c>
      <c r="R534" s="6">
        <v>1.25</v>
      </c>
      <c r="S534" s="6">
        <f t="shared" si="172"/>
        <v>32.978723404255319</v>
      </c>
      <c r="T534" s="6">
        <f t="shared" si="162"/>
        <v>18.730472866124035</v>
      </c>
      <c r="U534" s="6">
        <f t="shared" si="163"/>
        <v>14.248250538131284</v>
      </c>
      <c r="V534" s="6">
        <v>31.33</v>
      </c>
      <c r="W534" s="6">
        <f t="shared" si="173"/>
        <v>-4.7141119221411287</v>
      </c>
      <c r="X534" s="6">
        <f t="shared" si="164"/>
        <v>16.622106905386541</v>
      </c>
      <c r="Y534" s="6">
        <f t="shared" si="165"/>
        <v>-21.33621882752767</v>
      </c>
      <c r="Z534" s="6"/>
      <c r="AA534" s="6" t="str">
        <f t="shared" si="174"/>
        <v/>
      </c>
      <c r="AB534" s="6" t="str">
        <f t="shared" si="166"/>
        <v/>
      </c>
      <c r="AC534" s="6" t="str">
        <f t="shared" si="167"/>
        <v/>
      </c>
    </row>
    <row r="535" spans="1:29" x14ac:dyDescent="0.2">
      <c r="A535" t="s">
        <v>619</v>
      </c>
      <c r="B535" s="6">
        <v>583.52</v>
      </c>
      <c r="C535" s="6">
        <f t="shared" si="168"/>
        <v>28.65615698379451</v>
      </c>
      <c r="D535" s="6">
        <f t="shared" si="154"/>
        <v>9.6473233414505728</v>
      </c>
      <c r="E535" s="6">
        <f t="shared" si="155"/>
        <v>19.008833642343937</v>
      </c>
      <c r="F535" s="6">
        <v>48.94</v>
      </c>
      <c r="G535" s="6">
        <f t="shared" si="169"/>
        <v>100.57377049180327</v>
      </c>
      <c r="H535" s="6">
        <f t="shared" si="156"/>
        <v>4.5926688250669523</v>
      </c>
      <c r="I535" s="6">
        <f t="shared" si="157"/>
        <v>95.981101666736322</v>
      </c>
      <c r="J535" s="6">
        <v>13715</v>
      </c>
      <c r="K535" s="6">
        <f t="shared" si="170"/>
        <v>63.686728783681716</v>
      </c>
      <c r="L535" s="6">
        <f t="shared" si="158"/>
        <v>19.071645313744835</v>
      </c>
      <c r="M535" s="6">
        <f t="shared" si="159"/>
        <v>44.615083469936877</v>
      </c>
      <c r="N535" s="6">
        <v>3008.72</v>
      </c>
      <c r="O535" s="6">
        <f t="shared" si="171"/>
        <v>81.359630616402839</v>
      </c>
      <c r="P535" s="6">
        <f t="shared" si="160"/>
        <v>5.3986926490305978</v>
      </c>
      <c r="Q535" s="6">
        <f t="shared" si="161"/>
        <v>75.960937967372246</v>
      </c>
      <c r="R535" s="6">
        <v>1.27</v>
      </c>
      <c r="S535" s="6">
        <f t="shared" si="172"/>
        <v>33.684210526315809</v>
      </c>
      <c r="T535" s="6">
        <f t="shared" si="162"/>
        <v>18.785089127522212</v>
      </c>
      <c r="U535" s="6">
        <f t="shared" si="163"/>
        <v>14.899121398793596</v>
      </c>
      <c r="V535" s="6">
        <v>33.67</v>
      </c>
      <c r="W535" s="6">
        <f t="shared" si="173"/>
        <v>10.902503293807641</v>
      </c>
      <c r="X535" s="6">
        <f t="shared" si="164"/>
        <v>13.332035775225648</v>
      </c>
      <c r="Y535" s="6">
        <f t="shared" si="165"/>
        <v>-2.4295324814180077</v>
      </c>
      <c r="Z535" s="6"/>
      <c r="AA535" s="6" t="str">
        <f t="shared" si="174"/>
        <v/>
      </c>
      <c r="AB535" s="6" t="str">
        <f t="shared" si="166"/>
        <v/>
      </c>
      <c r="AC535" s="6" t="str">
        <f t="shared" si="167"/>
        <v/>
      </c>
    </row>
    <row r="536" spans="1:29" x14ac:dyDescent="0.2">
      <c r="A536" t="s">
        <v>620</v>
      </c>
      <c r="B536" s="6">
        <v>575.04999999999995</v>
      </c>
      <c r="C536" s="6">
        <f t="shared" si="168"/>
        <v>29.802266263374101</v>
      </c>
      <c r="D536" s="6">
        <f t="shared" si="154"/>
        <v>10.864715612616983</v>
      </c>
      <c r="E536" s="6">
        <f t="shared" si="155"/>
        <v>18.937550650757117</v>
      </c>
      <c r="F536" s="6">
        <v>53.25</v>
      </c>
      <c r="G536" s="6">
        <f t="shared" si="169"/>
        <v>127.07889125799574</v>
      </c>
      <c r="H536" s="6">
        <f t="shared" si="156"/>
        <v>6.7677769108237094</v>
      </c>
      <c r="I536" s="6">
        <f t="shared" si="157"/>
        <v>120.31111434717202</v>
      </c>
      <c r="J536" s="6">
        <v>12848.13</v>
      </c>
      <c r="K536" s="6">
        <f t="shared" si="170"/>
        <v>62.426281236844396</v>
      </c>
      <c r="L536" s="6">
        <f t="shared" si="158"/>
        <v>18.208064938533081</v>
      </c>
      <c r="M536" s="6">
        <f t="shared" si="159"/>
        <v>44.218216298311319</v>
      </c>
      <c r="N536" s="6">
        <v>2948.73</v>
      </c>
      <c r="O536" s="6">
        <f t="shared" si="171"/>
        <v>85.749111799833685</v>
      </c>
      <c r="P536" s="6">
        <f t="shared" si="160"/>
        <v>6.547984176039324</v>
      </c>
      <c r="Q536" s="6">
        <f t="shared" si="161"/>
        <v>79.201127623794363</v>
      </c>
      <c r="R536" s="6">
        <v>1.27</v>
      </c>
      <c r="S536" s="6">
        <f t="shared" si="172"/>
        <v>44.318181818181813</v>
      </c>
      <c r="T536" s="6">
        <f t="shared" si="162"/>
        <v>18.925946077589693</v>
      </c>
      <c r="U536" s="6">
        <f t="shared" si="163"/>
        <v>25.39223574059212</v>
      </c>
      <c r="V536" s="6">
        <v>33.71</v>
      </c>
      <c r="W536" s="6">
        <f t="shared" si="173"/>
        <v>31.885758998435065</v>
      </c>
      <c r="X536" s="6">
        <f t="shared" si="164"/>
        <v>11.293921956539632</v>
      </c>
      <c r="Y536" s="6">
        <f t="shared" si="165"/>
        <v>20.591837041895431</v>
      </c>
      <c r="Z536" s="6"/>
      <c r="AA536" s="6" t="str">
        <f t="shared" si="174"/>
        <v/>
      </c>
      <c r="AB536" s="6" t="str">
        <f t="shared" si="166"/>
        <v/>
      </c>
      <c r="AC536" s="6" t="str">
        <f t="shared" si="167"/>
        <v/>
      </c>
    </row>
    <row r="537" spans="1:29" x14ac:dyDescent="0.2">
      <c r="A537" t="s">
        <v>621</v>
      </c>
      <c r="B537" s="6">
        <v>537.16999999999996</v>
      </c>
      <c r="C537" s="6">
        <f t="shared" si="168"/>
        <v>18.366312634965396</v>
      </c>
      <c r="D537" s="6">
        <f t="shared" si="154"/>
        <v>12.046336172868189</v>
      </c>
      <c r="E537" s="6">
        <f t="shared" si="155"/>
        <v>6.3199764620972072</v>
      </c>
      <c r="F537" s="6">
        <v>56.44</v>
      </c>
      <c r="G537" s="6">
        <f t="shared" si="169"/>
        <v>142.23175965665234</v>
      </c>
      <c r="H537" s="6">
        <f t="shared" si="156"/>
        <v>9.4950750125428112</v>
      </c>
      <c r="I537" s="6">
        <f t="shared" si="157"/>
        <v>132.73668464410954</v>
      </c>
      <c r="J537" s="6">
        <v>11118.29</v>
      </c>
      <c r="K537" s="6">
        <f t="shared" si="170"/>
        <v>33.462775324315231</v>
      </c>
      <c r="L537" s="6">
        <f t="shared" si="158"/>
        <v>17.620341938447662</v>
      </c>
      <c r="M537" s="6">
        <f t="shared" si="159"/>
        <v>15.842433385867569</v>
      </c>
      <c r="N537" s="6">
        <v>2733.5</v>
      </c>
      <c r="O537" s="6">
        <f t="shared" si="171"/>
        <v>65.839541825418024</v>
      </c>
      <c r="P537" s="6">
        <f t="shared" si="160"/>
        <v>8.0320848737791497</v>
      </c>
      <c r="Q537" s="6">
        <f t="shared" si="161"/>
        <v>57.807456951638876</v>
      </c>
      <c r="R537" s="6">
        <v>1.24</v>
      </c>
      <c r="S537" s="6">
        <f t="shared" si="172"/>
        <v>47.619047619047628</v>
      </c>
      <c r="T537" s="6">
        <f t="shared" si="162"/>
        <v>19.368472301365916</v>
      </c>
      <c r="U537" s="6">
        <f t="shared" si="163"/>
        <v>28.250575317681712</v>
      </c>
      <c r="V537" s="6">
        <v>37.56</v>
      </c>
      <c r="W537" s="6">
        <f t="shared" si="173"/>
        <v>44.128933231005398</v>
      </c>
      <c r="X537" s="6">
        <f t="shared" si="164"/>
        <v>10.960519041323773</v>
      </c>
      <c r="Y537" s="6">
        <f t="shared" si="165"/>
        <v>33.168414189681627</v>
      </c>
      <c r="Z537" s="6"/>
      <c r="AA537" s="6" t="str">
        <f t="shared" si="174"/>
        <v/>
      </c>
      <c r="AB537" s="6" t="str">
        <f t="shared" si="166"/>
        <v/>
      </c>
      <c r="AC537" s="6" t="str">
        <f t="shared" si="167"/>
        <v/>
      </c>
    </row>
    <row r="538" spans="1:29" x14ac:dyDescent="0.2">
      <c r="A538" t="s">
        <v>622</v>
      </c>
      <c r="B538" s="6">
        <v>471.2</v>
      </c>
      <c r="C538" s="6">
        <f t="shared" si="168"/>
        <v>1.0703331116878712</v>
      </c>
      <c r="D538" s="6">
        <f t="shared" si="154"/>
        <v>13.091248387851019</v>
      </c>
      <c r="E538" s="6">
        <f t="shared" si="155"/>
        <v>-12.020915276163148</v>
      </c>
      <c r="F538" s="6">
        <v>59.55</v>
      </c>
      <c r="G538" s="6">
        <f t="shared" si="169"/>
        <v>147.09543568464727</v>
      </c>
      <c r="H538" s="6">
        <f t="shared" si="156"/>
        <v>12.498147272311828</v>
      </c>
      <c r="I538" s="6">
        <f t="shared" si="157"/>
        <v>134.59728841233544</v>
      </c>
      <c r="J538" s="6">
        <v>13533.52</v>
      </c>
      <c r="K538" s="6">
        <f t="shared" si="170"/>
        <v>52.49448999184203</v>
      </c>
      <c r="L538" s="6">
        <f t="shared" si="158"/>
        <v>16.492067083402066</v>
      </c>
      <c r="M538" s="6">
        <f t="shared" si="159"/>
        <v>36.002422908439968</v>
      </c>
      <c r="N538" s="6">
        <v>2686.71</v>
      </c>
      <c r="O538" s="6">
        <f t="shared" si="171"/>
        <v>59.306848502816493</v>
      </c>
      <c r="P538" s="6">
        <f t="shared" si="160"/>
        <v>9.0253626927076933</v>
      </c>
      <c r="Q538" s="6">
        <f t="shared" si="161"/>
        <v>50.281485810108798</v>
      </c>
      <c r="R538" s="6">
        <v>1.2</v>
      </c>
      <c r="S538" s="6">
        <f t="shared" si="172"/>
        <v>42.857142857142861</v>
      </c>
      <c r="T538" s="6">
        <f t="shared" si="162"/>
        <v>20.095384278277894</v>
      </c>
      <c r="U538" s="6">
        <f t="shared" si="163"/>
        <v>22.761758578864967</v>
      </c>
      <c r="V538" s="6">
        <v>35.54</v>
      </c>
      <c r="W538" s="6">
        <f t="shared" si="173"/>
        <v>27.292263610315182</v>
      </c>
      <c r="X538" s="6">
        <f t="shared" si="164"/>
        <v>10.436067333781674</v>
      </c>
      <c r="Y538" s="6">
        <f t="shared" si="165"/>
        <v>16.85619627653351</v>
      </c>
      <c r="Z538" s="6"/>
      <c r="AA538" s="6" t="str">
        <f t="shared" si="174"/>
        <v/>
      </c>
      <c r="AB538" s="6" t="str">
        <f t="shared" si="166"/>
        <v/>
      </c>
      <c r="AC538" s="6" t="str">
        <f t="shared" si="167"/>
        <v/>
      </c>
    </row>
    <row r="539" spans="1:29" x14ac:dyDescent="0.2">
      <c r="A539" t="s">
        <v>623</v>
      </c>
      <c r="B539" s="6">
        <v>454.77</v>
      </c>
      <c r="C539" s="6">
        <f t="shared" si="168"/>
        <v>-0.64449882023945859</v>
      </c>
      <c r="D539" s="6">
        <f t="shared" si="154"/>
        <v>13.522773184820707</v>
      </c>
      <c r="E539" s="6">
        <f t="shared" si="155"/>
        <v>-14.167272005060166</v>
      </c>
      <c r="F539" s="6">
        <v>61.38</v>
      </c>
      <c r="G539" s="6">
        <f t="shared" si="169"/>
        <v>152.07392197125259</v>
      </c>
      <c r="H539" s="6">
        <f t="shared" si="156"/>
        <v>15.602546115997407</v>
      </c>
      <c r="I539" s="6">
        <f t="shared" si="157"/>
        <v>136.47137585525519</v>
      </c>
      <c r="J539" s="6">
        <v>15023.3</v>
      </c>
      <c r="K539" s="6">
        <f t="shared" si="170"/>
        <v>70.769967001576603</v>
      </c>
      <c r="L539" s="6">
        <f t="shared" si="158"/>
        <v>16.296036747773332</v>
      </c>
      <c r="M539" s="6">
        <f t="shared" si="159"/>
        <v>54.473930253803275</v>
      </c>
      <c r="N539" s="6">
        <v>2808.43</v>
      </c>
      <c r="O539" s="6">
        <f t="shared" si="171"/>
        <v>64.235672514619878</v>
      </c>
      <c r="P539" s="6">
        <f t="shared" si="160"/>
        <v>9.7765859942990208</v>
      </c>
      <c r="Q539" s="6">
        <f t="shared" si="161"/>
        <v>54.459086520320859</v>
      </c>
      <c r="R539" s="6">
        <v>1.1499999999999999</v>
      </c>
      <c r="S539" s="6">
        <f t="shared" si="172"/>
        <v>30.681818181818166</v>
      </c>
      <c r="T539" s="6">
        <f t="shared" si="162"/>
        <v>20.798847481741095</v>
      </c>
      <c r="U539" s="6">
        <f t="shared" si="163"/>
        <v>9.8829707000770703</v>
      </c>
      <c r="V539" s="6">
        <v>37.89</v>
      </c>
      <c r="W539" s="6">
        <f t="shared" si="173"/>
        <v>32.528856243441773</v>
      </c>
      <c r="X539" s="6">
        <f t="shared" si="164"/>
        <v>9.3229905092101184</v>
      </c>
      <c r="Y539" s="6">
        <f t="shared" si="165"/>
        <v>23.205865734231654</v>
      </c>
      <c r="Z539" s="6"/>
      <c r="AA539" s="6" t="str">
        <f t="shared" si="174"/>
        <v/>
      </c>
      <c r="AB539" s="6" t="str">
        <f t="shared" si="166"/>
        <v/>
      </c>
      <c r="AC539" s="6" t="str">
        <f t="shared" si="167"/>
        <v/>
      </c>
    </row>
    <row r="540" spans="1:29" x14ac:dyDescent="0.2">
      <c r="A540" t="s">
        <v>624</v>
      </c>
      <c r="B540" s="6">
        <v>458.14</v>
      </c>
      <c r="C540" s="6">
        <f t="shared" si="168"/>
        <v>4.2743991260014491</v>
      </c>
      <c r="D540" s="6">
        <f t="shared" si="154"/>
        <v>13.555061904540118</v>
      </c>
      <c r="E540" s="6">
        <f t="shared" si="155"/>
        <v>-9.2806627785386695</v>
      </c>
      <c r="F540" s="6">
        <v>59.25</v>
      </c>
      <c r="G540" s="6">
        <f t="shared" si="169"/>
        <v>133.91235688906437</v>
      </c>
      <c r="H540" s="6">
        <f t="shared" si="156"/>
        <v>18.810663423987268</v>
      </c>
      <c r="I540" s="6">
        <f t="shared" si="157"/>
        <v>115.1016934650771</v>
      </c>
      <c r="J540" s="6">
        <v>13679.52</v>
      </c>
      <c r="K540" s="6">
        <f t="shared" si="170"/>
        <v>46.283436241495934</v>
      </c>
      <c r="L540" s="6">
        <f t="shared" si="158"/>
        <v>16.869733997348913</v>
      </c>
      <c r="M540" s="6">
        <f t="shared" si="159"/>
        <v>29.413702244147022</v>
      </c>
      <c r="N540" s="6">
        <v>2846.1</v>
      </c>
      <c r="O540" s="6">
        <f t="shared" si="171"/>
        <v>61.684504737882605</v>
      </c>
      <c r="P540" s="6">
        <f t="shared" si="160"/>
        <v>10.912390147296691</v>
      </c>
      <c r="Q540" s="6">
        <f t="shared" si="161"/>
        <v>50.772114590585915</v>
      </c>
      <c r="R540" s="6">
        <v>1.1399999999999999</v>
      </c>
      <c r="S540" s="6">
        <f t="shared" si="172"/>
        <v>19.999999999999996</v>
      </c>
      <c r="T540" s="6">
        <f t="shared" si="162"/>
        <v>21.152104314777336</v>
      </c>
      <c r="U540" s="6">
        <f t="shared" si="163"/>
        <v>-1.1521043147773398</v>
      </c>
      <c r="V540" s="6">
        <v>42.08</v>
      </c>
      <c r="W540" s="6">
        <f t="shared" si="173"/>
        <v>41.778975741239897</v>
      </c>
      <c r="X540" s="6">
        <f t="shared" si="164"/>
        <v>8.9924689409098697</v>
      </c>
      <c r="Y540" s="6">
        <f t="shared" si="165"/>
        <v>32.786506800330031</v>
      </c>
      <c r="Z540" s="6"/>
      <c r="AA540" s="6" t="str">
        <f t="shared" si="174"/>
        <v/>
      </c>
      <c r="AB540" s="6" t="str">
        <f t="shared" si="166"/>
        <v/>
      </c>
      <c r="AC540" s="6" t="str">
        <f t="shared" si="167"/>
        <v/>
      </c>
    </row>
    <row r="541" spans="1:29" x14ac:dyDescent="0.2">
      <c r="A541" t="s">
        <v>625</v>
      </c>
      <c r="B541" s="6">
        <v>468.09</v>
      </c>
      <c r="C541" s="6">
        <f t="shared" si="168"/>
        <v>6.1645233721167481</v>
      </c>
      <c r="D541" s="6">
        <f t="shared" si="154"/>
        <v>13.92659776203803</v>
      </c>
      <c r="E541" s="6">
        <f t="shared" si="155"/>
        <v>-7.7620743899212821</v>
      </c>
      <c r="F541" s="6">
        <v>55.38</v>
      </c>
      <c r="G541" s="6">
        <f t="shared" si="169"/>
        <v>107.41573033707867</v>
      </c>
      <c r="H541" s="6">
        <f t="shared" si="156"/>
        <v>21.640414792764869</v>
      </c>
      <c r="I541" s="6">
        <f t="shared" si="157"/>
        <v>85.775315544313798</v>
      </c>
      <c r="J541" s="6">
        <v>13270.91</v>
      </c>
      <c r="K541" s="6">
        <f t="shared" si="170"/>
        <v>33.17066954062782</v>
      </c>
      <c r="L541" s="6">
        <f t="shared" si="158"/>
        <v>17.330633589798992</v>
      </c>
      <c r="M541" s="6">
        <f t="shared" si="159"/>
        <v>15.840035950828828</v>
      </c>
      <c r="N541" s="6">
        <v>2894.86</v>
      </c>
      <c r="O541" s="6">
        <f t="shared" si="171"/>
        <v>61.767401314318924</v>
      </c>
      <c r="P541" s="6">
        <f t="shared" si="160"/>
        <v>11.934174899649454</v>
      </c>
      <c r="Q541" s="6">
        <f t="shared" si="161"/>
        <v>49.833226414669468</v>
      </c>
      <c r="R541" s="6">
        <v>1.1499999999999999</v>
      </c>
      <c r="S541" s="6">
        <f t="shared" si="172"/>
        <v>5.504587155963292</v>
      </c>
      <c r="T541" s="6">
        <f t="shared" si="162"/>
        <v>21.298709253048941</v>
      </c>
      <c r="U541" s="6">
        <f t="shared" si="163"/>
        <v>-15.794122097085648</v>
      </c>
      <c r="V541" s="6">
        <v>41.6</v>
      </c>
      <c r="W541" s="6">
        <f t="shared" si="173"/>
        <v>54.761904761904766</v>
      </c>
      <c r="X541" s="6">
        <f t="shared" si="164"/>
        <v>8.9388797268362534</v>
      </c>
      <c r="Y541" s="6">
        <f t="shared" si="165"/>
        <v>45.823025035068511</v>
      </c>
      <c r="Z541" s="6"/>
      <c r="AA541" s="6" t="str">
        <f t="shared" si="174"/>
        <v/>
      </c>
      <c r="AB541" s="6" t="str">
        <f t="shared" si="166"/>
        <v/>
      </c>
      <c r="AC541" s="6" t="str">
        <f t="shared" si="167"/>
        <v/>
      </c>
    </row>
    <row r="542" spans="1:29" x14ac:dyDescent="0.2">
      <c r="A542" t="s">
        <v>626</v>
      </c>
      <c r="B542" s="6">
        <v>451.26</v>
      </c>
      <c r="C542" s="6">
        <f t="shared" si="168"/>
        <v>-12.388607373755034</v>
      </c>
      <c r="D542" s="6">
        <f t="shared" si="154"/>
        <v>14.591966913046477</v>
      </c>
      <c r="E542" s="6">
        <f t="shared" si="155"/>
        <v>-26.980574286801513</v>
      </c>
      <c r="F542" s="6">
        <v>56.63</v>
      </c>
      <c r="G542" s="6">
        <f t="shared" si="169"/>
        <v>105.92727272727274</v>
      </c>
      <c r="H542" s="6">
        <f t="shared" si="156"/>
        <v>23.794430247584277</v>
      </c>
      <c r="I542" s="6">
        <f t="shared" si="157"/>
        <v>82.132842479688463</v>
      </c>
      <c r="J542" s="6">
        <v>14404.29</v>
      </c>
      <c r="K542" s="6">
        <f t="shared" si="170"/>
        <v>30.388959344338872</v>
      </c>
      <c r="L542" s="6">
        <f t="shared" si="158"/>
        <v>17.544586868664236</v>
      </c>
      <c r="M542" s="6">
        <f t="shared" si="159"/>
        <v>12.844372475674636</v>
      </c>
      <c r="N542" s="6">
        <v>3012.24</v>
      </c>
      <c r="O542" s="6">
        <f t="shared" si="171"/>
        <v>56.843387797182032</v>
      </c>
      <c r="P542" s="6">
        <f t="shared" si="160"/>
        <v>12.970961005212098</v>
      </c>
      <c r="Q542" s="6">
        <f t="shared" si="161"/>
        <v>43.872426791969936</v>
      </c>
      <c r="R542" s="6">
        <v>1.21</v>
      </c>
      <c r="S542" s="6">
        <f t="shared" si="172"/>
        <v>-6.2015503875968996</v>
      </c>
      <c r="T542" s="6">
        <f t="shared" si="162"/>
        <v>21.413388152131507</v>
      </c>
      <c r="U542" s="6">
        <f t="shared" si="163"/>
        <v>-27.614938539728406</v>
      </c>
      <c r="V542" s="6">
        <v>46.88</v>
      </c>
      <c r="W542" s="6">
        <f t="shared" si="173"/>
        <v>61.599448466046191</v>
      </c>
      <c r="X542" s="6">
        <f t="shared" si="164"/>
        <v>9.2188863697283576</v>
      </c>
      <c r="Y542" s="6">
        <f t="shared" si="165"/>
        <v>52.380562096317831</v>
      </c>
      <c r="Z542" s="6"/>
      <c r="AA542" s="6" t="str">
        <f t="shared" si="174"/>
        <v/>
      </c>
      <c r="AB542" s="6" t="str">
        <f t="shared" si="166"/>
        <v/>
      </c>
      <c r="AC542" s="6" t="str">
        <f t="shared" si="167"/>
        <v/>
      </c>
    </row>
    <row r="543" spans="1:29" x14ac:dyDescent="0.2">
      <c r="A543" t="s">
        <v>627</v>
      </c>
      <c r="B543" s="6">
        <v>454.61</v>
      </c>
      <c r="C543" s="6">
        <f t="shared" si="168"/>
        <v>-17.041970802919703</v>
      </c>
      <c r="D543" s="6">
        <f t="shared" si="154"/>
        <v>15.022847304046005</v>
      </c>
      <c r="E543" s="6">
        <f t="shared" si="155"/>
        <v>-32.06481810696571</v>
      </c>
      <c r="F543" s="6">
        <v>52.83</v>
      </c>
      <c r="G543" s="6">
        <f t="shared" si="169"/>
        <v>76.629889669007014</v>
      </c>
      <c r="H543" s="6">
        <f t="shared" si="156"/>
        <v>25.875109106485795</v>
      </c>
      <c r="I543" s="6">
        <f t="shared" si="157"/>
        <v>50.754780562521219</v>
      </c>
      <c r="J543" s="6">
        <v>14045.46</v>
      </c>
      <c r="K543" s="6">
        <f t="shared" si="170"/>
        <v>16.207835188019693</v>
      </c>
      <c r="L543" s="6">
        <f t="shared" si="158"/>
        <v>18.076135659634293</v>
      </c>
      <c r="M543" s="6">
        <f t="shared" si="159"/>
        <v>-1.8683004716145994</v>
      </c>
      <c r="N543" s="6">
        <v>3122.8</v>
      </c>
      <c r="O543" s="6">
        <f t="shared" si="171"/>
        <v>51.929280004670588</v>
      </c>
      <c r="P543" s="6">
        <f t="shared" si="160"/>
        <v>13.944378141790921</v>
      </c>
      <c r="Q543" s="6">
        <f t="shared" si="161"/>
        <v>37.984901862879667</v>
      </c>
      <c r="R543" s="6">
        <v>1.22</v>
      </c>
      <c r="S543" s="6">
        <f t="shared" si="172"/>
        <v>-3.1746031746031744</v>
      </c>
      <c r="T543" s="6">
        <f t="shared" si="162"/>
        <v>21.498649970036965</v>
      </c>
      <c r="U543" s="6">
        <f t="shared" si="163"/>
        <v>-24.673253144640139</v>
      </c>
      <c r="V543" s="6">
        <v>42.13</v>
      </c>
      <c r="W543" s="6">
        <f t="shared" si="173"/>
        <v>44.67719780219781</v>
      </c>
      <c r="X543" s="6">
        <f t="shared" si="164"/>
        <v>9.605283383613811</v>
      </c>
      <c r="Y543" s="6">
        <f t="shared" si="165"/>
        <v>35.071914418584001</v>
      </c>
      <c r="Z543" s="6"/>
      <c r="AA543" s="6" t="str">
        <f t="shared" si="174"/>
        <v/>
      </c>
      <c r="AB543" s="6" t="str">
        <f t="shared" si="166"/>
        <v/>
      </c>
      <c r="AC543" s="6" t="str">
        <f t="shared" si="167"/>
        <v/>
      </c>
    </row>
    <row r="544" spans="1:29" x14ac:dyDescent="0.2">
      <c r="A544" t="s">
        <v>628</v>
      </c>
      <c r="B544" s="6">
        <v>446.2</v>
      </c>
      <c r="C544" s="6">
        <f t="shared" si="168"/>
        <v>-17.327503149781375</v>
      </c>
      <c r="D544" s="6">
        <f t="shared" si="154"/>
        <v>15.304067506913105</v>
      </c>
      <c r="E544" s="6">
        <f t="shared" si="155"/>
        <v>-32.631570656694478</v>
      </c>
      <c r="F544" s="6">
        <v>52.25</v>
      </c>
      <c r="G544" s="6">
        <f t="shared" si="169"/>
        <v>53.676470588235304</v>
      </c>
      <c r="H544" s="6">
        <f t="shared" si="156"/>
        <v>27.301412418813214</v>
      </c>
      <c r="I544" s="6">
        <f t="shared" si="157"/>
        <v>26.37505816942209</v>
      </c>
      <c r="J544" s="6">
        <v>13768.81</v>
      </c>
      <c r="K544" s="6">
        <f t="shared" si="170"/>
        <v>-2.7798058252427205</v>
      </c>
      <c r="L544" s="6">
        <f t="shared" si="158"/>
        <v>18.573603535748145</v>
      </c>
      <c r="M544" s="6">
        <f t="shared" si="159"/>
        <v>-21.353409360990867</v>
      </c>
      <c r="N544" s="6">
        <v>3145.45</v>
      </c>
      <c r="O544" s="6">
        <f t="shared" si="171"/>
        <v>42.891213788278691</v>
      </c>
      <c r="P544" s="6">
        <f t="shared" si="160"/>
        <v>14.944764378466038</v>
      </c>
      <c r="Q544" s="6">
        <f t="shared" si="161"/>
        <v>27.946449409812651</v>
      </c>
      <c r="R544" s="6">
        <v>1.19</v>
      </c>
      <c r="S544" s="6">
        <f t="shared" si="172"/>
        <v>-4.032258064516137</v>
      </c>
      <c r="T544" s="6">
        <f t="shared" si="162"/>
        <v>21.871108895127474</v>
      </c>
      <c r="U544" s="6">
        <f t="shared" si="163"/>
        <v>-25.903366959643613</v>
      </c>
      <c r="V544" s="6">
        <v>39.04</v>
      </c>
      <c r="W544" s="6">
        <f t="shared" si="173"/>
        <v>30.263596930263592</v>
      </c>
      <c r="X544" s="6">
        <f t="shared" si="164"/>
        <v>9.8315536468770386</v>
      </c>
      <c r="Y544" s="6">
        <f t="shared" si="165"/>
        <v>20.432043283386555</v>
      </c>
      <c r="Z544" s="6"/>
      <c r="AA544" s="6" t="str">
        <f t="shared" si="174"/>
        <v/>
      </c>
      <c r="AB544" s="6" t="str">
        <f t="shared" si="166"/>
        <v/>
      </c>
      <c r="AC544" s="6" t="str">
        <f t="shared" si="167"/>
        <v/>
      </c>
    </row>
    <row r="545" spans="1:29" x14ac:dyDescent="0.2">
      <c r="A545" t="s">
        <v>629</v>
      </c>
      <c r="B545" s="6">
        <v>418.86</v>
      </c>
      <c r="C545" s="6">
        <f t="shared" si="168"/>
        <v>-20.554596665591863</v>
      </c>
      <c r="D545" s="6">
        <f t="shared" si="154"/>
        <v>15.466853752497933</v>
      </c>
      <c r="E545" s="6">
        <f t="shared" si="155"/>
        <v>-36.021450418089799</v>
      </c>
      <c r="F545" s="6">
        <v>53.05</v>
      </c>
      <c r="G545" s="6">
        <f t="shared" si="169"/>
        <v>40.529801324503303</v>
      </c>
      <c r="H545" s="6">
        <f t="shared" si="156"/>
        <v>27.950714719414734</v>
      </c>
      <c r="I545" s="6">
        <f t="shared" si="157"/>
        <v>12.57908660508857</v>
      </c>
      <c r="J545" s="6">
        <v>14505</v>
      </c>
      <c r="K545" s="6">
        <f t="shared" si="170"/>
        <v>-5.3603061354316477</v>
      </c>
      <c r="L545" s="6">
        <f t="shared" si="158"/>
        <v>18.713895955679405</v>
      </c>
      <c r="M545" s="6">
        <f t="shared" si="159"/>
        <v>-24.074202091111054</v>
      </c>
      <c r="N545" s="6">
        <v>3170</v>
      </c>
      <c r="O545" s="6">
        <f t="shared" si="171"/>
        <v>30.798780311688944</v>
      </c>
      <c r="P545" s="6">
        <f t="shared" si="160"/>
        <v>15.737042197950208</v>
      </c>
      <c r="Q545" s="6">
        <f t="shared" si="161"/>
        <v>15.061738113738736</v>
      </c>
      <c r="R545" s="6">
        <v>1.19</v>
      </c>
      <c r="S545" s="6">
        <f t="shared" si="172"/>
        <v>-1.6528925619834767</v>
      </c>
      <c r="T545" s="6">
        <f t="shared" si="162"/>
        <v>22.084722566402437</v>
      </c>
      <c r="U545" s="6">
        <f t="shared" si="163"/>
        <v>-23.737615128385915</v>
      </c>
      <c r="V545" s="6">
        <v>42.97</v>
      </c>
      <c r="W545" s="6">
        <f t="shared" si="173"/>
        <v>36.978004462862593</v>
      </c>
      <c r="X545" s="6">
        <f t="shared" si="164"/>
        <v>10.453745116788738</v>
      </c>
      <c r="Y545" s="6">
        <f t="shared" si="165"/>
        <v>26.524259346073855</v>
      </c>
      <c r="Z545" s="6"/>
      <c r="AA545" s="6" t="str">
        <f t="shared" si="174"/>
        <v/>
      </c>
      <c r="AB545" s="6" t="str">
        <f t="shared" si="166"/>
        <v/>
      </c>
      <c r="AC545" s="6" t="str">
        <f t="shared" si="167"/>
        <v/>
      </c>
    </row>
    <row r="546" spans="1:29" x14ac:dyDescent="0.2">
      <c r="A546" t="s">
        <v>630</v>
      </c>
      <c r="B546" s="6">
        <v>422.63</v>
      </c>
      <c r="C546" s="6">
        <f t="shared" si="168"/>
        <v>-25.082870969457392</v>
      </c>
      <c r="D546" s="6">
        <f t="shared" si="154"/>
        <v>15.601372452232967</v>
      </c>
      <c r="E546" s="6">
        <f t="shared" si="155"/>
        <v>-40.684243421690361</v>
      </c>
      <c r="F546" s="6">
        <v>49.9</v>
      </c>
      <c r="G546" s="6">
        <f t="shared" si="169"/>
        <v>19.52095808383234</v>
      </c>
      <c r="H546" s="6">
        <f t="shared" si="156"/>
        <v>28.214076284193144</v>
      </c>
      <c r="I546" s="6">
        <f t="shared" si="157"/>
        <v>-8.6931182003608036</v>
      </c>
      <c r="J546" s="6">
        <v>15349.5</v>
      </c>
      <c r="K546" s="6">
        <f t="shared" si="170"/>
        <v>1.34941066864398</v>
      </c>
      <c r="L546" s="6">
        <f t="shared" si="158"/>
        <v>18.93184813934376</v>
      </c>
      <c r="M546" s="6">
        <f t="shared" si="159"/>
        <v>-17.58243747069978</v>
      </c>
      <c r="N546" s="6">
        <v>3253.7</v>
      </c>
      <c r="O546" s="6">
        <f t="shared" si="171"/>
        <v>17.907759654723797</v>
      </c>
      <c r="P546" s="6">
        <f t="shared" si="160"/>
        <v>16.442494703300365</v>
      </c>
      <c r="Q546" s="6">
        <f t="shared" si="161"/>
        <v>1.4652649514234319</v>
      </c>
      <c r="R546" s="6">
        <v>1.22</v>
      </c>
      <c r="S546" s="6">
        <f t="shared" si="172"/>
        <v>-2.4000000000000021</v>
      </c>
      <c r="T546" s="6">
        <f t="shared" si="162"/>
        <v>22.373057257746094</v>
      </c>
      <c r="U546" s="6">
        <f t="shared" si="163"/>
        <v>-24.773057257746096</v>
      </c>
      <c r="V546" s="6">
        <v>44.82</v>
      </c>
      <c r="W546" s="6">
        <f t="shared" si="173"/>
        <v>43.05777210341526</v>
      </c>
      <c r="X546" s="6">
        <f t="shared" si="164"/>
        <v>11.170616983108912</v>
      </c>
      <c r="Y546" s="6">
        <f t="shared" si="165"/>
        <v>31.887155120306346</v>
      </c>
      <c r="Z546" s="6"/>
      <c r="AA546" s="6" t="str">
        <f t="shared" si="174"/>
        <v/>
      </c>
      <c r="AB546" s="6" t="str">
        <f t="shared" si="166"/>
        <v/>
      </c>
      <c r="AC546" s="6" t="str">
        <f t="shared" si="167"/>
        <v/>
      </c>
    </row>
    <row r="547" spans="1:29" x14ac:dyDescent="0.2">
      <c r="A547" t="s">
        <v>631</v>
      </c>
      <c r="B547" s="6">
        <v>458.13</v>
      </c>
      <c r="C547" s="6">
        <f t="shared" si="168"/>
        <v>-21.488552234713467</v>
      </c>
      <c r="D547" s="6">
        <f t="shared" si="154"/>
        <v>15.656121877317062</v>
      </c>
      <c r="E547" s="6">
        <f t="shared" si="155"/>
        <v>-37.144674112030529</v>
      </c>
      <c r="F547" s="6">
        <v>50.93</v>
      </c>
      <c r="G547" s="6">
        <f t="shared" si="169"/>
        <v>4.0662035145075714</v>
      </c>
      <c r="H547" s="6">
        <f t="shared" si="156"/>
        <v>28.039753614790911</v>
      </c>
      <c r="I547" s="6">
        <f t="shared" si="157"/>
        <v>-23.97355010028334</v>
      </c>
      <c r="J547" s="6">
        <v>16190.65</v>
      </c>
      <c r="K547" s="6">
        <f t="shared" si="170"/>
        <v>18.050674444039359</v>
      </c>
      <c r="L547" s="6">
        <f t="shared" si="158"/>
        <v>19.635289133474675</v>
      </c>
      <c r="M547" s="6">
        <f t="shared" si="159"/>
        <v>-1.5846146894353161</v>
      </c>
      <c r="N547" s="6">
        <v>3379.49</v>
      </c>
      <c r="O547" s="6">
        <f t="shared" si="171"/>
        <v>12.323180621659713</v>
      </c>
      <c r="P547" s="6">
        <f t="shared" si="160"/>
        <v>16.856271855352201</v>
      </c>
      <c r="Q547" s="6">
        <f t="shared" si="161"/>
        <v>-4.5330912336924882</v>
      </c>
      <c r="R547" s="6">
        <v>1.22</v>
      </c>
      <c r="S547" s="6">
        <f t="shared" si="172"/>
        <v>-3.9370078740157521</v>
      </c>
      <c r="T547" s="6">
        <f t="shared" si="162"/>
        <v>22.779678262312302</v>
      </c>
      <c r="U547" s="6">
        <f t="shared" si="163"/>
        <v>-26.716686136328054</v>
      </c>
      <c r="V547" s="6">
        <v>50.94</v>
      </c>
      <c r="W547" s="6">
        <f t="shared" si="173"/>
        <v>51.291951291951278</v>
      </c>
      <c r="X547" s="6">
        <f t="shared" si="164"/>
        <v>12.066123164727024</v>
      </c>
      <c r="Y547" s="6">
        <f t="shared" si="165"/>
        <v>39.225828127224254</v>
      </c>
      <c r="Z547" s="6"/>
      <c r="AA547" s="6" t="str">
        <f t="shared" si="174"/>
        <v/>
      </c>
      <c r="AB547" s="6" t="str">
        <f t="shared" si="166"/>
        <v/>
      </c>
      <c r="AC547" s="6" t="str">
        <f t="shared" si="167"/>
        <v/>
      </c>
    </row>
    <row r="548" spans="1:29" x14ac:dyDescent="0.2">
      <c r="A548" t="s">
        <v>632</v>
      </c>
      <c r="B548" s="6">
        <v>457.86</v>
      </c>
      <c r="C548" s="6">
        <f t="shared" si="168"/>
        <v>-20.379097469785222</v>
      </c>
      <c r="D548" s="6">
        <f t="shared" si="154"/>
        <v>15.775540171854134</v>
      </c>
      <c r="E548" s="6">
        <f t="shared" si="155"/>
        <v>-36.154637641639354</v>
      </c>
      <c r="F548" s="6">
        <v>51.25</v>
      </c>
      <c r="G548" s="6">
        <f t="shared" si="169"/>
        <v>-3.7558685446009377</v>
      </c>
      <c r="H548" s="6">
        <f t="shared" si="156"/>
        <v>27.50195622785046</v>
      </c>
      <c r="I548" s="6">
        <f t="shared" si="157"/>
        <v>-31.257824772451396</v>
      </c>
      <c r="J548" s="6">
        <v>16141.91</v>
      </c>
      <c r="K548" s="6">
        <f t="shared" si="170"/>
        <v>25.636259907083758</v>
      </c>
      <c r="L548" s="6">
        <f t="shared" si="158"/>
        <v>20.851679163305164</v>
      </c>
      <c r="M548" s="6">
        <f t="shared" si="159"/>
        <v>4.7845807437785943</v>
      </c>
      <c r="N548" s="6">
        <v>3394.48</v>
      </c>
      <c r="O548" s="6">
        <f t="shared" si="171"/>
        <v>15.116677349231701</v>
      </c>
      <c r="P548" s="6">
        <f t="shared" si="160"/>
        <v>17.113747382470766</v>
      </c>
      <c r="Q548" s="6">
        <f t="shared" si="161"/>
        <v>-1.9970700332390656</v>
      </c>
      <c r="R548" s="6">
        <v>1.21</v>
      </c>
      <c r="S548" s="6">
        <f t="shared" si="172"/>
        <v>-4.7244094488188999</v>
      </c>
      <c r="T548" s="6">
        <f t="shared" si="162"/>
        <v>23.139576456856165</v>
      </c>
      <c r="U548" s="6">
        <f t="shared" si="163"/>
        <v>-27.863985905675065</v>
      </c>
      <c r="V548" s="6">
        <v>50.64</v>
      </c>
      <c r="W548" s="6">
        <f t="shared" si="173"/>
        <v>50.222485909225753</v>
      </c>
      <c r="X548" s="6">
        <f t="shared" si="164"/>
        <v>13.321894764259993</v>
      </c>
      <c r="Y548" s="6">
        <f t="shared" si="165"/>
        <v>36.900591144965759</v>
      </c>
      <c r="Z548" s="6"/>
      <c r="AA548" s="6" t="str">
        <f t="shared" si="174"/>
        <v/>
      </c>
      <c r="AB548" s="6" t="str">
        <f t="shared" si="166"/>
        <v/>
      </c>
      <c r="AC548" s="6" t="str">
        <f t="shared" si="167"/>
        <v/>
      </c>
    </row>
    <row r="549" spans="1:29" x14ac:dyDescent="0.2">
      <c r="A549" t="s">
        <v>633</v>
      </c>
      <c r="B549" s="6">
        <v>450</v>
      </c>
      <c r="C549" s="6">
        <f t="shared" si="168"/>
        <v>-16.227637433214802</v>
      </c>
      <c r="D549" s="6">
        <f t="shared" si="154"/>
        <v>16.028619010409233</v>
      </c>
      <c r="E549" s="6">
        <f t="shared" si="155"/>
        <v>-32.256256443624039</v>
      </c>
      <c r="F549" s="6">
        <v>51.31</v>
      </c>
      <c r="G549" s="6">
        <f t="shared" si="169"/>
        <v>-9.0892983699503827</v>
      </c>
      <c r="H549" s="6">
        <f t="shared" si="156"/>
        <v>26.726497811126123</v>
      </c>
      <c r="I549" s="6">
        <f t="shared" si="157"/>
        <v>-35.815796181076507</v>
      </c>
      <c r="J549" s="6">
        <v>16931.5</v>
      </c>
      <c r="K549" s="6">
        <f t="shared" si="170"/>
        <v>52.285108591339124</v>
      </c>
      <c r="L549" s="6">
        <f t="shared" si="158"/>
        <v>22.11343646272724</v>
      </c>
      <c r="M549" s="6">
        <f t="shared" si="159"/>
        <v>30.171672128611885</v>
      </c>
      <c r="N549" s="6">
        <v>3249.1</v>
      </c>
      <c r="O549" s="6">
        <f t="shared" si="171"/>
        <v>18.862264496067315</v>
      </c>
      <c r="P549" s="6">
        <f t="shared" si="160"/>
        <v>17.446784390413466</v>
      </c>
      <c r="Q549" s="6">
        <f t="shared" si="161"/>
        <v>1.4154801056538489</v>
      </c>
      <c r="R549" s="6">
        <v>1.21</v>
      </c>
      <c r="S549" s="6">
        <f t="shared" si="172"/>
        <v>-2.4193548387096753</v>
      </c>
      <c r="T549" s="6">
        <f t="shared" si="162"/>
        <v>23.464328343339105</v>
      </c>
      <c r="U549" s="6">
        <f t="shared" si="163"/>
        <v>-25.883683182048781</v>
      </c>
      <c r="V549" s="6">
        <v>47.83</v>
      </c>
      <c r="W549" s="6">
        <f t="shared" si="173"/>
        <v>27.342917997870053</v>
      </c>
      <c r="X549" s="6">
        <f t="shared" si="164"/>
        <v>14.168473503332502</v>
      </c>
      <c r="Y549" s="6">
        <f t="shared" si="165"/>
        <v>13.174444494537552</v>
      </c>
      <c r="Z549" s="6"/>
      <c r="AA549" s="6" t="str">
        <f t="shared" si="174"/>
        <v/>
      </c>
      <c r="AB549" s="6" t="str">
        <f t="shared" si="166"/>
        <v/>
      </c>
      <c r="AC549" s="6" t="str">
        <f t="shared" si="167"/>
        <v/>
      </c>
    </row>
    <row r="550" spans="1:29" x14ac:dyDescent="0.2">
      <c r="A550" t="s">
        <v>634</v>
      </c>
      <c r="B550" s="6">
        <v>451.7</v>
      </c>
      <c r="C550" s="6">
        <f t="shared" si="168"/>
        <v>-4.1383701188455024</v>
      </c>
      <c r="D550" s="6">
        <f t="shared" si="154"/>
        <v>16.269246934254298</v>
      </c>
      <c r="E550" s="6">
        <f t="shared" si="155"/>
        <v>-20.407617053099798</v>
      </c>
      <c r="F550" s="6">
        <v>51</v>
      </c>
      <c r="G550" s="6">
        <f t="shared" si="169"/>
        <v>-14.357682619647349</v>
      </c>
      <c r="H550" s="6">
        <f t="shared" si="156"/>
        <v>25.869819720085488</v>
      </c>
      <c r="I550" s="6">
        <f t="shared" si="157"/>
        <v>-40.227502339732837</v>
      </c>
      <c r="J550" s="6">
        <v>16159.55</v>
      </c>
      <c r="K550" s="6">
        <f t="shared" si="170"/>
        <v>19.40389492164638</v>
      </c>
      <c r="L550" s="6">
        <f t="shared" si="158"/>
        <v>23.83394871625465</v>
      </c>
      <c r="M550" s="6">
        <f t="shared" si="159"/>
        <v>-4.4300537946082699</v>
      </c>
      <c r="N550" s="6">
        <v>3524.07</v>
      </c>
      <c r="O550" s="6">
        <f t="shared" si="171"/>
        <v>31.166742968165529</v>
      </c>
      <c r="P550" s="6">
        <f t="shared" si="160"/>
        <v>17.960399604473892</v>
      </c>
      <c r="Q550" s="6">
        <f t="shared" si="161"/>
        <v>13.206343363691637</v>
      </c>
      <c r="R550" s="6">
        <v>1.27</v>
      </c>
      <c r="S550" s="6">
        <f t="shared" si="172"/>
        <v>5.8333333333333348</v>
      </c>
      <c r="T550" s="6">
        <f t="shared" si="162"/>
        <v>23.783548773446629</v>
      </c>
      <c r="U550" s="6">
        <f t="shared" si="163"/>
        <v>-17.950215440113293</v>
      </c>
      <c r="V550" s="6">
        <v>53.89</v>
      </c>
      <c r="W550" s="6">
        <f t="shared" si="173"/>
        <v>51.6319639842431</v>
      </c>
      <c r="X550" s="6">
        <f t="shared" si="164"/>
        <v>14.710533957821044</v>
      </c>
      <c r="Y550" s="6">
        <f t="shared" si="165"/>
        <v>36.921430026422058</v>
      </c>
      <c r="Z550" s="6"/>
      <c r="AA550" s="6" t="str">
        <f t="shared" si="174"/>
        <v/>
      </c>
      <c r="AB550" s="6" t="str">
        <f t="shared" si="166"/>
        <v/>
      </c>
      <c r="AC550" s="6" t="str">
        <f t="shared" si="167"/>
        <v/>
      </c>
    </row>
    <row r="551" spans="1:29" x14ac:dyDescent="0.2">
      <c r="A551" t="s">
        <v>635</v>
      </c>
      <c r="B551" s="6">
        <v>454.52</v>
      </c>
      <c r="C551" s="6">
        <f t="shared" si="168"/>
        <v>-5.4972843415357353E-2</v>
      </c>
      <c r="D551" s="6">
        <f t="shared" si="154"/>
        <v>16.57985628693708</v>
      </c>
      <c r="E551" s="6">
        <f t="shared" si="155"/>
        <v>-16.634829130352436</v>
      </c>
      <c r="F551" s="6">
        <v>50.9</v>
      </c>
      <c r="G551" s="6">
        <f t="shared" si="169"/>
        <v>-17.073965461062247</v>
      </c>
      <c r="H551" s="6">
        <f t="shared" si="156"/>
        <v>24.895245603009499</v>
      </c>
      <c r="I551" s="6">
        <f t="shared" si="157"/>
        <v>-41.969211064071743</v>
      </c>
      <c r="J551" s="6">
        <v>14580.71</v>
      </c>
      <c r="K551" s="6">
        <f t="shared" si="170"/>
        <v>-2.9460238429639296</v>
      </c>
      <c r="L551" s="6">
        <f t="shared" si="158"/>
        <v>24.676545845646277</v>
      </c>
      <c r="M551" s="6">
        <f t="shared" si="159"/>
        <v>-27.622569688610206</v>
      </c>
      <c r="N551" s="6">
        <v>3614.21</v>
      </c>
      <c r="O551" s="6">
        <f t="shared" si="171"/>
        <v>28.691475308268323</v>
      </c>
      <c r="P551" s="6">
        <f t="shared" si="160"/>
        <v>18.781691847200069</v>
      </c>
      <c r="Q551" s="6">
        <f t="shared" si="161"/>
        <v>9.9097834610682547</v>
      </c>
      <c r="R551" s="6">
        <v>1.45</v>
      </c>
      <c r="S551" s="6">
        <f t="shared" si="172"/>
        <v>26.086956521739136</v>
      </c>
      <c r="T551" s="6">
        <f t="shared" si="162"/>
        <v>24.217576551224408</v>
      </c>
      <c r="U551" s="6">
        <f t="shared" si="163"/>
        <v>1.8693799705147285</v>
      </c>
      <c r="V551" s="6">
        <v>56.37</v>
      </c>
      <c r="W551" s="6">
        <f t="shared" si="173"/>
        <v>48.772763262074427</v>
      </c>
      <c r="X551" s="6">
        <f t="shared" si="164"/>
        <v>15.972588575487373</v>
      </c>
      <c r="Y551" s="6">
        <f t="shared" si="165"/>
        <v>32.800174686587056</v>
      </c>
      <c r="Z551" s="6"/>
      <c r="AA551" s="6" t="str">
        <f t="shared" si="174"/>
        <v/>
      </c>
      <c r="AB551" s="6" t="str">
        <f t="shared" si="166"/>
        <v/>
      </c>
      <c r="AC551" s="6" t="str">
        <f t="shared" si="167"/>
        <v/>
      </c>
    </row>
    <row r="552" spans="1:29" x14ac:dyDescent="0.2">
      <c r="A552" t="s">
        <v>636</v>
      </c>
      <c r="B552" s="6">
        <v>448.48</v>
      </c>
      <c r="C552" s="6">
        <f t="shared" si="168"/>
        <v>-2.1085257781464084</v>
      </c>
      <c r="D552" s="6">
        <f t="shared" si="154"/>
        <v>16.458518711673619</v>
      </c>
      <c r="E552" s="6">
        <f t="shared" si="155"/>
        <v>-18.567044489820027</v>
      </c>
      <c r="F552" s="6">
        <v>49.13</v>
      </c>
      <c r="G552" s="6">
        <f t="shared" si="169"/>
        <v>-17.080168776371309</v>
      </c>
      <c r="H552" s="6">
        <f t="shared" si="156"/>
        <v>23.85594423923737</v>
      </c>
      <c r="I552" s="6">
        <f t="shared" si="157"/>
        <v>-40.936113015608683</v>
      </c>
      <c r="J552" s="6">
        <v>14892.73</v>
      </c>
      <c r="K552" s="6">
        <f t="shared" si="170"/>
        <v>8.8688053381990031</v>
      </c>
      <c r="L552" s="6">
        <f t="shared" si="158"/>
        <v>25.183531483811052</v>
      </c>
      <c r="M552" s="6">
        <f t="shared" si="159"/>
        <v>-16.314726145612049</v>
      </c>
      <c r="N552" s="6">
        <v>3797.75</v>
      </c>
      <c r="O552" s="6">
        <f t="shared" si="171"/>
        <v>33.436983942939456</v>
      </c>
      <c r="P552" s="6">
        <f t="shared" si="160"/>
        <v>19.69684701592077</v>
      </c>
      <c r="Q552" s="6">
        <f t="shared" si="161"/>
        <v>13.740136927018685</v>
      </c>
      <c r="R552" s="6">
        <v>1.44</v>
      </c>
      <c r="S552" s="6">
        <f t="shared" si="172"/>
        <v>26.315789473684227</v>
      </c>
      <c r="T552" s="6">
        <f t="shared" si="162"/>
        <v>25.048411133933058</v>
      </c>
      <c r="U552" s="6">
        <f t="shared" si="163"/>
        <v>1.2673783397511684</v>
      </c>
      <c r="V552" s="6">
        <v>61.89</v>
      </c>
      <c r="W552" s="6">
        <f t="shared" si="173"/>
        <v>47.076996197718636</v>
      </c>
      <c r="X552" s="6">
        <f t="shared" si="164"/>
        <v>17.238569522912599</v>
      </c>
      <c r="Y552" s="6">
        <f t="shared" si="165"/>
        <v>29.838426674806037</v>
      </c>
      <c r="Z552" s="6"/>
      <c r="AA552" s="6" t="str">
        <f t="shared" si="174"/>
        <v/>
      </c>
      <c r="AB552" s="6" t="str">
        <f t="shared" si="166"/>
        <v/>
      </c>
      <c r="AC552" s="6" t="str">
        <f t="shared" si="167"/>
        <v/>
      </c>
    </row>
    <row r="553" spans="1:29" x14ac:dyDescent="0.2">
      <c r="A553" t="s">
        <v>637</v>
      </c>
      <c r="B553" s="6">
        <v>453.64</v>
      </c>
      <c r="C553" s="6">
        <f t="shared" si="168"/>
        <v>-3.0870131812258284</v>
      </c>
      <c r="D553" s="6">
        <f t="shared" si="154"/>
        <v>16.033327474737835</v>
      </c>
      <c r="E553" s="6">
        <f t="shared" si="155"/>
        <v>-19.120340655963663</v>
      </c>
      <c r="F553" s="6">
        <v>45.25</v>
      </c>
      <c r="G553" s="6">
        <f t="shared" si="169"/>
        <v>-18.291802094619001</v>
      </c>
      <c r="H553" s="6">
        <f t="shared" si="156"/>
        <v>22.832789681396303</v>
      </c>
      <c r="I553" s="6">
        <f t="shared" si="157"/>
        <v>-41.124591776015308</v>
      </c>
      <c r="J553" s="6">
        <v>14228.18</v>
      </c>
      <c r="K553" s="6">
        <f t="shared" si="170"/>
        <v>7.2132958478356102</v>
      </c>
      <c r="L553" s="6">
        <f t="shared" si="158"/>
        <v>26.015128128972353</v>
      </c>
      <c r="M553" s="6">
        <f t="shared" si="159"/>
        <v>-18.801832281136743</v>
      </c>
      <c r="N553" s="6">
        <v>3857.84</v>
      </c>
      <c r="O553" s="6">
        <f t="shared" si="171"/>
        <v>33.265166536550986</v>
      </c>
      <c r="P553" s="6">
        <f t="shared" si="160"/>
        <v>20.832858544048154</v>
      </c>
      <c r="Q553" s="6">
        <f t="shared" si="161"/>
        <v>12.432307992502832</v>
      </c>
      <c r="R553" s="6">
        <v>1.59</v>
      </c>
      <c r="S553" s="6">
        <f t="shared" si="172"/>
        <v>38.260869565217412</v>
      </c>
      <c r="T553" s="6">
        <f t="shared" si="162"/>
        <v>25.869880791683993</v>
      </c>
      <c r="U553" s="6">
        <f t="shared" si="163"/>
        <v>12.390988773533419</v>
      </c>
      <c r="V553" s="6">
        <v>61.69</v>
      </c>
      <c r="W553" s="6">
        <f t="shared" si="173"/>
        <v>48.293269230769219</v>
      </c>
      <c r="X553" s="6">
        <f t="shared" si="164"/>
        <v>18.464270785120142</v>
      </c>
      <c r="Y553" s="6">
        <f t="shared" si="165"/>
        <v>29.828998445649077</v>
      </c>
      <c r="Z553" s="6"/>
      <c r="AA553" s="6" t="str">
        <f t="shared" si="174"/>
        <v/>
      </c>
      <c r="AB553" s="6" t="str">
        <f t="shared" si="166"/>
        <v/>
      </c>
      <c r="AC553" s="6" t="str">
        <f t="shared" si="167"/>
        <v/>
      </c>
    </row>
    <row r="554" spans="1:29" x14ac:dyDescent="0.2">
      <c r="A554" t="s">
        <v>638</v>
      </c>
      <c r="B554" s="6">
        <v>467.5</v>
      </c>
      <c r="C554" s="6">
        <f t="shared" si="168"/>
        <v>3.5988122146877632</v>
      </c>
      <c r="D554" s="6">
        <f t="shared" si="154"/>
        <v>15.809871181610442</v>
      </c>
      <c r="E554" s="6">
        <f t="shared" si="155"/>
        <v>-12.211058966922678</v>
      </c>
      <c r="F554" s="6">
        <v>42.46</v>
      </c>
      <c r="G554" s="6">
        <f t="shared" si="169"/>
        <v>-25.022073106127497</v>
      </c>
      <c r="H554" s="6">
        <f t="shared" si="156"/>
        <v>22.01816228201869</v>
      </c>
      <c r="I554" s="6">
        <f t="shared" si="157"/>
        <v>-47.040235388146186</v>
      </c>
      <c r="J554" s="6">
        <v>12402.86</v>
      </c>
      <c r="K554" s="6">
        <f t="shared" si="170"/>
        <v>-13.894679987698112</v>
      </c>
      <c r="L554" s="6">
        <f t="shared" si="158"/>
        <v>27.03631186557244</v>
      </c>
      <c r="M554" s="6">
        <f t="shared" si="159"/>
        <v>-40.930991853270555</v>
      </c>
      <c r="N554" s="6">
        <v>4059.76</v>
      </c>
      <c r="O554" s="6">
        <f t="shared" si="171"/>
        <v>34.775449499375895</v>
      </c>
      <c r="P554" s="6">
        <f t="shared" si="160"/>
        <v>22.093451195690758</v>
      </c>
      <c r="Q554" s="6">
        <f t="shared" si="161"/>
        <v>12.681998303685138</v>
      </c>
      <c r="R554" s="6">
        <v>1.63</v>
      </c>
      <c r="S554" s="6">
        <f t="shared" si="172"/>
        <v>34.710743801652889</v>
      </c>
      <c r="T554" s="6">
        <f t="shared" si="162"/>
        <v>27.048926685403796</v>
      </c>
      <c r="U554" s="6">
        <f t="shared" si="163"/>
        <v>7.6618171162490931</v>
      </c>
      <c r="V554" s="6">
        <v>58.19</v>
      </c>
      <c r="W554" s="6">
        <f t="shared" si="173"/>
        <v>24.125426621160393</v>
      </c>
      <c r="X554" s="6">
        <f t="shared" si="164"/>
        <v>19.916530810137726</v>
      </c>
      <c r="Y554" s="6">
        <f t="shared" si="165"/>
        <v>4.2088958110226677</v>
      </c>
      <c r="Z554" s="6"/>
      <c r="AA554" s="6" t="str">
        <f t="shared" si="174"/>
        <v/>
      </c>
      <c r="AB554" s="6" t="str">
        <f t="shared" si="166"/>
        <v/>
      </c>
      <c r="AC554" s="6" t="str">
        <f t="shared" si="167"/>
        <v/>
      </c>
    </row>
    <row r="555" spans="1:29" x14ac:dyDescent="0.2">
      <c r="A555" t="s">
        <v>639</v>
      </c>
      <c r="B555" s="6">
        <v>466.7</v>
      </c>
      <c r="C555" s="6">
        <f t="shared" si="168"/>
        <v>2.6594223620245883</v>
      </c>
      <c r="D555" s="6">
        <f t="shared" si="154"/>
        <v>15.705107873991603</v>
      </c>
      <c r="E555" s="6">
        <f t="shared" si="155"/>
        <v>-13.045685511967015</v>
      </c>
      <c r="F555" s="6">
        <v>38.06</v>
      </c>
      <c r="G555" s="6">
        <f t="shared" si="169"/>
        <v>-27.957599848570879</v>
      </c>
      <c r="H555" s="6">
        <f t="shared" si="156"/>
        <v>21.094014580337163</v>
      </c>
      <c r="I555" s="6">
        <f t="shared" si="157"/>
        <v>-49.051614428908039</v>
      </c>
      <c r="J555" s="6">
        <v>12115.68</v>
      </c>
      <c r="K555" s="6">
        <f t="shared" si="170"/>
        <v>-13.739528644843235</v>
      </c>
      <c r="L555" s="6">
        <f t="shared" si="158"/>
        <v>27.52088913788516</v>
      </c>
      <c r="M555" s="6">
        <f t="shared" si="159"/>
        <v>-41.260417782728396</v>
      </c>
      <c r="N555" s="6">
        <v>4269.34</v>
      </c>
      <c r="O555" s="6">
        <f t="shared" si="171"/>
        <v>36.715127449724605</v>
      </c>
      <c r="P555" s="6">
        <f t="shared" si="160"/>
        <v>23.389976080221516</v>
      </c>
      <c r="Q555" s="6">
        <f t="shared" si="161"/>
        <v>13.325151369503089</v>
      </c>
      <c r="R555" s="6">
        <v>1.58</v>
      </c>
      <c r="S555" s="6">
        <f t="shared" si="172"/>
        <v>29.508196721311485</v>
      </c>
      <c r="T555" s="6">
        <f t="shared" si="162"/>
        <v>28.216056252309816</v>
      </c>
      <c r="U555" s="6">
        <f t="shared" si="163"/>
        <v>1.2921404690016693</v>
      </c>
      <c r="V555" s="6">
        <v>55.04</v>
      </c>
      <c r="W555" s="6">
        <f t="shared" si="173"/>
        <v>30.643247092333237</v>
      </c>
      <c r="X555" s="6">
        <f t="shared" si="164"/>
        <v>21.127079108906589</v>
      </c>
      <c r="Y555" s="6">
        <f t="shared" si="165"/>
        <v>9.5161679834266479</v>
      </c>
      <c r="Z555" s="6"/>
      <c r="AA555" s="6" t="str">
        <f t="shared" si="174"/>
        <v/>
      </c>
      <c r="AB555" s="6" t="str">
        <f t="shared" si="166"/>
        <v/>
      </c>
      <c r="AC555" s="6" t="str">
        <f t="shared" si="167"/>
        <v/>
      </c>
    </row>
    <row r="556" spans="1:29" x14ac:dyDescent="0.2">
      <c r="A556" t="s">
        <v>640</v>
      </c>
      <c r="B556" s="6">
        <v>456.75</v>
      </c>
      <c r="C556" s="6">
        <f t="shared" si="168"/>
        <v>2.3644105782160585</v>
      </c>
      <c r="D556" s="6">
        <f t="shared" si="154"/>
        <v>15.225493051280864</v>
      </c>
      <c r="E556" s="6">
        <f t="shared" si="155"/>
        <v>-12.861082473064805</v>
      </c>
      <c r="F556" s="6">
        <v>38.229999999999997</v>
      </c>
      <c r="G556" s="6">
        <f t="shared" si="169"/>
        <v>-26.832535885167474</v>
      </c>
      <c r="H556" s="6">
        <f t="shared" si="156"/>
        <v>20.338912649790281</v>
      </c>
      <c r="I556" s="6">
        <f t="shared" si="157"/>
        <v>-47.171448534957754</v>
      </c>
      <c r="J556" s="6">
        <v>13429.25</v>
      </c>
      <c r="K556" s="6">
        <f t="shared" si="170"/>
        <v>-2.4661535746371643</v>
      </c>
      <c r="L556" s="6">
        <f t="shared" si="158"/>
        <v>27.876517390537149</v>
      </c>
      <c r="M556" s="6">
        <f t="shared" si="159"/>
        <v>-30.342670965174314</v>
      </c>
      <c r="N556" s="6">
        <v>4576.78</v>
      </c>
      <c r="O556" s="6">
        <f t="shared" si="171"/>
        <v>45.504776741006857</v>
      </c>
      <c r="P556" s="6">
        <f t="shared" si="160"/>
        <v>24.581241198100496</v>
      </c>
      <c r="Q556" s="6">
        <f t="shared" si="161"/>
        <v>20.923535542906361</v>
      </c>
      <c r="R556" s="6">
        <v>1.63</v>
      </c>
      <c r="S556" s="6">
        <f t="shared" si="172"/>
        <v>36.97478991596639</v>
      </c>
      <c r="T556" s="6">
        <f t="shared" si="162"/>
        <v>29.282199239559358</v>
      </c>
      <c r="U556" s="6">
        <f t="shared" si="163"/>
        <v>7.6925906764070326</v>
      </c>
      <c r="V556" s="6">
        <v>56.43</v>
      </c>
      <c r="W556" s="6">
        <f t="shared" si="173"/>
        <v>44.544057377049185</v>
      </c>
      <c r="X556" s="6">
        <f t="shared" si="164"/>
        <v>22.644436683460111</v>
      </c>
      <c r="Y556" s="6">
        <f t="shared" si="165"/>
        <v>21.899620693589075</v>
      </c>
      <c r="Z556" s="6">
        <v>100</v>
      </c>
      <c r="AA556" s="6" t="str">
        <f t="shared" si="174"/>
        <v/>
      </c>
      <c r="AB556" s="6" t="str">
        <f t="shared" si="166"/>
        <v/>
      </c>
      <c r="AC556" s="6" t="str">
        <f t="shared" si="167"/>
        <v/>
      </c>
    </row>
    <row r="557" spans="1:29" x14ac:dyDescent="0.2">
      <c r="A557" t="s">
        <v>641</v>
      </c>
      <c r="B557" s="6">
        <v>459.05</v>
      </c>
      <c r="C557" s="6">
        <f t="shared" si="168"/>
        <v>9.5950914386668593</v>
      </c>
      <c r="D557" s="6">
        <f t="shared" si="154"/>
        <v>14.53182707669181</v>
      </c>
      <c r="E557" s="6">
        <f t="shared" si="155"/>
        <v>-4.9367356380249507</v>
      </c>
      <c r="F557" s="6">
        <v>43.19</v>
      </c>
      <c r="G557" s="6">
        <f t="shared" si="169"/>
        <v>-18.586239396795477</v>
      </c>
      <c r="H557" s="6">
        <f t="shared" si="156"/>
        <v>20.010253789038995</v>
      </c>
      <c r="I557" s="6">
        <f t="shared" si="157"/>
        <v>-38.596493185834476</v>
      </c>
      <c r="J557" s="6">
        <v>14555.24</v>
      </c>
      <c r="K557" s="6">
        <f t="shared" si="170"/>
        <v>0.34636332299207151</v>
      </c>
      <c r="L557" s="6">
        <f t="shared" si="158"/>
        <v>28.40918596311424</v>
      </c>
      <c r="M557" s="6">
        <f t="shared" si="159"/>
        <v>-28.062822640122167</v>
      </c>
      <c r="N557" s="6">
        <v>4734.33</v>
      </c>
      <c r="O557" s="6">
        <f t="shared" si="171"/>
        <v>49.347949526813871</v>
      </c>
      <c r="P557" s="6">
        <f t="shared" si="160"/>
        <v>25.955718432324442</v>
      </c>
      <c r="Q557" s="6">
        <f t="shared" si="161"/>
        <v>23.392231094489429</v>
      </c>
      <c r="R557" s="6">
        <v>1.76</v>
      </c>
      <c r="S557" s="6">
        <f t="shared" si="172"/>
        <v>47.899159663865554</v>
      </c>
      <c r="T557" s="6">
        <f t="shared" si="162"/>
        <v>30.469174029475322</v>
      </c>
      <c r="U557" s="6">
        <f t="shared" si="163"/>
        <v>17.429985634390231</v>
      </c>
      <c r="V557" s="6">
        <v>62.46</v>
      </c>
      <c r="W557" s="6">
        <f t="shared" si="173"/>
        <v>45.357225971608095</v>
      </c>
      <c r="X557" s="6">
        <f t="shared" si="164"/>
        <v>24.124686556063981</v>
      </c>
      <c r="Y557" s="6">
        <f t="shared" si="165"/>
        <v>21.232539415544114</v>
      </c>
      <c r="Z557" s="6">
        <v>99.3</v>
      </c>
      <c r="AA557" s="6" t="str">
        <f t="shared" si="174"/>
        <v/>
      </c>
      <c r="AB557" s="6" t="str">
        <f t="shared" si="166"/>
        <v/>
      </c>
      <c r="AC557" s="6" t="str">
        <f t="shared" si="167"/>
        <v/>
      </c>
    </row>
    <row r="558" spans="1:29" x14ac:dyDescent="0.2">
      <c r="A558" t="s">
        <v>642</v>
      </c>
      <c r="B558" s="6">
        <v>473.9</v>
      </c>
      <c r="C558" s="6">
        <f t="shared" si="168"/>
        <v>12.131178572273615</v>
      </c>
      <c r="D558" s="6">
        <f t="shared" si="154"/>
        <v>13.749113266440938</v>
      </c>
      <c r="E558" s="6">
        <f t="shared" si="155"/>
        <v>-1.6179346941673227</v>
      </c>
      <c r="F558" s="6">
        <v>47.7</v>
      </c>
      <c r="G558" s="6">
        <f t="shared" si="169"/>
        <v>-4.4088176352705339</v>
      </c>
      <c r="H558" s="6">
        <f t="shared" si="156"/>
        <v>19.931321880525797</v>
      </c>
      <c r="I558" s="6">
        <f t="shared" si="157"/>
        <v>-24.340139515796331</v>
      </c>
      <c r="J558" s="6">
        <v>14978.75</v>
      </c>
      <c r="K558" s="6">
        <f t="shared" si="170"/>
        <v>-2.4153881233916374</v>
      </c>
      <c r="L558" s="6">
        <f t="shared" si="158"/>
        <v>28.699824932720478</v>
      </c>
      <c r="M558" s="6">
        <f t="shared" si="159"/>
        <v>-31.115213056112115</v>
      </c>
      <c r="N558" s="6">
        <v>4982.3999999999996</v>
      </c>
      <c r="O558" s="6">
        <f t="shared" si="171"/>
        <v>53.130282447674951</v>
      </c>
      <c r="P558" s="6">
        <f t="shared" si="160"/>
        <v>27.314266914599262</v>
      </c>
      <c r="Q558" s="6">
        <f t="shared" si="161"/>
        <v>25.816015533075689</v>
      </c>
      <c r="R558" s="6">
        <v>1.93</v>
      </c>
      <c r="S558" s="6">
        <f t="shared" si="172"/>
        <v>58.196721311475422</v>
      </c>
      <c r="T558" s="6">
        <f t="shared" si="162"/>
        <v>31.675406522472517</v>
      </c>
      <c r="U558" s="6">
        <f t="shared" si="163"/>
        <v>26.521314789002904</v>
      </c>
      <c r="V558" s="6">
        <v>59.7</v>
      </c>
      <c r="W558" s="6">
        <f t="shared" si="173"/>
        <v>33.199464524765744</v>
      </c>
      <c r="X558" s="6">
        <f t="shared" si="164"/>
        <v>25.616142631294267</v>
      </c>
      <c r="Y558" s="6">
        <f t="shared" si="165"/>
        <v>7.5833218934714779</v>
      </c>
      <c r="Z558" s="6">
        <v>98.3</v>
      </c>
      <c r="AA558" s="6" t="str">
        <f t="shared" si="174"/>
        <v/>
      </c>
      <c r="AB558" s="6" t="str">
        <f t="shared" si="166"/>
        <v/>
      </c>
      <c r="AC558" s="6" t="str">
        <f t="shared" si="167"/>
        <v/>
      </c>
    </row>
    <row r="559" spans="1:29" x14ac:dyDescent="0.2">
      <c r="A559" t="s">
        <v>643</v>
      </c>
      <c r="B559" s="6">
        <v>472.52</v>
      </c>
      <c r="C559" s="6">
        <f t="shared" si="168"/>
        <v>3.1410298386920665</v>
      </c>
      <c r="D559" s="6">
        <f t="shared" si="154"/>
        <v>13.021116986696642</v>
      </c>
      <c r="E559" s="6">
        <f t="shared" si="155"/>
        <v>-9.8800871480045753</v>
      </c>
      <c r="F559" s="6">
        <v>49.75</v>
      </c>
      <c r="G559" s="6">
        <f t="shared" si="169"/>
        <v>-2.3169055566463759</v>
      </c>
      <c r="H559" s="6">
        <f t="shared" si="156"/>
        <v>20.099076912916644</v>
      </c>
      <c r="I559" s="6">
        <f t="shared" si="157"/>
        <v>-22.415982469563019</v>
      </c>
      <c r="J559" s="6">
        <v>14897.39</v>
      </c>
      <c r="K559" s="6">
        <f t="shared" si="170"/>
        <v>-7.9876966026688256</v>
      </c>
      <c r="L559" s="6">
        <f t="shared" si="158"/>
        <v>28.807533080149511</v>
      </c>
      <c r="M559" s="6">
        <f t="shared" si="159"/>
        <v>-36.795229682818338</v>
      </c>
      <c r="N559" s="6">
        <v>5102.8500000000004</v>
      </c>
      <c r="O559" s="6">
        <f t="shared" si="171"/>
        <v>50.994676711574847</v>
      </c>
      <c r="P559" s="6">
        <f t="shared" si="160"/>
        <v>28.661557374247476</v>
      </c>
      <c r="Q559" s="6">
        <f t="shared" si="161"/>
        <v>22.333119337327371</v>
      </c>
      <c r="R559" s="6">
        <v>1.91</v>
      </c>
      <c r="S559" s="6">
        <f t="shared" si="172"/>
        <v>56.557377049180332</v>
      </c>
      <c r="T559" s="6">
        <f t="shared" si="162"/>
        <v>32.851288508859248</v>
      </c>
      <c r="U559" s="6">
        <f t="shared" si="163"/>
        <v>23.706088540321083</v>
      </c>
      <c r="V559" s="6">
        <v>60.93</v>
      </c>
      <c r="W559" s="6">
        <f t="shared" si="173"/>
        <v>19.611307420494704</v>
      </c>
      <c r="X559" s="6">
        <f t="shared" si="164"/>
        <v>26.863047775119693</v>
      </c>
      <c r="Y559" s="6">
        <f t="shared" si="165"/>
        <v>-7.2517403546249888</v>
      </c>
      <c r="Z559" s="6">
        <v>98.2</v>
      </c>
      <c r="AA559" s="6" t="str">
        <f t="shared" si="174"/>
        <v/>
      </c>
      <c r="AB559" s="6" t="str">
        <f t="shared" si="166"/>
        <v/>
      </c>
      <c r="AC559" s="6" t="str">
        <f t="shared" si="167"/>
        <v/>
      </c>
    </row>
    <row r="560" spans="1:29" x14ac:dyDescent="0.2">
      <c r="A560" t="s">
        <v>644</v>
      </c>
      <c r="B560" s="6">
        <v>475.9</v>
      </c>
      <c r="C560" s="6">
        <f t="shared" si="168"/>
        <v>3.9400690167299857</v>
      </c>
      <c r="D560" s="6">
        <f t="shared" si="154"/>
        <v>12.225334635895111</v>
      </c>
      <c r="E560" s="6">
        <f t="shared" si="155"/>
        <v>-8.2852656191651253</v>
      </c>
      <c r="F560" s="6">
        <v>52.88</v>
      </c>
      <c r="G560" s="6">
        <f t="shared" si="169"/>
        <v>3.1804878048780516</v>
      </c>
      <c r="H560" s="6">
        <f t="shared" si="156"/>
        <v>20.357556513410845</v>
      </c>
      <c r="I560" s="6">
        <f t="shared" si="157"/>
        <v>-17.177068708532794</v>
      </c>
      <c r="J560" s="6">
        <v>17942.22</v>
      </c>
      <c r="K560" s="6">
        <f t="shared" si="170"/>
        <v>11.153017208000794</v>
      </c>
      <c r="L560" s="6">
        <f t="shared" si="158"/>
        <v>28.503905443047699</v>
      </c>
      <c r="M560" s="6">
        <f t="shared" si="159"/>
        <v>-17.350888235046906</v>
      </c>
      <c r="N560" s="6">
        <v>6387.78</v>
      </c>
      <c r="O560" s="6">
        <f t="shared" si="171"/>
        <v>88.181400391223391</v>
      </c>
      <c r="P560" s="6">
        <f t="shared" si="160"/>
        <v>29.884368782429036</v>
      </c>
      <c r="Q560" s="6">
        <f t="shared" si="161"/>
        <v>58.297031608794356</v>
      </c>
      <c r="R560" s="6">
        <v>1.94</v>
      </c>
      <c r="S560" s="6">
        <f t="shared" si="172"/>
        <v>60.330578512396691</v>
      </c>
      <c r="T560" s="6">
        <f t="shared" si="162"/>
        <v>33.388541556358199</v>
      </c>
      <c r="U560" s="6">
        <f t="shared" si="163"/>
        <v>26.942036956038493</v>
      </c>
      <c r="V560" s="6">
        <v>67.97</v>
      </c>
      <c r="W560" s="6">
        <f t="shared" si="173"/>
        <v>34.221958925750393</v>
      </c>
      <c r="X560" s="6">
        <f t="shared" si="164"/>
        <v>27.386524753254502</v>
      </c>
      <c r="Y560" s="6">
        <f t="shared" si="165"/>
        <v>6.8354341724958907</v>
      </c>
      <c r="Z560" s="6">
        <v>97.8</v>
      </c>
      <c r="AA560" s="6" t="str">
        <f t="shared" si="174"/>
        <v/>
      </c>
      <c r="AB560" s="6" t="str">
        <f t="shared" si="166"/>
        <v/>
      </c>
      <c r="AC560" s="6" t="str">
        <f t="shared" si="167"/>
        <v/>
      </c>
    </row>
    <row r="561" spans="1:29" x14ac:dyDescent="0.2">
      <c r="A561" t="s">
        <v>645</v>
      </c>
      <c r="B561" s="6">
        <v>483.72</v>
      </c>
      <c r="C561" s="6">
        <f t="shared" si="168"/>
        <v>7.4933333333333296</v>
      </c>
      <c r="D561" s="6">
        <f t="shared" si="154"/>
        <v>11.402123922349233</v>
      </c>
      <c r="E561" s="6">
        <f t="shared" si="155"/>
        <v>-3.9087905890159034</v>
      </c>
      <c r="F561" s="6">
        <v>52.6</v>
      </c>
      <c r="G561" s="6">
        <f t="shared" si="169"/>
        <v>2.5141297992594014</v>
      </c>
      <c r="H561" s="6">
        <f t="shared" si="156"/>
        <v>20.822448516808489</v>
      </c>
      <c r="I561" s="6">
        <f t="shared" si="157"/>
        <v>-18.308318717549088</v>
      </c>
      <c r="J561" s="6">
        <v>21077.14</v>
      </c>
      <c r="K561" s="6">
        <f t="shared" si="170"/>
        <v>24.484776895136285</v>
      </c>
      <c r="L561" s="6">
        <f t="shared" si="158"/>
        <v>28.529456089672379</v>
      </c>
      <c r="M561" s="6">
        <f t="shared" si="159"/>
        <v>-4.0446791945360943</v>
      </c>
      <c r="N561" s="6">
        <v>8045.86</v>
      </c>
      <c r="O561" s="6">
        <f t="shared" si="171"/>
        <v>147.63349850727892</v>
      </c>
      <c r="P561" s="6">
        <f t="shared" si="160"/>
        <v>31.813907800049765</v>
      </c>
      <c r="Q561" s="6">
        <f t="shared" si="161"/>
        <v>115.81959070722915</v>
      </c>
      <c r="R561" s="6">
        <v>2.15</v>
      </c>
      <c r="S561" s="6">
        <f t="shared" si="172"/>
        <v>77.685950413223154</v>
      </c>
      <c r="T561" s="6">
        <f t="shared" si="162"/>
        <v>34.114382857065813</v>
      </c>
      <c r="U561" s="6">
        <f t="shared" si="163"/>
        <v>43.571567556157341</v>
      </c>
      <c r="V561" s="6">
        <v>68.680000000000007</v>
      </c>
      <c r="W561" s="6">
        <f t="shared" si="173"/>
        <v>43.591887936441573</v>
      </c>
      <c r="X561" s="6">
        <f t="shared" si="164"/>
        <v>28.122972381211266</v>
      </c>
      <c r="Y561" s="6">
        <f t="shared" si="165"/>
        <v>15.468915555230307</v>
      </c>
      <c r="Z561" s="6">
        <v>97.4</v>
      </c>
      <c r="AA561" s="6" t="str">
        <f t="shared" si="174"/>
        <v/>
      </c>
      <c r="AB561" s="6" t="str">
        <f t="shared" si="166"/>
        <v/>
      </c>
      <c r="AC561" s="6" t="str">
        <f t="shared" si="167"/>
        <v/>
      </c>
    </row>
    <row r="562" spans="1:29" x14ac:dyDescent="0.2">
      <c r="A562" t="s">
        <v>646</v>
      </c>
      <c r="B562" s="6">
        <v>478.16</v>
      </c>
      <c r="C562" s="6">
        <f t="shared" si="168"/>
        <v>5.857870267876919</v>
      </c>
      <c r="D562" s="6">
        <f t="shared" si="154"/>
        <v>10.214663096138406</v>
      </c>
      <c r="E562" s="6">
        <f t="shared" si="155"/>
        <v>-4.3567928282614865</v>
      </c>
      <c r="F562" s="6">
        <v>52.38</v>
      </c>
      <c r="G562" s="6">
        <f t="shared" si="169"/>
        <v>2.7058823529411802</v>
      </c>
      <c r="H562" s="6">
        <f t="shared" si="156"/>
        <v>21.301354820565248</v>
      </c>
      <c r="I562" s="6">
        <f t="shared" si="157"/>
        <v>-18.595472467624067</v>
      </c>
      <c r="J562" s="6">
        <v>20754.55</v>
      </c>
      <c r="K562" s="6">
        <f t="shared" si="170"/>
        <v>28.435197762313933</v>
      </c>
      <c r="L562" s="6">
        <f t="shared" si="158"/>
        <v>29.1279157350106</v>
      </c>
      <c r="M562" s="6">
        <f t="shared" si="159"/>
        <v>-0.69271797269666635</v>
      </c>
      <c r="N562" s="6">
        <v>7197.61</v>
      </c>
      <c r="O562" s="6">
        <f t="shared" si="171"/>
        <v>104.2414026963142</v>
      </c>
      <c r="P562" s="6">
        <f t="shared" si="160"/>
        <v>34.996768782575856</v>
      </c>
      <c r="Q562" s="6">
        <f t="shared" si="161"/>
        <v>69.24463391373834</v>
      </c>
      <c r="R562" s="6">
        <v>2.35</v>
      </c>
      <c r="S562" s="6">
        <f t="shared" si="172"/>
        <v>85.039370078740163</v>
      </c>
      <c r="T562" s="6">
        <f t="shared" si="162"/>
        <v>35.03839571289685</v>
      </c>
      <c r="U562" s="6">
        <f t="shared" si="163"/>
        <v>50.000974365843312</v>
      </c>
      <c r="V562" s="6">
        <v>68.290000000000006</v>
      </c>
      <c r="W562" s="6">
        <f t="shared" si="173"/>
        <v>26.721098534050846</v>
      </c>
      <c r="X562" s="6">
        <f t="shared" si="164"/>
        <v>29.17330247244611</v>
      </c>
      <c r="Y562" s="6">
        <f t="shared" si="165"/>
        <v>-2.4522039383952645</v>
      </c>
      <c r="Z562" s="6">
        <v>97</v>
      </c>
      <c r="AA562" s="6" t="str">
        <f t="shared" si="174"/>
        <v/>
      </c>
      <c r="AB562" s="6" t="str">
        <f t="shared" si="166"/>
        <v/>
      </c>
      <c r="AC562" s="6" t="str">
        <f t="shared" si="167"/>
        <v/>
      </c>
    </row>
    <row r="563" spans="1:29" x14ac:dyDescent="0.2">
      <c r="A563" t="s">
        <v>647</v>
      </c>
      <c r="B563" s="6">
        <v>499.21</v>
      </c>
      <c r="C563" s="6">
        <f t="shared" si="168"/>
        <v>9.8323506116342543</v>
      </c>
      <c r="D563" s="6">
        <f t="shared" si="154"/>
        <v>8.9385811450198265</v>
      </c>
      <c r="E563" s="6">
        <f t="shared" si="155"/>
        <v>0.8937694666144278</v>
      </c>
      <c r="F563" s="6">
        <v>52.75</v>
      </c>
      <c r="G563" s="6">
        <f t="shared" si="169"/>
        <v>3.6345776031434296</v>
      </c>
      <c r="H563" s="6">
        <f t="shared" si="156"/>
        <v>21.910824714717606</v>
      </c>
      <c r="I563" s="6">
        <f t="shared" si="157"/>
        <v>-18.276247111574175</v>
      </c>
      <c r="J563" s="6">
        <v>26586.19</v>
      </c>
      <c r="K563" s="6">
        <f t="shared" si="170"/>
        <v>82.33810287702039</v>
      </c>
      <c r="L563" s="6">
        <f t="shared" si="158"/>
        <v>29.570157483813343</v>
      </c>
      <c r="M563" s="6">
        <f t="shared" si="159"/>
        <v>52.767945393207043</v>
      </c>
      <c r="N563" s="6">
        <v>7712.1</v>
      </c>
      <c r="O563" s="6">
        <f t="shared" si="171"/>
        <v>113.38273094258496</v>
      </c>
      <c r="P563" s="6">
        <f t="shared" si="160"/>
        <v>37.117846582202908</v>
      </c>
      <c r="Q563" s="6">
        <f t="shared" si="161"/>
        <v>76.264884360382041</v>
      </c>
      <c r="R563" s="6">
        <v>2.31</v>
      </c>
      <c r="S563" s="6">
        <f t="shared" si="172"/>
        <v>59.310344827586214</v>
      </c>
      <c r="T563" s="6">
        <f t="shared" si="162"/>
        <v>35.502859713720277</v>
      </c>
      <c r="U563" s="6">
        <f t="shared" si="163"/>
        <v>23.807485113865937</v>
      </c>
      <c r="V563" s="6">
        <v>72.45</v>
      </c>
      <c r="W563" s="6">
        <f t="shared" si="173"/>
        <v>28.525811601915919</v>
      </c>
      <c r="X563" s="6">
        <f t="shared" si="164"/>
        <v>29.921562906464896</v>
      </c>
      <c r="Y563" s="6">
        <f t="shared" si="165"/>
        <v>-1.3957513045489769</v>
      </c>
      <c r="Z563" s="6">
        <v>96.2</v>
      </c>
      <c r="AA563" s="6" t="str">
        <f t="shared" si="174"/>
        <v/>
      </c>
      <c r="AB563" s="6" t="str">
        <f t="shared" si="166"/>
        <v/>
      </c>
      <c r="AC563" s="6" t="str">
        <f t="shared" si="167"/>
        <v/>
      </c>
    </row>
    <row r="564" spans="1:29" x14ac:dyDescent="0.2">
      <c r="A564" t="s">
        <v>648</v>
      </c>
      <c r="B564" s="6">
        <v>534.26</v>
      </c>
      <c r="C564" s="6">
        <f t="shared" si="168"/>
        <v>19.126828398144834</v>
      </c>
      <c r="D564" s="6">
        <f t="shared" si="154"/>
        <v>8.5612248130652375</v>
      </c>
      <c r="E564" s="6">
        <f t="shared" si="155"/>
        <v>10.565603585079597</v>
      </c>
      <c r="F564" s="6">
        <v>50.94</v>
      </c>
      <c r="G564" s="6">
        <f t="shared" si="169"/>
        <v>3.6841033991451111</v>
      </c>
      <c r="H564" s="6">
        <f t="shared" si="156"/>
        <v>22.651373512822314</v>
      </c>
      <c r="I564" s="6">
        <f t="shared" si="157"/>
        <v>-18.967270113677202</v>
      </c>
      <c r="J564" s="6">
        <v>30743.64</v>
      </c>
      <c r="K564" s="6">
        <f t="shared" si="170"/>
        <v>106.43387746907385</v>
      </c>
      <c r="L564" s="6">
        <f t="shared" si="158"/>
        <v>30.86246045725278</v>
      </c>
      <c r="M564" s="6">
        <f t="shared" si="159"/>
        <v>75.571417011821069</v>
      </c>
      <c r="N564" s="6">
        <v>7695.66</v>
      </c>
      <c r="O564" s="6">
        <f t="shared" si="171"/>
        <v>102.6373510631295</v>
      </c>
      <c r="P564" s="6">
        <f t="shared" si="160"/>
        <v>39.392225671270147</v>
      </c>
      <c r="Q564" s="6">
        <f t="shared" si="161"/>
        <v>63.245125391859354</v>
      </c>
      <c r="R564" s="6">
        <v>2.14</v>
      </c>
      <c r="S564" s="6">
        <f t="shared" si="172"/>
        <v>48.611111111111114</v>
      </c>
      <c r="T564" s="6">
        <f t="shared" si="162"/>
        <v>35.44682523096165</v>
      </c>
      <c r="U564" s="6">
        <f t="shared" si="163"/>
        <v>13.164285880149464</v>
      </c>
      <c r="V564" s="6">
        <v>71.81</v>
      </c>
      <c r="W564" s="6">
        <f t="shared" si="173"/>
        <v>16.028437550492814</v>
      </c>
      <c r="X564" s="6">
        <f t="shared" si="164"/>
        <v>30.436045540644589</v>
      </c>
      <c r="Y564" s="6">
        <f t="shared" si="165"/>
        <v>-14.407607990151774</v>
      </c>
      <c r="Z564" s="6">
        <v>94.8</v>
      </c>
      <c r="AA564" s="6" t="str">
        <f t="shared" si="174"/>
        <v/>
      </c>
      <c r="AB564" s="6" t="str">
        <f t="shared" si="166"/>
        <v/>
      </c>
      <c r="AC564" s="6" t="str">
        <f t="shared" si="167"/>
        <v/>
      </c>
    </row>
    <row r="565" spans="1:29" x14ac:dyDescent="0.2">
      <c r="A565" t="s">
        <v>649</v>
      </c>
      <c r="B565" s="6">
        <v>511.24</v>
      </c>
      <c r="C565" s="6">
        <f t="shared" si="168"/>
        <v>12.697293007671284</v>
      </c>
      <c r="D565" s="6">
        <f t="shared" si="154"/>
        <v>8.4757570345275095</v>
      </c>
      <c r="E565" s="6">
        <f t="shared" si="155"/>
        <v>4.2215359731437747</v>
      </c>
      <c r="F565" s="6">
        <v>47.1</v>
      </c>
      <c r="G565" s="6">
        <f t="shared" si="169"/>
        <v>4.0883977900552537</v>
      </c>
      <c r="H565" s="6">
        <f t="shared" si="156"/>
        <v>23.440033950994835</v>
      </c>
      <c r="I565" s="6">
        <f t="shared" si="157"/>
        <v>-19.351636160939581</v>
      </c>
      <c r="J565" s="6">
        <v>30130.71</v>
      </c>
      <c r="K565" s="6">
        <f t="shared" si="170"/>
        <v>111.7678438141772</v>
      </c>
      <c r="L565" s="6">
        <f t="shared" si="158"/>
        <v>32.628381122174765</v>
      </c>
      <c r="M565" s="6">
        <f t="shared" si="159"/>
        <v>79.139462692002439</v>
      </c>
      <c r="N565" s="6">
        <v>7602.36</v>
      </c>
      <c r="O565" s="6">
        <f t="shared" si="171"/>
        <v>97.062604981025629</v>
      </c>
      <c r="P565" s="6">
        <f t="shared" si="160"/>
        <v>41.508993742826128</v>
      </c>
      <c r="Q565" s="6">
        <f t="shared" si="161"/>
        <v>55.553611238199501</v>
      </c>
      <c r="R565" s="6">
        <v>1.81</v>
      </c>
      <c r="S565" s="6">
        <f t="shared" si="172"/>
        <v>13.836477987421381</v>
      </c>
      <c r="T565" s="6">
        <f t="shared" si="162"/>
        <v>35.280311429424266</v>
      </c>
      <c r="U565" s="6">
        <f t="shared" si="163"/>
        <v>-21.443833442002884</v>
      </c>
      <c r="V565" s="6">
        <v>62.12</v>
      </c>
      <c r="W565" s="6">
        <f t="shared" si="173"/>
        <v>0.69703355487114038</v>
      </c>
      <c r="X565" s="6">
        <f t="shared" si="164"/>
        <v>30.692511989096797</v>
      </c>
      <c r="Y565" s="6">
        <f t="shared" si="165"/>
        <v>-29.995478434225657</v>
      </c>
      <c r="Z565" s="6">
        <v>94.9</v>
      </c>
      <c r="AA565" s="6" t="str">
        <f t="shared" si="174"/>
        <v/>
      </c>
      <c r="AB565" s="6" t="str">
        <f t="shared" si="166"/>
        <v/>
      </c>
      <c r="AC565" s="6" t="str">
        <f t="shared" si="167"/>
        <v/>
      </c>
    </row>
    <row r="566" spans="1:29" x14ac:dyDescent="0.2">
      <c r="A566" t="s">
        <v>650</v>
      </c>
      <c r="B566" s="6">
        <v>514.17999999999995</v>
      </c>
      <c r="C566" s="6">
        <f t="shared" si="168"/>
        <v>9.9850267379679067</v>
      </c>
      <c r="D566" s="6">
        <f t="shared" si="154"/>
        <v>7.9690474130475444</v>
      </c>
      <c r="E566" s="6">
        <f t="shared" si="155"/>
        <v>2.0159793249203624</v>
      </c>
      <c r="F566" s="6">
        <v>44.05</v>
      </c>
      <c r="G566" s="6">
        <f t="shared" si="169"/>
        <v>3.7447008949599514</v>
      </c>
      <c r="H566" s="6">
        <f t="shared" si="156"/>
        <v>24.166723132596598</v>
      </c>
      <c r="I566" s="6">
        <f t="shared" si="157"/>
        <v>-20.422022237636646</v>
      </c>
      <c r="J566" s="6">
        <v>32702.959999999999</v>
      </c>
      <c r="K566" s="6">
        <f t="shared" si="170"/>
        <v>163.67273354693995</v>
      </c>
      <c r="L566" s="6">
        <f t="shared" si="158"/>
        <v>34.288304829380309</v>
      </c>
      <c r="M566" s="6">
        <f t="shared" si="159"/>
        <v>129.38442871755964</v>
      </c>
      <c r="N566" s="6">
        <v>7500.39</v>
      </c>
      <c r="O566" s="6">
        <f t="shared" si="171"/>
        <v>84.749591108834025</v>
      </c>
      <c r="P566" s="6">
        <f t="shared" si="160"/>
        <v>43.454623806266717</v>
      </c>
      <c r="Q566" s="6">
        <f t="shared" si="161"/>
        <v>41.294967302567308</v>
      </c>
      <c r="R566" s="6">
        <v>1.79</v>
      </c>
      <c r="S566" s="6">
        <f t="shared" si="172"/>
        <v>9.8159509202454096</v>
      </c>
      <c r="T566" s="6">
        <f t="shared" si="162"/>
        <v>33.825374108583993</v>
      </c>
      <c r="U566" s="6">
        <f t="shared" si="163"/>
        <v>-24.009423188338584</v>
      </c>
      <c r="V566" s="6">
        <v>57.91</v>
      </c>
      <c r="W566" s="6">
        <f t="shared" si="173"/>
        <v>-0.48118233373432018</v>
      </c>
      <c r="X566" s="6">
        <f t="shared" si="164"/>
        <v>30.453331286926939</v>
      </c>
      <c r="Y566" s="6">
        <f t="shared" si="165"/>
        <v>-30.93451362066126</v>
      </c>
      <c r="Z566" s="6">
        <v>94.8</v>
      </c>
      <c r="AA566" s="6" t="str">
        <f t="shared" si="174"/>
        <v/>
      </c>
      <c r="AB566" s="6" t="str">
        <f t="shared" si="166"/>
        <v/>
      </c>
      <c r="AC566" s="6" t="str">
        <f t="shared" si="167"/>
        <v/>
      </c>
    </row>
    <row r="567" spans="1:29" x14ac:dyDescent="0.2">
      <c r="A567" t="s">
        <v>651</v>
      </c>
      <c r="B567" s="6">
        <v>571.57000000000005</v>
      </c>
      <c r="C567" s="6">
        <f t="shared" si="168"/>
        <v>22.470537818727255</v>
      </c>
      <c r="D567" s="6">
        <f t="shared" si="154"/>
        <v>7.0471049045049066</v>
      </c>
      <c r="E567" s="6">
        <f t="shared" si="155"/>
        <v>15.423432914222349</v>
      </c>
      <c r="F567" s="6">
        <v>46</v>
      </c>
      <c r="G567" s="6">
        <f t="shared" si="169"/>
        <v>20.861797162375197</v>
      </c>
      <c r="H567" s="6">
        <f t="shared" si="156"/>
        <v>24.752710985603738</v>
      </c>
      <c r="I567" s="6">
        <f t="shared" si="157"/>
        <v>-3.8909138232285407</v>
      </c>
      <c r="J567" s="6">
        <v>32113.86</v>
      </c>
      <c r="K567" s="6">
        <f t="shared" si="170"/>
        <v>165.06031852937681</v>
      </c>
      <c r="L567" s="6">
        <f t="shared" si="158"/>
        <v>36.843665254496557</v>
      </c>
      <c r="M567" s="6">
        <f t="shared" si="159"/>
        <v>128.21665327488026</v>
      </c>
      <c r="N567" s="6">
        <v>7029.18</v>
      </c>
      <c r="O567" s="6">
        <f t="shared" si="171"/>
        <v>64.643246965573127</v>
      </c>
      <c r="P567" s="6">
        <f t="shared" si="160"/>
        <v>45.059174031504973</v>
      </c>
      <c r="Q567" s="6">
        <f t="shared" si="161"/>
        <v>19.584072934068153</v>
      </c>
      <c r="R567" s="6">
        <v>1.62</v>
      </c>
      <c r="S567" s="6">
        <f t="shared" si="172"/>
        <v>2.5316455696202445</v>
      </c>
      <c r="T567" s="6">
        <f t="shared" si="162"/>
        <v>32.510775863866883</v>
      </c>
      <c r="U567" s="6">
        <f t="shared" si="163"/>
        <v>-29.979130294246637</v>
      </c>
      <c r="V567" s="6">
        <v>58.14</v>
      </c>
      <c r="W567" s="6">
        <f t="shared" si="173"/>
        <v>5.6322674418604723</v>
      </c>
      <c r="X567" s="6">
        <f t="shared" si="164"/>
        <v>29.759917042496244</v>
      </c>
      <c r="Y567" s="6">
        <f t="shared" si="165"/>
        <v>-24.12764960063577</v>
      </c>
      <c r="Z567" s="6">
        <v>94.7</v>
      </c>
      <c r="AA567" s="6" t="str">
        <f t="shared" si="174"/>
        <v/>
      </c>
      <c r="AB567" s="6" t="str">
        <f t="shared" si="166"/>
        <v/>
      </c>
      <c r="AC567" s="6" t="str">
        <f t="shared" si="167"/>
        <v/>
      </c>
    </row>
    <row r="568" spans="1:29" x14ac:dyDescent="0.2">
      <c r="A568" t="s">
        <v>652</v>
      </c>
      <c r="B568" s="6">
        <v>625.88</v>
      </c>
      <c r="C568" s="6">
        <f t="shared" si="168"/>
        <v>37.029009304871366</v>
      </c>
      <c r="D568" s="6">
        <f t="shared" si="154"/>
        <v>6.5992194372351021</v>
      </c>
      <c r="E568" s="6">
        <f t="shared" si="155"/>
        <v>30.429789867636263</v>
      </c>
      <c r="F568" s="6">
        <v>49.75</v>
      </c>
      <c r="G568" s="6">
        <f t="shared" si="169"/>
        <v>30.133403086581232</v>
      </c>
      <c r="H568" s="6">
        <f t="shared" si="156"/>
        <v>25.534553982042112</v>
      </c>
      <c r="I568" s="6">
        <f t="shared" si="157"/>
        <v>4.59884910453912</v>
      </c>
      <c r="J568" s="6">
        <v>34570.26</v>
      </c>
      <c r="K568" s="6">
        <f t="shared" si="170"/>
        <v>157.42509819982504</v>
      </c>
      <c r="L568" s="6">
        <f t="shared" si="158"/>
        <v>39.365336949897497</v>
      </c>
      <c r="M568" s="6">
        <f t="shared" si="159"/>
        <v>118.05976124992755</v>
      </c>
      <c r="N568" s="6">
        <v>6675.11</v>
      </c>
      <c r="O568" s="6">
        <f t="shared" si="171"/>
        <v>45.847298755893881</v>
      </c>
      <c r="P568" s="6">
        <f t="shared" si="160"/>
        <v>46.180375504445671</v>
      </c>
      <c r="Q568" s="6">
        <f t="shared" si="161"/>
        <v>-0.33307674855178959</v>
      </c>
      <c r="R568" s="6">
        <v>1.65</v>
      </c>
      <c r="S568" s="6">
        <f t="shared" si="172"/>
        <v>1.2269938650306678</v>
      </c>
      <c r="T568" s="6">
        <f t="shared" si="162"/>
        <v>30.923447557914827</v>
      </c>
      <c r="U568" s="6">
        <f t="shared" si="163"/>
        <v>-29.696453692884159</v>
      </c>
      <c r="V568" s="6">
        <v>60.99</v>
      </c>
      <c r="W568" s="6">
        <f t="shared" si="173"/>
        <v>8.0808080808080884</v>
      </c>
      <c r="X568" s="6">
        <f t="shared" si="164"/>
        <v>29.225169270167427</v>
      </c>
      <c r="Y568" s="6">
        <f t="shared" si="165"/>
        <v>-21.144361189359337</v>
      </c>
      <c r="Z568" s="6">
        <v>94.6</v>
      </c>
      <c r="AA568" s="6">
        <f t="shared" si="174"/>
        <v>-5.4000000000000048</v>
      </c>
      <c r="AB568" s="6" t="str">
        <f t="shared" si="166"/>
        <v/>
      </c>
      <c r="AC568" s="6" t="str">
        <f t="shared" si="167"/>
        <v/>
      </c>
    </row>
    <row r="569" spans="1:29" x14ac:dyDescent="0.2">
      <c r="A569" t="s">
        <v>653</v>
      </c>
      <c r="B569" s="6">
        <v>637.59</v>
      </c>
      <c r="C569" s="6">
        <f t="shared" si="168"/>
        <v>38.893366735649714</v>
      </c>
      <c r="D569" s="6">
        <f t="shared" si="154"/>
        <v>6.6229751653934947</v>
      </c>
      <c r="E569" s="6">
        <f t="shared" si="155"/>
        <v>32.270391570256223</v>
      </c>
      <c r="F569" s="6">
        <v>51.29</v>
      </c>
      <c r="G569" s="6">
        <f t="shared" si="169"/>
        <v>18.754341282704324</v>
      </c>
      <c r="H569" s="6">
        <f t="shared" si="156"/>
        <v>26.379426448844367</v>
      </c>
      <c r="I569" s="6">
        <f t="shared" si="157"/>
        <v>-7.6250851661400425</v>
      </c>
      <c r="J569" s="6">
        <v>36811.14</v>
      </c>
      <c r="K569" s="6">
        <f t="shared" si="170"/>
        <v>152.90644468933525</v>
      </c>
      <c r="L569" s="6">
        <f t="shared" si="158"/>
        <v>41.881425473402459</v>
      </c>
      <c r="M569" s="6">
        <f t="shared" si="159"/>
        <v>111.02501921593279</v>
      </c>
      <c r="N569" s="6">
        <v>5669.66</v>
      </c>
      <c r="O569" s="6">
        <f t="shared" si="171"/>
        <v>19.756332997488556</v>
      </c>
      <c r="P569" s="6">
        <f t="shared" si="160"/>
        <v>46.960083303136891</v>
      </c>
      <c r="Q569" s="6">
        <f t="shared" si="161"/>
        <v>-27.203750305648335</v>
      </c>
      <c r="R569" s="6">
        <v>1.94</v>
      </c>
      <c r="S569" s="6">
        <f t="shared" si="172"/>
        <v>10.22727272727273</v>
      </c>
      <c r="T569" s="6">
        <f t="shared" si="162"/>
        <v>29.343107152325185</v>
      </c>
      <c r="U569" s="6">
        <f t="shared" si="163"/>
        <v>-19.115834425052455</v>
      </c>
      <c r="V569" s="6">
        <v>53.52</v>
      </c>
      <c r="W569" s="6">
        <f t="shared" si="173"/>
        <v>-14.313160422670501</v>
      </c>
      <c r="X569" s="6">
        <f t="shared" si="164"/>
        <v>28.339478761771733</v>
      </c>
      <c r="Y569" s="6">
        <f t="shared" si="165"/>
        <v>-42.652639184442236</v>
      </c>
      <c r="Z569" s="6">
        <v>94.1</v>
      </c>
      <c r="AA569" s="6">
        <f t="shared" si="174"/>
        <v>-5.2366565961732174</v>
      </c>
      <c r="AB569" s="6" t="str">
        <f t="shared" si="166"/>
        <v/>
      </c>
      <c r="AC569" s="6" t="str">
        <f t="shared" si="167"/>
        <v/>
      </c>
    </row>
    <row r="570" spans="1:29" x14ac:dyDescent="0.2">
      <c r="A570" t="s">
        <v>654</v>
      </c>
      <c r="B570" s="6">
        <v>645.20000000000005</v>
      </c>
      <c r="C570" s="6">
        <f t="shared" si="168"/>
        <v>36.146866427516365</v>
      </c>
      <c r="D570" s="6">
        <f t="shared" si="154"/>
        <v>6.8073061626840392</v>
      </c>
      <c r="E570" s="6">
        <f t="shared" si="155"/>
        <v>29.339560264832325</v>
      </c>
      <c r="F570" s="6">
        <v>52.9</v>
      </c>
      <c r="G570" s="6">
        <f t="shared" si="169"/>
        <v>10.901467505241079</v>
      </c>
      <c r="H570" s="6">
        <f t="shared" si="156"/>
        <v>26.956765901984188</v>
      </c>
      <c r="I570" s="6">
        <f t="shared" si="157"/>
        <v>-16.055298396743108</v>
      </c>
      <c r="J570" s="6">
        <v>41184.25</v>
      </c>
      <c r="K570" s="6">
        <f t="shared" si="170"/>
        <v>174.95118083952264</v>
      </c>
      <c r="L570" s="6">
        <f t="shared" si="158"/>
        <v>44.38340969507086</v>
      </c>
      <c r="M570" s="6">
        <f t="shared" si="159"/>
        <v>130.56777114445177</v>
      </c>
      <c r="N570" s="6">
        <v>5676.45</v>
      </c>
      <c r="O570" s="6">
        <f t="shared" si="171"/>
        <v>13.930033718689794</v>
      </c>
      <c r="P570" s="6">
        <f t="shared" si="160"/>
        <v>47.172615753231192</v>
      </c>
      <c r="Q570" s="6">
        <f t="shared" si="161"/>
        <v>-33.2425820345414</v>
      </c>
      <c r="R570" s="6">
        <v>2.12</v>
      </c>
      <c r="S570" s="6">
        <f t="shared" si="172"/>
        <v>9.8445595854922416</v>
      </c>
      <c r="T570" s="6">
        <f t="shared" si="162"/>
        <v>28.167286445254479</v>
      </c>
      <c r="U570" s="6">
        <f t="shared" si="163"/>
        <v>-18.322726859762238</v>
      </c>
      <c r="V570" s="6">
        <v>57.56</v>
      </c>
      <c r="W570" s="6">
        <f t="shared" si="173"/>
        <v>-3.5845896147403744</v>
      </c>
      <c r="X570" s="6">
        <f t="shared" si="164"/>
        <v>26.779320991869493</v>
      </c>
      <c r="Y570" s="6">
        <f t="shared" si="165"/>
        <v>-30.363910606609867</v>
      </c>
      <c r="Z570" s="6">
        <v>94.4</v>
      </c>
      <c r="AA570" s="6">
        <f t="shared" si="174"/>
        <v>-3.9674465920650936</v>
      </c>
      <c r="AB570" s="6" t="str">
        <f t="shared" si="166"/>
        <v/>
      </c>
      <c r="AC570" s="6" t="str">
        <f t="shared" si="167"/>
        <v/>
      </c>
    </row>
    <row r="571" spans="1:29" x14ac:dyDescent="0.2">
      <c r="A571" t="s">
        <v>655</v>
      </c>
      <c r="B571" s="6">
        <v>660.93</v>
      </c>
      <c r="C571" s="6">
        <f t="shared" si="168"/>
        <v>39.873444510285275</v>
      </c>
      <c r="D571" s="6">
        <f t="shared" si="154"/>
        <v>6.8286790043691603</v>
      </c>
      <c r="E571" s="6">
        <f t="shared" si="155"/>
        <v>33.044765505916118</v>
      </c>
      <c r="F571" s="6">
        <v>55.38</v>
      </c>
      <c r="G571" s="6">
        <f t="shared" si="169"/>
        <v>11.316582914572869</v>
      </c>
      <c r="H571" s="6">
        <f t="shared" si="156"/>
        <v>27.402592738355239</v>
      </c>
      <c r="I571" s="6">
        <f t="shared" si="157"/>
        <v>-16.086009823782369</v>
      </c>
      <c r="J571" s="6">
        <v>46324.77</v>
      </c>
      <c r="K571" s="6">
        <f t="shared" si="170"/>
        <v>210.95896663778015</v>
      </c>
      <c r="L571" s="6">
        <f t="shared" si="158"/>
        <v>47.131987486244071</v>
      </c>
      <c r="M571" s="6">
        <f t="shared" si="159"/>
        <v>163.82697915153608</v>
      </c>
      <c r="N571" s="6">
        <v>6452.48</v>
      </c>
      <c r="O571" s="6">
        <f t="shared" si="171"/>
        <v>26.448553259453035</v>
      </c>
      <c r="P571" s="6">
        <f t="shared" si="160"/>
        <v>47.300229018928171</v>
      </c>
      <c r="Q571" s="6">
        <f t="shared" si="161"/>
        <v>-20.851675759475135</v>
      </c>
      <c r="R571" s="6">
        <v>2.0499999999999998</v>
      </c>
      <c r="S571" s="6">
        <f t="shared" si="172"/>
        <v>7.3298429319371694</v>
      </c>
      <c r="T571" s="6">
        <f t="shared" si="162"/>
        <v>27.079277988343041</v>
      </c>
      <c r="U571" s="6">
        <f t="shared" si="163"/>
        <v>-19.749435056405872</v>
      </c>
      <c r="V571" s="6">
        <v>60.6</v>
      </c>
      <c r="W571" s="6">
        <f t="shared" si="173"/>
        <v>-0.54160512063022859</v>
      </c>
      <c r="X571" s="6">
        <f t="shared" si="164"/>
        <v>25.359546946467294</v>
      </c>
      <c r="Y571" s="6">
        <f t="shared" si="165"/>
        <v>-25.901152067097524</v>
      </c>
      <c r="Z571" s="6">
        <v>94.5</v>
      </c>
      <c r="AA571" s="6">
        <f t="shared" si="174"/>
        <v>-3.7678207739307523</v>
      </c>
      <c r="AB571" s="6" t="str">
        <f t="shared" si="166"/>
        <v/>
      </c>
      <c r="AC571" s="6" t="str">
        <f t="shared" si="167"/>
        <v/>
      </c>
    </row>
    <row r="572" spans="1:29" x14ac:dyDescent="0.2">
      <c r="A572" t="s">
        <v>656</v>
      </c>
      <c r="B572" s="6">
        <v>743.45</v>
      </c>
      <c r="C572" s="6">
        <f t="shared" si="168"/>
        <v>56.219794074385398</v>
      </c>
      <c r="D572" s="6">
        <f t="shared" si="154"/>
        <v>7.110687278463427</v>
      </c>
      <c r="E572" s="6">
        <f t="shared" si="155"/>
        <v>49.109106795921974</v>
      </c>
      <c r="F572" s="6">
        <v>56.12</v>
      </c>
      <c r="G572" s="6">
        <f t="shared" si="169"/>
        <v>6.1270801815431097</v>
      </c>
      <c r="H572" s="6">
        <f t="shared" si="156"/>
        <v>27.893151045478387</v>
      </c>
      <c r="I572" s="6">
        <f t="shared" si="157"/>
        <v>-21.766070863935276</v>
      </c>
      <c r="J572" s="6">
        <v>50266.84</v>
      </c>
      <c r="K572" s="6">
        <f t="shared" si="170"/>
        <v>180.15953432741316</v>
      </c>
      <c r="L572" s="6">
        <f t="shared" si="158"/>
        <v>50.940187755187623</v>
      </c>
      <c r="M572" s="6">
        <f t="shared" si="159"/>
        <v>129.21934657222553</v>
      </c>
      <c r="N572" s="6">
        <v>7766.47</v>
      </c>
      <c r="O572" s="6">
        <f t="shared" si="171"/>
        <v>21.583241752220662</v>
      </c>
      <c r="P572" s="6">
        <f t="shared" si="160"/>
        <v>47.781012033793132</v>
      </c>
      <c r="Q572" s="6">
        <f t="shared" si="161"/>
        <v>-26.19777028157247</v>
      </c>
      <c r="R572" s="6">
        <v>2.17</v>
      </c>
      <c r="S572" s="6">
        <f t="shared" si="172"/>
        <v>11.855670103092786</v>
      </c>
      <c r="T572" s="6">
        <f t="shared" si="162"/>
        <v>26.40477716707213</v>
      </c>
      <c r="U572" s="6">
        <f t="shared" si="163"/>
        <v>-14.549107063979344</v>
      </c>
      <c r="V572" s="6">
        <v>65.06</v>
      </c>
      <c r="W572" s="6">
        <f t="shared" si="173"/>
        <v>-4.2813005737825431</v>
      </c>
      <c r="X572" s="6">
        <f t="shared" si="164"/>
        <v>24.756046924389867</v>
      </c>
      <c r="Y572" s="6">
        <f t="shared" si="165"/>
        <v>-29.037347498172409</v>
      </c>
      <c r="Z572" s="6">
        <v>95</v>
      </c>
      <c r="AA572" s="6">
        <f t="shared" si="174"/>
        <v>-2.8629856850715729</v>
      </c>
      <c r="AB572" s="6" t="str">
        <f t="shared" si="166"/>
        <v/>
      </c>
      <c r="AC572" s="6" t="str">
        <f t="shared" si="167"/>
        <v/>
      </c>
    </row>
    <row r="573" spans="1:29" x14ac:dyDescent="0.2">
      <c r="A573" t="s">
        <v>657</v>
      </c>
      <c r="B573" s="6">
        <v>816.09</v>
      </c>
      <c r="C573" s="6">
        <f t="shared" si="168"/>
        <v>68.711237906226728</v>
      </c>
      <c r="D573" s="6">
        <f t="shared" si="154"/>
        <v>7.8019915880631778</v>
      </c>
      <c r="E573" s="6">
        <f t="shared" si="155"/>
        <v>60.909246318163554</v>
      </c>
      <c r="F573" s="6">
        <v>56</v>
      </c>
      <c r="G573" s="6">
        <f t="shared" si="169"/>
        <v>6.4638783269961975</v>
      </c>
      <c r="H573" s="6">
        <f t="shared" si="156"/>
        <v>28.300729643145115</v>
      </c>
      <c r="I573" s="6">
        <f t="shared" si="157"/>
        <v>-21.836851316148916</v>
      </c>
      <c r="J573" s="6">
        <v>52179.05</v>
      </c>
      <c r="K573" s="6">
        <f t="shared" si="170"/>
        <v>147.56228786258481</v>
      </c>
      <c r="L573" s="6">
        <f t="shared" si="158"/>
        <v>54.40850034729209</v>
      </c>
      <c r="M573" s="6">
        <f t="shared" si="159"/>
        <v>93.15378751529272</v>
      </c>
      <c r="N573" s="6">
        <v>7681.42</v>
      </c>
      <c r="O573" s="6">
        <f t="shared" si="171"/>
        <v>-4.5295344438009089</v>
      </c>
      <c r="P573" s="6">
        <f t="shared" si="160"/>
        <v>48.234396405482876</v>
      </c>
      <c r="Q573" s="6">
        <f t="shared" si="161"/>
        <v>-52.763930849283781</v>
      </c>
      <c r="R573" s="6">
        <v>2.2200000000000002</v>
      </c>
      <c r="S573" s="6">
        <f t="shared" si="172"/>
        <v>3.2558139534883956</v>
      </c>
      <c r="T573" s="6">
        <f t="shared" si="162"/>
        <v>25.87052029421989</v>
      </c>
      <c r="U573" s="6">
        <f t="shared" si="163"/>
        <v>-22.614706340731495</v>
      </c>
      <c r="V573" s="6">
        <v>65.16</v>
      </c>
      <c r="W573" s="6">
        <f t="shared" si="173"/>
        <v>-5.1252184041933768</v>
      </c>
      <c r="X573" s="6">
        <f t="shared" si="164"/>
        <v>24.656203011695471</v>
      </c>
      <c r="Y573" s="6">
        <f t="shared" si="165"/>
        <v>-29.781421415888847</v>
      </c>
      <c r="Z573" s="6">
        <v>95</v>
      </c>
      <c r="AA573" s="6">
        <f t="shared" si="174"/>
        <v>-2.4640657084188944</v>
      </c>
      <c r="AB573" s="6" t="str">
        <f t="shared" si="166"/>
        <v/>
      </c>
      <c r="AC573" s="6" t="str">
        <f t="shared" si="167"/>
        <v/>
      </c>
    </row>
    <row r="574" spans="1:29" x14ac:dyDescent="0.2">
      <c r="A574" t="s">
        <v>658</v>
      </c>
      <c r="B574" s="6">
        <v>833.19</v>
      </c>
      <c r="C574" s="6">
        <f t="shared" si="168"/>
        <v>74.249205286933233</v>
      </c>
      <c r="D574" s="6">
        <f t="shared" si="154"/>
        <v>8.8604989113381922</v>
      </c>
      <c r="E574" s="6">
        <f t="shared" si="155"/>
        <v>65.388706375595035</v>
      </c>
      <c r="F574" s="6">
        <v>61.6</v>
      </c>
      <c r="G574" s="6">
        <f t="shared" si="169"/>
        <v>17.602138220694918</v>
      </c>
      <c r="H574" s="6">
        <f t="shared" si="156"/>
        <v>28.712861532894042</v>
      </c>
      <c r="I574" s="6">
        <f t="shared" si="157"/>
        <v>-11.110723312199124</v>
      </c>
      <c r="J574" s="6">
        <v>41718.57</v>
      </c>
      <c r="K574" s="6">
        <f t="shared" si="170"/>
        <v>101.0092726655119</v>
      </c>
      <c r="L574" s="6">
        <f t="shared" si="158"/>
        <v>56.999185846284924</v>
      </c>
      <c r="M574" s="6">
        <f t="shared" si="159"/>
        <v>44.010086819226977</v>
      </c>
      <c r="N574" s="6">
        <v>7474.38</v>
      </c>
      <c r="O574" s="6">
        <f t="shared" si="171"/>
        <v>3.845304205145883</v>
      </c>
      <c r="P574" s="6">
        <f t="shared" si="160"/>
        <v>48.071356098721232</v>
      </c>
      <c r="Q574" s="6">
        <f t="shared" si="161"/>
        <v>-44.226051893575345</v>
      </c>
      <c r="R574" s="6">
        <v>2.11</v>
      </c>
      <c r="S574" s="6">
        <f t="shared" si="172"/>
        <v>-10.212765957446813</v>
      </c>
      <c r="T574" s="6">
        <f t="shared" si="162"/>
        <v>25.448153673152856</v>
      </c>
      <c r="U574" s="6">
        <f t="shared" si="163"/>
        <v>-35.660919630599665</v>
      </c>
      <c r="V574" s="6">
        <v>68.19</v>
      </c>
      <c r="W574" s="6">
        <f t="shared" si="173"/>
        <v>-0.1464343242056021</v>
      </c>
      <c r="X574" s="6">
        <f t="shared" si="164"/>
        <v>24.517775894733674</v>
      </c>
      <c r="Y574" s="6">
        <f t="shared" si="165"/>
        <v>-24.664210218939274</v>
      </c>
      <c r="Z574" s="6">
        <v>95.3</v>
      </c>
      <c r="AA574" s="6">
        <f t="shared" si="174"/>
        <v>-1.7525773195876337</v>
      </c>
      <c r="AB574" s="6" t="str">
        <f t="shared" si="166"/>
        <v/>
      </c>
      <c r="AC574" s="6" t="str">
        <f t="shared" si="167"/>
        <v/>
      </c>
    </row>
    <row r="575" spans="1:29" x14ac:dyDescent="0.2">
      <c r="A575" t="s">
        <v>659</v>
      </c>
      <c r="B575" s="6">
        <v>854.52</v>
      </c>
      <c r="C575" s="6">
        <f t="shared" si="168"/>
        <v>71.174455639911073</v>
      </c>
      <c r="D575" s="6">
        <f t="shared" si="154"/>
        <v>10.211407761968717</v>
      </c>
      <c r="E575" s="6">
        <f t="shared" si="155"/>
        <v>60.963047877942358</v>
      </c>
      <c r="F575" s="6">
        <v>67.31</v>
      </c>
      <c r="G575" s="6">
        <f t="shared" si="169"/>
        <v>27.601895734597171</v>
      </c>
      <c r="H575" s="6">
        <f t="shared" si="156"/>
        <v>29.146507150108988</v>
      </c>
      <c r="I575" s="6">
        <f t="shared" si="157"/>
        <v>-1.5446114155118167</v>
      </c>
      <c r="J575" s="6">
        <v>33425.68</v>
      </c>
      <c r="K575" s="6">
        <f t="shared" si="170"/>
        <v>25.725724520888484</v>
      </c>
      <c r="L575" s="6">
        <f t="shared" si="158"/>
        <v>58.590046598463438</v>
      </c>
      <c r="M575" s="6">
        <f t="shared" si="159"/>
        <v>-32.864322077574954</v>
      </c>
      <c r="N575" s="6">
        <v>7972.57</v>
      </c>
      <c r="O575" s="6">
        <f t="shared" si="171"/>
        <v>3.3774198986008974</v>
      </c>
      <c r="P575" s="6">
        <f t="shared" si="160"/>
        <v>48.102188289398391</v>
      </c>
      <c r="Q575" s="6">
        <f t="shared" si="161"/>
        <v>-44.724768390797493</v>
      </c>
      <c r="R575" s="6">
        <v>2.04</v>
      </c>
      <c r="S575" s="6">
        <f t="shared" si="172"/>
        <v>-11.688311688311693</v>
      </c>
      <c r="T575" s="6">
        <f t="shared" si="162"/>
        <v>25.21028731409962</v>
      </c>
      <c r="U575" s="6">
        <f t="shared" si="163"/>
        <v>-36.898599002411316</v>
      </c>
      <c r="V575" s="6">
        <v>73.599999999999994</v>
      </c>
      <c r="W575" s="6">
        <f t="shared" si="173"/>
        <v>1.5873015873015817</v>
      </c>
      <c r="X575" s="6">
        <f t="shared" si="164"/>
        <v>24.222939416749639</v>
      </c>
      <c r="Y575" s="6">
        <f t="shared" si="165"/>
        <v>-22.635637829448058</v>
      </c>
      <c r="Z575" s="6">
        <v>95.3</v>
      </c>
      <c r="AA575" s="6">
        <f t="shared" si="174"/>
        <v>-0.93555093555094393</v>
      </c>
      <c r="AB575" s="6" t="str">
        <f t="shared" si="166"/>
        <v/>
      </c>
      <c r="AC575" s="6" t="str">
        <f t="shared" si="167"/>
        <v/>
      </c>
    </row>
    <row r="576" spans="1:29" x14ac:dyDescent="0.2">
      <c r="A576" t="s">
        <v>660</v>
      </c>
      <c r="B576" s="6">
        <v>830.65</v>
      </c>
      <c r="C576" s="6">
        <f t="shared" si="168"/>
        <v>55.476734174372019</v>
      </c>
      <c r="D576" s="6">
        <f t="shared" si="154"/>
        <v>11.519043525526186</v>
      </c>
      <c r="E576" s="6">
        <f t="shared" si="155"/>
        <v>43.957690648845833</v>
      </c>
      <c r="F576" s="6">
        <v>69.349999999999994</v>
      </c>
      <c r="G576" s="6">
        <f t="shared" si="169"/>
        <v>36.140557518649395</v>
      </c>
      <c r="H576" s="6">
        <f t="shared" si="156"/>
        <v>29.613555283888616</v>
      </c>
      <c r="I576" s="6">
        <f t="shared" si="157"/>
        <v>6.5270022347607792</v>
      </c>
      <c r="J576" s="6">
        <v>27652.27</v>
      </c>
      <c r="K576" s="6">
        <f t="shared" si="170"/>
        <v>-10.055315505906259</v>
      </c>
      <c r="L576" s="6">
        <f t="shared" si="158"/>
        <v>58.643377842985366</v>
      </c>
      <c r="M576" s="6">
        <f t="shared" si="159"/>
        <v>-68.698693348891624</v>
      </c>
      <c r="N576" s="6">
        <v>7513.5</v>
      </c>
      <c r="O576" s="6">
        <f t="shared" si="171"/>
        <v>-2.3670484402897207</v>
      </c>
      <c r="P576" s="6">
        <f t="shared" si="160"/>
        <v>48.014557294071231</v>
      </c>
      <c r="Q576" s="6">
        <f t="shared" si="161"/>
        <v>-50.381605734360953</v>
      </c>
      <c r="R576" s="6">
        <v>2.0699999999999998</v>
      </c>
      <c r="S576" s="6">
        <f t="shared" si="172"/>
        <v>-3.2710280373831946</v>
      </c>
      <c r="T576" s="6">
        <f t="shared" si="162"/>
        <v>24.786739668329755</v>
      </c>
      <c r="U576" s="6">
        <f t="shared" si="163"/>
        <v>-28.057767705712948</v>
      </c>
      <c r="V576" s="6">
        <v>70.13</v>
      </c>
      <c r="W576" s="6">
        <f t="shared" si="173"/>
        <v>-2.3395070324467415</v>
      </c>
      <c r="X576" s="6">
        <f t="shared" si="164"/>
        <v>24.026234737035249</v>
      </c>
      <c r="Y576" s="6">
        <f t="shared" si="165"/>
        <v>-26.365741769481993</v>
      </c>
      <c r="Z576" s="6">
        <v>95</v>
      </c>
      <c r="AA576" s="6">
        <f t="shared" si="174"/>
        <v>0.21097046413502962</v>
      </c>
      <c r="AB576" s="6" t="str">
        <f t="shared" si="166"/>
        <v/>
      </c>
      <c r="AC576" s="6" t="str">
        <f t="shared" si="167"/>
        <v/>
      </c>
    </row>
    <row r="577" spans="1:29" x14ac:dyDescent="0.2">
      <c r="A577" t="s">
        <v>661</v>
      </c>
      <c r="B577" s="6">
        <v>851.63</v>
      </c>
      <c r="C577" s="6">
        <f t="shared" si="168"/>
        <v>66.58125342304983</v>
      </c>
      <c r="D577" s="6">
        <f t="shared" ref="D577:D640" si="175">IF(COUNT(C529:C576)&lt;48,"",AVERAGE(C529:C576))</f>
        <v>12.70623932438617</v>
      </c>
      <c r="E577" s="6">
        <f t="shared" ref="E577:E640" si="176">IF(OR(C577="",D577=""),"",C577-D577)</f>
        <v>53.875014098663662</v>
      </c>
      <c r="F577" s="6">
        <v>68.44</v>
      </c>
      <c r="G577" s="6">
        <f t="shared" si="169"/>
        <v>45.307855626326955</v>
      </c>
      <c r="H577" s="6">
        <f t="shared" ref="H577:H640" si="177">IF(COUNT(G529:G576)&lt;48,"",AVERAGE(G529:G576))</f>
        <v>30.078094052418532</v>
      </c>
      <c r="I577" s="6">
        <f t="shared" ref="I577:I640" si="178">IF(OR(G577="",H577=""),"",G577-H577)</f>
        <v>15.229761573908423</v>
      </c>
      <c r="J577" s="6">
        <v>29537.5</v>
      </c>
      <c r="K577" s="6">
        <f t="shared" si="170"/>
        <v>-1.9687886544990096</v>
      </c>
      <c r="L577" s="6">
        <f t="shared" ref="L577:L640" si="179">IF(COUNT(K529:K576)&lt;48,"",AVERAGE(K529:K576))</f>
        <v>57.616877719180998</v>
      </c>
      <c r="M577" s="6">
        <f t="shared" ref="M577:M640" si="180">IF(OR(K577="",L577=""),"",K577-L577)</f>
        <v>-59.585666373680006</v>
      </c>
      <c r="N577" s="6">
        <v>7648.98</v>
      </c>
      <c r="O577" s="6">
        <f t="shared" si="171"/>
        <v>0.6132306283838096</v>
      </c>
      <c r="P577" s="6">
        <f t="shared" ref="P577:P640" si="181">IF(COUNT(O529:O576)&lt;48,"",AVERAGE(O529:O576))</f>
        <v>47.569951860552159</v>
      </c>
      <c r="Q577" s="6">
        <f t="shared" ref="Q577:Q640" si="182">IF(OR(O577="",P577=""),"",O577-P577)</f>
        <v>-46.956721232168348</v>
      </c>
      <c r="R577" s="6">
        <v>2.11</v>
      </c>
      <c r="S577" s="6">
        <f t="shared" si="172"/>
        <v>16.574585635359096</v>
      </c>
      <c r="T577" s="6">
        <f t="shared" ref="T577:T640" si="183">IF(COUNT(S529:S576)&lt;48,"",AVERAGE(S529:S576))</f>
        <v>24.417388431607154</v>
      </c>
      <c r="U577" s="6">
        <f t="shared" ref="U577:U640" si="184">IF(OR(S577="",T577=""),"",S577-T577)</f>
        <v>-7.8428027962480584</v>
      </c>
      <c r="V577" s="6">
        <v>76.760000000000005</v>
      </c>
      <c r="W577" s="6">
        <f t="shared" si="173"/>
        <v>23.567289117836452</v>
      </c>
      <c r="X577" s="6">
        <f t="shared" ref="X577:X640" si="185">IF(COUNT(W529:W576)&lt;48,"",AVERAGE(W529:W576))</f>
        <v>23.751891322851055</v>
      </c>
      <c r="Y577" s="6">
        <f t="shared" ref="Y577:Y640" si="186">IF(OR(W577="",X577=""),"",W577-X577)</f>
        <v>-0.18460220501460256</v>
      </c>
      <c r="Z577" s="6">
        <v>95.1</v>
      </c>
      <c r="AA577" s="6">
        <f t="shared" si="174"/>
        <v>0.21074815595363283</v>
      </c>
      <c r="AB577" s="6" t="str">
        <f t="shared" ref="AB577:AB640" si="187">IF(COUNT(AA529:AA576)&lt;48,"",AVERAGE(AA529:AA576))</f>
        <v/>
      </c>
      <c r="AC577" s="6" t="str">
        <f t="shared" ref="AC577:AC640" si="188">IF(OR(AA577="",AB577=""),"",AA577-AB577)</f>
        <v/>
      </c>
    </row>
    <row r="578" spans="1:29" x14ac:dyDescent="0.2">
      <c r="A578" t="s">
        <v>662</v>
      </c>
      <c r="B578" s="6">
        <v>926.2</v>
      </c>
      <c r="C578" s="6">
        <f t="shared" si="168"/>
        <v>80.131471469135349</v>
      </c>
      <c r="D578" s="6">
        <f t="shared" si="175"/>
        <v>14.014137372890749</v>
      </c>
      <c r="E578" s="6">
        <f t="shared" si="176"/>
        <v>66.117334096244605</v>
      </c>
      <c r="F578" s="6">
        <v>74.81</v>
      </c>
      <c r="G578" s="6">
        <f t="shared" si="169"/>
        <v>69.829738933030654</v>
      </c>
      <c r="H578" s="6">
        <f t="shared" si="177"/>
        <v>30.654900515999312</v>
      </c>
      <c r="I578" s="6">
        <f t="shared" si="178"/>
        <v>39.174838417031339</v>
      </c>
      <c r="J578" s="6">
        <v>31055.439999999999</v>
      </c>
      <c r="K578" s="6">
        <f t="shared" si="170"/>
        <v>-5.0378314378881957</v>
      </c>
      <c r="L578" s="6">
        <f t="shared" si="179"/>
        <v>56.532632178686129</v>
      </c>
      <c r="M578" s="6">
        <f t="shared" si="180"/>
        <v>-61.570463616574322</v>
      </c>
      <c r="N578" s="6">
        <v>8008.44</v>
      </c>
      <c r="O578" s="6">
        <f t="shared" si="171"/>
        <v>6.773647770315927</v>
      </c>
      <c r="P578" s="6">
        <f t="shared" si="181"/>
        <v>47.144831742657978</v>
      </c>
      <c r="Q578" s="6">
        <f t="shared" si="182"/>
        <v>-40.371183972342052</v>
      </c>
      <c r="R578" s="6">
        <v>2.2599999999999998</v>
      </c>
      <c r="S578" s="6">
        <f t="shared" si="172"/>
        <v>26.256983240223452</v>
      </c>
      <c r="T578" s="6">
        <f t="shared" si="183"/>
        <v>24.322877484195658</v>
      </c>
      <c r="U578" s="6">
        <f t="shared" si="184"/>
        <v>1.9341057560277939</v>
      </c>
      <c r="V578" s="6">
        <v>81.97</v>
      </c>
      <c r="W578" s="6">
        <f t="shared" si="173"/>
        <v>41.547228457952002</v>
      </c>
      <c r="X578" s="6">
        <f t="shared" si="185"/>
        <v>24.346011826337335</v>
      </c>
      <c r="Y578" s="6">
        <f t="shared" si="186"/>
        <v>17.201216631614667</v>
      </c>
      <c r="Z578" s="6">
        <v>94.7</v>
      </c>
      <c r="AA578" s="6">
        <f t="shared" si="174"/>
        <v>-0.10548523206750371</v>
      </c>
      <c r="AB578" s="6" t="str">
        <f t="shared" si="187"/>
        <v/>
      </c>
      <c r="AC578" s="6" t="str">
        <f t="shared" si="188"/>
        <v/>
      </c>
    </row>
    <row r="579" spans="1:29" x14ac:dyDescent="0.2">
      <c r="A579" t="s">
        <v>663</v>
      </c>
      <c r="B579" s="6">
        <v>998.57</v>
      </c>
      <c r="C579" s="6">
        <f t="shared" si="168"/>
        <v>74.706510138740654</v>
      </c>
      <c r="D579" s="6">
        <f t="shared" si="175"/>
        <v>15.255261110450112</v>
      </c>
      <c r="E579" s="6">
        <f t="shared" si="176"/>
        <v>59.45124902829054</v>
      </c>
      <c r="F579" s="6">
        <v>84.6</v>
      </c>
      <c r="G579" s="6">
        <f t="shared" si="169"/>
        <v>83.913043478260846</v>
      </c>
      <c r="H579" s="6">
        <f t="shared" si="177"/>
        <v>31.854584702954458</v>
      </c>
      <c r="I579" s="6">
        <f t="shared" si="178"/>
        <v>52.058458775306391</v>
      </c>
      <c r="J579" s="6">
        <v>30610.23</v>
      </c>
      <c r="K579" s="6">
        <f t="shared" si="170"/>
        <v>-4.6821839542178996</v>
      </c>
      <c r="L579" s="6">
        <f t="shared" si="179"/>
        <v>55.128679469403501</v>
      </c>
      <c r="M579" s="6">
        <f t="shared" si="180"/>
        <v>-59.810863423621399</v>
      </c>
      <c r="N579" s="6">
        <v>6966.71</v>
      </c>
      <c r="O579" s="6">
        <f t="shared" si="171"/>
        <v>-0.88872386252735192</v>
      </c>
      <c r="P579" s="6">
        <f t="shared" si="181"/>
        <v>46.672670752107017</v>
      </c>
      <c r="Q579" s="6">
        <f t="shared" si="182"/>
        <v>-47.561394614634366</v>
      </c>
      <c r="R579" s="6">
        <v>2.37</v>
      </c>
      <c r="S579" s="6">
        <f t="shared" si="172"/>
        <v>46.296296296296305</v>
      </c>
      <c r="T579" s="6">
        <f t="shared" si="183"/>
        <v>23.7152794944714</v>
      </c>
      <c r="U579" s="6">
        <f t="shared" si="184"/>
        <v>22.581016801824905</v>
      </c>
      <c r="V579" s="6">
        <v>91.34</v>
      </c>
      <c r="W579" s="6">
        <f t="shared" si="173"/>
        <v>57.103543171654621</v>
      </c>
      <c r="X579" s="6">
        <f t="shared" si="185"/>
        <v>25.099580054518281</v>
      </c>
      <c r="Y579" s="6">
        <f t="shared" si="186"/>
        <v>32.003963117136337</v>
      </c>
      <c r="Z579" s="6">
        <v>95.1</v>
      </c>
      <c r="AA579" s="6">
        <f t="shared" si="174"/>
        <v>0.42238648363250864</v>
      </c>
      <c r="AB579" s="6" t="str">
        <f t="shared" si="187"/>
        <v/>
      </c>
      <c r="AC579" s="6" t="str">
        <f t="shared" si="188"/>
        <v/>
      </c>
    </row>
    <row r="580" spans="1:29" x14ac:dyDescent="0.2">
      <c r="A580" t="s">
        <v>664</v>
      </c>
      <c r="B580" s="6">
        <v>1002.22</v>
      </c>
      <c r="C580" s="6">
        <f t="shared" si="168"/>
        <v>60.129737329839593</v>
      </c>
      <c r="D580" s="6">
        <f t="shared" si="175"/>
        <v>16.439888534392328</v>
      </c>
      <c r="E580" s="6">
        <f t="shared" si="176"/>
        <v>43.689848795447261</v>
      </c>
      <c r="F580" s="6">
        <v>91</v>
      </c>
      <c r="G580" s="6">
        <f t="shared" si="169"/>
        <v>82.914572864321599</v>
      </c>
      <c r="H580" s="6">
        <f t="shared" si="177"/>
        <v>33.142739095146119</v>
      </c>
      <c r="I580" s="6">
        <f t="shared" si="178"/>
        <v>49.77183376917548</v>
      </c>
      <c r="J580" s="6">
        <v>25991.94</v>
      </c>
      <c r="K580" s="6">
        <f t="shared" si="170"/>
        <v>-24.81416107370903</v>
      </c>
      <c r="L580" s="6">
        <f t="shared" si="179"/>
        <v>53.671693263833355</v>
      </c>
      <c r="M580" s="6">
        <f t="shared" si="180"/>
        <v>-78.485854337542378</v>
      </c>
      <c r="N580" s="6">
        <v>6587.67</v>
      </c>
      <c r="O580" s="6">
        <f t="shared" si="171"/>
        <v>-1.309940959774436</v>
      </c>
      <c r="P580" s="6">
        <f t="shared" si="181"/>
        <v>46.031192540142619</v>
      </c>
      <c r="Q580" s="6">
        <f t="shared" si="182"/>
        <v>-47.341133499917056</v>
      </c>
      <c r="R580" s="6">
        <v>2.41</v>
      </c>
      <c r="S580" s="6">
        <f t="shared" si="172"/>
        <v>46.060606060606069</v>
      </c>
      <c r="T580" s="6">
        <f t="shared" si="183"/>
        <v>23.638119000644235</v>
      </c>
      <c r="U580" s="6">
        <f t="shared" si="184"/>
        <v>22.422487059961835</v>
      </c>
      <c r="V580" s="6">
        <v>89.52</v>
      </c>
      <c r="W580" s="6">
        <f t="shared" si="173"/>
        <v>46.778160354156405</v>
      </c>
      <c r="X580" s="6">
        <f t="shared" si="185"/>
        <v>25.900416231365949</v>
      </c>
      <c r="Y580" s="6">
        <f t="shared" si="186"/>
        <v>20.877744122790457</v>
      </c>
      <c r="Z580" s="6">
        <v>95.7</v>
      </c>
      <c r="AA580" s="6">
        <f t="shared" si="174"/>
        <v>1.1627906976744207</v>
      </c>
      <c r="AB580" s="6" t="str">
        <f t="shared" si="187"/>
        <v/>
      </c>
      <c r="AC580" s="6" t="str">
        <f t="shared" si="188"/>
        <v/>
      </c>
    </row>
    <row r="581" spans="1:29" x14ac:dyDescent="0.2">
      <c r="A581" t="s">
        <v>665</v>
      </c>
      <c r="B581" s="6">
        <v>1122.1500000000001</v>
      </c>
      <c r="C581" s="6">
        <f t="shared" si="168"/>
        <v>75.998682538935697</v>
      </c>
      <c r="D581" s="6">
        <f t="shared" si="175"/>
        <v>17.474244824836472</v>
      </c>
      <c r="E581" s="6">
        <f t="shared" si="176"/>
        <v>58.524437714099221</v>
      </c>
      <c r="F581" s="6">
        <v>91.75</v>
      </c>
      <c r="G581" s="6">
        <f t="shared" si="169"/>
        <v>78.884772860206681</v>
      </c>
      <c r="H581" s="6">
        <f t="shared" si="177"/>
        <v>34.062302900567779</v>
      </c>
      <c r="I581" s="6">
        <f t="shared" si="178"/>
        <v>44.822469959638902</v>
      </c>
      <c r="J581" s="6">
        <v>27689.55</v>
      </c>
      <c r="K581" s="6">
        <f t="shared" si="170"/>
        <v>-24.779428183968221</v>
      </c>
      <c r="L581" s="6">
        <f t="shared" si="179"/>
        <v>51.13622255604475</v>
      </c>
      <c r="M581" s="6">
        <f t="shared" si="180"/>
        <v>-75.915650740012978</v>
      </c>
      <c r="N581" s="6">
        <v>7061.02</v>
      </c>
      <c r="O581" s="6">
        <f t="shared" si="171"/>
        <v>24.540448633604139</v>
      </c>
      <c r="P581" s="6">
        <f t="shared" si="181"/>
        <v>45.213212554197575</v>
      </c>
      <c r="Q581" s="6">
        <f t="shared" si="182"/>
        <v>-20.672763920593436</v>
      </c>
      <c r="R581" s="6">
        <v>2.5299999999999998</v>
      </c>
      <c r="S581" s="6">
        <f t="shared" si="172"/>
        <v>30.412371134020621</v>
      </c>
      <c r="T581" s="6">
        <f t="shared" si="183"/>
        <v>23.641832607299012</v>
      </c>
      <c r="U581" s="6">
        <f t="shared" si="184"/>
        <v>6.7705385267216087</v>
      </c>
      <c r="V581" s="6">
        <v>90.69</v>
      </c>
      <c r="W581" s="6">
        <f t="shared" si="173"/>
        <v>69.4506726457399</v>
      </c>
      <c r="X581" s="6">
        <f t="shared" si="185"/>
        <v>26.71958894281974</v>
      </c>
      <c r="Y581" s="6">
        <f t="shared" si="186"/>
        <v>42.731083702920159</v>
      </c>
      <c r="Z581" s="6">
        <v>95.7</v>
      </c>
      <c r="AA581" s="6">
        <f t="shared" si="174"/>
        <v>1.7003188097768351</v>
      </c>
      <c r="AB581" s="6" t="str">
        <f t="shared" si="187"/>
        <v/>
      </c>
      <c r="AC581" s="6" t="str">
        <f t="shared" si="188"/>
        <v/>
      </c>
    </row>
    <row r="582" spans="1:29" x14ac:dyDescent="0.2">
      <c r="A582" t="s">
        <v>666</v>
      </c>
      <c r="B582" s="6">
        <v>1268.6300000000001</v>
      </c>
      <c r="C582" s="6">
        <f t="shared" si="168"/>
        <v>96.625852448853067</v>
      </c>
      <c r="D582" s="6">
        <f t="shared" si="175"/>
        <v>18.881321736826646</v>
      </c>
      <c r="E582" s="6">
        <f t="shared" si="176"/>
        <v>77.744530712026418</v>
      </c>
      <c r="F582" s="6">
        <v>132</v>
      </c>
      <c r="G582" s="6">
        <f t="shared" si="169"/>
        <v>149.52741020793954</v>
      </c>
      <c r="H582" s="6">
        <f t="shared" si="177"/>
        <v>34.630601799680186</v>
      </c>
      <c r="I582" s="6">
        <f t="shared" si="178"/>
        <v>114.89680840825935</v>
      </c>
      <c r="J582" s="6">
        <v>27955.48</v>
      </c>
      <c r="K582" s="6">
        <f t="shared" si="170"/>
        <v>-32.120944293024642</v>
      </c>
      <c r="L582" s="6">
        <f t="shared" si="179"/>
        <v>48.724968321398428</v>
      </c>
      <c r="M582" s="6">
        <f t="shared" si="180"/>
        <v>-80.845912614423071</v>
      </c>
      <c r="N582" s="6">
        <v>7887.69</v>
      </c>
      <c r="O582" s="6">
        <f t="shared" si="171"/>
        <v>38.954628332848884</v>
      </c>
      <c r="P582" s="6">
        <f t="shared" si="181"/>
        <v>44.743396213594899</v>
      </c>
      <c r="Q582" s="6">
        <f t="shared" si="182"/>
        <v>-5.7887678807460148</v>
      </c>
      <c r="R582" s="6">
        <v>2.72</v>
      </c>
      <c r="S582" s="6">
        <f t="shared" si="172"/>
        <v>28.301886792452823</v>
      </c>
      <c r="T582" s="6">
        <f t="shared" si="183"/>
        <v>23.557831079998518</v>
      </c>
      <c r="U582" s="6">
        <f t="shared" si="184"/>
        <v>4.7440557124543048</v>
      </c>
      <c r="V582" s="6">
        <v>93.39</v>
      </c>
      <c r="W582" s="6">
        <f t="shared" si="173"/>
        <v>62.248088950660183</v>
      </c>
      <c r="X582" s="6">
        <f t="shared" si="185"/>
        <v>28.124472536218452</v>
      </c>
      <c r="Y582" s="6">
        <f t="shared" si="186"/>
        <v>34.123616414441727</v>
      </c>
      <c r="Z582" s="6">
        <v>96.2</v>
      </c>
      <c r="AA582" s="6">
        <f t="shared" si="174"/>
        <v>1.9067796610169552</v>
      </c>
      <c r="AB582" s="6" t="str">
        <f t="shared" si="187"/>
        <v/>
      </c>
      <c r="AC582" s="6" t="str">
        <f t="shared" si="188"/>
        <v/>
      </c>
    </row>
    <row r="583" spans="1:29" x14ac:dyDescent="0.2">
      <c r="A583" t="s">
        <v>667</v>
      </c>
      <c r="B583" s="6">
        <v>1377.22</v>
      </c>
      <c r="C583" s="6">
        <f t="shared" si="168"/>
        <v>108.37607613514292</v>
      </c>
      <c r="D583" s="6">
        <f t="shared" si="175"/>
        <v>20.513555213670848</v>
      </c>
      <c r="E583" s="6">
        <f t="shared" si="176"/>
        <v>87.862520921472083</v>
      </c>
      <c r="F583" s="6">
        <v>118.25</v>
      </c>
      <c r="G583" s="6">
        <f t="shared" si="169"/>
        <v>113.52473817262548</v>
      </c>
      <c r="H583" s="6">
        <f t="shared" si="177"/>
        <v>36.370673342696826</v>
      </c>
      <c r="I583" s="6">
        <f t="shared" si="178"/>
        <v>77.154064829928643</v>
      </c>
      <c r="J583" s="6">
        <v>31225.26</v>
      </c>
      <c r="K583" s="6">
        <f t="shared" si="170"/>
        <v>-32.594894696724886</v>
      </c>
      <c r="L583" s="6">
        <f t="shared" si="179"/>
        <v>46.480022868736093</v>
      </c>
      <c r="M583" s="6">
        <f t="shared" si="180"/>
        <v>-79.074917565460979</v>
      </c>
      <c r="N583" s="6">
        <v>8439.2900000000009</v>
      </c>
      <c r="O583" s="6">
        <f t="shared" si="171"/>
        <v>30.791416633604474</v>
      </c>
      <c r="P583" s="6">
        <f t="shared" si="181"/>
        <v>44.223970945189741</v>
      </c>
      <c r="Q583" s="6">
        <f t="shared" si="182"/>
        <v>-13.432554311585267</v>
      </c>
      <c r="R583" s="6">
        <v>2.7</v>
      </c>
      <c r="S583" s="6">
        <f t="shared" si="172"/>
        <v>31.70731707317076</v>
      </c>
      <c r="T583" s="6">
        <f t="shared" si="183"/>
        <v>23.460396983919299</v>
      </c>
      <c r="U583" s="6">
        <f t="shared" si="184"/>
        <v>8.2469200892514607</v>
      </c>
      <c r="V583" s="6">
        <v>101.84</v>
      </c>
      <c r="W583" s="6">
        <f t="shared" si="173"/>
        <v>68.052805280528062</v>
      </c>
      <c r="X583" s="6">
        <f t="shared" si="185"/>
        <v>29.519518387735147</v>
      </c>
      <c r="Y583" s="6">
        <f t="shared" si="186"/>
        <v>38.533286892792916</v>
      </c>
      <c r="Z583" s="6">
        <v>95.3</v>
      </c>
      <c r="AA583" s="6">
        <f t="shared" si="174"/>
        <v>0.84656084656085095</v>
      </c>
      <c r="AB583" s="6" t="str">
        <f t="shared" si="187"/>
        <v/>
      </c>
      <c r="AC583" s="6" t="str">
        <f t="shared" si="188"/>
        <v/>
      </c>
    </row>
    <row r="584" spans="1:29" x14ac:dyDescent="0.2">
      <c r="A584" t="s">
        <v>668</v>
      </c>
      <c r="B584" s="6">
        <v>1320.11</v>
      </c>
      <c r="C584" s="6">
        <f t="shared" si="168"/>
        <v>77.565404532920823</v>
      </c>
      <c r="D584" s="6">
        <f t="shared" si="175"/>
        <v>22.174386862657276</v>
      </c>
      <c r="E584" s="6">
        <f t="shared" si="176"/>
        <v>55.391017670263551</v>
      </c>
      <c r="F584" s="6">
        <v>123</v>
      </c>
      <c r="G584" s="6">
        <f t="shared" si="169"/>
        <v>119.17320028510336</v>
      </c>
      <c r="H584" s="6">
        <f t="shared" si="177"/>
        <v>36.640485169380611</v>
      </c>
      <c r="I584" s="6">
        <f t="shared" si="178"/>
        <v>82.532715115722752</v>
      </c>
      <c r="J584" s="6">
        <v>28763.18</v>
      </c>
      <c r="K584" s="6">
        <f t="shared" si="170"/>
        <v>-42.779016942381887</v>
      </c>
      <c r="L584" s="6">
        <f t="shared" si="179"/>
        <v>44.474155712894287</v>
      </c>
      <c r="M584" s="6">
        <f t="shared" si="180"/>
        <v>-87.253172655276174</v>
      </c>
      <c r="N584" s="6">
        <v>8684.93</v>
      </c>
      <c r="O584" s="6">
        <f t="shared" si="171"/>
        <v>11.825964691809787</v>
      </c>
      <c r="P584" s="6">
        <f t="shared" si="181"/>
        <v>43.170466487214775</v>
      </c>
      <c r="Q584" s="6">
        <f t="shared" si="182"/>
        <v>-31.344501795404987</v>
      </c>
      <c r="R584" s="6">
        <v>2.7</v>
      </c>
      <c r="S584" s="6">
        <f t="shared" si="172"/>
        <v>24.423963133640569</v>
      </c>
      <c r="T584" s="6">
        <f t="shared" si="183"/>
        <v>23.419211703645445</v>
      </c>
      <c r="U584" s="6">
        <f t="shared" si="184"/>
        <v>1.0047514299951246</v>
      </c>
      <c r="V584" s="6">
        <v>108.76</v>
      </c>
      <c r="W584" s="6">
        <f t="shared" si="173"/>
        <v>67.168767291730717</v>
      </c>
      <c r="X584" s="6">
        <f t="shared" si="185"/>
        <v>30.710149679125152</v>
      </c>
      <c r="Y584" s="6">
        <f t="shared" si="186"/>
        <v>36.458617612605565</v>
      </c>
      <c r="Z584" s="6">
        <v>95.1</v>
      </c>
      <c r="AA584" s="6">
        <f t="shared" si="174"/>
        <v>0.10526315789474161</v>
      </c>
      <c r="AB584" s="6" t="str">
        <f t="shared" si="187"/>
        <v/>
      </c>
      <c r="AC584" s="6" t="str">
        <f t="shared" si="188"/>
        <v/>
      </c>
    </row>
    <row r="585" spans="1:29" x14ac:dyDescent="0.2">
      <c r="A585" t="s">
        <v>669</v>
      </c>
      <c r="B585" s="6">
        <v>1326.45</v>
      </c>
      <c r="C585" s="6">
        <f t="shared" si="168"/>
        <v>62.537220159541221</v>
      </c>
      <c r="D585" s="6">
        <f t="shared" si="175"/>
        <v>23.169452243272833</v>
      </c>
      <c r="E585" s="6">
        <f t="shared" si="176"/>
        <v>39.367767916268392</v>
      </c>
      <c r="F585" s="6">
        <v>133.19999999999999</v>
      </c>
      <c r="G585" s="6">
        <f t="shared" si="169"/>
        <v>137.85714285714286</v>
      </c>
      <c r="H585" s="6">
        <f t="shared" si="177"/>
        <v>36.475783274112025</v>
      </c>
      <c r="I585" s="6">
        <f t="shared" si="178"/>
        <v>101.38135958303084</v>
      </c>
      <c r="J585" s="6">
        <v>25735</v>
      </c>
      <c r="K585" s="6">
        <f t="shared" si="170"/>
        <v>-50.679439353533652</v>
      </c>
      <c r="L585" s="6">
        <f t="shared" si="179"/>
        <v>42.282378667493731</v>
      </c>
      <c r="M585" s="6">
        <f t="shared" si="180"/>
        <v>-92.961818021027383</v>
      </c>
      <c r="N585" s="6">
        <v>8382.75</v>
      </c>
      <c r="O585" s="6">
        <f t="shared" si="171"/>
        <v>9.1302129033433932</v>
      </c>
      <c r="P585" s="6">
        <f t="shared" si="181"/>
        <v>41.630400922464268</v>
      </c>
      <c r="Q585" s="6">
        <f t="shared" si="182"/>
        <v>-32.500188019120877</v>
      </c>
      <c r="R585" s="6">
        <v>2.96</v>
      </c>
      <c r="S585" s="6">
        <f t="shared" si="172"/>
        <v>33.333333333333329</v>
      </c>
      <c r="T585" s="6">
        <f t="shared" si="183"/>
        <v>23.004748814384175</v>
      </c>
      <c r="U585" s="6">
        <f t="shared" si="184"/>
        <v>10.328584518949153</v>
      </c>
      <c r="V585" s="6">
        <v>122.63</v>
      </c>
      <c r="W585" s="6">
        <f t="shared" si="173"/>
        <v>88.198281154082252</v>
      </c>
      <c r="X585" s="6">
        <f t="shared" si="185"/>
        <v>31.445212351902146</v>
      </c>
      <c r="Y585" s="6">
        <f t="shared" si="186"/>
        <v>56.75306880218011</v>
      </c>
      <c r="Z585" s="6">
        <v>94.9</v>
      </c>
      <c r="AA585" s="6">
        <f t="shared" si="174"/>
        <v>-0.10526315789473051</v>
      </c>
      <c r="AB585" s="6" t="str">
        <f t="shared" si="187"/>
        <v/>
      </c>
      <c r="AC585" s="6" t="str">
        <f t="shared" si="188"/>
        <v/>
      </c>
    </row>
    <row r="586" spans="1:29" x14ac:dyDescent="0.2">
      <c r="A586" t="s">
        <v>670</v>
      </c>
      <c r="B586" s="6">
        <v>1293.21</v>
      </c>
      <c r="C586" s="6">
        <f t="shared" si="168"/>
        <v>55.211896446188732</v>
      </c>
      <c r="D586" s="6">
        <f t="shared" si="175"/>
        <v>24.089679483368162</v>
      </c>
      <c r="E586" s="6">
        <f t="shared" si="176"/>
        <v>31.12221696282057</v>
      </c>
      <c r="F586" s="6">
        <v>159.75</v>
      </c>
      <c r="G586" s="6">
        <f t="shared" si="169"/>
        <v>159.33441558441558</v>
      </c>
      <c r="H586" s="6">
        <f t="shared" si="177"/>
        <v>36.384645424122233</v>
      </c>
      <c r="I586" s="6">
        <f t="shared" si="178"/>
        <v>122.94977016029335</v>
      </c>
      <c r="J586" s="6">
        <v>22549.05</v>
      </c>
      <c r="K586" s="6">
        <f t="shared" si="170"/>
        <v>-45.949609490449937</v>
      </c>
      <c r="L586" s="6">
        <f t="shared" si="179"/>
        <v>40.529415861705218</v>
      </c>
      <c r="M586" s="6">
        <f t="shared" si="180"/>
        <v>-86.479025352155162</v>
      </c>
      <c r="N586" s="6">
        <v>8260.6</v>
      </c>
      <c r="O586" s="6">
        <f t="shared" si="171"/>
        <v>10.518865778833831</v>
      </c>
      <c r="P586" s="6">
        <f t="shared" si="181"/>
        <v>40.448956569921059</v>
      </c>
      <c r="Q586" s="6">
        <f t="shared" si="182"/>
        <v>-29.930090791087228</v>
      </c>
      <c r="R586" s="6">
        <v>3.17</v>
      </c>
      <c r="S586" s="6">
        <f t="shared" si="172"/>
        <v>50.236966824644554</v>
      </c>
      <c r="T586" s="6">
        <f t="shared" si="183"/>
        <v>22.707129766765124</v>
      </c>
      <c r="U586" s="6">
        <f t="shared" si="184"/>
        <v>27.52983705787943</v>
      </c>
      <c r="V586" s="6">
        <v>131.52000000000001</v>
      </c>
      <c r="W586" s="6">
        <f t="shared" si="173"/>
        <v>92.872855257369153</v>
      </c>
      <c r="X586" s="6">
        <f t="shared" si="185"/>
        <v>32.363323766966246</v>
      </c>
      <c r="Y586" s="6">
        <f t="shared" si="186"/>
        <v>60.509531490402907</v>
      </c>
      <c r="Z586" s="6">
        <v>96.7</v>
      </c>
      <c r="AA586" s="6">
        <f t="shared" si="174"/>
        <v>1.4690451206715638</v>
      </c>
      <c r="AB586" s="6" t="str">
        <f t="shared" si="187"/>
        <v/>
      </c>
      <c r="AC586" s="6" t="str">
        <f t="shared" si="188"/>
        <v/>
      </c>
    </row>
    <row r="587" spans="1:29" x14ac:dyDescent="0.2">
      <c r="A587" t="s">
        <v>671</v>
      </c>
      <c r="B587" s="6">
        <v>1213.48</v>
      </c>
      <c r="C587" s="6">
        <f t="shared" si="168"/>
        <v>42.007208725366297</v>
      </c>
      <c r="D587" s="6">
        <f t="shared" si="175"/>
        <v>25.217628719503598</v>
      </c>
      <c r="E587" s="6">
        <f t="shared" si="176"/>
        <v>16.7895800058627</v>
      </c>
      <c r="F587" s="6">
        <v>180</v>
      </c>
      <c r="G587" s="6">
        <f t="shared" si="169"/>
        <v>167.41940276333384</v>
      </c>
      <c r="H587" s="6">
        <f t="shared" si="177"/>
        <v>36.639624172034083</v>
      </c>
      <c r="I587" s="6">
        <f t="shared" si="178"/>
        <v>130.77977859129976</v>
      </c>
      <c r="J587" s="6">
        <v>20160.22</v>
      </c>
      <c r="K587" s="6">
        <f t="shared" si="170"/>
        <v>-39.686432706829002</v>
      </c>
      <c r="L587" s="6">
        <f t="shared" si="179"/>
        <v>38.478497122490801</v>
      </c>
      <c r="M587" s="6">
        <f t="shared" si="180"/>
        <v>-78.164929829319803</v>
      </c>
      <c r="N587" s="6">
        <v>8414.0400000000009</v>
      </c>
      <c r="O587" s="6">
        <f t="shared" si="171"/>
        <v>5.5373612273081463</v>
      </c>
      <c r="P587" s="6">
        <f t="shared" si="181"/>
        <v>39.432540263171411</v>
      </c>
      <c r="Q587" s="6">
        <f t="shared" si="182"/>
        <v>-33.895179035863265</v>
      </c>
      <c r="R587" s="6">
        <v>3.2</v>
      </c>
      <c r="S587" s="6">
        <f t="shared" si="172"/>
        <v>56.862745098039213</v>
      </c>
      <c r="T587" s="6">
        <f t="shared" si="183"/>
        <v>22.860876099421407</v>
      </c>
      <c r="U587" s="6">
        <f t="shared" si="184"/>
        <v>34.001868998617809</v>
      </c>
      <c r="V587" s="6">
        <v>132.83000000000001</v>
      </c>
      <c r="W587" s="6">
        <f t="shared" si="173"/>
        <v>80.475543478260889</v>
      </c>
      <c r="X587" s="6">
        <f t="shared" si="185"/>
        <v>33.729586092946548</v>
      </c>
      <c r="Y587" s="6">
        <f t="shared" si="186"/>
        <v>46.745957385314341</v>
      </c>
      <c r="Z587" s="6">
        <v>94.7</v>
      </c>
      <c r="AA587" s="6">
        <f t="shared" si="174"/>
        <v>-0.62959076600209718</v>
      </c>
      <c r="AB587" s="6" t="str">
        <f t="shared" si="187"/>
        <v/>
      </c>
      <c r="AC587" s="6" t="str">
        <f t="shared" si="188"/>
        <v/>
      </c>
    </row>
    <row r="588" spans="1:29" x14ac:dyDescent="0.2">
      <c r="A588" t="s">
        <v>672</v>
      </c>
      <c r="B588" s="6">
        <v>963.57</v>
      </c>
      <c r="C588" s="6">
        <f t="shared" si="168"/>
        <v>16.001926202371642</v>
      </c>
      <c r="D588" s="6">
        <f t="shared" si="175"/>
        <v>26.106205960037048</v>
      </c>
      <c r="E588" s="6">
        <f t="shared" si="176"/>
        <v>-10.104279757665406</v>
      </c>
      <c r="F588" s="6">
        <v>158.4</v>
      </c>
      <c r="G588" s="6">
        <f t="shared" si="169"/>
        <v>128.40663302090846</v>
      </c>
      <c r="H588" s="6">
        <f t="shared" si="177"/>
        <v>36.95932168853578</v>
      </c>
      <c r="I588" s="6">
        <f t="shared" si="178"/>
        <v>91.447311332372678</v>
      </c>
      <c r="J588" s="6">
        <v>18927.75</v>
      </c>
      <c r="K588" s="6">
        <f t="shared" si="170"/>
        <v>-31.550827472753596</v>
      </c>
      <c r="L588" s="6">
        <f t="shared" si="179"/>
        <v>36.177322128565677</v>
      </c>
      <c r="M588" s="6">
        <f t="shared" si="180"/>
        <v>-67.728149601319274</v>
      </c>
      <c r="N588" s="6">
        <v>7634.7</v>
      </c>
      <c r="O588" s="6">
        <f t="shared" si="171"/>
        <v>1.6130964264324144</v>
      </c>
      <c r="P588" s="6">
        <f t="shared" si="181"/>
        <v>38.209658778019083</v>
      </c>
      <c r="Q588" s="6">
        <f t="shared" si="182"/>
        <v>-36.59656235158667</v>
      </c>
      <c r="R588" s="6">
        <v>2.91</v>
      </c>
      <c r="S588" s="6">
        <f t="shared" si="172"/>
        <v>40.57971014492756</v>
      </c>
      <c r="T588" s="6">
        <f t="shared" si="183"/>
        <v>23.406312076842681</v>
      </c>
      <c r="U588" s="6">
        <f t="shared" si="184"/>
        <v>17.173398068084879</v>
      </c>
      <c r="V588" s="6">
        <v>114.57</v>
      </c>
      <c r="W588" s="6">
        <f t="shared" si="173"/>
        <v>63.368030799942957</v>
      </c>
      <c r="X588" s="6">
        <f t="shared" si="185"/>
        <v>34.728475410338611</v>
      </c>
      <c r="Y588" s="6">
        <f t="shared" si="186"/>
        <v>28.639555389604347</v>
      </c>
      <c r="Z588" s="6">
        <v>94.3</v>
      </c>
      <c r="AA588" s="6">
        <f t="shared" si="174"/>
        <v>-0.73684210526315796</v>
      </c>
      <c r="AB588" s="6" t="str">
        <f t="shared" si="187"/>
        <v/>
      </c>
      <c r="AC588" s="6" t="str">
        <f t="shared" si="188"/>
        <v/>
      </c>
    </row>
    <row r="589" spans="1:29" x14ac:dyDescent="0.2">
      <c r="A589" t="s">
        <v>673</v>
      </c>
      <c r="B589" s="6">
        <v>826.02</v>
      </c>
      <c r="C589" s="6">
        <f t="shared" si="168"/>
        <v>-3.0071744771790532</v>
      </c>
      <c r="D589" s="6">
        <f t="shared" si="175"/>
        <v>26.350529440794762</v>
      </c>
      <c r="E589" s="6">
        <f t="shared" si="176"/>
        <v>-29.357703917973815</v>
      </c>
      <c r="F589" s="6">
        <v>150</v>
      </c>
      <c r="G589" s="6">
        <f t="shared" si="169"/>
        <v>119.1700759789597</v>
      </c>
      <c r="H589" s="6">
        <f t="shared" si="177"/>
        <v>36.844619107949192</v>
      </c>
      <c r="I589" s="6">
        <f t="shared" si="178"/>
        <v>82.325456871010516</v>
      </c>
      <c r="J589" s="6">
        <v>17794.55</v>
      </c>
      <c r="K589" s="6">
        <f t="shared" si="170"/>
        <v>-39.756072788827765</v>
      </c>
      <c r="L589" s="6">
        <f t="shared" si="179"/>
        <v>34.555774967852138</v>
      </c>
      <c r="M589" s="6">
        <f t="shared" si="180"/>
        <v>-74.311847756679896</v>
      </c>
      <c r="N589" s="6">
        <v>6990.86</v>
      </c>
      <c r="O589" s="6">
        <f t="shared" si="171"/>
        <v>-8.604023020062801</v>
      </c>
      <c r="P589" s="6">
        <f t="shared" si="181"/>
        <v>36.958171104863872</v>
      </c>
      <c r="Q589" s="6">
        <f t="shared" si="182"/>
        <v>-45.562194124926677</v>
      </c>
      <c r="R589" s="6">
        <v>2.81</v>
      </c>
      <c r="S589" s="6">
        <f t="shared" si="172"/>
        <v>33.175355450236978</v>
      </c>
      <c r="T589" s="6">
        <f t="shared" si="183"/>
        <v>23.835056038195336</v>
      </c>
      <c r="U589" s="6">
        <f t="shared" si="184"/>
        <v>9.3402994120416416</v>
      </c>
      <c r="V589" s="6">
        <v>99.66</v>
      </c>
      <c r="W589" s="6">
        <f t="shared" si="173"/>
        <v>29.833246482542975</v>
      </c>
      <c r="X589" s="6">
        <f t="shared" si="185"/>
        <v>35.178247390728259</v>
      </c>
      <c r="Y589" s="6">
        <f t="shared" si="186"/>
        <v>-5.3450009081852841</v>
      </c>
      <c r="Z589" s="6">
        <v>93.8</v>
      </c>
      <c r="AA589" s="6">
        <f t="shared" si="174"/>
        <v>-1.3669821240799185</v>
      </c>
      <c r="AB589" s="6" t="str">
        <f t="shared" si="187"/>
        <v/>
      </c>
      <c r="AC589" s="6" t="str">
        <f t="shared" si="188"/>
        <v/>
      </c>
    </row>
    <row r="590" spans="1:29" x14ac:dyDescent="0.2">
      <c r="A590" t="s">
        <v>674</v>
      </c>
      <c r="B590" s="6">
        <v>635.75</v>
      </c>
      <c r="C590" s="6">
        <f t="shared" si="168"/>
        <v>-31.359317641977981</v>
      </c>
      <c r="D590" s="6">
        <f t="shared" si="175"/>
        <v>26.159452402267771</v>
      </c>
      <c r="E590" s="6">
        <f t="shared" si="176"/>
        <v>-57.518770044245755</v>
      </c>
      <c r="F590" s="6">
        <v>108</v>
      </c>
      <c r="G590" s="6">
        <f t="shared" si="169"/>
        <v>44.36572650715145</v>
      </c>
      <c r="H590" s="6">
        <f t="shared" si="177"/>
        <v>37.089501308821717</v>
      </c>
      <c r="I590" s="6">
        <f t="shared" si="178"/>
        <v>7.2762251983297332</v>
      </c>
      <c r="J590" s="6">
        <v>12139.78</v>
      </c>
      <c r="K590" s="6">
        <f t="shared" si="170"/>
        <v>-60.909328607161896</v>
      </c>
      <c r="L590" s="6">
        <f t="shared" si="179"/>
        <v>33.036467835988468</v>
      </c>
      <c r="M590" s="6">
        <f t="shared" si="180"/>
        <v>-93.945796443150357</v>
      </c>
      <c r="N590" s="6">
        <v>4925.7</v>
      </c>
      <c r="O590" s="6">
        <f t="shared" si="171"/>
        <v>-38.493639210632779</v>
      </c>
      <c r="P590" s="6">
        <f t="shared" si="181"/>
        <v>35.492099764564244</v>
      </c>
      <c r="Q590" s="6">
        <f t="shared" si="182"/>
        <v>-73.985738975197023</v>
      </c>
      <c r="R590" s="6">
        <v>1.86</v>
      </c>
      <c r="S590" s="6">
        <f t="shared" si="172"/>
        <v>-17.699115044247769</v>
      </c>
      <c r="T590" s="6">
        <f t="shared" si="183"/>
        <v>24.411530377659375</v>
      </c>
      <c r="U590" s="6">
        <f t="shared" si="184"/>
        <v>-42.110645421907144</v>
      </c>
      <c r="V590" s="6">
        <v>72.69</v>
      </c>
      <c r="W590" s="6">
        <f t="shared" si="173"/>
        <v>-11.321215078687331</v>
      </c>
      <c r="X590" s="6">
        <f t="shared" si="185"/>
        <v>34.658900343241562</v>
      </c>
      <c r="Y590" s="6">
        <f t="shared" si="186"/>
        <v>-45.980115421928893</v>
      </c>
      <c r="Z590" s="6">
        <v>91.9</v>
      </c>
      <c r="AA590" s="6">
        <f t="shared" si="174"/>
        <v>-2.9567053854276604</v>
      </c>
      <c r="AB590" s="6" t="str">
        <f t="shared" si="187"/>
        <v/>
      </c>
      <c r="AC590" s="6" t="str">
        <f t="shared" si="188"/>
        <v/>
      </c>
    </row>
    <row r="591" spans="1:29" x14ac:dyDescent="0.2">
      <c r="A591" t="s">
        <v>675</v>
      </c>
      <c r="B591" s="6">
        <v>581.25</v>
      </c>
      <c r="C591" s="6">
        <f t="shared" si="168"/>
        <v>-41.791762219974572</v>
      </c>
      <c r="D591" s="6">
        <f t="shared" si="175"/>
        <v>25.764229271679792</v>
      </c>
      <c r="E591" s="6">
        <f t="shared" si="176"/>
        <v>-67.555991491654368</v>
      </c>
      <c r="F591" s="6">
        <v>92.25</v>
      </c>
      <c r="G591" s="6">
        <f t="shared" si="169"/>
        <v>9.0425531914893664</v>
      </c>
      <c r="H591" s="6">
        <f t="shared" si="177"/>
        <v>35.806969095902524</v>
      </c>
      <c r="I591" s="6">
        <f t="shared" si="178"/>
        <v>-26.764415904413156</v>
      </c>
      <c r="J591" s="6">
        <v>10701.5</v>
      </c>
      <c r="K591" s="6">
        <f t="shared" si="170"/>
        <v>-65.039465564290097</v>
      </c>
      <c r="L591" s="6">
        <f t="shared" si="179"/>
        <v>31.134420170332209</v>
      </c>
      <c r="M591" s="6">
        <f t="shared" si="180"/>
        <v>-96.173885734622303</v>
      </c>
      <c r="N591" s="6">
        <v>3717</v>
      </c>
      <c r="O591" s="6">
        <f t="shared" si="171"/>
        <v>-46.646264879692133</v>
      </c>
      <c r="P591" s="6">
        <f t="shared" si="181"/>
        <v>33.505911701901432</v>
      </c>
      <c r="Q591" s="6">
        <f t="shared" si="182"/>
        <v>-80.152176581593565</v>
      </c>
      <c r="R591" s="6">
        <v>1.62</v>
      </c>
      <c r="S591" s="6">
        <f t="shared" si="172"/>
        <v>-31.645569620253166</v>
      </c>
      <c r="T591" s="6">
        <f t="shared" si="183"/>
        <v>24.171997780645814</v>
      </c>
      <c r="U591" s="6">
        <f t="shared" si="184"/>
        <v>-55.81756740089898</v>
      </c>
      <c r="V591" s="6">
        <v>53.97</v>
      </c>
      <c r="W591" s="6">
        <f t="shared" si="173"/>
        <v>-40.913072038537337</v>
      </c>
      <c r="X591" s="6">
        <f t="shared" si="185"/>
        <v>33.13971985272628</v>
      </c>
      <c r="Y591" s="6">
        <f t="shared" si="186"/>
        <v>-74.05279189126361</v>
      </c>
      <c r="Z591" s="6">
        <v>91.9</v>
      </c>
      <c r="AA591" s="6">
        <f t="shared" si="174"/>
        <v>-3.3648790746582447</v>
      </c>
      <c r="AB591" s="6" t="str">
        <f t="shared" si="187"/>
        <v/>
      </c>
      <c r="AC591" s="6" t="str">
        <f t="shared" si="188"/>
        <v/>
      </c>
    </row>
    <row r="592" spans="1:29" x14ac:dyDescent="0.2">
      <c r="A592" t="s">
        <v>676</v>
      </c>
      <c r="B592" s="6">
        <v>587.24</v>
      </c>
      <c r="C592" s="6">
        <f t="shared" si="168"/>
        <v>-41.406078505717304</v>
      </c>
      <c r="D592" s="6">
        <f t="shared" si="175"/>
        <v>25.248608617157817</v>
      </c>
      <c r="E592" s="6">
        <f t="shared" si="176"/>
        <v>-66.654687122875117</v>
      </c>
      <c r="F592" s="6">
        <v>78.650000000000006</v>
      </c>
      <c r="G592" s="6">
        <f t="shared" si="169"/>
        <v>-13.571428571428568</v>
      </c>
      <c r="H592" s="6">
        <f t="shared" si="177"/>
        <v>34.398899585954233</v>
      </c>
      <c r="I592" s="6">
        <f t="shared" si="178"/>
        <v>-47.970328157382802</v>
      </c>
      <c r="J592" s="6">
        <v>9686.43</v>
      </c>
      <c r="K592" s="6">
        <f t="shared" si="170"/>
        <v>-62.732947213636223</v>
      </c>
      <c r="L592" s="6">
        <f t="shared" si="179"/>
        <v>29.441768071325757</v>
      </c>
      <c r="M592" s="6">
        <f t="shared" si="180"/>
        <v>-92.174715284961977</v>
      </c>
      <c r="N592" s="6">
        <v>3071.98</v>
      </c>
      <c r="O592" s="6">
        <f t="shared" si="171"/>
        <v>-53.367730927626923</v>
      </c>
      <c r="P592" s="6">
        <f t="shared" si="181"/>
        <v>31.452254516810555</v>
      </c>
      <c r="Q592" s="6">
        <f t="shared" si="182"/>
        <v>-84.819985444437478</v>
      </c>
      <c r="R592" s="6">
        <v>1.18</v>
      </c>
      <c r="S592" s="6">
        <f t="shared" si="172"/>
        <v>-51.037344398340259</v>
      </c>
      <c r="T592" s="6">
        <f t="shared" si="183"/>
        <v>23.57885264636144</v>
      </c>
      <c r="U592" s="6">
        <f t="shared" si="184"/>
        <v>-74.616197044701693</v>
      </c>
      <c r="V592" s="6">
        <v>41.34</v>
      </c>
      <c r="W592" s="6">
        <f t="shared" si="173"/>
        <v>-53.82037533512063</v>
      </c>
      <c r="X592" s="6">
        <f t="shared" si="185"/>
        <v>31.356589231044296</v>
      </c>
      <c r="Y592" s="6">
        <f t="shared" si="186"/>
        <v>-85.176964566164926</v>
      </c>
      <c r="Z592" s="6">
        <v>91.8</v>
      </c>
      <c r="AA592" s="6">
        <f t="shared" si="174"/>
        <v>-4.0752351097178785</v>
      </c>
      <c r="AB592" s="6" t="str">
        <f t="shared" si="187"/>
        <v/>
      </c>
      <c r="AC592" s="6" t="str">
        <f t="shared" si="188"/>
        <v/>
      </c>
    </row>
    <row r="593" spans="1:29" x14ac:dyDescent="0.2">
      <c r="A593" t="s">
        <v>677</v>
      </c>
      <c r="B593" s="6">
        <v>658.55</v>
      </c>
      <c r="C593" s="6">
        <f t="shared" ref="C593:C656" si="189">IF(OR(B593="",B581=""),"",(B593/B581-1)*100)</f>
        <v>-41.313549881923109</v>
      </c>
      <c r="D593" s="6">
        <f t="shared" si="175"/>
        <v>24.746971630575818</v>
      </c>
      <c r="E593" s="6">
        <f t="shared" si="176"/>
        <v>-66.060521512498923</v>
      </c>
      <c r="F593" s="6">
        <v>79.400000000000006</v>
      </c>
      <c r="G593" s="6">
        <f t="shared" ref="G593:G656" si="190">IF(OR(F593="",F581=""),"",(F593/F581-1)*100)</f>
        <v>-13.460490463215258</v>
      </c>
      <c r="H593" s="6">
        <f t="shared" si="177"/>
        <v>32.99790168679457</v>
      </c>
      <c r="I593" s="6">
        <f t="shared" si="178"/>
        <v>-46.458392150009828</v>
      </c>
      <c r="J593" s="6">
        <v>11306.91</v>
      </c>
      <c r="K593" s="6">
        <f t="shared" ref="K593:K656" si="191">IF(OR(J593="",J581=""),"",(J593/J581-1)*100)</f>
        <v>-59.165425223595179</v>
      </c>
      <c r="L593" s="6">
        <f t="shared" si="179"/>
        <v>28.192744292400889</v>
      </c>
      <c r="M593" s="6">
        <f t="shared" si="180"/>
        <v>-87.358169515996067</v>
      </c>
      <c r="N593" s="6">
        <v>3220.69</v>
      </c>
      <c r="O593" s="6">
        <f t="shared" ref="O593:O656" si="192">IF(OR(N593="",N581=""),"",(N593/N581-1)*100)</f>
        <v>-54.387751344706572</v>
      </c>
      <c r="P593" s="6">
        <f t="shared" si="181"/>
        <v>29.44685983522918</v>
      </c>
      <c r="Q593" s="6">
        <f t="shared" si="182"/>
        <v>-83.834611179935749</v>
      </c>
      <c r="R593" s="6">
        <v>1.41</v>
      </c>
      <c r="S593" s="6">
        <f t="shared" ref="S593:S656" si="193">IF(OR(R593="",R581=""),"",(R593/R581-1)*100)</f>
        <v>-44.268774703557312</v>
      </c>
      <c r="T593" s="6">
        <f t="shared" si="183"/>
        <v>22.599580014406772</v>
      </c>
      <c r="U593" s="6">
        <f t="shared" si="184"/>
        <v>-66.868354717964081</v>
      </c>
      <c r="V593" s="6">
        <v>43.86</v>
      </c>
      <c r="W593" s="6">
        <f t="shared" ref="W593:W656" si="194">IF(OR(V593="",V581=""),"",(V593/V581-1)*100)</f>
        <v>-51.637446245451542</v>
      </c>
      <c r="X593" s="6">
        <f t="shared" si="185"/>
        <v>29.604839808848794</v>
      </c>
      <c r="Y593" s="6">
        <f t="shared" si="186"/>
        <v>-81.242286054300337</v>
      </c>
      <c r="Z593" s="6">
        <v>91.8</v>
      </c>
      <c r="AA593" s="6">
        <f t="shared" ref="AA593:AA656" si="195">IF(OR(Z593="",Z581=""),"",(Z593/Z581-1)*100)</f>
        <v>-4.0752351097178785</v>
      </c>
      <c r="AB593" s="6" t="str">
        <f t="shared" si="187"/>
        <v/>
      </c>
      <c r="AC593" s="6" t="str">
        <f t="shared" si="188"/>
        <v/>
      </c>
    </row>
    <row r="594" spans="1:29" x14ac:dyDescent="0.2">
      <c r="A594" t="s">
        <v>678</v>
      </c>
      <c r="B594" s="6">
        <v>655.66</v>
      </c>
      <c r="C594" s="6">
        <f t="shared" si="189"/>
        <v>-48.317476332736895</v>
      </c>
      <c r="D594" s="6">
        <f t="shared" si="175"/>
        <v>24.314493438568917</v>
      </c>
      <c r="E594" s="6">
        <f t="shared" si="176"/>
        <v>-72.631969771305819</v>
      </c>
      <c r="F594" s="6">
        <v>75.38</v>
      </c>
      <c r="G594" s="6">
        <f t="shared" si="190"/>
        <v>-42.893939393939398</v>
      </c>
      <c r="H594" s="6">
        <f t="shared" si="177"/>
        <v>31.873103941217096</v>
      </c>
      <c r="I594" s="6">
        <f t="shared" si="178"/>
        <v>-74.767043335156501</v>
      </c>
      <c r="J594" s="6">
        <v>10408.75</v>
      </c>
      <c r="K594" s="6">
        <f t="shared" si="191"/>
        <v>-62.766691897259498</v>
      </c>
      <c r="L594" s="6">
        <f t="shared" si="179"/>
        <v>27.071804311397489</v>
      </c>
      <c r="M594" s="6">
        <f t="shared" si="180"/>
        <v>-89.838496208656991</v>
      </c>
      <c r="N594" s="6">
        <v>3314.73</v>
      </c>
      <c r="O594" s="6">
        <f t="shared" si="192"/>
        <v>-57.975909296638186</v>
      </c>
      <c r="P594" s="6">
        <f t="shared" si="181"/>
        <v>27.67214042572094</v>
      </c>
      <c r="Q594" s="6">
        <f t="shared" si="182"/>
        <v>-85.648049722359133</v>
      </c>
      <c r="R594" s="6">
        <v>1.3</v>
      </c>
      <c r="S594" s="6">
        <f t="shared" si="193"/>
        <v>-52.205882352941181</v>
      </c>
      <c r="T594" s="6">
        <f t="shared" si="183"/>
        <v>21.711749136457318</v>
      </c>
      <c r="U594" s="6">
        <f t="shared" si="184"/>
        <v>-73.917631489398502</v>
      </c>
      <c r="V594" s="6">
        <v>41.84</v>
      </c>
      <c r="W594" s="6">
        <f t="shared" si="194"/>
        <v>-55.198629403576405</v>
      </c>
      <c r="X594" s="6">
        <f t="shared" si="185"/>
        <v>27.758684585758914</v>
      </c>
      <c r="Y594" s="6">
        <f t="shared" si="186"/>
        <v>-82.957313989335319</v>
      </c>
      <c r="Z594" s="6">
        <v>93.3</v>
      </c>
      <c r="AA594" s="6">
        <f t="shared" si="195"/>
        <v>-3.014553014553023</v>
      </c>
      <c r="AB594" s="6" t="str">
        <f t="shared" si="187"/>
        <v/>
      </c>
      <c r="AC594" s="6" t="str">
        <f t="shared" si="188"/>
        <v/>
      </c>
    </row>
    <row r="595" spans="1:29" x14ac:dyDescent="0.2">
      <c r="A595" t="s">
        <v>679</v>
      </c>
      <c r="B595" s="6">
        <v>660.48</v>
      </c>
      <c r="C595" s="6">
        <f t="shared" si="189"/>
        <v>-52.042520439726403</v>
      </c>
      <c r="D595" s="6">
        <f t="shared" si="175"/>
        <v>23.830439160167259</v>
      </c>
      <c r="E595" s="6">
        <f t="shared" si="176"/>
        <v>-75.872959599893662</v>
      </c>
      <c r="F595" s="6">
        <v>61</v>
      </c>
      <c r="G595" s="6">
        <f t="shared" si="190"/>
        <v>-48.414376321353068</v>
      </c>
      <c r="H595" s="6">
        <f t="shared" si="177"/>
        <v>30.572793577096849</v>
      </c>
      <c r="I595" s="6">
        <f t="shared" si="178"/>
        <v>-78.98716989844992</v>
      </c>
      <c r="J595" s="6">
        <v>9696.36</v>
      </c>
      <c r="K595" s="6">
        <f t="shared" si="191"/>
        <v>-68.947064011636726</v>
      </c>
      <c r="L595" s="6">
        <f t="shared" si="179"/>
        <v>25.736052174607824</v>
      </c>
      <c r="M595" s="6">
        <f t="shared" si="180"/>
        <v>-94.683116186244547</v>
      </c>
      <c r="N595" s="6">
        <v>3749.75</v>
      </c>
      <c r="O595" s="6">
        <f t="shared" si="192"/>
        <v>-55.567944696769523</v>
      </c>
      <c r="P595" s="6">
        <f t="shared" si="181"/>
        <v>26.091230655900898</v>
      </c>
      <c r="Q595" s="6">
        <f t="shared" si="182"/>
        <v>-81.659175352670417</v>
      </c>
      <c r="R595" s="6">
        <v>1.28</v>
      </c>
      <c r="S595" s="6">
        <f t="shared" si="193"/>
        <v>-52.592592592592588</v>
      </c>
      <c r="T595" s="6">
        <f t="shared" si="183"/>
        <v>20.674126587437708</v>
      </c>
      <c r="U595" s="6">
        <f t="shared" si="184"/>
        <v>-73.266719180030293</v>
      </c>
      <c r="V595" s="6">
        <v>46.65</v>
      </c>
      <c r="W595" s="6">
        <f t="shared" si="194"/>
        <v>-54.192851531814611</v>
      </c>
      <c r="X595" s="6">
        <f t="shared" si="185"/>
        <v>25.711676221029922</v>
      </c>
      <c r="Y595" s="6">
        <f t="shared" si="186"/>
        <v>-79.90452775284453</v>
      </c>
      <c r="Z595" s="6">
        <v>93.5</v>
      </c>
      <c r="AA595" s="6">
        <f t="shared" si="195"/>
        <v>-1.8887722980062915</v>
      </c>
      <c r="AB595" s="6" t="str">
        <f t="shared" si="187"/>
        <v/>
      </c>
      <c r="AC595" s="6" t="str">
        <f t="shared" si="188"/>
        <v/>
      </c>
    </row>
    <row r="596" spans="1:29" x14ac:dyDescent="0.2">
      <c r="A596" t="s">
        <v>680</v>
      </c>
      <c r="B596" s="6">
        <v>799.7</v>
      </c>
      <c r="C596" s="6">
        <f t="shared" si="189"/>
        <v>-39.421714857095239</v>
      </c>
      <c r="D596" s="6">
        <f t="shared" si="175"/>
        <v>23.193898155896161</v>
      </c>
      <c r="E596" s="6">
        <f t="shared" si="176"/>
        <v>-62.615613012991403</v>
      </c>
      <c r="F596" s="6">
        <v>63.56</v>
      </c>
      <c r="G596" s="6">
        <f t="shared" si="190"/>
        <v>-48.325203252032523</v>
      </c>
      <c r="H596" s="6">
        <f t="shared" si="177"/>
        <v>29.479448163849753</v>
      </c>
      <c r="I596" s="6">
        <f t="shared" si="178"/>
        <v>-77.804651415882276</v>
      </c>
      <c r="J596" s="6">
        <v>11166</v>
      </c>
      <c r="K596" s="6">
        <f t="shared" si="191"/>
        <v>-61.17953578150955</v>
      </c>
      <c r="L596" s="6">
        <f t="shared" si="179"/>
        <v>23.923599290114581</v>
      </c>
      <c r="M596" s="6">
        <f t="shared" si="180"/>
        <v>-85.103135071624138</v>
      </c>
      <c r="N596" s="6">
        <v>4406.55</v>
      </c>
      <c r="O596" s="6">
        <f t="shared" si="192"/>
        <v>-49.262112648000624</v>
      </c>
      <c r="P596" s="6">
        <f t="shared" si="181"/>
        <v>24.676832211766953</v>
      </c>
      <c r="Q596" s="6">
        <f t="shared" si="182"/>
        <v>-73.938944859767574</v>
      </c>
      <c r="R596" s="6">
        <v>1.48</v>
      </c>
      <c r="S596" s="6">
        <f t="shared" si="193"/>
        <v>-45.185185185185198</v>
      </c>
      <c r="T596" s="6">
        <f t="shared" si="183"/>
        <v>19.660468572467355</v>
      </c>
      <c r="U596" s="6">
        <f t="shared" si="184"/>
        <v>-64.845653757652556</v>
      </c>
      <c r="V596" s="6">
        <v>50.28</v>
      </c>
      <c r="W596" s="6">
        <f t="shared" si="194"/>
        <v>-53.769768297168085</v>
      </c>
      <c r="X596" s="6">
        <f t="shared" si="185"/>
        <v>23.514076162201473</v>
      </c>
      <c r="Y596" s="6">
        <f t="shared" si="186"/>
        <v>-77.283844459369561</v>
      </c>
      <c r="Z596" s="6">
        <v>94.9</v>
      </c>
      <c r="AA596" s="6">
        <f t="shared" si="195"/>
        <v>-0.21030494216612849</v>
      </c>
      <c r="AB596" s="6" t="str">
        <f t="shared" si="187"/>
        <v/>
      </c>
      <c r="AC596" s="6" t="str">
        <f t="shared" si="188"/>
        <v/>
      </c>
    </row>
    <row r="597" spans="1:29" x14ac:dyDescent="0.2">
      <c r="A597" t="s">
        <v>681</v>
      </c>
      <c r="B597" s="6">
        <v>872.61</v>
      </c>
      <c r="C597" s="6">
        <f t="shared" si="189"/>
        <v>-34.21463304308493</v>
      </c>
      <c r="D597" s="6">
        <f t="shared" si="175"/>
        <v>22.797176960327207</v>
      </c>
      <c r="E597" s="6">
        <f t="shared" si="176"/>
        <v>-57.011810003412137</v>
      </c>
      <c r="F597" s="6">
        <v>64.5</v>
      </c>
      <c r="G597" s="6">
        <f t="shared" si="190"/>
        <v>-51.576576576576571</v>
      </c>
      <c r="H597" s="6">
        <f t="shared" si="177"/>
        <v>28.550920357444927</v>
      </c>
      <c r="I597" s="6">
        <f t="shared" si="178"/>
        <v>-80.127496934021494</v>
      </c>
      <c r="J597" s="6">
        <v>12634.74</v>
      </c>
      <c r="K597" s="6">
        <f t="shared" si="191"/>
        <v>-50.904449193705069</v>
      </c>
      <c r="L597" s="6">
        <f t="shared" si="179"/>
        <v>22.114936879935552</v>
      </c>
      <c r="M597" s="6">
        <f t="shared" si="180"/>
        <v>-73.019386073640618</v>
      </c>
      <c r="N597" s="6">
        <v>4568.63</v>
      </c>
      <c r="O597" s="6">
        <f t="shared" si="192"/>
        <v>-45.499627210640902</v>
      </c>
      <c r="P597" s="6">
        <f t="shared" si="181"/>
        <v>23.335607420157952</v>
      </c>
      <c r="Q597" s="6">
        <f t="shared" si="182"/>
        <v>-68.835234630798851</v>
      </c>
      <c r="R597" s="6">
        <v>1.56</v>
      </c>
      <c r="S597" s="6">
        <f t="shared" si="193"/>
        <v>-47.297297297297291</v>
      </c>
      <c r="T597" s="6">
        <f t="shared" si="183"/>
        <v>18.817535744626394</v>
      </c>
      <c r="U597" s="6">
        <f t="shared" si="184"/>
        <v>-66.114833041923688</v>
      </c>
      <c r="V597" s="6">
        <v>58.15</v>
      </c>
      <c r="W597" s="6">
        <f t="shared" si="194"/>
        <v>-52.580934518470187</v>
      </c>
      <c r="X597" s="6">
        <f t="shared" si="185"/>
        <v>21.347570866234932</v>
      </c>
      <c r="Y597" s="6">
        <f t="shared" si="186"/>
        <v>-73.928505384705119</v>
      </c>
      <c r="Z597" s="6">
        <v>95.4</v>
      </c>
      <c r="AA597" s="6">
        <f t="shared" si="195"/>
        <v>0.52687038988408208</v>
      </c>
      <c r="AB597" s="6" t="str">
        <f t="shared" si="187"/>
        <v/>
      </c>
      <c r="AC597" s="6" t="str">
        <f t="shared" si="188"/>
        <v/>
      </c>
    </row>
    <row r="598" spans="1:29" x14ac:dyDescent="0.2">
      <c r="A598" t="s">
        <v>682</v>
      </c>
      <c r="B598" s="6">
        <v>788.57</v>
      </c>
      <c r="C598" s="6">
        <f t="shared" si="189"/>
        <v>-39.022277897634559</v>
      </c>
      <c r="D598" s="6">
        <f t="shared" si="175"/>
        <v>22.422447885121581</v>
      </c>
      <c r="E598" s="6">
        <f t="shared" si="176"/>
        <v>-61.444725782756137</v>
      </c>
      <c r="F598" s="6">
        <v>71.38</v>
      </c>
      <c r="G598" s="6">
        <f t="shared" si="190"/>
        <v>-55.31768388106417</v>
      </c>
      <c r="H598" s="6">
        <f t="shared" si="177"/>
        <v>27.665768728140218</v>
      </c>
      <c r="I598" s="6">
        <f t="shared" si="178"/>
        <v>-82.983452609204392</v>
      </c>
      <c r="J598" s="6">
        <v>14960.46</v>
      </c>
      <c r="K598" s="6">
        <f t="shared" si="191"/>
        <v>-33.653701597184806</v>
      </c>
      <c r="L598" s="6">
        <f t="shared" si="179"/>
        <v>19.965154426080463</v>
      </c>
      <c r="M598" s="6">
        <f t="shared" si="180"/>
        <v>-53.618856023265266</v>
      </c>
      <c r="N598" s="6">
        <v>5013.96</v>
      </c>
      <c r="O598" s="6">
        <f t="shared" si="192"/>
        <v>-39.302714088564997</v>
      </c>
      <c r="P598" s="6">
        <f t="shared" si="181"/>
        <v>21.994734676268195</v>
      </c>
      <c r="Q598" s="6">
        <f t="shared" si="182"/>
        <v>-61.297448764833192</v>
      </c>
      <c r="R598" s="6">
        <v>1.53</v>
      </c>
      <c r="S598" s="6">
        <f t="shared" si="193"/>
        <v>-51.735015772870661</v>
      </c>
      <c r="T598" s="6">
        <f t="shared" si="183"/>
        <v>17.882578610072486</v>
      </c>
      <c r="U598" s="6">
        <f t="shared" si="184"/>
        <v>-69.617594382943139</v>
      </c>
      <c r="V598" s="6">
        <v>69.150000000000006</v>
      </c>
      <c r="W598" s="6">
        <f t="shared" si="194"/>
        <v>-47.422445255474457</v>
      </c>
      <c r="X598" s="6">
        <f t="shared" si="185"/>
        <v>19.682490605477842</v>
      </c>
      <c r="Y598" s="6">
        <f t="shared" si="186"/>
        <v>-67.104935860952295</v>
      </c>
      <c r="Z598" s="6">
        <v>95.1</v>
      </c>
      <c r="AA598" s="6">
        <f t="shared" si="195"/>
        <v>-1.6546018614271074</v>
      </c>
      <c r="AB598" s="6" t="str">
        <f t="shared" si="187"/>
        <v/>
      </c>
      <c r="AC598" s="6" t="str">
        <f t="shared" si="188"/>
        <v/>
      </c>
    </row>
    <row r="599" spans="1:29" x14ac:dyDescent="0.2">
      <c r="A599" t="s">
        <v>683</v>
      </c>
      <c r="B599" s="6">
        <v>698.48</v>
      </c>
      <c r="C599" s="6">
        <f t="shared" si="189"/>
        <v>-42.439924844249596</v>
      </c>
      <c r="D599" s="6">
        <f t="shared" si="175"/>
        <v>21.695699806396807</v>
      </c>
      <c r="E599" s="6">
        <f t="shared" si="176"/>
        <v>-64.135624650646406</v>
      </c>
      <c r="F599" s="6">
        <v>73.8</v>
      </c>
      <c r="G599" s="6">
        <f t="shared" si="190"/>
        <v>-59.000000000000007</v>
      </c>
      <c r="H599" s="6">
        <f t="shared" si="177"/>
        <v>26.812435368527371</v>
      </c>
      <c r="I599" s="6">
        <f t="shared" si="178"/>
        <v>-85.812435368527375</v>
      </c>
      <c r="J599" s="6">
        <v>15984.57</v>
      </c>
      <c r="K599" s="6">
        <f t="shared" si="191"/>
        <v>-20.712323575834002</v>
      </c>
      <c r="L599" s="6">
        <f t="shared" si="179"/>
        <v>18.859787831938146</v>
      </c>
      <c r="M599" s="6">
        <f t="shared" si="180"/>
        <v>-39.572111407772148</v>
      </c>
      <c r="N599" s="6">
        <v>5215.54</v>
      </c>
      <c r="O599" s="6">
        <f t="shared" si="192"/>
        <v>-38.013843528198109</v>
      </c>
      <c r="P599" s="6">
        <f t="shared" si="181"/>
        <v>20.526620987586309</v>
      </c>
      <c r="Q599" s="6">
        <f t="shared" si="182"/>
        <v>-58.540464515784421</v>
      </c>
      <c r="R599" s="6">
        <v>1.6</v>
      </c>
      <c r="S599" s="6">
        <f t="shared" si="193"/>
        <v>-50</v>
      </c>
      <c r="T599" s="6">
        <f t="shared" si="183"/>
        <v>16.683238003693234</v>
      </c>
      <c r="U599" s="6">
        <f t="shared" si="184"/>
        <v>-66.683238003693234</v>
      </c>
      <c r="V599" s="6">
        <v>64.67</v>
      </c>
      <c r="W599" s="6">
        <f t="shared" si="194"/>
        <v>-51.31370925242792</v>
      </c>
      <c r="X599" s="6">
        <f t="shared" si="185"/>
        <v>17.61885707965039</v>
      </c>
      <c r="Y599" s="6">
        <f t="shared" si="186"/>
        <v>-68.932566332078309</v>
      </c>
      <c r="Z599" s="6">
        <v>94.7</v>
      </c>
      <c r="AA599" s="6">
        <f t="shared" si="195"/>
        <v>0</v>
      </c>
      <c r="AB599" s="6" t="str">
        <f t="shared" si="187"/>
        <v/>
      </c>
      <c r="AC599" s="6" t="str">
        <f t="shared" si="188"/>
        <v/>
      </c>
    </row>
    <row r="600" spans="1:29" x14ac:dyDescent="0.2">
      <c r="A600" t="s">
        <v>684</v>
      </c>
      <c r="B600" s="6">
        <v>746.05</v>
      </c>
      <c r="C600" s="6">
        <f t="shared" si="189"/>
        <v>-22.574384839710671</v>
      </c>
      <c r="D600" s="6">
        <f t="shared" si="175"/>
        <v>20.812679973046098</v>
      </c>
      <c r="E600" s="6">
        <f t="shared" si="176"/>
        <v>-43.387064812756769</v>
      </c>
      <c r="F600" s="6">
        <v>72.5</v>
      </c>
      <c r="G600" s="6">
        <f t="shared" si="190"/>
        <v>-54.229797979797986</v>
      </c>
      <c r="H600" s="6">
        <f t="shared" si="177"/>
        <v>25.938976315632832</v>
      </c>
      <c r="I600" s="6">
        <f t="shared" si="178"/>
        <v>-80.168774295430822</v>
      </c>
      <c r="J600" s="6">
        <v>19641.75</v>
      </c>
      <c r="K600" s="6">
        <f t="shared" si="191"/>
        <v>3.7722391726433324</v>
      </c>
      <c r="L600" s="6">
        <f t="shared" si="179"/>
        <v>18.489656587503347</v>
      </c>
      <c r="M600" s="6">
        <f t="shared" si="180"/>
        <v>-14.717417414860016</v>
      </c>
      <c r="N600" s="6">
        <v>6165.3</v>
      </c>
      <c r="O600" s="6">
        <f t="shared" si="192"/>
        <v>-19.24633580887264</v>
      </c>
      <c r="P600" s="6">
        <f t="shared" si="181"/>
        <v>19.136926845159927</v>
      </c>
      <c r="Q600" s="6">
        <f t="shared" si="182"/>
        <v>-38.383262654032563</v>
      </c>
      <c r="R600" s="6">
        <v>1.84</v>
      </c>
      <c r="S600" s="6">
        <f t="shared" si="193"/>
        <v>-36.769759450171826</v>
      </c>
      <c r="T600" s="6">
        <f t="shared" si="183"/>
        <v>15.098093076157005</v>
      </c>
      <c r="U600" s="6">
        <f t="shared" si="184"/>
        <v>-51.867852526328832</v>
      </c>
      <c r="V600" s="6">
        <v>71.63</v>
      </c>
      <c r="W600" s="6">
        <f t="shared" si="194"/>
        <v>-37.479270315091206</v>
      </c>
      <c r="X600" s="6">
        <f t="shared" si="185"/>
        <v>15.533722235598256</v>
      </c>
      <c r="Y600" s="6">
        <f t="shared" si="186"/>
        <v>-53.012992550689461</v>
      </c>
      <c r="Z600" s="6">
        <v>94.8</v>
      </c>
      <c r="AA600" s="6">
        <f t="shared" si="195"/>
        <v>0.53022269353129037</v>
      </c>
      <c r="AB600" s="6" t="str">
        <f t="shared" si="187"/>
        <v/>
      </c>
      <c r="AC600" s="6" t="str">
        <f t="shared" si="188"/>
        <v/>
      </c>
    </row>
    <row r="601" spans="1:29" x14ac:dyDescent="0.2">
      <c r="A601" t="s">
        <v>685</v>
      </c>
      <c r="B601" s="6">
        <v>703.85</v>
      </c>
      <c r="C601" s="6">
        <f t="shared" si="189"/>
        <v>-14.790198784533059</v>
      </c>
      <c r="D601" s="6">
        <f t="shared" si="175"/>
        <v>20.386307909263504</v>
      </c>
      <c r="E601" s="6">
        <f t="shared" si="176"/>
        <v>-35.176506693796561</v>
      </c>
      <c r="F601" s="6">
        <v>67.64</v>
      </c>
      <c r="G601" s="6">
        <f t="shared" si="190"/>
        <v>-54.906666666666659</v>
      </c>
      <c r="H601" s="6">
        <f t="shared" si="177"/>
        <v>25.165025707228111</v>
      </c>
      <c r="I601" s="6">
        <f t="shared" si="178"/>
        <v>-80.071692373894763</v>
      </c>
      <c r="J601" s="6">
        <v>17473.18</v>
      </c>
      <c r="K601" s="6">
        <f t="shared" si="191"/>
        <v>-1.8060023996111063</v>
      </c>
      <c r="L601" s="6">
        <f t="shared" si="179"/>
        <v>18.383478125720941</v>
      </c>
      <c r="M601" s="6">
        <f t="shared" si="180"/>
        <v>-20.189480525332048</v>
      </c>
      <c r="N601" s="6">
        <v>6196.43</v>
      </c>
      <c r="O601" s="6">
        <f t="shared" si="192"/>
        <v>-11.363837925519881</v>
      </c>
      <c r="P601" s="6">
        <f t="shared" si="181"/>
        <v>18.039357683663834</v>
      </c>
      <c r="Q601" s="6">
        <f t="shared" si="182"/>
        <v>-29.403195609183715</v>
      </c>
      <c r="R601" s="6">
        <v>2.0699999999999998</v>
      </c>
      <c r="S601" s="6">
        <f t="shared" si="193"/>
        <v>-26.334519572953742</v>
      </c>
      <c r="T601" s="6">
        <f t="shared" si="183"/>
        <v>13.783810806910004</v>
      </c>
      <c r="U601" s="6">
        <f t="shared" si="184"/>
        <v>-40.11833037986375</v>
      </c>
      <c r="V601" s="6">
        <v>68.349999999999994</v>
      </c>
      <c r="W601" s="6">
        <f t="shared" si="194"/>
        <v>-31.416817178406585</v>
      </c>
      <c r="X601" s="6">
        <f t="shared" si="185"/>
        <v>13.772133349914725</v>
      </c>
      <c r="Y601" s="6">
        <f t="shared" si="186"/>
        <v>-45.188950528321314</v>
      </c>
      <c r="Z601" s="6">
        <v>95.1</v>
      </c>
      <c r="AA601" s="6">
        <f t="shared" si="195"/>
        <v>1.3859275053304865</v>
      </c>
      <c r="AB601" s="6" t="str">
        <f t="shared" si="187"/>
        <v/>
      </c>
      <c r="AC601" s="6" t="str">
        <f t="shared" si="188"/>
        <v/>
      </c>
    </row>
    <row r="602" spans="1:29" x14ac:dyDescent="0.2">
      <c r="A602" t="s">
        <v>686</v>
      </c>
      <c r="B602" s="6">
        <v>724.66</v>
      </c>
      <c r="C602" s="6">
        <f t="shared" si="189"/>
        <v>13.985057019268577</v>
      </c>
      <c r="D602" s="6">
        <f t="shared" si="175"/>
        <v>20.142491542527942</v>
      </c>
      <c r="E602" s="6">
        <f t="shared" si="176"/>
        <v>-6.157434523259365</v>
      </c>
      <c r="F602" s="6">
        <v>71.069999999999993</v>
      </c>
      <c r="G602" s="6">
        <f t="shared" si="190"/>
        <v>-34.19444444444445</v>
      </c>
      <c r="H602" s="6">
        <f t="shared" si="177"/>
        <v>24.402216028643782</v>
      </c>
      <c r="I602" s="6">
        <f t="shared" si="178"/>
        <v>-58.596660473088235</v>
      </c>
      <c r="J602" s="6">
        <v>18525.23</v>
      </c>
      <c r="K602" s="6">
        <f t="shared" si="191"/>
        <v>52.599388127297189</v>
      </c>
      <c r="L602" s="6">
        <f t="shared" si="179"/>
        <v>18.195576078899137</v>
      </c>
      <c r="M602" s="6">
        <f t="shared" si="180"/>
        <v>34.403812048398052</v>
      </c>
      <c r="N602" s="6">
        <v>6287.98</v>
      </c>
      <c r="O602" s="6">
        <f t="shared" si="192"/>
        <v>27.656576730210936</v>
      </c>
      <c r="P602" s="6">
        <f t="shared" si="181"/>
        <v>17.109586757370696</v>
      </c>
      <c r="Q602" s="6">
        <f t="shared" si="182"/>
        <v>10.54698997284024</v>
      </c>
      <c r="R602" s="6">
        <v>2.2599999999999998</v>
      </c>
      <c r="S602" s="6">
        <f t="shared" si="193"/>
        <v>21.505376344086002</v>
      </c>
      <c r="T602" s="6">
        <f t="shared" si="183"/>
        <v>12.438073533198105</v>
      </c>
      <c r="U602" s="6">
        <f t="shared" si="184"/>
        <v>9.067302810887897</v>
      </c>
      <c r="V602" s="6">
        <v>74.08</v>
      </c>
      <c r="W602" s="6">
        <f t="shared" si="194"/>
        <v>1.9122300178841645</v>
      </c>
      <c r="X602" s="6">
        <f t="shared" si="185"/>
        <v>12.111506549723556</v>
      </c>
      <c r="Y602" s="6">
        <f t="shared" si="186"/>
        <v>-10.199276531839391</v>
      </c>
      <c r="Z602" s="6">
        <v>92.5</v>
      </c>
      <c r="AA602" s="6">
        <f t="shared" si="195"/>
        <v>0.65288356909682932</v>
      </c>
      <c r="AB602" s="6" t="str">
        <f t="shared" si="187"/>
        <v/>
      </c>
      <c r="AC602" s="6" t="str">
        <f t="shared" si="188"/>
        <v/>
      </c>
    </row>
    <row r="603" spans="1:29" x14ac:dyDescent="0.2">
      <c r="A603" t="s">
        <v>687</v>
      </c>
      <c r="B603" s="6">
        <v>763.33</v>
      </c>
      <c r="C603" s="6">
        <f t="shared" si="189"/>
        <v>31.325591397849472</v>
      </c>
      <c r="D603" s="6">
        <f t="shared" si="175"/>
        <v>20.358871642623374</v>
      </c>
      <c r="E603" s="6">
        <f t="shared" si="176"/>
        <v>10.966719755226098</v>
      </c>
      <c r="F603" s="6">
        <v>78.8</v>
      </c>
      <c r="G603" s="6">
        <f t="shared" si="190"/>
        <v>-14.579945799457994</v>
      </c>
      <c r="H603" s="6">
        <f t="shared" si="177"/>
        <v>24.211124959095514</v>
      </c>
      <c r="I603" s="6">
        <f t="shared" si="178"/>
        <v>-38.791070758553509</v>
      </c>
      <c r="J603" s="6">
        <v>16991.189999999999</v>
      </c>
      <c r="K603" s="6">
        <f t="shared" si="191"/>
        <v>58.773910199504733</v>
      </c>
      <c r="L603" s="6">
        <f t="shared" si="179"/>
        <v>19.580869164628204</v>
      </c>
      <c r="M603" s="6">
        <f t="shared" si="180"/>
        <v>39.193041034876529</v>
      </c>
      <c r="N603" s="6">
        <v>6675.6</v>
      </c>
      <c r="O603" s="6">
        <f t="shared" si="192"/>
        <v>79.596448748991122</v>
      </c>
      <c r="P603" s="6">
        <f t="shared" si="181"/>
        <v>16.96127690801309</v>
      </c>
      <c r="Q603" s="6">
        <f t="shared" si="182"/>
        <v>62.635171840978032</v>
      </c>
      <c r="R603" s="6">
        <v>2.4900000000000002</v>
      </c>
      <c r="S603" s="6">
        <f t="shared" si="193"/>
        <v>53.703703703703695</v>
      </c>
      <c r="T603" s="6">
        <f t="shared" si="183"/>
        <v>12.162961711165467</v>
      </c>
      <c r="U603" s="6">
        <f t="shared" si="184"/>
        <v>41.54074199253823</v>
      </c>
      <c r="V603" s="6">
        <v>77.55</v>
      </c>
      <c r="W603" s="6">
        <f t="shared" si="194"/>
        <v>43.69093941078377</v>
      </c>
      <c r="X603" s="6">
        <f t="shared" si="185"/>
        <v>11.648731620488631</v>
      </c>
      <c r="Y603" s="6">
        <f t="shared" si="186"/>
        <v>32.042207790295137</v>
      </c>
      <c r="Z603" s="6">
        <v>92.4</v>
      </c>
      <c r="AA603" s="6">
        <f t="shared" si="195"/>
        <v>0.54406964091404664</v>
      </c>
      <c r="AB603" s="6" t="str">
        <f t="shared" si="187"/>
        <v/>
      </c>
      <c r="AC603" s="6" t="str">
        <f t="shared" si="188"/>
        <v/>
      </c>
    </row>
    <row r="604" spans="1:29" x14ac:dyDescent="0.2">
      <c r="A604" t="s">
        <v>688</v>
      </c>
      <c r="B604" s="6">
        <v>821.81</v>
      </c>
      <c r="C604" s="6">
        <f t="shared" si="189"/>
        <v>39.944486070431154</v>
      </c>
      <c r="D604" s="6">
        <f t="shared" si="175"/>
        <v>20.95608349753639</v>
      </c>
      <c r="E604" s="6">
        <f t="shared" si="176"/>
        <v>18.988402572894763</v>
      </c>
      <c r="F604" s="6">
        <v>83.1</v>
      </c>
      <c r="G604" s="6">
        <f t="shared" si="190"/>
        <v>5.6579783852511056</v>
      </c>
      <c r="H604" s="6">
        <f t="shared" si="177"/>
        <v>24.489826085118697</v>
      </c>
      <c r="I604" s="6">
        <f t="shared" si="178"/>
        <v>-18.831847699867591</v>
      </c>
      <c r="J604" s="6">
        <v>17066.43</v>
      </c>
      <c r="K604" s="6">
        <f t="shared" si="191"/>
        <v>76.189060365893326</v>
      </c>
      <c r="L604" s="6">
        <f t="shared" si="179"/>
        <v>21.091565807218785</v>
      </c>
      <c r="M604" s="6">
        <f t="shared" si="180"/>
        <v>55.097494558674541</v>
      </c>
      <c r="N604" s="6">
        <v>6981.71</v>
      </c>
      <c r="O604" s="6">
        <f t="shared" si="192"/>
        <v>127.27068535602446</v>
      </c>
      <c r="P604" s="6">
        <f t="shared" si="181"/>
        <v>17.854637768414477</v>
      </c>
      <c r="Q604" s="6">
        <f t="shared" si="182"/>
        <v>109.41604758760998</v>
      </c>
      <c r="R604" s="6">
        <v>2.79</v>
      </c>
      <c r="S604" s="6">
        <f t="shared" si="193"/>
        <v>136.44067796610173</v>
      </c>
      <c r="T604" s="6">
        <f t="shared" si="183"/>
        <v>12.667034773298637</v>
      </c>
      <c r="U604" s="6">
        <f t="shared" si="184"/>
        <v>123.77364319280309</v>
      </c>
      <c r="V604" s="6">
        <v>74.88</v>
      </c>
      <c r="W604" s="6">
        <f t="shared" si="194"/>
        <v>81.132075471698101</v>
      </c>
      <c r="X604" s="6">
        <f t="shared" si="185"/>
        <v>11.920558543789683</v>
      </c>
      <c r="Y604" s="6">
        <f t="shared" si="186"/>
        <v>69.21151692790842</v>
      </c>
      <c r="Z604" s="6">
        <v>91.6</v>
      </c>
      <c r="AA604" s="6">
        <f t="shared" si="195"/>
        <v>-0.21786492374727962</v>
      </c>
      <c r="AB604" s="6" t="str">
        <f t="shared" si="187"/>
        <v/>
      </c>
      <c r="AC604" s="6" t="str">
        <f t="shared" si="188"/>
        <v/>
      </c>
    </row>
    <row r="605" spans="1:29" x14ac:dyDescent="0.2">
      <c r="A605" t="s">
        <v>689</v>
      </c>
      <c r="B605" s="6">
        <v>830.88</v>
      </c>
      <c r="C605" s="6">
        <f t="shared" si="189"/>
        <v>26.168096575810495</v>
      </c>
      <c r="D605" s="6">
        <f t="shared" si="175"/>
        <v>21.739001736957544</v>
      </c>
      <c r="E605" s="6">
        <f t="shared" si="176"/>
        <v>4.4290948388529507</v>
      </c>
      <c r="F605" s="6">
        <v>97</v>
      </c>
      <c r="G605" s="6">
        <f t="shared" si="190"/>
        <v>22.166246851385374</v>
      </c>
      <c r="H605" s="6">
        <f t="shared" si="177"/>
        <v>25.16671179908575</v>
      </c>
      <c r="I605" s="6">
        <f t="shared" si="178"/>
        <v>-3.000464947700376</v>
      </c>
      <c r="J605" s="6">
        <v>18439.25</v>
      </c>
      <c r="K605" s="6">
        <f t="shared" si="191"/>
        <v>63.079479716385833</v>
      </c>
      <c r="L605" s="6">
        <f t="shared" si="179"/>
        <v>22.730216097646505</v>
      </c>
      <c r="M605" s="6">
        <f t="shared" si="180"/>
        <v>40.349263618739329</v>
      </c>
      <c r="N605" s="6">
        <v>7386.25</v>
      </c>
      <c r="O605" s="6">
        <f t="shared" si="192"/>
        <v>129.33750221225887</v>
      </c>
      <c r="P605" s="6">
        <f t="shared" si="181"/>
        <v>19.558094197894015</v>
      </c>
      <c r="Q605" s="6">
        <f t="shared" si="182"/>
        <v>109.77940801436486</v>
      </c>
      <c r="R605" s="6">
        <v>3.04</v>
      </c>
      <c r="S605" s="6">
        <f t="shared" si="193"/>
        <v>115.60283687943263</v>
      </c>
      <c r="T605" s="6">
        <f t="shared" si="183"/>
        <v>14.739240774343122</v>
      </c>
      <c r="U605" s="6">
        <f t="shared" si="184"/>
        <v>100.86359610508951</v>
      </c>
      <c r="V605" s="6">
        <v>77.12</v>
      </c>
      <c r="W605" s="6">
        <f t="shared" si="194"/>
        <v>75.83219334245328</v>
      </c>
      <c r="X605" s="6">
        <f t="shared" si="185"/>
        <v>12.682808920761545</v>
      </c>
      <c r="Y605" s="6">
        <f t="shared" si="186"/>
        <v>63.149384421691735</v>
      </c>
      <c r="Z605" s="6">
        <v>92.1</v>
      </c>
      <c r="AA605" s="6">
        <f t="shared" si="195"/>
        <v>0.32679738562091387</v>
      </c>
      <c r="AB605" s="6" t="str">
        <f t="shared" si="187"/>
        <v/>
      </c>
      <c r="AC605" s="6" t="str">
        <f t="shared" si="188"/>
        <v/>
      </c>
    </row>
    <row r="606" spans="1:29" x14ac:dyDescent="0.2">
      <c r="A606" t="s">
        <v>690</v>
      </c>
      <c r="B606" s="6">
        <v>830</v>
      </c>
      <c r="C606" s="6">
        <f t="shared" si="189"/>
        <v>26.590000915108437</v>
      </c>
      <c r="D606" s="6">
        <f t="shared" si="175"/>
        <v>22.084272677314701</v>
      </c>
      <c r="E606" s="6">
        <f t="shared" si="176"/>
        <v>4.5057282377937362</v>
      </c>
      <c r="F606" s="6">
        <v>94.19</v>
      </c>
      <c r="G606" s="6">
        <f t="shared" si="190"/>
        <v>24.953568585831796</v>
      </c>
      <c r="H606" s="6">
        <f t="shared" si="177"/>
        <v>26.015721929256184</v>
      </c>
      <c r="I606" s="6">
        <f t="shared" si="178"/>
        <v>-1.0621533434243879</v>
      </c>
      <c r="J606" s="6">
        <v>18976</v>
      </c>
      <c r="K606" s="6">
        <f t="shared" si="191"/>
        <v>82.308154197189864</v>
      </c>
      <c r="L606" s="6">
        <f t="shared" si="179"/>
        <v>24.037156022508871</v>
      </c>
      <c r="M606" s="6">
        <f t="shared" si="180"/>
        <v>58.270998174680997</v>
      </c>
      <c r="N606" s="6">
        <v>6848.18</v>
      </c>
      <c r="O606" s="6">
        <f t="shared" si="192"/>
        <v>106.59842581447059</v>
      </c>
      <c r="P606" s="6">
        <f t="shared" si="181"/>
        <v>21.224543212174119</v>
      </c>
      <c r="Q606" s="6">
        <f t="shared" si="182"/>
        <v>85.373882602296476</v>
      </c>
      <c r="R606" s="6">
        <v>3.08</v>
      </c>
      <c r="S606" s="6">
        <f t="shared" si="193"/>
        <v>136.92307692307693</v>
      </c>
      <c r="T606" s="6">
        <f t="shared" si="183"/>
        <v>16.149734049667437</v>
      </c>
      <c r="U606" s="6">
        <f t="shared" si="184"/>
        <v>120.77334287340949</v>
      </c>
      <c r="V606" s="6">
        <v>74.760000000000005</v>
      </c>
      <c r="W606" s="6">
        <f t="shared" si="194"/>
        <v>78.680688336520063</v>
      </c>
      <c r="X606" s="6">
        <f t="shared" si="185"/>
        <v>13.317704074320813</v>
      </c>
      <c r="Y606" s="6">
        <f t="shared" si="186"/>
        <v>65.362984262199248</v>
      </c>
      <c r="Z606" s="6">
        <v>91.9</v>
      </c>
      <c r="AA606" s="6">
        <f t="shared" si="195"/>
        <v>-1.5005359056805889</v>
      </c>
      <c r="AB606" s="6" t="str">
        <f t="shared" si="187"/>
        <v/>
      </c>
      <c r="AC606" s="6" t="str">
        <f t="shared" si="188"/>
        <v/>
      </c>
    </row>
    <row r="607" spans="1:29" x14ac:dyDescent="0.2">
      <c r="A607" t="s">
        <v>691</v>
      </c>
      <c r="B607" s="6">
        <v>862.83</v>
      </c>
      <c r="C607" s="6">
        <f t="shared" si="189"/>
        <v>30.636809593023262</v>
      </c>
      <c r="D607" s="6">
        <f t="shared" si="175"/>
        <v>22.385498142790425</v>
      </c>
      <c r="E607" s="6">
        <f t="shared" si="176"/>
        <v>8.2513114502328371</v>
      </c>
      <c r="F607" s="6">
        <v>94.38</v>
      </c>
      <c r="G607" s="6">
        <f t="shared" si="190"/>
        <v>54.721311475409841</v>
      </c>
      <c r="H607" s="6">
        <f t="shared" si="177"/>
        <v>26.62743830886248</v>
      </c>
      <c r="I607" s="6">
        <f t="shared" si="178"/>
        <v>28.093873166547361</v>
      </c>
      <c r="J607" s="6">
        <v>22461.3</v>
      </c>
      <c r="K607" s="6">
        <f t="shared" si="191"/>
        <v>131.64672103758522</v>
      </c>
      <c r="L607" s="6">
        <f t="shared" si="179"/>
        <v>25.802229820854318</v>
      </c>
      <c r="M607" s="6">
        <f t="shared" si="180"/>
        <v>105.8444912167309</v>
      </c>
      <c r="N607" s="6">
        <v>7462.83</v>
      </c>
      <c r="O607" s="6">
        <f t="shared" si="192"/>
        <v>99.022068137875863</v>
      </c>
      <c r="P607" s="6">
        <f t="shared" si="181"/>
        <v>22.338462865649024</v>
      </c>
      <c r="Q607" s="6">
        <f t="shared" si="182"/>
        <v>76.683605272226842</v>
      </c>
      <c r="R607" s="6">
        <v>3.18</v>
      </c>
      <c r="S607" s="6">
        <f t="shared" si="193"/>
        <v>148.4375</v>
      </c>
      <c r="T607" s="6">
        <f t="shared" si="183"/>
        <v>17.789866458242468</v>
      </c>
      <c r="U607" s="6">
        <f t="shared" si="184"/>
        <v>130.64763354175753</v>
      </c>
      <c r="V607" s="6">
        <v>79.3</v>
      </c>
      <c r="W607" s="6">
        <f t="shared" si="194"/>
        <v>69.989281886388</v>
      </c>
      <c r="X607" s="6">
        <f t="shared" si="185"/>
        <v>14.265229570399029</v>
      </c>
      <c r="Y607" s="6">
        <f t="shared" si="186"/>
        <v>55.72405231598897</v>
      </c>
      <c r="Z607" s="6">
        <v>91.5</v>
      </c>
      <c r="AA607" s="6">
        <f t="shared" si="195"/>
        <v>-2.1390374331550777</v>
      </c>
      <c r="AB607" s="6" t="str">
        <f t="shared" si="187"/>
        <v/>
      </c>
      <c r="AC607" s="6" t="str">
        <f t="shared" si="188"/>
        <v/>
      </c>
    </row>
    <row r="608" spans="1:29" x14ac:dyDescent="0.2">
      <c r="A608" t="s">
        <v>692</v>
      </c>
      <c r="B608" s="6">
        <v>862.71</v>
      </c>
      <c r="C608" s="6">
        <f t="shared" si="189"/>
        <v>7.8792047017631539</v>
      </c>
      <c r="D608" s="6">
        <f t="shared" si="175"/>
        <v>22.958326887672325</v>
      </c>
      <c r="E608" s="6">
        <f t="shared" si="176"/>
        <v>-15.079122185909171</v>
      </c>
      <c r="F608" s="6">
        <v>100.15</v>
      </c>
      <c r="G608" s="6">
        <f t="shared" si="190"/>
        <v>57.567652611705491</v>
      </c>
      <c r="H608" s="6">
        <f t="shared" si="177"/>
        <v>27.81573449703032</v>
      </c>
      <c r="I608" s="6">
        <f t="shared" si="178"/>
        <v>29.751918114675171</v>
      </c>
      <c r="J608" s="6">
        <v>26030.75</v>
      </c>
      <c r="K608" s="6">
        <f t="shared" si="191"/>
        <v>133.12511194698189</v>
      </c>
      <c r="L608" s="6">
        <f t="shared" si="179"/>
        <v>28.711280188359613</v>
      </c>
      <c r="M608" s="6">
        <f t="shared" si="180"/>
        <v>104.41383175862228</v>
      </c>
      <c r="N608" s="6">
        <v>7745.08</v>
      </c>
      <c r="O608" s="6">
        <f t="shared" si="192"/>
        <v>75.762898412590346</v>
      </c>
      <c r="P608" s="6">
        <f t="shared" si="181"/>
        <v>23.339033520363632</v>
      </c>
      <c r="Q608" s="6">
        <f t="shared" si="182"/>
        <v>52.423864892226717</v>
      </c>
      <c r="R608" s="6">
        <v>3.28</v>
      </c>
      <c r="S608" s="6">
        <f t="shared" si="193"/>
        <v>121.62162162162163</v>
      </c>
      <c r="T608" s="6">
        <f t="shared" si="183"/>
        <v>19.70403568638454</v>
      </c>
      <c r="U608" s="6">
        <f t="shared" si="184"/>
        <v>101.91758593523708</v>
      </c>
      <c r="V608" s="6">
        <v>84.18</v>
      </c>
      <c r="W608" s="6">
        <f t="shared" si="194"/>
        <v>67.422434367541783</v>
      </c>
      <c r="X608" s="6">
        <f t="shared" si="185"/>
        <v>15.314770705105138</v>
      </c>
      <c r="Y608" s="6">
        <f t="shared" si="186"/>
        <v>52.107663662436643</v>
      </c>
      <c r="Z608" s="6">
        <v>91.4</v>
      </c>
      <c r="AA608" s="6">
        <f t="shared" si="195"/>
        <v>-3.688092729188619</v>
      </c>
      <c r="AB608" s="6" t="str">
        <f t="shared" si="187"/>
        <v/>
      </c>
      <c r="AC608" s="6" t="str">
        <f t="shared" si="188"/>
        <v/>
      </c>
    </row>
    <row r="609" spans="1:29" x14ac:dyDescent="0.2">
      <c r="A609" t="s">
        <v>693</v>
      </c>
      <c r="B609" s="6">
        <v>855.31</v>
      </c>
      <c r="C609" s="6">
        <f t="shared" si="189"/>
        <v>-1.9825580729077252</v>
      </c>
      <c r="D609" s="6">
        <f t="shared" si="175"/>
        <v>23.040392214443845</v>
      </c>
      <c r="E609" s="6">
        <f t="shared" si="176"/>
        <v>-25.02295028735157</v>
      </c>
      <c r="F609" s="6">
        <v>100.13</v>
      </c>
      <c r="G609" s="6">
        <f t="shared" si="190"/>
        <v>55.240310077519375</v>
      </c>
      <c r="H609" s="6">
        <f t="shared" si="177"/>
        <v>28.948800430505887</v>
      </c>
      <c r="I609" s="6">
        <f t="shared" si="178"/>
        <v>26.291509647013488</v>
      </c>
      <c r="J609" s="6">
        <v>22008.16</v>
      </c>
      <c r="K609" s="6">
        <f t="shared" si="191"/>
        <v>74.187676200697439</v>
      </c>
      <c r="L609" s="6">
        <f t="shared" si="179"/>
        <v>31.252365495421717</v>
      </c>
      <c r="M609" s="6">
        <f t="shared" si="180"/>
        <v>42.935310705275725</v>
      </c>
      <c r="N609" s="6">
        <v>6837.68</v>
      </c>
      <c r="O609" s="6">
        <f t="shared" si="192"/>
        <v>49.665873576980403</v>
      </c>
      <c r="P609" s="6">
        <f t="shared" si="181"/>
        <v>23.08031472914212</v>
      </c>
      <c r="Q609" s="6">
        <f t="shared" si="182"/>
        <v>26.585558847838282</v>
      </c>
      <c r="R609" s="6">
        <v>2.89</v>
      </c>
      <c r="S609" s="6">
        <f t="shared" si="193"/>
        <v>85.256410256410263</v>
      </c>
      <c r="T609" s="6">
        <f t="shared" si="183"/>
        <v>20.980932417826729</v>
      </c>
      <c r="U609" s="6">
        <f t="shared" si="184"/>
        <v>64.275477838583527</v>
      </c>
      <c r="V609" s="6">
        <v>75.62</v>
      </c>
      <c r="W609" s="6">
        <f t="shared" si="194"/>
        <v>30.042992261392953</v>
      </c>
      <c r="X609" s="6">
        <f t="shared" si="185"/>
        <v>16.006447276809123</v>
      </c>
      <c r="Y609" s="6">
        <f t="shared" si="186"/>
        <v>14.036544984583831</v>
      </c>
      <c r="Z609" s="6">
        <v>90.8</v>
      </c>
      <c r="AA609" s="6">
        <f t="shared" si="195"/>
        <v>-4.8218029350104885</v>
      </c>
      <c r="AB609" s="6" t="str">
        <f t="shared" si="187"/>
        <v/>
      </c>
      <c r="AC609" s="6" t="str">
        <f t="shared" si="188"/>
        <v/>
      </c>
    </row>
    <row r="610" spans="1:29" x14ac:dyDescent="0.2">
      <c r="A610" t="s">
        <v>694</v>
      </c>
      <c r="B610" s="6">
        <v>825.68</v>
      </c>
      <c r="C610" s="6">
        <f t="shared" si="189"/>
        <v>4.7059867862079274</v>
      </c>
      <c r="D610" s="6">
        <f t="shared" si="175"/>
        <v>22.842977810147158</v>
      </c>
      <c r="E610" s="6">
        <f t="shared" si="176"/>
        <v>-18.136991023939231</v>
      </c>
      <c r="F610" s="6">
        <v>98.19</v>
      </c>
      <c r="G610" s="6">
        <f t="shared" si="190"/>
        <v>37.559540487531521</v>
      </c>
      <c r="H610" s="6">
        <f t="shared" si="177"/>
        <v>30.047262519636305</v>
      </c>
      <c r="I610" s="6">
        <f t="shared" si="178"/>
        <v>7.5122779678952156</v>
      </c>
      <c r="J610" s="6">
        <v>19388.64</v>
      </c>
      <c r="K610" s="6">
        <f t="shared" si="191"/>
        <v>29.599223553286457</v>
      </c>
      <c r="L610" s="6">
        <f t="shared" si="179"/>
        <v>32.28784256428758</v>
      </c>
      <c r="M610" s="6">
        <f t="shared" si="180"/>
        <v>-2.6886190110011228</v>
      </c>
      <c r="N610" s="6">
        <v>6499.3</v>
      </c>
      <c r="O610" s="6">
        <f t="shared" si="192"/>
        <v>29.624089541998732</v>
      </c>
      <c r="P610" s="6">
        <f t="shared" si="181"/>
        <v>21.039322543094233</v>
      </c>
      <c r="Q610" s="6">
        <f t="shared" si="182"/>
        <v>8.5847669989044988</v>
      </c>
      <c r="R610" s="6">
        <v>2.9</v>
      </c>
      <c r="S610" s="6">
        <f t="shared" si="193"/>
        <v>89.542483660130713</v>
      </c>
      <c r="T610" s="6">
        <f t="shared" si="183"/>
        <v>21.138650331226465</v>
      </c>
      <c r="U610" s="6">
        <f t="shared" si="184"/>
        <v>68.403833328904255</v>
      </c>
      <c r="V610" s="6">
        <v>74.73</v>
      </c>
      <c r="W610" s="6">
        <f t="shared" si="194"/>
        <v>8.0694143167028276</v>
      </c>
      <c r="X610" s="6">
        <f t="shared" si="185"/>
        <v>15.724178616912278</v>
      </c>
      <c r="Y610" s="6">
        <f t="shared" si="186"/>
        <v>-7.6547643002094503</v>
      </c>
      <c r="Z610" s="6">
        <v>90.5</v>
      </c>
      <c r="AA610" s="6">
        <f t="shared" si="195"/>
        <v>-4.8370136698212329</v>
      </c>
      <c r="AB610" s="6" t="str">
        <f t="shared" si="187"/>
        <v/>
      </c>
      <c r="AC610" s="6" t="str">
        <f t="shared" si="188"/>
        <v/>
      </c>
    </row>
    <row r="611" spans="1:29" x14ac:dyDescent="0.2">
      <c r="A611" t="s">
        <v>695</v>
      </c>
      <c r="B611" s="6">
        <v>844.43</v>
      </c>
      <c r="C611" s="6">
        <f t="shared" si="189"/>
        <v>20.895372809529245</v>
      </c>
      <c r="D611" s="6">
        <f t="shared" si="175"/>
        <v>22.818980237612383</v>
      </c>
      <c r="E611" s="6">
        <f t="shared" si="176"/>
        <v>-1.9236074280831374</v>
      </c>
      <c r="F611" s="6">
        <v>95.98</v>
      </c>
      <c r="G611" s="6">
        <f t="shared" si="190"/>
        <v>30.054200542005425</v>
      </c>
      <c r="H611" s="6">
        <f t="shared" si="177"/>
        <v>30.773380397440267</v>
      </c>
      <c r="I611" s="6">
        <f t="shared" si="178"/>
        <v>-0.71917985543484164</v>
      </c>
      <c r="J611" s="6">
        <v>19517.5</v>
      </c>
      <c r="K611" s="6">
        <f t="shared" si="191"/>
        <v>22.102127238956058</v>
      </c>
      <c r="L611" s="6">
        <f t="shared" si="179"/>
        <v>32.312093101599508</v>
      </c>
      <c r="M611" s="6">
        <f t="shared" si="180"/>
        <v>-10.20996586264345</v>
      </c>
      <c r="N611" s="6">
        <v>6735.25</v>
      </c>
      <c r="O611" s="6">
        <f t="shared" si="192"/>
        <v>29.138114174179464</v>
      </c>
      <c r="P611" s="6">
        <f t="shared" si="181"/>
        <v>19.48479518571266</v>
      </c>
      <c r="Q611" s="6">
        <f t="shared" si="182"/>
        <v>9.653318988466804</v>
      </c>
      <c r="R611" s="6">
        <v>2.93</v>
      </c>
      <c r="S611" s="6">
        <f t="shared" si="193"/>
        <v>83.125</v>
      </c>
      <c r="T611" s="6">
        <f t="shared" si="183"/>
        <v>21.23246519750543</v>
      </c>
      <c r="U611" s="6">
        <f t="shared" si="184"/>
        <v>61.892534802494566</v>
      </c>
      <c r="V611" s="6">
        <v>74.58</v>
      </c>
      <c r="W611" s="6">
        <f t="shared" si="194"/>
        <v>15.323952373588989</v>
      </c>
      <c r="X611" s="6">
        <f t="shared" si="185"/>
        <v>15.335601862384193</v>
      </c>
      <c r="Y611" s="6">
        <f t="shared" si="186"/>
        <v>-1.1649488795203666E-2</v>
      </c>
      <c r="Z611" s="6">
        <v>89.7</v>
      </c>
      <c r="AA611" s="6">
        <f t="shared" si="195"/>
        <v>-5.2798310454065467</v>
      </c>
      <c r="AB611" s="6" t="str">
        <f t="shared" si="187"/>
        <v/>
      </c>
      <c r="AC611" s="6" t="str">
        <f t="shared" si="188"/>
        <v/>
      </c>
    </row>
    <row r="612" spans="1:29" x14ac:dyDescent="0.2">
      <c r="A612" t="s">
        <v>696</v>
      </c>
      <c r="B612" s="6">
        <v>943.73</v>
      </c>
      <c r="C612" s="6">
        <f t="shared" si="189"/>
        <v>26.496883586890974</v>
      </c>
      <c r="D612" s="6">
        <f t="shared" si="175"/>
        <v>23.049459866735194</v>
      </c>
      <c r="E612" s="6">
        <f t="shared" si="176"/>
        <v>3.4474237201557791</v>
      </c>
      <c r="F612" s="6">
        <v>89.78</v>
      </c>
      <c r="G612" s="6">
        <f t="shared" si="190"/>
        <v>23.834482758620702</v>
      </c>
      <c r="H612" s="6">
        <f t="shared" si="177"/>
        <v>31.323789208666557</v>
      </c>
      <c r="I612" s="6">
        <f t="shared" si="178"/>
        <v>-7.4893064500458557</v>
      </c>
      <c r="J612" s="6">
        <v>21413.33</v>
      </c>
      <c r="K612" s="6">
        <f t="shared" si="191"/>
        <v>9.0194610968981959</v>
      </c>
      <c r="L612" s="6">
        <f t="shared" si="179"/>
        <v>31.057176942473163</v>
      </c>
      <c r="M612" s="6">
        <f t="shared" si="180"/>
        <v>-22.037715845574965</v>
      </c>
      <c r="N612" s="6">
        <v>7283.95</v>
      </c>
      <c r="O612" s="6">
        <f t="shared" si="192"/>
        <v>18.144291437561822</v>
      </c>
      <c r="P612" s="6">
        <f t="shared" si="181"/>
        <v>17.729699003037549</v>
      </c>
      <c r="Q612" s="6">
        <f t="shared" si="182"/>
        <v>0.4145924345242733</v>
      </c>
      <c r="R612" s="6">
        <v>3.14</v>
      </c>
      <c r="S612" s="6">
        <f t="shared" si="193"/>
        <v>70.652173913043484</v>
      </c>
      <c r="T612" s="6">
        <f t="shared" si="183"/>
        <v>21.728603846930714</v>
      </c>
      <c r="U612" s="6">
        <f t="shared" si="184"/>
        <v>48.923570066112774</v>
      </c>
      <c r="V612" s="6">
        <v>75.83</v>
      </c>
      <c r="W612" s="6">
        <f t="shared" si="194"/>
        <v>5.8634650286192969</v>
      </c>
      <c r="X612" s="6">
        <f t="shared" si="185"/>
        <v>15.060563128460716</v>
      </c>
      <c r="Y612" s="6">
        <f t="shared" si="186"/>
        <v>-9.1970980998414191</v>
      </c>
      <c r="Z612" s="6">
        <v>89.4</v>
      </c>
      <c r="AA612" s="6">
        <f t="shared" si="195"/>
        <v>-5.6962025316455556</v>
      </c>
      <c r="AB612" s="6" t="str">
        <f t="shared" si="187"/>
        <v/>
      </c>
      <c r="AC612" s="6" t="str">
        <f t="shared" si="188"/>
        <v/>
      </c>
    </row>
    <row r="613" spans="1:29" x14ac:dyDescent="0.2">
      <c r="A613" t="s">
        <v>697</v>
      </c>
      <c r="B613" s="6">
        <v>948.88</v>
      </c>
      <c r="C613" s="6">
        <f t="shared" si="189"/>
        <v>34.81281523051787</v>
      </c>
      <c r="D613" s="6">
        <f t="shared" si="175"/>
        <v>23.203002683167401</v>
      </c>
      <c r="E613" s="6">
        <f t="shared" si="176"/>
        <v>11.609812547350469</v>
      </c>
      <c r="F613" s="6">
        <v>94.9</v>
      </c>
      <c r="G613" s="6">
        <f t="shared" si="190"/>
        <v>40.301596688350095</v>
      </c>
      <c r="H613" s="6">
        <f t="shared" si="177"/>
        <v>31.743588778655635</v>
      </c>
      <c r="I613" s="6">
        <f t="shared" si="178"/>
        <v>8.5580079096944601</v>
      </c>
      <c r="J613" s="6">
        <v>22643.41</v>
      </c>
      <c r="K613" s="6">
        <f t="shared" si="191"/>
        <v>29.589519480712735</v>
      </c>
      <c r="L613" s="6">
        <f t="shared" si="179"/>
        <v>29.027709934719507</v>
      </c>
      <c r="M613" s="6">
        <f t="shared" si="180"/>
        <v>0.56180954599322774</v>
      </c>
      <c r="N613" s="6">
        <v>7709.3</v>
      </c>
      <c r="O613" s="6">
        <f t="shared" si="192"/>
        <v>24.415187454711827</v>
      </c>
      <c r="P613" s="6">
        <f t="shared" si="181"/>
        <v>15.969426927504884</v>
      </c>
      <c r="Q613" s="6">
        <f t="shared" si="182"/>
        <v>8.4457605272069429</v>
      </c>
      <c r="R613" s="6">
        <v>3.36</v>
      </c>
      <c r="S613" s="6">
        <f t="shared" si="193"/>
        <v>62.318840579710155</v>
      </c>
      <c r="T613" s="6">
        <f t="shared" si="183"/>
        <v>22.187792655304307</v>
      </c>
      <c r="U613" s="6">
        <f t="shared" si="184"/>
        <v>40.131047924405848</v>
      </c>
      <c r="V613" s="6">
        <v>76.12</v>
      </c>
      <c r="W613" s="6">
        <f t="shared" si="194"/>
        <v>11.367959034381879</v>
      </c>
      <c r="X613" s="6">
        <f t="shared" si="185"/>
        <v>14.848792867588353</v>
      </c>
      <c r="Y613" s="6">
        <f t="shared" si="186"/>
        <v>-3.4808338332064732</v>
      </c>
      <c r="Z613" s="6">
        <v>89.3</v>
      </c>
      <c r="AA613" s="6">
        <f t="shared" si="195"/>
        <v>-6.0988433228180821</v>
      </c>
      <c r="AB613" s="6" t="str">
        <f t="shared" si="187"/>
        <v/>
      </c>
      <c r="AC613" s="6" t="str">
        <f t="shared" si="188"/>
        <v/>
      </c>
    </row>
    <row r="614" spans="1:29" x14ac:dyDescent="0.2">
      <c r="A614" t="s">
        <v>698</v>
      </c>
      <c r="B614" s="6">
        <v>1025.83</v>
      </c>
      <c r="C614" s="6">
        <f t="shared" si="189"/>
        <v>41.560179946457644</v>
      </c>
      <c r="D614" s="6">
        <f t="shared" si="175"/>
        <v>23.663742729476709</v>
      </c>
      <c r="E614" s="6">
        <f t="shared" si="176"/>
        <v>17.896437216980935</v>
      </c>
      <c r="F614" s="6">
        <v>97.45</v>
      </c>
      <c r="G614" s="6">
        <f t="shared" si="190"/>
        <v>37.118334036865086</v>
      </c>
      <c r="H614" s="6">
        <f t="shared" si="177"/>
        <v>32.498030422370114</v>
      </c>
      <c r="I614" s="6">
        <f t="shared" si="178"/>
        <v>4.6203036144949721</v>
      </c>
      <c r="J614" s="6">
        <v>23807.38</v>
      </c>
      <c r="K614" s="6">
        <f t="shared" si="191"/>
        <v>28.513276218432914</v>
      </c>
      <c r="L614" s="6">
        <f t="shared" si="179"/>
        <v>27.31566151110566</v>
      </c>
      <c r="M614" s="6">
        <f t="shared" si="180"/>
        <v>1.1976147073272543</v>
      </c>
      <c r="N614" s="6">
        <v>8292.41</v>
      </c>
      <c r="O614" s="6">
        <f t="shared" si="192"/>
        <v>31.877168820511525</v>
      </c>
      <c r="P614" s="6">
        <f t="shared" si="181"/>
        <v>14.455939062373348</v>
      </c>
      <c r="Q614" s="6">
        <f t="shared" si="182"/>
        <v>17.421229758138175</v>
      </c>
      <c r="R614" s="6">
        <v>3.85</v>
      </c>
      <c r="S614" s="6">
        <f t="shared" si="193"/>
        <v>70.353982300884965</v>
      </c>
      <c r="T614" s="6">
        <f t="shared" si="183"/>
        <v>23.197841875976991</v>
      </c>
      <c r="U614" s="6">
        <f t="shared" si="184"/>
        <v>47.156140424907974</v>
      </c>
      <c r="V614" s="6">
        <v>81.72</v>
      </c>
      <c r="W614" s="6">
        <f t="shared" si="194"/>
        <v>10.313174946004322</v>
      </c>
      <c r="X614" s="6">
        <f t="shared" si="185"/>
        <v>15.071103815078159</v>
      </c>
      <c r="Y614" s="6">
        <f t="shared" si="186"/>
        <v>-4.7579288690738366</v>
      </c>
      <c r="Z614" s="6">
        <v>88.7</v>
      </c>
      <c r="AA614" s="6">
        <f t="shared" si="195"/>
        <v>-4.1081081081081106</v>
      </c>
      <c r="AB614" s="6" t="str">
        <f t="shared" si="187"/>
        <v/>
      </c>
      <c r="AC614" s="6" t="str">
        <f t="shared" si="188"/>
        <v/>
      </c>
    </row>
    <row r="615" spans="1:29" x14ac:dyDescent="0.2">
      <c r="A615" t="s">
        <v>699</v>
      </c>
      <c r="B615" s="6">
        <v>1131.3599999999999</v>
      </c>
      <c r="C615" s="6">
        <f t="shared" si="189"/>
        <v>48.2137476582867</v>
      </c>
      <c r="D615" s="6">
        <f t="shared" si="175"/>
        <v>24.321558421320244</v>
      </c>
      <c r="E615" s="6">
        <f t="shared" si="176"/>
        <v>23.892189236966455</v>
      </c>
      <c r="F615" s="6">
        <v>107.16</v>
      </c>
      <c r="G615" s="6">
        <f t="shared" si="190"/>
        <v>35.989847715736033</v>
      </c>
      <c r="H615" s="6">
        <f t="shared" si="177"/>
        <v>33.193314446159796</v>
      </c>
      <c r="I615" s="6">
        <f t="shared" si="178"/>
        <v>2.796533269576237</v>
      </c>
      <c r="J615" s="6">
        <v>22909.32</v>
      </c>
      <c r="K615" s="6">
        <f t="shared" si="191"/>
        <v>34.830579847556308</v>
      </c>
      <c r="L615" s="6">
        <f t="shared" si="179"/>
        <v>24.499839483428431</v>
      </c>
      <c r="M615" s="6">
        <f t="shared" si="180"/>
        <v>10.330740364127877</v>
      </c>
      <c r="N615" s="6">
        <v>8469.89</v>
      </c>
      <c r="O615" s="6">
        <f t="shared" si="192"/>
        <v>26.878333033734769</v>
      </c>
      <c r="P615" s="6">
        <f t="shared" si="181"/>
        <v>13.354430264699964</v>
      </c>
      <c r="Q615" s="6">
        <f t="shared" si="182"/>
        <v>13.523902769034805</v>
      </c>
      <c r="R615" s="6">
        <v>4.24</v>
      </c>
      <c r="S615" s="6">
        <f t="shared" si="193"/>
        <v>70.281124497991954</v>
      </c>
      <c r="T615" s="6">
        <f t="shared" si="183"/>
        <v>24.459050863073653</v>
      </c>
      <c r="U615" s="6">
        <f t="shared" si="184"/>
        <v>45.822073634918297</v>
      </c>
      <c r="V615" s="6">
        <v>84.53</v>
      </c>
      <c r="W615" s="6">
        <f t="shared" si="194"/>
        <v>9.0006447453256033</v>
      </c>
      <c r="X615" s="6">
        <f t="shared" si="185"/>
        <v>15.295986258406046</v>
      </c>
      <c r="Y615" s="6">
        <f t="shared" si="186"/>
        <v>-6.2953415130804427</v>
      </c>
      <c r="Z615" s="6">
        <v>88.7</v>
      </c>
      <c r="AA615" s="6">
        <f t="shared" si="195"/>
        <v>-4.0043290043290103</v>
      </c>
      <c r="AB615" s="6" t="str">
        <f t="shared" si="187"/>
        <v/>
      </c>
      <c r="AC615" s="6" t="str">
        <f t="shared" si="188"/>
        <v/>
      </c>
    </row>
    <row r="616" spans="1:29" x14ac:dyDescent="0.2">
      <c r="A616" t="s">
        <v>700</v>
      </c>
      <c r="B616" s="6">
        <v>1234.6400000000001</v>
      </c>
      <c r="C616" s="6">
        <f t="shared" si="189"/>
        <v>50.234239057689756</v>
      </c>
      <c r="D616" s="6">
        <f t="shared" si="175"/>
        <v>24.857875292977727</v>
      </c>
      <c r="E616" s="6">
        <f t="shared" si="176"/>
        <v>25.376363764712028</v>
      </c>
      <c r="F616" s="6">
        <v>118.29</v>
      </c>
      <c r="G616" s="6">
        <f t="shared" si="190"/>
        <v>42.34657039711194</v>
      </c>
      <c r="H616" s="6">
        <f t="shared" si="177"/>
        <v>33.508482166021487</v>
      </c>
      <c r="I616" s="6">
        <f t="shared" si="178"/>
        <v>8.8380882310904525</v>
      </c>
      <c r="J616" s="6">
        <v>24111.19</v>
      </c>
      <c r="K616" s="6">
        <f t="shared" si="191"/>
        <v>41.278463041186697</v>
      </c>
      <c r="L616" s="6">
        <f t="shared" si="179"/>
        <v>21.786719927557176</v>
      </c>
      <c r="M616" s="6">
        <f t="shared" si="180"/>
        <v>19.491743113629521</v>
      </c>
      <c r="N616" s="6">
        <v>9147.26</v>
      </c>
      <c r="O616" s="6">
        <f t="shared" si="192"/>
        <v>31.017472796779021</v>
      </c>
      <c r="P616" s="6">
        <f t="shared" si="181"/>
        <v>12.56766122445333</v>
      </c>
      <c r="Q616" s="6">
        <f t="shared" si="182"/>
        <v>18.449811572325693</v>
      </c>
      <c r="R616" s="6">
        <v>4.6900000000000004</v>
      </c>
      <c r="S616" s="6">
        <f t="shared" si="193"/>
        <v>68.100358422939095</v>
      </c>
      <c r="T616" s="6">
        <f t="shared" si="183"/>
        <v>25.870498340748057</v>
      </c>
      <c r="U616" s="6">
        <f t="shared" si="184"/>
        <v>42.229860082191038</v>
      </c>
      <c r="V616" s="6">
        <v>90.01</v>
      </c>
      <c r="W616" s="6">
        <f t="shared" si="194"/>
        <v>20.205662393162417</v>
      </c>
      <c r="X616" s="6">
        <f t="shared" si="185"/>
        <v>15.366160785561576</v>
      </c>
      <c r="Y616" s="6">
        <f t="shared" si="186"/>
        <v>4.839501607600841</v>
      </c>
      <c r="Z616" s="6">
        <v>89.7</v>
      </c>
      <c r="AA616" s="6">
        <f t="shared" si="195"/>
        <v>-2.0742358078602474</v>
      </c>
      <c r="AB616" s="6">
        <f t="shared" si="187"/>
        <v>-1.6866996003957526</v>
      </c>
      <c r="AC616" s="6">
        <f t="shared" si="188"/>
        <v>-0.3875362074644948</v>
      </c>
    </row>
    <row r="617" spans="1:29" x14ac:dyDescent="0.2">
      <c r="A617" t="s">
        <v>701</v>
      </c>
      <c r="B617" s="6">
        <v>1303.57</v>
      </c>
      <c r="C617" s="6">
        <f t="shared" si="189"/>
        <v>56.890284999037164</v>
      </c>
      <c r="D617" s="6">
        <f t="shared" si="175"/>
        <v>25.132984246161438</v>
      </c>
      <c r="E617" s="6">
        <f t="shared" si="176"/>
        <v>31.757300752875725</v>
      </c>
      <c r="F617" s="6">
        <v>132.47999999999999</v>
      </c>
      <c r="G617" s="6">
        <f t="shared" si="190"/>
        <v>36.577319587628864</v>
      </c>
      <c r="H617" s="6">
        <f t="shared" si="177"/>
        <v>33.762923151657539</v>
      </c>
      <c r="I617" s="6">
        <f t="shared" si="178"/>
        <v>2.8143964359713252</v>
      </c>
      <c r="J617" s="6">
        <v>25646.25</v>
      </c>
      <c r="K617" s="6">
        <f t="shared" si="191"/>
        <v>39.08510378675922</v>
      </c>
      <c r="L617" s="6">
        <f t="shared" si="179"/>
        <v>19.36699836175222</v>
      </c>
      <c r="M617" s="6">
        <f t="shared" si="180"/>
        <v>19.718105425007</v>
      </c>
      <c r="N617" s="6">
        <v>9555.7000000000007</v>
      </c>
      <c r="O617" s="6">
        <f t="shared" si="192"/>
        <v>29.371467253342367</v>
      </c>
      <c r="P617" s="6">
        <f t="shared" si="181"/>
        <v>12.258706516971765</v>
      </c>
      <c r="Q617" s="6">
        <f t="shared" si="182"/>
        <v>17.112760736370603</v>
      </c>
      <c r="R617" s="6">
        <v>5.33</v>
      </c>
      <c r="S617" s="6">
        <f t="shared" si="193"/>
        <v>75.328947368421069</v>
      </c>
      <c r="T617" s="6">
        <f t="shared" si="183"/>
        <v>27.263693435704482</v>
      </c>
      <c r="U617" s="6">
        <f t="shared" si="184"/>
        <v>48.065253932716587</v>
      </c>
      <c r="V617" s="6">
        <v>92.69</v>
      </c>
      <c r="W617" s="6">
        <f t="shared" si="194"/>
        <v>20.189315352697079</v>
      </c>
      <c r="X617" s="6">
        <f t="shared" si="185"/>
        <v>15.618761917068959</v>
      </c>
      <c r="Y617" s="6">
        <f t="shared" si="186"/>
        <v>4.5705534356281206</v>
      </c>
      <c r="Z617" s="6">
        <v>90.1</v>
      </c>
      <c r="AA617" s="6">
        <f t="shared" si="195"/>
        <v>-2.1715526601520097</v>
      </c>
      <c r="AB617" s="6">
        <f t="shared" si="187"/>
        <v>-1.617412846392841</v>
      </c>
      <c r="AC617" s="6">
        <f t="shared" si="188"/>
        <v>-0.55413981375916865</v>
      </c>
    </row>
    <row r="618" spans="1:29" x14ac:dyDescent="0.2">
      <c r="A618" t="s">
        <v>702</v>
      </c>
      <c r="B618" s="6">
        <v>1327.21</v>
      </c>
      <c r="C618" s="6">
        <f t="shared" si="189"/>
        <v>59.904819277108444</v>
      </c>
      <c r="D618" s="6">
        <f t="shared" si="175"/>
        <v>25.507920043315352</v>
      </c>
      <c r="E618" s="6">
        <f t="shared" si="176"/>
        <v>34.396899233793093</v>
      </c>
      <c r="F618" s="6">
        <v>128.36000000000001</v>
      </c>
      <c r="G618" s="6">
        <f t="shared" si="190"/>
        <v>36.277736490073266</v>
      </c>
      <c r="H618" s="6">
        <f t="shared" si="177"/>
        <v>34.134235199676802</v>
      </c>
      <c r="I618" s="6">
        <f t="shared" si="178"/>
        <v>2.1435012903964648</v>
      </c>
      <c r="J618" s="6">
        <v>28252.25</v>
      </c>
      <c r="K618" s="6">
        <f t="shared" si="191"/>
        <v>48.884116779089368</v>
      </c>
      <c r="L618" s="6">
        <f t="shared" si="179"/>
        <v>16.995720426281881</v>
      </c>
      <c r="M618" s="6">
        <f t="shared" si="180"/>
        <v>31.888396352807487</v>
      </c>
      <c r="N618" s="6">
        <v>9867.6</v>
      </c>
      <c r="O618" s="6">
        <f t="shared" si="192"/>
        <v>44.090838733794953</v>
      </c>
      <c r="P618" s="6">
        <f t="shared" si="181"/>
        <v>12.459021813968723</v>
      </c>
      <c r="Q618" s="6">
        <f t="shared" si="182"/>
        <v>31.631816919826228</v>
      </c>
      <c r="R618" s="6">
        <v>5.58</v>
      </c>
      <c r="S618" s="6">
        <f t="shared" si="193"/>
        <v>81.168831168831161</v>
      </c>
      <c r="T618" s="6">
        <f t="shared" si="183"/>
        <v>28.619978324061737</v>
      </c>
      <c r="U618" s="6">
        <f t="shared" si="184"/>
        <v>52.548852844769428</v>
      </c>
      <c r="V618" s="6">
        <v>97.91</v>
      </c>
      <c r="W618" s="6">
        <f t="shared" si="194"/>
        <v>30.965757089352586</v>
      </c>
      <c r="X618" s="6">
        <f t="shared" si="185"/>
        <v>16.337563495722446</v>
      </c>
      <c r="Y618" s="6">
        <f t="shared" si="186"/>
        <v>14.62819359363014</v>
      </c>
      <c r="Z618" s="6">
        <v>90.1</v>
      </c>
      <c r="AA618" s="6">
        <f t="shared" si="195"/>
        <v>-1.9586507072905435</v>
      </c>
      <c r="AB618" s="6">
        <f t="shared" si="187"/>
        <v>-1.5535565143923993</v>
      </c>
      <c r="AC618" s="6">
        <f t="shared" si="188"/>
        <v>-0.40509419289814419</v>
      </c>
    </row>
    <row r="619" spans="1:29" x14ac:dyDescent="0.2">
      <c r="A619" t="s">
        <v>703</v>
      </c>
      <c r="B619" s="6">
        <v>1241.74</v>
      </c>
      <c r="C619" s="6">
        <f t="shared" si="189"/>
        <v>43.914792021603333</v>
      </c>
      <c r="D619" s="6">
        <f t="shared" si="175"/>
        <v>26.002877394348516</v>
      </c>
      <c r="E619" s="6">
        <f t="shared" si="176"/>
        <v>17.911914627254816</v>
      </c>
      <c r="F619" s="6">
        <v>126.13</v>
      </c>
      <c r="G619" s="6">
        <f t="shared" si="190"/>
        <v>33.64060182242001</v>
      </c>
      <c r="H619" s="6">
        <f t="shared" si="177"/>
        <v>34.662907470194135</v>
      </c>
      <c r="I619" s="6">
        <f t="shared" si="178"/>
        <v>-1.0223056477741252</v>
      </c>
      <c r="J619" s="6">
        <v>26710.35</v>
      </c>
      <c r="K619" s="6">
        <f t="shared" si="191"/>
        <v>18.917204257990416</v>
      </c>
      <c r="L619" s="6">
        <f t="shared" si="179"/>
        <v>14.369323258356189</v>
      </c>
      <c r="M619" s="6">
        <f t="shared" si="180"/>
        <v>4.5478809996342271</v>
      </c>
      <c r="N619" s="6">
        <v>9503.36</v>
      </c>
      <c r="O619" s="6">
        <f t="shared" si="192"/>
        <v>27.342576475680147</v>
      </c>
      <c r="P619" s="6">
        <f t="shared" si="181"/>
        <v>13.087371918450081</v>
      </c>
      <c r="Q619" s="6">
        <f t="shared" si="182"/>
        <v>14.255204557230066</v>
      </c>
      <c r="R619" s="6">
        <v>4.84</v>
      </c>
      <c r="S619" s="6">
        <f t="shared" si="193"/>
        <v>52.201257861635206</v>
      </c>
      <c r="T619" s="6">
        <f t="shared" si="183"/>
        <v>30.105900648714634</v>
      </c>
      <c r="U619" s="6">
        <f t="shared" si="184"/>
        <v>22.095357212920572</v>
      </c>
      <c r="V619" s="6">
        <v>108.65</v>
      </c>
      <c r="W619" s="6">
        <f t="shared" si="194"/>
        <v>37.011349306431285</v>
      </c>
      <c r="X619" s="6">
        <f t="shared" si="185"/>
        <v>17.057362385391052</v>
      </c>
      <c r="Y619" s="6">
        <f t="shared" si="186"/>
        <v>19.953986921040233</v>
      </c>
      <c r="Z619" s="6">
        <v>88.9</v>
      </c>
      <c r="AA619" s="6">
        <f t="shared" si="195"/>
        <v>-2.841530054644803</v>
      </c>
      <c r="AB619" s="6">
        <f t="shared" si="187"/>
        <v>-1.5117066001262633</v>
      </c>
      <c r="AC619" s="6">
        <f t="shared" si="188"/>
        <v>-1.3298234545185397</v>
      </c>
    </row>
    <row r="620" spans="1:29" x14ac:dyDescent="0.2">
      <c r="A620" t="s">
        <v>704</v>
      </c>
      <c r="B620" s="6">
        <v>1219.6099999999999</v>
      </c>
      <c r="C620" s="6">
        <f t="shared" si="189"/>
        <v>41.369637537527069</v>
      </c>
      <c r="D620" s="6">
        <f t="shared" si="175"/>
        <v>26.087072134167652</v>
      </c>
      <c r="E620" s="6">
        <f t="shared" si="176"/>
        <v>15.282565403359417</v>
      </c>
      <c r="F620" s="6">
        <v>122.5</v>
      </c>
      <c r="G620" s="6">
        <f t="shared" si="190"/>
        <v>22.316525212181727</v>
      </c>
      <c r="H620" s="6">
        <f t="shared" si="177"/>
        <v>35.127991197440956</v>
      </c>
      <c r="I620" s="6">
        <f t="shared" si="178"/>
        <v>-12.811465985259229</v>
      </c>
      <c r="J620" s="6">
        <v>26408.33</v>
      </c>
      <c r="K620" s="6">
        <f t="shared" si="191"/>
        <v>1.4505152559953105</v>
      </c>
      <c r="L620" s="6">
        <f t="shared" si="179"/>
        <v>10.368453208777234</v>
      </c>
      <c r="M620" s="6">
        <f t="shared" si="180"/>
        <v>-8.9179379527819229</v>
      </c>
      <c r="N620" s="6">
        <v>9492.7900000000009</v>
      </c>
      <c r="O620" s="6">
        <f t="shared" si="192"/>
        <v>22.565422177692174</v>
      </c>
      <c r="P620" s="6">
        <f t="shared" si="181"/>
        <v>13.10599740212148</v>
      </c>
      <c r="Q620" s="6">
        <f t="shared" si="182"/>
        <v>9.4594247755706942</v>
      </c>
      <c r="R620" s="6">
        <v>4.97</v>
      </c>
      <c r="S620" s="6">
        <f t="shared" si="193"/>
        <v>51.524390243902452</v>
      </c>
      <c r="T620" s="6">
        <f t="shared" si="183"/>
        <v>31.040721793083346</v>
      </c>
      <c r="U620" s="6">
        <f t="shared" si="184"/>
        <v>20.483668450819106</v>
      </c>
      <c r="V620" s="6">
        <v>116.24</v>
      </c>
      <c r="W620" s="6">
        <f t="shared" si="194"/>
        <v>38.085055832739357</v>
      </c>
      <c r="X620" s="6">
        <f t="shared" si="185"/>
        <v>17.839715602621496</v>
      </c>
      <c r="Y620" s="6">
        <f t="shared" si="186"/>
        <v>20.245340230117861</v>
      </c>
      <c r="Z620" s="6">
        <v>88.8</v>
      </c>
      <c r="AA620" s="6">
        <f t="shared" si="195"/>
        <v>-2.844638949671785</v>
      </c>
      <c r="AB620" s="6">
        <f t="shared" si="187"/>
        <v>-1.4924088768078059</v>
      </c>
      <c r="AC620" s="6">
        <f t="shared" si="188"/>
        <v>-1.3522300728639791</v>
      </c>
    </row>
    <row r="621" spans="1:29" x14ac:dyDescent="0.2">
      <c r="A621" t="s">
        <v>705</v>
      </c>
      <c r="B621" s="6">
        <v>1230.1199999999999</v>
      </c>
      <c r="C621" s="6">
        <f t="shared" si="189"/>
        <v>43.821538389589733</v>
      </c>
      <c r="D621" s="6">
        <f t="shared" si="175"/>
        <v>25.777693872983093</v>
      </c>
      <c r="E621" s="6">
        <f t="shared" si="176"/>
        <v>18.04384451660664</v>
      </c>
      <c r="F621" s="6">
        <v>119.12</v>
      </c>
      <c r="G621" s="6">
        <f t="shared" si="190"/>
        <v>18.965345051433147</v>
      </c>
      <c r="H621" s="6">
        <f t="shared" si="177"/>
        <v>35.465271302245924</v>
      </c>
      <c r="I621" s="6">
        <f t="shared" si="178"/>
        <v>-16.499926250812777</v>
      </c>
      <c r="J621" s="6">
        <v>24236.73</v>
      </c>
      <c r="K621" s="6">
        <f t="shared" si="191"/>
        <v>10.126107770935878</v>
      </c>
      <c r="L621" s="6">
        <f t="shared" si="179"/>
        <v>6.6453486447893662</v>
      </c>
      <c r="M621" s="6">
        <f t="shared" si="180"/>
        <v>3.4807591261465118</v>
      </c>
      <c r="N621" s="6">
        <v>8959.9</v>
      </c>
      <c r="O621" s="6">
        <f t="shared" si="192"/>
        <v>31.037135402651185</v>
      </c>
      <c r="P621" s="6">
        <f t="shared" si="181"/>
        <v>13.126459494318803</v>
      </c>
      <c r="Q621" s="6">
        <f t="shared" si="182"/>
        <v>17.910675908332379</v>
      </c>
      <c r="R621" s="6">
        <v>4.5199999999999996</v>
      </c>
      <c r="S621" s="6">
        <f t="shared" si="193"/>
        <v>56.40138408304496</v>
      </c>
      <c r="T621" s="6">
        <f t="shared" si="183"/>
        <v>31.867153462683543</v>
      </c>
      <c r="U621" s="6">
        <f t="shared" si="184"/>
        <v>24.534230620361416</v>
      </c>
      <c r="V621" s="6">
        <v>108.07</v>
      </c>
      <c r="W621" s="6">
        <f t="shared" si="194"/>
        <v>42.911928061359419</v>
      </c>
      <c r="X621" s="6">
        <f t="shared" si="185"/>
        <v>18.72234802775737</v>
      </c>
      <c r="Y621" s="6">
        <f t="shared" si="186"/>
        <v>24.189580033602049</v>
      </c>
      <c r="Z621" s="6">
        <v>88.5</v>
      </c>
      <c r="AA621" s="6">
        <f t="shared" si="195"/>
        <v>-2.5330396475770844</v>
      </c>
      <c r="AB621" s="6">
        <f t="shared" si="187"/>
        <v>-1.4920266531536435</v>
      </c>
      <c r="AC621" s="6">
        <f t="shared" si="188"/>
        <v>-1.041012994423441</v>
      </c>
    </row>
    <row r="622" spans="1:29" x14ac:dyDescent="0.2">
      <c r="A622" t="s">
        <v>706</v>
      </c>
      <c r="B622" s="6">
        <v>1192.3800000000001</v>
      </c>
      <c r="C622" s="6">
        <f t="shared" si="189"/>
        <v>44.411878693925019</v>
      </c>
      <c r="D622" s="6">
        <f t="shared" si="175"/>
        <v>25.259158466386484</v>
      </c>
      <c r="E622" s="6">
        <f t="shared" si="176"/>
        <v>19.152720227538534</v>
      </c>
      <c r="F622" s="6">
        <v>120.09</v>
      </c>
      <c r="G622" s="6">
        <f t="shared" si="190"/>
        <v>22.303696914146045</v>
      </c>
      <c r="H622" s="6">
        <f t="shared" si="177"/>
        <v>35.725718525671688</v>
      </c>
      <c r="I622" s="6">
        <f t="shared" si="178"/>
        <v>-13.422021611525643</v>
      </c>
      <c r="J622" s="6">
        <v>22420.93</v>
      </c>
      <c r="K622" s="6">
        <f t="shared" si="191"/>
        <v>15.639518811015108</v>
      </c>
      <c r="L622" s="6">
        <f t="shared" si="179"/>
        <v>3.7820948928800084</v>
      </c>
      <c r="M622" s="6">
        <f t="shared" si="180"/>
        <v>11.857423918135099</v>
      </c>
      <c r="N622" s="6">
        <v>9066.85</v>
      </c>
      <c r="O622" s="6">
        <f t="shared" si="192"/>
        <v>39.505023617928089</v>
      </c>
      <c r="P622" s="6">
        <f t="shared" si="181"/>
        <v>13.867431782786555</v>
      </c>
      <c r="Q622" s="6">
        <f t="shared" si="182"/>
        <v>25.637591835141535</v>
      </c>
      <c r="R622" s="6">
        <v>4.5199999999999996</v>
      </c>
      <c r="S622" s="6">
        <f t="shared" si="193"/>
        <v>55.862068965517238</v>
      </c>
      <c r="T622" s="6">
        <f t="shared" si="183"/>
        <v>32.974352840382643</v>
      </c>
      <c r="U622" s="6">
        <f t="shared" si="184"/>
        <v>22.887716125134595</v>
      </c>
      <c r="V622" s="6">
        <v>105.85</v>
      </c>
      <c r="W622" s="6">
        <f t="shared" si="194"/>
        <v>41.643249029840732</v>
      </c>
      <c r="X622" s="6">
        <f t="shared" si="185"/>
        <v>19.723121912456389</v>
      </c>
      <c r="Y622" s="6">
        <f t="shared" si="186"/>
        <v>21.920127117384343</v>
      </c>
      <c r="Z622" s="6">
        <v>89</v>
      </c>
      <c r="AA622" s="6">
        <f t="shared" si="195"/>
        <v>-1.6574585635359074</v>
      </c>
      <c r="AB622" s="6">
        <f t="shared" si="187"/>
        <v>-1.4934636102194394</v>
      </c>
      <c r="AC622" s="6">
        <f t="shared" si="188"/>
        <v>-0.16399495331646796</v>
      </c>
    </row>
    <row r="623" spans="1:29" x14ac:dyDescent="0.2">
      <c r="A623" t="s">
        <v>707</v>
      </c>
      <c r="B623" s="6">
        <v>1183.45</v>
      </c>
      <c r="C623" s="6">
        <f t="shared" si="189"/>
        <v>40.147792001705305</v>
      </c>
      <c r="D623" s="6">
        <f t="shared" si="175"/>
        <v>24.637547495698815</v>
      </c>
      <c r="E623" s="6">
        <f t="shared" si="176"/>
        <v>15.51024450600649</v>
      </c>
      <c r="F623" s="6">
        <v>120.75</v>
      </c>
      <c r="G623" s="6">
        <f t="shared" si="190"/>
        <v>25.807459887476547</v>
      </c>
      <c r="H623" s="6">
        <f t="shared" si="177"/>
        <v>35.823667665118592</v>
      </c>
      <c r="I623" s="6">
        <f t="shared" si="178"/>
        <v>-10.016207777642045</v>
      </c>
      <c r="J623" s="6">
        <v>23847.95</v>
      </c>
      <c r="K623" s="6">
        <f t="shared" si="191"/>
        <v>22.187524016907911</v>
      </c>
      <c r="L623" s="6">
        <f t="shared" si="179"/>
        <v>2.0035583542446607</v>
      </c>
      <c r="M623" s="6">
        <f t="shared" si="180"/>
        <v>20.183965662663251</v>
      </c>
      <c r="N623" s="6">
        <v>9650.4599999999991</v>
      </c>
      <c r="O623" s="6">
        <f t="shared" si="192"/>
        <v>43.282877398760242</v>
      </c>
      <c r="P623" s="6">
        <f t="shared" si="181"/>
        <v>14.610342603886187</v>
      </c>
      <c r="Q623" s="6">
        <f t="shared" si="182"/>
        <v>28.672534794874053</v>
      </c>
      <c r="R623" s="6">
        <v>4.5599999999999996</v>
      </c>
      <c r="S623" s="6">
        <f t="shared" si="193"/>
        <v>55.631399317406128</v>
      </c>
      <c r="T623" s="6">
        <f t="shared" si="183"/>
        <v>34.350911901277726</v>
      </c>
      <c r="U623" s="6">
        <f t="shared" si="184"/>
        <v>21.280487416128402</v>
      </c>
      <c r="V623" s="6">
        <v>107.92</v>
      </c>
      <c r="W623" s="6">
        <f t="shared" si="194"/>
        <v>44.703673907213727</v>
      </c>
      <c r="X623" s="6">
        <f t="shared" si="185"/>
        <v>20.593740315665684</v>
      </c>
      <c r="Y623" s="6">
        <f t="shared" si="186"/>
        <v>24.109933591548042</v>
      </c>
      <c r="Z623" s="6">
        <v>89.7</v>
      </c>
      <c r="AA623" s="6">
        <f t="shared" si="195"/>
        <v>0</v>
      </c>
      <c r="AB623" s="6">
        <f t="shared" si="187"/>
        <v>-1.4914819694683616</v>
      </c>
      <c r="AC623" s="6">
        <f t="shared" si="188"/>
        <v>1.4914819694683616</v>
      </c>
    </row>
    <row r="624" spans="1:29" x14ac:dyDescent="0.2">
      <c r="A624" t="s">
        <v>708</v>
      </c>
      <c r="B624" s="6">
        <v>1205.48</v>
      </c>
      <c r="C624" s="6">
        <f t="shared" si="189"/>
        <v>27.735687113899111</v>
      </c>
      <c r="D624" s="6">
        <f t="shared" si="175"/>
        <v>23.991158669902862</v>
      </c>
      <c r="E624" s="6">
        <f t="shared" si="176"/>
        <v>3.7445284439962485</v>
      </c>
      <c r="F624" s="6">
        <v>120.13</v>
      </c>
      <c r="G624" s="6">
        <f t="shared" si="190"/>
        <v>33.804856315437725</v>
      </c>
      <c r="H624" s="6">
        <f t="shared" si="177"/>
        <v>35.786283584970242</v>
      </c>
      <c r="I624" s="6">
        <f t="shared" si="178"/>
        <v>-1.9814272695325172</v>
      </c>
      <c r="J624" s="6">
        <v>21845.09</v>
      </c>
      <c r="K624" s="6">
        <f t="shared" si="191"/>
        <v>2.0163141370352022</v>
      </c>
      <c r="L624" s="6">
        <f t="shared" si="179"/>
        <v>1.9298458437450658</v>
      </c>
      <c r="M624" s="6">
        <f t="shared" si="180"/>
        <v>8.6468293290136389E-2</v>
      </c>
      <c r="N624" s="6">
        <v>9000.76</v>
      </c>
      <c r="O624" s="6">
        <f t="shared" si="192"/>
        <v>23.569766404217507</v>
      </c>
      <c r="P624" s="6">
        <f t="shared" si="181"/>
        <v>15.441706301806171</v>
      </c>
      <c r="Q624" s="6">
        <f t="shared" si="182"/>
        <v>8.1280601024113359</v>
      </c>
      <c r="R624" s="6">
        <v>4.62</v>
      </c>
      <c r="S624" s="6">
        <f t="shared" si="193"/>
        <v>47.133757961783431</v>
      </c>
      <c r="T624" s="6">
        <f t="shared" si="183"/>
        <v>35.753405880563513</v>
      </c>
      <c r="U624" s="6">
        <f t="shared" si="184"/>
        <v>11.380352081219918</v>
      </c>
      <c r="V624" s="6">
        <v>100.49</v>
      </c>
      <c r="W624" s="6">
        <f t="shared" si="194"/>
        <v>32.520110774099955</v>
      </c>
      <c r="X624" s="6">
        <f t="shared" si="185"/>
        <v>21.491998072330521</v>
      </c>
      <c r="Y624" s="6">
        <f t="shared" si="186"/>
        <v>11.028112701769434</v>
      </c>
      <c r="Z624" s="6">
        <v>89.6</v>
      </c>
      <c r="AA624" s="6">
        <f t="shared" si="195"/>
        <v>0.22371364653241965</v>
      </c>
      <c r="AB624" s="6">
        <f t="shared" si="187"/>
        <v>-1.471991324977717</v>
      </c>
      <c r="AC624" s="6">
        <f t="shared" si="188"/>
        <v>1.6957049715101367</v>
      </c>
    </row>
    <row r="625" spans="1:29" x14ac:dyDescent="0.2">
      <c r="A625" t="s">
        <v>709</v>
      </c>
      <c r="B625" s="6">
        <v>1137.25</v>
      </c>
      <c r="C625" s="6">
        <f t="shared" si="189"/>
        <v>19.851825309838979</v>
      </c>
      <c r="D625" s="6">
        <f t="shared" si="175"/>
        <v>23.413220189476345</v>
      </c>
      <c r="E625" s="6">
        <f t="shared" si="176"/>
        <v>-3.5613948796373656</v>
      </c>
      <c r="F625" s="6">
        <v>123.09</v>
      </c>
      <c r="G625" s="6">
        <f t="shared" si="190"/>
        <v>29.704952581664902</v>
      </c>
      <c r="H625" s="6">
        <f t="shared" si="177"/>
        <v>35.737623143236675</v>
      </c>
      <c r="I625" s="6">
        <f t="shared" si="178"/>
        <v>-6.0326705615717735</v>
      </c>
      <c r="J625" s="6">
        <v>20377.59</v>
      </c>
      <c r="K625" s="6">
        <f t="shared" si="191"/>
        <v>-10.006531701718069</v>
      </c>
      <c r="L625" s="6">
        <f t="shared" si="179"/>
        <v>2.1813381279730137</v>
      </c>
      <c r="M625" s="6">
        <f t="shared" si="180"/>
        <v>-12.187869829691083</v>
      </c>
      <c r="N625" s="6">
        <v>8300.14</v>
      </c>
      <c r="O625" s="6">
        <f t="shared" si="192"/>
        <v>7.6639902455475806</v>
      </c>
      <c r="P625" s="6">
        <f t="shared" si="181"/>
        <v>15.982056611066737</v>
      </c>
      <c r="Q625" s="6">
        <f t="shared" si="182"/>
        <v>-8.3180663655191562</v>
      </c>
      <c r="R625" s="6">
        <v>4.5199999999999996</v>
      </c>
      <c r="S625" s="6">
        <f t="shared" si="193"/>
        <v>34.523809523809511</v>
      </c>
      <c r="T625" s="6">
        <f t="shared" si="183"/>
        <v>36.803505588879482</v>
      </c>
      <c r="U625" s="6">
        <f t="shared" si="184"/>
        <v>-2.2796960650699702</v>
      </c>
      <c r="V625" s="6">
        <v>100.82</v>
      </c>
      <c r="W625" s="6">
        <f t="shared" si="194"/>
        <v>32.448765107724633</v>
      </c>
      <c r="X625" s="6">
        <f t="shared" si="185"/>
        <v>22.21824010996691</v>
      </c>
      <c r="Y625" s="6">
        <f t="shared" si="186"/>
        <v>10.230524997757723</v>
      </c>
      <c r="Z625" s="6">
        <v>89.7</v>
      </c>
      <c r="AA625" s="6">
        <f t="shared" si="195"/>
        <v>0.44792833146696243</v>
      </c>
      <c r="AB625" s="6">
        <f t="shared" si="187"/>
        <v>-1.4717258420111048</v>
      </c>
      <c r="AC625" s="6">
        <f t="shared" si="188"/>
        <v>1.9196541734780672</v>
      </c>
    </row>
    <row r="626" spans="1:29" x14ac:dyDescent="0.2">
      <c r="A626" t="s">
        <v>710</v>
      </c>
      <c r="B626" s="6">
        <v>1044.75</v>
      </c>
      <c r="C626" s="6">
        <f t="shared" si="189"/>
        <v>1.8443601766374718</v>
      </c>
      <c r="D626" s="6">
        <f t="shared" si="175"/>
        <v>22.439690437117779</v>
      </c>
      <c r="E626" s="6">
        <f t="shared" si="176"/>
        <v>-20.595330260480306</v>
      </c>
      <c r="F626" s="6">
        <v>119.39</v>
      </c>
      <c r="G626" s="6">
        <f t="shared" si="190"/>
        <v>22.514109799897387</v>
      </c>
      <c r="H626" s="6">
        <f t="shared" si="177"/>
        <v>35.412562663139546</v>
      </c>
      <c r="I626" s="6">
        <f t="shared" si="178"/>
        <v>-12.898452863242159</v>
      </c>
      <c r="J626" s="6">
        <v>19039.05</v>
      </c>
      <c r="K626" s="6">
        <f t="shared" si="191"/>
        <v>-20.028789392196877</v>
      </c>
      <c r="L626" s="6">
        <f t="shared" si="179"/>
        <v>2.0138851478226143</v>
      </c>
      <c r="M626" s="6">
        <f t="shared" si="180"/>
        <v>-22.04267454001949</v>
      </c>
      <c r="N626" s="6">
        <v>7394.19</v>
      </c>
      <c r="O626" s="6">
        <f t="shared" si="192"/>
        <v>-10.831832965326127</v>
      </c>
      <c r="P626" s="6">
        <f t="shared" si="181"/>
        <v>16.128947436424315</v>
      </c>
      <c r="Q626" s="6">
        <f t="shared" si="182"/>
        <v>-26.960780401750441</v>
      </c>
      <c r="R626" s="6">
        <v>4.08</v>
      </c>
      <c r="S626" s="6">
        <f t="shared" si="193"/>
        <v>5.9740259740259649</v>
      </c>
      <c r="T626" s="6">
        <f t="shared" si="183"/>
        <v>37.177447753222197</v>
      </c>
      <c r="U626" s="6">
        <f t="shared" si="184"/>
        <v>-31.203421779196233</v>
      </c>
      <c r="V626" s="6">
        <v>99.85</v>
      </c>
      <c r="W626" s="6">
        <f t="shared" si="194"/>
        <v>22.185511502692123</v>
      </c>
      <c r="X626" s="6">
        <f t="shared" si="185"/>
        <v>22.403270859756258</v>
      </c>
      <c r="Y626" s="6">
        <f t="shared" si="186"/>
        <v>-0.21775935706413563</v>
      </c>
      <c r="Z626" s="6">
        <v>90.4</v>
      </c>
      <c r="AA626" s="6">
        <f t="shared" si="195"/>
        <v>1.916572717023679</v>
      </c>
      <c r="AB626" s="6">
        <f t="shared" si="187"/>
        <v>-1.4667845883545769</v>
      </c>
      <c r="AC626" s="6">
        <f t="shared" si="188"/>
        <v>3.3833573053782562</v>
      </c>
    </row>
    <row r="627" spans="1:29" x14ac:dyDescent="0.2">
      <c r="A627" t="s">
        <v>711</v>
      </c>
      <c r="B627" s="6">
        <v>1113.3800000000001</v>
      </c>
      <c r="C627" s="6">
        <f t="shared" si="189"/>
        <v>-1.5892377315796735</v>
      </c>
      <c r="D627" s="6">
        <f t="shared" si="175"/>
        <v>20.808708951857405</v>
      </c>
      <c r="E627" s="6">
        <f t="shared" si="176"/>
        <v>-22.397946683437077</v>
      </c>
      <c r="F627" s="6">
        <v>113.78</v>
      </c>
      <c r="G627" s="6">
        <f t="shared" si="190"/>
        <v>6.1776782381485651</v>
      </c>
      <c r="H627" s="6">
        <f t="shared" si="177"/>
        <v>34.426820389532601</v>
      </c>
      <c r="I627" s="6">
        <f t="shared" si="178"/>
        <v>-28.249142151384035</v>
      </c>
      <c r="J627" s="6">
        <v>17873</v>
      </c>
      <c r="K627" s="6">
        <f t="shared" si="191"/>
        <v>-21.983716670769805</v>
      </c>
      <c r="L627" s="6">
        <f t="shared" si="179"/>
        <v>1.7015735237745158</v>
      </c>
      <c r="M627" s="6">
        <f t="shared" si="180"/>
        <v>-23.685290194544322</v>
      </c>
      <c r="N627" s="6">
        <v>7581.02</v>
      </c>
      <c r="O627" s="6">
        <f t="shared" si="192"/>
        <v>-10.494469231595671</v>
      </c>
      <c r="P627" s="6">
        <f t="shared" si="181"/>
        <v>15.762166587765103</v>
      </c>
      <c r="Q627" s="6">
        <f t="shared" si="182"/>
        <v>-26.256635819360774</v>
      </c>
      <c r="R627" s="6">
        <v>3.33</v>
      </c>
      <c r="S627" s="6">
        <f t="shared" si="193"/>
        <v>-21.462264150943401</v>
      </c>
      <c r="T627" s="6">
        <f t="shared" si="183"/>
        <v>36.754886143509758</v>
      </c>
      <c r="U627" s="6">
        <f t="shared" si="184"/>
        <v>-58.217150294453162</v>
      </c>
      <c r="V627" s="6">
        <v>105.41</v>
      </c>
      <c r="W627" s="6">
        <f t="shared" si="194"/>
        <v>24.701289483023771</v>
      </c>
      <c r="X627" s="6">
        <f t="shared" si="185"/>
        <v>21.999901756521677</v>
      </c>
      <c r="Y627" s="6">
        <f t="shared" si="186"/>
        <v>2.7013877265020945</v>
      </c>
      <c r="Z627" s="6">
        <v>90.4</v>
      </c>
      <c r="AA627" s="6">
        <f t="shared" si="195"/>
        <v>1.916572717023679</v>
      </c>
      <c r="AB627" s="6">
        <f t="shared" si="187"/>
        <v>-1.4246583810818441</v>
      </c>
      <c r="AC627" s="6">
        <f t="shared" si="188"/>
        <v>3.3412310981055233</v>
      </c>
    </row>
    <row r="628" spans="1:29" x14ac:dyDescent="0.2">
      <c r="A628" t="s">
        <v>712</v>
      </c>
      <c r="B628" s="6">
        <v>1121.5</v>
      </c>
      <c r="C628" s="6">
        <f t="shared" si="189"/>
        <v>-9.1638048337977178</v>
      </c>
      <c r="D628" s="6">
        <f t="shared" si="175"/>
        <v>19.219214204559073</v>
      </c>
      <c r="E628" s="6">
        <f t="shared" si="176"/>
        <v>-28.383019038356792</v>
      </c>
      <c r="F628" s="6">
        <v>111.56</v>
      </c>
      <c r="G628" s="6">
        <f t="shared" si="190"/>
        <v>-5.6894073886211931</v>
      </c>
      <c r="H628" s="6">
        <f t="shared" si="177"/>
        <v>32.807333613696933</v>
      </c>
      <c r="I628" s="6">
        <f t="shared" si="178"/>
        <v>-38.496741002318124</v>
      </c>
      <c r="J628" s="6">
        <v>18266.759999999998</v>
      </c>
      <c r="K628" s="6">
        <f t="shared" si="191"/>
        <v>-24.239492119634075</v>
      </c>
      <c r="L628" s="6">
        <f t="shared" si="179"/>
        <v>1.3411249255130169</v>
      </c>
      <c r="M628" s="6">
        <f t="shared" si="180"/>
        <v>-25.580617045147093</v>
      </c>
      <c r="N628" s="6">
        <v>7565.48</v>
      </c>
      <c r="O628" s="6">
        <f t="shared" si="192"/>
        <v>-17.292391382774742</v>
      </c>
      <c r="P628" s="6">
        <f t="shared" si="181"/>
        <v>15.562046892576184</v>
      </c>
      <c r="Q628" s="6">
        <f t="shared" si="182"/>
        <v>-32.85443827535093</v>
      </c>
      <c r="R628" s="6">
        <v>3.35</v>
      </c>
      <c r="S628" s="6">
        <f t="shared" si="193"/>
        <v>-28.57142857142858</v>
      </c>
      <c r="T628" s="6">
        <f t="shared" si="183"/>
        <v>35.343249467525588</v>
      </c>
      <c r="U628" s="6">
        <f t="shared" si="184"/>
        <v>-63.914678038954165</v>
      </c>
      <c r="V628" s="6">
        <v>104.23</v>
      </c>
      <c r="W628" s="6">
        <f t="shared" si="194"/>
        <v>15.798244639484494</v>
      </c>
      <c r="X628" s="6">
        <f t="shared" si="185"/>
        <v>21.324854804675194</v>
      </c>
      <c r="Y628" s="6">
        <f t="shared" si="186"/>
        <v>-5.5266101651907</v>
      </c>
      <c r="Z628" s="6">
        <v>91.1</v>
      </c>
      <c r="AA628" s="6">
        <f t="shared" si="195"/>
        <v>1.5607580824972045</v>
      </c>
      <c r="AB628" s="6">
        <f t="shared" si="187"/>
        <v>-1.3935295012195279</v>
      </c>
      <c r="AC628" s="6">
        <f t="shared" si="188"/>
        <v>2.9542875837167326</v>
      </c>
    </row>
    <row r="629" spans="1:29" x14ac:dyDescent="0.2">
      <c r="A629" t="s">
        <v>713</v>
      </c>
      <c r="B629" s="6">
        <v>1123.5</v>
      </c>
      <c r="C629" s="6">
        <f t="shared" si="189"/>
        <v>-13.813604179292248</v>
      </c>
      <c r="D629" s="6">
        <f t="shared" si="175"/>
        <v>17.77559874281663</v>
      </c>
      <c r="E629" s="6">
        <f t="shared" si="176"/>
        <v>-31.589202922108878</v>
      </c>
      <c r="F629" s="6">
        <v>116.46</v>
      </c>
      <c r="G629" s="6">
        <f t="shared" si="190"/>
        <v>-12.092391304347828</v>
      </c>
      <c r="H629" s="6">
        <f t="shared" si="177"/>
        <v>30.961417358427287</v>
      </c>
      <c r="I629" s="6">
        <f t="shared" si="178"/>
        <v>-43.053808662775111</v>
      </c>
      <c r="J629" s="6">
        <v>19854.77</v>
      </c>
      <c r="K629" s="6">
        <f t="shared" si="191"/>
        <v>-22.58217088268265</v>
      </c>
      <c r="L629" s="6">
        <f t="shared" si="179"/>
        <v>1.3530971953895798</v>
      </c>
      <c r="M629" s="6">
        <f t="shared" si="180"/>
        <v>-23.93526807807223</v>
      </c>
      <c r="N629" s="6">
        <v>8040.47</v>
      </c>
      <c r="O629" s="6">
        <f t="shared" si="192"/>
        <v>-15.856818443442133</v>
      </c>
      <c r="P629" s="6">
        <f t="shared" si="181"/>
        <v>15.229079175430343</v>
      </c>
      <c r="Q629" s="6">
        <f t="shared" si="182"/>
        <v>-31.085897618872476</v>
      </c>
      <c r="R629" s="6">
        <v>3.5</v>
      </c>
      <c r="S629" s="6">
        <f t="shared" si="193"/>
        <v>-34.333958724202631</v>
      </c>
      <c r="T629" s="6">
        <f t="shared" si="183"/>
        <v>33.788415412691535</v>
      </c>
      <c r="U629" s="6">
        <f t="shared" si="184"/>
        <v>-68.122374136894166</v>
      </c>
      <c r="V629" s="6">
        <v>107.07</v>
      </c>
      <c r="W629" s="6">
        <f t="shared" si="194"/>
        <v>15.514079188693497</v>
      </c>
      <c r="X629" s="6">
        <f t="shared" si="185"/>
        <v>20.679439893952864</v>
      </c>
      <c r="Y629" s="6">
        <f t="shared" si="186"/>
        <v>-5.1653607052593671</v>
      </c>
      <c r="Z629" s="6">
        <v>91.5</v>
      </c>
      <c r="AA629" s="6">
        <f t="shared" si="195"/>
        <v>1.5538290788013276</v>
      </c>
      <c r="AB629" s="6">
        <f t="shared" si="187"/>
        <v>-1.3852385140357197</v>
      </c>
      <c r="AC629" s="6">
        <f t="shared" si="188"/>
        <v>2.9390675928370475</v>
      </c>
    </row>
    <row r="630" spans="1:29" x14ac:dyDescent="0.2">
      <c r="A630" t="s">
        <v>714</v>
      </c>
      <c r="B630" s="6">
        <v>1146.25</v>
      </c>
      <c r="C630" s="6">
        <f t="shared" si="189"/>
        <v>-13.634616978473646</v>
      </c>
      <c r="D630" s="6">
        <f t="shared" si="175"/>
        <v>15.90450943618688</v>
      </c>
      <c r="E630" s="6">
        <f t="shared" si="176"/>
        <v>-29.539126414660526</v>
      </c>
      <c r="F630" s="6">
        <v>117.02</v>
      </c>
      <c r="G630" s="6">
        <f t="shared" si="190"/>
        <v>-8.834527890308518</v>
      </c>
      <c r="H630" s="6">
        <f t="shared" si="177"/>
        <v>29.066059771665731</v>
      </c>
      <c r="I630" s="6">
        <f t="shared" si="178"/>
        <v>-37.900587661974249</v>
      </c>
      <c r="J630" s="6">
        <v>20393.669999999998</v>
      </c>
      <c r="K630" s="6">
        <f t="shared" si="191"/>
        <v>-27.815766885823258</v>
      </c>
      <c r="L630" s="6">
        <f t="shared" si="179"/>
        <v>1.3988733891663641</v>
      </c>
      <c r="M630" s="6">
        <f t="shared" si="180"/>
        <v>-29.214640274989623</v>
      </c>
      <c r="N630" s="6">
        <v>8441.49</v>
      </c>
      <c r="O630" s="6">
        <f t="shared" si="192"/>
        <v>-14.452450443876941</v>
      </c>
      <c r="P630" s="6">
        <f t="shared" si="181"/>
        <v>14.387469444658544</v>
      </c>
      <c r="Q630" s="6">
        <f t="shared" si="182"/>
        <v>-28.839919888535483</v>
      </c>
      <c r="R630" s="6">
        <v>3.78</v>
      </c>
      <c r="S630" s="6">
        <f t="shared" si="193"/>
        <v>-32.258064516129039</v>
      </c>
      <c r="T630" s="6">
        <f t="shared" si="183"/>
        <v>32.439533540645215</v>
      </c>
      <c r="U630" s="6">
        <f t="shared" si="184"/>
        <v>-64.697598056774254</v>
      </c>
      <c r="V630" s="6">
        <v>112.69</v>
      </c>
      <c r="W630" s="6">
        <f t="shared" si="194"/>
        <v>15.095495863548148</v>
      </c>
      <c r="X630" s="6">
        <f t="shared" si="185"/>
        <v>19.55576086359773</v>
      </c>
      <c r="Y630" s="6">
        <f t="shared" si="186"/>
        <v>-4.4602650000495814</v>
      </c>
      <c r="Z630" s="6">
        <v>91.1</v>
      </c>
      <c r="AA630" s="6">
        <f t="shared" si="195"/>
        <v>1.1098779134295134</v>
      </c>
      <c r="AB630" s="6">
        <f t="shared" si="187"/>
        <v>-1.3882903834310429</v>
      </c>
      <c r="AC630" s="6">
        <f t="shared" si="188"/>
        <v>2.4981682968605563</v>
      </c>
    </row>
    <row r="631" spans="1:29" x14ac:dyDescent="0.2">
      <c r="A631" t="s">
        <v>715</v>
      </c>
      <c r="B631" s="6">
        <v>1195.3399999999999</v>
      </c>
      <c r="C631" s="6">
        <f t="shared" si="189"/>
        <v>-3.7366920611400234</v>
      </c>
      <c r="D631" s="6">
        <f t="shared" si="175"/>
        <v>13.607416323117569</v>
      </c>
      <c r="E631" s="6">
        <f t="shared" si="176"/>
        <v>-17.344108384257591</v>
      </c>
      <c r="F631" s="6">
        <v>107.46</v>
      </c>
      <c r="G631" s="6">
        <f t="shared" si="190"/>
        <v>-14.802188218504719</v>
      </c>
      <c r="H631" s="6">
        <f t="shared" si="177"/>
        <v>25.766852727952241</v>
      </c>
      <c r="I631" s="6">
        <f t="shared" si="178"/>
        <v>-40.569040946456958</v>
      </c>
      <c r="J631" s="6">
        <v>18660.810000000001</v>
      </c>
      <c r="K631" s="6">
        <f t="shared" si="191"/>
        <v>-30.136407796977572</v>
      </c>
      <c r="L631" s="6">
        <f t="shared" si="179"/>
        <v>1.4885645851497256</v>
      </c>
      <c r="M631" s="6">
        <f t="shared" si="180"/>
        <v>-31.624972382127297</v>
      </c>
      <c r="N631" s="6">
        <v>8470.7800000000007</v>
      </c>
      <c r="O631" s="6">
        <f t="shared" si="192"/>
        <v>-10.865420230318534</v>
      </c>
      <c r="P631" s="6">
        <f t="shared" si="181"/>
        <v>13.274821970143423</v>
      </c>
      <c r="Q631" s="6">
        <f t="shared" si="182"/>
        <v>-24.140242200461955</v>
      </c>
      <c r="R631" s="6">
        <v>3.78</v>
      </c>
      <c r="S631" s="6">
        <f t="shared" si="193"/>
        <v>-21.900826446280995</v>
      </c>
      <c r="T631" s="6">
        <f t="shared" si="183"/>
        <v>31.177867888383091</v>
      </c>
      <c r="U631" s="6">
        <f t="shared" si="184"/>
        <v>-53.078694334664085</v>
      </c>
      <c r="V631" s="6">
        <v>117.79</v>
      </c>
      <c r="W631" s="6">
        <f t="shared" si="194"/>
        <v>8.4123331799355725</v>
      </c>
      <c r="X631" s="6">
        <f t="shared" si="185"/>
        <v>18.573415174282893</v>
      </c>
      <c r="Y631" s="6">
        <f t="shared" si="186"/>
        <v>-10.16108199434732</v>
      </c>
      <c r="Z631" s="6">
        <v>91.3</v>
      </c>
      <c r="AA631" s="6">
        <f t="shared" si="195"/>
        <v>2.6996625421822129</v>
      </c>
      <c r="AB631" s="6">
        <f t="shared" si="187"/>
        <v>-1.404892503172448</v>
      </c>
      <c r="AC631" s="6">
        <f t="shared" si="188"/>
        <v>4.1045550453546609</v>
      </c>
    </row>
    <row r="632" spans="1:29" x14ac:dyDescent="0.2">
      <c r="A632" t="s">
        <v>716</v>
      </c>
      <c r="B632" s="6">
        <v>1233.6099999999999</v>
      </c>
      <c r="C632" s="6">
        <f t="shared" si="189"/>
        <v>1.1479079377833878</v>
      </c>
      <c r="D632" s="6">
        <f t="shared" si="175"/>
        <v>11.271733652361675</v>
      </c>
      <c r="E632" s="6">
        <f t="shared" si="176"/>
        <v>-10.123825714578288</v>
      </c>
      <c r="F632" s="6">
        <v>103.59</v>
      </c>
      <c r="G632" s="6">
        <f t="shared" si="190"/>
        <v>-15.436734693877552</v>
      </c>
      <c r="H632" s="6">
        <f t="shared" si="177"/>
        <v>23.093375094803701</v>
      </c>
      <c r="I632" s="6">
        <f t="shared" si="178"/>
        <v>-38.530109788681251</v>
      </c>
      <c r="J632" s="6">
        <v>17939.79</v>
      </c>
      <c r="K632" s="6">
        <f t="shared" si="191"/>
        <v>-32.067684704030889</v>
      </c>
      <c r="L632" s="6">
        <f t="shared" si="179"/>
        <v>1.5397830622277944</v>
      </c>
      <c r="M632" s="6">
        <f t="shared" si="180"/>
        <v>-33.607467766258679</v>
      </c>
      <c r="N632" s="6">
        <v>8289.48</v>
      </c>
      <c r="O632" s="6">
        <f t="shared" si="192"/>
        <v>-12.676041500970747</v>
      </c>
      <c r="P632" s="6">
        <f t="shared" si="181"/>
        <v>12.406971202145025</v>
      </c>
      <c r="Q632" s="6">
        <f t="shared" si="182"/>
        <v>-25.08301270311577</v>
      </c>
      <c r="R632" s="6">
        <v>3.66</v>
      </c>
      <c r="S632" s="6">
        <f t="shared" si="193"/>
        <v>-26.358148893360156</v>
      </c>
      <c r="T632" s="6">
        <f t="shared" si="183"/>
        <v>30.061031565061185</v>
      </c>
      <c r="U632" s="6">
        <f t="shared" si="184"/>
        <v>-56.419180458421337</v>
      </c>
      <c r="V632" s="6">
        <v>113.67</v>
      </c>
      <c r="W632" s="6">
        <f t="shared" si="194"/>
        <v>-2.2109428768065986</v>
      </c>
      <c r="X632" s="6">
        <f t="shared" si="185"/>
        <v>17.330905338853885</v>
      </c>
      <c r="Y632" s="6">
        <f t="shared" si="186"/>
        <v>-19.541848215660483</v>
      </c>
      <c r="Z632" s="6">
        <v>90.8</v>
      </c>
      <c r="AA632" s="6">
        <f t="shared" si="195"/>
        <v>2.2522522522522515</v>
      </c>
      <c r="AB632" s="6">
        <f t="shared" si="187"/>
        <v>-1.366286217847003</v>
      </c>
      <c r="AC632" s="6">
        <f t="shared" si="188"/>
        <v>3.6185384700992547</v>
      </c>
    </row>
    <row r="633" spans="1:29" x14ac:dyDescent="0.2">
      <c r="A633" t="s">
        <v>717</v>
      </c>
      <c r="B633" s="6">
        <v>1125</v>
      </c>
      <c r="C633" s="6">
        <f t="shared" si="189"/>
        <v>-8.5455077553409318</v>
      </c>
      <c r="D633" s="6">
        <f t="shared" si="175"/>
        <v>9.6797024732963148</v>
      </c>
      <c r="E633" s="6">
        <f t="shared" si="176"/>
        <v>-18.225210228637245</v>
      </c>
      <c r="F633" s="6">
        <v>95.83</v>
      </c>
      <c r="G633" s="6">
        <f t="shared" si="190"/>
        <v>-19.551712558764279</v>
      </c>
      <c r="H633" s="6">
        <f t="shared" si="177"/>
        <v>20.289001449408257</v>
      </c>
      <c r="I633" s="6">
        <f t="shared" si="178"/>
        <v>-39.84071400817254</v>
      </c>
      <c r="J633" s="6">
        <v>17068.189999999999</v>
      </c>
      <c r="K633" s="6">
        <f t="shared" si="191"/>
        <v>-29.577174808647865</v>
      </c>
      <c r="L633" s="6">
        <f t="shared" si="179"/>
        <v>1.7629358171934435</v>
      </c>
      <c r="M633" s="6">
        <f t="shared" si="180"/>
        <v>-31.340110625841309</v>
      </c>
      <c r="N633" s="6">
        <v>7955.64</v>
      </c>
      <c r="O633" s="6">
        <f t="shared" si="192"/>
        <v>-11.208384022143091</v>
      </c>
      <c r="P633" s="6">
        <f t="shared" si="181"/>
        <v>11.896512739795432</v>
      </c>
      <c r="Q633" s="6">
        <f t="shared" si="182"/>
        <v>-23.104896761938523</v>
      </c>
      <c r="R633" s="6">
        <v>3.38</v>
      </c>
      <c r="S633" s="6">
        <f t="shared" si="193"/>
        <v>-25.221238938053091</v>
      </c>
      <c r="T633" s="6">
        <f t="shared" si="183"/>
        <v>29.003070897832007</v>
      </c>
      <c r="U633" s="6">
        <f t="shared" si="184"/>
        <v>-54.224309835885094</v>
      </c>
      <c r="V633" s="6">
        <v>104.09</v>
      </c>
      <c r="W633" s="6">
        <f t="shared" si="194"/>
        <v>-3.6827981863606807</v>
      </c>
      <c r="X633" s="6">
        <f t="shared" si="185"/>
        <v>15.885494710342689</v>
      </c>
      <c r="Y633" s="6">
        <f t="shared" si="186"/>
        <v>-19.568292896703369</v>
      </c>
      <c r="Z633" s="6">
        <v>91.2</v>
      </c>
      <c r="AA633" s="6">
        <f t="shared" si="195"/>
        <v>3.050847457627115</v>
      </c>
      <c r="AB633" s="6">
        <f t="shared" si="187"/>
        <v>-1.3215572783812215</v>
      </c>
      <c r="AC633" s="6">
        <f t="shared" si="188"/>
        <v>4.3724047360083365</v>
      </c>
    </row>
    <row r="634" spans="1:29" x14ac:dyDescent="0.2">
      <c r="A634" t="s">
        <v>718</v>
      </c>
      <c r="B634" s="6">
        <v>1027.74</v>
      </c>
      <c r="C634" s="6">
        <f t="shared" si="189"/>
        <v>-13.807678760126807</v>
      </c>
      <c r="D634" s="6">
        <f t="shared" si="175"/>
        <v>8.1988123084029354</v>
      </c>
      <c r="E634" s="6">
        <f t="shared" si="176"/>
        <v>-22.006491068529741</v>
      </c>
      <c r="F634" s="6">
        <v>87.19</v>
      </c>
      <c r="G634" s="6">
        <f t="shared" si="190"/>
        <v>-27.396119576983935</v>
      </c>
      <c r="H634" s="6">
        <f t="shared" si="177"/>
        <v>17.009650294910198</v>
      </c>
      <c r="I634" s="6">
        <f t="shared" si="178"/>
        <v>-44.405769871894137</v>
      </c>
      <c r="J634" s="6">
        <v>16549.14</v>
      </c>
      <c r="K634" s="6">
        <f t="shared" si="191"/>
        <v>-26.188877981421832</v>
      </c>
      <c r="L634" s="6">
        <f t="shared" si="179"/>
        <v>2.2025663285452275</v>
      </c>
      <c r="M634" s="6">
        <f t="shared" si="180"/>
        <v>-28.39144430996706</v>
      </c>
      <c r="N634" s="6">
        <v>7423.02</v>
      </c>
      <c r="O634" s="6">
        <f t="shared" si="192"/>
        <v>-18.130111339660417</v>
      </c>
      <c r="P634" s="6">
        <f t="shared" si="181"/>
        <v>11.472791970514464</v>
      </c>
      <c r="Q634" s="6">
        <f t="shared" si="182"/>
        <v>-29.602903310174881</v>
      </c>
      <c r="R634" s="6">
        <v>2.86</v>
      </c>
      <c r="S634" s="6">
        <f t="shared" si="193"/>
        <v>-36.725663716814161</v>
      </c>
      <c r="T634" s="6">
        <f t="shared" si="183"/>
        <v>27.783183975511452</v>
      </c>
      <c r="U634" s="6">
        <f t="shared" si="184"/>
        <v>-64.508847692325617</v>
      </c>
      <c r="V634" s="6">
        <v>90.73</v>
      </c>
      <c r="W634" s="6">
        <f t="shared" si="194"/>
        <v>-14.284364666981563</v>
      </c>
      <c r="X634" s="6">
        <f t="shared" si="185"/>
        <v>13.971305557416796</v>
      </c>
      <c r="Y634" s="6">
        <f t="shared" si="186"/>
        <v>-28.255670224398358</v>
      </c>
      <c r="Z634" s="6">
        <v>91</v>
      </c>
      <c r="AA634" s="6">
        <f t="shared" si="195"/>
        <v>2.2471910112359605</v>
      </c>
      <c r="AB634" s="6">
        <f t="shared" si="187"/>
        <v>-1.2558049738911832</v>
      </c>
      <c r="AC634" s="6">
        <f t="shared" si="188"/>
        <v>3.5029959851271437</v>
      </c>
    </row>
    <row r="635" spans="1:29" x14ac:dyDescent="0.2">
      <c r="A635" t="s">
        <v>719</v>
      </c>
      <c r="B635" s="6">
        <v>1052.8399999999999</v>
      </c>
      <c r="C635" s="6">
        <f t="shared" si="189"/>
        <v>-11.036376695255413</v>
      </c>
      <c r="D635" s="6">
        <f t="shared" si="175"/>
        <v>6.7609044916046956</v>
      </c>
      <c r="E635" s="6">
        <f t="shared" si="176"/>
        <v>-17.797281186860108</v>
      </c>
      <c r="F635" s="6">
        <v>88.24</v>
      </c>
      <c r="G635" s="6">
        <f t="shared" si="190"/>
        <v>-26.923395445134581</v>
      </c>
      <c r="H635" s="6">
        <f t="shared" si="177"/>
        <v>13.119430812381042</v>
      </c>
      <c r="I635" s="6">
        <f t="shared" si="178"/>
        <v>-40.042826257515621</v>
      </c>
      <c r="J635" s="6">
        <v>16128.41</v>
      </c>
      <c r="K635" s="6">
        <f t="shared" si="191"/>
        <v>-32.369826337274276</v>
      </c>
      <c r="L635" s="6">
        <f t="shared" si="179"/>
        <v>2.6142482349833176</v>
      </c>
      <c r="M635" s="6">
        <f t="shared" si="180"/>
        <v>-34.98407457225759</v>
      </c>
      <c r="N635" s="6">
        <v>7584.26</v>
      </c>
      <c r="O635" s="6">
        <f t="shared" si="192"/>
        <v>-21.410378365383608</v>
      </c>
      <c r="P635" s="6">
        <f t="shared" si="181"/>
        <v>10.875938280545837</v>
      </c>
      <c r="Q635" s="6">
        <f t="shared" si="182"/>
        <v>-32.286316645929446</v>
      </c>
      <c r="R635" s="6">
        <v>2.89</v>
      </c>
      <c r="S635" s="6">
        <f t="shared" si="193"/>
        <v>-36.622807017543856</v>
      </c>
      <c r="T635" s="6">
        <f t="shared" si="183"/>
        <v>25.97146250589773</v>
      </c>
      <c r="U635" s="6">
        <f t="shared" si="184"/>
        <v>-62.594269523441582</v>
      </c>
      <c r="V635" s="6">
        <v>96.75</v>
      </c>
      <c r="W635" s="6">
        <f t="shared" si="194"/>
        <v>-10.35025945144552</v>
      </c>
      <c r="X635" s="6">
        <f t="shared" si="185"/>
        <v>11.738863475659491</v>
      </c>
      <c r="Y635" s="6">
        <f t="shared" si="186"/>
        <v>-22.089122927105009</v>
      </c>
      <c r="Z635" s="6">
        <v>90.7</v>
      </c>
      <c r="AA635" s="6">
        <f t="shared" si="195"/>
        <v>1.1148272017837302</v>
      </c>
      <c r="AB635" s="6">
        <f t="shared" si="187"/>
        <v>-1.2395936011710913</v>
      </c>
      <c r="AC635" s="6">
        <f t="shared" si="188"/>
        <v>2.3544208029548215</v>
      </c>
    </row>
    <row r="636" spans="1:29" x14ac:dyDescent="0.2">
      <c r="A636" t="s">
        <v>720</v>
      </c>
      <c r="B636" s="6">
        <v>1022.38</v>
      </c>
      <c r="C636" s="6">
        <f t="shared" si="189"/>
        <v>-15.188970368649834</v>
      </c>
      <c r="D636" s="6">
        <f t="shared" si="175"/>
        <v>5.6558297953417425</v>
      </c>
      <c r="E636" s="6">
        <f t="shared" si="176"/>
        <v>-20.844800163991575</v>
      </c>
      <c r="F636" s="6">
        <v>91</v>
      </c>
      <c r="G636" s="6">
        <f t="shared" si="190"/>
        <v>-24.24873054191292</v>
      </c>
      <c r="H636" s="6">
        <f t="shared" si="177"/>
        <v>9.0706225163712855</v>
      </c>
      <c r="I636" s="6">
        <f t="shared" si="178"/>
        <v>-33.319353058284207</v>
      </c>
      <c r="J636" s="6">
        <v>15735.21</v>
      </c>
      <c r="K636" s="6">
        <f t="shared" si="191"/>
        <v>-27.969122580863715</v>
      </c>
      <c r="L636" s="6">
        <f t="shared" si="179"/>
        <v>2.7666775343490406</v>
      </c>
      <c r="M636" s="6">
        <f t="shared" si="180"/>
        <v>-30.735800115212754</v>
      </c>
      <c r="N636" s="6">
        <v>7515.53</v>
      </c>
      <c r="O636" s="6">
        <f t="shared" si="192"/>
        <v>-16.501162124087308</v>
      </c>
      <c r="P636" s="6">
        <f t="shared" si="181"/>
        <v>10.31452703903142</v>
      </c>
      <c r="Q636" s="6">
        <f t="shared" si="182"/>
        <v>-26.815689163118726</v>
      </c>
      <c r="R636" s="6">
        <v>2.6</v>
      </c>
      <c r="S636" s="6">
        <f t="shared" si="193"/>
        <v>-43.722943722943718</v>
      </c>
      <c r="T636" s="6">
        <f t="shared" si="183"/>
        <v>24.023846836823083</v>
      </c>
      <c r="U636" s="6">
        <f t="shared" si="184"/>
        <v>-67.746790559766794</v>
      </c>
      <c r="V636" s="6">
        <v>105.27</v>
      </c>
      <c r="W636" s="6">
        <f t="shared" si="194"/>
        <v>4.7566922081799135</v>
      </c>
      <c r="X636" s="6">
        <f t="shared" si="185"/>
        <v>9.8466592479572714</v>
      </c>
      <c r="Y636" s="6">
        <f t="shared" si="186"/>
        <v>-5.089967039777358</v>
      </c>
      <c r="Z636" s="6">
        <v>90.5</v>
      </c>
      <c r="AA636" s="6">
        <f t="shared" si="195"/>
        <v>1.0044642857143016</v>
      </c>
      <c r="AB636" s="6">
        <f t="shared" si="187"/>
        <v>-1.2032515601755536</v>
      </c>
      <c r="AC636" s="6">
        <f t="shared" si="188"/>
        <v>2.2077158458898554</v>
      </c>
    </row>
    <row r="637" spans="1:29" x14ac:dyDescent="0.2">
      <c r="A637" t="s">
        <v>721</v>
      </c>
      <c r="B637" s="6">
        <v>1001.38</v>
      </c>
      <c r="C637" s="6">
        <f t="shared" si="189"/>
        <v>-11.947241151901522</v>
      </c>
      <c r="D637" s="6">
        <f t="shared" si="175"/>
        <v>5.0060194501121273</v>
      </c>
      <c r="E637" s="6">
        <f t="shared" si="176"/>
        <v>-16.95326060201365</v>
      </c>
      <c r="F637" s="6">
        <v>88.96</v>
      </c>
      <c r="G637" s="6">
        <f t="shared" si="190"/>
        <v>-27.727678934113253</v>
      </c>
      <c r="H637" s="6">
        <f t="shared" si="177"/>
        <v>5.890302442145841</v>
      </c>
      <c r="I637" s="6">
        <f t="shared" si="178"/>
        <v>-33.617981376259095</v>
      </c>
      <c r="J637" s="6">
        <v>17287.96</v>
      </c>
      <c r="K637" s="6">
        <f t="shared" si="191"/>
        <v>-15.161900892107461</v>
      </c>
      <c r="L637" s="6">
        <f t="shared" si="179"/>
        <v>2.8412963862634126</v>
      </c>
      <c r="M637" s="6">
        <f t="shared" si="180"/>
        <v>-18.003197278370873</v>
      </c>
      <c r="N637" s="6">
        <v>8087.74</v>
      </c>
      <c r="O637" s="6">
        <f t="shared" si="192"/>
        <v>-2.5589929808412792</v>
      </c>
      <c r="P637" s="6">
        <f t="shared" si="181"/>
        <v>9.9371466525622605</v>
      </c>
      <c r="Q637" s="6">
        <f t="shared" si="182"/>
        <v>-12.496139633403541</v>
      </c>
      <c r="R637" s="6">
        <v>2.76</v>
      </c>
      <c r="S637" s="6">
        <f t="shared" si="193"/>
        <v>-38.938053097345126</v>
      </c>
      <c r="T637" s="6">
        <f t="shared" si="183"/>
        <v>22.267541547909101</v>
      </c>
      <c r="U637" s="6">
        <f t="shared" si="184"/>
        <v>-61.205594645254223</v>
      </c>
      <c r="V637" s="6">
        <v>106.28</v>
      </c>
      <c r="W637" s="6">
        <f t="shared" si="194"/>
        <v>5.4155921444158039</v>
      </c>
      <c r="X637" s="6">
        <f t="shared" si="185"/>
        <v>8.6255896939622083</v>
      </c>
      <c r="Y637" s="6">
        <f t="shared" si="186"/>
        <v>-3.2099975495464044</v>
      </c>
      <c r="Z637" s="6">
        <v>90.6</v>
      </c>
      <c r="AA637" s="6">
        <f t="shared" si="195"/>
        <v>1.0033444816053505</v>
      </c>
      <c r="AB637" s="6">
        <f t="shared" si="187"/>
        <v>-1.1669743436968563</v>
      </c>
      <c r="AC637" s="6">
        <f t="shared" si="188"/>
        <v>2.170318825302207</v>
      </c>
    </row>
    <row r="638" spans="1:29" x14ac:dyDescent="0.2">
      <c r="A638" t="s">
        <v>722</v>
      </c>
      <c r="B638" s="6">
        <v>886</v>
      </c>
      <c r="C638" s="6">
        <f t="shared" si="189"/>
        <v>-15.195022732711172</v>
      </c>
      <c r="D638" s="6">
        <f t="shared" si="175"/>
        <v>4.8197680610554103</v>
      </c>
      <c r="E638" s="6">
        <f t="shared" si="176"/>
        <v>-20.014790793766583</v>
      </c>
      <c r="F638" s="6">
        <v>81.849999999999994</v>
      </c>
      <c r="G638" s="6">
        <f t="shared" si="190"/>
        <v>-31.44316944467711</v>
      </c>
      <c r="H638" s="6">
        <f t="shared" si="177"/>
        <v>2.8299325481234874</v>
      </c>
      <c r="I638" s="6">
        <f t="shared" si="178"/>
        <v>-34.273101992800598</v>
      </c>
      <c r="J638" s="6">
        <v>17168.740000000002</v>
      </c>
      <c r="K638" s="6">
        <f t="shared" si="191"/>
        <v>-9.8235468681472931</v>
      </c>
      <c r="L638" s="6">
        <f t="shared" si="179"/>
        <v>3.3536749674450852</v>
      </c>
      <c r="M638" s="6">
        <f t="shared" si="180"/>
        <v>-13.177221835592379</v>
      </c>
      <c r="N638" s="6">
        <v>8062.03</v>
      </c>
      <c r="O638" s="6">
        <f t="shared" si="192"/>
        <v>9.0319561709937055</v>
      </c>
      <c r="P638" s="6">
        <f t="shared" si="181"/>
        <v>10.063084778379379</v>
      </c>
      <c r="Q638" s="6">
        <f t="shared" si="182"/>
        <v>-1.0311286073856731</v>
      </c>
      <c r="R638" s="6">
        <v>2.95</v>
      </c>
      <c r="S638" s="6">
        <f t="shared" si="193"/>
        <v>-27.696078431372552</v>
      </c>
      <c r="T638" s="6">
        <f t="shared" si="183"/>
        <v>20.765178869834468</v>
      </c>
      <c r="U638" s="6">
        <f t="shared" si="184"/>
        <v>-48.46125730120702</v>
      </c>
      <c r="V638" s="6">
        <v>103.41</v>
      </c>
      <c r="W638" s="6">
        <f t="shared" si="194"/>
        <v>3.5653480220330547</v>
      </c>
      <c r="X638" s="6">
        <f t="shared" si="185"/>
        <v>8.1168885619178912</v>
      </c>
      <c r="Y638" s="6">
        <f t="shared" si="186"/>
        <v>-4.5515405398848365</v>
      </c>
      <c r="Z638" s="6">
        <v>91.1</v>
      </c>
      <c r="AA638" s="6">
        <f t="shared" si="195"/>
        <v>0.77433628318583914</v>
      </c>
      <c r="AB638" s="6">
        <f t="shared" si="187"/>
        <v>-1.1175925394117463</v>
      </c>
      <c r="AC638" s="6">
        <f t="shared" si="188"/>
        <v>1.8919288225975854</v>
      </c>
    </row>
    <row r="639" spans="1:29" x14ac:dyDescent="0.2">
      <c r="A639" t="s">
        <v>723</v>
      </c>
      <c r="B639" s="6">
        <v>863.18</v>
      </c>
      <c r="C639" s="6">
        <f t="shared" si="189"/>
        <v>-22.472111947403416</v>
      </c>
      <c r="D639" s="6">
        <f t="shared" si="175"/>
        <v>5.1565242049984699</v>
      </c>
      <c r="E639" s="6">
        <f t="shared" si="176"/>
        <v>-27.628636152401885</v>
      </c>
      <c r="F639" s="6">
        <v>85.89</v>
      </c>
      <c r="G639" s="6">
        <f t="shared" si="190"/>
        <v>-24.51221655827035</v>
      </c>
      <c r="H639" s="6">
        <f t="shared" si="177"/>
        <v>1.2505805491270596</v>
      </c>
      <c r="I639" s="6">
        <f t="shared" si="178"/>
        <v>-25.762797107397411</v>
      </c>
      <c r="J639" s="6">
        <v>16335.36</v>
      </c>
      <c r="K639" s="6">
        <f t="shared" si="191"/>
        <v>-8.6031444077659067</v>
      </c>
      <c r="L639" s="6">
        <f t="shared" si="179"/>
        <v>4.4179620870078908</v>
      </c>
      <c r="M639" s="6">
        <f t="shared" si="180"/>
        <v>-13.021106494773797</v>
      </c>
      <c r="N639" s="6">
        <v>7711.23</v>
      </c>
      <c r="O639" s="6">
        <f t="shared" si="192"/>
        <v>1.7175789009922005</v>
      </c>
      <c r="P639" s="6">
        <f t="shared" si="181"/>
        <v>11.053201348829928</v>
      </c>
      <c r="Q639" s="6">
        <f t="shared" si="182"/>
        <v>-9.3356224478377285</v>
      </c>
      <c r="R639" s="6">
        <v>2.8</v>
      </c>
      <c r="S639" s="6">
        <f t="shared" si="193"/>
        <v>-15.915915915915924</v>
      </c>
      <c r="T639" s="6">
        <f t="shared" si="183"/>
        <v>20.556908799269369</v>
      </c>
      <c r="U639" s="6">
        <f t="shared" si="184"/>
        <v>-36.472824715185297</v>
      </c>
      <c r="V639" s="6">
        <v>101.17</v>
      </c>
      <c r="W639" s="6">
        <f t="shared" si="194"/>
        <v>-4.0223887676690939</v>
      </c>
      <c r="X639" s="6">
        <f t="shared" si="185"/>
        <v>8.4270252931829006</v>
      </c>
      <c r="Y639" s="6">
        <f t="shared" si="186"/>
        <v>-12.449414060851995</v>
      </c>
      <c r="Z639" s="6">
        <v>90.9</v>
      </c>
      <c r="AA639" s="6">
        <f t="shared" si="195"/>
        <v>0.5530973451327359</v>
      </c>
      <c r="AB639" s="6">
        <f t="shared" si="187"/>
        <v>-1.0398625046489653</v>
      </c>
      <c r="AC639" s="6">
        <f t="shared" si="188"/>
        <v>1.5929598497817012</v>
      </c>
    </row>
    <row r="640" spans="1:29" x14ac:dyDescent="0.2">
      <c r="A640" t="s">
        <v>724</v>
      </c>
      <c r="B640" s="6">
        <v>843.55</v>
      </c>
      <c r="C640" s="6">
        <f t="shared" si="189"/>
        <v>-24.783771734284443</v>
      </c>
      <c r="D640" s="6">
        <f t="shared" si="175"/>
        <v>5.5590169190103689</v>
      </c>
      <c r="E640" s="6">
        <f t="shared" si="176"/>
        <v>-30.342788653294811</v>
      </c>
      <c r="F640" s="6">
        <v>92.88</v>
      </c>
      <c r="G640" s="6">
        <f t="shared" si="190"/>
        <v>-16.744352814628904</v>
      </c>
      <c r="H640" s="6">
        <f t="shared" si="177"/>
        <v>0.55152284600706625</v>
      </c>
      <c r="I640" s="6">
        <f t="shared" si="178"/>
        <v>-17.295875660635971</v>
      </c>
      <c r="J640" s="6">
        <v>17448.5</v>
      </c>
      <c r="K640" s="6">
        <f t="shared" si="191"/>
        <v>-4.4795026594754539</v>
      </c>
      <c r="L640" s="6">
        <f t="shared" si="179"/>
        <v>5.5937187777688102</v>
      </c>
      <c r="M640" s="6">
        <f t="shared" si="180"/>
        <v>-10.073221437244264</v>
      </c>
      <c r="N640" s="6">
        <v>7966.49</v>
      </c>
      <c r="O640" s="6">
        <f t="shared" si="192"/>
        <v>5.3005229013889377</v>
      </c>
      <c r="P640" s="6">
        <f t="shared" si="181"/>
        <v>12.060781427594188</v>
      </c>
      <c r="Q640" s="6">
        <f t="shared" si="182"/>
        <v>-6.7602585262052504</v>
      </c>
      <c r="R640" s="6">
        <v>2.9</v>
      </c>
      <c r="S640" s="6">
        <f t="shared" si="193"/>
        <v>-13.432835820895528</v>
      </c>
      <c r="T640" s="6">
        <f t="shared" si="183"/>
        <v>20.884609918109728</v>
      </c>
      <c r="U640" s="6">
        <f t="shared" si="184"/>
        <v>-34.317445739005258</v>
      </c>
      <c r="V640" s="6">
        <v>101.19</v>
      </c>
      <c r="W640" s="6">
        <f t="shared" si="194"/>
        <v>-2.9166266909718908</v>
      </c>
      <c r="X640" s="6">
        <f t="shared" si="185"/>
        <v>9.1955811946593204</v>
      </c>
      <c r="Y640" s="6">
        <f t="shared" si="186"/>
        <v>-12.112207885631211</v>
      </c>
      <c r="Z640" s="6">
        <v>90.9</v>
      </c>
      <c r="AA640" s="6">
        <f t="shared" si="195"/>
        <v>-0.21953896816683249</v>
      </c>
      <c r="AB640" s="6">
        <f t="shared" si="187"/>
        <v>-0.95823799590331982</v>
      </c>
      <c r="AC640" s="6">
        <f t="shared" si="188"/>
        <v>0.73869902773648732</v>
      </c>
    </row>
    <row r="641" spans="1:29" x14ac:dyDescent="0.2">
      <c r="A641" t="s">
        <v>725</v>
      </c>
      <c r="B641" s="6">
        <v>884.52</v>
      </c>
      <c r="C641" s="6">
        <f t="shared" si="189"/>
        <v>-21.271028037383179</v>
      </c>
      <c r="D641" s="6">
        <f t="shared" ref="D641:D704" si="196">IF(COUNT(C593:C640)&lt;48,"",AVERAGE(C593:C640))</f>
        <v>5.9053149767485538</v>
      </c>
      <c r="E641" s="6">
        <f t="shared" ref="E641:E704" si="197">IF(OR(C641="",D641=""),"",C641-D641)</f>
        <v>-27.176343014131731</v>
      </c>
      <c r="F641" s="6">
        <v>92.77</v>
      </c>
      <c r="G641" s="6">
        <f t="shared" si="190"/>
        <v>-20.341748239738966</v>
      </c>
      <c r="H641" s="6">
        <f t="shared" ref="H641:H704" si="198">IF(COUNT(G593:G640)&lt;48,"",AVERAGE(G593:G640))</f>
        <v>0.48542025760705892</v>
      </c>
      <c r="I641" s="6">
        <f t="shared" ref="I641:I704" si="199">IF(OR(G641="",H641=""),"",G641-H641)</f>
        <v>-20.827168497346026</v>
      </c>
      <c r="J641" s="6">
        <v>17472.5</v>
      </c>
      <c r="K641" s="6">
        <f t="shared" si="191"/>
        <v>-11.998476940302005</v>
      </c>
      <c r="L641" s="6">
        <f t="shared" ref="L641:L704" si="200">IF(COUNT(K593:K640)&lt;48,"",AVERAGE(K593:K640))</f>
        <v>6.8073322059804928</v>
      </c>
      <c r="M641" s="6">
        <f t="shared" ref="M641:M704" si="201">IF(OR(K641="",L641=""),"",K641-L641)</f>
        <v>-18.805809146282499</v>
      </c>
      <c r="N641" s="6">
        <v>8047.36</v>
      </c>
      <c r="O641" s="6">
        <f t="shared" si="192"/>
        <v>8.5691508083485246E-2</v>
      </c>
      <c r="P641" s="6">
        <f t="shared" ref="P641:P704" si="202">IF(COUNT(O593:O640)&lt;48,"",AVERAGE(O593:O640))</f>
        <v>13.283036715698683</v>
      </c>
      <c r="Q641" s="6">
        <f t="shared" ref="Q641:Q704" si="203">IF(OR(O641="",P641=""),"",O641-P641)</f>
        <v>-13.197345207615198</v>
      </c>
      <c r="R641" s="6">
        <v>3.04</v>
      </c>
      <c r="S641" s="6">
        <f t="shared" si="193"/>
        <v>-13.142857142857146</v>
      </c>
      <c r="T641" s="6">
        <f t="shared" ref="T641:T704" si="204">IF(COUNT(S593:S640)&lt;48,"",AVERAGE(S593:S640))</f>
        <v>21.66803718013983</v>
      </c>
      <c r="U641" s="6">
        <f t="shared" ref="U641:U704" si="205">IF(OR(S641="",T641=""),"",S641-T641)</f>
        <v>-34.810894322996973</v>
      </c>
      <c r="V641" s="6">
        <v>105.1</v>
      </c>
      <c r="W641" s="6">
        <f t="shared" si="194"/>
        <v>-1.8399178107779912</v>
      </c>
      <c r="X641" s="6">
        <f t="shared" ref="X641:X704" si="206">IF(COUNT(W593:W640)&lt;48,"",AVERAGE(W593:W640))</f>
        <v>10.256075958079085</v>
      </c>
      <c r="Y641" s="6">
        <f t="shared" ref="Y641:Y704" si="207">IF(OR(W641="",X641=""),"",W641-X641)</f>
        <v>-12.095993768857078</v>
      </c>
      <c r="Z641" s="6">
        <v>91.6</v>
      </c>
      <c r="AA641" s="6">
        <f t="shared" si="195"/>
        <v>0.10928961748633004</v>
      </c>
      <c r="AB641" s="6">
        <f t="shared" ref="AB641:AB704" si="208">IF(COUNT(AA593:AA640)&lt;48,"",AVERAGE(AA593:AA640))</f>
        <v>-0.87791099295433961</v>
      </c>
      <c r="AC641" s="6">
        <f t="shared" ref="AC641:AC704" si="209">IF(OR(AA641="",AB641=""),"",AA641-AB641)</f>
        <v>0.98720061044066965</v>
      </c>
    </row>
    <row r="642" spans="1:29" x14ac:dyDescent="0.2">
      <c r="A642" t="s">
        <v>726</v>
      </c>
      <c r="B642" s="6">
        <v>919.58</v>
      </c>
      <c r="C642" s="6">
        <f t="shared" si="189"/>
        <v>-19.774918211559434</v>
      </c>
      <c r="D642" s="6">
        <f t="shared" si="196"/>
        <v>6.3228675151764717</v>
      </c>
      <c r="E642" s="6">
        <f t="shared" si="197"/>
        <v>-26.097785726735907</v>
      </c>
      <c r="F642" s="6">
        <v>94.94</v>
      </c>
      <c r="G642" s="6">
        <f t="shared" si="190"/>
        <v>-18.868569475303364</v>
      </c>
      <c r="H642" s="6">
        <f t="shared" si="198"/>
        <v>0.34206072059614817</v>
      </c>
      <c r="I642" s="6">
        <f t="shared" si="199"/>
        <v>-19.210630195899512</v>
      </c>
      <c r="J642" s="6">
        <v>17690.099999999999</v>
      </c>
      <c r="K642" s="6">
        <f t="shared" si="191"/>
        <v>-13.256907658111562</v>
      </c>
      <c r="L642" s="6">
        <f t="shared" si="200"/>
        <v>7.7899769618824353</v>
      </c>
      <c r="M642" s="6">
        <f t="shared" si="201"/>
        <v>-21.046884619993996</v>
      </c>
      <c r="N642" s="6">
        <v>8060.93</v>
      </c>
      <c r="O642" s="6">
        <f t="shared" si="192"/>
        <v>-4.5082088588625835</v>
      </c>
      <c r="P642" s="6">
        <f t="shared" si="202"/>
        <v>14.417900108465146</v>
      </c>
      <c r="Q642" s="6">
        <f t="shared" si="203"/>
        <v>-18.926108967327728</v>
      </c>
      <c r="R642" s="6">
        <v>3.04</v>
      </c>
      <c r="S642" s="6">
        <f t="shared" si="193"/>
        <v>-19.576719576719569</v>
      </c>
      <c r="T642" s="6">
        <f t="shared" si="204"/>
        <v>22.316493795987753</v>
      </c>
      <c r="U642" s="6">
        <f t="shared" si="205"/>
        <v>-41.893213372707322</v>
      </c>
      <c r="V642" s="6">
        <v>107.64</v>
      </c>
      <c r="W642" s="6">
        <f t="shared" si="194"/>
        <v>-4.4813204365959702</v>
      </c>
      <c r="X642" s="6">
        <f t="shared" si="206"/>
        <v>11.293524467134787</v>
      </c>
      <c r="Y642" s="6">
        <f t="shared" si="207"/>
        <v>-15.774844903730758</v>
      </c>
      <c r="Z642" s="6">
        <v>92.3</v>
      </c>
      <c r="AA642" s="6">
        <f t="shared" si="195"/>
        <v>1.317233809001106</v>
      </c>
      <c r="AB642" s="6">
        <f t="shared" si="208"/>
        <v>-0.7907333944709185</v>
      </c>
      <c r="AC642" s="6">
        <f t="shared" si="209"/>
        <v>2.1079672034720245</v>
      </c>
    </row>
    <row r="643" spans="1:29" x14ac:dyDescent="0.2">
      <c r="A643" t="s">
        <v>727</v>
      </c>
      <c r="B643" s="6">
        <v>891.5</v>
      </c>
      <c r="C643" s="6">
        <f t="shared" si="189"/>
        <v>-25.418709321197309</v>
      </c>
      <c r="D643" s="6">
        <f t="shared" si="196"/>
        <v>6.9175041427009987</v>
      </c>
      <c r="E643" s="6">
        <f t="shared" si="197"/>
        <v>-32.336213463898304</v>
      </c>
      <c r="F643" s="6">
        <v>90.98</v>
      </c>
      <c r="G643" s="6">
        <f t="shared" si="190"/>
        <v>-15.335938954029393</v>
      </c>
      <c r="H643" s="6">
        <f t="shared" si="198"/>
        <v>0.84258926056772998</v>
      </c>
      <c r="I643" s="6">
        <f t="shared" si="199"/>
        <v>-16.178528214597122</v>
      </c>
      <c r="J643" s="6">
        <v>16724.93</v>
      </c>
      <c r="K643" s="6">
        <f t="shared" si="191"/>
        <v>-10.37404056951441</v>
      </c>
      <c r="L643" s="6">
        <f t="shared" si="200"/>
        <v>8.8214308001980157</v>
      </c>
      <c r="M643" s="6">
        <f t="shared" si="201"/>
        <v>-19.195471369712426</v>
      </c>
      <c r="N643" s="6">
        <v>7645.58</v>
      </c>
      <c r="O643" s="6">
        <f t="shared" si="192"/>
        <v>-9.741723902639432</v>
      </c>
      <c r="P643" s="6">
        <f t="shared" si="202"/>
        <v>15.531810534252136</v>
      </c>
      <c r="Q643" s="6">
        <f t="shared" si="203"/>
        <v>-25.273534436891566</v>
      </c>
      <c r="R643" s="6">
        <v>2.8</v>
      </c>
      <c r="S643" s="6">
        <f t="shared" si="193"/>
        <v>-25.925925925925931</v>
      </c>
      <c r="T643" s="6">
        <f t="shared" si="204"/>
        <v>22.996268020492366</v>
      </c>
      <c r="U643" s="6">
        <f t="shared" si="205"/>
        <v>-48.922193946418297</v>
      </c>
      <c r="V643" s="6">
        <v>102.52</v>
      </c>
      <c r="W643" s="6">
        <f t="shared" si="194"/>
        <v>-12.963749044910443</v>
      </c>
      <c r="X643" s="6">
        <f t="shared" si="206"/>
        <v>12.350135070613547</v>
      </c>
      <c r="Y643" s="6">
        <f t="shared" si="207"/>
        <v>-25.31388411552399</v>
      </c>
      <c r="Z643" s="6">
        <v>92.1</v>
      </c>
      <c r="AA643" s="6">
        <f t="shared" si="195"/>
        <v>0.87623220153341119</v>
      </c>
      <c r="AB643" s="6">
        <f t="shared" si="208"/>
        <v>-0.70048783564687422</v>
      </c>
      <c r="AC643" s="6">
        <f t="shared" si="209"/>
        <v>1.5767200371802854</v>
      </c>
    </row>
    <row r="644" spans="1:29" x14ac:dyDescent="0.2">
      <c r="A644" t="s">
        <v>728</v>
      </c>
      <c r="B644" s="6">
        <v>874.17</v>
      </c>
      <c r="C644" s="6">
        <f t="shared" si="189"/>
        <v>-29.137247590405391</v>
      </c>
      <c r="D644" s="6">
        <f t="shared" si="196"/>
        <v>7.4721668743370229</v>
      </c>
      <c r="E644" s="6">
        <f t="shared" si="197"/>
        <v>-36.609414464742414</v>
      </c>
      <c r="F644" s="6">
        <v>87.76</v>
      </c>
      <c r="G644" s="6">
        <f t="shared" si="190"/>
        <v>-15.28139781832223</v>
      </c>
      <c r="H644" s="6">
        <f t="shared" si="198"/>
        <v>1.5317233723869748</v>
      </c>
      <c r="I644" s="6">
        <f t="shared" si="199"/>
        <v>-16.813121190709204</v>
      </c>
      <c r="J644" s="6">
        <v>15672.95</v>
      </c>
      <c r="K644" s="6">
        <f t="shared" si="191"/>
        <v>-12.635822381421413</v>
      </c>
      <c r="L644" s="6">
        <f t="shared" si="200"/>
        <v>10.041702121908902</v>
      </c>
      <c r="M644" s="6">
        <f t="shared" si="201"/>
        <v>-22.677524503330314</v>
      </c>
      <c r="N644" s="6">
        <v>7234.28</v>
      </c>
      <c r="O644" s="6">
        <f t="shared" si="192"/>
        <v>-12.72938712681616</v>
      </c>
      <c r="P644" s="6">
        <f t="shared" si="202"/>
        <v>16.486523467463183</v>
      </c>
      <c r="Q644" s="6">
        <f t="shared" si="203"/>
        <v>-29.215910594279343</v>
      </c>
      <c r="R644" s="6">
        <v>2.5</v>
      </c>
      <c r="S644" s="6">
        <f t="shared" si="193"/>
        <v>-31.693989071038253</v>
      </c>
      <c r="T644" s="6">
        <f t="shared" si="204"/>
        <v>23.551823576047923</v>
      </c>
      <c r="U644" s="6">
        <f t="shared" si="205"/>
        <v>-55.245812647086176</v>
      </c>
      <c r="V644" s="6">
        <v>98.85</v>
      </c>
      <c r="W644" s="6">
        <f t="shared" si="194"/>
        <v>-13.037740828714705</v>
      </c>
      <c r="X644" s="6">
        <f t="shared" si="206"/>
        <v>13.209074705757379</v>
      </c>
      <c r="Y644" s="6">
        <f t="shared" si="207"/>
        <v>-26.246815534472084</v>
      </c>
      <c r="Z644" s="6">
        <v>90.7</v>
      </c>
      <c r="AA644" s="6">
        <f t="shared" si="195"/>
        <v>-0.11013215859030367</v>
      </c>
      <c r="AB644" s="6">
        <f t="shared" si="208"/>
        <v>-0.64288357523979722</v>
      </c>
      <c r="AC644" s="6">
        <f t="shared" si="209"/>
        <v>0.53275141664949355</v>
      </c>
    </row>
    <row r="645" spans="1:29" x14ac:dyDescent="0.2">
      <c r="A645" t="s">
        <v>729</v>
      </c>
      <c r="B645" s="6">
        <v>879.47</v>
      </c>
      <c r="C645" s="6">
        <f t="shared" si="189"/>
        <v>-21.824888888888882</v>
      </c>
      <c r="D645" s="6">
        <f t="shared" si="196"/>
        <v>7.6864266090597262</v>
      </c>
      <c r="E645" s="6">
        <f t="shared" si="197"/>
        <v>-29.511315497948608</v>
      </c>
      <c r="F645" s="6">
        <v>87.71</v>
      </c>
      <c r="G645" s="6">
        <f t="shared" si="190"/>
        <v>-8.4733382030679376</v>
      </c>
      <c r="H645" s="6">
        <f t="shared" si="198"/>
        <v>2.2201359855892711</v>
      </c>
      <c r="I645" s="6">
        <f t="shared" si="199"/>
        <v>-10.693474188657209</v>
      </c>
      <c r="J645" s="6">
        <v>14947.96</v>
      </c>
      <c r="K645" s="6">
        <f t="shared" si="191"/>
        <v>-12.422113885537945</v>
      </c>
      <c r="L645" s="6">
        <f t="shared" si="200"/>
        <v>11.053029484410736</v>
      </c>
      <c r="M645" s="6">
        <f t="shared" si="201"/>
        <v>-23.475143369948682</v>
      </c>
      <c r="N645" s="6">
        <v>7249.41</v>
      </c>
      <c r="O645" s="6">
        <f t="shared" si="192"/>
        <v>-8.8770985112448635</v>
      </c>
      <c r="P645" s="6">
        <f t="shared" si="202"/>
        <v>17.247621915821188</v>
      </c>
      <c r="Q645" s="6">
        <f t="shared" si="203"/>
        <v>-26.124720427066052</v>
      </c>
      <c r="R645" s="6">
        <v>2.5099999999999998</v>
      </c>
      <c r="S645" s="6">
        <f t="shared" si="193"/>
        <v>-25.739644970414211</v>
      </c>
      <c r="T645" s="6">
        <f t="shared" si="204"/>
        <v>23.83289016175932</v>
      </c>
      <c r="U645" s="6">
        <f t="shared" si="205"/>
        <v>-49.572535132173527</v>
      </c>
      <c r="V645" s="6">
        <v>99.37</v>
      </c>
      <c r="W645" s="6">
        <f t="shared" si="194"/>
        <v>-4.5345374195407846</v>
      </c>
      <c r="X645" s="6">
        <f t="shared" si="206"/>
        <v>14.057658611350158</v>
      </c>
      <c r="Y645" s="6">
        <f t="shared" si="207"/>
        <v>-18.592196030890943</v>
      </c>
      <c r="Z645" s="6">
        <v>90.7</v>
      </c>
      <c r="AA645" s="6">
        <f t="shared" si="195"/>
        <v>-0.5482456140350922</v>
      </c>
      <c r="AB645" s="6">
        <f t="shared" si="208"/>
        <v>-0.64079664224863409</v>
      </c>
      <c r="AC645" s="6">
        <f t="shared" si="209"/>
        <v>9.2551028213541886E-2</v>
      </c>
    </row>
    <row r="646" spans="1:29" x14ac:dyDescent="0.2">
      <c r="A646" t="s">
        <v>730</v>
      </c>
      <c r="B646" s="6">
        <v>876.88</v>
      </c>
      <c r="C646" s="6">
        <f t="shared" si="189"/>
        <v>-14.678809815712146</v>
      </c>
      <c r="D646" s="6">
        <f t="shared" si="196"/>
        <v>7.9445462789388115</v>
      </c>
      <c r="E646" s="6">
        <f t="shared" si="197"/>
        <v>-22.623356094650958</v>
      </c>
      <c r="F646" s="6">
        <v>82.75</v>
      </c>
      <c r="G646" s="6">
        <f t="shared" si="190"/>
        <v>-5.0923271017318523</v>
      </c>
      <c r="H646" s="6">
        <f t="shared" si="198"/>
        <v>3.1181201183707015</v>
      </c>
      <c r="I646" s="6">
        <f t="shared" si="199"/>
        <v>-8.2104472201025533</v>
      </c>
      <c r="J646" s="6">
        <v>14280.28</v>
      </c>
      <c r="K646" s="6">
        <f t="shared" si="191"/>
        <v>-13.709836281522779</v>
      </c>
      <c r="L646" s="6">
        <f t="shared" si="200"/>
        <v>11.854744803330886</v>
      </c>
      <c r="M646" s="6">
        <f t="shared" si="201"/>
        <v>-25.564581084853664</v>
      </c>
      <c r="N646" s="6">
        <v>7000.24</v>
      </c>
      <c r="O646" s="6">
        <f t="shared" si="192"/>
        <v>-5.6955255408176253</v>
      </c>
      <c r="P646" s="6">
        <f t="shared" si="202"/>
        <v>18.010591263725278</v>
      </c>
      <c r="Q646" s="6">
        <f t="shared" si="203"/>
        <v>-23.706116804542901</v>
      </c>
      <c r="R646" s="6">
        <v>2.33</v>
      </c>
      <c r="S646" s="6">
        <f t="shared" si="193"/>
        <v>-18.531468531468519</v>
      </c>
      <c r="T646" s="6">
        <f t="shared" si="204"/>
        <v>24.282007918569377</v>
      </c>
      <c r="U646" s="6">
        <f t="shared" si="205"/>
        <v>-42.813476450037896</v>
      </c>
      <c r="V646" s="6">
        <v>99.74</v>
      </c>
      <c r="W646" s="6">
        <f t="shared" si="194"/>
        <v>9.930563209522747</v>
      </c>
      <c r="X646" s="6">
        <f t="shared" si="206"/>
        <v>15.058625217577855</v>
      </c>
      <c r="Y646" s="6">
        <f t="shared" si="207"/>
        <v>-5.1280620080551085</v>
      </c>
      <c r="Z646" s="6">
        <v>90.6</v>
      </c>
      <c r="AA646" s="6">
        <f t="shared" si="195"/>
        <v>-0.4395604395604491</v>
      </c>
      <c r="AB646" s="6">
        <f t="shared" si="208"/>
        <v>-0.6631948923302835</v>
      </c>
      <c r="AC646" s="6">
        <f t="shared" si="209"/>
        <v>0.2236344527698344</v>
      </c>
    </row>
    <row r="647" spans="1:29" x14ac:dyDescent="0.2">
      <c r="A647" t="s">
        <v>731</v>
      </c>
      <c r="B647" s="6">
        <v>827.09</v>
      </c>
      <c r="C647" s="6">
        <f t="shared" si="189"/>
        <v>-21.442004483112331</v>
      </c>
      <c r="D647" s="6">
        <f t="shared" si="196"/>
        <v>8.4517018639788599</v>
      </c>
      <c r="E647" s="6">
        <f t="shared" si="197"/>
        <v>-29.893706347091189</v>
      </c>
      <c r="F647" s="6">
        <v>77.260000000000005</v>
      </c>
      <c r="G647" s="6">
        <f t="shared" si="190"/>
        <v>-12.443336355394363</v>
      </c>
      <c r="H647" s="6">
        <f t="shared" si="198"/>
        <v>4.1644817179401246</v>
      </c>
      <c r="I647" s="6">
        <f t="shared" si="199"/>
        <v>-16.607818073334489</v>
      </c>
      <c r="J647" s="6">
        <v>13750.32</v>
      </c>
      <c r="K647" s="6">
        <f t="shared" si="191"/>
        <v>-14.744726851561929</v>
      </c>
      <c r="L647" s="6">
        <f t="shared" si="200"/>
        <v>12.270241997407178</v>
      </c>
      <c r="M647" s="6">
        <f t="shared" si="201"/>
        <v>-27.014968848969104</v>
      </c>
      <c r="N647" s="6">
        <v>6906.64</v>
      </c>
      <c r="O647" s="6">
        <f t="shared" si="192"/>
        <v>-8.9345565684720736</v>
      </c>
      <c r="P647" s="6">
        <f t="shared" si="202"/>
        <v>18.710741025136681</v>
      </c>
      <c r="Q647" s="6">
        <f t="shared" si="203"/>
        <v>-27.645297593608753</v>
      </c>
      <c r="R647" s="6">
        <v>2.2400000000000002</v>
      </c>
      <c r="S647" s="6">
        <f t="shared" si="193"/>
        <v>-22.491349480968857</v>
      </c>
      <c r="T647" s="6">
        <f t="shared" si="204"/>
        <v>24.973748486098597</v>
      </c>
      <c r="U647" s="6">
        <f t="shared" si="205"/>
        <v>-47.46509796706745</v>
      </c>
      <c r="V647" s="6">
        <v>105.26</v>
      </c>
      <c r="W647" s="6">
        <f t="shared" si="194"/>
        <v>8.7958656330749498</v>
      </c>
      <c r="X647" s="6">
        <f t="shared" si="206"/>
        <v>16.253479560598631</v>
      </c>
      <c r="Y647" s="6">
        <f t="shared" si="207"/>
        <v>-7.4576139275236812</v>
      </c>
      <c r="Z647" s="6">
        <v>91.8</v>
      </c>
      <c r="AA647" s="6">
        <f t="shared" si="195"/>
        <v>1.2127894156560126</v>
      </c>
      <c r="AB647" s="6">
        <f t="shared" si="208"/>
        <v>-0.63788152937472831</v>
      </c>
      <c r="AC647" s="6">
        <f t="shared" si="209"/>
        <v>1.8506709450307408</v>
      </c>
    </row>
    <row r="648" spans="1:29" x14ac:dyDescent="0.2">
      <c r="A648" t="s">
        <v>732</v>
      </c>
      <c r="B648" s="6">
        <v>819.29</v>
      </c>
      <c r="C648" s="6">
        <f t="shared" si="189"/>
        <v>-19.864433967800622</v>
      </c>
      <c r="D648" s="6">
        <f t="shared" si="196"/>
        <v>8.8891585381692213</v>
      </c>
      <c r="E648" s="6">
        <f t="shared" si="197"/>
        <v>-28.753592505969841</v>
      </c>
      <c r="F648" s="6">
        <v>76.959999999999994</v>
      </c>
      <c r="G648" s="6">
        <f t="shared" si="190"/>
        <v>-15.428571428571436</v>
      </c>
      <c r="H648" s="6">
        <f t="shared" si="198"/>
        <v>5.1344122105360723</v>
      </c>
      <c r="I648" s="6">
        <f t="shared" si="199"/>
        <v>-20.562983639107507</v>
      </c>
      <c r="J648" s="6">
        <v>14314.93</v>
      </c>
      <c r="K648" s="6">
        <f t="shared" si="191"/>
        <v>-9.0261267564906937</v>
      </c>
      <c r="L648" s="6">
        <f t="shared" si="200"/>
        <v>12.394566929162844</v>
      </c>
      <c r="M648" s="6">
        <f t="shared" si="201"/>
        <v>-21.420693685653539</v>
      </c>
      <c r="N648" s="6">
        <v>7192.92</v>
      </c>
      <c r="O648" s="6">
        <f t="shared" si="192"/>
        <v>-4.2925781681398378</v>
      </c>
      <c r="P648" s="6">
        <f t="shared" si="202"/>
        <v>19.316559503464312</v>
      </c>
      <c r="Q648" s="6">
        <f t="shared" si="203"/>
        <v>-23.609137671604149</v>
      </c>
      <c r="R648" s="6">
        <v>2.38</v>
      </c>
      <c r="S648" s="6">
        <f t="shared" si="193"/>
        <v>-8.4615384615384652</v>
      </c>
      <c r="T648" s="6">
        <f t="shared" si="204"/>
        <v>25.546845371911743</v>
      </c>
      <c r="U648" s="6">
        <f t="shared" si="205"/>
        <v>-34.00838383345021</v>
      </c>
      <c r="V648" s="6">
        <v>108.16</v>
      </c>
      <c r="W648" s="6">
        <f t="shared" si="194"/>
        <v>2.7453215540989895</v>
      </c>
      <c r="X648" s="6">
        <f t="shared" si="206"/>
        <v>17.505762370713278</v>
      </c>
      <c r="Y648" s="6">
        <f t="shared" si="207"/>
        <v>-14.760440816614288</v>
      </c>
      <c r="Z648" s="6">
        <v>91.6</v>
      </c>
      <c r="AA648" s="6">
        <f t="shared" si="195"/>
        <v>1.2154696132596676</v>
      </c>
      <c r="AB648" s="6">
        <f t="shared" si="208"/>
        <v>-0.61261508321522806</v>
      </c>
      <c r="AC648" s="6">
        <f t="shared" si="209"/>
        <v>1.8280846964748956</v>
      </c>
    </row>
    <row r="649" spans="1:29" x14ac:dyDescent="0.2">
      <c r="A649" t="s">
        <v>733</v>
      </c>
      <c r="B649" s="6">
        <v>826.25</v>
      </c>
      <c r="C649" s="6">
        <f t="shared" si="189"/>
        <v>-17.488865365795203</v>
      </c>
      <c r="D649" s="6">
        <f t="shared" si="196"/>
        <v>8.9456158480006813</v>
      </c>
      <c r="E649" s="6">
        <f t="shared" si="197"/>
        <v>-26.434481213795884</v>
      </c>
      <c r="F649" s="6">
        <v>77.61</v>
      </c>
      <c r="G649" s="6">
        <f t="shared" si="190"/>
        <v>-12.758543165467618</v>
      </c>
      <c r="H649" s="6">
        <f t="shared" si="198"/>
        <v>5.9427710970199596</v>
      </c>
      <c r="I649" s="6">
        <f t="shared" si="199"/>
        <v>-18.701314262487578</v>
      </c>
      <c r="J649" s="6">
        <v>13801.39</v>
      </c>
      <c r="K649" s="6">
        <f t="shared" si="191"/>
        <v>-20.167619545625971</v>
      </c>
      <c r="L649" s="6">
        <f t="shared" si="200"/>
        <v>12.12793430563922</v>
      </c>
      <c r="M649" s="6">
        <f t="shared" si="201"/>
        <v>-32.29555385126519</v>
      </c>
      <c r="N649" s="6">
        <v>7159.27</v>
      </c>
      <c r="O649" s="6">
        <f t="shared" si="192"/>
        <v>-11.479968446067746</v>
      </c>
      <c r="P649" s="6">
        <f t="shared" si="202"/>
        <v>19.628096120979581</v>
      </c>
      <c r="Q649" s="6">
        <f t="shared" si="203"/>
        <v>-31.108064567047329</v>
      </c>
      <c r="R649" s="6">
        <v>2.42</v>
      </c>
      <c r="S649" s="6">
        <f t="shared" si="193"/>
        <v>-12.318840579710145</v>
      </c>
      <c r="T649" s="6">
        <f t="shared" si="204"/>
        <v>26.136599975841605</v>
      </c>
      <c r="U649" s="6">
        <f t="shared" si="205"/>
        <v>-38.455440555551746</v>
      </c>
      <c r="V649" s="6">
        <v>108.76</v>
      </c>
      <c r="W649" s="6">
        <f t="shared" si="194"/>
        <v>2.3334587881068902</v>
      </c>
      <c r="X649" s="6">
        <f t="shared" si="206"/>
        <v>18.343774701321404</v>
      </c>
      <c r="Y649" s="6">
        <f t="shared" si="207"/>
        <v>-16.010315913214512</v>
      </c>
      <c r="Z649" s="6">
        <v>91.4</v>
      </c>
      <c r="AA649" s="6">
        <f t="shared" si="195"/>
        <v>0.88300220750552327</v>
      </c>
      <c r="AB649" s="6">
        <f t="shared" si="208"/>
        <v>-0.59833910572088655</v>
      </c>
      <c r="AC649" s="6">
        <f t="shared" si="209"/>
        <v>1.4813413132264097</v>
      </c>
    </row>
    <row r="650" spans="1:29" x14ac:dyDescent="0.2">
      <c r="A650" t="s">
        <v>734</v>
      </c>
      <c r="B650" s="6">
        <v>859.66</v>
      </c>
      <c r="C650" s="6">
        <f t="shared" si="189"/>
        <v>-2.9729119638826185</v>
      </c>
      <c r="D650" s="6">
        <f t="shared" si="196"/>
        <v>8.8893936275577179</v>
      </c>
      <c r="E650" s="6">
        <f t="shared" si="197"/>
        <v>-11.862305591440336</v>
      </c>
      <c r="F650" s="6">
        <v>79.41</v>
      </c>
      <c r="G650" s="6">
        <f t="shared" si="190"/>
        <v>-2.9810629199755634</v>
      </c>
      <c r="H650" s="6">
        <f t="shared" si="198"/>
        <v>6.8208570032949396</v>
      </c>
      <c r="I650" s="6">
        <f t="shared" si="199"/>
        <v>-9.8019199232705034</v>
      </c>
      <c r="J650" s="6">
        <v>14117.65</v>
      </c>
      <c r="K650" s="6">
        <f t="shared" si="191"/>
        <v>-17.771193459741376</v>
      </c>
      <c r="L650" s="6">
        <f t="shared" si="200"/>
        <v>11.745400615097241</v>
      </c>
      <c r="M650" s="6">
        <f t="shared" si="201"/>
        <v>-29.516594074838615</v>
      </c>
      <c r="N650" s="6">
        <v>7203.02</v>
      </c>
      <c r="O650" s="6">
        <f t="shared" si="192"/>
        <v>-10.655008726090076</v>
      </c>
      <c r="P650" s="6">
        <f t="shared" si="202"/>
        <v>19.625676735134832</v>
      </c>
      <c r="Q650" s="6">
        <f t="shared" si="203"/>
        <v>-30.280685461224905</v>
      </c>
      <c r="R650" s="6">
        <v>2.3199999999999998</v>
      </c>
      <c r="S650" s="6">
        <f t="shared" si="193"/>
        <v>-21.355932203389838</v>
      </c>
      <c r="T650" s="6">
        <f t="shared" si="204"/>
        <v>26.42859328820084</v>
      </c>
      <c r="U650" s="6">
        <f t="shared" si="205"/>
        <v>-47.784525491590678</v>
      </c>
      <c r="V650" s="6">
        <v>105.43</v>
      </c>
      <c r="W650" s="6">
        <f t="shared" si="194"/>
        <v>1.9533894207523606</v>
      </c>
      <c r="X650" s="6">
        <f t="shared" si="206"/>
        <v>19.046905450623772</v>
      </c>
      <c r="Y650" s="6">
        <f t="shared" si="207"/>
        <v>-17.09351602987141</v>
      </c>
      <c r="Z650" s="6">
        <v>90.5</v>
      </c>
      <c r="AA650" s="6">
        <f t="shared" si="195"/>
        <v>-0.65861690450054189</v>
      </c>
      <c r="AB650" s="6">
        <f t="shared" si="208"/>
        <v>-0.60881671609223986</v>
      </c>
      <c r="AC650" s="6">
        <f t="shared" si="209"/>
        <v>-4.9800188408302026E-2</v>
      </c>
    </row>
    <row r="651" spans="1:29" x14ac:dyDescent="0.2">
      <c r="A651" t="s">
        <v>735</v>
      </c>
      <c r="B651" s="6">
        <v>904.05</v>
      </c>
      <c r="C651" s="6">
        <f t="shared" si="189"/>
        <v>4.734817766862065</v>
      </c>
      <c r="D651" s="6">
        <f t="shared" si="196"/>
        <v>8.5361026070754029</v>
      </c>
      <c r="E651" s="6">
        <f t="shared" si="197"/>
        <v>-3.8012848402133379</v>
      </c>
      <c r="F651" s="6">
        <v>82.25</v>
      </c>
      <c r="G651" s="6">
        <f t="shared" si="190"/>
        <v>-4.2379788101059468</v>
      </c>
      <c r="H651" s="6">
        <f t="shared" si="198"/>
        <v>7.4711357850547087</v>
      </c>
      <c r="I651" s="6">
        <f t="shared" si="199"/>
        <v>-11.709114595160656</v>
      </c>
      <c r="J651" s="6">
        <v>13684.01</v>
      </c>
      <c r="K651" s="6">
        <f t="shared" si="191"/>
        <v>-16.230741165177875</v>
      </c>
      <c r="L651" s="6">
        <f t="shared" si="200"/>
        <v>10.279346832033939</v>
      </c>
      <c r="M651" s="6">
        <f t="shared" si="201"/>
        <v>-26.510087997211812</v>
      </c>
      <c r="N651" s="6">
        <v>7070.65</v>
      </c>
      <c r="O651" s="6">
        <f t="shared" si="192"/>
        <v>-8.3071053515457294</v>
      </c>
      <c r="P651" s="6">
        <f t="shared" si="202"/>
        <v>18.827518704795228</v>
      </c>
      <c r="Q651" s="6">
        <f t="shared" si="203"/>
        <v>-27.134624056340957</v>
      </c>
      <c r="R651" s="6">
        <v>2.2999999999999998</v>
      </c>
      <c r="S651" s="6">
        <f t="shared" si="193"/>
        <v>-17.857142857142861</v>
      </c>
      <c r="T651" s="6">
        <f t="shared" si="204"/>
        <v>25.535649360128428</v>
      </c>
      <c r="U651" s="6">
        <f t="shared" si="205"/>
        <v>-43.392792217271293</v>
      </c>
      <c r="V651" s="6">
        <v>102.63</v>
      </c>
      <c r="W651" s="6">
        <f t="shared" si="194"/>
        <v>1.4431155480873814</v>
      </c>
      <c r="X651" s="6">
        <f t="shared" si="206"/>
        <v>19.047762938183524</v>
      </c>
      <c r="Y651" s="6">
        <f t="shared" si="207"/>
        <v>-17.604647390096144</v>
      </c>
      <c r="Z651" s="6">
        <v>90.5</v>
      </c>
      <c r="AA651" s="6">
        <f t="shared" si="195"/>
        <v>-0.44004400440044167</v>
      </c>
      <c r="AB651" s="6">
        <f t="shared" si="208"/>
        <v>-0.63613964262551848</v>
      </c>
      <c r="AC651" s="6">
        <f t="shared" si="209"/>
        <v>0.19609563822507681</v>
      </c>
    </row>
    <row r="652" spans="1:29" x14ac:dyDescent="0.2">
      <c r="A652" t="s">
        <v>736</v>
      </c>
      <c r="B652" s="6">
        <v>886.25</v>
      </c>
      <c r="C652" s="6">
        <f t="shared" si="189"/>
        <v>5.0619406081441554</v>
      </c>
      <c r="D652" s="6">
        <f t="shared" si="196"/>
        <v>7.9821281564298312</v>
      </c>
      <c r="E652" s="6">
        <f t="shared" si="197"/>
        <v>-2.9201875482856758</v>
      </c>
      <c r="F652" s="6">
        <v>84.34</v>
      </c>
      <c r="G652" s="6">
        <f t="shared" si="190"/>
        <v>-9.194659776055115</v>
      </c>
      <c r="H652" s="6">
        <f t="shared" si="198"/>
        <v>7.6865934306662105</v>
      </c>
      <c r="I652" s="6">
        <f t="shared" si="199"/>
        <v>-16.881253206721325</v>
      </c>
      <c r="J652" s="6">
        <v>13924.55</v>
      </c>
      <c r="K652" s="6">
        <f t="shared" si="191"/>
        <v>-20.196291944866328</v>
      </c>
      <c r="L652" s="6">
        <f t="shared" si="200"/>
        <v>8.7167499286030523</v>
      </c>
      <c r="M652" s="6">
        <f t="shared" si="201"/>
        <v>-28.913041873469382</v>
      </c>
      <c r="N652" s="6">
        <v>7214.9</v>
      </c>
      <c r="O652" s="6">
        <f t="shared" si="192"/>
        <v>-9.4343933149982018</v>
      </c>
      <c r="P652" s="6">
        <f t="shared" si="202"/>
        <v>16.996194661034036</v>
      </c>
      <c r="Q652" s="6">
        <f t="shared" si="203"/>
        <v>-26.430587976032236</v>
      </c>
      <c r="R652" s="6">
        <v>2.31</v>
      </c>
      <c r="S652" s="6">
        <f t="shared" si="193"/>
        <v>-20.344827586206893</v>
      </c>
      <c r="T652" s="6">
        <f t="shared" si="204"/>
        <v>24.044798390110795</v>
      </c>
      <c r="U652" s="6">
        <f t="shared" si="205"/>
        <v>-44.389625976317689</v>
      </c>
      <c r="V652" s="6">
        <v>105.48</v>
      </c>
      <c r="W652" s="6">
        <f t="shared" si="194"/>
        <v>4.2395493625852376</v>
      </c>
      <c r="X652" s="6">
        <f t="shared" si="206"/>
        <v>18.167599941044013</v>
      </c>
      <c r="Y652" s="6">
        <f t="shared" si="207"/>
        <v>-13.928050578458777</v>
      </c>
      <c r="Z652" s="6">
        <v>90.3</v>
      </c>
      <c r="AA652" s="6">
        <f t="shared" si="195"/>
        <v>-0.66006600660066805</v>
      </c>
      <c r="AB652" s="6">
        <f t="shared" si="208"/>
        <v>-0.65664201023623725</v>
      </c>
      <c r="AC652" s="6">
        <f t="shared" si="209"/>
        <v>-3.4239963644308036E-3</v>
      </c>
    </row>
    <row r="653" spans="1:29" x14ac:dyDescent="0.2">
      <c r="A653" t="s">
        <v>737</v>
      </c>
      <c r="B653" s="6">
        <v>862.63</v>
      </c>
      <c r="C653" s="6">
        <f t="shared" si="189"/>
        <v>-2.474788585899701</v>
      </c>
      <c r="D653" s="6">
        <f t="shared" si="196"/>
        <v>7.2554084592988524</v>
      </c>
      <c r="E653" s="6">
        <f t="shared" si="197"/>
        <v>-9.7301970451985529</v>
      </c>
      <c r="F653" s="6">
        <v>81.61</v>
      </c>
      <c r="G653" s="6">
        <f t="shared" si="190"/>
        <v>-12.029750997089572</v>
      </c>
      <c r="H653" s="6">
        <f t="shared" si="198"/>
        <v>7.3771634689723307</v>
      </c>
      <c r="I653" s="6">
        <f t="shared" si="199"/>
        <v>-19.406914466061902</v>
      </c>
      <c r="J653" s="6">
        <v>14101.25</v>
      </c>
      <c r="K653" s="6">
        <f t="shared" si="191"/>
        <v>-19.29460580912863</v>
      </c>
      <c r="L653" s="6">
        <f t="shared" si="200"/>
        <v>6.7087217554622249</v>
      </c>
      <c r="M653" s="6">
        <f t="shared" si="201"/>
        <v>-26.003327564590855</v>
      </c>
      <c r="N653" s="6">
        <v>7291.47</v>
      </c>
      <c r="O653" s="6">
        <f t="shared" si="192"/>
        <v>-9.3930183314776432</v>
      </c>
      <c r="P653" s="6">
        <f t="shared" si="202"/>
        <v>14.148172188721063</v>
      </c>
      <c r="Q653" s="6">
        <f t="shared" si="203"/>
        <v>-23.541190520198704</v>
      </c>
      <c r="R653" s="6">
        <v>2.14</v>
      </c>
      <c r="S653" s="6">
        <f t="shared" si="193"/>
        <v>-29.605263157894733</v>
      </c>
      <c r="T653" s="6">
        <f t="shared" si="204"/>
        <v>20.778433691104357</v>
      </c>
      <c r="U653" s="6">
        <f t="shared" si="205"/>
        <v>-50.383696848999094</v>
      </c>
      <c r="V653" s="6">
        <v>102.1</v>
      </c>
      <c r="W653" s="6">
        <f t="shared" si="194"/>
        <v>-2.8544243577545148</v>
      </c>
      <c r="X653" s="6">
        <f t="shared" si="206"/>
        <v>16.565672313770829</v>
      </c>
      <c r="Y653" s="6">
        <f t="shared" si="207"/>
        <v>-19.420096671525343</v>
      </c>
      <c r="Z653" s="6">
        <v>89.7</v>
      </c>
      <c r="AA653" s="6">
        <f t="shared" si="195"/>
        <v>-2.0742358078602474</v>
      </c>
      <c r="AB653" s="6">
        <f t="shared" si="208"/>
        <v>-0.66585453279568274</v>
      </c>
      <c r="AC653" s="6">
        <f t="shared" si="209"/>
        <v>-1.4083812750645648</v>
      </c>
    </row>
    <row r="654" spans="1:29" x14ac:dyDescent="0.2">
      <c r="A654" t="s">
        <v>738</v>
      </c>
      <c r="B654" s="6">
        <v>904.34</v>
      </c>
      <c r="C654" s="6">
        <f t="shared" si="189"/>
        <v>-1.6572783227125409</v>
      </c>
      <c r="D654" s="6">
        <f t="shared" si="196"/>
        <v>6.6586816850965578</v>
      </c>
      <c r="E654" s="6">
        <f t="shared" si="197"/>
        <v>-8.3159600078090996</v>
      </c>
      <c r="F654" s="6">
        <v>76.290000000000006</v>
      </c>
      <c r="G654" s="6">
        <f t="shared" si="190"/>
        <v>-19.643985675163258</v>
      </c>
      <c r="H654" s="6">
        <f t="shared" si="198"/>
        <v>6.664746847129102</v>
      </c>
      <c r="I654" s="6">
        <f t="shared" si="199"/>
        <v>-26.30873252229236</v>
      </c>
      <c r="J654" s="6">
        <v>14203.55</v>
      </c>
      <c r="K654" s="6">
        <f t="shared" si="191"/>
        <v>-19.70904630273429</v>
      </c>
      <c r="L654" s="6">
        <f t="shared" si="200"/>
        <v>4.9925949736806752</v>
      </c>
      <c r="M654" s="6">
        <f t="shared" si="201"/>
        <v>-24.701641276414964</v>
      </c>
      <c r="N654" s="6">
        <v>7149.21</v>
      </c>
      <c r="O654" s="6">
        <f t="shared" si="192"/>
        <v>-11.310357489768553</v>
      </c>
      <c r="P654" s="6">
        <f t="shared" si="202"/>
        <v>11.257953010726553</v>
      </c>
      <c r="Q654" s="6">
        <f t="shared" si="203"/>
        <v>-22.568310500495105</v>
      </c>
      <c r="R654" s="6">
        <v>1.9</v>
      </c>
      <c r="S654" s="6">
        <f t="shared" si="193"/>
        <v>-37.5</v>
      </c>
      <c r="T654" s="6">
        <f t="shared" si="204"/>
        <v>17.753264940326719</v>
      </c>
      <c r="U654" s="6">
        <f t="shared" si="205"/>
        <v>-55.253264940326716</v>
      </c>
      <c r="V654" s="6">
        <v>104.83</v>
      </c>
      <c r="W654" s="6">
        <f t="shared" si="194"/>
        <v>-2.6105536975102206</v>
      </c>
      <c r="X654" s="6">
        <f t="shared" si="206"/>
        <v>14.926367778349833</v>
      </c>
      <c r="Y654" s="6">
        <f t="shared" si="207"/>
        <v>-17.536921475860055</v>
      </c>
      <c r="Z654" s="6">
        <v>89.7</v>
      </c>
      <c r="AA654" s="6">
        <f t="shared" si="195"/>
        <v>-2.8169014084507005</v>
      </c>
      <c r="AB654" s="6">
        <f t="shared" si="208"/>
        <v>-0.71587605765987339</v>
      </c>
      <c r="AC654" s="6">
        <f t="shared" si="209"/>
        <v>-2.101025350790827</v>
      </c>
    </row>
    <row r="655" spans="1:29" x14ac:dyDescent="0.2">
      <c r="A655" t="s">
        <v>739</v>
      </c>
      <c r="B655" s="6">
        <v>953.81</v>
      </c>
      <c r="C655" s="6">
        <f t="shared" si="189"/>
        <v>6.9893438025799171</v>
      </c>
      <c r="D655" s="6">
        <f t="shared" si="196"/>
        <v>6.0701967009752869</v>
      </c>
      <c r="E655" s="6">
        <f t="shared" si="197"/>
        <v>0.9191471016046302</v>
      </c>
      <c r="F655" s="6">
        <v>73.34</v>
      </c>
      <c r="G655" s="6">
        <f t="shared" si="190"/>
        <v>-19.388876676192567</v>
      </c>
      <c r="H655" s="6">
        <f t="shared" si="198"/>
        <v>5.7356311333583685</v>
      </c>
      <c r="I655" s="6">
        <f t="shared" si="199"/>
        <v>-25.124507809550934</v>
      </c>
      <c r="J655" s="6">
        <v>15678.1</v>
      </c>
      <c r="K655" s="6">
        <f t="shared" si="191"/>
        <v>-6.2590994401770299</v>
      </c>
      <c r="L655" s="6">
        <f t="shared" si="200"/>
        <v>2.8672366299322523</v>
      </c>
      <c r="M655" s="6">
        <f t="shared" si="201"/>
        <v>-9.1263360701092822</v>
      </c>
      <c r="N655" s="6">
        <v>6650.04</v>
      </c>
      <c r="O655" s="6">
        <f t="shared" si="192"/>
        <v>-13.02111808391253</v>
      </c>
      <c r="P655" s="6">
        <f t="shared" si="202"/>
        <v>8.8015200252215671</v>
      </c>
      <c r="Q655" s="6">
        <f t="shared" si="203"/>
        <v>-21.822638109134097</v>
      </c>
      <c r="R655" s="6">
        <v>1.93</v>
      </c>
      <c r="S655" s="6">
        <f t="shared" si="193"/>
        <v>-31.071428571428573</v>
      </c>
      <c r="T655" s="6">
        <f t="shared" si="204"/>
        <v>14.119450837762608</v>
      </c>
      <c r="U655" s="6">
        <f t="shared" si="205"/>
        <v>-45.190879409191183</v>
      </c>
      <c r="V655" s="6">
        <v>104.04</v>
      </c>
      <c r="W655" s="6">
        <f t="shared" si="194"/>
        <v>1.4826375341396858</v>
      </c>
      <c r="X655" s="6">
        <f t="shared" si="206"/>
        <v>13.232800235974203</v>
      </c>
      <c r="Y655" s="6">
        <f t="shared" si="207"/>
        <v>-11.750162701834517</v>
      </c>
      <c r="Z655" s="6">
        <v>89.7</v>
      </c>
      <c r="AA655" s="6">
        <f t="shared" si="195"/>
        <v>-2.6058631921824005</v>
      </c>
      <c r="AB655" s="6">
        <f t="shared" si="208"/>
        <v>-0.7433003389675843</v>
      </c>
      <c r="AC655" s="6">
        <f t="shared" si="209"/>
        <v>-1.8625628532148162</v>
      </c>
    </row>
    <row r="656" spans="1:29" x14ac:dyDescent="0.2">
      <c r="A656" t="s">
        <v>740</v>
      </c>
      <c r="B656" s="6">
        <v>926.63</v>
      </c>
      <c r="C656" s="6">
        <f t="shared" si="189"/>
        <v>6.001121063408732</v>
      </c>
      <c r="D656" s="6">
        <f t="shared" si="196"/>
        <v>5.5775411636743835</v>
      </c>
      <c r="E656" s="6">
        <f t="shared" si="197"/>
        <v>0.42357989973434851</v>
      </c>
      <c r="F656" s="6">
        <v>72.819999999999993</v>
      </c>
      <c r="G656" s="6">
        <f t="shared" si="190"/>
        <v>-17.023701002734747</v>
      </c>
      <c r="H656" s="6">
        <f t="shared" si="198"/>
        <v>4.1916688801999848</v>
      </c>
      <c r="I656" s="6">
        <f t="shared" si="199"/>
        <v>-21.215369882934731</v>
      </c>
      <c r="J656" s="6">
        <v>17373.599999999999</v>
      </c>
      <c r="K656" s="6">
        <f t="shared" si="191"/>
        <v>10.850860878137158</v>
      </c>
      <c r="L656" s="6">
        <f t="shared" si="200"/>
        <v>-5.8012966877949807E-3</v>
      </c>
      <c r="M656" s="6">
        <f t="shared" si="201"/>
        <v>10.856662174824953</v>
      </c>
      <c r="N656" s="6">
        <v>6673.56</v>
      </c>
      <c r="O656" s="6">
        <f t="shared" si="192"/>
        <v>-7.7508750006911491</v>
      </c>
      <c r="P656" s="6">
        <f t="shared" si="202"/>
        <v>6.4672869789343066</v>
      </c>
      <c r="Q656" s="6">
        <f t="shared" si="203"/>
        <v>-14.218161979625457</v>
      </c>
      <c r="R656" s="6">
        <v>1.78</v>
      </c>
      <c r="S656" s="6">
        <f t="shared" si="193"/>
        <v>-28.800000000000004</v>
      </c>
      <c r="T656" s="6">
        <f t="shared" si="204"/>
        <v>10.379681492524512</v>
      </c>
      <c r="U656" s="6">
        <f t="shared" si="205"/>
        <v>-39.179681492524516</v>
      </c>
      <c r="V656" s="6">
        <v>104.87</v>
      </c>
      <c r="W656" s="6">
        <f t="shared" si="194"/>
        <v>6.0900354071826035</v>
      </c>
      <c r="X656" s="6">
        <f t="shared" si="206"/>
        <v>11.805578478635697</v>
      </c>
      <c r="Y656" s="6">
        <f t="shared" si="207"/>
        <v>-5.7155430714530935</v>
      </c>
      <c r="Z656" s="6">
        <v>89.5</v>
      </c>
      <c r="AA656" s="6">
        <f t="shared" si="195"/>
        <v>-1.3230429988974723</v>
      </c>
      <c r="AB656" s="6">
        <f t="shared" si="208"/>
        <v>-0.75302587561398704</v>
      </c>
      <c r="AC656" s="6">
        <f t="shared" si="209"/>
        <v>-0.57001712328348531</v>
      </c>
    </row>
    <row r="657" spans="1:29" x14ac:dyDescent="0.2">
      <c r="A657" t="s">
        <v>741</v>
      </c>
      <c r="B657" s="6">
        <v>898.42</v>
      </c>
      <c r="C657" s="6">
        <f t="shared" ref="C657:C720" si="210">IF(OR(B657="",B645=""),"",(B657/B645-1)*100)</f>
        <v>2.1547068120572499</v>
      </c>
      <c r="D657" s="6">
        <f t="shared" si="196"/>
        <v>5.5384144212086666</v>
      </c>
      <c r="E657" s="6">
        <f t="shared" si="197"/>
        <v>-3.3837076091514167</v>
      </c>
      <c r="F657" s="6">
        <v>73.69</v>
      </c>
      <c r="G657" s="6">
        <f t="shared" ref="G657:G720" si="211">IF(OR(F657="",F645=""),"",(F657/F645-1)*100)</f>
        <v>-15.984494356401779</v>
      </c>
      <c r="H657" s="6">
        <f t="shared" si="198"/>
        <v>2.6376823465658128</v>
      </c>
      <c r="I657" s="6">
        <f t="shared" si="199"/>
        <v>-18.622176702967593</v>
      </c>
      <c r="J657" s="6">
        <v>19401.080000000002</v>
      </c>
      <c r="K657" s="6">
        <f t="shared" ref="K657:K720" si="212">IF(OR(J657="",J645=""),"",(J657/J645-1)*100)</f>
        <v>29.790820954832654</v>
      </c>
      <c r="L657" s="6">
        <f t="shared" si="200"/>
        <v>-2.5531815272887268</v>
      </c>
      <c r="M657" s="6">
        <f t="shared" si="201"/>
        <v>32.344002482121383</v>
      </c>
      <c r="N657" s="6">
        <v>6891.13</v>
      </c>
      <c r="O657" s="6">
        <f t="shared" ref="O657:O720" si="213">IF(OR(N657="",N645=""),"",(N657/N645-1)*100)</f>
        <v>-4.9421952958930371</v>
      </c>
      <c r="P657" s="6">
        <f t="shared" si="202"/>
        <v>4.7274166994909441</v>
      </c>
      <c r="Q657" s="6">
        <f t="shared" si="203"/>
        <v>-9.6696119953839812</v>
      </c>
      <c r="R657" s="6">
        <v>1.69</v>
      </c>
      <c r="S657" s="6">
        <f t="shared" ref="S657:S720" si="214">IF(OR(R657="",R645=""),"",(R657/R645-1)*100)</f>
        <v>-32.669322709163339</v>
      </c>
      <c r="T657" s="6">
        <f t="shared" si="204"/>
        <v>7.2458977087407197</v>
      </c>
      <c r="U657" s="6">
        <f t="shared" si="205"/>
        <v>-39.91522041790406</v>
      </c>
      <c r="V657" s="6">
        <v>105.71</v>
      </c>
      <c r="W657" s="6">
        <f t="shared" ref="W657:W720" si="215">IF(OR(V657="",V645=""),"",(V657/V645-1)*100)</f>
        <v>6.3801952299486597</v>
      </c>
      <c r="X657" s="6">
        <f t="shared" si="206"/>
        <v>10.527820166961545</v>
      </c>
      <c r="Y657" s="6">
        <f t="shared" si="207"/>
        <v>-4.1476249370128855</v>
      </c>
      <c r="Z657" s="6">
        <v>89.8</v>
      </c>
      <c r="AA657" s="6">
        <f t="shared" ref="AA657:AA720" si="216">IF(OR(Z657="",Z645=""),"",(Z657/Z645-1)*100)</f>
        <v>-0.99228224917310426</v>
      </c>
      <c r="AB657" s="6">
        <f t="shared" si="208"/>
        <v>-0.70375400623292128</v>
      </c>
      <c r="AC657" s="6">
        <f t="shared" si="209"/>
        <v>-0.28852824294018298</v>
      </c>
    </row>
    <row r="658" spans="1:29" x14ac:dyDescent="0.2">
      <c r="A658" t="s">
        <v>742</v>
      </c>
      <c r="B658" s="6">
        <v>861.88</v>
      </c>
      <c r="C658" s="6">
        <f t="shared" si="210"/>
        <v>-1.7106103457713684</v>
      </c>
      <c r="D658" s="6">
        <f t="shared" si="196"/>
        <v>5.6246074396454366</v>
      </c>
      <c r="E658" s="6">
        <f t="shared" si="197"/>
        <v>-7.3352177854168055</v>
      </c>
      <c r="F658" s="6">
        <v>71.48</v>
      </c>
      <c r="G658" s="6">
        <f t="shared" si="211"/>
        <v>-13.619335347432015</v>
      </c>
      <c r="H658" s="6">
        <f t="shared" si="198"/>
        <v>1.1538322541924606</v>
      </c>
      <c r="I658" s="6">
        <f t="shared" si="199"/>
        <v>-14.773167601624476</v>
      </c>
      <c r="J658" s="6">
        <v>18628.810000000001</v>
      </c>
      <c r="K658" s="6">
        <f t="shared" si="212"/>
        <v>30.451293672112879</v>
      </c>
      <c r="L658" s="6">
        <f t="shared" si="200"/>
        <v>-3.4781160115775749</v>
      </c>
      <c r="M658" s="6">
        <f t="shared" si="201"/>
        <v>33.929409683690452</v>
      </c>
      <c r="N658" s="6">
        <v>6821.14</v>
      </c>
      <c r="O658" s="6">
        <f t="shared" si="213"/>
        <v>-2.5584837091299661</v>
      </c>
      <c r="P658" s="6">
        <f t="shared" si="202"/>
        <v>3.5897485979727475</v>
      </c>
      <c r="Q658" s="6">
        <f t="shared" si="203"/>
        <v>-6.1482323071027132</v>
      </c>
      <c r="R658" s="6">
        <v>1.71</v>
      </c>
      <c r="S658" s="6">
        <f t="shared" si="214"/>
        <v>-26.60944206008584</v>
      </c>
      <c r="T658" s="6">
        <f t="shared" si="204"/>
        <v>4.7891116052912759</v>
      </c>
      <c r="U658" s="6">
        <f t="shared" si="205"/>
        <v>-31.398553665377115</v>
      </c>
      <c r="V658" s="6">
        <v>108.37</v>
      </c>
      <c r="W658" s="6">
        <f t="shared" si="215"/>
        <v>8.6524964908762936</v>
      </c>
      <c r="X658" s="6">
        <f t="shared" si="206"/>
        <v>10.034845228806457</v>
      </c>
      <c r="Y658" s="6">
        <f t="shared" si="207"/>
        <v>-1.3823487379301636</v>
      </c>
      <c r="Z658" s="6">
        <v>89.9</v>
      </c>
      <c r="AA658" s="6">
        <f t="shared" si="216"/>
        <v>-0.77262693156732176</v>
      </c>
      <c r="AB658" s="6">
        <f t="shared" si="208"/>
        <v>-0.62397232527797597</v>
      </c>
      <c r="AC658" s="6">
        <f t="shared" si="209"/>
        <v>-0.14865460628934579</v>
      </c>
    </row>
    <row r="659" spans="1:29" x14ac:dyDescent="0.2">
      <c r="A659" t="s">
        <v>743</v>
      </c>
      <c r="B659" s="6">
        <v>853.69</v>
      </c>
      <c r="C659" s="6">
        <f t="shared" si="210"/>
        <v>3.216094983617257</v>
      </c>
      <c r="D659" s="6">
        <f t="shared" si="196"/>
        <v>5.4909283327292036</v>
      </c>
      <c r="E659" s="6">
        <f t="shared" si="197"/>
        <v>-2.2748333491119466</v>
      </c>
      <c r="F659" s="6">
        <v>68.75</v>
      </c>
      <c r="G659" s="6">
        <f t="shared" si="211"/>
        <v>-11.014755371472951</v>
      </c>
      <c r="H659" s="6">
        <f t="shared" si="198"/>
        <v>8.7605674297389011E-2</v>
      </c>
      <c r="I659" s="6">
        <f t="shared" si="199"/>
        <v>-11.102361045770341</v>
      </c>
      <c r="J659" s="6">
        <v>19117.650000000001</v>
      </c>
      <c r="K659" s="6">
        <f t="shared" si="212"/>
        <v>39.034218839997912</v>
      </c>
      <c r="L659" s="6">
        <f t="shared" si="200"/>
        <v>-3.4603645507686918</v>
      </c>
      <c r="M659" s="6">
        <f t="shared" si="201"/>
        <v>42.494583390766607</v>
      </c>
      <c r="N659" s="6">
        <v>7113.38</v>
      </c>
      <c r="O659" s="6">
        <f t="shared" si="213"/>
        <v>2.9933513256807931</v>
      </c>
      <c r="P659" s="6">
        <f t="shared" si="202"/>
        <v>2.9192783219075675</v>
      </c>
      <c r="Q659" s="6">
        <f t="shared" si="203"/>
        <v>7.4073003773225565E-2</v>
      </c>
      <c r="R659" s="6">
        <v>1.7</v>
      </c>
      <c r="S659" s="6">
        <f t="shared" si="214"/>
        <v>-24.107142857142872</v>
      </c>
      <c r="T659" s="6">
        <f t="shared" si="204"/>
        <v>2.3692798194534324</v>
      </c>
      <c r="U659" s="6">
        <f t="shared" si="205"/>
        <v>-26.476422676596304</v>
      </c>
      <c r="V659" s="6">
        <v>105.23</v>
      </c>
      <c r="W659" s="6">
        <f t="shared" si="215"/>
        <v>-2.8500855025648253E-2</v>
      </c>
      <c r="X659" s="6">
        <f t="shared" si="206"/>
        <v>10.046992774101737</v>
      </c>
      <c r="Y659" s="6">
        <f t="shared" si="207"/>
        <v>-10.075493629127385</v>
      </c>
      <c r="Z659" s="6">
        <v>88.9</v>
      </c>
      <c r="AA659" s="6">
        <f t="shared" si="216"/>
        <v>-3.1590413943355045</v>
      </c>
      <c r="AB659" s="6">
        <f t="shared" si="208"/>
        <v>-0.5392976015643528</v>
      </c>
      <c r="AC659" s="6">
        <f t="shared" si="209"/>
        <v>-2.6197437927711515</v>
      </c>
    </row>
    <row r="660" spans="1:29" x14ac:dyDescent="0.2">
      <c r="A660" t="s">
        <v>744</v>
      </c>
      <c r="B660" s="6">
        <v>778.69</v>
      </c>
      <c r="C660" s="6">
        <f t="shared" si="210"/>
        <v>-4.9555102588826783</v>
      </c>
      <c r="D660" s="6">
        <f t="shared" si="196"/>
        <v>5.1226100446893703</v>
      </c>
      <c r="E660" s="6">
        <f t="shared" si="197"/>
        <v>-10.078120303572049</v>
      </c>
      <c r="F660" s="6">
        <v>68.94</v>
      </c>
      <c r="G660" s="6">
        <f t="shared" si="211"/>
        <v>-10.420997920997921</v>
      </c>
      <c r="H660" s="6">
        <f t="shared" si="198"/>
        <v>-0.76799757390007795</v>
      </c>
      <c r="I660" s="6">
        <f t="shared" si="199"/>
        <v>-9.6530003470978443</v>
      </c>
      <c r="J660" s="6">
        <v>18600.2</v>
      </c>
      <c r="K660" s="6">
        <f t="shared" si="212"/>
        <v>29.93566856421932</v>
      </c>
      <c r="L660" s="6">
        <f t="shared" si="200"/>
        <v>-3.1076126424136539</v>
      </c>
      <c r="M660" s="6">
        <f t="shared" si="201"/>
        <v>33.043281206632976</v>
      </c>
      <c r="N660" s="6">
        <v>7001.84</v>
      </c>
      <c r="O660" s="6">
        <f t="shared" si="213"/>
        <v>-2.656501114985288</v>
      </c>
      <c r="P660" s="6">
        <f t="shared" si="202"/>
        <v>2.3745957625638465</v>
      </c>
      <c r="Q660" s="6">
        <f t="shared" si="203"/>
        <v>-5.0310968775491345</v>
      </c>
      <c r="R660" s="6">
        <v>1.67</v>
      </c>
      <c r="S660" s="6">
        <f t="shared" si="214"/>
        <v>-29.831932773109248</v>
      </c>
      <c r="T660" s="6">
        <f t="shared" si="204"/>
        <v>0.1352768432629563</v>
      </c>
      <c r="U660" s="6">
        <f t="shared" si="205"/>
        <v>-29.967209616372205</v>
      </c>
      <c r="V660" s="6">
        <v>100.05</v>
      </c>
      <c r="W660" s="6">
        <f t="shared" si="215"/>
        <v>-7.4981508875739618</v>
      </c>
      <c r="X660" s="6">
        <f t="shared" si="206"/>
        <v>9.7271499985055989</v>
      </c>
      <c r="Y660" s="6">
        <f t="shared" si="207"/>
        <v>-17.225300886079559</v>
      </c>
      <c r="Z660" s="6">
        <v>89.1</v>
      </c>
      <c r="AA660" s="6">
        <f t="shared" si="216"/>
        <v>-2.729257641921401</v>
      </c>
      <c r="AB660" s="6">
        <f t="shared" si="208"/>
        <v>-0.49511448383370588</v>
      </c>
      <c r="AC660" s="6">
        <f t="shared" si="209"/>
        <v>-2.2341431580876949</v>
      </c>
    </row>
    <row r="661" spans="1:29" x14ac:dyDescent="0.2">
      <c r="A661" t="s">
        <v>745</v>
      </c>
      <c r="B661" s="6">
        <v>760.75</v>
      </c>
      <c r="C661" s="6">
        <f t="shared" si="210"/>
        <v>-7.9273827534039327</v>
      </c>
      <c r="D661" s="6">
        <f t="shared" si="196"/>
        <v>4.4673518395690843</v>
      </c>
      <c r="E661" s="6">
        <f t="shared" si="197"/>
        <v>-12.394734592973016</v>
      </c>
      <c r="F661" s="6">
        <v>65.94</v>
      </c>
      <c r="G661" s="6">
        <f t="shared" si="211"/>
        <v>-15.036722071897957</v>
      </c>
      <c r="H661" s="6">
        <f t="shared" si="198"/>
        <v>-1.4816534213921344</v>
      </c>
      <c r="I661" s="6">
        <f t="shared" si="199"/>
        <v>-13.555068650505822</v>
      </c>
      <c r="J661" s="6">
        <v>18034.8</v>
      </c>
      <c r="K661" s="6">
        <f t="shared" si="212"/>
        <v>30.673794451138626</v>
      </c>
      <c r="L661" s="6">
        <f t="shared" si="200"/>
        <v>-2.6718583201777952</v>
      </c>
      <c r="M661" s="6">
        <f t="shared" si="201"/>
        <v>33.345652771316423</v>
      </c>
      <c r="N661" s="6">
        <v>6872.22</v>
      </c>
      <c r="O661" s="6">
        <f t="shared" si="213"/>
        <v>-4.0094870007696297</v>
      </c>
      <c r="P661" s="6">
        <f t="shared" si="202"/>
        <v>1.9412459177191153</v>
      </c>
      <c r="Q661" s="6">
        <f t="shared" si="203"/>
        <v>-5.950732918488745</v>
      </c>
      <c r="R661" s="6">
        <v>1.53</v>
      </c>
      <c r="S661" s="6">
        <f t="shared" si="214"/>
        <v>-36.776859504132233</v>
      </c>
      <c r="T661" s="6">
        <f t="shared" si="204"/>
        <v>-1.9581420460318961</v>
      </c>
      <c r="U661" s="6">
        <f t="shared" si="205"/>
        <v>-34.818717458100338</v>
      </c>
      <c r="V661" s="6">
        <v>95.85</v>
      </c>
      <c r="W661" s="6">
        <f t="shared" si="215"/>
        <v>-11.870172857668271</v>
      </c>
      <c r="X661" s="6">
        <f t="shared" si="206"/>
        <v>9.4487830002515718</v>
      </c>
      <c r="Y661" s="6">
        <f t="shared" si="207"/>
        <v>-21.318955857919843</v>
      </c>
      <c r="Z661" s="6">
        <v>88.7</v>
      </c>
      <c r="AA661" s="6">
        <f t="shared" si="216"/>
        <v>-2.9540481400437635</v>
      </c>
      <c r="AB661" s="6">
        <f t="shared" si="208"/>
        <v>-0.43330313196445264</v>
      </c>
      <c r="AC661" s="6">
        <f t="shared" si="209"/>
        <v>-2.5207450080793108</v>
      </c>
    </row>
    <row r="662" spans="1:29" x14ac:dyDescent="0.2">
      <c r="A662" t="s">
        <v>746</v>
      </c>
      <c r="B662" s="6">
        <v>764.4</v>
      </c>
      <c r="C662" s="6">
        <f t="shared" si="210"/>
        <v>-11.081125095968169</v>
      </c>
      <c r="D662" s="6">
        <f t="shared" si="196"/>
        <v>3.5769310482373791</v>
      </c>
      <c r="E662" s="6">
        <f t="shared" si="197"/>
        <v>-14.658056144205547</v>
      </c>
      <c r="F662" s="6">
        <v>63.71</v>
      </c>
      <c r="G662" s="6">
        <f t="shared" si="211"/>
        <v>-19.770809721697514</v>
      </c>
      <c r="H662" s="6">
        <f t="shared" si="198"/>
        <v>-2.6345350622306332</v>
      </c>
      <c r="I662" s="6">
        <f t="shared" si="199"/>
        <v>-17.136274659466881</v>
      </c>
      <c r="J662" s="6">
        <v>15812.37</v>
      </c>
      <c r="K662" s="6">
        <f t="shared" si="212"/>
        <v>12.004264165778311</v>
      </c>
      <c r="L662" s="6">
        <f t="shared" si="200"/>
        <v>-2.6492692582939235</v>
      </c>
      <c r="M662" s="6">
        <f t="shared" si="201"/>
        <v>14.653533424072235</v>
      </c>
      <c r="N662" s="6">
        <v>6737.48</v>
      </c>
      <c r="O662" s="6">
        <f t="shared" si="213"/>
        <v>-6.4631224125436422</v>
      </c>
      <c r="P662" s="6">
        <f t="shared" si="202"/>
        <v>1.3490651998965844</v>
      </c>
      <c r="Q662" s="6">
        <f t="shared" si="203"/>
        <v>-7.8121876124402263</v>
      </c>
      <c r="R662" s="6">
        <v>1.51</v>
      </c>
      <c r="S662" s="6">
        <f t="shared" si="214"/>
        <v>-34.913793103448278</v>
      </c>
      <c r="T662" s="6">
        <f t="shared" si="204"/>
        <v>-4.0226357977786087</v>
      </c>
      <c r="U662" s="6">
        <f t="shared" si="205"/>
        <v>-30.891157305669669</v>
      </c>
      <c r="V662" s="6">
        <v>86.08</v>
      </c>
      <c r="W662" s="6">
        <f t="shared" si="215"/>
        <v>-18.353409845395053</v>
      </c>
      <c r="X662" s="6">
        <f t="shared" si="206"/>
        <v>8.9646552525005294</v>
      </c>
      <c r="Y662" s="6">
        <f t="shared" si="207"/>
        <v>-27.318065097895584</v>
      </c>
      <c r="Z662" s="6">
        <v>87.7</v>
      </c>
      <c r="AA662" s="6">
        <f t="shared" si="216"/>
        <v>-3.0939226519337004</v>
      </c>
      <c r="AB662" s="6">
        <f t="shared" si="208"/>
        <v>-0.36778656565665435</v>
      </c>
      <c r="AC662" s="6">
        <f t="shared" si="209"/>
        <v>-2.7261360862770463</v>
      </c>
    </row>
    <row r="663" spans="1:29" x14ac:dyDescent="0.2">
      <c r="A663" t="s">
        <v>747</v>
      </c>
      <c r="B663" s="6">
        <v>764.75</v>
      </c>
      <c r="C663" s="6">
        <f t="shared" si="210"/>
        <v>-15.408439798683693</v>
      </c>
      <c r="D663" s="6">
        <f t="shared" si="196"/>
        <v>2.4802371931868428</v>
      </c>
      <c r="E663" s="6">
        <f t="shared" si="197"/>
        <v>-17.888676991870536</v>
      </c>
      <c r="F663" s="6">
        <v>62.55</v>
      </c>
      <c r="G663" s="6">
        <f t="shared" si="211"/>
        <v>-23.951367781155021</v>
      </c>
      <c r="H663" s="6">
        <f t="shared" si="198"/>
        <v>-3.8197255572006892</v>
      </c>
      <c r="I663" s="6">
        <f t="shared" si="199"/>
        <v>-20.13164222395433</v>
      </c>
      <c r="J663" s="6">
        <v>15807.05</v>
      </c>
      <c r="K663" s="6">
        <f t="shared" si="212"/>
        <v>15.51475042768895</v>
      </c>
      <c r="L663" s="6">
        <f t="shared" si="200"/>
        <v>-2.9932070093908938</v>
      </c>
      <c r="M663" s="6">
        <f t="shared" si="201"/>
        <v>18.507957437079845</v>
      </c>
      <c r="N663" s="6">
        <v>6712.85</v>
      </c>
      <c r="O663" s="6">
        <f t="shared" si="213"/>
        <v>-5.0603551300092526</v>
      </c>
      <c r="P663" s="6">
        <f t="shared" si="202"/>
        <v>0.55030913254126801</v>
      </c>
      <c r="Q663" s="6">
        <f t="shared" si="203"/>
        <v>-5.6106642625505208</v>
      </c>
      <c r="R663" s="6">
        <v>1.54</v>
      </c>
      <c r="S663" s="6">
        <f t="shared" si="214"/>
        <v>-33.043478260869563</v>
      </c>
      <c r="T663" s="6">
        <f t="shared" si="204"/>
        <v>-6.2157144520355487</v>
      </c>
      <c r="U663" s="6">
        <f t="shared" si="205"/>
        <v>-26.827763808834014</v>
      </c>
      <c r="V663" s="6">
        <v>76.989999999999995</v>
      </c>
      <c r="W663" s="6">
        <f t="shared" si="215"/>
        <v>-24.982948455617272</v>
      </c>
      <c r="X663" s="6">
        <f t="shared" si="206"/>
        <v>8.3674347360130437</v>
      </c>
      <c r="Y663" s="6">
        <f t="shared" si="207"/>
        <v>-33.350383191630314</v>
      </c>
      <c r="Z663" s="6">
        <v>87.8</v>
      </c>
      <c r="AA663" s="6">
        <f t="shared" si="216"/>
        <v>-2.9834254143646488</v>
      </c>
      <c r="AB663" s="6">
        <f t="shared" si="208"/>
        <v>-0.34665770198635409</v>
      </c>
      <c r="AC663" s="6">
        <f t="shared" si="209"/>
        <v>-2.6367677123782949</v>
      </c>
    </row>
    <row r="664" spans="1:29" x14ac:dyDescent="0.2">
      <c r="A664" t="s">
        <v>748</v>
      </c>
      <c r="B664" s="6">
        <v>719.64</v>
      </c>
      <c r="C664" s="6">
        <f t="shared" si="210"/>
        <v>-18.799435825105782</v>
      </c>
      <c r="D664" s="6">
        <f t="shared" si="196"/>
        <v>1.1547749544999586</v>
      </c>
      <c r="E664" s="6">
        <f t="shared" si="197"/>
        <v>-19.954210779605742</v>
      </c>
      <c r="F664" s="6">
        <v>62.44</v>
      </c>
      <c r="G664" s="6">
        <f t="shared" si="211"/>
        <v>-25.966326772587156</v>
      </c>
      <c r="H664" s="6">
        <f t="shared" si="198"/>
        <v>-5.0685008800525866</v>
      </c>
      <c r="I664" s="6">
        <f t="shared" si="199"/>
        <v>-20.89782589253457</v>
      </c>
      <c r="J664" s="6">
        <v>15962.05</v>
      </c>
      <c r="K664" s="6">
        <f t="shared" si="212"/>
        <v>14.632429773314048</v>
      </c>
      <c r="L664" s="6">
        <f t="shared" si="200"/>
        <v>-3.3956201223047988</v>
      </c>
      <c r="M664" s="6">
        <f t="shared" si="201"/>
        <v>18.028049895618846</v>
      </c>
      <c r="N664" s="6">
        <v>6446.45</v>
      </c>
      <c r="O664" s="6">
        <f t="shared" si="213"/>
        <v>-10.650875272006544</v>
      </c>
      <c r="P664" s="6">
        <f t="shared" si="202"/>
        <v>-0.11508020420339922</v>
      </c>
      <c r="Q664" s="6">
        <f t="shared" si="203"/>
        <v>-10.535795067803145</v>
      </c>
      <c r="R664" s="6">
        <v>1.47</v>
      </c>
      <c r="S664" s="6">
        <f t="shared" si="214"/>
        <v>-36.363636363636367</v>
      </c>
      <c r="T664" s="6">
        <f t="shared" si="204"/>
        <v>-8.3683103428451631</v>
      </c>
      <c r="U664" s="6">
        <f t="shared" si="205"/>
        <v>-27.995326020791204</v>
      </c>
      <c r="V664" s="6">
        <v>60.7</v>
      </c>
      <c r="W664" s="6">
        <f t="shared" si="215"/>
        <v>-42.453545695866509</v>
      </c>
      <c r="X664" s="6">
        <f t="shared" si="206"/>
        <v>7.6594432109933992</v>
      </c>
      <c r="Y664" s="6">
        <f t="shared" si="207"/>
        <v>-50.112988906859911</v>
      </c>
      <c r="Z664" s="6">
        <v>88.5</v>
      </c>
      <c r="AA664" s="6">
        <f t="shared" si="216"/>
        <v>-1.9933554817275767</v>
      </c>
      <c r="AB664" s="6">
        <f t="shared" si="208"/>
        <v>-0.32538887719542992</v>
      </c>
      <c r="AC664" s="6">
        <f t="shared" si="209"/>
        <v>-1.6679666045321468</v>
      </c>
    </row>
    <row r="665" spans="1:29" x14ac:dyDescent="0.2">
      <c r="A665" t="s">
        <v>749</v>
      </c>
      <c r="B665" s="6">
        <v>719.64</v>
      </c>
      <c r="C665" s="6">
        <f t="shared" si="210"/>
        <v>-16.576052305159806</v>
      </c>
      <c r="D665" s="6">
        <f t="shared" si="196"/>
        <v>-0.28342660555827942</v>
      </c>
      <c r="E665" s="6">
        <f t="shared" si="197"/>
        <v>-16.292625699601526</v>
      </c>
      <c r="F665" s="6">
        <v>61.44</v>
      </c>
      <c r="G665" s="6">
        <f t="shared" si="211"/>
        <v>-24.715108442592825</v>
      </c>
      <c r="H665" s="6">
        <f t="shared" si="198"/>
        <v>-6.4916862377546494</v>
      </c>
      <c r="I665" s="6">
        <f t="shared" si="199"/>
        <v>-18.223422204838176</v>
      </c>
      <c r="J665" s="6">
        <v>14849.19</v>
      </c>
      <c r="K665" s="6">
        <f t="shared" si="212"/>
        <v>5.3040687882280002</v>
      </c>
      <c r="L665" s="6">
        <f t="shared" si="200"/>
        <v>-3.9507458153854795</v>
      </c>
      <c r="M665" s="6">
        <f t="shared" si="201"/>
        <v>9.2548146036134789</v>
      </c>
      <c r="N665" s="6">
        <v>5830.54</v>
      </c>
      <c r="O665" s="6">
        <f t="shared" si="213"/>
        <v>-20.036151832209427</v>
      </c>
      <c r="P665" s="6">
        <f t="shared" si="202"/>
        <v>-0.98317078896976839</v>
      </c>
      <c r="Q665" s="6">
        <f t="shared" si="203"/>
        <v>-19.052981043239658</v>
      </c>
      <c r="R665" s="6">
        <v>1.42</v>
      </c>
      <c r="S665" s="6">
        <f t="shared" si="214"/>
        <v>-33.644859813084118</v>
      </c>
      <c r="T665" s="6">
        <f t="shared" si="204"/>
        <v>-10.544643567565485</v>
      </c>
      <c r="U665" s="6">
        <f t="shared" si="205"/>
        <v>-23.100216245518631</v>
      </c>
      <c r="V665" s="6">
        <v>47.11</v>
      </c>
      <c r="W665" s="6">
        <f t="shared" si="215"/>
        <v>-53.858961802154745</v>
      </c>
      <c r="X665" s="6">
        <f t="shared" si="206"/>
        <v>6.3540430424719618</v>
      </c>
      <c r="Y665" s="6">
        <f t="shared" si="207"/>
        <v>-60.21300484462671</v>
      </c>
      <c r="Z665" s="6">
        <v>88.8</v>
      </c>
      <c r="AA665" s="6">
        <f t="shared" si="216"/>
        <v>-1.0033444816053616</v>
      </c>
      <c r="AB665" s="6">
        <f t="shared" si="208"/>
        <v>-0.32370387040099935</v>
      </c>
      <c r="AC665" s="6">
        <f t="shared" si="209"/>
        <v>-0.67964061120436225</v>
      </c>
    </row>
    <row r="666" spans="1:29" x14ac:dyDescent="0.2">
      <c r="A666" t="s">
        <v>750</v>
      </c>
      <c r="B666" s="6">
        <v>723.04</v>
      </c>
      <c r="C666" s="6">
        <f t="shared" si="210"/>
        <v>-20.047769644160386</v>
      </c>
      <c r="D666" s="6">
        <f t="shared" si="196"/>
        <v>-1.8139752993957179</v>
      </c>
      <c r="E666" s="6">
        <f t="shared" si="197"/>
        <v>-18.233794344764668</v>
      </c>
      <c r="F666" s="6">
        <v>69.05</v>
      </c>
      <c r="G666" s="6">
        <f t="shared" si="211"/>
        <v>-9.490103552234908</v>
      </c>
      <c r="H666" s="6">
        <f t="shared" si="198"/>
        <v>-7.7686118217176015</v>
      </c>
      <c r="I666" s="6">
        <f t="shared" si="199"/>
        <v>-1.7214917305173065</v>
      </c>
      <c r="J666" s="6">
        <v>14573.84</v>
      </c>
      <c r="K666" s="6">
        <f t="shared" si="212"/>
        <v>2.6070243002629612</v>
      </c>
      <c r="L666" s="6">
        <f t="shared" si="200"/>
        <v>-4.6545173778548801</v>
      </c>
      <c r="M666" s="6">
        <f t="shared" si="201"/>
        <v>7.2615416781178412</v>
      </c>
      <c r="N666" s="6">
        <v>5729.27</v>
      </c>
      <c r="O666" s="6">
        <f t="shared" si="213"/>
        <v>-19.861495186181401</v>
      </c>
      <c r="P666" s="6">
        <f t="shared" si="202"/>
        <v>-2.0124961865854298</v>
      </c>
      <c r="Q666" s="6">
        <f t="shared" si="203"/>
        <v>-17.84899899959597</v>
      </c>
      <c r="R666" s="6">
        <v>1.43</v>
      </c>
      <c r="S666" s="6">
        <f t="shared" si="214"/>
        <v>-24.736842105263158</v>
      </c>
      <c r="T666" s="6">
        <f t="shared" si="204"/>
        <v>-12.814931217180176</v>
      </c>
      <c r="U666" s="6">
        <f t="shared" si="205"/>
        <v>-11.921910888082982</v>
      </c>
      <c r="V666" s="6">
        <v>54.79</v>
      </c>
      <c r="W666" s="6">
        <f t="shared" si="215"/>
        <v>-47.734427167795481</v>
      </c>
      <c r="X666" s="6">
        <f t="shared" si="206"/>
        <v>4.8113706017458844</v>
      </c>
      <c r="Y666" s="6">
        <f t="shared" si="207"/>
        <v>-52.545797769541366</v>
      </c>
      <c r="Z666" s="6">
        <v>88.6</v>
      </c>
      <c r="AA666" s="6">
        <f t="shared" si="216"/>
        <v>-1.2263099219621099</v>
      </c>
      <c r="AB666" s="6">
        <f t="shared" si="208"/>
        <v>-0.29936620001461084</v>
      </c>
      <c r="AC666" s="6">
        <f t="shared" si="209"/>
        <v>-0.92694372194749897</v>
      </c>
    </row>
    <row r="667" spans="1:29" x14ac:dyDescent="0.2">
      <c r="A667" t="s">
        <v>751</v>
      </c>
      <c r="B667" s="6">
        <v>698.86</v>
      </c>
      <c r="C667" s="6">
        <f t="shared" si="210"/>
        <v>-26.729642171921032</v>
      </c>
      <c r="D667" s="6">
        <f t="shared" si="196"/>
        <v>-3.479654235255484</v>
      </c>
      <c r="E667" s="6">
        <f t="shared" si="197"/>
        <v>-23.249987936665548</v>
      </c>
      <c r="F667" s="6">
        <v>64.760000000000005</v>
      </c>
      <c r="G667" s="6">
        <f t="shared" si="211"/>
        <v>-11.698936460321786</v>
      </c>
      <c r="H667" s="6">
        <f t="shared" si="198"/>
        <v>-8.7221084892656879</v>
      </c>
      <c r="I667" s="6">
        <f t="shared" si="199"/>
        <v>-2.9768279710560979</v>
      </c>
      <c r="J667" s="6">
        <v>13755.5</v>
      </c>
      <c r="K667" s="6">
        <f t="shared" si="212"/>
        <v>-12.262965537915949</v>
      </c>
      <c r="L667" s="6">
        <f t="shared" si="200"/>
        <v>-5.6186234711637626</v>
      </c>
      <c r="M667" s="6">
        <f t="shared" si="201"/>
        <v>-6.6443420667521869</v>
      </c>
      <c r="N667" s="6">
        <v>5939.67</v>
      </c>
      <c r="O667" s="6">
        <f t="shared" si="213"/>
        <v>-10.682191385314976</v>
      </c>
      <c r="P667" s="6">
        <f t="shared" si="202"/>
        <v>-3.3448364765849363</v>
      </c>
      <c r="Q667" s="6">
        <f t="shared" si="203"/>
        <v>-7.33735490873004</v>
      </c>
      <c r="R667" s="6">
        <v>1.43</v>
      </c>
      <c r="S667" s="6">
        <f t="shared" si="214"/>
        <v>-25.90673575129534</v>
      </c>
      <c r="T667" s="6">
        <f t="shared" si="204"/>
        <v>-15.021299410390482</v>
      </c>
      <c r="U667" s="6">
        <f t="shared" si="205"/>
        <v>-10.885436340904858</v>
      </c>
      <c r="V667" s="6">
        <v>52.83</v>
      </c>
      <c r="W667" s="6">
        <f t="shared" si="215"/>
        <v>-49.221453287197235</v>
      </c>
      <c r="X667" s="6">
        <f t="shared" si="206"/>
        <v>3.1717834297219643</v>
      </c>
      <c r="Y667" s="6">
        <f t="shared" si="207"/>
        <v>-52.393236716919198</v>
      </c>
      <c r="Z667" s="6">
        <v>88.3</v>
      </c>
      <c r="AA667" s="6">
        <f t="shared" si="216"/>
        <v>-1.5607580824972156</v>
      </c>
      <c r="AB667" s="6">
        <f t="shared" si="208"/>
        <v>-0.28410910032026865</v>
      </c>
      <c r="AC667" s="6">
        <f t="shared" si="209"/>
        <v>-1.2766489821769469</v>
      </c>
    </row>
    <row r="668" spans="1:29" x14ac:dyDescent="0.2">
      <c r="A668" t="s">
        <v>752</v>
      </c>
      <c r="B668" s="6">
        <v>682.75</v>
      </c>
      <c r="C668" s="6">
        <f t="shared" si="210"/>
        <v>-26.319027011860186</v>
      </c>
      <c r="D668" s="6">
        <f t="shared" si="196"/>
        <v>-4.9514132809539069</v>
      </c>
      <c r="E668" s="6">
        <f t="shared" si="197"/>
        <v>-21.367613730906278</v>
      </c>
      <c r="F668" s="6">
        <v>56.24</v>
      </c>
      <c r="G668" s="6">
        <f t="shared" si="211"/>
        <v>-22.768470200494363</v>
      </c>
      <c r="H668" s="6">
        <f t="shared" si="198"/>
        <v>-9.6666822034894757</v>
      </c>
      <c r="I668" s="6">
        <f t="shared" si="199"/>
        <v>-13.101787997004887</v>
      </c>
      <c r="J668" s="6">
        <v>12830.92</v>
      </c>
      <c r="K668" s="6">
        <f t="shared" si="212"/>
        <v>-26.147027674172296</v>
      </c>
      <c r="L668" s="6">
        <f t="shared" si="200"/>
        <v>-6.2682103419118116</v>
      </c>
      <c r="M668" s="6">
        <f t="shared" si="201"/>
        <v>-19.878817332260486</v>
      </c>
      <c r="N668" s="6">
        <v>6042.09</v>
      </c>
      <c r="O668" s="6">
        <f t="shared" si="213"/>
        <v>-9.4622660169384929</v>
      </c>
      <c r="P668" s="6">
        <f t="shared" si="202"/>
        <v>-4.1370191403556689</v>
      </c>
      <c r="Q668" s="6">
        <f t="shared" si="203"/>
        <v>-5.325246876582824</v>
      </c>
      <c r="R668" s="6">
        <v>1.41</v>
      </c>
      <c r="S668" s="6">
        <f t="shared" si="214"/>
        <v>-20.786516853932589</v>
      </c>
      <c r="T668" s="6">
        <f t="shared" si="204"/>
        <v>-16.648549277326527</v>
      </c>
      <c r="U668" s="6">
        <f t="shared" si="205"/>
        <v>-4.1379675766060622</v>
      </c>
      <c r="V668" s="6">
        <v>57.54</v>
      </c>
      <c r="W668" s="6">
        <f t="shared" si="215"/>
        <v>-45.132068275007157</v>
      </c>
      <c r="X668" s="6">
        <f t="shared" si="206"/>
        <v>1.3752667090213704</v>
      </c>
      <c r="Y668" s="6">
        <f t="shared" si="207"/>
        <v>-46.507334984028525</v>
      </c>
      <c r="Z668" s="6">
        <v>87.4</v>
      </c>
      <c r="AA668" s="6">
        <f t="shared" si="216"/>
        <v>-2.3463687150837909</v>
      </c>
      <c r="AB668" s="6">
        <f t="shared" si="208"/>
        <v>-0.25742635090052723</v>
      </c>
      <c r="AC668" s="6">
        <f t="shared" si="209"/>
        <v>-2.0889423641832634</v>
      </c>
    </row>
    <row r="669" spans="1:29" x14ac:dyDescent="0.2">
      <c r="A669" t="s">
        <v>753</v>
      </c>
      <c r="B669" s="6">
        <v>697.35</v>
      </c>
      <c r="C669" s="6">
        <f t="shared" si="210"/>
        <v>-22.380401148683237</v>
      </c>
      <c r="D669" s="6">
        <f t="shared" si="196"/>
        <v>-6.361593792399475</v>
      </c>
      <c r="E669" s="6">
        <f t="shared" si="197"/>
        <v>-16.018807356283762</v>
      </c>
      <c r="F669" s="6">
        <v>61.19</v>
      </c>
      <c r="G669" s="6">
        <f t="shared" si="211"/>
        <v>-16.96295291084272</v>
      </c>
      <c r="H669" s="6">
        <f t="shared" si="198"/>
        <v>-10.605952941253561</v>
      </c>
      <c r="I669" s="6">
        <f t="shared" si="199"/>
        <v>-6.3569999695891592</v>
      </c>
      <c r="J669" s="6">
        <v>13511.34</v>
      </c>
      <c r="K669" s="6">
        <f t="shared" si="212"/>
        <v>-30.357794514532188</v>
      </c>
      <c r="L669" s="6">
        <f t="shared" si="200"/>
        <v>-6.8431591529569689</v>
      </c>
      <c r="M669" s="6">
        <f t="shared" si="201"/>
        <v>-23.51463536157522</v>
      </c>
      <c r="N669" s="6">
        <v>6294.78</v>
      </c>
      <c r="O669" s="6">
        <f t="shared" si="213"/>
        <v>-8.6538782463833961</v>
      </c>
      <c r="P669" s="6">
        <f t="shared" si="202"/>
        <v>-4.8042626444104739</v>
      </c>
      <c r="Q669" s="6">
        <f t="shared" si="203"/>
        <v>-3.8496156019729222</v>
      </c>
      <c r="R669" s="6">
        <v>1.55</v>
      </c>
      <c r="S669" s="6">
        <f t="shared" si="214"/>
        <v>-8.2840236686390512</v>
      </c>
      <c r="T669" s="6">
        <f t="shared" si="204"/>
        <v>-18.155026508531424</v>
      </c>
      <c r="U669" s="6">
        <f t="shared" si="205"/>
        <v>9.8710028398923733</v>
      </c>
      <c r="V669" s="6">
        <v>62.51</v>
      </c>
      <c r="W669" s="6">
        <f t="shared" si="215"/>
        <v>-40.866521615741178</v>
      </c>
      <c r="X669" s="6">
        <f t="shared" si="206"/>
        <v>-0.35842337655668022</v>
      </c>
      <c r="Y669" s="6">
        <f t="shared" si="207"/>
        <v>-40.508098239184498</v>
      </c>
      <c r="Z669" s="6">
        <v>87</v>
      </c>
      <c r="AA669" s="6">
        <f t="shared" si="216"/>
        <v>-3.1180400890868598</v>
      </c>
      <c r="AB669" s="6">
        <f t="shared" si="208"/>
        <v>-0.24704572101327724</v>
      </c>
      <c r="AC669" s="6">
        <f t="shared" si="209"/>
        <v>-2.8709943680735828</v>
      </c>
    </row>
    <row r="670" spans="1:29" x14ac:dyDescent="0.2">
      <c r="A670" t="s">
        <v>754</v>
      </c>
      <c r="B670" s="6">
        <v>705.91</v>
      </c>
      <c r="C670" s="6">
        <f t="shared" si="210"/>
        <v>-18.096486749895579</v>
      </c>
      <c r="D670" s="6">
        <f t="shared" si="196"/>
        <v>-7.7408008661134966</v>
      </c>
      <c r="E670" s="6">
        <f t="shared" si="197"/>
        <v>-10.355685883782083</v>
      </c>
      <c r="F670" s="6">
        <v>58.96</v>
      </c>
      <c r="G670" s="6">
        <f t="shared" si="211"/>
        <v>-17.515388919977614</v>
      </c>
      <c r="H670" s="6">
        <f t="shared" si="198"/>
        <v>-11.354459148800977</v>
      </c>
      <c r="I670" s="6">
        <f t="shared" si="199"/>
        <v>-6.1609297711766366</v>
      </c>
      <c r="J670" s="6">
        <v>12825.23</v>
      </c>
      <c r="K670" s="6">
        <f t="shared" si="212"/>
        <v>-31.153788137835971</v>
      </c>
      <c r="L670" s="6">
        <f t="shared" si="200"/>
        <v>-7.6865737839042216</v>
      </c>
      <c r="M670" s="6">
        <f t="shared" si="201"/>
        <v>-23.467214353931748</v>
      </c>
      <c r="N670" s="6">
        <v>5833.01</v>
      </c>
      <c r="O670" s="6">
        <f t="shared" si="213"/>
        <v>-14.486288215752797</v>
      </c>
      <c r="P670" s="6">
        <f t="shared" si="202"/>
        <v>-5.6311587620986936</v>
      </c>
      <c r="Q670" s="6">
        <f t="shared" si="203"/>
        <v>-8.8551294536541043</v>
      </c>
      <c r="R670" s="6">
        <v>1.58</v>
      </c>
      <c r="S670" s="6">
        <f t="shared" si="214"/>
        <v>-7.6023391812865437</v>
      </c>
      <c r="T670" s="6">
        <f t="shared" si="204"/>
        <v>-19.502639170024839</v>
      </c>
      <c r="U670" s="6">
        <f t="shared" si="205"/>
        <v>11.900299988738295</v>
      </c>
      <c r="V670" s="6">
        <v>61.31</v>
      </c>
      <c r="W670" s="6">
        <f t="shared" si="215"/>
        <v>-43.425302205407398</v>
      </c>
      <c r="X670" s="6">
        <f t="shared" si="206"/>
        <v>-2.1038077448296097</v>
      </c>
      <c r="Y670" s="6">
        <f t="shared" si="207"/>
        <v>-41.321494460577789</v>
      </c>
      <c r="Z670" s="6">
        <v>87.2</v>
      </c>
      <c r="AA670" s="6">
        <f t="shared" si="216"/>
        <v>-3.0033370411568394</v>
      </c>
      <c r="AB670" s="6">
        <f t="shared" si="208"/>
        <v>-0.25923323021139755</v>
      </c>
      <c r="AC670" s="6">
        <f t="shared" si="209"/>
        <v>-2.7441038109454419</v>
      </c>
    </row>
    <row r="671" spans="1:29" x14ac:dyDescent="0.2">
      <c r="A671" t="s">
        <v>755</v>
      </c>
      <c r="B671" s="6">
        <v>680</v>
      </c>
      <c r="C671" s="6">
        <f t="shared" si="210"/>
        <v>-20.345792969344846</v>
      </c>
      <c r="D671" s="6">
        <f t="shared" si="196"/>
        <v>-9.0430584795264259</v>
      </c>
      <c r="E671" s="6">
        <f t="shared" si="197"/>
        <v>-11.30273448981842</v>
      </c>
      <c r="F671" s="6">
        <v>59.9</v>
      </c>
      <c r="G671" s="6">
        <f t="shared" si="211"/>
        <v>-12.87272727272728</v>
      </c>
      <c r="H671" s="6">
        <f t="shared" si="198"/>
        <v>-12.184023437011886</v>
      </c>
      <c r="I671" s="6">
        <f t="shared" si="199"/>
        <v>-0.68870383571539406</v>
      </c>
      <c r="J671" s="6">
        <v>11413.1</v>
      </c>
      <c r="K671" s="6">
        <f t="shared" si="212"/>
        <v>-40.300716876812793</v>
      </c>
      <c r="L671" s="6">
        <f t="shared" si="200"/>
        <v>-8.661434345338618</v>
      </c>
      <c r="M671" s="6">
        <f t="shared" si="201"/>
        <v>-31.639282531474173</v>
      </c>
      <c r="N671" s="6">
        <v>5456.75</v>
      </c>
      <c r="O671" s="6">
        <f t="shared" si="213"/>
        <v>-23.288928751170335</v>
      </c>
      <c r="P671" s="6">
        <f t="shared" si="202"/>
        <v>-6.755977758633712</v>
      </c>
      <c r="Q671" s="6">
        <f t="shared" si="203"/>
        <v>-16.532950992536623</v>
      </c>
      <c r="R671" s="6">
        <v>1.45</v>
      </c>
      <c r="S671" s="6">
        <f t="shared" si="214"/>
        <v>-14.705882352941179</v>
      </c>
      <c r="T671" s="6">
        <f t="shared" si="204"/>
        <v>-20.824814339749917</v>
      </c>
      <c r="U671" s="6">
        <f t="shared" si="205"/>
        <v>6.1189319868087377</v>
      </c>
      <c r="V671" s="6">
        <v>54.34</v>
      </c>
      <c r="W671" s="6">
        <f t="shared" si="215"/>
        <v>-48.360733631093787</v>
      </c>
      <c r="X671" s="6">
        <f t="shared" si="206"/>
        <v>-3.8760692288972796</v>
      </c>
      <c r="Y671" s="6">
        <f t="shared" si="207"/>
        <v>-44.484664402196508</v>
      </c>
      <c r="Z671" s="6">
        <v>87.7</v>
      </c>
      <c r="AA671" s="6">
        <f t="shared" si="216"/>
        <v>-1.3498312710911176</v>
      </c>
      <c r="AB671" s="6">
        <f t="shared" si="208"/>
        <v>-0.28727236516183363</v>
      </c>
      <c r="AC671" s="6">
        <f t="shared" si="209"/>
        <v>-1.0625589059292839</v>
      </c>
    </row>
    <row r="672" spans="1:29" x14ac:dyDescent="0.2">
      <c r="A672" t="s">
        <v>756</v>
      </c>
      <c r="B672" s="6">
        <v>601.38</v>
      </c>
      <c r="C672" s="6">
        <f t="shared" si="210"/>
        <v>-22.770293698390898</v>
      </c>
      <c r="D672" s="6">
        <f t="shared" si="196"/>
        <v>-10.303341499756637</v>
      </c>
      <c r="E672" s="6">
        <f t="shared" si="197"/>
        <v>-12.46695219863426</v>
      </c>
      <c r="F672" s="6">
        <v>59.14</v>
      </c>
      <c r="G672" s="6">
        <f t="shared" si="211"/>
        <v>-14.215259646069045</v>
      </c>
      <c r="H672" s="6">
        <f t="shared" si="198"/>
        <v>-12.989860669516132</v>
      </c>
      <c r="I672" s="6">
        <f t="shared" si="199"/>
        <v>-1.2253989765529134</v>
      </c>
      <c r="J672" s="6">
        <v>10386</v>
      </c>
      <c r="K672" s="6">
        <f t="shared" si="212"/>
        <v>-44.161890732357719</v>
      </c>
      <c r="L672" s="6">
        <f t="shared" si="200"/>
        <v>-9.9632726972911332</v>
      </c>
      <c r="M672" s="6">
        <f t="shared" si="201"/>
        <v>-34.198618035066588</v>
      </c>
      <c r="N672" s="6">
        <v>5127.3</v>
      </c>
      <c r="O672" s="6">
        <f t="shared" si="213"/>
        <v>-26.772105617951848</v>
      </c>
      <c r="P672" s="6">
        <f t="shared" si="202"/>
        <v>-8.1428903867572675</v>
      </c>
      <c r="Q672" s="6">
        <f t="shared" si="203"/>
        <v>-18.629215231194578</v>
      </c>
      <c r="R672" s="6">
        <v>1.31</v>
      </c>
      <c r="S672" s="6">
        <f t="shared" si="214"/>
        <v>-21.556886227544901</v>
      </c>
      <c r="T672" s="6">
        <f t="shared" si="204"/>
        <v>-22.290174374548826</v>
      </c>
      <c r="U672" s="6">
        <f t="shared" si="205"/>
        <v>0.73328814700392542</v>
      </c>
      <c r="V672" s="6">
        <v>45.69</v>
      </c>
      <c r="W672" s="6">
        <f t="shared" si="215"/>
        <v>-54.332833583208398</v>
      </c>
      <c r="X672" s="6">
        <f t="shared" si="206"/>
        <v>-5.8149110526120191</v>
      </c>
      <c r="Y672" s="6">
        <f t="shared" si="207"/>
        <v>-48.51792253059638</v>
      </c>
      <c r="Z672" s="6">
        <v>87.3</v>
      </c>
      <c r="AA672" s="6">
        <f t="shared" si="216"/>
        <v>-2.0202020202020221</v>
      </c>
      <c r="AB672" s="6">
        <f t="shared" si="208"/>
        <v>-0.31539384997623193</v>
      </c>
      <c r="AC672" s="6">
        <f t="shared" si="209"/>
        <v>-1.7048081702257902</v>
      </c>
    </row>
    <row r="673" spans="1:29" x14ac:dyDescent="0.2">
      <c r="A673" t="s">
        <v>757</v>
      </c>
      <c r="B673" s="6">
        <v>599.5</v>
      </c>
      <c r="C673" s="6">
        <f t="shared" si="210"/>
        <v>-21.196187972395663</v>
      </c>
      <c r="D673" s="6">
        <f t="shared" si="196"/>
        <v>-11.355549433346011</v>
      </c>
      <c r="E673" s="6">
        <f t="shared" si="197"/>
        <v>-9.8406385390496514</v>
      </c>
      <c r="F673" s="6">
        <v>57.65</v>
      </c>
      <c r="G673" s="6">
        <f t="shared" si="211"/>
        <v>-12.572035183500152</v>
      </c>
      <c r="H673" s="6">
        <f t="shared" si="198"/>
        <v>-13.990279752047526</v>
      </c>
      <c r="I673" s="6">
        <f t="shared" si="199"/>
        <v>1.4182445685473741</v>
      </c>
      <c r="J673" s="6">
        <v>9937.5499999999993</v>
      </c>
      <c r="K673" s="6">
        <f t="shared" si="212"/>
        <v>-44.897919577705323</v>
      </c>
      <c r="L673" s="6">
        <f t="shared" si="200"/>
        <v>-10.92531863207015</v>
      </c>
      <c r="M673" s="6">
        <f t="shared" si="201"/>
        <v>-33.972600945635172</v>
      </c>
      <c r="N673" s="6">
        <v>5217.25</v>
      </c>
      <c r="O673" s="6">
        <f t="shared" si="213"/>
        <v>-24.082028805829847</v>
      </c>
      <c r="P673" s="6">
        <f t="shared" si="202"/>
        <v>-9.1916793872191285</v>
      </c>
      <c r="Q673" s="6">
        <f t="shared" si="203"/>
        <v>-14.890349418610718</v>
      </c>
      <c r="R673" s="6">
        <v>1.24</v>
      </c>
      <c r="S673" s="6">
        <f t="shared" si="214"/>
        <v>-18.954248366013072</v>
      </c>
      <c r="T673" s="6">
        <f t="shared" si="204"/>
        <v>-23.721229461826507</v>
      </c>
      <c r="U673" s="6">
        <f t="shared" si="205"/>
        <v>4.7669810958134349</v>
      </c>
      <c r="V673" s="6">
        <v>46.28</v>
      </c>
      <c r="W673" s="6">
        <f t="shared" si="215"/>
        <v>-51.716223265519034</v>
      </c>
      <c r="X673" s="6">
        <f t="shared" si="206"/>
        <v>-7.6243473933892778</v>
      </c>
      <c r="Y673" s="6">
        <f t="shared" si="207"/>
        <v>-44.091875872129755</v>
      </c>
      <c r="Z673" s="6">
        <v>87.4</v>
      </c>
      <c r="AA673" s="6">
        <f t="shared" si="216"/>
        <v>-1.4656144306651631</v>
      </c>
      <c r="AB673" s="6">
        <f t="shared" si="208"/>
        <v>-0.36214209303319939</v>
      </c>
      <c r="AC673" s="6">
        <f t="shared" si="209"/>
        <v>-1.1034723376319637</v>
      </c>
    </row>
    <row r="674" spans="1:29" x14ac:dyDescent="0.2">
      <c r="A674" t="s">
        <v>758</v>
      </c>
      <c r="B674" s="6">
        <v>636.66999999999996</v>
      </c>
      <c r="C674" s="6">
        <f t="shared" si="210"/>
        <v>-16.709837781266359</v>
      </c>
      <c r="D674" s="6">
        <f t="shared" si="196"/>
        <v>-12.210716376725903</v>
      </c>
      <c r="E674" s="6">
        <f t="shared" si="197"/>
        <v>-4.4991214045404551</v>
      </c>
      <c r="F674" s="6">
        <v>54.26</v>
      </c>
      <c r="G674" s="6">
        <f t="shared" si="211"/>
        <v>-14.832836289436512</v>
      </c>
      <c r="H674" s="6">
        <f t="shared" si="198"/>
        <v>-14.871050330488464</v>
      </c>
      <c r="I674" s="6">
        <f t="shared" si="199"/>
        <v>3.8214041051951142E-2</v>
      </c>
      <c r="J674" s="6">
        <v>10316.83</v>
      </c>
      <c r="K674" s="6">
        <f t="shared" si="212"/>
        <v>-34.754688892303939</v>
      </c>
      <c r="L674" s="6">
        <f t="shared" si="200"/>
        <v>-11.652222546153221</v>
      </c>
      <c r="M674" s="6">
        <f t="shared" si="201"/>
        <v>-23.10246634615072</v>
      </c>
      <c r="N674" s="6">
        <v>5216.09</v>
      </c>
      <c r="O674" s="6">
        <f t="shared" si="213"/>
        <v>-22.580994674566746</v>
      </c>
      <c r="P674" s="6">
        <f t="shared" si="202"/>
        <v>-9.8530547841228238</v>
      </c>
      <c r="Q674" s="6">
        <f t="shared" si="203"/>
        <v>-12.727939890443922</v>
      </c>
      <c r="R674" s="6">
        <v>1.24</v>
      </c>
      <c r="S674" s="6">
        <f t="shared" si="214"/>
        <v>-17.880794701986758</v>
      </c>
      <c r="T674" s="6">
        <f t="shared" si="204"/>
        <v>-24.835355667864466</v>
      </c>
      <c r="U674" s="6">
        <f t="shared" si="205"/>
        <v>6.9545609658777074</v>
      </c>
      <c r="V674" s="6">
        <v>46.96</v>
      </c>
      <c r="W674" s="6">
        <f t="shared" si="215"/>
        <v>-45.446096654275095</v>
      </c>
      <c r="X674" s="6">
        <f t="shared" si="206"/>
        <v>-9.3777846511651877</v>
      </c>
      <c r="Y674" s="6">
        <f t="shared" si="207"/>
        <v>-36.068312003109909</v>
      </c>
      <c r="Z674" s="6">
        <v>86.9</v>
      </c>
      <c r="AA674" s="6">
        <f t="shared" si="216"/>
        <v>-0.91220068415051037</v>
      </c>
      <c r="AB674" s="6">
        <f t="shared" si="208"/>
        <v>-0.40200756724428532</v>
      </c>
      <c r="AC674" s="6">
        <f t="shared" si="209"/>
        <v>-0.51019311690622504</v>
      </c>
    </row>
    <row r="675" spans="1:29" x14ac:dyDescent="0.2">
      <c r="A675" t="s">
        <v>759</v>
      </c>
      <c r="B675" s="6">
        <v>608.21</v>
      </c>
      <c r="C675" s="6">
        <f t="shared" si="210"/>
        <v>-20.469434455704473</v>
      </c>
      <c r="D675" s="6">
        <f t="shared" si="196"/>
        <v>-12.597262167515566</v>
      </c>
      <c r="E675" s="6">
        <f t="shared" si="197"/>
        <v>-7.8721722881889065</v>
      </c>
      <c r="F675" s="6">
        <v>52.47</v>
      </c>
      <c r="G675" s="6">
        <f t="shared" si="211"/>
        <v>-16.115107913669057</v>
      </c>
      <c r="H675" s="6">
        <f t="shared" si="198"/>
        <v>-15.64911170734959</v>
      </c>
      <c r="I675" s="6">
        <f t="shared" si="199"/>
        <v>-0.46599620631946692</v>
      </c>
      <c r="J675" s="6">
        <v>9244.33</v>
      </c>
      <c r="K675" s="6">
        <f t="shared" si="212"/>
        <v>-41.517677238953496</v>
      </c>
      <c r="L675" s="6">
        <f t="shared" si="200"/>
        <v>-11.959012119072119</v>
      </c>
      <c r="M675" s="6">
        <f t="shared" si="201"/>
        <v>-29.558665119881375</v>
      </c>
      <c r="N675" s="6">
        <v>4799.8999999999996</v>
      </c>
      <c r="O675" s="6">
        <f t="shared" si="213"/>
        <v>-28.496838153690319</v>
      </c>
      <c r="P675" s="6">
        <f t="shared" si="202"/>
        <v>-10.097828986398671</v>
      </c>
      <c r="Q675" s="6">
        <f t="shared" si="203"/>
        <v>-18.399009167291648</v>
      </c>
      <c r="R675" s="6">
        <v>1.1599999999999999</v>
      </c>
      <c r="S675" s="6">
        <f t="shared" si="214"/>
        <v>-24.675324675324685</v>
      </c>
      <c r="T675" s="6">
        <f t="shared" si="204"/>
        <v>-25.332331098614734</v>
      </c>
      <c r="U675" s="6">
        <f t="shared" si="205"/>
        <v>0.65700642329004921</v>
      </c>
      <c r="V675" s="6">
        <v>43.11</v>
      </c>
      <c r="W675" s="6">
        <f t="shared" si="215"/>
        <v>-44.00571502792571</v>
      </c>
      <c r="X675" s="6">
        <f t="shared" si="206"/>
        <v>-10.786776487768671</v>
      </c>
      <c r="Y675" s="6">
        <f t="shared" si="207"/>
        <v>-33.218938540157041</v>
      </c>
      <c r="Z675" s="6">
        <v>87</v>
      </c>
      <c r="AA675" s="6">
        <f t="shared" si="216"/>
        <v>-0.91116173120728838</v>
      </c>
      <c r="AB675" s="6">
        <f t="shared" si="208"/>
        <v>-0.46094034643541443</v>
      </c>
      <c r="AC675" s="6">
        <f t="shared" si="209"/>
        <v>-0.45022138477187396</v>
      </c>
    </row>
    <row r="676" spans="1:29" x14ac:dyDescent="0.2">
      <c r="A676" t="s">
        <v>760</v>
      </c>
      <c r="B676" s="6">
        <v>607.38</v>
      </c>
      <c r="C676" s="6">
        <f t="shared" si="210"/>
        <v>-15.599466399866602</v>
      </c>
      <c r="D676" s="6">
        <f t="shared" si="196"/>
        <v>-12.990599599268165</v>
      </c>
      <c r="E676" s="6">
        <f t="shared" si="197"/>
        <v>-2.6088668005984363</v>
      </c>
      <c r="F676" s="6">
        <v>52.21</v>
      </c>
      <c r="G676" s="6">
        <f t="shared" si="211"/>
        <v>-16.383728379244069</v>
      </c>
      <c r="H676" s="6">
        <f t="shared" si="198"/>
        <v>-16.11354475217912</v>
      </c>
      <c r="I676" s="6">
        <f t="shared" si="199"/>
        <v>-0.27018362706494869</v>
      </c>
      <c r="J676" s="6">
        <v>8707.7900000000009</v>
      </c>
      <c r="K676" s="6">
        <f t="shared" si="212"/>
        <v>-45.446919411980282</v>
      </c>
      <c r="L676" s="6">
        <f t="shared" si="200"/>
        <v>-12.365969630909278</v>
      </c>
      <c r="M676" s="6">
        <f t="shared" si="201"/>
        <v>-33.080949781071006</v>
      </c>
      <c r="N676" s="6">
        <v>4638.83</v>
      </c>
      <c r="O676" s="6">
        <f t="shared" si="213"/>
        <v>-28.040549449697117</v>
      </c>
      <c r="P676" s="6">
        <f t="shared" si="202"/>
        <v>-10.472878338942309</v>
      </c>
      <c r="Q676" s="6">
        <f t="shared" si="203"/>
        <v>-17.567671110754809</v>
      </c>
      <c r="R676" s="6">
        <v>1.1599999999999999</v>
      </c>
      <c r="S676" s="6">
        <f t="shared" si="214"/>
        <v>-21.088435374149661</v>
      </c>
      <c r="T676" s="6">
        <f t="shared" si="204"/>
        <v>-25.399269859539341</v>
      </c>
      <c r="U676" s="6">
        <f t="shared" si="205"/>
        <v>4.3108344853896803</v>
      </c>
      <c r="V676" s="6">
        <v>36.57</v>
      </c>
      <c r="W676" s="6">
        <f t="shared" si="215"/>
        <v>-39.752883031301486</v>
      </c>
      <c r="X676" s="6">
        <f t="shared" si="206"/>
        <v>-12.218172415080117</v>
      </c>
      <c r="Y676" s="6">
        <f t="shared" si="207"/>
        <v>-27.534710616221368</v>
      </c>
      <c r="Z676" s="6">
        <v>86.8</v>
      </c>
      <c r="AA676" s="6">
        <f t="shared" si="216"/>
        <v>-1.9209039548022666</v>
      </c>
      <c r="AB676" s="6">
        <f t="shared" si="208"/>
        <v>-0.51985148077355958</v>
      </c>
      <c r="AC676" s="6">
        <f t="shared" si="209"/>
        <v>-1.4010524740287069</v>
      </c>
    </row>
    <row r="677" spans="1:29" x14ac:dyDescent="0.2">
      <c r="A677" t="s">
        <v>761</v>
      </c>
      <c r="B677" s="6">
        <v>611.63</v>
      </c>
      <c r="C677" s="6">
        <f t="shared" si="210"/>
        <v>-15.00889333555666</v>
      </c>
      <c r="D677" s="6">
        <f t="shared" si="196"/>
        <v>-13.124675881894602</v>
      </c>
      <c r="E677" s="6">
        <f t="shared" si="197"/>
        <v>-1.8842174536620586</v>
      </c>
      <c r="F677" s="6">
        <v>49.02</v>
      </c>
      <c r="G677" s="6">
        <f t="shared" si="211"/>
        <v>-20.214843749999989</v>
      </c>
      <c r="H677" s="6">
        <f t="shared" si="198"/>
        <v>-16.336343106150434</v>
      </c>
      <c r="I677" s="6">
        <f t="shared" si="199"/>
        <v>-3.8785006438495557</v>
      </c>
      <c r="J677" s="6">
        <v>8507.2900000000009</v>
      </c>
      <c r="K677" s="6">
        <f t="shared" si="212"/>
        <v>-42.708726873317673</v>
      </c>
      <c r="L677" s="6">
        <f t="shared" si="200"/>
        <v>-12.807791032833158</v>
      </c>
      <c r="M677" s="6">
        <f t="shared" si="201"/>
        <v>-29.900935840484514</v>
      </c>
      <c r="N677" s="6">
        <v>4471.79</v>
      </c>
      <c r="O677" s="6">
        <f t="shared" si="213"/>
        <v>-23.304016437585538</v>
      </c>
      <c r="P677" s="6">
        <f t="shared" si="202"/>
        <v>-10.69679829866986</v>
      </c>
      <c r="Q677" s="6">
        <f t="shared" si="203"/>
        <v>-12.607218138915679</v>
      </c>
      <c r="R677" s="6">
        <v>1.08</v>
      </c>
      <c r="S677" s="6">
        <f t="shared" si="214"/>
        <v>-23.943661971830977</v>
      </c>
      <c r="T677" s="6">
        <f t="shared" si="204"/>
        <v>-25.243374167929371</v>
      </c>
      <c r="U677" s="6">
        <f t="shared" si="205"/>
        <v>1.2997121960983939</v>
      </c>
      <c r="V677" s="6">
        <v>29.78</v>
      </c>
      <c r="W677" s="6">
        <f t="shared" si="215"/>
        <v>-36.786244958607504</v>
      </c>
      <c r="X677" s="6">
        <f t="shared" si="206"/>
        <v>-13.375487574888162</v>
      </c>
      <c r="Y677" s="6">
        <f t="shared" si="207"/>
        <v>-23.410757383719343</v>
      </c>
      <c r="Z677" s="6">
        <v>85.9</v>
      </c>
      <c r="AA677" s="6">
        <f t="shared" si="216"/>
        <v>-3.2657657657657602</v>
      </c>
      <c r="AB677" s="6">
        <f t="shared" si="208"/>
        <v>-0.59238610655063195</v>
      </c>
      <c r="AC677" s="6">
        <f t="shared" si="209"/>
        <v>-2.6733796592151284</v>
      </c>
    </row>
    <row r="678" spans="1:29" x14ac:dyDescent="0.2">
      <c r="A678" t="s">
        <v>762</v>
      </c>
      <c r="B678" s="6">
        <v>679.17</v>
      </c>
      <c r="C678" s="6">
        <f t="shared" si="210"/>
        <v>-6.0674374861695028</v>
      </c>
      <c r="D678" s="6">
        <f t="shared" si="196"/>
        <v>-13.149577739316776</v>
      </c>
      <c r="E678" s="6">
        <f t="shared" si="197"/>
        <v>7.0821402531472728</v>
      </c>
      <c r="F678" s="6">
        <v>50.27</v>
      </c>
      <c r="G678" s="6">
        <f t="shared" si="211"/>
        <v>-27.197682838522809</v>
      </c>
      <c r="H678" s="6">
        <f t="shared" si="198"/>
        <v>-16.505560865434852</v>
      </c>
      <c r="I678" s="6">
        <f t="shared" si="199"/>
        <v>-10.692121973087957</v>
      </c>
      <c r="J678" s="6">
        <v>8298.5</v>
      </c>
      <c r="K678" s="6">
        <f t="shared" si="212"/>
        <v>-43.058932992265596</v>
      </c>
      <c r="L678" s="6">
        <f t="shared" si="200"/>
        <v>-13.227094282638054</v>
      </c>
      <c r="M678" s="6">
        <f t="shared" si="201"/>
        <v>-29.83183870962754</v>
      </c>
      <c r="N678" s="6">
        <v>4598.62</v>
      </c>
      <c r="O678" s="6">
        <f t="shared" si="213"/>
        <v>-19.734625877293276</v>
      </c>
      <c r="P678" s="6">
        <f t="shared" si="202"/>
        <v>-10.851948256881178</v>
      </c>
      <c r="Q678" s="6">
        <f t="shared" si="203"/>
        <v>-8.8826776204120979</v>
      </c>
      <c r="R678" s="6">
        <v>1.1000000000000001</v>
      </c>
      <c r="S678" s="6">
        <f t="shared" si="214"/>
        <v>-23.076923076923073</v>
      </c>
      <c r="T678" s="6">
        <f t="shared" si="204"/>
        <v>-25.026909652254957</v>
      </c>
      <c r="U678" s="6">
        <f t="shared" si="205"/>
        <v>1.9499865753318844</v>
      </c>
      <c r="V678" s="6">
        <v>31.03</v>
      </c>
      <c r="W678" s="6">
        <f t="shared" si="215"/>
        <v>-43.365577660156958</v>
      </c>
      <c r="X678" s="6">
        <f t="shared" si="206"/>
        <v>-14.465077661290264</v>
      </c>
      <c r="Y678" s="6">
        <f t="shared" si="207"/>
        <v>-28.900499998866692</v>
      </c>
      <c r="Z678" s="6">
        <v>85.9</v>
      </c>
      <c r="AA678" s="6">
        <f t="shared" si="216"/>
        <v>-3.0474040632054056</v>
      </c>
      <c r="AB678" s="6">
        <f t="shared" si="208"/>
        <v>-0.69279433247911282</v>
      </c>
      <c r="AC678" s="6">
        <f t="shared" si="209"/>
        <v>-2.3546097307262928</v>
      </c>
    </row>
    <row r="679" spans="1:29" x14ac:dyDescent="0.2">
      <c r="A679" t="s">
        <v>763</v>
      </c>
      <c r="B679" s="6">
        <v>715.95</v>
      </c>
      <c r="C679" s="6">
        <f t="shared" si="210"/>
        <v>2.4454110980740129</v>
      </c>
      <c r="D679" s="6">
        <f t="shared" si="196"/>
        <v>-12.99192816656044</v>
      </c>
      <c r="E679" s="6">
        <f t="shared" si="197"/>
        <v>15.437339264634453</v>
      </c>
      <c r="F679" s="6">
        <v>52.21</v>
      </c>
      <c r="G679" s="6">
        <f t="shared" si="211"/>
        <v>-19.379246448424958</v>
      </c>
      <c r="H679" s="6">
        <f t="shared" si="198"/>
        <v>-16.888126593522649</v>
      </c>
      <c r="I679" s="6">
        <f t="shared" si="199"/>
        <v>-2.4911198549023084</v>
      </c>
      <c r="J679" s="6">
        <v>8717.25</v>
      </c>
      <c r="K679" s="6">
        <f t="shared" si="212"/>
        <v>-36.627167314892226</v>
      </c>
      <c r="L679" s="6">
        <f t="shared" si="200"/>
        <v>-13.544660243188936</v>
      </c>
      <c r="M679" s="6">
        <f t="shared" si="201"/>
        <v>-23.08250707170329</v>
      </c>
      <c r="N679" s="6">
        <v>4953.8</v>
      </c>
      <c r="O679" s="6">
        <f t="shared" si="213"/>
        <v>-16.598060161591466</v>
      </c>
      <c r="P679" s="6">
        <f t="shared" si="202"/>
        <v>-10.961993578410684</v>
      </c>
      <c r="Q679" s="6">
        <f t="shared" si="203"/>
        <v>-5.6360665831807815</v>
      </c>
      <c r="R679" s="6">
        <v>1.28</v>
      </c>
      <c r="S679" s="6">
        <f t="shared" si="214"/>
        <v>-10.489510489510479</v>
      </c>
      <c r="T679" s="6">
        <f t="shared" si="204"/>
        <v>-24.835635872271496</v>
      </c>
      <c r="U679" s="6">
        <f t="shared" si="205"/>
        <v>14.346125382761016</v>
      </c>
      <c r="V679" s="6">
        <v>37.340000000000003</v>
      </c>
      <c r="W679" s="6">
        <f t="shared" si="215"/>
        <v>-29.320461858792346</v>
      </c>
      <c r="X679" s="6">
        <f t="shared" si="206"/>
        <v>-15.683016693034121</v>
      </c>
      <c r="Y679" s="6">
        <f t="shared" si="207"/>
        <v>-13.637445165758225</v>
      </c>
      <c r="Z679" s="6">
        <v>86</v>
      </c>
      <c r="AA679" s="6">
        <f t="shared" si="216"/>
        <v>-2.6047565118912819</v>
      </c>
      <c r="AB679" s="6">
        <f t="shared" si="208"/>
        <v>-0.77940437365900694</v>
      </c>
      <c r="AC679" s="6">
        <f t="shared" si="209"/>
        <v>-1.825352138232275</v>
      </c>
    </row>
    <row r="680" spans="1:29" x14ac:dyDescent="0.2">
      <c r="A680" t="s">
        <v>764</v>
      </c>
      <c r="B680" s="6">
        <v>775</v>
      </c>
      <c r="C680" s="6">
        <f t="shared" si="210"/>
        <v>13.511534236543387</v>
      </c>
      <c r="D680" s="6">
        <f t="shared" si="196"/>
        <v>-12.863134350743479</v>
      </c>
      <c r="E680" s="6">
        <f t="shared" si="197"/>
        <v>26.374668587286866</v>
      </c>
      <c r="F680" s="6">
        <v>50.69</v>
      </c>
      <c r="G680" s="6">
        <f t="shared" si="211"/>
        <v>-9.8684210526315823</v>
      </c>
      <c r="H680" s="6">
        <f t="shared" si="198"/>
        <v>-16.983481973312653</v>
      </c>
      <c r="I680" s="6">
        <f t="shared" si="199"/>
        <v>7.1150609206810707</v>
      </c>
      <c r="J680" s="6">
        <v>8878.86</v>
      </c>
      <c r="K680" s="6">
        <f t="shared" si="212"/>
        <v>-30.801064927534416</v>
      </c>
      <c r="L680" s="6">
        <f t="shared" si="200"/>
        <v>-13.679884399812158</v>
      </c>
      <c r="M680" s="6">
        <f t="shared" si="201"/>
        <v>-17.12118052772226</v>
      </c>
      <c r="N680" s="6">
        <v>4872.74</v>
      </c>
      <c r="O680" s="6">
        <f t="shared" si="213"/>
        <v>-19.353402547793898</v>
      </c>
      <c r="P680" s="6">
        <f t="shared" si="202"/>
        <v>-11.081423576978871</v>
      </c>
      <c r="Q680" s="6">
        <f t="shared" si="203"/>
        <v>-8.2719789708150273</v>
      </c>
      <c r="R680" s="6">
        <v>1.49</v>
      </c>
      <c r="S680" s="6">
        <f t="shared" si="214"/>
        <v>5.6737588652482351</v>
      </c>
      <c r="T680" s="6">
        <f t="shared" si="204"/>
        <v>-24.59790012317211</v>
      </c>
      <c r="U680" s="6">
        <f t="shared" si="205"/>
        <v>30.271658988420345</v>
      </c>
      <c r="V680" s="6">
        <v>40.75</v>
      </c>
      <c r="W680" s="6">
        <f t="shared" si="215"/>
        <v>-29.1797010775113</v>
      </c>
      <c r="X680" s="6">
        <f t="shared" si="206"/>
        <v>-16.469116589674286</v>
      </c>
      <c r="Y680" s="6">
        <f t="shared" si="207"/>
        <v>-12.710584487837014</v>
      </c>
      <c r="Z680" s="6">
        <v>86</v>
      </c>
      <c r="AA680" s="6">
        <f t="shared" si="216"/>
        <v>-1.6018306636155666</v>
      </c>
      <c r="AB680" s="6">
        <f t="shared" si="208"/>
        <v>-0.88991310395220502</v>
      </c>
      <c r="AC680" s="6">
        <f t="shared" si="209"/>
        <v>-0.71191755966336157</v>
      </c>
    </row>
    <row r="681" spans="1:29" x14ac:dyDescent="0.2">
      <c r="A681" t="s">
        <v>765</v>
      </c>
      <c r="B681" s="6">
        <v>753.42</v>
      </c>
      <c r="C681" s="6">
        <f t="shared" si="210"/>
        <v>8.0404388040438803</v>
      </c>
      <c r="D681" s="6">
        <f t="shared" si="196"/>
        <v>-12.605558802852647</v>
      </c>
      <c r="E681" s="6">
        <f t="shared" si="197"/>
        <v>20.645997606896529</v>
      </c>
      <c r="F681" s="6">
        <v>51.31</v>
      </c>
      <c r="G681" s="6">
        <f t="shared" si="211"/>
        <v>-16.14642915509069</v>
      </c>
      <c r="H681" s="6">
        <f t="shared" si="198"/>
        <v>-16.867475439120028</v>
      </c>
      <c r="I681" s="6">
        <f t="shared" si="199"/>
        <v>0.72104628402933812</v>
      </c>
      <c r="J681" s="6">
        <v>8660.35</v>
      </c>
      <c r="K681" s="6">
        <f t="shared" si="212"/>
        <v>-35.903100654709299</v>
      </c>
      <c r="L681" s="6">
        <f t="shared" si="200"/>
        <v>-13.653496487801812</v>
      </c>
      <c r="M681" s="6">
        <f t="shared" si="201"/>
        <v>-22.249604166907488</v>
      </c>
      <c r="N681" s="6">
        <v>4694.54</v>
      </c>
      <c r="O681" s="6">
        <f t="shared" si="213"/>
        <v>-25.421698613772048</v>
      </c>
      <c r="P681" s="6">
        <f t="shared" si="202"/>
        <v>-11.220535265454352</v>
      </c>
      <c r="Q681" s="6">
        <f t="shared" si="203"/>
        <v>-14.201163348317696</v>
      </c>
      <c r="R681" s="6">
        <v>1.36</v>
      </c>
      <c r="S681" s="6">
        <f t="shared" si="214"/>
        <v>-12.25806451612903</v>
      </c>
      <c r="T681" s="6">
        <f t="shared" si="204"/>
        <v>-23.930568711534434</v>
      </c>
      <c r="U681" s="6">
        <f t="shared" si="205"/>
        <v>11.672504195405404</v>
      </c>
      <c r="V681" s="6">
        <v>45.94</v>
      </c>
      <c r="W681" s="6">
        <f t="shared" si="215"/>
        <v>-26.507758758598619</v>
      </c>
      <c r="X681" s="6">
        <f t="shared" si="206"/>
        <v>-17.030965718855636</v>
      </c>
      <c r="Y681" s="6">
        <f t="shared" si="207"/>
        <v>-9.4767930397429829</v>
      </c>
      <c r="Z681" s="6">
        <v>86</v>
      </c>
      <c r="AA681" s="6">
        <f t="shared" si="216"/>
        <v>-1.1494252873563204</v>
      </c>
      <c r="AB681" s="6">
        <f t="shared" si="208"/>
        <v>-0.97020649803278447</v>
      </c>
      <c r="AC681" s="6">
        <f t="shared" si="209"/>
        <v>-0.17921878932353597</v>
      </c>
    </row>
    <row r="682" spans="1:29" x14ac:dyDescent="0.2">
      <c r="A682" t="s">
        <v>766</v>
      </c>
      <c r="B682" s="6">
        <v>718.18</v>
      </c>
      <c r="C682" s="6">
        <f t="shared" si="210"/>
        <v>1.7381819212080929</v>
      </c>
      <c r="D682" s="6">
        <f t="shared" si="196"/>
        <v>-12.260018249532129</v>
      </c>
      <c r="E682" s="6">
        <f t="shared" si="197"/>
        <v>13.998200170740223</v>
      </c>
      <c r="F682" s="6">
        <v>52.85</v>
      </c>
      <c r="G682" s="6">
        <f t="shared" si="211"/>
        <v>-10.362957937584804</v>
      </c>
      <c r="H682" s="6">
        <f t="shared" si="198"/>
        <v>-16.796532034876829</v>
      </c>
      <c r="I682" s="6">
        <f t="shared" si="199"/>
        <v>6.4335740972920252</v>
      </c>
      <c r="J682" s="6">
        <v>8928.35</v>
      </c>
      <c r="K682" s="6">
        <f t="shared" si="212"/>
        <v>-30.384484332834571</v>
      </c>
      <c r="L682" s="6">
        <f t="shared" si="200"/>
        <v>-13.785286609594761</v>
      </c>
      <c r="M682" s="6">
        <f t="shared" si="201"/>
        <v>-16.599197723239811</v>
      </c>
      <c r="N682" s="6">
        <v>4641.97</v>
      </c>
      <c r="O682" s="6">
        <f t="shared" si="213"/>
        <v>-20.418960365231676</v>
      </c>
      <c r="P682" s="6">
        <f t="shared" si="202"/>
        <v>-11.516645986113289</v>
      </c>
      <c r="Q682" s="6">
        <f t="shared" si="203"/>
        <v>-8.902314379118387</v>
      </c>
      <c r="R682" s="6">
        <v>1.26</v>
      </c>
      <c r="S682" s="6">
        <f t="shared" si="214"/>
        <v>-20.253164556962034</v>
      </c>
      <c r="T682" s="6">
        <f t="shared" si="204"/>
        <v>-23.660502577744349</v>
      </c>
      <c r="U682" s="6">
        <f t="shared" si="205"/>
        <v>3.4073380207823156</v>
      </c>
      <c r="V682" s="6">
        <v>47.69</v>
      </c>
      <c r="W682" s="6">
        <f t="shared" si="215"/>
        <v>-22.214973087587676</v>
      </c>
      <c r="X682" s="6">
        <f t="shared" si="206"/>
        <v>-17.506485730777257</v>
      </c>
      <c r="Y682" s="6">
        <f t="shared" si="207"/>
        <v>-4.7084873568104193</v>
      </c>
      <c r="Z682" s="6">
        <v>86</v>
      </c>
      <c r="AA682" s="6">
        <f t="shared" si="216"/>
        <v>-1.3761467889908285</v>
      </c>
      <c r="AB682" s="6">
        <f t="shared" si="208"/>
        <v>-1.0577121802199392</v>
      </c>
      <c r="AC682" s="6">
        <f t="shared" si="209"/>
        <v>-0.31843460877088936</v>
      </c>
    </row>
    <row r="683" spans="1:29" x14ac:dyDescent="0.2">
      <c r="A683" t="s">
        <v>767</v>
      </c>
      <c r="B683" s="6">
        <v>678.16</v>
      </c>
      <c r="C683" s="6">
        <f t="shared" si="210"/>
        <v>-0.27058823529412246</v>
      </c>
      <c r="D683" s="6">
        <f t="shared" si="196"/>
        <v>-11.936146152004317</v>
      </c>
      <c r="E683" s="6">
        <f t="shared" si="197"/>
        <v>11.665557916710195</v>
      </c>
      <c r="F683" s="6">
        <v>61.24</v>
      </c>
      <c r="G683" s="6">
        <f t="shared" si="211"/>
        <v>2.2370617696160222</v>
      </c>
      <c r="H683" s="6">
        <f t="shared" si="198"/>
        <v>-16.44167450072268</v>
      </c>
      <c r="I683" s="6">
        <f t="shared" si="199"/>
        <v>18.678736270338703</v>
      </c>
      <c r="J683" s="6">
        <v>10262.86</v>
      </c>
      <c r="K683" s="6">
        <f t="shared" si="212"/>
        <v>-10.078243422032573</v>
      </c>
      <c r="L683" s="6">
        <f t="shared" si="200"/>
        <v>-13.87269507524919</v>
      </c>
      <c r="M683" s="6">
        <f t="shared" si="201"/>
        <v>3.7944516532166173</v>
      </c>
      <c r="N683" s="6">
        <v>4864.8999999999996</v>
      </c>
      <c r="O683" s="6">
        <f t="shared" si="213"/>
        <v>-10.846199660970369</v>
      </c>
      <c r="P683" s="6">
        <f t="shared" si="202"/>
        <v>-11.564330340812694</v>
      </c>
      <c r="Q683" s="6">
        <f t="shared" si="203"/>
        <v>0.71813067984232504</v>
      </c>
      <c r="R683" s="6">
        <v>1.28</v>
      </c>
      <c r="S683" s="6">
        <f t="shared" si="214"/>
        <v>-11.724137931034473</v>
      </c>
      <c r="T683" s="6">
        <f t="shared" si="204"/>
        <v>-23.317325511914095</v>
      </c>
      <c r="U683" s="6">
        <f t="shared" si="205"/>
        <v>11.593187580879622</v>
      </c>
      <c r="V683" s="6">
        <v>44.13</v>
      </c>
      <c r="W683" s="6">
        <f t="shared" si="215"/>
        <v>-18.789105631210891</v>
      </c>
      <c r="X683" s="6">
        <f t="shared" si="206"/>
        <v>-17.671706739539882</v>
      </c>
      <c r="Y683" s="6">
        <f t="shared" si="207"/>
        <v>-1.1173988916710087</v>
      </c>
      <c r="Z683" s="6">
        <v>85.9</v>
      </c>
      <c r="AA683" s="6">
        <f t="shared" si="216"/>
        <v>-2.0524515393386511</v>
      </c>
      <c r="AB683" s="6">
        <f t="shared" si="208"/>
        <v>-1.1331983843913307</v>
      </c>
      <c r="AC683" s="6">
        <f t="shared" si="209"/>
        <v>-0.91925315494732041</v>
      </c>
    </row>
    <row r="684" spans="1:29" x14ac:dyDescent="0.2">
      <c r="A684" t="s">
        <v>768</v>
      </c>
      <c r="B684" s="6">
        <v>771.02</v>
      </c>
      <c r="C684" s="6">
        <f t="shared" si="210"/>
        <v>28.20845388938773</v>
      </c>
      <c r="D684" s="6">
        <f t="shared" si="196"/>
        <v>-11.711858892421789</v>
      </c>
      <c r="E684" s="6">
        <f t="shared" si="197"/>
        <v>39.920312781809521</v>
      </c>
      <c r="F684" s="6">
        <v>67.39</v>
      </c>
      <c r="G684" s="6">
        <f t="shared" si="211"/>
        <v>13.949949272911732</v>
      </c>
      <c r="H684" s="6">
        <f t="shared" si="198"/>
        <v>-15.834164975415375</v>
      </c>
      <c r="I684" s="6">
        <f t="shared" si="199"/>
        <v>29.784114248327107</v>
      </c>
      <c r="J684" s="6">
        <v>10335.99</v>
      </c>
      <c r="K684" s="6">
        <f t="shared" si="212"/>
        <v>-0.48151357596765143</v>
      </c>
      <c r="L684" s="6">
        <f t="shared" si="200"/>
        <v>-13.408287097848318</v>
      </c>
      <c r="M684" s="6">
        <f t="shared" si="201"/>
        <v>12.926773521880666</v>
      </c>
      <c r="N684" s="6">
        <v>4751.67</v>
      </c>
      <c r="O684" s="6">
        <f t="shared" si="213"/>
        <v>-7.3260780527763192</v>
      </c>
      <c r="P684" s="6">
        <f t="shared" si="202"/>
        <v>-11.34424328447075</v>
      </c>
      <c r="Q684" s="6">
        <f t="shared" si="203"/>
        <v>4.0181652316944305</v>
      </c>
      <c r="R684" s="6">
        <v>1.3</v>
      </c>
      <c r="S684" s="6">
        <f t="shared" si="214"/>
        <v>-0.76335877862595547</v>
      </c>
      <c r="T684" s="6">
        <f t="shared" si="204"/>
        <v>-22.798603239278489</v>
      </c>
      <c r="U684" s="6">
        <f t="shared" si="205"/>
        <v>22.035244460652532</v>
      </c>
      <c r="V684" s="6">
        <v>44.88</v>
      </c>
      <c r="W684" s="6">
        <f t="shared" si="215"/>
        <v>-1.7728168089297336</v>
      </c>
      <c r="X684" s="6">
        <f t="shared" si="206"/>
        <v>-17.84751603495166</v>
      </c>
      <c r="Y684" s="6">
        <f t="shared" si="207"/>
        <v>16.074699226021927</v>
      </c>
      <c r="Z684" s="6">
        <v>85.9</v>
      </c>
      <c r="AA684" s="6">
        <f t="shared" si="216"/>
        <v>-1.6036655211912887</v>
      </c>
      <c r="AB684" s="6">
        <f t="shared" si="208"/>
        <v>-1.1991833581647136</v>
      </c>
      <c r="AC684" s="6">
        <f t="shared" si="209"/>
        <v>-0.40448216302657514</v>
      </c>
    </row>
    <row r="685" spans="1:29" x14ac:dyDescent="0.2">
      <c r="A685" t="s">
        <v>769</v>
      </c>
      <c r="B685" s="6">
        <v>797.85</v>
      </c>
      <c r="C685" s="6">
        <f t="shared" si="210"/>
        <v>33.085904920767305</v>
      </c>
      <c r="D685" s="6">
        <f t="shared" si="196"/>
        <v>-10.807745887046005</v>
      </c>
      <c r="E685" s="6">
        <f t="shared" si="197"/>
        <v>43.893650807813309</v>
      </c>
      <c r="F685" s="6">
        <v>72.72</v>
      </c>
      <c r="G685" s="6">
        <f t="shared" si="211"/>
        <v>26.140503035559416</v>
      </c>
      <c r="H685" s="6">
        <f t="shared" si="198"/>
        <v>-15.038359145939859</v>
      </c>
      <c r="I685" s="6">
        <f t="shared" si="199"/>
        <v>41.178862181499277</v>
      </c>
      <c r="J685" s="6">
        <v>10191.780000000001</v>
      </c>
      <c r="K685" s="6">
        <f t="shared" si="212"/>
        <v>2.5582764363449861</v>
      </c>
      <c r="L685" s="6">
        <f t="shared" si="200"/>
        <v>-12.835628576912987</v>
      </c>
      <c r="M685" s="6">
        <f t="shared" si="201"/>
        <v>15.393905013257973</v>
      </c>
      <c r="N685" s="6">
        <v>4722.2</v>
      </c>
      <c r="O685" s="6">
        <f t="shared" si="213"/>
        <v>-9.488715319373231</v>
      </c>
      <c r="P685" s="6">
        <f t="shared" si="202"/>
        <v>-11.153095699651772</v>
      </c>
      <c r="Q685" s="6">
        <f t="shared" si="203"/>
        <v>1.6643803802785406</v>
      </c>
      <c r="R685" s="6">
        <v>1.36</v>
      </c>
      <c r="S685" s="6">
        <f t="shared" si="214"/>
        <v>9.6774193548387224</v>
      </c>
      <c r="T685" s="6">
        <f t="shared" si="204"/>
        <v>-21.903611886271865</v>
      </c>
      <c r="U685" s="6">
        <f t="shared" si="205"/>
        <v>31.581031241110587</v>
      </c>
      <c r="V685" s="6">
        <v>45.04</v>
      </c>
      <c r="W685" s="6">
        <f t="shared" si="215"/>
        <v>-2.6793431287813307</v>
      </c>
      <c r="X685" s="6">
        <f t="shared" si="206"/>
        <v>-17.983547472808109</v>
      </c>
      <c r="Y685" s="6">
        <f t="shared" si="207"/>
        <v>15.304204344026779</v>
      </c>
      <c r="Z685" s="6">
        <v>85.8</v>
      </c>
      <c r="AA685" s="6">
        <f t="shared" si="216"/>
        <v>-1.8306636155606459</v>
      </c>
      <c r="AB685" s="6">
        <f t="shared" si="208"/>
        <v>-1.2535193958085802</v>
      </c>
      <c r="AC685" s="6">
        <f t="shared" si="209"/>
        <v>-0.57714421975206576</v>
      </c>
    </row>
    <row r="686" spans="1:29" x14ac:dyDescent="0.2">
      <c r="A686" t="s">
        <v>770</v>
      </c>
      <c r="B686" s="6">
        <v>749.75</v>
      </c>
      <c r="C686" s="6">
        <f t="shared" si="210"/>
        <v>17.76116355411752</v>
      </c>
      <c r="D686" s="6">
        <f t="shared" si="196"/>
        <v>-9.8695553438654073</v>
      </c>
      <c r="E686" s="6">
        <f t="shared" si="197"/>
        <v>27.630718897982927</v>
      </c>
      <c r="F686" s="6">
        <v>94.2</v>
      </c>
      <c r="G686" s="6">
        <f t="shared" si="211"/>
        <v>73.60855141909326</v>
      </c>
      <c r="H686" s="6">
        <f t="shared" si="198"/>
        <v>-13.916105354905014</v>
      </c>
      <c r="I686" s="6">
        <f t="shared" si="199"/>
        <v>87.524656773998274</v>
      </c>
      <c r="J686" s="6">
        <v>10259.74</v>
      </c>
      <c r="K686" s="6">
        <f t="shared" si="212"/>
        <v>-0.55336765266075227</v>
      </c>
      <c r="L686" s="6">
        <f t="shared" si="200"/>
        <v>-12.466458215903563</v>
      </c>
      <c r="M686" s="6">
        <f t="shared" si="201"/>
        <v>11.913090563242811</v>
      </c>
      <c r="N686" s="6">
        <v>4731.26</v>
      </c>
      <c r="O686" s="6">
        <f t="shared" si="213"/>
        <v>-9.2948933013042296</v>
      </c>
      <c r="P686" s="6">
        <f t="shared" si="202"/>
        <v>-11.297464915037855</v>
      </c>
      <c r="Q686" s="6">
        <f t="shared" si="203"/>
        <v>2.0025716137336254</v>
      </c>
      <c r="R686" s="6">
        <v>1.48</v>
      </c>
      <c r="S686" s="6">
        <f t="shared" si="214"/>
        <v>19.354838709677423</v>
      </c>
      <c r="T686" s="6">
        <f t="shared" si="204"/>
        <v>-20.890789543518036</v>
      </c>
      <c r="U686" s="6">
        <f t="shared" si="205"/>
        <v>40.245628253195463</v>
      </c>
      <c r="V686" s="6">
        <v>49.29</v>
      </c>
      <c r="W686" s="6">
        <f t="shared" si="215"/>
        <v>4.9616695059625071</v>
      </c>
      <c r="X686" s="6">
        <f t="shared" si="206"/>
        <v>-18.152191957666385</v>
      </c>
      <c r="Y686" s="6">
        <f t="shared" si="207"/>
        <v>23.113861463628893</v>
      </c>
      <c r="Z686" s="6">
        <v>85.8</v>
      </c>
      <c r="AA686" s="6">
        <f t="shared" si="216"/>
        <v>-1.2658227848101333</v>
      </c>
      <c r="AB686" s="6">
        <f t="shared" si="208"/>
        <v>-1.3125612311662052</v>
      </c>
      <c r="AC686" s="6">
        <f t="shared" si="209"/>
        <v>4.6738446356071828E-2</v>
      </c>
    </row>
    <row r="687" spans="1:29" x14ac:dyDescent="0.2">
      <c r="A687" t="s">
        <v>771</v>
      </c>
      <c r="B687" s="6">
        <v>766.93</v>
      </c>
      <c r="C687" s="6">
        <f t="shared" si="210"/>
        <v>26.096249650614077</v>
      </c>
      <c r="D687" s="6">
        <f t="shared" si="196"/>
        <v>-9.1829681295564729</v>
      </c>
      <c r="E687" s="6">
        <f t="shared" si="197"/>
        <v>35.279217780170548</v>
      </c>
      <c r="F687" s="6">
        <v>103.43</v>
      </c>
      <c r="G687" s="6">
        <f t="shared" si="211"/>
        <v>97.122165046693382</v>
      </c>
      <c r="H687" s="6">
        <f t="shared" si="198"/>
        <v>-11.727527836909799</v>
      </c>
      <c r="I687" s="6">
        <f t="shared" si="199"/>
        <v>108.84969288360318</v>
      </c>
      <c r="J687" s="6">
        <v>11128.91</v>
      </c>
      <c r="K687" s="6">
        <f t="shared" si="212"/>
        <v>20.386334109665061</v>
      </c>
      <c r="L687" s="6">
        <f t="shared" si="200"/>
        <v>-12.273329482247592</v>
      </c>
      <c r="M687" s="6">
        <f t="shared" si="201"/>
        <v>32.659663591912654</v>
      </c>
      <c r="N687" s="6">
        <v>5450.93</v>
      </c>
      <c r="O687" s="6">
        <f t="shared" si="213"/>
        <v>13.563407570991082</v>
      </c>
      <c r="P687" s="6">
        <f t="shared" si="202"/>
        <v>-11.67927427904406</v>
      </c>
      <c r="Q687" s="6">
        <f t="shared" si="203"/>
        <v>25.24268185003514</v>
      </c>
      <c r="R687" s="6">
        <v>1.66</v>
      </c>
      <c r="S687" s="6">
        <f t="shared" si="214"/>
        <v>43.103448275862078</v>
      </c>
      <c r="T687" s="6">
        <f t="shared" si="204"/>
        <v>-19.910562103079496</v>
      </c>
      <c r="U687" s="6">
        <f t="shared" si="205"/>
        <v>63.014010378941578</v>
      </c>
      <c r="V687" s="6">
        <v>45.26</v>
      </c>
      <c r="W687" s="6">
        <f t="shared" si="215"/>
        <v>4.9872419392252398</v>
      </c>
      <c r="X687" s="6">
        <f t="shared" si="206"/>
        <v>-18.12310192675119</v>
      </c>
      <c r="Y687" s="6">
        <f t="shared" si="207"/>
        <v>23.110343865976429</v>
      </c>
      <c r="Z687" s="6">
        <v>86.1</v>
      </c>
      <c r="AA687" s="6">
        <f t="shared" si="216"/>
        <v>-1.0344827586206917</v>
      </c>
      <c r="AB687" s="6">
        <f t="shared" si="208"/>
        <v>-1.3550645450827876</v>
      </c>
      <c r="AC687" s="6">
        <f t="shared" si="209"/>
        <v>0.3205817864620959</v>
      </c>
    </row>
    <row r="688" spans="1:29" x14ac:dyDescent="0.2">
      <c r="A688" t="s">
        <v>772</v>
      </c>
      <c r="B688" s="6">
        <v>811.38</v>
      </c>
      <c r="C688" s="6">
        <f t="shared" si="210"/>
        <v>33.586881359280852</v>
      </c>
      <c r="D688" s="6">
        <f t="shared" si="196"/>
        <v>-8.1711272629311136</v>
      </c>
      <c r="E688" s="6">
        <f t="shared" si="197"/>
        <v>41.758008622211968</v>
      </c>
      <c r="F688" s="6">
        <v>88.15</v>
      </c>
      <c r="G688" s="6">
        <f t="shared" si="211"/>
        <v>68.837387473664052</v>
      </c>
      <c r="H688" s="6">
        <f t="shared" si="198"/>
        <v>-9.1934782201397187</v>
      </c>
      <c r="I688" s="6">
        <f t="shared" si="199"/>
        <v>78.030865693803776</v>
      </c>
      <c r="J688" s="6">
        <v>10972.27</v>
      </c>
      <c r="K688" s="6">
        <f t="shared" si="212"/>
        <v>26.005220612807612</v>
      </c>
      <c r="L688" s="6">
        <f t="shared" si="200"/>
        <v>-11.669382013134445</v>
      </c>
      <c r="M688" s="6">
        <f t="shared" si="201"/>
        <v>37.674602625942057</v>
      </c>
      <c r="N688" s="6">
        <v>5660.35</v>
      </c>
      <c r="O688" s="6">
        <f t="shared" si="213"/>
        <v>22.021069968073846</v>
      </c>
      <c r="P688" s="6">
        <f t="shared" si="202"/>
        <v>-11.432486181752417</v>
      </c>
      <c r="Q688" s="6">
        <f t="shared" si="203"/>
        <v>33.453556149826262</v>
      </c>
      <c r="R688" s="6">
        <v>1.93</v>
      </c>
      <c r="S688" s="6">
        <f t="shared" si="214"/>
        <v>66.379310344827601</v>
      </c>
      <c r="T688" s="6">
        <f t="shared" si="204"/>
        <v>-18.680992015750789</v>
      </c>
      <c r="U688" s="6">
        <f t="shared" si="205"/>
        <v>85.06030236057839</v>
      </c>
      <c r="V688" s="6">
        <v>52.62</v>
      </c>
      <c r="W688" s="6">
        <f t="shared" si="215"/>
        <v>43.888433141919592</v>
      </c>
      <c r="X688" s="6">
        <f t="shared" si="206"/>
        <v>-17.935401287024224</v>
      </c>
      <c r="Y688" s="6">
        <f t="shared" si="207"/>
        <v>61.823834428943812</v>
      </c>
      <c r="Z688" s="6">
        <v>86.1</v>
      </c>
      <c r="AA688" s="6">
        <f t="shared" si="216"/>
        <v>-0.80645161290322509</v>
      </c>
      <c r="AB688" s="6">
        <f t="shared" si="208"/>
        <v>-1.3881391305776514</v>
      </c>
      <c r="AC688" s="6">
        <f t="shared" si="209"/>
        <v>0.58168751767442628</v>
      </c>
    </row>
    <row r="689" spans="1:29" x14ac:dyDescent="0.2">
      <c r="A689" t="s">
        <v>773</v>
      </c>
      <c r="B689" s="6">
        <v>825</v>
      </c>
      <c r="C689" s="6">
        <f t="shared" si="210"/>
        <v>34.885469973676898</v>
      </c>
      <c r="D689" s="6">
        <f t="shared" si="196"/>
        <v>-6.9550719901485012</v>
      </c>
      <c r="E689" s="6">
        <f t="shared" si="197"/>
        <v>41.840541963825402</v>
      </c>
      <c r="F689" s="6">
        <v>83.73</v>
      </c>
      <c r="G689" s="6">
        <f t="shared" si="211"/>
        <v>70.807833537331689</v>
      </c>
      <c r="H689" s="6">
        <f t="shared" si="198"/>
        <v>-7.4105252974669495</v>
      </c>
      <c r="I689" s="6">
        <f t="shared" si="199"/>
        <v>78.218358834798636</v>
      </c>
      <c r="J689" s="6">
        <v>9971.4599999999991</v>
      </c>
      <c r="K689" s="6">
        <f t="shared" si="212"/>
        <v>17.210768646654785</v>
      </c>
      <c r="L689" s="6">
        <f t="shared" si="200"/>
        <v>-11.034283611628547</v>
      </c>
      <c r="M689" s="6">
        <f t="shared" si="201"/>
        <v>28.24505225828333</v>
      </c>
      <c r="N689" s="6">
        <v>5754.56</v>
      </c>
      <c r="O689" s="6">
        <f t="shared" si="213"/>
        <v>28.685828270111081</v>
      </c>
      <c r="P689" s="6">
        <f t="shared" si="202"/>
        <v>-11.084141451196482</v>
      </c>
      <c r="Q689" s="6">
        <f t="shared" si="203"/>
        <v>39.769969721307561</v>
      </c>
      <c r="R689" s="6">
        <v>2.16</v>
      </c>
      <c r="S689" s="6">
        <f t="shared" si="214"/>
        <v>100</v>
      </c>
      <c r="T689" s="6">
        <f t="shared" si="204"/>
        <v>-17.018238970631554</v>
      </c>
      <c r="U689" s="6">
        <f t="shared" si="205"/>
        <v>117.01823897063156</v>
      </c>
      <c r="V689" s="6">
        <v>53.59</v>
      </c>
      <c r="W689" s="6">
        <f t="shared" si="215"/>
        <v>79.952988582941572</v>
      </c>
      <c r="X689" s="6">
        <f t="shared" si="206"/>
        <v>-16.960295873838984</v>
      </c>
      <c r="Y689" s="6">
        <f t="shared" si="207"/>
        <v>96.913284456780559</v>
      </c>
      <c r="Z689" s="6">
        <v>85.9</v>
      </c>
      <c r="AA689" s="6">
        <f t="shared" si="216"/>
        <v>0</v>
      </c>
      <c r="AB689" s="6">
        <f t="shared" si="208"/>
        <v>-1.4003664773429929</v>
      </c>
      <c r="AC689" s="6">
        <f t="shared" si="209"/>
        <v>1.4003664773429929</v>
      </c>
    </row>
    <row r="690" spans="1:29" x14ac:dyDescent="0.2">
      <c r="A690" t="s">
        <v>774</v>
      </c>
      <c r="B690" s="6">
        <v>808.61</v>
      </c>
      <c r="C690" s="6">
        <f t="shared" si="210"/>
        <v>19.058556767819557</v>
      </c>
      <c r="D690" s="6">
        <f t="shared" si="196"/>
        <v>-5.7851449482514141</v>
      </c>
      <c r="E690" s="6">
        <f t="shared" si="197"/>
        <v>24.843701716070971</v>
      </c>
      <c r="F690" s="6">
        <v>79.98</v>
      </c>
      <c r="G690" s="6">
        <f t="shared" si="211"/>
        <v>59.100855380942896</v>
      </c>
      <c r="H690" s="6">
        <f t="shared" si="198"/>
        <v>-5.5115756771113125</v>
      </c>
      <c r="I690" s="6">
        <f t="shared" si="199"/>
        <v>64.612431058054213</v>
      </c>
      <c r="J690" s="6">
        <v>10643.3</v>
      </c>
      <c r="K690" s="6">
        <f t="shared" si="212"/>
        <v>28.255708863047534</v>
      </c>
      <c r="L690" s="6">
        <f t="shared" si="200"/>
        <v>-10.425757661900281</v>
      </c>
      <c r="M690" s="6">
        <f t="shared" si="201"/>
        <v>38.681466524947815</v>
      </c>
      <c r="N690" s="6">
        <v>5940.91</v>
      </c>
      <c r="O690" s="6">
        <f t="shared" si="213"/>
        <v>29.188974083529406</v>
      </c>
      <c r="P690" s="6">
        <f t="shared" si="202"/>
        <v>-10.488305268654237</v>
      </c>
      <c r="Q690" s="6">
        <f t="shared" si="203"/>
        <v>39.677279352183646</v>
      </c>
      <c r="R690" s="6">
        <v>2.23</v>
      </c>
      <c r="S690" s="6">
        <f t="shared" si="214"/>
        <v>102.72727272727269</v>
      </c>
      <c r="T690" s="6">
        <f t="shared" si="204"/>
        <v>-14.661096113488698</v>
      </c>
      <c r="U690" s="6">
        <f t="shared" si="205"/>
        <v>117.38836884076139</v>
      </c>
      <c r="V690" s="6">
        <v>54.35</v>
      </c>
      <c r="W690" s="6">
        <f t="shared" si="215"/>
        <v>75.153077666774081</v>
      </c>
      <c r="X690" s="6">
        <f t="shared" si="206"/>
        <v>-15.256276990636495</v>
      </c>
      <c r="Y690" s="6">
        <f t="shared" si="207"/>
        <v>90.409354657410574</v>
      </c>
      <c r="Z690" s="6">
        <v>85.7</v>
      </c>
      <c r="AA690" s="6">
        <f t="shared" si="216"/>
        <v>-0.23282887077997749</v>
      </c>
      <c r="AB690" s="6">
        <f t="shared" si="208"/>
        <v>-1.4026433443739581</v>
      </c>
      <c r="AC690" s="6">
        <f t="shared" si="209"/>
        <v>1.1698144735939806</v>
      </c>
    </row>
    <row r="691" spans="1:29" x14ac:dyDescent="0.2">
      <c r="A691" t="s">
        <v>775</v>
      </c>
      <c r="B691" s="6">
        <v>778.7</v>
      </c>
      <c r="C691" s="6">
        <f t="shared" si="210"/>
        <v>8.7645785320203942</v>
      </c>
      <c r="D691" s="6">
        <f t="shared" si="196"/>
        <v>-4.9761142195143515</v>
      </c>
      <c r="E691" s="6">
        <f t="shared" si="197"/>
        <v>13.740692751534745</v>
      </c>
      <c r="F691" s="6">
        <v>80.900000000000006</v>
      </c>
      <c r="G691" s="6">
        <f t="shared" si="211"/>
        <v>54.951158781842558</v>
      </c>
      <c r="H691" s="6">
        <f t="shared" si="198"/>
        <v>-3.8872126592728478</v>
      </c>
      <c r="I691" s="6">
        <f t="shared" si="199"/>
        <v>58.838371441115406</v>
      </c>
      <c r="J691" s="6">
        <v>10204.66</v>
      </c>
      <c r="K691" s="6">
        <f t="shared" si="212"/>
        <v>17.062835183113933</v>
      </c>
      <c r="L691" s="6">
        <f t="shared" si="200"/>
        <v>-9.5609114843761365</v>
      </c>
      <c r="M691" s="6">
        <f t="shared" si="201"/>
        <v>26.623746667490067</v>
      </c>
      <c r="N691" s="6">
        <v>5824.63</v>
      </c>
      <c r="O691" s="6">
        <f t="shared" si="213"/>
        <v>17.579030239412162</v>
      </c>
      <c r="P691" s="6">
        <f t="shared" si="202"/>
        <v>-9.7862806240210745</v>
      </c>
      <c r="Q691" s="6">
        <f t="shared" si="203"/>
        <v>27.365310863433237</v>
      </c>
      <c r="R691" s="6">
        <v>1.97</v>
      </c>
      <c r="S691" s="6">
        <f t="shared" si="214"/>
        <v>53.90625</v>
      </c>
      <c r="T691" s="6">
        <f t="shared" si="204"/>
        <v>-12.113096273822194</v>
      </c>
      <c r="U691" s="6">
        <f t="shared" si="205"/>
        <v>66.019346273822194</v>
      </c>
      <c r="V691" s="6">
        <v>50.9</v>
      </c>
      <c r="W691" s="6">
        <f t="shared" si="215"/>
        <v>36.31494376004283</v>
      </c>
      <c r="X691" s="6">
        <f t="shared" si="206"/>
        <v>-13.59722703014962</v>
      </c>
      <c r="Y691" s="6">
        <f t="shared" si="207"/>
        <v>49.912170790192448</v>
      </c>
      <c r="Z691" s="6">
        <v>85.7</v>
      </c>
      <c r="AA691" s="6">
        <f t="shared" si="216"/>
        <v>-0.34883720930232176</v>
      </c>
      <c r="AB691" s="6">
        <f t="shared" si="208"/>
        <v>-1.4349363168693972</v>
      </c>
      <c r="AC691" s="6">
        <f t="shared" si="209"/>
        <v>1.0860991075670754</v>
      </c>
    </row>
    <row r="692" spans="1:29" x14ac:dyDescent="0.2">
      <c r="A692" t="s">
        <v>776</v>
      </c>
      <c r="B692" s="6">
        <v>752.06</v>
      </c>
      <c r="C692" s="6">
        <f t="shared" si="210"/>
        <v>-2.9600000000000071</v>
      </c>
      <c r="D692" s="6">
        <f t="shared" si="196"/>
        <v>-4.2639623892389844</v>
      </c>
      <c r="E692" s="6">
        <f t="shared" si="197"/>
        <v>1.3039623892389773</v>
      </c>
      <c r="F692" s="6">
        <v>83.65</v>
      </c>
      <c r="G692" s="6">
        <f t="shared" si="211"/>
        <v>65.022686920497151</v>
      </c>
      <c r="H692" s="6">
        <f t="shared" si="198"/>
        <v>-2.422898123108848</v>
      </c>
      <c r="I692" s="6">
        <f t="shared" si="199"/>
        <v>67.445585043606002</v>
      </c>
      <c r="J692" s="6">
        <v>9609.2800000000007</v>
      </c>
      <c r="K692" s="6">
        <f t="shared" si="212"/>
        <v>8.2265065560218389</v>
      </c>
      <c r="L692" s="6">
        <f t="shared" si="200"/>
        <v>-8.9893099061963788</v>
      </c>
      <c r="M692" s="6">
        <f t="shared" si="201"/>
        <v>17.215816462218218</v>
      </c>
      <c r="N692" s="6">
        <v>5683.9</v>
      </c>
      <c r="O692" s="6">
        <f t="shared" si="213"/>
        <v>16.646896817806823</v>
      </c>
      <c r="P692" s="6">
        <f t="shared" si="202"/>
        <v>-9.2170982460616653</v>
      </c>
      <c r="Q692" s="6">
        <f t="shared" si="203"/>
        <v>25.863995063868487</v>
      </c>
      <c r="R692" s="6">
        <v>1.65</v>
      </c>
      <c r="S692" s="6">
        <f t="shared" si="214"/>
        <v>10.738255033557031</v>
      </c>
      <c r="T692" s="6">
        <f t="shared" si="204"/>
        <v>-10.449925942032072</v>
      </c>
      <c r="U692" s="6">
        <f t="shared" si="205"/>
        <v>21.188180975589106</v>
      </c>
      <c r="V692" s="6">
        <v>52.16</v>
      </c>
      <c r="W692" s="6">
        <f t="shared" si="215"/>
        <v>28.000000000000004</v>
      </c>
      <c r="X692" s="6">
        <f t="shared" si="206"/>
        <v>-12.570587596713089</v>
      </c>
      <c r="Y692" s="6">
        <f t="shared" si="207"/>
        <v>40.570587596713096</v>
      </c>
      <c r="Z692" s="6">
        <v>85.6</v>
      </c>
      <c r="AA692" s="6">
        <f t="shared" si="216"/>
        <v>-0.46511627906977715</v>
      </c>
      <c r="AB692" s="6">
        <f t="shared" si="208"/>
        <v>-1.4604585962618082</v>
      </c>
      <c r="AC692" s="6">
        <f t="shared" si="209"/>
        <v>0.99534231719203103</v>
      </c>
    </row>
    <row r="693" spans="1:29" x14ac:dyDescent="0.2">
      <c r="A693" t="s">
        <v>777</v>
      </c>
      <c r="B693" s="6">
        <v>762.75</v>
      </c>
      <c r="C693" s="6">
        <f t="shared" si="210"/>
        <v>1.2383531098192346</v>
      </c>
      <c r="D693" s="6">
        <f t="shared" si="196"/>
        <v>-3.7186030644388741</v>
      </c>
      <c r="E693" s="6">
        <f t="shared" si="197"/>
        <v>4.9569561742581083</v>
      </c>
      <c r="F693" s="6">
        <v>74.42</v>
      </c>
      <c r="G693" s="6">
        <f t="shared" si="211"/>
        <v>45.039953225492098</v>
      </c>
      <c r="H693" s="6">
        <f t="shared" si="198"/>
        <v>-0.74989635771677943</v>
      </c>
      <c r="I693" s="6">
        <f t="shared" si="199"/>
        <v>45.789849583208877</v>
      </c>
      <c r="J693" s="6">
        <v>9155.1200000000008</v>
      </c>
      <c r="K693" s="6">
        <f t="shared" si="212"/>
        <v>5.713048548846178</v>
      </c>
      <c r="L693" s="6">
        <f t="shared" si="200"/>
        <v>-8.5546780533329798</v>
      </c>
      <c r="M693" s="6">
        <f t="shared" si="201"/>
        <v>14.267726602179158</v>
      </c>
      <c r="N693" s="6">
        <v>5599.56</v>
      </c>
      <c r="O693" s="6">
        <f t="shared" si="213"/>
        <v>19.278140137265854</v>
      </c>
      <c r="P693" s="6">
        <f t="shared" si="202"/>
        <v>-8.6050923305486879</v>
      </c>
      <c r="Q693" s="6">
        <f t="shared" si="203"/>
        <v>27.883232467814544</v>
      </c>
      <c r="R693" s="6">
        <v>1.53</v>
      </c>
      <c r="S693" s="6">
        <f t="shared" si="214"/>
        <v>12.5</v>
      </c>
      <c r="T693" s="6">
        <f t="shared" si="204"/>
        <v>-9.5659208565196661</v>
      </c>
      <c r="U693" s="6">
        <f t="shared" si="205"/>
        <v>22.065920856519668</v>
      </c>
      <c r="V693" s="6">
        <v>49.89</v>
      </c>
      <c r="W693" s="6">
        <f t="shared" si="215"/>
        <v>8.5981715280801119</v>
      </c>
      <c r="X693" s="6">
        <f t="shared" si="206"/>
        <v>-11.715634662781534</v>
      </c>
      <c r="Y693" s="6">
        <f t="shared" si="207"/>
        <v>20.313806190861648</v>
      </c>
      <c r="Z693" s="6">
        <v>85.5</v>
      </c>
      <c r="AA693" s="6">
        <f t="shared" si="216"/>
        <v>-0.58139534883721034</v>
      </c>
      <c r="AB693" s="6">
        <f t="shared" si="208"/>
        <v>-1.4678540987717976</v>
      </c>
      <c r="AC693" s="6">
        <f t="shared" si="209"/>
        <v>0.88645874993458729</v>
      </c>
    </row>
    <row r="694" spans="1:29" x14ac:dyDescent="0.2">
      <c r="A694" t="s">
        <v>778</v>
      </c>
      <c r="B694" s="6">
        <v>735.14</v>
      </c>
      <c r="C694" s="6">
        <f t="shared" si="210"/>
        <v>2.3615249658859971</v>
      </c>
      <c r="D694" s="6">
        <f t="shared" si="196"/>
        <v>-3.2381188561324539</v>
      </c>
      <c r="E694" s="6">
        <f t="shared" si="197"/>
        <v>5.599643822018451</v>
      </c>
      <c r="F694" s="6">
        <v>81.09</v>
      </c>
      <c r="G694" s="6">
        <f t="shared" si="211"/>
        <v>53.434247871333973</v>
      </c>
      <c r="H694" s="6">
        <f t="shared" si="198"/>
        <v>0.36496388037822286</v>
      </c>
      <c r="I694" s="6">
        <f t="shared" si="199"/>
        <v>53.069283990955753</v>
      </c>
      <c r="J694" s="6">
        <v>8931.76</v>
      </c>
      <c r="K694" s="6">
        <f t="shared" si="212"/>
        <v>3.8192947185078374E-2</v>
      </c>
      <c r="L694" s="6">
        <f t="shared" si="200"/>
        <v>-8.1768621692833108</v>
      </c>
      <c r="M694" s="6">
        <f t="shared" si="201"/>
        <v>8.2150551164683883</v>
      </c>
      <c r="N694" s="6">
        <v>5719.76</v>
      </c>
      <c r="O694" s="6">
        <f t="shared" si="213"/>
        <v>23.218374957184128</v>
      </c>
      <c r="P694" s="6">
        <f t="shared" si="202"/>
        <v>-8.0185248587047138</v>
      </c>
      <c r="Q694" s="6">
        <f t="shared" si="203"/>
        <v>31.23689981588884</v>
      </c>
      <c r="R694" s="6">
        <v>1.44</v>
      </c>
      <c r="S694" s="6">
        <f t="shared" si="214"/>
        <v>14.285714285714279</v>
      </c>
      <c r="T694" s="6">
        <f t="shared" si="204"/>
        <v>-8.7692615863027008</v>
      </c>
      <c r="U694" s="6">
        <f t="shared" si="205"/>
        <v>23.054975872016982</v>
      </c>
      <c r="V694" s="6">
        <v>46.17</v>
      </c>
      <c r="W694" s="6">
        <f t="shared" si="215"/>
        <v>-3.1872509960159334</v>
      </c>
      <c r="X694" s="6">
        <f t="shared" si="206"/>
        <v>-11.442036559706098</v>
      </c>
      <c r="Y694" s="6">
        <f t="shared" si="207"/>
        <v>8.2547855636901648</v>
      </c>
      <c r="Z694" s="6">
        <v>85.5</v>
      </c>
      <c r="AA694" s="6">
        <f t="shared" si="216"/>
        <v>-0.58139534883721034</v>
      </c>
      <c r="AB694" s="6">
        <f t="shared" si="208"/>
        <v>-1.4685447182468414</v>
      </c>
      <c r="AC694" s="6">
        <f t="shared" si="209"/>
        <v>0.88714936940963107</v>
      </c>
    </row>
    <row r="695" spans="1:29" x14ac:dyDescent="0.2">
      <c r="A695" t="s">
        <v>779</v>
      </c>
      <c r="B695" s="6">
        <v>720.48</v>
      </c>
      <c r="C695" s="6">
        <f t="shared" si="210"/>
        <v>6.2404152412410152</v>
      </c>
      <c r="D695" s="6">
        <f t="shared" si="196"/>
        <v>-2.8831118815158256</v>
      </c>
      <c r="E695" s="6">
        <f t="shared" si="197"/>
        <v>9.1235271227568404</v>
      </c>
      <c r="F695" s="6">
        <v>87.49</v>
      </c>
      <c r="G695" s="6">
        <f t="shared" si="211"/>
        <v>42.864141084258648</v>
      </c>
      <c r="H695" s="6">
        <f t="shared" si="198"/>
        <v>1.5842675256504268</v>
      </c>
      <c r="I695" s="6">
        <f t="shared" si="199"/>
        <v>41.279873558608223</v>
      </c>
      <c r="J695" s="6">
        <v>9491.39</v>
      </c>
      <c r="K695" s="6">
        <f t="shared" si="212"/>
        <v>-7.5171053682891671</v>
      </c>
      <c r="L695" s="6">
        <f t="shared" si="200"/>
        <v>-7.8904448936852312</v>
      </c>
      <c r="M695" s="6">
        <f t="shared" si="201"/>
        <v>0.37333952539606408</v>
      </c>
      <c r="N695" s="6">
        <v>5985.12</v>
      </c>
      <c r="O695" s="6">
        <f t="shared" si="213"/>
        <v>23.026578141380092</v>
      </c>
      <c r="P695" s="6">
        <f t="shared" si="202"/>
        <v>-7.41615193166301</v>
      </c>
      <c r="Q695" s="6">
        <f t="shared" si="203"/>
        <v>30.442730073043101</v>
      </c>
      <c r="R695" s="6">
        <v>1.52</v>
      </c>
      <c r="S695" s="6">
        <f t="shared" si="214"/>
        <v>18.75</v>
      </c>
      <c r="T695" s="6">
        <f t="shared" si="204"/>
        <v>-8.0855702776113958</v>
      </c>
      <c r="U695" s="6">
        <f t="shared" si="205"/>
        <v>26.835570277611396</v>
      </c>
      <c r="V695" s="6">
        <v>47.66</v>
      </c>
      <c r="W695" s="6">
        <f t="shared" si="215"/>
        <v>7.9990935871289137</v>
      </c>
      <c r="X695" s="6">
        <f t="shared" si="206"/>
        <v>-11.715324355654822</v>
      </c>
      <c r="Y695" s="6">
        <f t="shared" si="207"/>
        <v>19.714417942783736</v>
      </c>
      <c r="Z695" s="6">
        <v>85.7</v>
      </c>
      <c r="AA695" s="6">
        <f t="shared" si="216"/>
        <v>-0.23282887077997749</v>
      </c>
      <c r="AB695" s="6">
        <f t="shared" si="208"/>
        <v>-1.4714996121901069</v>
      </c>
      <c r="AC695" s="6">
        <f t="shared" si="209"/>
        <v>1.2386707414101294</v>
      </c>
    </row>
    <row r="696" spans="1:29" x14ac:dyDescent="0.2">
      <c r="A696" t="s">
        <v>780</v>
      </c>
      <c r="B696" s="6">
        <v>717.95</v>
      </c>
      <c r="C696" s="6">
        <f t="shared" si="210"/>
        <v>-6.8830899328162669</v>
      </c>
      <c r="D696" s="6">
        <f t="shared" si="196"/>
        <v>-2.3063948039251305</v>
      </c>
      <c r="E696" s="6">
        <f t="shared" si="197"/>
        <v>-4.5766951288911368</v>
      </c>
      <c r="F696" s="6">
        <v>98.58</v>
      </c>
      <c r="G696" s="6">
        <f t="shared" si="211"/>
        <v>46.282831280605421</v>
      </c>
      <c r="H696" s="6">
        <f t="shared" si="198"/>
        <v>2.7365066389765325</v>
      </c>
      <c r="I696" s="6">
        <f t="shared" si="199"/>
        <v>43.546324641628885</v>
      </c>
      <c r="J696" s="6">
        <v>10889.98</v>
      </c>
      <c r="K696" s="6">
        <f t="shared" si="212"/>
        <v>5.3598155570971029</v>
      </c>
      <c r="L696" s="6">
        <f t="shared" si="200"/>
        <v>-7.7398694461170479</v>
      </c>
      <c r="M696" s="6">
        <f t="shared" si="201"/>
        <v>13.099685003214152</v>
      </c>
      <c r="N696" s="6">
        <v>6485.63</v>
      </c>
      <c r="O696" s="6">
        <f t="shared" si="213"/>
        <v>36.491591377347341</v>
      </c>
      <c r="P696" s="6">
        <f t="shared" si="202"/>
        <v>-6.7502949585410903</v>
      </c>
      <c r="Q696" s="6">
        <f t="shared" si="203"/>
        <v>43.241886335888431</v>
      </c>
      <c r="R696" s="6">
        <v>1.55</v>
      </c>
      <c r="S696" s="6">
        <f t="shared" si="214"/>
        <v>19.23076923076923</v>
      </c>
      <c r="T696" s="6">
        <f t="shared" si="204"/>
        <v>-7.2263754967578775</v>
      </c>
      <c r="U696" s="6">
        <f t="shared" si="205"/>
        <v>26.457144727527108</v>
      </c>
      <c r="V696" s="6">
        <v>49.94</v>
      </c>
      <c r="W696" s="6">
        <f t="shared" si="215"/>
        <v>11.27450980392155</v>
      </c>
      <c r="X696" s="6">
        <f t="shared" si="206"/>
        <v>-11.7319237732787</v>
      </c>
      <c r="Y696" s="6">
        <f t="shared" si="207"/>
        <v>23.006433577200248</v>
      </c>
      <c r="Z696" s="6">
        <v>85.7</v>
      </c>
      <c r="AA696" s="6">
        <f t="shared" si="216"/>
        <v>-0.23282887077997749</v>
      </c>
      <c r="AB696" s="6">
        <f t="shared" si="208"/>
        <v>-1.5016166598241905</v>
      </c>
      <c r="AC696" s="6">
        <f t="shared" si="209"/>
        <v>1.268787789044213</v>
      </c>
    </row>
    <row r="697" spans="1:29" x14ac:dyDescent="0.2">
      <c r="A697" t="s">
        <v>781</v>
      </c>
      <c r="B697" s="6">
        <v>754.25</v>
      </c>
      <c r="C697" s="6">
        <f t="shared" si="210"/>
        <v>-5.4646863445509837</v>
      </c>
      <c r="D697" s="6">
        <f t="shared" si="196"/>
        <v>-2.0359501365296233</v>
      </c>
      <c r="E697" s="6">
        <f t="shared" si="197"/>
        <v>-3.4287362080213604</v>
      </c>
      <c r="F697" s="6">
        <v>97.82</v>
      </c>
      <c r="G697" s="6">
        <f t="shared" si="211"/>
        <v>34.5159515951595</v>
      </c>
      <c r="H697" s="6">
        <f t="shared" si="198"/>
        <v>4.0221608620843829</v>
      </c>
      <c r="I697" s="6">
        <f t="shared" si="199"/>
        <v>30.493790733075116</v>
      </c>
      <c r="J697" s="6">
        <v>11215.79</v>
      </c>
      <c r="K697" s="6">
        <f t="shared" si="212"/>
        <v>10.047410756511631</v>
      </c>
      <c r="L697" s="6">
        <f t="shared" si="200"/>
        <v>-7.4401623145839686</v>
      </c>
      <c r="M697" s="6">
        <f t="shared" si="201"/>
        <v>17.4875730710956</v>
      </c>
      <c r="N697" s="6">
        <v>6577.17</v>
      </c>
      <c r="O697" s="6">
        <f t="shared" si="213"/>
        <v>39.281902503070619</v>
      </c>
      <c r="P697" s="6">
        <f t="shared" si="202"/>
        <v>-5.9006247596767745</v>
      </c>
      <c r="Q697" s="6">
        <f t="shared" si="203"/>
        <v>45.182527262747392</v>
      </c>
      <c r="R697" s="6">
        <v>1.61</v>
      </c>
      <c r="S697" s="6">
        <f t="shared" si="214"/>
        <v>18.382352941176471</v>
      </c>
      <c r="T697" s="6">
        <f t="shared" si="204"/>
        <v>-6.6494524198348026</v>
      </c>
      <c r="U697" s="6">
        <f t="shared" si="205"/>
        <v>25.031805361011273</v>
      </c>
      <c r="V697" s="6">
        <v>52.95</v>
      </c>
      <c r="W697" s="6">
        <f t="shared" si="215"/>
        <v>17.562166962699834</v>
      </c>
      <c r="X697" s="6">
        <f t="shared" si="206"/>
        <v>-11.554232351407398</v>
      </c>
      <c r="Y697" s="6">
        <f t="shared" si="207"/>
        <v>29.116399314107234</v>
      </c>
      <c r="Z697" s="6">
        <v>85.8</v>
      </c>
      <c r="AA697" s="6">
        <f t="shared" si="216"/>
        <v>0</v>
      </c>
      <c r="AB697" s="6">
        <f t="shared" si="208"/>
        <v>-1.5317895449083501</v>
      </c>
      <c r="AC697" s="6">
        <f t="shared" si="209"/>
        <v>1.5317895449083501</v>
      </c>
    </row>
    <row r="698" spans="1:29" x14ac:dyDescent="0.2">
      <c r="A698" t="s">
        <v>782</v>
      </c>
      <c r="B698" s="6">
        <v>746.79</v>
      </c>
      <c r="C698" s="6">
        <f t="shared" si="210"/>
        <v>-0.39479826608870283</v>
      </c>
      <c r="D698" s="6">
        <f t="shared" si="196"/>
        <v>-1.7854464069203686</v>
      </c>
      <c r="E698" s="6">
        <f t="shared" si="197"/>
        <v>1.3906481408316658</v>
      </c>
      <c r="F698" s="6">
        <v>97.11</v>
      </c>
      <c r="G698" s="6">
        <f t="shared" si="211"/>
        <v>3.0891719745222979</v>
      </c>
      <c r="H698" s="6">
        <f t="shared" si="198"/>
        <v>5.0070461695974489</v>
      </c>
      <c r="I698" s="6">
        <f t="shared" si="199"/>
        <v>-1.917874195075151</v>
      </c>
      <c r="J698" s="6">
        <v>11335.77</v>
      </c>
      <c r="K698" s="6">
        <f t="shared" si="212"/>
        <v>10.487887607288293</v>
      </c>
      <c r="L698" s="6">
        <f t="shared" si="200"/>
        <v>-6.8106825166227694</v>
      </c>
      <c r="M698" s="6">
        <f t="shared" si="201"/>
        <v>17.298570123911063</v>
      </c>
      <c r="N698" s="6">
        <v>6807.6</v>
      </c>
      <c r="O698" s="6">
        <f t="shared" si="213"/>
        <v>43.8855611401614</v>
      </c>
      <c r="P698" s="6">
        <f t="shared" si="202"/>
        <v>-4.8430857815697239</v>
      </c>
      <c r="Q698" s="6">
        <f t="shared" si="203"/>
        <v>48.728646921731126</v>
      </c>
      <c r="R698" s="6">
        <v>1.46</v>
      </c>
      <c r="S698" s="6">
        <f t="shared" si="214"/>
        <v>-1.3513513513513487</v>
      </c>
      <c r="T698" s="6">
        <f t="shared" si="204"/>
        <v>-6.0098442214829966</v>
      </c>
      <c r="U698" s="6">
        <f t="shared" si="205"/>
        <v>4.6584928701316475</v>
      </c>
      <c r="V698" s="6">
        <v>54.92</v>
      </c>
      <c r="W698" s="6">
        <f t="shared" si="215"/>
        <v>11.422195171434367</v>
      </c>
      <c r="X698" s="6">
        <f t="shared" si="206"/>
        <v>-11.236967597770041</v>
      </c>
      <c r="Y698" s="6">
        <f t="shared" si="207"/>
        <v>22.659162769204407</v>
      </c>
      <c r="Z698" s="6">
        <v>87.3</v>
      </c>
      <c r="AA698" s="6">
        <f t="shared" si="216"/>
        <v>1.7482517482517501</v>
      </c>
      <c r="AB698" s="6">
        <f t="shared" si="208"/>
        <v>-1.5501854242313815</v>
      </c>
      <c r="AC698" s="6">
        <f t="shared" si="209"/>
        <v>3.2984371724831316</v>
      </c>
    </row>
    <row r="699" spans="1:29" x14ac:dyDescent="0.2">
      <c r="A699" t="s">
        <v>783</v>
      </c>
      <c r="B699" s="6">
        <v>728.86</v>
      </c>
      <c r="C699" s="6">
        <f t="shared" si="210"/>
        <v>-4.9639471659734147</v>
      </c>
      <c r="D699" s="6">
        <f t="shared" si="196"/>
        <v>-1.7317357048829953</v>
      </c>
      <c r="E699" s="6">
        <f t="shared" si="197"/>
        <v>-3.2322114610904196</v>
      </c>
      <c r="F699" s="6">
        <v>96.64</v>
      </c>
      <c r="G699" s="6">
        <f t="shared" si="211"/>
        <v>-6.5648264526733113</v>
      </c>
      <c r="H699" s="6">
        <f t="shared" si="198"/>
        <v>5.1335093965661551</v>
      </c>
      <c r="I699" s="6">
        <f t="shared" si="199"/>
        <v>-11.698335849239466</v>
      </c>
      <c r="J699" s="6">
        <v>11972</v>
      </c>
      <c r="K699" s="6">
        <f t="shared" si="212"/>
        <v>7.575674526975229</v>
      </c>
      <c r="L699" s="6">
        <f t="shared" si="200"/>
        <v>-6.2219516610596495</v>
      </c>
      <c r="M699" s="6">
        <f t="shared" si="201"/>
        <v>13.797626188034879</v>
      </c>
      <c r="N699" s="6">
        <v>6826.55</v>
      </c>
      <c r="O699" s="6">
        <f t="shared" si="213"/>
        <v>25.236427545391326</v>
      </c>
      <c r="P699" s="6">
        <f t="shared" si="202"/>
        <v>-3.7068239093561526</v>
      </c>
      <c r="Q699" s="6">
        <f t="shared" si="203"/>
        <v>28.943251454747479</v>
      </c>
      <c r="R699" s="6">
        <v>1.43</v>
      </c>
      <c r="S699" s="6">
        <f t="shared" si="214"/>
        <v>-13.855421686746983</v>
      </c>
      <c r="T699" s="6">
        <f t="shared" si="204"/>
        <v>-5.5930821203988623</v>
      </c>
      <c r="U699" s="6">
        <f t="shared" si="205"/>
        <v>-8.2623395663481212</v>
      </c>
      <c r="V699" s="6">
        <v>59.93</v>
      </c>
      <c r="W699" s="6">
        <f t="shared" si="215"/>
        <v>32.412726469288565</v>
      </c>
      <c r="X699" s="6">
        <f t="shared" si="206"/>
        <v>-11.039700811297498</v>
      </c>
      <c r="Y699" s="6">
        <f t="shared" si="207"/>
        <v>43.452427280586065</v>
      </c>
      <c r="Z699" s="6">
        <v>87.4</v>
      </c>
      <c r="AA699" s="6">
        <f t="shared" si="216"/>
        <v>1.5098722415795685</v>
      </c>
      <c r="AB699" s="6">
        <f t="shared" si="208"/>
        <v>-1.500042327299042</v>
      </c>
      <c r="AC699" s="6">
        <f t="shared" si="209"/>
        <v>3.0099145688786102</v>
      </c>
    </row>
    <row r="700" spans="1:29" x14ac:dyDescent="0.2">
      <c r="A700" t="s">
        <v>784</v>
      </c>
      <c r="B700" s="6">
        <v>679.17</v>
      </c>
      <c r="C700" s="6">
        <f t="shared" si="210"/>
        <v>-16.294461288175711</v>
      </c>
      <c r="D700" s="6">
        <f t="shared" si="196"/>
        <v>-1.9337933076504015</v>
      </c>
      <c r="E700" s="6">
        <f t="shared" si="197"/>
        <v>-14.36066798052531</v>
      </c>
      <c r="F700" s="6">
        <v>100.81</v>
      </c>
      <c r="G700" s="6">
        <f t="shared" si="211"/>
        <v>14.361883153715249</v>
      </c>
      <c r="H700" s="6">
        <f t="shared" si="198"/>
        <v>5.0850334040126679</v>
      </c>
      <c r="I700" s="6">
        <f t="shared" si="199"/>
        <v>9.2768497497025812</v>
      </c>
      <c r="J700" s="6">
        <v>11495.11</v>
      </c>
      <c r="K700" s="6">
        <f t="shared" si="212"/>
        <v>4.7651033013223376</v>
      </c>
      <c r="L700" s="6">
        <f t="shared" si="200"/>
        <v>-5.7259846674731278</v>
      </c>
      <c r="M700" s="6">
        <f t="shared" si="201"/>
        <v>10.491087968795465</v>
      </c>
      <c r="N700" s="6">
        <v>6833.89</v>
      </c>
      <c r="O700" s="6">
        <f t="shared" si="213"/>
        <v>20.732640207761001</v>
      </c>
      <c r="P700" s="6">
        <f t="shared" si="202"/>
        <v>-3.0080003073366304</v>
      </c>
      <c r="Q700" s="6">
        <f t="shared" si="203"/>
        <v>23.740640515097631</v>
      </c>
      <c r="R700" s="6">
        <v>1.46</v>
      </c>
      <c r="S700" s="6">
        <f t="shared" si="214"/>
        <v>-24.352331606217614</v>
      </c>
      <c r="T700" s="6">
        <f t="shared" si="204"/>
        <v>-5.5097129293489475</v>
      </c>
      <c r="U700" s="6">
        <f t="shared" si="205"/>
        <v>-18.842618676868668</v>
      </c>
      <c r="V700" s="6">
        <v>61.19</v>
      </c>
      <c r="W700" s="6">
        <f t="shared" si="215"/>
        <v>16.286583048270622</v>
      </c>
      <c r="X700" s="6">
        <f t="shared" si="206"/>
        <v>-10.394500583772475</v>
      </c>
      <c r="Y700" s="6">
        <f t="shared" si="207"/>
        <v>26.681083632043098</v>
      </c>
      <c r="Z700" s="6">
        <v>87.4</v>
      </c>
      <c r="AA700" s="6">
        <f t="shared" si="216"/>
        <v>1.5098722415795685</v>
      </c>
      <c r="AB700" s="6">
        <f t="shared" si="208"/>
        <v>-1.4594190721744582</v>
      </c>
      <c r="AC700" s="6">
        <f t="shared" si="209"/>
        <v>2.9692913137540264</v>
      </c>
    </row>
    <row r="701" spans="1:29" x14ac:dyDescent="0.2">
      <c r="A701" t="s">
        <v>785</v>
      </c>
      <c r="B701" s="6">
        <v>703.45</v>
      </c>
      <c r="C701" s="6">
        <f t="shared" si="210"/>
        <v>-14.733333333333331</v>
      </c>
      <c r="D701" s="6">
        <f t="shared" si="196"/>
        <v>-2.378718347157065</v>
      </c>
      <c r="E701" s="6">
        <f t="shared" si="197"/>
        <v>-12.354614986176266</v>
      </c>
      <c r="F701" s="6">
        <v>106.45</v>
      </c>
      <c r="G701" s="6">
        <f t="shared" si="211"/>
        <v>27.13483817030933</v>
      </c>
      <c r="H701" s="6">
        <f t="shared" si="198"/>
        <v>5.5757947150495504</v>
      </c>
      <c r="I701" s="6">
        <f t="shared" si="199"/>
        <v>21.559043455259779</v>
      </c>
      <c r="J701" s="6">
        <v>12864.88</v>
      </c>
      <c r="K701" s="6">
        <f t="shared" si="212"/>
        <v>29.017014559552969</v>
      </c>
      <c r="L701" s="6">
        <f t="shared" si="200"/>
        <v>-5.2059555998441978</v>
      </c>
      <c r="M701" s="6">
        <f t="shared" si="201"/>
        <v>34.222970159397164</v>
      </c>
      <c r="N701" s="6">
        <v>7065.85</v>
      </c>
      <c r="O701" s="6">
        <f t="shared" si="213"/>
        <v>22.786972418395159</v>
      </c>
      <c r="P701" s="6">
        <f t="shared" si="202"/>
        <v>-2.3795204422791461</v>
      </c>
      <c r="Q701" s="6">
        <f t="shared" si="203"/>
        <v>25.166492860674303</v>
      </c>
      <c r="R701" s="6">
        <v>1.5</v>
      </c>
      <c r="S701" s="6">
        <f t="shared" si="214"/>
        <v>-30.555555555555557</v>
      </c>
      <c r="T701" s="6">
        <f t="shared" si="204"/>
        <v>-5.5932025964325023</v>
      </c>
      <c r="U701" s="6">
        <f t="shared" si="205"/>
        <v>-24.962352959123056</v>
      </c>
      <c r="V701" s="6">
        <v>66.23</v>
      </c>
      <c r="W701" s="6">
        <f t="shared" si="215"/>
        <v>23.58649001679418</v>
      </c>
      <c r="X701" s="6">
        <f t="shared" si="206"/>
        <v>-10.143520715320696</v>
      </c>
      <c r="Y701" s="6">
        <f t="shared" si="207"/>
        <v>33.730010732114877</v>
      </c>
      <c r="Z701" s="6">
        <v>87.7</v>
      </c>
      <c r="AA701" s="6">
        <f t="shared" si="216"/>
        <v>2.0954598370197974</v>
      </c>
      <c r="AB701" s="6">
        <f t="shared" si="208"/>
        <v>-1.4142120253373702</v>
      </c>
      <c r="AC701" s="6">
        <f t="shared" si="209"/>
        <v>3.5096718623571679</v>
      </c>
    </row>
    <row r="702" spans="1:29" x14ac:dyDescent="0.2">
      <c r="A702" t="s">
        <v>786</v>
      </c>
      <c r="B702" s="6">
        <v>709.44</v>
      </c>
      <c r="C702" s="6">
        <f t="shared" si="210"/>
        <v>-12.26425594538776</v>
      </c>
      <c r="D702" s="6">
        <f t="shared" si="196"/>
        <v>-2.6341046960619332</v>
      </c>
      <c r="E702" s="6">
        <f t="shared" si="197"/>
        <v>-9.6301512493258272</v>
      </c>
      <c r="F702" s="6">
        <v>105.95</v>
      </c>
      <c r="G702" s="6">
        <f t="shared" si="211"/>
        <v>32.470617654413594</v>
      </c>
      <c r="H702" s="6">
        <f t="shared" si="198"/>
        <v>6.3917236560370272</v>
      </c>
      <c r="I702" s="6">
        <f t="shared" si="199"/>
        <v>26.078893998376568</v>
      </c>
      <c r="J702" s="6">
        <v>13595.88</v>
      </c>
      <c r="K702" s="6">
        <f t="shared" si="212"/>
        <v>27.741208083958924</v>
      </c>
      <c r="L702" s="6">
        <f t="shared" si="200"/>
        <v>-4.1994635088299974</v>
      </c>
      <c r="M702" s="6">
        <f t="shared" si="201"/>
        <v>31.94067159278892</v>
      </c>
      <c r="N702" s="6">
        <v>7006.52</v>
      </c>
      <c r="O702" s="6">
        <f t="shared" si="213"/>
        <v>17.936814393754496</v>
      </c>
      <c r="P702" s="6">
        <f t="shared" si="202"/>
        <v>-1.7091039683234637</v>
      </c>
      <c r="Q702" s="6">
        <f t="shared" si="203"/>
        <v>19.64591836207796</v>
      </c>
      <c r="R702" s="6">
        <v>1.46</v>
      </c>
      <c r="S702" s="6">
        <f t="shared" si="214"/>
        <v>-34.529147982062781</v>
      </c>
      <c r="T702" s="6">
        <f t="shared" si="204"/>
        <v>-5.6130003547171059</v>
      </c>
      <c r="U702" s="6">
        <f t="shared" si="205"/>
        <v>-28.916147627345676</v>
      </c>
      <c r="V702" s="6">
        <v>63.46</v>
      </c>
      <c r="W702" s="6">
        <f t="shared" si="215"/>
        <v>16.761729530818759</v>
      </c>
      <c r="X702" s="6">
        <f t="shared" si="206"/>
        <v>-9.592668332517599</v>
      </c>
      <c r="Y702" s="6">
        <f t="shared" si="207"/>
        <v>26.354397863336359</v>
      </c>
      <c r="Z702" s="6">
        <v>87.6</v>
      </c>
      <c r="AA702" s="6">
        <f t="shared" si="216"/>
        <v>2.2170361726954413</v>
      </c>
      <c r="AB702" s="6">
        <f t="shared" si="208"/>
        <v>-1.3273433660690359</v>
      </c>
      <c r="AC702" s="6">
        <f t="shared" si="209"/>
        <v>3.5443795387644772</v>
      </c>
    </row>
    <row r="703" spans="1:29" x14ac:dyDescent="0.2">
      <c r="A703" t="s">
        <v>787</v>
      </c>
      <c r="B703" s="6">
        <v>706.19</v>
      </c>
      <c r="C703" s="6">
        <f t="shared" si="210"/>
        <v>-9.311673301656608</v>
      </c>
      <c r="D703" s="6">
        <f t="shared" si="196"/>
        <v>-2.855083396534333</v>
      </c>
      <c r="E703" s="6">
        <f t="shared" si="197"/>
        <v>-6.456589905122275</v>
      </c>
      <c r="F703" s="6">
        <v>96.66</v>
      </c>
      <c r="G703" s="6">
        <f t="shared" si="211"/>
        <v>19.480840543881328</v>
      </c>
      <c r="H703" s="6">
        <f t="shared" si="198"/>
        <v>7.477444558736547</v>
      </c>
      <c r="I703" s="6">
        <f t="shared" si="199"/>
        <v>12.003395985144781</v>
      </c>
      <c r="J703" s="6">
        <v>13392.5</v>
      </c>
      <c r="K703" s="6">
        <f t="shared" si="212"/>
        <v>31.239061370001544</v>
      </c>
      <c r="L703" s="6">
        <f t="shared" si="200"/>
        <v>-3.2109165424405552</v>
      </c>
      <c r="M703" s="6">
        <f t="shared" si="201"/>
        <v>34.449977912442101</v>
      </c>
      <c r="N703" s="6">
        <v>6799.18</v>
      </c>
      <c r="O703" s="6">
        <f t="shared" si="213"/>
        <v>16.731534878610322</v>
      </c>
      <c r="P703" s="6">
        <f t="shared" si="202"/>
        <v>-1.0997878874167337</v>
      </c>
      <c r="Q703" s="6">
        <f t="shared" si="203"/>
        <v>17.831322766027057</v>
      </c>
      <c r="R703" s="6">
        <v>1.44</v>
      </c>
      <c r="S703" s="6">
        <f t="shared" si="214"/>
        <v>-26.903553299492387</v>
      </c>
      <c r="T703" s="6">
        <f t="shared" si="204"/>
        <v>-5.5511076043434144</v>
      </c>
      <c r="U703" s="6">
        <f t="shared" si="205"/>
        <v>-21.352445695148973</v>
      </c>
      <c r="V703" s="6">
        <v>64.17</v>
      </c>
      <c r="W703" s="6">
        <f t="shared" si="215"/>
        <v>26.070726915520638</v>
      </c>
      <c r="X703" s="6">
        <f t="shared" si="206"/>
        <v>-9.1890790985940765</v>
      </c>
      <c r="Y703" s="6">
        <f t="shared" si="207"/>
        <v>35.259806014114716</v>
      </c>
      <c r="Z703" s="6">
        <v>87.9</v>
      </c>
      <c r="AA703" s="6">
        <f t="shared" si="216"/>
        <v>2.5670945157526326</v>
      </c>
      <c r="AB703" s="6">
        <f t="shared" si="208"/>
        <v>-1.2224696664618244</v>
      </c>
      <c r="AC703" s="6">
        <f t="shared" si="209"/>
        <v>3.7895641822144572</v>
      </c>
    </row>
    <row r="704" spans="1:29" x14ac:dyDescent="0.2">
      <c r="A704" t="s">
        <v>788</v>
      </c>
      <c r="B704" s="6">
        <v>701.18</v>
      </c>
      <c r="C704" s="6">
        <f t="shared" si="210"/>
        <v>-6.7654176528468497</v>
      </c>
      <c r="D704" s="6">
        <f t="shared" si="196"/>
        <v>-3.1946879195392608</v>
      </c>
      <c r="E704" s="6">
        <f t="shared" si="197"/>
        <v>-3.5707297333075889</v>
      </c>
      <c r="F704" s="6">
        <v>93.69</v>
      </c>
      <c r="G704" s="6">
        <f t="shared" si="211"/>
        <v>12.002390914524796</v>
      </c>
      <c r="H704" s="6">
        <f t="shared" si="198"/>
        <v>8.2872303341547511</v>
      </c>
      <c r="I704" s="6">
        <f t="shared" si="199"/>
        <v>3.7151605803700445</v>
      </c>
      <c r="J704" s="6">
        <v>13938.1</v>
      </c>
      <c r="K704" s="6">
        <f t="shared" si="212"/>
        <v>45.048328282660101</v>
      </c>
      <c r="L704" s="6">
        <f t="shared" si="200"/>
        <v>-2.4297048588951697</v>
      </c>
      <c r="M704" s="6">
        <f t="shared" si="201"/>
        <v>47.478033141555272</v>
      </c>
      <c r="N704" s="6">
        <v>6851.51</v>
      </c>
      <c r="O704" s="6">
        <f t="shared" si="213"/>
        <v>20.542409261246686</v>
      </c>
      <c r="P704" s="6">
        <f t="shared" si="202"/>
        <v>-0.47994095069750559</v>
      </c>
      <c r="Q704" s="6">
        <f t="shared" si="203"/>
        <v>21.02235021194419</v>
      </c>
      <c r="R704" s="6">
        <v>1.39</v>
      </c>
      <c r="S704" s="6">
        <f t="shared" si="214"/>
        <v>-15.75757575757576</v>
      </c>
      <c r="T704" s="6">
        <f t="shared" si="204"/>
        <v>-5.4642768695114077</v>
      </c>
      <c r="U704" s="6">
        <f t="shared" si="205"/>
        <v>-10.293298888064353</v>
      </c>
      <c r="V704" s="6">
        <v>68.790000000000006</v>
      </c>
      <c r="W704" s="6">
        <f t="shared" si="215"/>
        <v>31.882668711656457</v>
      </c>
      <c r="X704" s="6">
        <f t="shared" si="206"/>
        <v>-8.6768272364819747</v>
      </c>
      <c r="Y704" s="6">
        <f t="shared" si="207"/>
        <v>40.559495948138434</v>
      </c>
      <c r="Z704" s="6">
        <v>88.4</v>
      </c>
      <c r="AA704" s="6">
        <f t="shared" si="216"/>
        <v>3.2710280373831946</v>
      </c>
      <c r="AB704" s="6">
        <f t="shared" si="208"/>
        <v>-1.1146997142131776</v>
      </c>
      <c r="AC704" s="6">
        <f t="shared" si="209"/>
        <v>4.385727751596372</v>
      </c>
    </row>
    <row r="705" spans="1:29" x14ac:dyDescent="0.2">
      <c r="A705" t="s">
        <v>789</v>
      </c>
      <c r="B705" s="6">
        <v>687.15</v>
      </c>
      <c r="C705" s="6">
        <f t="shared" si="210"/>
        <v>-9.9115044247787605</v>
      </c>
      <c r="D705" s="6">
        <f t="shared" ref="D705:D768" si="217">IF(COUNT(C657:C704)&lt;48,"",AVERAGE(C657:C704))</f>
        <v>-3.4606574761279187</v>
      </c>
      <c r="E705" s="6">
        <f t="shared" ref="E705:E768" si="218">IF(OR(C705="",D705=""),"",C705-D705)</f>
        <v>-6.4508469486508417</v>
      </c>
      <c r="F705" s="6">
        <v>105.29</v>
      </c>
      <c r="G705" s="6">
        <f t="shared" si="211"/>
        <v>41.480784735286221</v>
      </c>
      <c r="H705" s="6">
        <f t="shared" ref="H705:H768" si="219">IF(COUNT(G657:G704)&lt;48,"",AVERAGE(G657:G704))</f>
        <v>8.8919405824309923</v>
      </c>
      <c r="I705" s="6">
        <f t="shared" ref="I705:I768" si="220">IF(OR(G705="",H705=""),"",G705-H705)</f>
        <v>32.588844152855231</v>
      </c>
      <c r="J705" s="6">
        <v>14366.49</v>
      </c>
      <c r="K705" s="6">
        <f t="shared" si="212"/>
        <v>56.923011385978548</v>
      </c>
      <c r="L705" s="6">
        <f t="shared" ref="L705:L768" si="221">IF(COUNT(K657:K704)&lt;48,"",AVERAGE(K657:K704))</f>
        <v>-1.7172576213009407</v>
      </c>
      <c r="M705" s="6">
        <f t="shared" ref="M705:M768" si="222">IF(OR(K705="",L705=""),"",K705-L705)</f>
        <v>58.640269007279485</v>
      </c>
      <c r="N705" s="6">
        <v>6825.27</v>
      </c>
      <c r="O705" s="6">
        <f t="shared" si="213"/>
        <v>21.889398452735563</v>
      </c>
      <c r="P705" s="6">
        <f t="shared" ref="P705:P768" si="223">IF(COUNT(O657:O704)&lt;48,"",AVERAGE(O657:O704))</f>
        <v>0.10950247142619969</v>
      </c>
      <c r="Q705" s="6">
        <f t="shared" ref="Q705:Q768" si="224">IF(OR(O705="",P705=""),"",O705-P705)</f>
        <v>21.779895981309362</v>
      </c>
      <c r="R705" s="6">
        <v>1.44</v>
      </c>
      <c r="S705" s="6">
        <f t="shared" si="214"/>
        <v>-5.8823529411764719</v>
      </c>
      <c r="T705" s="6">
        <f t="shared" ref="T705:T768" si="225">IF(COUNT(S657:S704)&lt;48,"",AVERAGE(S657:S704))</f>
        <v>-5.1925596977942368</v>
      </c>
      <c r="U705" s="6">
        <f t="shared" ref="U705:U768" si="226">IF(OR(S705="",T705=""),"",S705-T705)</f>
        <v>-0.68979324338223513</v>
      </c>
      <c r="V705" s="6">
        <v>73.430000000000007</v>
      </c>
      <c r="W705" s="6">
        <f t="shared" si="215"/>
        <v>47.183804369613156</v>
      </c>
      <c r="X705" s="6">
        <f t="shared" ref="X705:X768" si="227">IF(COUNT(W657:W704)&lt;48,"",AVERAGE(W657:W704))</f>
        <v>-8.1394807093054347</v>
      </c>
      <c r="Y705" s="6">
        <f t="shared" ref="Y705:Y768" si="228">IF(OR(W705="",X705=""),"",W705-X705)</f>
        <v>55.323285078918587</v>
      </c>
      <c r="Z705" s="6">
        <v>88.8</v>
      </c>
      <c r="AA705" s="6">
        <f t="shared" si="216"/>
        <v>3.8596491228070073</v>
      </c>
      <c r="AB705" s="6">
        <f t="shared" ref="AB705:AB768" si="229">IF(COUNT(AA657:AA704)&lt;48,"",AVERAGE(AA657:AA704))</f>
        <v>-1.0189899009573302</v>
      </c>
      <c r="AC705" s="6">
        <f t="shared" ref="AC705:AC768" si="230">IF(OR(AA705="",AB705=""),"",AA705-AB705)</f>
        <v>4.8786390237643378</v>
      </c>
    </row>
    <row r="706" spans="1:29" x14ac:dyDescent="0.2">
      <c r="A706" t="s">
        <v>790</v>
      </c>
      <c r="B706" s="6">
        <v>656.5</v>
      </c>
      <c r="C706" s="6">
        <f t="shared" si="210"/>
        <v>-10.697282150338705</v>
      </c>
      <c r="D706" s="6">
        <f t="shared" si="217"/>
        <v>-3.7120368768953349</v>
      </c>
      <c r="E706" s="6">
        <f t="shared" si="218"/>
        <v>-6.9852452734433701</v>
      </c>
      <c r="F706" s="6">
        <v>114.33</v>
      </c>
      <c r="G706" s="6">
        <f t="shared" si="211"/>
        <v>40.991490935997035</v>
      </c>
      <c r="H706" s="6">
        <f t="shared" si="219"/>
        <v>10.08913389684116</v>
      </c>
      <c r="I706" s="6">
        <f t="shared" si="220"/>
        <v>30.902357039155874</v>
      </c>
      <c r="J706" s="6">
        <v>15105.65</v>
      </c>
      <c r="K706" s="6">
        <f t="shared" si="212"/>
        <v>69.122882836081573</v>
      </c>
      <c r="L706" s="6">
        <f t="shared" si="221"/>
        <v>-1.1520036539854028</v>
      </c>
      <c r="M706" s="6">
        <f t="shared" si="222"/>
        <v>70.274886490066976</v>
      </c>
      <c r="N706" s="6">
        <v>6965.86</v>
      </c>
      <c r="O706" s="6">
        <f t="shared" si="213"/>
        <v>21.785879127795571</v>
      </c>
      <c r="P706" s="6">
        <f t="shared" si="223"/>
        <v>0.66849400785596236</v>
      </c>
      <c r="Q706" s="6">
        <f t="shared" si="224"/>
        <v>21.117385119939609</v>
      </c>
      <c r="R706" s="6">
        <v>1.38</v>
      </c>
      <c r="S706" s="6">
        <f t="shared" si="214"/>
        <v>-4.1666666666666741</v>
      </c>
      <c r="T706" s="6">
        <f t="shared" si="225"/>
        <v>-4.6344978276278432</v>
      </c>
      <c r="U706" s="6">
        <f t="shared" si="226"/>
        <v>0.46783116096116917</v>
      </c>
      <c r="V706" s="6">
        <v>71.98</v>
      </c>
      <c r="W706" s="6">
        <f t="shared" si="215"/>
        <v>55.902100931340691</v>
      </c>
      <c r="X706" s="6">
        <f t="shared" si="227"/>
        <v>-7.2894055188957578</v>
      </c>
      <c r="Y706" s="6">
        <f t="shared" si="228"/>
        <v>63.191506450236446</v>
      </c>
      <c r="Z706" s="6">
        <v>88.7</v>
      </c>
      <c r="AA706" s="6">
        <f t="shared" si="216"/>
        <v>3.7426900584795364</v>
      </c>
      <c r="AB706" s="6">
        <f t="shared" si="229"/>
        <v>-0.91790799737441142</v>
      </c>
      <c r="AC706" s="6">
        <f t="shared" si="230"/>
        <v>4.6605980558539475</v>
      </c>
    </row>
    <row r="707" spans="1:29" x14ac:dyDescent="0.2">
      <c r="A707" t="s">
        <v>791</v>
      </c>
      <c r="B707" s="6">
        <v>616.14</v>
      </c>
      <c r="C707" s="6">
        <f t="shared" si="210"/>
        <v>-14.48201199200534</v>
      </c>
      <c r="D707" s="6">
        <f t="shared" si="217"/>
        <v>-3.8992592061571556</v>
      </c>
      <c r="E707" s="6">
        <f t="shared" si="218"/>
        <v>-10.582752785848184</v>
      </c>
      <c r="F707" s="6">
        <v>119.57</v>
      </c>
      <c r="G707" s="6">
        <f t="shared" si="211"/>
        <v>36.667047662590015</v>
      </c>
      <c r="H707" s="6">
        <f t="shared" si="219"/>
        <v>11.226859444412597</v>
      </c>
      <c r="I707" s="6">
        <f t="shared" si="220"/>
        <v>25.440188218177418</v>
      </c>
      <c r="J707" s="6">
        <v>13793.86</v>
      </c>
      <c r="K707" s="6">
        <f t="shared" si="212"/>
        <v>45.330241408265827</v>
      </c>
      <c r="L707" s="6">
        <f t="shared" si="221"/>
        <v>-0.34634554640272103</v>
      </c>
      <c r="M707" s="6">
        <f t="shared" si="222"/>
        <v>45.676586954668551</v>
      </c>
      <c r="N707" s="6">
        <v>6250.75</v>
      </c>
      <c r="O707" s="6">
        <f t="shared" si="213"/>
        <v>4.4381733365412845</v>
      </c>
      <c r="P707" s="6">
        <f t="shared" si="223"/>
        <v>1.1756682336252415</v>
      </c>
      <c r="Q707" s="6">
        <f t="shared" si="224"/>
        <v>3.2625051029160428</v>
      </c>
      <c r="R707" s="6">
        <v>1.31</v>
      </c>
      <c r="S707" s="6">
        <f t="shared" si="214"/>
        <v>-13.815789473684204</v>
      </c>
      <c r="T707" s="6">
        <f t="shared" si="225"/>
        <v>-4.1669400069316085</v>
      </c>
      <c r="U707" s="6">
        <f t="shared" si="226"/>
        <v>-9.6488494667525941</v>
      </c>
      <c r="V707" s="6">
        <v>72.67</v>
      </c>
      <c r="W707" s="6">
        <f t="shared" si="215"/>
        <v>52.475870751154034</v>
      </c>
      <c r="X707" s="6">
        <f t="shared" si="227"/>
        <v>-6.3050387597194195</v>
      </c>
      <c r="Y707" s="6">
        <f t="shared" si="228"/>
        <v>58.780909510873457</v>
      </c>
      <c r="Z707" s="6">
        <v>89.1</v>
      </c>
      <c r="AA707" s="6">
        <f t="shared" si="216"/>
        <v>3.9673278879813312</v>
      </c>
      <c r="AB707" s="6">
        <f t="shared" si="229"/>
        <v>-0.82383889341510164</v>
      </c>
      <c r="AC707" s="6">
        <f t="shared" si="230"/>
        <v>4.7911667813964325</v>
      </c>
    </row>
    <row r="708" spans="1:29" x14ac:dyDescent="0.2">
      <c r="A708" t="s">
        <v>792</v>
      </c>
      <c r="B708" s="6">
        <v>614.75</v>
      </c>
      <c r="C708" s="6">
        <f t="shared" si="210"/>
        <v>-14.374260045964204</v>
      </c>
      <c r="D708" s="6">
        <f t="shared" si="217"/>
        <v>-4.2679697681492916</v>
      </c>
      <c r="E708" s="6">
        <f t="shared" si="218"/>
        <v>-10.106290277814914</v>
      </c>
      <c r="F708" s="6">
        <v>117.34</v>
      </c>
      <c r="G708" s="6">
        <f t="shared" si="211"/>
        <v>19.030229255427077</v>
      </c>
      <c r="H708" s="6">
        <f t="shared" si="219"/>
        <v>12.220230340955576</v>
      </c>
      <c r="I708" s="6">
        <f t="shared" si="220"/>
        <v>6.8099989144715014</v>
      </c>
      <c r="J708" s="6">
        <v>13411.35</v>
      </c>
      <c r="K708" s="6">
        <f t="shared" si="212"/>
        <v>23.153118738510091</v>
      </c>
      <c r="L708" s="6">
        <f t="shared" si="221"/>
        <v>-0.21517840956380571</v>
      </c>
      <c r="M708" s="6">
        <f t="shared" si="222"/>
        <v>23.368297148073896</v>
      </c>
      <c r="N708" s="6">
        <v>6051.05</v>
      </c>
      <c r="O708" s="6">
        <f t="shared" si="213"/>
        <v>-6.7006597662833016</v>
      </c>
      <c r="P708" s="6">
        <f t="shared" si="223"/>
        <v>1.2057686921848376</v>
      </c>
      <c r="Q708" s="6">
        <f t="shared" si="224"/>
        <v>-7.906428458468139</v>
      </c>
      <c r="R708" s="6">
        <v>1.34</v>
      </c>
      <c r="S708" s="6">
        <f t="shared" si="214"/>
        <v>-13.548387096774196</v>
      </c>
      <c r="T708" s="6">
        <f t="shared" si="225"/>
        <v>-3.9525368114428883</v>
      </c>
      <c r="U708" s="6">
        <f t="shared" si="226"/>
        <v>-9.5958502853313075</v>
      </c>
      <c r="V708" s="6">
        <v>71.08</v>
      </c>
      <c r="W708" s="6">
        <f t="shared" si="215"/>
        <v>42.330796956347626</v>
      </c>
      <c r="X708" s="6">
        <f t="shared" si="227"/>
        <v>-5.211197684590676</v>
      </c>
      <c r="Y708" s="6">
        <f t="shared" si="228"/>
        <v>47.541994640938299</v>
      </c>
      <c r="Z708" s="6">
        <v>88.9</v>
      </c>
      <c r="AA708" s="6">
        <f t="shared" si="216"/>
        <v>3.7339556592765444</v>
      </c>
      <c r="AB708" s="6">
        <f t="shared" si="229"/>
        <v>-0.6753728667001675</v>
      </c>
      <c r="AC708" s="6">
        <f t="shared" si="230"/>
        <v>4.4093285259767114</v>
      </c>
    </row>
    <row r="709" spans="1:29" x14ac:dyDescent="0.2">
      <c r="A709" t="s">
        <v>793</v>
      </c>
      <c r="B709" s="6">
        <v>605.15</v>
      </c>
      <c r="C709" s="6">
        <f t="shared" si="210"/>
        <v>-19.767981438515079</v>
      </c>
      <c r="D709" s="6">
        <f t="shared" si="217"/>
        <v>-4.464193722046824</v>
      </c>
      <c r="E709" s="6">
        <f t="shared" si="218"/>
        <v>-15.303787716468255</v>
      </c>
      <c r="F709" s="6">
        <v>114.16</v>
      </c>
      <c r="G709" s="6">
        <f t="shared" si="211"/>
        <v>16.704150480474354</v>
      </c>
      <c r="H709" s="6">
        <f t="shared" si="219"/>
        <v>12.833797573797762</v>
      </c>
      <c r="I709" s="6">
        <f t="shared" si="220"/>
        <v>3.870352906676592</v>
      </c>
      <c r="J709" s="6">
        <v>12510.35</v>
      </c>
      <c r="K709" s="6">
        <f t="shared" si="212"/>
        <v>11.542298848320076</v>
      </c>
      <c r="L709" s="6">
        <f t="shared" si="221"/>
        <v>-0.35648153093274809</v>
      </c>
      <c r="M709" s="6">
        <f t="shared" si="222"/>
        <v>11.898780379252825</v>
      </c>
      <c r="N709" s="6">
        <v>6050.76</v>
      </c>
      <c r="O709" s="6">
        <f t="shared" si="213"/>
        <v>-8.0035942510228502</v>
      </c>
      <c r="P709" s="6">
        <f t="shared" si="223"/>
        <v>1.1215153869494598</v>
      </c>
      <c r="Q709" s="6">
        <f t="shared" si="224"/>
        <v>-9.1251096379723098</v>
      </c>
      <c r="R709" s="6">
        <v>1.33</v>
      </c>
      <c r="S709" s="6">
        <f t="shared" si="214"/>
        <v>-17.391304347826086</v>
      </c>
      <c r="T709" s="6">
        <f t="shared" si="225"/>
        <v>-3.6132962765192427</v>
      </c>
      <c r="U709" s="6">
        <f t="shared" si="226"/>
        <v>-13.778008071306843</v>
      </c>
      <c r="V709" s="6">
        <v>75.36</v>
      </c>
      <c r="W709" s="6">
        <f t="shared" si="215"/>
        <v>42.322946175637391</v>
      </c>
      <c r="X709" s="6">
        <f t="shared" si="227"/>
        <v>-4.1730946045089716</v>
      </c>
      <c r="Y709" s="6">
        <f t="shared" si="228"/>
        <v>46.496040780146359</v>
      </c>
      <c r="Z709" s="6">
        <v>89.1</v>
      </c>
      <c r="AA709" s="6">
        <f t="shared" si="216"/>
        <v>3.8461538461538325</v>
      </c>
      <c r="AB709" s="6">
        <f t="shared" si="229"/>
        <v>-0.54072258959187691</v>
      </c>
      <c r="AC709" s="6">
        <f t="shared" si="230"/>
        <v>4.3868764357457097</v>
      </c>
    </row>
    <row r="710" spans="1:29" x14ac:dyDescent="0.2">
      <c r="A710" t="s">
        <v>794</v>
      </c>
      <c r="B710" s="6">
        <v>589.79999999999995</v>
      </c>
      <c r="C710" s="6">
        <f t="shared" si="210"/>
        <v>-21.021974048929415</v>
      </c>
      <c r="D710" s="6">
        <f t="shared" si="217"/>
        <v>-4.7108728613199737</v>
      </c>
      <c r="E710" s="6">
        <f t="shared" si="218"/>
        <v>-16.311101187609442</v>
      </c>
      <c r="F710" s="6">
        <v>108.73</v>
      </c>
      <c r="G710" s="6">
        <f t="shared" si="211"/>
        <v>11.965811965811968</v>
      </c>
      <c r="H710" s="6">
        <f t="shared" si="219"/>
        <v>13.495065751972184</v>
      </c>
      <c r="I710" s="6">
        <f t="shared" si="220"/>
        <v>-1.5292537861602167</v>
      </c>
      <c r="J710" s="6">
        <v>12314.91</v>
      </c>
      <c r="K710" s="6">
        <f t="shared" si="212"/>
        <v>8.6376135013324973</v>
      </c>
      <c r="L710" s="6">
        <f t="shared" si="221"/>
        <v>-0.75505435599146808</v>
      </c>
      <c r="M710" s="6">
        <f t="shared" si="222"/>
        <v>9.3926678573239659</v>
      </c>
      <c r="N710" s="6">
        <v>6219.59</v>
      </c>
      <c r="O710" s="6">
        <f t="shared" si="213"/>
        <v>-8.637552147599747</v>
      </c>
      <c r="P710" s="6">
        <f t="shared" si="223"/>
        <v>1.0383048192358524</v>
      </c>
      <c r="Q710" s="6">
        <f t="shared" si="224"/>
        <v>-9.6758569668355996</v>
      </c>
      <c r="R710" s="6">
        <v>1.32</v>
      </c>
      <c r="S710" s="6">
        <f t="shared" si="214"/>
        <v>-9.5890410958904049</v>
      </c>
      <c r="T710" s="6">
        <f t="shared" si="225"/>
        <v>-3.2094305440961999</v>
      </c>
      <c r="U710" s="6">
        <f t="shared" si="226"/>
        <v>-6.3796105517942046</v>
      </c>
      <c r="V710" s="6">
        <v>76.73</v>
      </c>
      <c r="W710" s="6">
        <f t="shared" si="215"/>
        <v>39.712308812818641</v>
      </c>
      <c r="X710" s="6">
        <f t="shared" si="227"/>
        <v>-3.0440712913151065</v>
      </c>
      <c r="Y710" s="6">
        <f t="shared" si="228"/>
        <v>42.756380104133747</v>
      </c>
      <c r="Z710" s="6">
        <v>88.9</v>
      </c>
      <c r="AA710" s="6">
        <f t="shared" si="216"/>
        <v>1.8327605956472093</v>
      </c>
      <c r="AB710" s="6">
        <f t="shared" si="229"/>
        <v>-0.39905171487942726</v>
      </c>
      <c r="AC710" s="6">
        <f t="shared" si="230"/>
        <v>2.2318123105266365</v>
      </c>
    </row>
    <row r="711" spans="1:29" x14ac:dyDescent="0.2">
      <c r="A711" t="s">
        <v>795</v>
      </c>
      <c r="B711" s="6">
        <v>539.1</v>
      </c>
      <c r="C711" s="6">
        <f t="shared" si="210"/>
        <v>-26.035178223527154</v>
      </c>
      <c r="D711" s="6">
        <f t="shared" si="217"/>
        <v>-4.9179738811733325</v>
      </c>
      <c r="E711" s="6">
        <f t="shared" si="218"/>
        <v>-21.117204342353823</v>
      </c>
      <c r="F711" s="6">
        <v>100.73</v>
      </c>
      <c r="G711" s="6">
        <f t="shared" si="211"/>
        <v>4.2322019867549798</v>
      </c>
      <c r="H711" s="6">
        <f t="shared" si="219"/>
        <v>14.156245370461967</v>
      </c>
      <c r="I711" s="6">
        <f t="shared" si="220"/>
        <v>-9.9240433837069872</v>
      </c>
      <c r="J711" s="6">
        <v>11239.72</v>
      </c>
      <c r="K711" s="6">
        <f t="shared" si="212"/>
        <v>-6.1166054126294718</v>
      </c>
      <c r="L711" s="6">
        <f t="shared" si="221"/>
        <v>-0.82519291150075558</v>
      </c>
      <c r="M711" s="6">
        <f t="shared" si="222"/>
        <v>-5.2914125011287165</v>
      </c>
      <c r="N711" s="6">
        <v>6195.92</v>
      </c>
      <c r="O711" s="6">
        <f t="shared" si="213"/>
        <v>-9.2379020149270126</v>
      </c>
      <c r="P711" s="6">
        <f t="shared" si="223"/>
        <v>0.99300419975551613</v>
      </c>
      <c r="Q711" s="6">
        <f t="shared" si="224"/>
        <v>-10.230906214682529</v>
      </c>
      <c r="R711" s="6">
        <v>1.23</v>
      </c>
      <c r="S711" s="6">
        <f t="shared" si="214"/>
        <v>-13.98601398601398</v>
      </c>
      <c r="T711" s="6">
        <f t="shared" si="225"/>
        <v>-2.6818315439387441</v>
      </c>
      <c r="U711" s="6">
        <f t="shared" si="226"/>
        <v>-11.304182442075236</v>
      </c>
      <c r="V711" s="6">
        <v>62.32</v>
      </c>
      <c r="W711" s="6">
        <f t="shared" si="215"/>
        <v>3.9879859836475795</v>
      </c>
      <c r="X711" s="6">
        <f t="shared" si="227"/>
        <v>-1.8343688192689882</v>
      </c>
      <c r="Y711" s="6">
        <f t="shared" si="228"/>
        <v>5.8223548029165677</v>
      </c>
      <c r="Z711" s="6">
        <v>88.8</v>
      </c>
      <c r="AA711" s="6">
        <f t="shared" si="216"/>
        <v>1.6018306636155444</v>
      </c>
      <c r="AB711" s="6">
        <f t="shared" si="229"/>
        <v>-0.29641248055482478</v>
      </c>
      <c r="AC711" s="6">
        <f t="shared" si="230"/>
        <v>1.8982431441703691</v>
      </c>
    </row>
    <row r="712" spans="1:29" x14ac:dyDescent="0.2">
      <c r="A712" t="s">
        <v>796</v>
      </c>
      <c r="B712" s="6">
        <v>535.02</v>
      </c>
      <c r="C712" s="6">
        <f t="shared" si="210"/>
        <v>-21.224435708291001</v>
      </c>
      <c r="D712" s="6">
        <f t="shared" si="217"/>
        <v>-5.1393642650242377</v>
      </c>
      <c r="E712" s="6">
        <f t="shared" si="218"/>
        <v>-16.085071443266763</v>
      </c>
      <c r="F712" s="6">
        <v>101.37</v>
      </c>
      <c r="G712" s="6">
        <f t="shared" si="211"/>
        <v>0.55550044638428275</v>
      </c>
      <c r="H712" s="6">
        <f t="shared" si="219"/>
        <v>14.74340307396009</v>
      </c>
      <c r="I712" s="6">
        <f t="shared" si="220"/>
        <v>-14.187902627575808</v>
      </c>
      <c r="J712" s="6">
        <v>10835.08</v>
      </c>
      <c r="K712" s="6">
        <f t="shared" si="212"/>
        <v>-5.7418328315257616</v>
      </c>
      <c r="L712" s="6">
        <f t="shared" si="221"/>
        <v>-1.2758461581740521</v>
      </c>
      <c r="M712" s="6">
        <f t="shared" si="222"/>
        <v>-4.4659866733517095</v>
      </c>
      <c r="N712" s="6">
        <v>6075.32</v>
      </c>
      <c r="O712" s="6">
        <f t="shared" si="213"/>
        <v>-11.100120136554736</v>
      </c>
      <c r="P712" s="6">
        <f t="shared" si="223"/>
        <v>0.90597197298639409</v>
      </c>
      <c r="Q712" s="6">
        <f t="shared" si="224"/>
        <v>-12.006092109541131</v>
      </c>
      <c r="R712" s="6">
        <v>1.26</v>
      </c>
      <c r="S712" s="6">
        <f t="shared" si="214"/>
        <v>-13.698630136986301</v>
      </c>
      <c r="T712" s="6">
        <f t="shared" si="225"/>
        <v>-2.284801038212585</v>
      </c>
      <c r="U712" s="6">
        <f t="shared" si="226"/>
        <v>-11.413829098773716</v>
      </c>
      <c r="V712" s="6">
        <v>53.96</v>
      </c>
      <c r="W712" s="6">
        <f t="shared" si="215"/>
        <v>-11.81565615296617</v>
      </c>
      <c r="X712" s="6">
        <f t="shared" si="227"/>
        <v>-1.2308076851176375</v>
      </c>
      <c r="Y712" s="6">
        <f t="shared" si="228"/>
        <v>-10.584848467848532</v>
      </c>
      <c r="Z712" s="6">
        <v>88.7</v>
      </c>
      <c r="AA712" s="6">
        <f t="shared" si="216"/>
        <v>1.4874141876430214</v>
      </c>
      <c r="AB712" s="6">
        <f t="shared" si="229"/>
        <v>-0.20088631226357082</v>
      </c>
      <c r="AC712" s="6">
        <f t="shared" si="230"/>
        <v>1.6883004999065923</v>
      </c>
    </row>
    <row r="713" spans="1:29" x14ac:dyDescent="0.2">
      <c r="A713" t="s">
        <v>797</v>
      </c>
      <c r="B713" s="6">
        <v>584.58000000000004</v>
      </c>
      <c r="C713" s="6">
        <f t="shared" si="210"/>
        <v>-16.898144857488095</v>
      </c>
      <c r="D713" s="6">
        <f t="shared" si="217"/>
        <v>-5.1898850959239313</v>
      </c>
      <c r="E713" s="6">
        <f t="shared" si="218"/>
        <v>-11.708259761564165</v>
      </c>
      <c r="F713" s="6">
        <v>98.56</v>
      </c>
      <c r="G713" s="6">
        <f t="shared" si="211"/>
        <v>-7.4119304837952038</v>
      </c>
      <c r="H713" s="6">
        <f t="shared" si="219"/>
        <v>15.295941141021999</v>
      </c>
      <c r="I713" s="6">
        <f t="shared" si="220"/>
        <v>-22.707871624817201</v>
      </c>
      <c r="J713" s="6">
        <v>11523.09</v>
      </c>
      <c r="K713" s="6">
        <f t="shared" si="212"/>
        <v>-10.429867981667918</v>
      </c>
      <c r="L713" s="6">
        <f t="shared" si="221"/>
        <v>-1.700309962441545</v>
      </c>
      <c r="M713" s="6">
        <f t="shared" si="222"/>
        <v>-8.7295580192263742</v>
      </c>
      <c r="N713" s="6">
        <v>5939.1</v>
      </c>
      <c r="O713" s="6">
        <f t="shared" si="213"/>
        <v>-15.946418336081292</v>
      </c>
      <c r="P713" s="6">
        <f t="shared" si="223"/>
        <v>0.89661270497497514</v>
      </c>
      <c r="Q713" s="6">
        <f t="shared" si="224"/>
        <v>-16.843031041056268</v>
      </c>
      <c r="R713" s="6">
        <v>1.36</v>
      </c>
      <c r="S713" s="6">
        <f t="shared" si="214"/>
        <v>-9.3333333333333268</v>
      </c>
      <c r="T713" s="6">
        <f t="shared" si="225"/>
        <v>-1.8126134084907084</v>
      </c>
      <c r="U713" s="6">
        <f t="shared" si="226"/>
        <v>-7.5207199248426182</v>
      </c>
      <c r="V713" s="6">
        <v>56.58</v>
      </c>
      <c r="W713" s="6">
        <f t="shared" si="215"/>
        <v>-14.570436358145866</v>
      </c>
      <c r="X713" s="6">
        <f t="shared" si="227"/>
        <v>-0.59251831964054669</v>
      </c>
      <c r="Y713" s="6">
        <f t="shared" si="228"/>
        <v>-13.977918038505319</v>
      </c>
      <c r="Z713" s="6">
        <v>88.8</v>
      </c>
      <c r="AA713" s="6">
        <f t="shared" si="216"/>
        <v>1.2542759407069504</v>
      </c>
      <c r="AB713" s="6">
        <f t="shared" si="229"/>
        <v>-0.1283702774850167</v>
      </c>
      <c r="AC713" s="6">
        <f t="shared" si="230"/>
        <v>1.382646218191967</v>
      </c>
    </row>
    <row r="714" spans="1:29" x14ac:dyDescent="0.2">
      <c r="A714" t="s">
        <v>798</v>
      </c>
      <c r="B714" s="6">
        <v>602.97</v>
      </c>
      <c r="C714" s="6">
        <f t="shared" si="210"/>
        <v>-15.007611637347773</v>
      </c>
      <c r="D714" s="6">
        <f t="shared" si="217"/>
        <v>-5.1965953574307706</v>
      </c>
      <c r="E714" s="6">
        <f t="shared" si="218"/>
        <v>-9.811016279917002</v>
      </c>
      <c r="F714" s="6">
        <v>95.42</v>
      </c>
      <c r="G714" s="6">
        <f t="shared" si="211"/>
        <v>-9.9386503067484639</v>
      </c>
      <c r="H714" s="6">
        <f t="shared" si="219"/>
        <v>15.656424015163614</v>
      </c>
      <c r="I714" s="6">
        <f t="shared" si="220"/>
        <v>-25.59507432191208</v>
      </c>
      <c r="J714" s="6">
        <v>12685.23</v>
      </c>
      <c r="K714" s="6">
        <f t="shared" si="212"/>
        <v>-6.6979849778020961</v>
      </c>
      <c r="L714" s="6">
        <f t="shared" si="221"/>
        <v>-2.0281003118143803</v>
      </c>
      <c r="M714" s="6">
        <f t="shared" si="222"/>
        <v>-4.6698846659877162</v>
      </c>
      <c r="N714" s="6">
        <v>6300.49</v>
      </c>
      <c r="O714" s="6">
        <f t="shared" si="213"/>
        <v>-10.076757077693355</v>
      </c>
      <c r="P714" s="6">
        <f t="shared" si="223"/>
        <v>0.98181548614431102</v>
      </c>
      <c r="Q714" s="6">
        <f t="shared" si="224"/>
        <v>-11.058572563837666</v>
      </c>
      <c r="R714" s="6">
        <v>1.4</v>
      </c>
      <c r="S714" s="6">
        <f t="shared" si="214"/>
        <v>-4.1095890410958962</v>
      </c>
      <c r="T714" s="6">
        <f t="shared" si="225"/>
        <v>-1.306123273495899</v>
      </c>
      <c r="U714" s="6">
        <f t="shared" si="226"/>
        <v>-2.803465767599997</v>
      </c>
      <c r="V714" s="6">
        <v>61.13</v>
      </c>
      <c r="W714" s="6">
        <f t="shared" si="215"/>
        <v>-3.6716041601008498</v>
      </c>
      <c r="X714" s="6">
        <f t="shared" si="227"/>
        <v>0.22599262710964077</v>
      </c>
      <c r="Y714" s="6">
        <f t="shared" si="228"/>
        <v>-3.8975967872104906</v>
      </c>
      <c r="Z714" s="6">
        <v>88.8</v>
      </c>
      <c r="AA714" s="6">
        <f t="shared" si="216"/>
        <v>1.3698630136986356</v>
      </c>
      <c r="AB714" s="6">
        <f t="shared" si="229"/>
        <v>-8.1336518686843426E-2</v>
      </c>
      <c r="AC714" s="6">
        <f t="shared" si="230"/>
        <v>1.4511995323854789</v>
      </c>
    </row>
    <row r="715" spans="1:29" x14ac:dyDescent="0.2">
      <c r="A715" t="s">
        <v>799</v>
      </c>
      <c r="B715" s="6">
        <v>573.02</v>
      </c>
      <c r="C715" s="6">
        <f t="shared" si="210"/>
        <v>-18.857531259292838</v>
      </c>
      <c r="D715" s="6">
        <f t="shared" si="217"/>
        <v>-5.0915920656221738</v>
      </c>
      <c r="E715" s="6">
        <f t="shared" si="218"/>
        <v>-13.765939193670665</v>
      </c>
      <c r="F715" s="6">
        <v>93.12</v>
      </c>
      <c r="G715" s="6">
        <f t="shared" si="211"/>
        <v>-3.6623215394165021</v>
      </c>
      <c r="H715" s="6">
        <f t="shared" si="219"/>
        <v>15.647079291111247</v>
      </c>
      <c r="I715" s="6">
        <f t="shared" si="220"/>
        <v>-19.30940083052775</v>
      </c>
      <c r="J715" s="6">
        <v>13026.27</v>
      </c>
      <c r="K715" s="6">
        <f t="shared" si="212"/>
        <v>-2.7345902557401547</v>
      </c>
      <c r="L715" s="6">
        <f t="shared" si="221"/>
        <v>-2.2219546717740695</v>
      </c>
      <c r="M715" s="6">
        <f t="shared" si="222"/>
        <v>-0.51263558396608522</v>
      </c>
      <c r="N715" s="6">
        <v>6439.46</v>
      </c>
      <c r="O715" s="6">
        <f t="shared" si="213"/>
        <v>-5.2906379886986432</v>
      </c>
      <c r="P715" s="6">
        <f t="shared" si="223"/>
        <v>1.1856641967378136</v>
      </c>
      <c r="Q715" s="6">
        <f t="shared" si="224"/>
        <v>-6.4763021854364569</v>
      </c>
      <c r="R715" s="6">
        <v>1.47</v>
      </c>
      <c r="S715" s="6">
        <f t="shared" si="214"/>
        <v>2.0833333333333259</v>
      </c>
      <c r="T715" s="6">
        <f t="shared" si="225"/>
        <v>-0.87638883465908268</v>
      </c>
      <c r="U715" s="6">
        <f t="shared" si="226"/>
        <v>2.9597221679924086</v>
      </c>
      <c r="V715" s="6">
        <v>63.79</v>
      </c>
      <c r="W715" s="6">
        <f t="shared" si="215"/>
        <v>-0.59217702976469555</v>
      </c>
      <c r="X715" s="6">
        <f t="shared" si="227"/>
        <v>1.1439681064366127</v>
      </c>
      <c r="Y715" s="6">
        <f t="shared" si="228"/>
        <v>-1.7361451362013083</v>
      </c>
      <c r="Z715" s="6">
        <v>88.8</v>
      </c>
      <c r="AA715" s="6">
        <f t="shared" si="216"/>
        <v>1.0238907849829282</v>
      </c>
      <c r="AB715" s="6">
        <f t="shared" si="229"/>
        <v>-2.7249582527244669E-2</v>
      </c>
      <c r="AC715" s="6">
        <f t="shared" si="230"/>
        <v>1.0511403675101729</v>
      </c>
    </row>
    <row r="716" spans="1:29" x14ac:dyDescent="0.2">
      <c r="A716" t="s">
        <v>800</v>
      </c>
      <c r="B716" s="6">
        <v>588.45000000000005</v>
      </c>
      <c r="C716" s="6">
        <f t="shared" si="210"/>
        <v>-16.077184175247428</v>
      </c>
      <c r="D716" s="6">
        <f t="shared" si="217"/>
        <v>-4.9275897549424199</v>
      </c>
      <c r="E716" s="6">
        <f t="shared" si="218"/>
        <v>-11.149594420305007</v>
      </c>
      <c r="F716" s="6">
        <v>86.77</v>
      </c>
      <c r="G716" s="6">
        <f t="shared" si="211"/>
        <v>-7.3860604119970086</v>
      </c>
      <c r="H716" s="6">
        <f t="shared" si="219"/>
        <v>15.814508768630104</v>
      </c>
      <c r="I716" s="6">
        <f t="shared" si="220"/>
        <v>-23.200569180627113</v>
      </c>
      <c r="J716" s="6">
        <v>12772.79</v>
      </c>
      <c r="K716" s="6">
        <f t="shared" si="212"/>
        <v>-8.3606086912850319</v>
      </c>
      <c r="L716" s="6">
        <f t="shared" si="221"/>
        <v>-2.023446853395404</v>
      </c>
      <c r="M716" s="6">
        <f t="shared" si="222"/>
        <v>-6.3371618378896279</v>
      </c>
      <c r="N716" s="6">
        <v>6438.36</v>
      </c>
      <c r="O716" s="6">
        <f t="shared" si="213"/>
        <v>-6.0300576077390371</v>
      </c>
      <c r="P716" s="6">
        <f t="shared" si="223"/>
        <v>1.2979882258339885</v>
      </c>
      <c r="Q716" s="6">
        <f t="shared" si="224"/>
        <v>-7.3280458335730252</v>
      </c>
      <c r="R716" s="6">
        <v>1.5</v>
      </c>
      <c r="S716" s="6">
        <f t="shared" si="214"/>
        <v>7.9136690647482189</v>
      </c>
      <c r="T716" s="6">
        <f t="shared" si="225"/>
        <v>-0.29326239539598586</v>
      </c>
      <c r="U716" s="6">
        <f t="shared" si="226"/>
        <v>8.2069314601442045</v>
      </c>
      <c r="V716" s="6">
        <v>68.58</v>
      </c>
      <c r="W716" s="6">
        <f t="shared" si="215"/>
        <v>-0.30527692978631338</v>
      </c>
      <c r="X716" s="6">
        <f t="shared" si="227"/>
        <v>2.1570780284664575</v>
      </c>
      <c r="Y716" s="6">
        <f t="shared" si="228"/>
        <v>-2.4623549582527708</v>
      </c>
      <c r="Z716" s="6">
        <v>88.9</v>
      </c>
      <c r="AA716" s="6">
        <f t="shared" si="216"/>
        <v>0.56561085972850478</v>
      </c>
      <c r="AB716" s="6">
        <f t="shared" si="229"/>
        <v>2.6597268878591668E-2</v>
      </c>
      <c r="AC716" s="6">
        <f t="shared" si="230"/>
        <v>0.53901359084991307</v>
      </c>
    </row>
    <row r="717" spans="1:29" x14ac:dyDescent="0.2">
      <c r="A717" t="s">
        <v>801</v>
      </c>
      <c r="B717" s="6">
        <v>564.4</v>
      </c>
      <c r="C717" s="6">
        <f t="shared" si="210"/>
        <v>-17.86363967110529</v>
      </c>
      <c r="D717" s="6">
        <f t="shared" si="217"/>
        <v>-4.714218029179654</v>
      </c>
      <c r="E717" s="6">
        <f t="shared" si="218"/>
        <v>-13.149421641925635</v>
      </c>
      <c r="F717" s="6">
        <v>82.32</v>
      </c>
      <c r="G717" s="6">
        <f t="shared" si="211"/>
        <v>-21.815936936081314</v>
      </c>
      <c r="H717" s="6">
        <f t="shared" si="219"/>
        <v>16.134975639223796</v>
      </c>
      <c r="I717" s="6">
        <f t="shared" si="220"/>
        <v>-37.950912575305111</v>
      </c>
      <c r="J717" s="6">
        <v>12016.31</v>
      </c>
      <c r="K717" s="6">
        <f t="shared" si="212"/>
        <v>-16.358762648357395</v>
      </c>
      <c r="L717" s="6">
        <f t="shared" si="221"/>
        <v>-1.6528964579185923</v>
      </c>
      <c r="M717" s="6">
        <f t="shared" si="222"/>
        <v>-14.705866190438803</v>
      </c>
      <c r="N717" s="6">
        <v>6017.9</v>
      </c>
      <c r="O717" s="6">
        <f t="shared" si="213"/>
        <v>-11.829129104050107</v>
      </c>
      <c r="P717" s="6">
        <f t="shared" si="223"/>
        <v>1.36949256769231</v>
      </c>
      <c r="Q717" s="6">
        <f t="shared" si="224"/>
        <v>-13.198621671742417</v>
      </c>
      <c r="R717" s="6">
        <v>1.5</v>
      </c>
      <c r="S717" s="6">
        <f t="shared" si="214"/>
        <v>4.1666666666666741</v>
      </c>
      <c r="T717" s="6">
        <f t="shared" si="225"/>
        <v>0.30465814457653112</v>
      </c>
      <c r="U717" s="6">
        <f t="shared" si="226"/>
        <v>3.862008522090143</v>
      </c>
      <c r="V717" s="6">
        <v>66.83</v>
      </c>
      <c r="W717" s="6">
        <f t="shared" si="215"/>
        <v>-8.9881519814789748</v>
      </c>
      <c r="X717" s="6">
        <f t="shared" si="227"/>
        <v>3.0909695148252254</v>
      </c>
      <c r="Y717" s="6">
        <f t="shared" si="228"/>
        <v>-12.0791214963042</v>
      </c>
      <c r="Z717" s="6">
        <v>88.8</v>
      </c>
      <c r="AA717" s="6">
        <f t="shared" si="216"/>
        <v>0</v>
      </c>
      <c r="AB717" s="6">
        <f t="shared" si="229"/>
        <v>8.7263510020514357E-2</v>
      </c>
      <c r="AC717" s="6">
        <f t="shared" si="230"/>
        <v>-8.7263510020514357E-2</v>
      </c>
    </row>
    <row r="718" spans="1:29" x14ac:dyDescent="0.2">
      <c r="A718" t="s">
        <v>802</v>
      </c>
      <c r="B718" s="6">
        <v>552.19000000000005</v>
      </c>
      <c r="C718" s="6">
        <f t="shared" si="210"/>
        <v>-15.888804265041879</v>
      </c>
      <c r="D718" s="6">
        <f t="shared" si="217"/>
        <v>-4.6201188317301147</v>
      </c>
      <c r="E718" s="6">
        <f t="shared" si="218"/>
        <v>-11.268685433311763</v>
      </c>
      <c r="F718" s="6">
        <v>72.489999999999995</v>
      </c>
      <c r="G718" s="6">
        <f t="shared" si="211"/>
        <v>-36.595819120090965</v>
      </c>
      <c r="H718" s="6">
        <f t="shared" si="219"/>
        <v>16.033871805364658</v>
      </c>
      <c r="I718" s="6">
        <f t="shared" si="220"/>
        <v>-52.62969092545562</v>
      </c>
      <c r="J718" s="6">
        <v>11943.94</v>
      </c>
      <c r="K718" s="6">
        <f t="shared" si="212"/>
        <v>-20.930645155951577</v>
      </c>
      <c r="L718" s="6">
        <f t="shared" si="221"/>
        <v>-1.3612499607066171</v>
      </c>
      <c r="M718" s="6">
        <f t="shared" si="222"/>
        <v>-19.569395195244962</v>
      </c>
      <c r="N718" s="6">
        <v>5882.23</v>
      </c>
      <c r="O718" s="6">
        <f t="shared" si="213"/>
        <v>-15.556298863313367</v>
      </c>
      <c r="P718" s="6">
        <f t="shared" si="223"/>
        <v>1.3033415081575868</v>
      </c>
      <c r="Q718" s="6">
        <f t="shared" si="224"/>
        <v>-16.859640371470952</v>
      </c>
      <c r="R718" s="6">
        <v>1.5</v>
      </c>
      <c r="S718" s="6">
        <f t="shared" si="214"/>
        <v>8.6956521739130608</v>
      </c>
      <c r="T718" s="6">
        <f t="shared" si="225"/>
        <v>0.56404752656206736</v>
      </c>
      <c r="U718" s="6">
        <f t="shared" si="226"/>
        <v>8.1316046473509935</v>
      </c>
      <c r="V718" s="6">
        <v>59.76</v>
      </c>
      <c r="W718" s="6">
        <f t="shared" si="215"/>
        <v>-16.976938038343992</v>
      </c>
      <c r="X718" s="6">
        <f t="shared" si="227"/>
        <v>3.755102215539019</v>
      </c>
      <c r="Y718" s="6">
        <f t="shared" si="228"/>
        <v>-20.73204025388301</v>
      </c>
      <c r="Z718" s="6">
        <v>88.8</v>
      </c>
      <c r="AA718" s="6">
        <f t="shared" si="216"/>
        <v>0.11273957158961512</v>
      </c>
      <c r="AB718" s="6">
        <f t="shared" si="229"/>
        <v>0.1522226785431573</v>
      </c>
      <c r="AC718" s="6">
        <f t="shared" si="230"/>
        <v>-3.948310695354218E-2</v>
      </c>
    </row>
    <row r="719" spans="1:29" x14ac:dyDescent="0.2">
      <c r="A719" t="s">
        <v>803</v>
      </c>
      <c r="B719" s="6">
        <v>543.88</v>
      </c>
      <c r="C719" s="6">
        <f t="shared" si="210"/>
        <v>-11.727854059142405</v>
      </c>
      <c r="D719" s="6">
        <f t="shared" si="217"/>
        <v>-4.5741254466289956</v>
      </c>
      <c r="E719" s="6">
        <f t="shared" si="218"/>
        <v>-7.1537286125134099</v>
      </c>
      <c r="F719" s="6">
        <v>72.08</v>
      </c>
      <c r="G719" s="6">
        <f t="shared" si="211"/>
        <v>-39.717320398093172</v>
      </c>
      <c r="H719" s="6">
        <f t="shared" si="219"/>
        <v>15.636362842862297</v>
      </c>
      <c r="I719" s="6">
        <f t="shared" si="220"/>
        <v>-55.353683240955469</v>
      </c>
      <c r="J719" s="6">
        <v>13546.3</v>
      </c>
      <c r="K719" s="6">
        <f t="shared" si="212"/>
        <v>-1.7947115600709385</v>
      </c>
      <c r="L719" s="6">
        <f t="shared" si="221"/>
        <v>-1.1482678152506907</v>
      </c>
      <c r="M719" s="6">
        <f t="shared" si="222"/>
        <v>-0.6464437448202478</v>
      </c>
      <c r="N719" s="6">
        <v>5941.2</v>
      </c>
      <c r="O719" s="6">
        <f t="shared" si="213"/>
        <v>-4.9522057353117654</v>
      </c>
      <c r="P719" s="6">
        <f t="shared" si="223"/>
        <v>1.2810496196667425</v>
      </c>
      <c r="Q719" s="6">
        <f t="shared" si="224"/>
        <v>-6.2332553549785077</v>
      </c>
      <c r="R719" s="6">
        <v>1.41</v>
      </c>
      <c r="S719" s="6">
        <f t="shared" si="214"/>
        <v>7.6335877862595325</v>
      </c>
      <c r="T719" s="6">
        <f t="shared" si="225"/>
        <v>0.90358901312872575</v>
      </c>
      <c r="U719" s="6">
        <f t="shared" si="226"/>
        <v>6.7299987731308066</v>
      </c>
      <c r="V719" s="6">
        <v>61.48</v>
      </c>
      <c r="W719" s="6">
        <f t="shared" si="215"/>
        <v>-15.398376221274257</v>
      </c>
      <c r="X719" s="6">
        <f t="shared" si="227"/>
        <v>4.3061098023528386</v>
      </c>
      <c r="Y719" s="6">
        <f t="shared" si="228"/>
        <v>-19.704486023627094</v>
      </c>
      <c r="Z719" s="6">
        <v>88.6</v>
      </c>
      <c r="AA719" s="6">
        <f t="shared" si="216"/>
        <v>-0.56116722783389195</v>
      </c>
      <c r="AB719" s="6">
        <f t="shared" si="229"/>
        <v>0.21714094130870829</v>
      </c>
      <c r="AC719" s="6">
        <f t="shared" si="230"/>
        <v>-0.77830816914260026</v>
      </c>
    </row>
    <row r="720" spans="1:29" x14ac:dyDescent="0.2">
      <c r="A720" t="s">
        <v>804</v>
      </c>
      <c r="B720" s="6">
        <v>586.12</v>
      </c>
      <c r="C720" s="6">
        <f t="shared" si="210"/>
        <v>-4.6571777145181015</v>
      </c>
      <c r="D720" s="6">
        <f t="shared" si="217"/>
        <v>-4.3945850526664438</v>
      </c>
      <c r="E720" s="6">
        <f t="shared" si="218"/>
        <v>-0.26259266185165764</v>
      </c>
      <c r="F720" s="6">
        <v>65.55</v>
      </c>
      <c r="G720" s="6">
        <f t="shared" si="211"/>
        <v>-44.136696778592132</v>
      </c>
      <c r="H720" s="6">
        <f t="shared" si="219"/>
        <v>15.077100486083843</v>
      </c>
      <c r="I720" s="6">
        <f t="shared" si="220"/>
        <v>-59.213797264675975</v>
      </c>
      <c r="J720" s="6">
        <v>15748.64</v>
      </c>
      <c r="K720" s="6">
        <f t="shared" si="212"/>
        <v>17.427701163566667</v>
      </c>
      <c r="L720" s="6">
        <f t="shared" si="221"/>
        <v>-0.34605937115190305</v>
      </c>
      <c r="M720" s="6">
        <f t="shared" si="222"/>
        <v>17.773760534718569</v>
      </c>
      <c r="N720" s="6">
        <v>5709.44</v>
      </c>
      <c r="O720" s="6">
        <f t="shared" si="213"/>
        <v>-5.6454664892869877</v>
      </c>
      <c r="P720" s="6">
        <f t="shared" si="223"/>
        <v>1.6630646824971287</v>
      </c>
      <c r="Q720" s="6">
        <f t="shared" si="224"/>
        <v>-7.3085311717841162</v>
      </c>
      <c r="R720" s="6">
        <v>1.31</v>
      </c>
      <c r="S720" s="6">
        <f t="shared" si="214"/>
        <v>-2.2388059701492602</v>
      </c>
      <c r="T720" s="6">
        <f t="shared" si="225"/>
        <v>1.3689946410287401</v>
      </c>
      <c r="U720" s="6">
        <f t="shared" si="226"/>
        <v>-3.6078006111780003</v>
      </c>
      <c r="V720" s="6">
        <v>57.67</v>
      </c>
      <c r="W720" s="6">
        <f t="shared" si="215"/>
        <v>-18.866066404051772</v>
      </c>
      <c r="X720" s="6">
        <f t="shared" si="227"/>
        <v>4.9928255817240785</v>
      </c>
      <c r="Y720" s="6">
        <f t="shared" si="228"/>
        <v>-23.858891985775848</v>
      </c>
      <c r="Z720" s="6">
        <v>88.6</v>
      </c>
      <c r="AA720" s="6">
        <f t="shared" si="216"/>
        <v>-0.33745781777279049</v>
      </c>
      <c r="AB720" s="6">
        <f t="shared" si="229"/>
        <v>0.23357144220990045</v>
      </c>
      <c r="AC720" s="6">
        <f t="shared" si="230"/>
        <v>-0.57102925998269094</v>
      </c>
    </row>
    <row r="721" spans="1:29" x14ac:dyDescent="0.2">
      <c r="A721" t="s">
        <v>805</v>
      </c>
      <c r="B721" s="6">
        <v>580.29999999999995</v>
      </c>
      <c r="C721" s="6">
        <f t="shared" ref="C721:C784" si="231">IF(OR(B721="",B709=""),"",(B721/B709-1)*100)</f>
        <v>-4.1064198958935876</v>
      </c>
      <c r="D721" s="6">
        <f t="shared" si="217"/>
        <v>-4.0172284696690941</v>
      </c>
      <c r="E721" s="6">
        <f t="shared" si="218"/>
        <v>-8.9191426224493497E-2</v>
      </c>
      <c r="F721" s="6">
        <v>65.95</v>
      </c>
      <c r="G721" s="6">
        <f t="shared" ref="G721:G784" si="232">IF(OR(F721="",F709=""),"",(F721/F709-1)*100)</f>
        <v>-42.230203223545892</v>
      </c>
      <c r="H721" s="6">
        <f t="shared" si="219"/>
        <v>14.453737212489608</v>
      </c>
      <c r="I721" s="6">
        <f t="shared" si="220"/>
        <v>-56.683940436035499</v>
      </c>
      <c r="J721" s="6">
        <v>17656.88</v>
      </c>
      <c r="K721" s="6">
        <f t="shared" ref="K721:K784" si="233">IF(OR(J721="",J709=""),"",(J721/J709-1)*100)</f>
        <v>41.138177588956346</v>
      </c>
      <c r="L721" s="6">
        <f t="shared" si="221"/>
        <v>0.93705712667985497</v>
      </c>
      <c r="M721" s="6">
        <f t="shared" si="222"/>
        <v>40.201120462276492</v>
      </c>
      <c r="N721" s="6">
        <v>5759.25</v>
      </c>
      <c r="O721" s="6">
        <f t="shared" ref="O721:O784" si="234">IF(OR(N721="",N709=""),"",(N721/N709-1)*100)</f>
        <v>-4.8177419034964197</v>
      </c>
      <c r="P721" s="6">
        <f t="shared" si="223"/>
        <v>2.1032029976776454</v>
      </c>
      <c r="Q721" s="6">
        <f t="shared" si="224"/>
        <v>-6.9209449011740656</v>
      </c>
      <c r="R721" s="6">
        <v>1.34</v>
      </c>
      <c r="S721" s="6">
        <f t="shared" ref="S721:S784" si="235">IF(OR(R721="",R709=""),"",(R721/R709-1)*100)</f>
        <v>0.75187969924812581</v>
      </c>
      <c r="T721" s="6">
        <f t="shared" si="225"/>
        <v>1.77145464639115</v>
      </c>
      <c r="U721" s="6">
        <f t="shared" si="226"/>
        <v>-1.0195749471430242</v>
      </c>
      <c r="V721" s="6">
        <v>60.04</v>
      </c>
      <c r="W721" s="6">
        <f t="shared" ref="W721:W784" si="236">IF(OR(V721="",V709=""),"",(V721/V709-1)*100)</f>
        <v>-20.329087048832271</v>
      </c>
      <c r="X721" s="6">
        <f t="shared" si="227"/>
        <v>5.7317165646231762</v>
      </c>
      <c r="Y721" s="6">
        <f t="shared" si="228"/>
        <v>-26.060803613455448</v>
      </c>
      <c r="Z721" s="6">
        <v>88.6</v>
      </c>
      <c r="AA721" s="6">
        <f t="shared" ref="AA721:AA784" si="237">IF(OR(Z721="",Z709=""),"",(Z721/Z709-1)*100)</f>
        <v>-0.56116722783389195</v>
      </c>
      <c r="AB721" s="6">
        <f t="shared" si="229"/>
        <v>0.26862861309384289</v>
      </c>
      <c r="AC721" s="6">
        <f t="shared" si="230"/>
        <v>-0.82979584092773484</v>
      </c>
    </row>
    <row r="722" spans="1:29" x14ac:dyDescent="0.2">
      <c r="A722" t="s">
        <v>806</v>
      </c>
      <c r="B722" s="6">
        <v>591.35</v>
      </c>
      <c r="C722" s="6">
        <f t="shared" si="231"/>
        <v>0.26280094947441768</v>
      </c>
      <c r="D722" s="6">
        <f t="shared" si="217"/>
        <v>-3.661191634741968</v>
      </c>
      <c r="E722" s="6">
        <f t="shared" si="218"/>
        <v>3.9239925842163856</v>
      </c>
      <c r="F722" s="6">
        <v>69.2</v>
      </c>
      <c r="G722" s="6">
        <f t="shared" si="232"/>
        <v>-36.356111468775865</v>
      </c>
      <c r="H722" s="6">
        <f t="shared" si="219"/>
        <v>13.835858711655325</v>
      </c>
      <c r="I722" s="6">
        <f t="shared" si="220"/>
        <v>-50.191970180431191</v>
      </c>
      <c r="J722" s="6">
        <v>17046.22</v>
      </c>
      <c r="K722" s="6">
        <f t="shared" si="233"/>
        <v>38.419363194696523</v>
      </c>
      <c r="L722" s="6">
        <f t="shared" si="221"/>
        <v>2.729475817651974</v>
      </c>
      <c r="M722" s="6">
        <f t="shared" si="222"/>
        <v>35.689887377044549</v>
      </c>
      <c r="N722" s="6">
        <v>5757.3</v>
      </c>
      <c r="O722" s="6">
        <f t="shared" si="234"/>
        <v>-7.4328050562818433</v>
      </c>
      <c r="P722" s="6">
        <f t="shared" si="223"/>
        <v>2.5045423081429248</v>
      </c>
      <c r="Q722" s="6">
        <f t="shared" si="224"/>
        <v>-9.9373473644247685</v>
      </c>
      <c r="R722" s="6">
        <v>1.3</v>
      </c>
      <c r="S722" s="6">
        <f t="shared" si="235"/>
        <v>-1.5151515151515138</v>
      </c>
      <c r="T722" s="6">
        <f t="shared" si="225"/>
        <v>2.1819989810840901</v>
      </c>
      <c r="U722" s="6">
        <f t="shared" si="226"/>
        <v>-3.6971504962356039</v>
      </c>
      <c r="V722" s="6">
        <v>57.27</v>
      </c>
      <c r="W722" s="6">
        <f t="shared" si="236"/>
        <v>-25.361657760980062</v>
      </c>
      <c r="X722" s="6">
        <f t="shared" si="227"/>
        <v>6.38561523580415</v>
      </c>
      <c r="Y722" s="6">
        <f t="shared" si="228"/>
        <v>-31.747272996784211</v>
      </c>
      <c r="Z722" s="6">
        <v>87.7</v>
      </c>
      <c r="AA722" s="6">
        <f t="shared" si="237"/>
        <v>-1.3498312710911176</v>
      </c>
      <c r="AB722" s="6">
        <f t="shared" si="229"/>
        <v>0.28747126315282773</v>
      </c>
      <c r="AC722" s="6">
        <f t="shared" si="230"/>
        <v>-1.6373025342439453</v>
      </c>
    </row>
    <row r="723" spans="1:29" x14ac:dyDescent="0.2">
      <c r="A723" t="s">
        <v>807</v>
      </c>
      <c r="B723" s="6">
        <v>685.41</v>
      </c>
      <c r="C723" s="6">
        <f t="shared" si="231"/>
        <v>27.139677239844183</v>
      </c>
      <c r="D723" s="6">
        <f t="shared" si="217"/>
        <v>-3.3075949945182024</v>
      </c>
      <c r="E723" s="6">
        <f t="shared" si="218"/>
        <v>30.447272234362384</v>
      </c>
      <c r="F723" s="6">
        <v>66.989999999999995</v>
      </c>
      <c r="G723" s="6">
        <f t="shared" si="232"/>
        <v>-33.495482974287704</v>
      </c>
      <c r="H723" s="6">
        <f t="shared" si="219"/>
        <v>13.387457145419086</v>
      </c>
      <c r="I723" s="6">
        <f t="shared" si="220"/>
        <v>-46.882940119706788</v>
      </c>
      <c r="J723" s="6">
        <v>15171.81</v>
      </c>
      <c r="K723" s="6">
        <f t="shared" si="233"/>
        <v>34.983878601958061</v>
      </c>
      <c r="L723" s="6">
        <f t="shared" si="221"/>
        <v>4.2539352361311531</v>
      </c>
      <c r="M723" s="6">
        <f t="shared" si="222"/>
        <v>30.729943365826909</v>
      </c>
      <c r="N723" s="6">
        <v>5859.95</v>
      </c>
      <c r="O723" s="6">
        <f t="shared" si="234"/>
        <v>-5.422439282624703</v>
      </c>
      <c r="P723" s="6">
        <f t="shared" si="223"/>
        <v>2.820129591857194</v>
      </c>
      <c r="Q723" s="6">
        <f t="shared" si="224"/>
        <v>-8.242568874481897</v>
      </c>
      <c r="R723" s="6">
        <v>1.39</v>
      </c>
      <c r="S723" s="6">
        <f t="shared" si="235"/>
        <v>13.008130081300816</v>
      </c>
      <c r="T723" s="6">
        <f t="shared" si="225"/>
        <v>2.5229498808098247</v>
      </c>
      <c r="U723" s="6">
        <f t="shared" si="226"/>
        <v>10.485180200490991</v>
      </c>
      <c r="V723" s="6">
        <v>60.4</v>
      </c>
      <c r="W723" s="6">
        <f t="shared" si="236"/>
        <v>-3.0808729139923052</v>
      </c>
      <c r="X723" s="6">
        <f t="shared" si="227"/>
        <v>6.8040410460811316</v>
      </c>
      <c r="Y723" s="6">
        <f t="shared" si="228"/>
        <v>-9.8849139600734368</v>
      </c>
      <c r="Z723" s="6">
        <v>87.8</v>
      </c>
      <c r="AA723" s="6">
        <f t="shared" si="237"/>
        <v>-1.1261261261261257</v>
      </c>
      <c r="AB723" s="6">
        <f t="shared" si="229"/>
        <v>0.27835395925823153</v>
      </c>
      <c r="AC723" s="6">
        <f t="shared" si="230"/>
        <v>-1.4044800853843573</v>
      </c>
    </row>
    <row r="724" spans="1:29" x14ac:dyDescent="0.2">
      <c r="A724" t="s">
        <v>808</v>
      </c>
      <c r="B724" s="6">
        <v>763.73</v>
      </c>
      <c r="C724" s="6">
        <f t="shared" si="231"/>
        <v>42.747934656648368</v>
      </c>
      <c r="D724" s="6">
        <f t="shared" si="217"/>
        <v>-2.3157385008609386</v>
      </c>
      <c r="E724" s="6">
        <f t="shared" si="218"/>
        <v>45.063673157509307</v>
      </c>
      <c r="F724" s="6">
        <v>66.180000000000007</v>
      </c>
      <c r="G724" s="6">
        <f t="shared" si="232"/>
        <v>-34.714412548091147</v>
      </c>
      <c r="H724" s="6">
        <f t="shared" si="219"/>
        <v>13.025365998322862</v>
      </c>
      <c r="I724" s="6">
        <f t="shared" si="220"/>
        <v>-47.739778546414009</v>
      </c>
      <c r="J724" s="6">
        <v>13829.42</v>
      </c>
      <c r="K724" s="6">
        <f t="shared" si="233"/>
        <v>27.635605828475661</v>
      </c>
      <c r="L724" s="6">
        <f t="shared" si="221"/>
        <v>5.8477176494834779</v>
      </c>
      <c r="M724" s="6">
        <f t="shared" si="222"/>
        <v>21.787888178992183</v>
      </c>
      <c r="N724" s="6">
        <v>6077.06</v>
      </c>
      <c r="O724" s="6">
        <f t="shared" si="234"/>
        <v>2.8640466675011744E-2</v>
      </c>
      <c r="P724" s="6">
        <f t="shared" si="223"/>
        <v>3.300846235004395</v>
      </c>
      <c r="Q724" s="6">
        <f t="shared" si="224"/>
        <v>-3.2722057683293833</v>
      </c>
      <c r="R724" s="6">
        <v>1.46</v>
      </c>
      <c r="S724" s="6">
        <f t="shared" si="235"/>
        <v>15.873015873015861</v>
      </c>
      <c r="T724" s="6">
        <f t="shared" si="225"/>
        <v>3.3080218549061899</v>
      </c>
      <c r="U724" s="6">
        <f t="shared" si="226"/>
        <v>12.564994018109671</v>
      </c>
      <c r="V724" s="6">
        <v>63.35</v>
      </c>
      <c r="W724" s="6">
        <f t="shared" si="236"/>
        <v>17.401779095626392</v>
      </c>
      <c r="X724" s="6">
        <f t="shared" si="227"/>
        <v>7.6566419234547434</v>
      </c>
      <c r="Y724" s="6">
        <f t="shared" si="228"/>
        <v>9.7451371721716491</v>
      </c>
      <c r="Z724" s="6">
        <v>88</v>
      </c>
      <c r="AA724" s="6">
        <f t="shared" si="237"/>
        <v>-0.78917700112739464</v>
      </c>
      <c r="AB724" s="6">
        <f t="shared" si="229"/>
        <v>0.27387553436408929</v>
      </c>
      <c r="AC724" s="6">
        <f t="shared" si="230"/>
        <v>-1.0630525354914839</v>
      </c>
    </row>
    <row r="725" spans="1:29" x14ac:dyDescent="0.2">
      <c r="A725" t="s">
        <v>809</v>
      </c>
      <c r="B725" s="6">
        <v>810.07</v>
      </c>
      <c r="C725" s="6">
        <f t="shared" si="231"/>
        <v>38.572992575866436</v>
      </c>
      <c r="D725" s="6">
        <f t="shared" si="217"/>
        <v>-1.100167645516877</v>
      </c>
      <c r="E725" s="6">
        <f t="shared" si="218"/>
        <v>39.673160221383313</v>
      </c>
      <c r="F725" s="6">
        <v>69.66</v>
      </c>
      <c r="G725" s="6">
        <f t="shared" si="232"/>
        <v>-29.322240259740262</v>
      </c>
      <c r="H725" s="6">
        <f t="shared" si="219"/>
        <v>12.643476744805215</v>
      </c>
      <c r="I725" s="6">
        <f t="shared" si="220"/>
        <v>-41.965717004545475</v>
      </c>
      <c r="J725" s="6">
        <v>13506.86</v>
      </c>
      <c r="K725" s="6">
        <f t="shared" si="233"/>
        <v>17.215607966265999</v>
      </c>
      <c r="L725" s="6">
        <f t="shared" si="221"/>
        <v>7.3702702586596418</v>
      </c>
      <c r="M725" s="6">
        <f t="shared" si="222"/>
        <v>9.8453377076063582</v>
      </c>
      <c r="N725" s="6">
        <v>6031.21</v>
      </c>
      <c r="O725" s="6">
        <f t="shared" si="234"/>
        <v>1.5509083867926154</v>
      </c>
      <c r="P725" s="6">
        <f t="shared" si="223"/>
        <v>3.8856210249288132</v>
      </c>
      <c r="Q725" s="6">
        <f t="shared" si="224"/>
        <v>-2.3347126381361978</v>
      </c>
      <c r="R725" s="6">
        <v>1.47</v>
      </c>
      <c r="S725" s="6">
        <f t="shared" si="235"/>
        <v>8.0882352941176414</v>
      </c>
      <c r="T725" s="6">
        <f t="shared" si="225"/>
        <v>4.0780520892221377</v>
      </c>
      <c r="U725" s="6">
        <f t="shared" si="226"/>
        <v>4.0101832048955037</v>
      </c>
      <c r="V725" s="6">
        <v>61.63</v>
      </c>
      <c r="W725" s="6">
        <f t="shared" si="236"/>
        <v>8.9254153411099324</v>
      </c>
      <c r="X725" s="6">
        <f t="shared" si="227"/>
        <v>8.8473640510990723</v>
      </c>
      <c r="Y725" s="6">
        <f t="shared" si="228"/>
        <v>7.8051290010860086E-2</v>
      </c>
      <c r="Z725" s="6">
        <v>88.7</v>
      </c>
      <c r="AA725" s="6">
        <f t="shared" si="237"/>
        <v>-0.11261261261260591</v>
      </c>
      <c r="AB725" s="6">
        <f t="shared" si="229"/>
        <v>0.29745317923231568</v>
      </c>
      <c r="AC725" s="6">
        <f t="shared" si="230"/>
        <v>-0.41006579184492159</v>
      </c>
    </row>
    <row r="726" spans="1:29" x14ac:dyDescent="0.2">
      <c r="A726" t="s">
        <v>810</v>
      </c>
      <c r="B726" s="6">
        <v>728.81</v>
      </c>
      <c r="C726" s="6">
        <f t="shared" si="231"/>
        <v>20.870026701162558</v>
      </c>
      <c r="D726" s="6">
        <f t="shared" si="217"/>
        <v>1.6121644304438004E-2</v>
      </c>
      <c r="E726" s="6">
        <f t="shared" si="218"/>
        <v>20.853905056858121</v>
      </c>
      <c r="F726" s="6">
        <v>67.64</v>
      </c>
      <c r="G726" s="6">
        <f t="shared" si="232"/>
        <v>-29.113393418570531</v>
      </c>
      <c r="H726" s="6">
        <f t="shared" si="219"/>
        <v>12.453739317518959</v>
      </c>
      <c r="I726" s="6">
        <f t="shared" si="220"/>
        <v>-41.567132736089491</v>
      </c>
      <c r="J726" s="6">
        <v>12715.55</v>
      </c>
      <c r="K726" s="6">
        <f t="shared" si="233"/>
        <v>0.23901813368776281</v>
      </c>
      <c r="L726" s="6">
        <f t="shared" si="221"/>
        <v>8.6186939011509658</v>
      </c>
      <c r="M726" s="6">
        <f t="shared" si="222"/>
        <v>-8.379675767463203</v>
      </c>
      <c r="N726" s="6">
        <v>5687.75</v>
      </c>
      <c r="O726" s="6">
        <f t="shared" si="234"/>
        <v>-9.7252753357278561</v>
      </c>
      <c r="P726" s="6">
        <f t="shared" si="223"/>
        <v>4.4034319587700264</v>
      </c>
      <c r="Q726" s="6">
        <f t="shared" si="224"/>
        <v>-14.128707294497882</v>
      </c>
      <c r="R726" s="6">
        <v>1.34</v>
      </c>
      <c r="S726" s="6">
        <f t="shared" si="235"/>
        <v>-4.2857142857142705</v>
      </c>
      <c r="T726" s="6">
        <f t="shared" si="225"/>
        <v>4.7453832822627353</v>
      </c>
      <c r="U726" s="6">
        <f t="shared" si="226"/>
        <v>-9.0310975679770067</v>
      </c>
      <c r="V726" s="6">
        <v>53.35</v>
      </c>
      <c r="W726" s="6">
        <f t="shared" si="236"/>
        <v>-12.726975298544085</v>
      </c>
      <c r="X726" s="6">
        <f t="shared" si="227"/>
        <v>9.7996903073431874</v>
      </c>
      <c r="Y726" s="6">
        <f t="shared" si="228"/>
        <v>-22.526665605887274</v>
      </c>
      <c r="Z726" s="6">
        <v>89.8</v>
      </c>
      <c r="AA726" s="6">
        <f t="shared" si="237"/>
        <v>1.1261261261261257</v>
      </c>
      <c r="AB726" s="6">
        <f t="shared" si="229"/>
        <v>0.36314386992300651</v>
      </c>
      <c r="AC726" s="6">
        <f t="shared" si="230"/>
        <v>0.76298225620311921</v>
      </c>
    </row>
    <row r="727" spans="1:29" x14ac:dyDescent="0.2">
      <c r="A727" t="s">
        <v>811</v>
      </c>
      <c r="B727" s="6">
        <v>636.25</v>
      </c>
      <c r="C727" s="6">
        <f t="shared" si="231"/>
        <v>11.034518864961097</v>
      </c>
      <c r="D727" s="6">
        <f t="shared" si="217"/>
        <v>0.57731881487385517</v>
      </c>
      <c r="E727" s="6">
        <f t="shared" si="218"/>
        <v>10.457200050087241</v>
      </c>
      <c r="F727" s="6">
        <v>66.739999999999995</v>
      </c>
      <c r="G727" s="6">
        <f t="shared" si="232"/>
        <v>-28.329037800687296</v>
      </c>
      <c r="H727" s="6">
        <f t="shared" si="219"/>
        <v>12.413828680434634</v>
      </c>
      <c r="I727" s="6">
        <f t="shared" si="220"/>
        <v>-40.742866481121929</v>
      </c>
      <c r="J727" s="6">
        <v>11846.23</v>
      </c>
      <c r="K727" s="6">
        <f t="shared" si="233"/>
        <v>-9.0589247727860815</v>
      </c>
      <c r="L727" s="6">
        <f t="shared" si="221"/>
        <v>9.520734549608326</v>
      </c>
      <c r="M727" s="6">
        <f t="shared" si="222"/>
        <v>-18.579659322394406</v>
      </c>
      <c r="N727" s="6">
        <v>5182.63</v>
      </c>
      <c r="O727" s="6">
        <f t="shared" si="234"/>
        <v>-19.517630360309713</v>
      </c>
      <c r="P727" s="6">
        <f t="shared" si="223"/>
        <v>4.6119600950526403</v>
      </c>
      <c r="Q727" s="6">
        <f t="shared" si="224"/>
        <v>-24.129590455362354</v>
      </c>
      <c r="R727" s="6">
        <v>1.21</v>
      </c>
      <c r="S727" s="6">
        <f t="shared" si="235"/>
        <v>-17.687074829931969</v>
      </c>
      <c r="T727" s="6">
        <f t="shared" si="225"/>
        <v>5.1368667987462509</v>
      </c>
      <c r="U727" s="6">
        <f t="shared" si="226"/>
        <v>-22.82394162867822</v>
      </c>
      <c r="V727" s="6">
        <v>32.200000000000003</v>
      </c>
      <c r="W727" s="6">
        <f t="shared" si="236"/>
        <v>-49.521868631446928</v>
      </c>
      <c r="X727" s="6">
        <f t="shared" si="227"/>
        <v>10.437994523210117</v>
      </c>
      <c r="Y727" s="6">
        <f t="shared" si="228"/>
        <v>-59.959863154657043</v>
      </c>
      <c r="Z727" s="6">
        <v>89.8</v>
      </c>
      <c r="AA727" s="6">
        <f t="shared" si="237"/>
        <v>1.1261261261261257</v>
      </c>
      <c r="AB727" s="6">
        <f t="shared" si="229"/>
        <v>0.45009241553407991</v>
      </c>
      <c r="AC727" s="6">
        <f t="shared" si="230"/>
        <v>0.67603371059204576</v>
      </c>
    </row>
    <row r="728" spans="1:29" x14ac:dyDescent="0.2">
      <c r="A728" t="s">
        <v>812</v>
      </c>
      <c r="B728" s="6">
        <v>608.88</v>
      </c>
      <c r="C728" s="6">
        <f t="shared" si="231"/>
        <v>3.4718327810349114</v>
      </c>
      <c r="D728" s="6">
        <f t="shared" si="217"/>
        <v>0.75625856001733693</v>
      </c>
      <c r="E728" s="6">
        <f t="shared" si="218"/>
        <v>2.7155742210175746</v>
      </c>
      <c r="F728" s="6">
        <v>58.55</v>
      </c>
      <c r="G728" s="6">
        <f t="shared" si="232"/>
        <v>-32.522761323037919</v>
      </c>
      <c r="H728" s="6">
        <f t="shared" si="219"/>
        <v>12.227374693929169</v>
      </c>
      <c r="I728" s="6">
        <f t="shared" si="220"/>
        <v>-44.75013601696709</v>
      </c>
      <c r="J728" s="6">
        <v>11804.01</v>
      </c>
      <c r="K728" s="6">
        <f t="shared" si="233"/>
        <v>-7.584717199609492</v>
      </c>
      <c r="L728" s="6">
        <f t="shared" si="221"/>
        <v>10.095072935902204</v>
      </c>
      <c r="M728" s="6">
        <f t="shared" si="222"/>
        <v>-17.679790135511695</v>
      </c>
      <c r="N728" s="6">
        <v>5057.97</v>
      </c>
      <c r="O728" s="6">
        <f t="shared" si="234"/>
        <v>-21.440087227182069</v>
      </c>
      <c r="P728" s="6">
        <f t="shared" si="223"/>
        <v>4.5511357159126762</v>
      </c>
      <c r="Q728" s="6">
        <f t="shared" si="224"/>
        <v>-25.991222943094744</v>
      </c>
      <c r="R728" s="6">
        <v>1.1100000000000001</v>
      </c>
      <c r="S728" s="6">
        <f t="shared" si="235"/>
        <v>-25.999999999999989</v>
      </c>
      <c r="T728" s="6">
        <f t="shared" si="225"/>
        <v>4.9869175416541358</v>
      </c>
      <c r="U728" s="6">
        <f t="shared" si="226"/>
        <v>-30.986917541654126</v>
      </c>
      <c r="V728" s="6">
        <v>21.04</v>
      </c>
      <c r="W728" s="6">
        <f t="shared" si="236"/>
        <v>-69.320501603966164</v>
      </c>
      <c r="X728" s="6">
        <f t="shared" si="227"/>
        <v>10.01713188211315</v>
      </c>
      <c r="Y728" s="6">
        <f t="shared" si="228"/>
        <v>-79.337633486079312</v>
      </c>
      <c r="Z728" s="6">
        <v>90.5</v>
      </c>
      <c r="AA728" s="6">
        <f t="shared" si="237"/>
        <v>1.7997750281214753</v>
      </c>
      <c r="AB728" s="6">
        <f t="shared" si="229"/>
        <v>0.52781913715944251</v>
      </c>
      <c r="AC728" s="6">
        <f t="shared" si="230"/>
        <v>1.2719558909620328</v>
      </c>
    </row>
    <row r="729" spans="1:29" x14ac:dyDescent="0.2">
      <c r="A729" t="s">
        <v>813</v>
      </c>
      <c r="B729" s="6">
        <v>576.55999999999995</v>
      </c>
      <c r="C729" s="6">
        <f t="shared" si="231"/>
        <v>2.1545003543586017</v>
      </c>
      <c r="D729" s="6">
        <f t="shared" si="217"/>
        <v>0.54709811302757649</v>
      </c>
      <c r="E729" s="6">
        <f t="shared" si="218"/>
        <v>1.6074022413310252</v>
      </c>
      <c r="F729" s="6">
        <v>52.49</v>
      </c>
      <c r="G729" s="6">
        <f t="shared" si="232"/>
        <v>-36.236637512147709</v>
      </c>
      <c r="H729" s="6">
        <f t="shared" si="219"/>
        <v>11.755409271629034</v>
      </c>
      <c r="I729" s="6">
        <f t="shared" si="220"/>
        <v>-47.992046783776743</v>
      </c>
      <c r="J729" s="6">
        <v>12179.61</v>
      </c>
      <c r="K729" s="6">
        <f t="shared" si="233"/>
        <v>1.3589862445293255</v>
      </c>
      <c r="L729" s="6">
        <f t="shared" si="221"/>
        <v>10.578746846900637</v>
      </c>
      <c r="M729" s="6">
        <f t="shared" si="222"/>
        <v>-9.2197606023713128</v>
      </c>
      <c r="N729" s="6">
        <v>5239.83</v>
      </c>
      <c r="O729" s="6">
        <f t="shared" si="234"/>
        <v>-12.929261037903583</v>
      </c>
      <c r="P729" s="6">
        <f t="shared" si="223"/>
        <v>4.5076631184254241</v>
      </c>
      <c r="Q729" s="6">
        <f t="shared" si="224"/>
        <v>-17.436924156329006</v>
      </c>
      <c r="R729" s="6">
        <v>1.1200000000000001</v>
      </c>
      <c r="S729" s="6">
        <f t="shared" si="235"/>
        <v>-25.333333333333329</v>
      </c>
      <c r="T729" s="6">
        <f t="shared" si="225"/>
        <v>4.3270475652947988</v>
      </c>
      <c r="U729" s="6">
        <f t="shared" si="226"/>
        <v>-29.660380898628127</v>
      </c>
      <c r="V729" s="6">
        <v>30.38</v>
      </c>
      <c r="W729" s="6">
        <f t="shared" si="236"/>
        <v>-54.541373634595239</v>
      </c>
      <c r="X729" s="6">
        <f t="shared" si="227"/>
        <v>9.1808652044786729</v>
      </c>
      <c r="Y729" s="6">
        <f t="shared" si="228"/>
        <v>-63.72223883907391</v>
      </c>
      <c r="Z729" s="6">
        <v>90.3</v>
      </c>
      <c r="AA729" s="6">
        <f t="shared" si="237"/>
        <v>1.6891891891891886</v>
      </c>
      <c r="AB729" s="6">
        <f t="shared" si="229"/>
        <v>0.59868592240396412</v>
      </c>
      <c r="AC729" s="6">
        <f t="shared" si="230"/>
        <v>1.0905032667852246</v>
      </c>
    </row>
    <row r="730" spans="1:29" x14ac:dyDescent="0.2">
      <c r="A730" t="s">
        <v>814</v>
      </c>
      <c r="B730" s="6">
        <v>656.49</v>
      </c>
      <c r="C730" s="6">
        <f t="shared" si="231"/>
        <v>18.888426085224275</v>
      </c>
      <c r="D730" s="6">
        <f t="shared" si="217"/>
        <v>0.42447439532580117</v>
      </c>
      <c r="E730" s="6">
        <f t="shared" si="218"/>
        <v>18.463951689898472</v>
      </c>
      <c r="F730" s="6">
        <v>52.21</v>
      </c>
      <c r="G730" s="6">
        <f t="shared" si="232"/>
        <v>-27.976272589322658</v>
      </c>
      <c r="H730" s="6">
        <f t="shared" si="219"/>
        <v>11.336863264190349</v>
      </c>
      <c r="I730" s="6">
        <f t="shared" si="220"/>
        <v>-39.313135853513003</v>
      </c>
      <c r="J730" s="6">
        <v>12727.15</v>
      </c>
      <c r="K730" s="6">
        <f t="shared" si="233"/>
        <v>6.5573839118414856</v>
      </c>
      <c r="L730" s="6">
        <f t="shared" si="221"/>
        <v>11.35504032396811</v>
      </c>
      <c r="M730" s="6">
        <f t="shared" si="222"/>
        <v>-4.7976564121266243</v>
      </c>
      <c r="N730" s="6">
        <v>5754.6</v>
      </c>
      <c r="O730" s="6">
        <f t="shared" si="234"/>
        <v>-2.1697553478867593</v>
      </c>
      <c r="P730" s="6">
        <f t="shared" si="223"/>
        <v>4.7679222345893493</v>
      </c>
      <c r="Q730" s="6">
        <f t="shared" si="224"/>
        <v>-6.937677582476109</v>
      </c>
      <c r="R730" s="6">
        <v>1.17</v>
      </c>
      <c r="S730" s="6">
        <f t="shared" si="235"/>
        <v>-22.000000000000007</v>
      </c>
      <c r="T730" s="6">
        <f t="shared" si="225"/>
        <v>4.0546461316030404</v>
      </c>
      <c r="U730" s="6">
        <f t="shared" si="226"/>
        <v>-26.054646131603047</v>
      </c>
      <c r="V730" s="6">
        <v>39.46</v>
      </c>
      <c r="W730" s="6">
        <f t="shared" si="236"/>
        <v>-33.969210174029449</v>
      </c>
      <c r="X730" s="6">
        <f t="shared" si="227"/>
        <v>8.5968315612287434</v>
      </c>
      <c r="Y730" s="6">
        <f t="shared" si="228"/>
        <v>-42.566041735258196</v>
      </c>
      <c r="Z730" s="6">
        <v>91.2</v>
      </c>
      <c r="AA730" s="6">
        <f t="shared" si="237"/>
        <v>2.7027027027027195</v>
      </c>
      <c r="AB730" s="6">
        <f t="shared" si="229"/>
        <v>0.65782372399866229</v>
      </c>
      <c r="AC730" s="6">
        <f t="shared" si="230"/>
        <v>2.0448789787040571</v>
      </c>
    </row>
    <row r="731" spans="1:29" x14ac:dyDescent="0.2">
      <c r="A731" t="s">
        <v>815</v>
      </c>
      <c r="B731" s="6">
        <v>694.16</v>
      </c>
      <c r="C731" s="6">
        <f t="shared" si="231"/>
        <v>27.631095094506144</v>
      </c>
      <c r="D731" s="6">
        <f t="shared" si="217"/>
        <v>0.78177114874280396</v>
      </c>
      <c r="E731" s="6">
        <f t="shared" si="218"/>
        <v>26.849323945763338</v>
      </c>
      <c r="F731" s="6">
        <v>51.56</v>
      </c>
      <c r="G731" s="6">
        <f t="shared" si="232"/>
        <v>-28.468368479467255</v>
      </c>
      <c r="H731" s="6">
        <f t="shared" si="219"/>
        <v>10.969919208945811</v>
      </c>
      <c r="I731" s="6">
        <f t="shared" si="220"/>
        <v>-39.43828768841307</v>
      </c>
      <c r="J731" s="6">
        <v>13402.3</v>
      </c>
      <c r="K731" s="6">
        <f t="shared" si="233"/>
        <v>-1.063020898695588</v>
      </c>
      <c r="L731" s="6">
        <f t="shared" si="221"/>
        <v>12.12466257906553</v>
      </c>
      <c r="M731" s="6">
        <f t="shared" si="222"/>
        <v>-13.187683477761119</v>
      </c>
      <c r="N731" s="6">
        <v>6372.46</v>
      </c>
      <c r="O731" s="6">
        <f t="shared" si="234"/>
        <v>7.2588029354339278</v>
      </c>
      <c r="P731" s="6">
        <f t="shared" si="223"/>
        <v>5.1481140057840351</v>
      </c>
      <c r="Q731" s="6">
        <f t="shared" si="224"/>
        <v>2.1106889296498927</v>
      </c>
      <c r="R731" s="6">
        <v>1.2</v>
      </c>
      <c r="S731" s="6">
        <f t="shared" si="235"/>
        <v>-14.893617021276595</v>
      </c>
      <c r="T731" s="6">
        <f t="shared" si="225"/>
        <v>4.0182537265397507</v>
      </c>
      <c r="U731" s="6">
        <f t="shared" si="226"/>
        <v>-18.911870747816344</v>
      </c>
      <c r="V731" s="6">
        <v>42.07</v>
      </c>
      <c r="W731" s="6">
        <f t="shared" si="236"/>
        <v>-31.571242680546518</v>
      </c>
      <c r="X731" s="6">
        <f t="shared" si="227"/>
        <v>8.3519516219278724</v>
      </c>
      <c r="Y731" s="6">
        <f t="shared" si="228"/>
        <v>-39.923194302474393</v>
      </c>
      <c r="Z731" s="6">
        <v>91.2</v>
      </c>
      <c r="AA731" s="6">
        <f t="shared" si="237"/>
        <v>2.9345372460496622</v>
      </c>
      <c r="AB731" s="6">
        <f t="shared" si="229"/>
        <v>0.74279975507561102</v>
      </c>
      <c r="AC731" s="6">
        <f t="shared" si="230"/>
        <v>2.191737490974051</v>
      </c>
    </row>
    <row r="732" spans="1:29" x14ac:dyDescent="0.2">
      <c r="A732" t="s">
        <v>816</v>
      </c>
      <c r="B732" s="6">
        <v>760.3</v>
      </c>
      <c r="C732" s="6">
        <f t="shared" si="231"/>
        <v>29.717464000545956</v>
      </c>
      <c r="D732" s="6">
        <f t="shared" si="217"/>
        <v>1.3630562181136436</v>
      </c>
      <c r="E732" s="6">
        <f t="shared" si="218"/>
        <v>28.354407782432311</v>
      </c>
      <c r="F732" s="6">
        <v>50.14</v>
      </c>
      <c r="G732" s="6">
        <f t="shared" si="232"/>
        <v>-23.508771929824558</v>
      </c>
      <c r="H732" s="6">
        <f t="shared" si="219"/>
        <v>10.330222745423242</v>
      </c>
      <c r="I732" s="6">
        <f t="shared" si="220"/>
        <v>-33.838994675247804</v>
      </c>
      <c r="J732" s="6">
        <v>14537.75</v>
      </c>
      <c r="K732" s="6">
        <f t="shared" si="233"/>
        <v>-7.6888544026658785</v>
      </c>
      <c r="L732" s="6">
        <f t="shared" si="221"/>
        <v>12.312479714968383</v>
      </c>
      <c r="M732" s="6">
        <f t="shared" si="222"/>
        <v>-20.001334117634261</v>
      </c>
      <c r="N732" s="6">
        <v>6498.94</v>
      </c>
      <c r="O732" s="6">
        <f t="shared" si="234"/>
        <v>13.827976123752951</v>
      </c>
      <c r="P732" s="6">
        <f t="shared" si="223"/>
        <v>5.5253015598757926</v>
      </c>
      <c r="Q732" s="6">
        <f t="shared" si="224"/>
        <v>8.302674563877158</v>
      </c>
      <c r="R732" s="6">
        <v>1.32</v>
      </c>
      <c r="S732" s="6">
        <f t="shared" si="235"/>
        <v>0.76335877862594437</v>
      </c>
      <c r="T732" s="6">
        <f t="shared" si="225"/>
        <v>3.9522229121597054</v>
      </c>
      <c r="U732" s="6">
        <f t="shared" si="226"/>
        <v>-3.1888641335337611</v>
      </c>
      <c r="V732" s="6">
        <v>43.44</v>
      </c>
      <c r="W732" s="6">
        <f t="shared" si="236"/>
        <v>-24.674874284723437</v>
      </c>
      <c r="X732" s="6">
        <f t="shared" si="227"/>
        <v>8.0856571000667152</v>
      </c>
      <c r="Y732" s="6">
        <f t="shared" si="228"/>
        <v>-32.760531384790156</v>
      </c>
      <c r="Z732" s="6">
        <v>91.2</v>
      </c>
      <c r="AA732" s="6">
        <f t="shared" si="237"/>
        <v>2.9345372460496622</v>
      </c>
      <c r="AB732" s="6">
        <f t="shared" si="229"/>
        <v>0.84669535477120117</v>
      </c>
      <c r="AC732" s="6">
        <f t="shared" si="230"/>
        <v>2.0878418912784609</v>
      </c>
    </row>
    <row r="733" spans="1:29" x14ac:dyDescent="0.2">
      <c r="A733" t="s">
        <v>817</v>
      </c>
      <c r="B733" s="6">
        <v>796.22</v>
      </c>
      <c r="C733" s="6">
        <f t="shared" si="231"/>
        <v>37.208340513527503</v>
      </c>
      <c r="D733" s="6">
        <f t="shared" si="217"/>
        <v>1.3944939287627729</v>
      </c>
      <c r="E733" s="6">
        <f t="shared" si="218"/>
        <v>35.813846584764732</v>
      </c>
      <c r="F733" s="6">
        <v>54.6</v>
      </c>
      <c r="G733" s="6">
        <f t="shared" si="232"/>
        <v>-17.210007581501142</v>
      </c>
      <c r="H733" s="6">
        <f t="shared" si="219"/>
        <v>9.5498327203662345</v>
      </c>
      <c r="I733" s="6">
        <f t="shared" si="220"/>
        <v>-26.759840301867378</v>
      </c>
      <c r="J733" s="6">
        <v>14857.49</v>
      </c>
      <c r="K733" s="6">
        <f t="shared" si="233"/>
        <v>-15.854386505430185</v>
      </c>
      <c r="L733" s="6">
        <f t="shared" si="221"/>
        <v>12.162326781078837</v>
      </c>
      <c r="M733" s="6">
        <f t="shared" si="222"/>
        <v>-28.016713286509024</v>
      </c>
      <c r="N733" s="6">
        <v>6704.9</v>
      </c>
      <c r="O733" s="6">
        <f t="shared" si="234"/>
        <v>16.419672700438426</v>
      </c>
      <c r="P733" s="6">
        <f t="shared" si="223"/>
        <v>5.9660110218868185</v>
      </c>
      <c r="Q733" s="6">
        <f t="shared" si="224"/>
        <v>10.453661678551608</v>
      </c>
      <c r="R733" s="6">
        <v>1.37</v>
      </c>
      <c r="S733" s="6">
        <f t="shared" si="235"/>
        <v>2.2388059701492491</v>
      </c>
      <c r="T733" s="6">
        <f t="shared" si="225"/>
        <v>3.9840295279357871</v>
      </c>
      <c r="U733" s="6">
        <f t="shared" si="226"/>
        <v>-1.745223557786538</v>
      </c>
      <c r="V733" s="6">
        <v>40.6</v>
      </c>
      <c r="W733" s="6">
        <f t="shared" si="236"/>
        <v>-32.378414390406398</v>
      </c>
      <c r="X733" s="6">
        <f t="shared" si="227"/>
        <v>7.6085309026543442</v>
      </c>
      <c r="Y733" s="6">
        <f t="shared" si="228"/>
        <v>-39.986945293060742</v>
      </c>
      <c r="Z733" s="6">
        <v>91.2</v>
      </c>
      <c r="AA733" s="6">
        <f t="shared" si="237"/>
        <v>2.9345372460496622</v>
      </c>
      <c r="AB733" s="6">
        <f t="shared" si="229"/>
        <v>0.9412412457553877</v>
      </c>
      <c r="AC733" s="6">
        <f t="shared" si="230"/>
        <v>1.9932960002942743</v>
      </c>
    </row>
    <row r="734" spans="1:29" x14ac:dyDescent="0.2">
      <c r="A734" t="s">
        <v>818</v>
      </c>
      <c r="B734" s="6">
        <v>819.27</v>
      </c>
      <c r="C734" s="6">
        <f t="shared" si="231"/>
        <v>38.542318423945197</v>
      </c>
      <c r="D734" s="6">
        <f t="shared" si="217"/>
        <v>1.4803780036119438</v>
      </c>
      <c r="E734" s="6">
        <f t="shared" si="218"/>
        <v>37.061940420333251</v>
      </c>
      <c r="F734" s="6">
        <v>58.4</v>
      </c>
      <c r="G734" s="6">
        <f t="shared" si="232"/>
        <v>-15.606936416184979</v>
      </c>
      <c r="H734" s="6">
        <f t="shared" si="219"/>
        <v>8.6466970825108049</v>
      </c>
      <c r="I734" s="6">
        <f t="shared" si="220"/>
        <v>-24.253633498695784</v>
      </c>
      <c r="J734" s="6">
        <v>15239.36</v>
      </c>
      <c r="K734" s="6">
        <f t="shared" si="233"/>
        <v>-10.599769333025154</v>
      </c>
      <c r="L734" s="6">
        <f t="shared" si="221"/>
        <v>11.77872963645852</v>
      </c>
      <c r="M734" s="6">
        <f t="shared" si="222"/>
        <v>-22.378498969483672</v>
      </c>
      <c r="N734" s="6">
        <v>6713.81</v>
      </c>
      <c r="O734" s="6">
        <f t="shared" si="234"/>
        <v>16.613864137703448</v>
      </c>
      <c r="P734" s="6">
        <f t="shared" si="223"/>
        <v>6.5057691056328943</v>
      </c>
      <c r="Q734" s="6">
        <f t="shared" si="224"/>
        <v>10.108095032070555</v>
      </c>
      <c r="R734" s="6">
        <v>1.53</v>
      </c>
      <c r="S734" s="6">
        <f t="shared" si="235"/>
        <v>17.692307692307697</v>
      </c>
      <c r="T734" s="6">
        <f t="shared" si="225"/>
        <v>3.8290584157547567</v>
      </c>
      <c r="U734" s="6">
        <f t="shared" si="226"/>
        <v>13.86324927655294</v>
      </c>
      <c r="V734" s="6">
        <v>39.9</v>
      </c>
      <c r="W734" s="6">
        <f t="shared" si="236"/>
        <v>-30.330015715034055</v>
      </c>
      <c r="X734" s="6">
        <f t="shared" si="227"/>
        <v>6.9898002513704895</v>
      </c>
      <c r="Y734" s="6">
        <f t="shared" si="228"/>
        <v>-37.319815966404548</v>
      </c>
      <c r="Z734" s="6">
        <v>91.2</v>
      </c>
      <c r="AA734" s="6">
        <f t="shared" si="237"/>
        <v>3.9908779931584926</v>
      </c>
      <c r="AB734" s="6">
        <f t="shared" si="229"/>
        <v>1.0405162637056022</v>
      </c>
      <c r="AC734" s="6">
        <f t="shared" si="230"/>
        <v>2.9503617294528901</v>
      </c>
    </row>
    <row r="735" spans="1:29" x14ac:dyDescent="0.2">
      <c r="A735" t="s">
        <v>819</v>
      </c>
      <c r="B735" s="6">
        <v>917.81</v>
      </c>
      <c r="C735" s="6">
        <f t="shared" si="231"/>
        <v>33.906712770458554</v>
      </c>
      <c r="D735" s="6">
        <f t="shared" si="217"/>
        <v>1.9133187300666876</v>
      </c>
      <c r="E735" s="6">
        <f t="shared" si="218"/>
        <v>31.993394040391866</v>
      </c>
      <c r="F735" s="6">
        <v>64.400000000000006</v>
      </c>
      <c r="G735" s="6">
        <f t="shared" si="232"/>
        <v>-3.8662486938348839</v>
      </c>
      <c r="H735" s="6">
        <f t="shared" si="219"/>
        <v>6.7880410859425107</v>
      </c>
      <c r="I735" s="6">
        <f t="shared" si="220"/>
        <v>-10.654289779777395</v>
      </c>
      <c r="J735" s="6">
        <v>15807.73</v>
      </c>
      <c r="K735" s="6">
        <f t="shared" si="233"/>
        <v>4.1914577100556905</v>
      </c>
      <c r="L735" s="6">
        <f t="shared" si="221"/>
        <v>11.569429601450926</v>
      </c>
      <c r="M735" s="6">
        <f t="shared" si="222"/>
        <v>-7.3779718913952355</v>
      </c>
      <c r="N735" s="6">
        <v>7068.91</v>
      </c>
      <c r="O735" s="6">
        <f t="shared" si="234"/>
        <v>20.63089275505763</v>
      </c>
      <c r="P735" s="6">
        <f t="shared" si="223"/>
        <v>7.0455348856122209</v>
      </c>
      <c r="Q735" s="6">
        <f t="shared" si="224"/>
        <v>13.58535786944541</v>
      </c>
      <c r="R735" s="6">
        <v>1.56</v>
      </c>
      <c r="S735" s="6">
        <f t="shared" si="235"/>
        <v>12.230215827338142</v>
      </c>
      <c r="T735" s="6">
        <f t="shared" si="225"/>
        <v>3.7944223528928895</v>
      </c>
      <c r="U735" s="6">
        <f t="shared" si="226"/>
        <v>8.4357934744452532</v>
      </c>
      <c r="V735" s="6">
        <v>42.3</v>
      </c>
      <c r="W735" s="6">
        <f t="shared" si="236"/>
        <v>-29.966887417218548</v>
      </c>
      <c r="X735" s="6">
        <f t="shared" si="227"/>
        <v>6.2545568092663943</v>
      </c>
      <c r="Y735" s="6">
        <f t="shared" si="228"/>
        <v>-36.221444226484941</v>
      </c>
      <c r="Z735" s="6">
        <v>91.2</v>
      </c>
      <c r="AA735" s="6">
        <f t="shared" si="237"/>
        <v>3.8724373576309867</v>
      </c>
      <c r="AB735" s="6">
        <f t="shared" si="229"/>
        <v>1.1500308632466154</v>
      </c>
      <c r="AC735" s="6">
        <f t="shared" si="230"/>
        <v>2.7224064943843711</v>
      </c>
    </row>
    <row r="736" spans="1:29" x14ac:dyDescent="0.2">
      <c r="A736" t="s">
        <v>820</v>
      </c>
      <c r="B736" s="6">
        <v>1016.37</v>
      </c>
      <c r="C736" s="6">
        <f t="shared" si="231"/>
        <v>33.079753315962449</v>
      </c>
      <c r="D736" s="6">
        <f t="shared" si="217"/>
        <v>2.0760367117301133</v>
      </c>
      <c r="E736" s="6">
        <f t="shared" si="218"/>
        <v>31.003716604232338</v>
      </c>
      <c r="F736" s="6">
        <v>83.03</v>
      </c>
      <c r="G736" s="6">
        <f t="shared" si="232"/>
        <v>25.460864309459041</v>
      </c>
      <c r="H736" s="6">
        <f t="shared" si="219"/>
        <v>4.6841157996815044</v>
      </c>
      <c r="I736" s="6">
        <f t="shared" si="220"/>
        <v>20.776748509777537</v>
      </c>
      <c r="J736" s="6">
        <v>16823.04</v>
      </c>
      <c r="K736" s="6">
        <f t="shared" si="233"/>
        <v>21.646750189089637</v>
      </c>
      <c r="L736" s="6">
        <f t="shared" si="221"/>
        <v>11.232036343125735</v>
      </c>
      <c r="M736" s="6">
        <f t="shared" si="222"/>
        <v>10.414713845963902</v>
      </c>
      <c r="N736" s="6">
        <v>7772.24</v>
      </c>
      <c r="O736" s="6">
        <f t="shared" si="234"/>
        <v>27.894738574244784</v>
      </c>
      <c r="P736" s="6">
        <f t="shared" si="223"/>
        <v>7.1927741602802735</v>
      </c>
      <c r="Q736" s="6">
        <f t="shared" si="224"/>
        <v>20.701964413964511</v>
      </c>
      <c r="R736" s="6">
        <v>1.57</v>
      </c>
      <c r="S736" s="6">
        <f t="shared" si="235"/>
        <v>7.5342465753424737</v>
      </c>
      <c r="T736" s="6">
        <f t="shared" si="225"/>
        <v>3.1512300102153077</v>
      </c>
      <c r="U736" s="6">
        <f t="shared" si="226"/>
        <v>4.383016565127166</v>
      </c>
      <c r="V736" s="6">
        <v>48.73</v>
      </c>
      <c r="W736" s="6">
        <f t="shared" si="236"/>
        <v>-23.078137332280988</v>
      </c>
      <c r="X736" s="6">
        <f t="shared" si="227"/>
        <v>5.5263457810071488</v>
      </c>
      <c r="Y736" s="6">
        <f t="shared" si="228"/>
        <v>-28.604483113288136</v>
      </c>
      <c r="Z736" s="6">
        <v>91.2</v>
      </c>
      <c r="AA736" s="6">
        <f t="shared" si="237"/>
        <v>3.6363636363636376</v>
      </c>
      <c r="AB736" s="6">
        <f t="shared" si="229"/>
        <v>1.2522583656685253</v>
      </c>
      <c r="AC736" s="6">
        <f t="shared" si="230"/>
        <v>2.3841052706951125</v>
      </c>
    </row>
    <row r="737" spans="1:29" x14ac:dyDescent="0.2">
      <c r="A737" t="s">
        <v>821</v>
      </c>
      <c r="B737" s="6">
        <v>990.27</v>
      </c>
      <c r="C737" s="6">
        <f t="shared" si="231"/>
        <v>22.24499117360228</v>
      </c>
      <c r="D737" s="6">
        <f t="shared" si="217"/>
        <v>2.0654715441609803</v>
      </c>
      <c r="E737" s="6">
        <f t="shared" si="218"/>
        <v>20.179519629441298</v>
      </c>
      <c r="F737" s="6">
        <v>86.83</v>
      </c>
      <c r="G737" s="6">
        <f t="shared" si="232"/>
        <v>24.648291702555269</v>
      </c>
      <c r="H737" s="6">
        <f t="shared" si="219"/>
        <v>3.7804382337605689</v>
      </c>
      <c r="I737" s="6">
        <f t="shared" si="220"/>
        <v>20.867853468794699</v>
      </c>
      <c r="J737" s="6">
        <v>17863.18</v>
      </c>
      <c r="K737" s="6">
        <f t="shared" si="233"/>
        <v>32.252647913726797</v>
      </c>
      <c r="L737" s="6">
        <f t="shared" si="221"/>
        <v>11.14123487596494</v>
      </c>
      <c r="M737" s="6">
        <f t="shared" si="222"/>
        <v>21.111413037761857</v>
      </c>
      <c r="N737" s="6">
        <v>7972.15</v>
      </c>
      <c r="O737" s="6">
        <f t="shared" si="234"/>
        <v>32.181602033422799</v>
      </c>
      <c r="P737" s="6">
        <f t="shared" si="223"/>
        <v>7.3151422562421677</v>
      </c>
      <c r="Q737" s="6">
        <f t="shared" si="224"/>
        <v>24.86645977718063</v>
      </c>
      <c r="R737" s="6">
        <v>1.59</v>
      </c>
      <c r="S737" s="6">
        <f t="shared" si="235"/>
        <v>8.163265306122458</v>
      </c>
      <c r="T737" s="6">
        <f t="shared" si="225"/>
        <v>1.9252911816843674</v>
      </c>
      <c r="U737" s="6">
        <f t="shared" si="226"/>
        <v>6.2379741244380904</v>
      </c>
      <c r="V737" s="6">
        <v>53.6</v>
      </c>
      <c r="W737" s="6">
        <f t="shared" si="236"/>
        <v>-13.029368813889342</v>
      </c>
      <c r="X737" s="6">
        <f t="shared" si="227"/>
        <v>4.1312088961279692</v>
      </c>
      <c r="Y737" s="6">
        <f t="shared" si="228"/>
        <v>-17.160577710017311</v>
      </c>
      <c r="Z737" s="6">
        <v>91.1</v>
      </c>
      <c r="AA737" s="6">
        <f t="shared" si="237"/>
        <v>2.7057497181510515</v>
      </c>
      <c r="AB737" s="6">
        <f t="shared" si="229"/>
        <v>1.3448170166949183</v>
      </c>
      <c r="AC737" s="6">
        <f t="shared" si="230"/>
        <v>1.3609327014561332</v>
      </c>
    </row>
    <row r="738" spans="1:29" x14ac:dyDescent="0.2">
      <c r="A738" t="s">
        <v>822</v>
      </c>
      <c r="B738" s="6">
        <v>1019.86</v>
      </c>
      <c r="C738" s="6">
        <f t="shared" si="231"/>
        <v>39.934962473072552</v>
      </c>
      <c r="D738" s="6">
        <f t="shared" si="217"/>
        <v>1.8021282358260908</v>
      </c>
      <c r="E738" s="6">
        <f t="shared" si="218"/>
        <v>38.132834237246463</v>
      </c>
      <c r="F738" s="6">
        <v>86.74</v>
      </c>
      <c r="G738" s="6">
        <f t="shared" si="232"/>
        <v>28.237729154346525</v>
      </c>
      <c r="H738" s="6">
        <f t="shared" si="219"/>
        <v>2.8187811122027271</v>
      </c>
      <c r="I738" s="6">
        <f t="shared" si="220"/>
        <v>25.418948042143796</v>
      </c>
      <c r="J738" s="6">
        <v>18584.38</v>
      </c>
      <c r="K738" s="6">
        <f t="shared" si="233"/>
        <v>46.15474753353179</v>
      </c>
      <c r="L738" s="6">
        <f t="shared" si="221"/>
        <v>11.45460736069561</v>
      </c>
      <c r="M738" s="6">
        <f t="shared" si="222"/>
        <v>34.700140172836178</v>
      </c>
      <c r="N738" s="6">
        <v>8470.94</v>
      </c>
      <c r="O738" s="6">
        <f t="shared" si="234"/>
        <v>48.93305788756539</v>
      </c>
      <c r="P738" s="6">
        <f t="shared" si="223"/>
        <v>7.3879708763111616</v>
      </c>
      <c r="Q738" s="6">
        <f t="shared" si="224"/>
        <v>41.545087011254225</v>
      </c>
      <c r="R738" s="6">
        <v>1.68</v>
      </c>
      <c r="S738" s="6">
        <f t="shared" si="235"/>
        <v>25.373134328358194</v>
      </c>
      <c r="T738" s="6">
        <f t="shared" si="225"/>
        <v>1.2025875561916885E-2</v>
      </c>
      <c r="U738" s="6">
        <f t="shared" si="226"/>
        <v>25.361108452796277</v>
      </c>
      <c r="V738" s="6">
        <v>60.46</v>
      </c>
      <c r="W738" s="6">
        <f t="shared" si="236"/>
        <v>13.327085285848161</v>
      </c>
      <c r="X738" s="6">
        <f t="shared" si="227"/>
        <v>2.194076450360662</v>
      </c>
      <c r="Y738" s="6">
        <f t="shared" si="228"/>
        <v>11.1330088354875</v>
      </c>
      <c r="Z738" s="6">
        <v>91.1</v>
      </c>
      <c r="AA738" s="6">
        <f t="shared" si="237"/>
        <v>1.4476614699331813</v>
      </c>
      <c r="AB738" s="6">
        <f t="shared" si="229"/>
        <v>1.4011868024897318</v>
      </c>
      <c r="AC738" s="6">
        <f t="shared" si="230"/>
        <v>4.6474667443449524E-2</v>
      </c>
    </row>
    <row r="739" spans="1:29" x14ac:dyDescent="0.2">
      <c r="A739" t="s">
        <v>823</v>
      </c>
      <c r="B739" s="6">
        <v>1030.48</v>
      </c>
      <c r="C739" s="6">
        <f t="shared" si="231"/>
        <v>61.961493123772101</v>
      </c>
      <c r="D739" s="6">
        <f t="shared" si="217"/>
        <v>2.2370533546855289</v>
      </c>
      <c r="E739" s="6">
        <f t="shared" si="218"/>
        <v>59.724439769086572</v>
      </c>
      <c r="F739" s="6">
        <v>94.92</v>
      </c>
      <c r="G739" s="6">
        <f t="shared" si="232"/>
        <v>42.223554090500471</v>
      </c>
      <c r="H739" s="6">
        <f t="shared" si="219"/>
        <v>2.1757993158153037</v>
      </c>
      <c r="I739" s="6">
        <f t="shared" si="220"/>
        <v>40.047754774685167</v>
      </c>
      <c r="J739" s="6">
        <v>16406.66</v>
      </c>
      <c r="K739" s="6">
        <f t="shared" si="233"/>
        <v>38.496888883636402</v>
      </c>
      <c r="L739" s="6">
        <f t="shared" si="221"/>
        <v>11.827503999664032</v>
      </c>
      <c r="M739" s="6">
        <f t="shared" si="222"/>
        <v>26.66938488397237</v>
      </c>
      <c r="N739" s="6">
        <v>8988.25</v>
      </c>
      <c r="O739" s="6">
        <f t="shared" si="234"/>
        <v>73.43028539563889</v>
      </c>
      <c r="P739" s="6">
        <f t="shared" si="223"/>
        <v>7.7993059555619126</v>
      </c>
      <c r="Q739" s="6">
        <f t="shared" si="224"/>
        <v>65.63097944007697</v>
      </c>
      <c r="R739" s="6">
        <v>1.74</v>
      </c>
      <c r="S739" s="6">
        <f t="shared" si="235"/>
        <v>43.801652892561989</v>
      </c>
      <c r="T739" s="6">
        <f t="shared" si="225"/>
        <v>-1.5995186744154672</v>
      </c>
      <c r="U739" s="6">
        <f t="shared" si="226"/>
        <v>45.401171566977453</v>
      </c>
      <c r="V739" s="6">
        <v>63.83</v>
      </c>
      <c r="W739" s="6">
        <f t="shared" si="236"/>
        <v>98.22981366459625</v>
      </c>
      <c r="X739" s="6">
        <f t="shared" si="227"/>
        <v>0.90603494242470861</v>
      </c>
      <c r="Y739" s="6">
        <f t="shared" si="228"/>
        <v>97.323778722171539</v>
      </c>
      <c r="Z739" s="6">
        <v>91.2</v>
      </c>
      <c r="AA739" s="6">
        <f t="shared" si="237"/>
        <v>1.5590200445434466</v>
      </c>
      <c r="AB739" s="6">
        <f t="shared" si="229"/>
        <v>1.4361970179212562</v>
      </c>
      <c r="AC739" s="6">
        <f t="shared" si="230"/>
        <v>0.12282302662219036</v>
      </c>
    </row>
    <row r="740" spans="1:29" x14ac:dyDescent="0.2">
      <c r="A740" t="s">
        <v>824</v>
      </c>
      <c r="B740" s="6">
        <v>1078.05</v>
      </c>
      <c r="C740" s="6">
        <f t="shared" si="231"/>
        <v>77.054592037839953</v>
      </c>
      <c r="D740" s="6">
        <f t="shared" si="217"/>
        <v>3.3453224086803552</v>
      </c>
      <c r="E740" s="6">
        <f t="shared" si="218"/>
        <v>73.709269629159593</v>
      </c>
      <c r="F740" s="6">
        <v>92.22</v>
      </c>
      <c r="G740" s="6">
        <f t="shared" si="232"/>
        <v>57.506404782237411</v>
      </c>
      <c r="H740" s="6">
        <f t="shared" si="219"/>
        <v>1.9106408847456784</v>
      </c>
      <c r="I740" s="6">
        <f t="shared" si="220"/>
        <v>55.595763897491736</v>
      </c>
      <c r="J740" s="6">
        <v>16521.25</v>
      </c>
      <c r="K740" s="6">
        <f t="shared" si="233"/>
        <v>39.963029512851975</v>
      </c>
      <c r="L740" s="6">
        <f t="shared" si="221"/>
        <v>12.274046785091583</v>
      </c>
      <c r="M740" s="6">
        <f t="shared" si="222"/>
        <v>27.68898272776039</v>
      </c>
      <c r="N740" s="6">
        <v>9324.82</v>
      </c>
      <c r="O740" s="6">
        <f t="shared" si="234"/>
        <v>84.358942421564365</v>
      </c>
      <c r="P740" s="6">
        <f t="shared" si="223"/>
        <v>8.9628737713166355</v>
      </c>
      <c r="Q740" s="6">
        <f t="shared" si="224"/>
        <v>75.396068650247727</v>
      </c>
      <c r="R740" s="6">
        <v>1.64</v>
      </c>
      <c r="S740" s="6">
        <f t="shared" si="235"/>
        <v>47.747747747747724</v>
      </c>
      <c r="T740" s="6">
        <f t="shared" si="225"/>
        <v>-1.8100311141537586</v>
      </c>
      <c r="U740" s="6">
        <f t="shared" si="226"/>
        <v>49.557778861901483</v>
      </c>
      <c r="V740" s="6">
        <v>62.95</v>
      </c>
      <c r="W740" s="6">
        <f t="shared" si="236"/>
        <v>199.19201520912551</v>
      </c>
      <c r="X740" s="6">
        <f t="shared" si="227"/>
        <v>2.1959280654362399</v>
      </c>
      <c r="Y740" s="6">
        <f t="shared" si="228"/>
        <v>196.99608714368927</v>
      </c>
      <c r="Z740" s="6">
        <v>91.1</v>
      </c>
      <c r="AA740" s="6">
        <f t="shared" si="237"/>
        <v>0.66298342541435407</v>
      </c>
      <c r="AB740" s="6">
        <f t="shared" si="229"/>
        <v>1.4759440440430429</v>
      </c>
      <c r="AC740" s="6">
        <f t="shared" si="230"/>
        <v>-0.81296061862868885</v>
      </c>
    </row>
    <row r="741" spans="1:29" x14ac:dyDescent="0.2">
      <c r="A741" t="s">
        <v>825</v>
      </c>
      <c r="B741" s="6">
        <v>1136.46</v>
      </c>
      <c r="C741" s="6">
        <f t="shared" si="231"/>
        <v>97.110448175385073</v>
      </c>
      <c r="D741" s="6">
        <f t="shared" si="217"/>
        <v>5.0122930761353546</v>
      </c>
      <c r="E741" s="6">
        <f t="shared" si="218"/>
        <v>92.098155099249723</v>
      </c>
      <c r="F741" s="6">
        <v>107.04</v>
      </c>
      <c r="G741" s="6">
        <f t="shared" si="232"/>
        <v>103.92455705848734</v>
      </c>
      <c r="H741" s="6">
        <f t="shared" si="219"/>
        <v>1.7540516735319345</v>
      </c>
      <c r="I741" s="6">
        <f t="shared" si="220"/>
        <v>102.1705053849554</v>
      </c>
      <c r="J741" s="6">
        <v>17577.060000000001</v>
      </c>
      <c r="K741" s="6">
        <f t="shared" si="233"/>
        <v>44.315458376746065</v>
      </c>
      <c r="L741" s="6">
        <f t="shared" si="221"/>
        <v>12.935224346692211</v>
      </c>
      <c r="M741" s="6">
        <f t="shared" si="222"/>
        <v>31.380234030053856</v>
      </c>
      <c r="N741" s="6">
        <v>10161.969999999999</v>
      </c>
      <c r="O741" s="6">
        <f t="shared" si="234"/>
        <v>93.937017040629172</v>
      </c>
      <c r="P741" s="6">
        <f t="shared" si="223"/>
        <v>10.373541388061584</v>
      </c>
      <c r="Q741" s="6">
        <f t="shared" si="224"/>
        <v>83.56347565256759</v>
      </c>
      <c r="R741" s="6">
        <v>1.69</v>
      </c>
      <c r="S741" s="6">
        <f t="shared" si="235"/>
        <v>50.892857142857117</v>
      </c>
      <c r="T741" s="6">
        <f t="shared" si="225"/>
        <v>-1.0390000159414525</v>
      </c>
      <c r="U741" s="6">
        <f t="shared" si="226"/>
        <v>51.931857158798572</v>
      </c>
      <c r="V741" s="6">
        <v>66.400000000000006</v>
      </c>
      <c r="W741" s="6">
        <f t="shared" si="236"/>
        <v>118.56484529295592</v>
      </c>
      <c r="X741" s="6">
        <f t="shared" si="227"/>
        <v>5.7624283822930202</v>
      </c>
      <c r="Y741" s="6">
        <f t="shared" si="228"/>
        <v>112.8024169106629</v>
      </c>
      <c r="Z741" s="6">
        <v>91.1</v>
      </c>
      <c r="AA741" s="6">
        <f t="shared" si="237"/>
        <v>0.88593576965669829</v>
      </c>
      <c r="AB741" s="6">
        <f t="shared" si="229"/>
        <v>1.4994461212197956</v>
      </c>
      <c r="AC741" s="6">
        <f t="shared" si="230"/>
        <v>-0.6135103515630973</v>
      </c>
    </row>
    <row r="742" spans="1:29" x14ac:dyDescent="0.2">
      <c r="A742" t="s">
        <v>826</v>
      </c>
      <c r="B742" s="6">
        <v>1004.42</v>
      </c>
      <c r="C742" s="6">
        <f t="shared" si="231"/>
        <v>52.99852244512482</v>
      </c>
      <c r="D742" s="6">
        <f t="shared" si="217"/>
        <v>7.0096283900013079</v>
      </c>
      <c r="E742" s="6">
        <f t="shared" si="218"/>
        <v>45.988894055123509</v>
      </c>
      <c r="F742" s="6">
        <v>129.97</v>
      </c>
      <c r="G742" s="6">
        <f t="shared" si="232"/>
        <v>148.93698525186747</v>
      </c>
      <c r="H742" s="6">
        <f t="shared" si="219"/>
        <v>2.980814253386002</v>
      </c>
      <c r="I742" s="6">
        <f t="shared" si="220"/>
        <v>145.95617099848147</v>
      </c>
      <c r="J742" s="6">
        <v>17979.57</v>
      </c>
      <c r="K742" s="6">
        <f t="shared" si="233"/>
        <v>41.269412240760907</v>
      </c>
      <c r="L742" s="6">
        <f t="shared" si="221"/>
        <v>13.739441218106792</v>
      </c>
      <c r="M742" s="6">
        <f t="shared" si="222"/>
        <v>27.529971022654117</v>
      </c>
      <c r="N742" s="6">
        <v>9631.5</v>
      </c>
      <c r="O742" s="6">
        <f t="shared" si="234"/>
        <v>67.370451464915007</v>
      </c>
      <c r="P742" s="6">
        <f t="shared" si="223"/>
        <v>11.928934656881653</v>
      </c>
      <c r="Q742" s="6">
        <f t="shared" si="224"/>
        <v>55.441516808033356</v>
      </c>
      <c r="R742" s="6">
        <v>1.64</v>
      </c>
      <c r="S742" s="6">
        <f t="shared" si="235"/>
        <v>40.170940170940163</v>
      </c>
      <c r="T742" s="6">
        <f t="shared" si="225"/>
        <v>-0.23914882546526264</v>
      </c>
      <c r="U742" s="6">
        <f t="shared" si="226"/>
        <v>40.410088996405428</v>
      </c>
      <c r="V742" s="6">
        <v>71.8</v>
      </c>
      <c r="W742" s="6">
        <f t="shared" si="236"/>
        <v>81.956411556006088</v>
      </c>
      <c r="X742" s="6">
        <f t="shared" si="227"/>
        <v>8.0534007523945998</v>
      </c>
      <c r="Y742" s="6">
        <f t="shared" si="228"/>
        <v>73.903010803611494</v>
      </c>
      <c r="Z742" s="6">
        <v>92</v>
      </c>
      <c r="AA742" s="6">
        <f t="shared" si="237"/>
        <v>0.87719298245614308</v>
      </c>
      <c r="AB742" s="6">
        <f t="shared" si="229"/>
        <v>1.5300155195217517</v>
      </c>
      <c r="AC742" s="6">
        <f t="shared" si="230"/>
        <v>-0.65282253706560867</v>
      </c>
    </row>
    <row r="743" spans="1:29" x14ac:dyDescent="0.2">
      <c r="A743" t="s">
        <v>827</v>
      </c>
      <c r="B743" s="6">
        <v>1062.99</v>
      </c>
      <c r="C743" s="6">
        <f t="shared" si="231"/>
        <v>53.133283392877729</v>
      </c>
      <c r="D743" s="6">
        <f t="shared" si="217"/>
        <v>8.0645658374854499</v>
      </c>
      <c r="E743" s="6">
        <f t="shared" si="218"/>
        <v>45.068717555392283</v>
      </c>
      <c r="F743" s="6">
        <v>151.97</v>
      </c>
      <c r="G743" s="6">
        <f t="shared" si="232"/>
        <v>194.74398758727696</v>
      </c>
      <c r="H743" s="6">
        <f t="shared" si="219"/>
        <v>4.9704546154804499</v>
      </c>
      <c r="I743" s="6">
        <f t="shared" si="220"/>
        <v>189.7735329717965</v>
      </c>
      <c r="J743" s="6">
        <v>18818.509999999998</v>
      </c>
      <c r="K743" s="6">
        <f t="shared" si="233"/>
        <v>40.412541130999898</v>
      </c>
      <c r="L743" s="6">
        <f t="shared" si="221"/>
        <v>14.598424953389623</v>
      </c>
      <c r="M743" s="6">
        <f t="shared" si="222"/>
        <v>25.814116177610273</v>
      </c>
      <c r="N743" s="6">
        <v>9450.82</v>
      </c>
      <c r="O743" s="6">
        <f t="shared" si="234"/>
        <v>48.307247122775188</v>
      </c>
      <c r="P743" s="6">
        <f t="shared" si="223"/>
        <v>12.848769584126046</v>
      </c>
      <c r="Q743" s="6">
        <f t="shared" si="224"/>
        <v>35.458477538649142</v>
      </c>
      <c r="R743" s="6">
        <v>1.63</v>
      </c>
      <c r="S743" s="6">
        <f t="shared" si="235"/>
        <v>35.833333333333343</v>
      </c>
      <c r="T743" s="6">
        <f t="shared" si="225"/>
        <v>0.30012671381027661</v>
      </c>
      <c r="U743" s="6">
        <f t="shared" si="226"/>
        <v>35.533206619523064</v>
      </c>
      <c r="V743" s="6">
        <v>73.28</v>
      </c>
      <c r="W743" s="6">
        <f t="shared" si="236"/>
        <v>74.185880675065377</v>
      </c>
      <c r="X743" s="6">
        <f t="shared" si="227"/>
        <v>9.8272270555617229</v>
      </c>
      <c r="Y743" s="6">
        <f t="shared" si="228"/>
        <v>64.358653619503656</v>
      </c>
      <c r="Z743" s="6">
        <v>92</v>
      </c>
      <c r="AA743" s="6">
        <f t="shared" si="237"/>
        <v>0.87719298245614308</v>
      </c>
      <c r="AB743" s="6">
        <f t="shared" si="229"/>
        <v>1.5604027764236967</v>
      </c>
      <c r="AC743" s="6">
        <f t="shared" si="230"/>
        <v>-0.68320979396755366</v>
      </c>
    </row>
    <row r="744" spans="1:29" x14ac:dyDescent="0.2">
      <c r="A744" t="s">
        <v>828</v>
      </c>
      <c r="B744" s="6">
        <v>1141.82</v>
      </c>
      <c r="C744" s="6">
        <f t="shared" si="231"/>
        <v>50.180192029462049</v>
      </c>
      <c r="D744" s="6">
        <f t="shared" si="217"/>
        <v>9.0415005906445494</v>
      </c>
      <c r="E744" s="6">
        <f t="shared" si="218"/>
        <v>41.138691438817503</v>
      </c>
      <c r="F744" s="6">
        <v>169.58</v>
      </c>
      <c r="G744" s="6">
        <f t="shared" si="232"/>
        <v>238.21300358994816</v>
      </c>
      <c r="H744" s="6">
        <f t="shared" si="219"/>
        <v>8.1346180842933364</v>
      </c>
      <c r="I744" s="6">
        <f t="shared" si="220"/>
        <v>230.07838550565481</v>
      </c>
      <c r="J744" s="6">
        <v>19141.3</v>
      </c>
      <c r="K744" s="6">
        <f t="shared" si="233"/>
        <v>31.66617942941652</v>
      </c>
      <c r="L744" s="6">
        <f t="shared" si="221"/>
        <v>15.596959255458144</v>
      </c>
      <c r="M744" s="6">
        <f t="shared" si="222"/>
        <v>16.069220173958378</v>
      </c>
      <c r="N744" s="6">
        <v>9370.14</v>
      </c>
      <c r="O744" s="6">
        <f t="shared" si="234"/>
        <v>44.179512351244973</v>
      </c>
      <c r="P744" s="6">
        <f t="shared" si="223"/>
        <v>13.375450187905111</v>
      </c>
      <c r="Q744" s="6">
        <f t="shared" si="224"/>
        <v>30.804062163339864</v>
      </c>
      <c r="R744" s="6">
        <v>1.71</v>
      </c>
      <c r="S744" s="6">
        <f t="shared" si="235"/>
        <v>29.54545454545454</v>
      </c>
      <c r="T744" s="6">
        <f t="shared" si="225"/>
        <v>0.65602949158805313</v>
      </c>
      <c r="U744" s="6">
        <f t="shared" si="226"/>
        <v>28.889425053866486</v>
      </c>
      <c r="V744" s="6">
        <v>68.87</v>
      </c>
      <c r="W744" s="6">
        <f t="shared" si="236"/>
        <v>58.540515653775337</v>
      </c>
      <c r="X744" s="6">
        <f t="shared" si="227"/>
        <v>11.206118453227068</v>
      </c>
      <c r="Y744" s="6">
        <f t="shared" si="228"/>
        <v>47.334397200548267</v>
      </c>
      <c r="Z744" s="6">
        <v>92.4</v>
      </c>
      <c r="AA744" s="6">
        <f t="shared" si="237"/>
        <v>1.3157894736842035</v>
      </c>
      <c r="AB744" s="6">
        <f t="shared" si="229"/>
        <v>1.583528231699449</v>
      </c>
      <c r="AC744" s="6">
        <f t="shared" si="230"/>
        <v>-0.26773875801524549</v>
      </c>
    </row>
    <row r="745" spans="1:29" x14ac:dyDescent="0.2">
      <c r="A745" t="s">
        <v>829</v>
      </c>
      <c r="B745" s="6">
        <v>1181.3800000000001</v>
      </c>
      <c r="C745" s="6">
        <f t="shared" si="231"/>
        <v>48.373565095074241</v>
      </c>
      <c r="D745" s="6">
        <f t="shared" si="217"/>
        <v>10.230318964858681</v>
      </c>
      <c r="E745" s="6">
        <f t="shared" si="218"/>
        <v>38.143246130215559</v>
      </c>
      <c r="F745" s="6">
        <v>185.69</v>
      </c>
      <c r="G745" s="6">
        <f t="shared" si="232"/>
        <v>240.09157509157509</v>
      </c>
      <c r="H745" s="6">
        <f t="shared" si="219"/>
        <v>12.133163340737974</v>
      </c>
      <c r="I745" s="6">
        <f t="shared" si="220"/>
        <v>227.95841175083712</v>
      </c>
      <c r="J745" s="6">
        <v>19376.88</v>
      </c>
      <c r="K745" s="6">
        <f t="shared" si="233"/>
        <v>30.418260419492139</v>
      </c>
      <c r="L745" s="6">
        <f t="shared" si="221"/>
        <v>16.145008502798131</v>
      </c>
      <c r="M745" s="6">
        <f t="shared" si="222"/>
        <v>14.273251916694008</v>
      </c>
      <c r="N745" s="6">
        <v>9324.7099999999991</v>
      </c>
      <c r="O745" s="6">
        <f t="shared" si="234"/>
        <v>39.073065966681078</v>
      </c>
      <c r="P745" s="6">
        <f t="shared" si="223"/>
        <v>13.535615208194644</v>
      </c>
      <c r="Q745" s="6">
        <f t="shared" si="224"/>
        <v>25.537450758486436</v>
      </c>
      <c r="R745" s="6">
        <v>1.63</v>
      </c>
      <c r="S745" s="6">
        <f t="shared" si="235"/>
        <v>18.978102189780998</v>
      </c>
      <c r="T745" s="6">
        <f t="shared" si="225"/>
        <v>0.87091876897733167</v>
      </c>
      <c r="U745" s="6">
        <f t="shared" si="226"/>
        <v>18.107183420803665</v>
      </c>
      <c r="V745" s="6">
        <v>72.8</v>
      </c>
      <c r="W745" s="6">
        <f t="shared" si="236"/>
        <v>79.310344827586192</v>
      </c>
      <c r="X745" s="6">
        <f t="shared" si="227"/>
        <v>12.190826908432355</v>
      </c>
      <c r="Y745" s="6">
        <f t="shared" si="228"/>
        <v>67.119517919153836</v>
      </c>
      <c r="Z745" s="6">
        <v>93</v>
      </c>
      <c r="AA745" s="6">
        <f t="shared" si="237"/>
        <v>1.9736842105263053</v>
      </c>
      <c r="AB745" s="6">
        <f t="shared" si="229"/>
        <v>1.6157911138757861</v>
      </c>
      <c r="AC745" s="6">
        <f t="shared" si="230"/>
        <v>0.35789309665051916</v>
      </c>
    </row>
    <row r="746" spans="1:29" x14ac:dyDescent="0.2">
      <c r="A746" t="s">
        <v>830</v>
      </c>
      <c r="B746" s="6">
        <v>1310.25</v>
      </c>
      <c r="C746" s="6">
        <f t="shared" si="231"/>
        <v>59.92896114833939</v>
      </c>
      <c r="D746" s="6">
        <f t="shared" si="217"/>
        <v>11.351949203184205</v>
      </c>
      <c r="E746" s="6">
        <f t="shared" si="218"/>
        <v>48.577011945155185</v>
      </c>
      <c r="F746" s="6">
        <v>224.51</v>
      </c>
      <c r="G746" s="6">
        <f t="shared" si="232"/>
        <v>284.4349315068493</v>
      </c>
      <c r="H746" s="6">
        <f t="shared" si="219"/>
        <v>16.415988830246636</v>
      </c>
      <c r="I746" s="6">
        <f t="shared" si="220"/>
        <v>268.01894267660265</v>
      </c>
      <c r="J746" s="6">
        <v>19362.39</v>
      </c>
      <c r="K746" s="6">
        <f t="shared" si="233"/>
        <v>27.055138798479717</v>
      </c>
      <c r="L746" s="6">
        <f t="shared" si="221"/>
        <v>16.569401204110225</v>
      </c>
      <c r="M746" s="6">
        <f t="shared" si="222"/>
        <v>10.485737594369493</v>
      </c>
      <c r="N746" s="6">
        <v>9829.2199999999993</v>
      </c>
      <c r="O746" s="6">
        <f t="shared" si="234"/>
        <v>46.403011106957123</v>
      </c>
      <c r="P746" s="6">
        <f t="shared" si="223"/>
        <v>13.53126444701986</v>
      </c>
      <c r="Q746" s="6">
        <f t="shared" si="224"/>
        <v>32.871746659937266</v>
      </c>
      <c r="R746" s="6">
        <v>1.73</v>
      </c>
      <c r="S746" s="6">
        <f t="shared" si="235"/>
        <v>13.071895424836599</v>
      </c>
      <c r="T746" s="6">
        <f t="shared" si="225"/>
        <v>0.88333021165659265</v>
      </c>
      <c r="U746" s="6">
        <f t="shared" si="226"/>
        <v>12.188565213180006</v>
      </c>
      <c r="V746" s="6">
        <v>82.06</v>
      </c>
      <c r="W746" s="6">
        <f t="shared" si="236"/>
        <v>105.6641604010025</v>
      </c>
      <c r="X746" s="6">
        <f t="shared" si="227"/>
        <v>13.477247280617485</v>
      </c>
      <c r="Y746" s="6">
        <f t="shared" si="228"/>
        <v>92.186913120385015</v>
      </c>
      <c r="Z746" s="6">
        <v>93.2</v>
      </c>
      <c r="AA746" s="6">
        <f t="shared" si="237"/>
        <v>2.1929824561403466</v>
      </c>
      <c r="AB746" s="6">
        <f t="shared" si="229"/>
        <v>1.6569095349284175</v>
      </c>
      <c r="AC746" s="6">
        <f t="shared" si="230"/>
        <v>0.53607292121192907</v>
      </c>
    </row>
    <row r="747" spans="1:29" x14ac:dyDescent="0.2">
      <c r="A747" t="s">
        <v>831</v>
      </c>
      <c r="B747" s="6">
        <v>1340.65</v>
      </c>
      <c r="C747" s="6">
        <f t="shared" si="231"/>
        <v>46.07053747507657</v>
      </c>
      <c r="D747" s="6">
        <f t="shared" si="217"/>
        <v>12.60869419098479</v>
      </c>
      <c r="E747" s="6">
        <f t="shared" si="218"/>
        <v>33.461843284091778</v>
      </c>
      <c r="F747" s="6">
        <v>157.47999999999999</v>
      </c>
      <c r="G747" s="6">
        <f t="shared" si="232"/>
        <v>144.5341614906832</v>
      </c>
      <c r="H747" s="6">
        <f t="shared" si="219"/>
        <v>22.277358820503448</v>
      </c>
      <c r="I747" s="6">
        <f t="shared" si="220"/>
        <v>122.25680267017975</v>
      </c>
      <c r="J747" s="6">
        <v>19932.86</v>
      </c>
      <c r="K747" s="6">
        <f t="shared" si="233"/>
        <v>26.095650672171146</v>
      </c>
      <c r="L747" s="6">
        <f t="shared" si="221"/>
        <v>16.914552270593379</v>
      </c>
      <c r="M747" s="6">
        <f t="shared" si="222"/>
        <v>9.181098401577767</v>
      </c>
      <c r="N747" s="6">
        <v>9728.9</v>
      </c>
      <c r="O747" s="6">
        <f t="shared" si="234"/>
        <v>37.629422357902406</v>
      </c>
      <c r="P747" s="6">
        <f t="shared" si="223"/>
        <v>13.583711321328103</v>
      </c>
      <c r="Q747" s="6">
        <f t="shared" si="224"/>
        <v>24.045711036574303</v>
      </c>
      <c r="R747" s="6">
        <v>1.74</v>
      </c>
      <c r="S747" s="6">
        <f t="shared" si="235"/>
        <v>11.538461538461542</v>
      </c>
      <c r="T747" s="6">
        <f t="shared" si="225"/>
        <v>1.1838145194938416</v>
      </c>
      <c r="U747" s="6">
        <f t="shared" si="226"/>
        <v>10.3546470189677</v>
      </c>
      <c r="V747" s="6">
        <v>79.92</v>
      </c>
      <c r="W747" s="6">
        <f t="shared" si="236"/>
        <v>88.936170212765958</v>
      </c>
      <c r="X747" s="6">
        <f t="shared" si="227"/>
        <v>15.440621556233488</v>
      </c>
      <c r="Y747" s="6">
        <f t="shared" si="228"/>
        <v>73.495548656532463</v>
      </c>
      <c r="Z747" s="6">
        <v>93.1</v>
      </c>
      <c r="AA747" s="6">
        <f t="shared" si="237"/>
        <v>2.0833333333333259</v>
      </c>
      <c r="AB747" s="6">
        <f t="shared" si="229"/>
        <v>1.6661747580094299</v>
      </c>
      <c r="AC747" s="6">
        <f t="shared" si="230"/>
        <v>0.417158575323896</v>
      </c>
    </row>
    <row r="748" spans="1:29" x14ac:dyDescent="0.2">
      <c r="A748" t="s">
        <v>832</v>
      </c>
      <c r="B748" s="6">
        <v>1270.29</v>
      </c>
      <c r="C748" s="6">
        <f t="shared" si="231"/>
        <v>24.983027834351667</v>
      </c>
      <c r="D748" s="6">
        <f t="shared" si="217"/>
        <v>13.671912621006664</v>
      </c>
      <c r="E748" s="6">
        <f t="shared" si="218"/>
        <v>11.311115213345003</v>
      </c>
      <c r="F748" s="6">
        <v>169.65</v>
      </c>
      <c r="G748" s="6">
        <f t="shared" si="232"/>
        <v>104.3237384078044</v>
      </c>
      <c r="H748" s="6">
        <f t="shared" si="219"/>
        <v>25.425254402656705</v>
      </c>
      <c r="I748" s="6">
        <f t="shared" si="220"/>
        <v>78.898484005147694</v>
      </c>
      <c r="J748" s="6">
        <v>20015.55</v>
      </c>
      <c r="K748" s="6">
        <f t="shared" si="233"/>
        <v>18.977010100433688</v>
      </c>
      <c r="L748" s="6">
        <f t="shared" si="221"/>
        <v>17.300385106951627</v>
      </c>
      <c r="M748" s="6">
        <f t="shared" si="222"/>
        <v>1.6766249934820614</v>
      </c>
      <c r="N748" s="6">
        <v>9551.18</v>
      </c>
      <c r="O748" s="6">
        <f t="shared" si="234"/>
        <v>22.88838224244234</v>
      </c>
      <c r="P748" s="6">
        <f t="shared" si="223"/>
        <v>13.841898713255418</v>
      </c>
      <c r="Q748" s="6">
        <f t="shared" si="224"/>
        <v>9.0464835291869221</v>
      </c>
      <c r="R748" s="6">
        <v>1.72</v>
      </c>
      <c r="S748" s="6">
        <f t="shared" si="235"/>
        <v>9.554140127388532</v>
      </c>
      <c r="T748" s="6">
        <f t="shared" si="225"/>
        <v>1.7128537533523513</v>
      </c>
      <c r="U748" s="6">
        <f t="shared" si="226"/>
        <v>7.8412863740361809</v>
      </c>
      <c r="V748" s="6">
        <v>72.87</v>
      </c>
      <c r="W748" s="6">
        <f t="shared" si="236"/>
        <v>49.53827211163555</v>
      </c>
      <c r="X748" s="6">
        <f t="shared" si="227"/>
        <v>16.618193300889267</v>
      </c>
      <c r="Y748" s="6">
        <f t="shared" si="228"/>
        <v>32.920078810746283</v>
      </c>
      <c r="Z748" s="6">
        <v>92.9</v>
      </c>
      <c r="AA748" s="6">
        <f t="shared" si="237"/>
        <v>1.8640350877193068</v>
      </c>
      <c r="AB748" s="6">
        <f t="shared" si="229"/>
        <v>1.6781218640876332</v>
      </c>
      <c r="AC748" s="6">
        <f t="shared" si="230"/>
        <v>0.18591322363167362</v>
      </c>
    </row>
    <row r="749" spans="1:29" x14ac:dyDescent="0.2">
      <c r="A749" t="s">
        <v>833</v>
      </c>
      <c r="B749" s="6">
        <v>1344.79</v>
      </c>
      <c r="C749" s="6">
        <f t="shared" si="231"/>
        <v>35.800337281751446</v>
      </c>
      <c r="D749" s="6">
        <f t="shared" si="217"/>
        <v>14.531860311059319</v>
      </c>
      <c r="E749" s="6">
        <f t="shared" si="218"/>
        <v>21.268476970692127</v>
      </c>
      <c r="F749" s="6">
        <v>196.95</v>
      </c>
      <c r="G749" s="6">
        <f t="shared" si="232"/>
        <v>126.82252677645974</v>
      </c>
      <c r="H749" s="6">
        <f t="shared" si="219"/>
        <v>27.299459720450233</v>
      </c>
      <c r="I749" s="6">
        <f t="shared" si="220"/>
        <v>99.523067056009509</v>
      </c>
      <c r="J749" s="6">
        <v>22355.4</v>
      </c>
      <c r="K749" s="6">
        <f t="shared" si="233"/>
        <v>25.14792998782973</v>
      </c>
      <c r="L749" s="6">
        <f t="shared" si="221"/>
        <v>17.596466498599781</v>
      </c>
      <c r="M749" s="6">
        <f t="shared" si="222"/>
        <v>7.551463489229949</v>
      </c>
      <c r="N749" s="6">
        <v>9782.34</v>
      </c>
      <c r="O749" s="6">
        <f t="shared" si="234"/>
        <v>22.706421730649829</v>
      </c>
      <c r="P749" s="6">
        <f t="shared" si="223"/>
        <v>13.886810005644614</v>
      </c>
      <c r="Q749" s="6">
        <f t="shared" si="224"/>
        <v>8.8196117250052151</v>
      </c>
      <c r="R749" s="6">
        <v>1.78</v>
      </c>
      <c r="S749" s="6">
        <f t="shared" si="235"/>
        <v>11.949685534591193</v>
      </c>
      <c r="T749" s="6">
        <f t="shared" si="225"/>
        <v>2.4192385811358128</v>
      </c>
      <c r="U749" s="6">
        <f t="shared" si="226"/>
        <v>9.53044695345538</v>
      </c>
      <c r="V749" s="6">
        <v>83.92</v>
      </c>
      <c r="W749" s="6">
        <f t="shared" si="236"/>
        <v>56.567164179104481</v>
      </c>
      <c r="X749" s="6">
        <f t="shared" si="227"/>
        <v>17.310936823042706</v>
      </c>
      <c r="Y749" s="6">
        <f t="shared" si="228"/>
        <v>39.256227356061771</v>
      </c>
      <c r="Z749" s="6">
        <v>93.4</v>
      </c>
      <c r="AA749" s="6">
        <f t="shared" si="237"/>
        <v>2.5246981339187791</v>
      </c>
      <c r="AB749" s="6">
        <f t="shared" si="229"/>
        <v>1.6855002567155442</v>
      </c>
      <c r="AC749" s="6">
        <f t="shared" si="230"/>
        <v>0.83919787720323491</v>
      </c>
    </row>
    <row r="750" spans="1:29" x14ac:dyDescent="0.2">
      <c r="A750" t="s">
        <v>834</v>
      </c>
      <c r="B750" s="6">
        <v>1522.36</v>
      </c>
      <c r="C750" s="6">
        <f t="shared" si="231"/>
        <v>49.271468632949599</v>
      </c>
      <c r="D750" s="6">
        <f t="shared" si="217"/>
        <v>15.584645115540253</v>
      </c>
      <c r="E750" s="6">
        <f t="shared" si="218"/>
        <v>33.686823517409344</v>
      </c>
      <c r="F750" s="6">
        <v>219.78</v>
      </c>
      <c r="G750" s="6">
        <f t="shared" si="232"/>
        <v>153.37791099838597</v>
      </c>
      <c r="H750" s="6">
        <f t="shared" si="219"/>
        <v>29.376286566411693</v>
      </c>
      <c r="I750" s="6">
        <f t="shared" si="220"/>
        <v>124.00162443197428</v>
      </c>
      <c r="J750" s="6">
        <v>24015.55</v>
      </c>
      <c r="K750" s="6">
        <f t="shared" si="233"/>
        <v>29.224380904824354</v>
      </c>
      <c r="L750" s="6">
        <f t="shared" si="221"/>
        <v>17.515860570022213</v>
      </c>
      <c r="M750" s="6">
        <f t="shared" si="222"/>
        <v>11.708520334802142</v>
      </c>
      <c r="N750" s="6">
        <v>9943.17</v>
      </c>
      <c r="O750" s="6">
        <f t="shared" si="234"/>
        <v>17.379771312274663</v>
      </c>
      <c r="P750" s="6">
        <f t="shared" si="223"/>
        <v>13.885131866316586</v>
      </c>
      <c r="Q750" s="6">
        <f t="shared" si="224"/>
        <v>3.494639445958077</v>
      </c>
      <c r="R750" s="6">
        <v>1.79</v>
      </c>
      <c r="S750" s="6">
        <f t="shared" si="235"/>
        <v>6.5476190476190466</v>
      </c>
      <c r="T750" s="6">
        <f t="shared" si="225"/>
        <v>3.3047644371805376</v>
      </c>
      <c r="U750" s="6">
        <f t="shared" si="226"/>
        <v>3.242854610438509</v>
      </c>
      <c r="V750" s="6">
        <v>93.54</v>
      </c>
      <c r="W750" s="6">
        <f t="shared" si="236"/>
        <v>54.713860403572625</v>
      </c>
      <c r="X750" s="6">
        <f t="shared" si="227"/>
        <v>17.998034201424172</v>
      </c>
      <c r="Y750" s="6">
        <f t="shared" si="228"/>
        <v>36.715826202148449</v>
      </c>
      <c r="Z750" s="6">
        <v>94</v>
      </c>
      <c r="AA750" s="6">
        <f t="shared" si="237"/>
        <v>3.1833150384193321</v>
      </c>
      <c r="AB750" s="6">
        <f t="shared" si="229"/>
        <v>1.6944427212342734</v>
      </c>
      <c r="AC750" s="6">
        <f t="shared" si="230"/>
        <v>1.4888723171850586</v>
      </c>
    </row>
    <row r="751" spans="1:29" x14ac:dyDescent="0.2">
      <c r="A751" t="s">
        <v>835</v>
      </c>
      <c r="B751" s="6">
        <v>1776.96</v>
      </c>
      <c r="C751" s="6">
        <f t="shared" si="231"/>
        <v>72.440027948140667</v>
      </c>
      <c r="D751" s="6">
        <f t="shared" si="217"/>
        <v>16.86663937758895</v>
      </c>
      <c r="E751" s="6">
        <f t="shared" si="218"/>
        <v>55.573388570551714</v>
      </c>
      <c r="F751" s="6">
        <v>314.04000000000002</v>
      </c>
      <c r="G751" s="6">
        <f t="shared" si="232"/>
        <v>230.84702907711758</v>
      </c>
      <c r="H751" s="6">
        <f t="shared" si="219"/>
        <v>31.89518851107778</v>
      </c>
      <c r="I751" s="6">
        <f t="shared" si="220"/>
        <v>198.95184056603981</v>
      </c>
      <c r="J751" s="6">
        <v>33924.18</v>
      </c>
      <c r="K751" s="6">
        <f t="shared" si="233"/>
        <v>106.77078698528524</v>
      </c>
      <c r="L751" s="6">
        <f t="shared" si="221"/>
        <v>17.546760003790244</v>
      </c>
      <c r="M751" s="6">
        <f t="shared" si="222"/>
        <v>89.224026981495001</v>
      </c>
      <c r="N751" s="6">
        <v>10230.89</v>
      </c>
      <c r="O751" s="6">
        <f t="shared" si="234"/>
        <v>13.825160626373311</v>
      </c>
      <c r="P751" s="6">
        <f t="shared" si="223"/>
        <v>13.873526802119089</v>
      </c>
      <c r="Q751" s="6">
        <f t="shared" si="224"/>
        <v>-4.8366175745778506E-2</v>
      </c>
      <c r="R751" s="6">
        <v>1.75</v>
      </c>
      <c r="S751" s="6">
        <f t="shared" si="235"/>
        <v>0.57471264367816577</v>
      </c>
      <c r="T751" s="6">
        <f t="shared" si="225"/>
        <v>4.1605304169655764</v>
      </c>
      <c r="U751" s="6">
        <f t="shared" si="226"/>
        <v>-3.5858177732874106</v>
      </c>
      <c r="V751" s="6">
        <v>112.4</v>
      </c>
      <c r="W751" s="6">
        <f t="shared" si="236"/>
        <v>76.092746357512155</v>
      </c>
      <c r="X751" s="6">
        <f t="shared" si="227"/>
        <v>18.788703594606545</v>
      </c>
      <c r="Y751" s="6">
        <f t="shared" si="228"/>
        <v>57.30404276290561</v>
      </c>
      <c r="Z751" s="6">
        <v>94.4</v>
      </c>
      <c r="AA751" s="6">
        <f t="shared" si="237"/>
        <v>3.5087719298245723</v>
      </c>
      <c r="AB751" s="6">
        <f t="shared" si="229"/>
        <v>1.7145735309368544</v>
      </c>
      <c r="AC751" s="6">
        <f t="shared" si="230"/>
        <v>1.7941983988877179</v>
      </c>
    </row>
    <row r="752" spans="1:29" x14ac:dyDescent="0.2">
      <c r="A752" t="s">
        <v>836</v>
      </c>
      <c r="B752" s="6">
        <v>1682.74</v>
      </c>
      <c r="C752" s="6">
        <f t="shared" si="231"/>
        <v>56.091090394694135</v>
      </c>
      <c r="D752" s="6">
        <f t="shared" si="217"/>
        <v>18.56979982029306</v>
      </c>
      <c r="E752" s="6">
        <f t="shared" si="218"/>
        <v>37.521290574401078</v>
      </c>
      <c r="F752" s="6">
        <v>310.85000000000002</v>
      </c>
      <c r="G752" s="6">
        <f t="shared" si="232"/>
        <v>237.07438733463459</v>
      </c>
      <c r="H752" s="6">
        <f t="shared" si="219"/>
        <v>36.298650772186875</v>
      </c>
      <c r="I752" s="6">
        <f t="shared" si="220"/>
        <v>200.77573656244772</v>
      </c>
      <c r="J752" s="6">
        <v>33132.74</v>
      </c>
      <c r="K752" s="6">
        <f t="shared" si="233"/>
        <v>100.54620564424606</v>
      </c>
      <c r="L752" s="6">
        <f t="shared" si="221"/>
        <v>19.12033762077532</v>
      </c>
      <c r="M752" s="6">
        <f t="shared" si="222"/>
        <v>81.425868023470741</v>
      </c>
      <c r="N752" s="6">
        <v>10161.379999999999</v>
      </c>
      <c r="O752" s="6">
        <f t="shared" si="234"/>
        <v>8.9713259880619631</v>
      </c>
      <c r="P752" s="6">
        <f t="shared" si="223"/>
        <v>13.812977338530819</v>
      </c>
      <c r="Q752" s="6">
        <f t="shared" si="224"/>
        <v>-4.8416513504688563</v>
      </c>
      <c r="R752" s="6">
        <v>1.7</v>
      </c>
      <c r="S752" s="6">
        <f t="shared" si="235"/>
        <v>3.6585365853658569</v>
      </c>
      <c r="T752" s="6">
        <f t="shared" si="225"/>
        <v>4.7329942907816296</v>
      </c>
      <c r="U752" s="6">
        <f t="shared" si="226"/>
        <v>-1.0744577054157727</v>
      </c>
      <c r="V752" s="6">
        <v>103.41</v>
      </c>
      <c r="W752" s="6">
        <f t="shared" si="236"/>
        <v>64.273232724384414</v>
      </c>
      <c r="X752" s="6">
        <f t="shared" si="227"/>
        <v>19.830828999648034</v>
      </c>
      <c r="Y752" s="6">
        <f t="shared" si="228"/>
        <v>44.44240372473638</v>
      </c>
      <c r="Z752" s="6">
        <v>94.8</v>
      </c>
      <c r="AA752" s="6">
        <f t="shared" si="237"/>
        <v>4.0614709110867286</v>
      </c>
      <c r="AB752" s="6">
        <f t="shared" si="229"/>
        <v>1.7341918103966867</v>
      </c>
      <c r="AC752" s="6">
        <f t="shared" si="230"/>
        <v>2.327279100690042</v>
      </c>
    </row>
    <row r="753" spans="1:29" x14ac:dyDescent="0.2">
      <c r="A753" t="s">
        <v>837</v>
      </c>
      <c r="B753" s="6">
        <v>1716.92</v>
      </c>
      <c r="C753" s="6">
        <f t="shared" si="231"/>
        <v>51.076148742586639</v>
      </c>
      <c r="D753" s="6">
        <f t="shared" si="217"/>
        <v>19.879310404616827</v>
      </c>
      <c r="E753" s="6">
        <f t="shared" si="218"/>
        <v>31.196838337969812</v>
      </c>
      <c r="F753" s="6">
        <v>371.86</v>
      </c>
      <c r="G753" s="6">
        <f t="shared" si="232"/>
        <v>247.40284005979075</v>
      </c>
      <c r="H753" s="6">
        <f t="shared" si="219"/>
        <v>40.987650697605829</v>
      </c>
      <c r="I753" s="6">
        <f t="shared" si="220"/>
        <v>206.41518936218492</v>
      </c>
      <c r="J753" s="6">
        <v>28062.55</v>
      </c>
      <c r="K753" s="6">
        <f t="shared" si="233"/>
        <v>59.654401816913619</v>
      </c>
      <c r="L753" s="6">
        <f t="shared" si="221"/>
        <v>20.276543399141694</v>
      </c>
      <c r="M753" s="6">
        <f t="shared" si="222"/>
        <v>39.377858417771925</v>
      </c>
      <c r="N753" s="6">
        <v>9377.15</v>
      </c>
      <c r="O753" s="6">
        <f t="shared" si="234"/>
        <v>-7.7231088066585514</v>
      </c>
      <c r="P753" s="6">
        <f t="shared" si="223"/>
        <v>13.571913103672804</v>
      </c>
      <c r="Q753" s="6">
        <f t="shared" si="224"/>
        <v>-21.295021910331357</v>
      </c>
      <c r="R753" s="6">
        <v>1.62</v>
      </c>
      <c r="S753" s="6">
        <f t="shared" si="235"/>
        <v>-4.1420118343195149</v>
      </c>
      <c r="T753" s="6">
        <f t="shared" si="225"/>
        <v>5.1374966312595793</v>
      </c>
      <c r="U753" s="6">
        <f t="shared" si="226"/>
        <v>-9.2795084655790951</v>
      </c>
      <c r="V753" s="6">
        <v>110.1</v>
      </c>
      <c r="W753" s="6">
        <f t="shared" si="236"/>
        <v>65.813253012048165</v>
      </c>
      <c r="X753" s="6">
        <f t="shared" si="227"/>
        <v>20.505632416579868</v>
      </c>
      <c r="Y753" s="6">
        <f t="shared" si="228"/>
        <v>45.307620595468293</v>
      </c>
      <c r="Z753" s="6">
        <v>94.7</v>
      </c>
      <c r="AA753" s="6">
        <f t="shared" si="237"/>
        <v>3.9517014270032957</v>
      </c>
      <c r="AB753" s="6">
        <f t="shared" si="229"/>
        <v>1.7506593702655104</v>
      </c>
      <c r="AC753" s="6">
        <f t="shared" si="230"/>
        <v>2.2010420567377853</v>
      </c>
    </row>
    <row r="754" spans="1:29" x14ac:dyDescent="0.2">
      <c r="A754" t="s">
        <v>838</v>
      </c>
      <c r="B754" s="6">
        <v>1501.1</v>
      </c>
      <c r="C754" s="6">
        <f t="shared" si="231"/>
        <v>49.449433503912708</v>
      </c>
      <c r="D754" s="6">
        <f t="shared" si="217"/>
        <v>21.149886512270275</v>
      </c>
      <c r="E754" s="6">
        <f t="shared" si="218"/>
        <v>28.299546991642433</v>
      </c>
      <c r="F754" s="6">
        <v>374.08</v>
      </c>
      <c r="G754" s="6">
        <f t="shared" si="232"/>
        <v>187.82026621528044</v>
      </c>
      <c r="H754" s="6">
        <f t="shared" si="219"/>
        <v>45.277693516866343</v>
      </c>
      <c r="I754" s="6">
        <f t="shared" si="220"/>
        <v>142.54257269841409</v>
      </c>
      <c r="J754" s="6">
        <v>25658.63</v>
      </c>
      <c r="K754" s="6">
        <f t="shared" si="233"/>
        <v>42.709920203875853</v>
      </c>
      <c r="L754" s="6">
        <f t="shared" si="221"/>
        <v>20.333447366452841</v>
      </c>
      <c r="M754" s="6">
        <f t="shared" si="222"/>
        <v>22.376472837423012</v>
      </c>
      <c r="N754" s="6">
        <v>9024.4599999999991</v>
      </c>
      <c r="O754" s="6">
        <f t="shared" si="234"/>
        <v>-6.3026527539843276</v>
      </c>
      <c r="P754" s="6">
        <f t="shared" si="223"/>
        <v>12.954985869102096</v>
      </c>
      <c r="Q754" s="6">
        <f t="shared" si="224"/>
        <v>-19.257638623086422</v>
      </c>
      <c r="R754" s="6">
        <v>1.64</v>
      </c>
      <c r="S754" s="6">
        <f t="shared" si="235"/>
        <v>0</v>
      </c>
      <c r="T754" s="6">
        <f t="shared" si="225"/>
        <v>5.1737537376524321</v>
      </c>
      <c r="U754" s="6">
        <f t="shared" si="226"/>
        <v>-5.1737537376524321</v>
      </c>
      <c r="V754" s="6">
        <v>116.8</v>
      </c>
      <c r="W754" s="6">
        <f t="shared" si="236"/>
        <v>62.674094707520901</v>
      </c>
      <c r="X754" s="6">
        <f t="shared" si="227"/>
        <v>20.893745929963927</v>
      </c>
      <c r="Y754" s="6">
        <f t="shared" si="228"/>
        <v>41.780348777556974</v>
      </c>
      <c r="Z754" s="6">
        <v>94.8</v>
      </c>
      <c r="AA754" s="6">
        <f t="shared" si="237"/>
        <v>3.0434782608695699</v>
      </c>
      <c r="AB754" s="6">
        <f t="shared" si="229"/>
        <v>1.7525771266029333</v>
      </c>
      <c r="AC754" s="6">
        <f t="shared" si="230"/>
        <v>1.2909011342666366</v>
      </c>
    </row>
    <row r="755" spans="1:29" x14ac:dyDescent="0.2">
      <c r="A755" t="s">
        <v>839</v>
      </c>
      <c r="B755" s="6">
        <v>1056.6400000000001</v>
      </c>
      <c r="C755" s="6">
        <f t="shared" si="231"/>
        <v>-0.59737156511349143</v>
      </c>
      <c r="D755" s="6">
        <f t="shared" si="217"/>
        <v>22.402943088400519</v>
      </c>
      <c r="E755" s="6">
        <f t="shared" si="218"/>
        <v>-23.00031465351401</v>
      </c>
      <c r="F755" s="6">
        <v>402.2</v>
      </c>
      <c r="G755" s="6">
        <f t="shared" si="232"/>
        <v>164.65749819043234</v>
      </c>
      <c r="H755" s="6">
        <f t="shared" si="219"/>
        <v>48.336626335184746</v>
      </c>
      <c r="I755" s="6">
        <f t="shared" si="220"/>
        <v>116.32087185524759</v>
      </c>
      <c r="J755" s="6">
        <v>21481.89</v>
      </c>
      <c r="K755" s="6">
        <f t="shared" si="233"/>
        <v>14.152980230634626</v>
      </c>
      <c r="L755" s="6">
        <f t="shared" si="221"/>
        <v>19.783177311615223</v>
      </c>
      <c r="M755" s="6">
        <f t="shared" si="222"/>
        <v>-5.6301970809805972</v>
      </c>
      <c r="N755" s="6">
        <v>7544.81</v>
      </c>
      <c r="O755" s="6">
        <f t="shared" si="234"/>
        <v>-20.167667990714023</v>
      </c>
      <c r="P755" s="6">
        <f t="shared" si="223"/>
        <v>12.369808121565013</v>
      </c>
      <c r="Q755" s="6">
        <f t="shared" si="224"/>
        <v>-32.537476112279037</v>
      </c>
      <c r="R755" s="6">
        <v>1.56</v>
      </c>
      <c r="S755" s="6">
        <f t="shared" si="235"/>
        <v>-4.2944785276073478</v>
      </c>
      <c r="T755" s="6">
        <f t="shared" si="225"/>
        <v>5.2605592932079883</v>
      </c>
      <c r="U755" s="6">
        <f t="shared" si="226"/>
        <v>-9.5550378208153361</v>
      </c>
      <c r="V755" s="6">
        <v>105.08</v>
      </c>
      <c r="W755" s="6">
        <f t="shared" si="236"/>
        <v>43.395196506550214</v>
      </c>
      <c r="X755" s="6">
        <f t="shared" si="227"/>
        <v>21.034829133634346</v>
      </c>
      <c r="Y755" s="6">
        <f t="shared" si="228"/>
        <v>22.360367372915867</v>
      </c>
      <c r="Z755" s="6">
        <v>95.1</v>
      </c>
      <c r="AA755" s="6">
        <f t="shared" si="237"/>
        <v>3.3695652173912904</v>
      </c>
      <c r="AB755" s="6">
        <f t="shared" si="229"/>
        <v>1.7380102141527261</v>
      </c>
      <c r="AC755" s="6">
        <f t="shared" si="230"/>
        <v>1.6315550032385644</v>
      </c>
    </row>
    <row r="756" spans="1:29" x14ac:dyDescent="0.2">
      <c r="A756" t="s">
        <v>840</v>
      </c>
      <c r="B756" s="6">
        <v>1025.95</v>
      </c>
      <c r="C756" s="6">
        <f t="shared" si="231"/>
        <v>-10.147834159499736</v>
      </c>
      <c r="D756" s="6">
        <f t="shared" si="217"/>
        <v>22.692206430627433</v>
      </c>
      <c r="E756" s="6">
        <f t="shared" si="218"/>
        <v>-32.840040590127167</v>
      </c>
      <c r="F756" s="6">
        <v>406.97</v>
      </c>
      <c r="G756" s="6">
        <f t="shared" si="232"/>
        <v>139.98702677202499</v>
      </c>
      <c r="H756" s="6">
        <f t="shared" si="219"/>
        <v>51.003094054514783</v>
      </c>
      <c r="I756" s="6">
        <f t="shared" si="220"/>
        <v>88.983932717510214</v>
      </c>
      <c r="J756" s="6">
        <v>22057.39</v>
      </c>
      <c r="K756" s="6">
        <f t="shared" si="233"/>
        <v>15.234545198079541</v>
      </c>
      <c r="L756" s="6">
        <f t="shared" si="221"/>
        <v>19.13365103708124</v>
      </c>
      <c r="M756" s="6">
        <f t="shared" si="222"/>
        <v>-3.8991058390016988</v>
      </c>
      <c r="N756" s="6">
        <v>7981.84</v>
      </c>
      <c r="O756" s="6">
        <f t="shared" si="234"/>
        <v>-14.816214058701361</v>
      </c>
      <c r="P756" s="6">
        <f t="shared" si="223"/>
        <v>11.857186427247195</v>
      </c>
      <c r="Q756" s="6">
        <f t="shared" si="224"/>
        <v>-26.673400485948555</v>
      </c>
      <c r="R756" s="6">
        <v>1.46</v>
      </c>
      <c r="S756" s="6">
        <f t="shared" si="235"/>
        <v>-14.619883040935678</v>
      </c>
      <c r="T756" s="6">
        <f t="shared" si="225"/>
        <v>5.4589199379179218</v>
      </c>
      <c r="U756" s="6">
        <f t="shared" si="226"/>
        <v>-20.078802978853599</v>
      </c>
      <c r="V756" s="6">
        <v>95.97</v>
      </c>
      <c r="W756" s="6">
        <f t="shared" si="236"/>
        <v>39.349499056192826</v>
      </c>
      <c r="X756" s="6">
        <f t="shared" si="227"/>
        <v>20.845648420205098</v>
      </c>
      <c r="Y756" s="6">
        <f t="shared" si="228"/>
        <v>18.503850635987728</v>
      </c>
      <c r="Z756" s="6">
        <v>95.4</v>
      </c>
      <c r="AA756" s="6">
        <f t="shared" si="237"/>
        <v>3.2467532467532534</v>
      </c>
      <c r="AB756" s="6">
        <f t="shared" si="229"/>
        <v>1.7255568251821003</v>
      </c>
      <c r="AC756" s="6">
        <f t="shared" si="230"/>
        <v>1.5211964215711531</v>
      </c>
    </row>
    <row r="757" spans="1:29" x14ac:dyDescent="0.2">
      <c r="A757" t="s">
        <v>841</v>
      </c>
      <c r="B757" s="6">
        <v>909.32</v>
      </c>
      <c r="C757" s="6">
        <f t="shared" si="231"/>
        <v>-23.028999983070651</v>
      </c>
      <c r="D757" s="6">
        <f t="shared" si="217"/>
        <v>22.780256969928775</v>
      </c>
      <c r="E757" s="6">
        <f t="shared" si="218"/>
        <v>-45.809256952999426</v>
      </c>
      <c r="F757" s="6">
        <v>430.81</v>
      </c>
      <c r="G757" s="6">
        <f t="shared" si="232"/>
        <v>132.00495449404923</v>
      </c>
      <c r="H757" s="6">
        <f t="shared" si="219"/>
        <v>53.523027336110573</v>
      </c>
      <c r="I757" s="6">
        <f t="shared" si="220"/>
        <v>78.481927157938657</v>
      </c>
      <c r="J757" s="6">
        <v>22773.97</v>
      </c>
      <c r="K757" s="6">
        <f t="shared" si="233"/>
        <v>17.531666604737197</v>
      </c>
      <c r="L757" s="6">
        <f t="shared" si="221"/>
        <v>18.968680754988934</v>
      </c>
      <c r="M757" s="6">
        <f t="shared" si="222"/>
        <v>-1.4370141502517377</v>
      </c>
      <c r="N757" s="6">
        <v>7746.01</v>
      </c>
      <c r="O757" s="6">
        <f t="shared" si="234"/>
        <v>-16.930285231390563</v>
      </c>
      <c r="P757" s="6">
        <f t="shared" si="223"/>
        <v>11.688112379488485</v>
      </c>
      <c r="Q757" s="6">
        <f t="shared" si="224"/>
        <v>-28.61839761087905</v>
      </c>
      <c r="R757" s="6">
        <v>1.32</v>
      </c>
      <c r="S757" s="6">
        <f t="shared" si="235"/>
        <v>-19.018404907975452</v>
      </c>
      <c r="T757" s="6">
        <f t="shared" si="225"/>
        <v>5.4365971057478895</v>
      </c>
      <c r="U757" s="6">
        <f t="shared" si="226"/>
        <v>-24.455002013723341</v>
      </c>
      <c r="V757" s="6">
        <v>88.22</v>
      </c>
      <c r="W757" s="6">
        <f t="shared" si="236"/>
        <v>21.181318681318693</v>
      </c>
      <c r="X757" s="6">
        <f t="shared" si="227"/>
        <v>20.783538047285209</v>
      </c>
      <c r="Y757" s="6">
        <f t="shared" si="228"/>
        <v>0.3977806340334844</v>
      </c>
      <c r="Z757" s="6">
        <v>95.9</v>
      </c>
      <c r="AA757" s="6">
        <f t="shared" si="237"/>
        <v>3.1182795698924792</v>
      </c>
      <c r="AB757" s="6">
        <f t="shared" si="229"/>
        <v>1.7154067749211979</v>
      </c>
      <c r="AC757" s="6">
        <f t="shared" si="230"/>
        <v>1.4028727949712814</v>
      </c>
    </row>
    <row r="758" spans="1:29" x14ac:dyDescent="0.2">
      <c r="A758" t="s">
        <v>842</v>
      </c>
      <c r="B758" s="6">
        <v>888.99</v>
      </c>
      <c r="C758" s="6">
        <f t="shared" si="231"/>
        <v>-32.151116199198626</v>
      </c>
      <c r="D758" s="6">
        <f t="shared" si="217"/>
        <v>22.712319083583864</v>
      </c>
      <c r="E758" s="6">
        <f t="shared" si="218"/>
        <v>-54.86343528278249</v>
      </c>
      <c r="F758" s="6">
        <v>389.79</v>
      </c>
      <c r="G758" s="6">
        <f t="shared" si="232"/>
        <v>73.618101643579365</v>
      </c>
      <c r="H758" s="6">
        <f t="shared" si="219"/>
        <v>55.925127419726721</v>
      </c>
      <c r="I758" s="6">
        <f t="shared" si="220"/>
        <v>17.692974223852644</v>
      </c>
      <c r="J758" s="6">
        <v>22032.89</v>
      </c>
      <c r="K758" s="6">
        <f t="shared" si="233"/>
        <v>13.792202305603807</v>
      </c>
      <c r="L758" s="6">
        <f t="shared" si="221"/>
        <v>19.093459249914293</v>
      </c>
      <c r="M758" s="6">
        <f t="shared" si="222"/>
        <v>-5.3012569443104862</v>
      </c>
      <c r="N758" s="6">
        <v>7651.08</v>
      </c>
      <c r="O758" s="6">
        <f t="shared" si="234"/>
        <v>-22.159845847381575</v>
      </c>
      <c r="P758" s="6">
        <f t="shared" si="223"/>
        <v>11.502139650730825</v>
      </c>
      <c r="Q758" s="6">
        <f t="shared" si="224"/>
        <v>-33.661985498112401</v>
      </c>
      <c r="R758" s="6">
        <v>1.29</v>
      </c>
      <c r="S758" s="6">
        <f t="shared" si="235"/>
        <v>-25.433526011560691</v>
      </c>
      <c r="T758" s="6">
        <f t="shared" si="225"/>
        <v>5.4026991774114448</v>
      </c>
      <c r="U758" s="6">
        <f t="shared" si="226"/>
        <v>-30.836225188972136</v>
      </c>
      <c r="V758" s="6">
        <v>90.33</v>
      </c>
      <c r="W758" s="6">
        <f t="shared" si="236"/>
        <v>10.077991713380442</v>
      </c>
      <c r="X758" s="6">
        <f t="shared" si="227"/>
        <v>20.343087474486897</v>
      </c>
      <c r="Y758" s="6">
        <f t="shared" si="228"/>
        <v>-10.265095761106455</v>
      </c>
      <c r="Z758" s="6">
        <v>95.4</v>
      </c>
      <c r="AA758" s="6">
        <f t="shared" si="237"/>
        <v>2.3605150214592197</v>
      </c>
      <c r="AB758" s="6">
        <f t="shared" si="229"/>
        <v>1.7002427274990861</v>
      </c>
      <c r="AC758" s="6">
        <f t="shared" si="230"/>
        <v>0.66027229396013354</v>
      </c>
    </row>
    <row r="759" spans="1:29" x14ac:dyDescent="0.2">
      <c r="A759" t="s">
        <v>843</v>
      </c>
      <c r="B759" s="6">
        <v>945.74</v>
      </c>
      <c r="C759" s="6">
        <f t="shared" si="231"/>
        <v>-29.45660686980197</v>
      </c>
      <c r="D759" s="6">
        <f t="shared" si="217"/>
        <v>22.480461955453254</v>
      </c>
      <c r="E759" s="6">
        <f t="shared" si="218"/>
        <v>-51.937068825255224</v>
      </c>
      <c r="F759" s="6">
        <v>342.16</v>
      </c>
      <c r="G759" s="6">
        <f t="shared" si="232"/>
        <v>117.27203454406911</v>
      </c>
      <c r="H759" s="6">
        <f t="shared" si="219"/>
        <v>57.209550121346872</v>
      </c>
      <c r="I759" s="6">
        <f t="shared" si="220"/>
        <v>60.062484422722243</v>
      </c>
      <c r="J759" s="6">
        <v>25562.7</v>
      </c>
      <c r="K759" s="6">
        <f t="shared" si="233"/>
        <v>28.244015158888391</v>
      </c>
      <c r="L759" s="6">
        <f t="shared" si="221"/>
        <v>19.200846516669944</v>
      </c>
      <c r="M759" s="6">
        <f t="shared" si="222"/>
        <v>9.043168642218447</v>
      </c>
      <c r="N759" s="6">
        <v>8049.86</v>
      </c>
      <c r="O759" s="6">
        <f t="shared" si="234"/>
        <v>-17.258271747062871</v>
      </c>
      <c r="P759" s="6">
        <f t="shared" si="223"/>
        <v>11.220425198652036</v>
      </c>
      <c r="Q759" s="6">
        <f t="shared" si="224"/>
        <v>-28.478696945714908</v>
      </c>
      <c r="R759" s="6">
        <v>1.27</v>
      </c>
      <c r="S759" s="6">
        <f t="shared" si="235"/>
        <v>-27.011494252873558</v>
      </c>
      <c r="T759" s="6">
        <f t="shared" si="225"/>
        <v>5.0726057416683128</v>
      </c>
      <c r="U759" s="6">
        <f t="shared" si="226"/>
        <v>-32.084099994541873</v>
      </c>
      <c r="V759" s="6">
        <v>87.38</v>
      </c>
      <c r="W759" s="6">
        <f t="shared" si="236"/>
        <v>9.3343343343343257</v>
      </c>
      <c r="X759" s="6">
        <f t="shared" si="227"/>
        <v>19.7257058682486</v>
      </c>
      <c r="Y759" s="6">
        <f t="shared" si="228"/>
        <v>-10.391371533914274</v>
      </c>
      <c r="Z759" s="6">
        <v>94.7</v>
      </c>
      <c r="AA759" s="6">
        <f t="shared" si="237"/>
        <v>1.7185821697099923</v>
      </c>
      <c r="AB759" s="6">
        <f t="shared" si="229"/>
        <v>1.7112376113701695</v>
      </c>
      <c r="AC759" s="6">
        <f t="shared" si="230"/>
        <v>7.3445583398228376E-3</v>
      </c>
    </row>
    <row r="760" spans="1:29" x14ac:dyDescent="0.2">
      <c r="A760" t="s">
        <v>844</v>
      </c>
      <c r="B760" s="6">
        <v>940.39</v>
      </c>
      <c r="C760" s="6">
        <f t="shared" si="231"/>
        <v>-25.970447693046474</v>
      </c>
      <c r="D760" s="6">
        <f t="shared" si="217"/>
        <v>22.409182191989192</v>
      </c>
      <c r="E760" s="6">
        <f t="shared" si="218"/>
        <v>-48.379629885035669</v>
      </c>
      <c r="F760" s="6">
        <v>379.23</v>
      </c>
      <c r="G760" s="6">
        <f t="shared" si="232"/>
        <v>123.5366931918656</v>
      </c>
      <c r="H760" s="6">
        <f t="shared" si="219"/>
        <v>59.564546632957587</v>
      </c>
      <c r="I760" s="6">
        <f t="shared" si="220"/>
        <v>63.972146558908008</v>
      </c>
      <c r="J760" s="6">
        <v>28946.81</v>
      </c>
      <c r="K760" s="6">
        <f t="shared" si="233"/>
        <v>44.621606700790139</v>
      </c>
      <c r="L760" s="6">
        <f t="shared" si="221"/>
        <v>19.916692778576568</v>
      </c>
      <c r="M760" s="6">
        <f t="shared" si="222"/>
        <v>24.704913922213571</v>
      </c>
      <c r="N760" s="6">
        <v>8375.4</v>
      </c>
      <c r="O760" s="6">
        <f t="shared" si="234"/>
        <v>-12.310311396078809</v>
      </c>
      <c r="P760" s="6">
        <f t="shared" si="223"/>
        <v>11.05333416256587</v>
      </c>
      <c r="Q760" s="6">
        <f t="shared" si="224"/>
        <v>-23.363645558644677</v>
      </c>
      <c r="R760" s="6">
        <v>1.35</v>
      </c>
      <c r="S760" s="6">
        <f t="shared" si="235"/>
        <v>-21.511627906976738</v>
      </c>
      <c r="T760" s="6">
        <f t="shared" si="225"/>
        <v>4.8012415694420723</v>
      </c>
      <c r="U760" s="6">
        <f t="shared" si="226"/>
        <v>-26.312869476418811</v>
      </c>
      <c r="V760" s="6">
        <v>78.069999999999993</v>
      </c>
      <c r="W760" s="6">
        <f t="shared" si="236"/>
        <v>7.135995608618062</v>
      </c>
      <c r="X760" s="6">
        <f t="shared" si="227"/>
        <v>19.837088125554576</v>
      </c>
      <c r="Y760" s="6">
        <f t="shared" si="228"/>
        <v>-12.701092516936514</v>
      </c>
      <c r="Z760" s="6">
        <v>94.2</v>
      </c>
      <c r="AA760" s="6">
        <f t="shared" si="237"/>
        <v>1.3993541442411273</v>
      </c>
      <c r="AB760" s="6">
        <f t="shared" si="229"/>
        <v>1.7136699344138038</v>
      </c>
      <c r="AC760" s="6">
        <f t="shared" si="230"/>
        <v>-0.31431579017267652</v>
      </c>
    </row>
    <row r="761" spans="1:29" x14ac:dyDescent="0.2">
      <c r="A761" t="s">
        <v>845</v>
      </c>
      <c r="B761" s="6">
        <v>941.97</v>
      </c>
      <c r="C761" s="6">
        <f t="shared" si="231"/>
        <v>-29.954119230511822</v>
      </c>
      <c r="D761" s="6">
        <f t="shared" si="217"/>
        <v>22.310306942306791</v>
      </c>
      <c r="E761" s="6">
        <f t="shared" si="218"/>
        <v>-52.264426172818617</v>
      </c>
      <c r="F761" s="6">
        <v>317.99</v>
      </c>
      <c r="G761" s="6">
        <f t="shared" si="232"/>
        <v>61.457222645341481</v>
      </c>
      <c r="H761" s="6">
        <f t="shared" si="219"/>
        <v>62.126654815155113</v>
      </c>
      <c r="I761" s="6">
        <f t="shared" si="220"/>
        <v>-0.66943216981363207</v>
      </c>
      <c r="J761" s="6">
        <v>28194.61</v>
      </c>
      <c r="K761" s="6">
        <f t="shared" si="233"/>
        <v>26.119908389024559</v>
      </c>
      <c r="L761" s="6">
        <f t="shared" si="221"/>
        <v>20.965931102166483</v>
      </c>
      <c r="M761" s="6">
        <f t="shared" si="222"/>
        <v>5.1539772868580762</v>
      </c>
      <c r="N761" s="6">
        <v>9037.9500000000007</v>
      </c>
      <c r="O761" s="6">
        <f t="shared" si="234"/>
        <v>-7.6095290083967537</v>
      </c>
      <c r="P761" s="6">
        <f t="shared" si="223"/>
        <v>11.02812184465912</v>
      </c>
      <c r="Q761" s="6">
        <f t="shared" si="224"/>
        <v>-18.637650853055874</v>
      </c>
      <c r="R761" s="6">
        <v>1.41</v>
      </c>
      <c r="S761" s="6">
        <f t="shared" si="235"/>
        <v>-20.786516853932589</v>
      </c>
      <c r="T761" s="6">
        <f t="shared" si="225"/>
        <v>4.6384707825672722</v>
      </c>
      <c r="U761" s="6">
        <f t="shared" si="226"/>
        <v>-25.424987636499861</v>
      </c>
      <c r="V761" s="6">
        <v>80.41</v>
      </c>
      <c r="W761" s="6">
        <f t="shared" si="236"/>
        <v>-4.1825548141086859</v>
      </c>
      <c r="X761" s="6">
        <f t="shared" si="227"/>
        <v>20.231914203920915</v>
      </c>
      <c r="Y761" s="6">
        <f t="shared" si="228"/>
        <v>-24.4144690180296</v>
      </c>
      <c r="Z761" s="6">
        <v>93.5</v>
      </c>
      <c r="AA761" s="6">
        <f t="shared" si="237"/>
        <v>0.10706638115631772</v>
      </c>
      <c r="AB761" s="6">
        <f t="shared" si="229"/>
        <v>1.7118353501762649</v>
      </c>
      <c r="AC761" s="6">
        <f t="shared" si="230"/>
        <v>-1.6047689690199471</v>
      </c>
    </row>
    <row r="762" spans="1:29" x14ac:dyDescent="0.2">
      <c r="A762" t="s">
        <v>846</v>
      </c>
      <c r="B762" s="6">
        <v>949.98</v>
      </c>
      <c r="C762" s="6">
        <f t="shared" si="231"/>
        <v>-37.598202790404365</v>
      </c>
      <c r="D762" s="6">
        <f t="shared" si="217"/>
        <v>22.038307476202124</v>
      </c>
      <c r="E762" s="6">
        <f t="shared" si="218"/>
        <v>-59.636510266606493</v>
      </c>
      <c r="F762" s="6">
        <v>207.48</v>
      </c>
      <c r="G762" s="6">
        <f t="shared" si="232"/>
        <v>-5.5965055965055965</v>
      </c>
      <c r="H762" s="6">
        <f t="shared" si="219"/>
        <v>63.561428838678786</v>
      </c>
      <c r="I762" s="6">
        <f t="shared" si="220"/>
        <v>-69.157934435184387</v>
      </c>
      <c r="J762" s="6">
        <v>26727.95</v>
      </c>
      <c r="K762" s="6">
        <f t="shared" si="233"/>
        <v>11.29434886979479</v>
      </c>
      <c r="L762" s="6">
        <f t="shared" si="221"/>
        <v>21.727384776555908</v>
      </c>
      <c r="M762" s="6">
        <f t="shared" si="222"/>
        <v>-10.433035906761118</v>
      </c>
      <c r="N762" s="6">
        <v>8936.59</v>
      </c>
      <c r="O762" s="6">
        <f t="shared" si="234"/>
        <v>-10.123330889444714</v>
      </c>
      <c r="P762" s="6">
        <f t="shared" si="223"/>
        <v>11.201807038985882</v>
      </c>
      <c r="Q762" s="6">
        <f t="shared" si="224"/>
        <v>-21.325137928430596</v>
      </c>
      <c r="R762" s="6">
        <v>1.4</v>
      </c>
      <c r="S762" s="6">
        <f t="shared" si="235"/>
        <v>-21.787709497206709</v>
      </c>
      <c r="T762" s="6">
        <f t="shared" si="225"/>
        <v>4.3998627925547886</v>
      </c>
      <c r="U762" s="6">
        <f t="shared" si="226"/>
        <v>-26.187572289761498</v>
      </c>
      <c r="V762" s="6">
        <v>80.25</v>
      </c>
      <c r="W762" s="6">
        <f t="shared" si="236"/>
        <v>-14.207825529185381</v>
      </c>
      <c r="X762" s="6">
        <f t="shared" si="227"/>
        <v>20.448328402755021</v>
      </c>
      <c r="Y762" s="6">
        <f t="shared" si="228"/>
        <v>-34.656153931940402</v>
      </c>
      <c r="Z762" s="6">
        <v>93.3</v>
      </c>
      <c r="AA762" s="6">
        <f t="shared" si="237"/>
        <v>-0.74468085106382809</v>
      </c>
      <c r="AB762" s="6">
        <f t="shared" si="229"/>
        <v>1.6879351510189595</v>
      </c>
      <c r="AC762" s="6">
        <f t="shared" si="230"/>
        <v>-2.4326160020827876</v>
      </c>
    </row>
    <row r="763" spans="1:29" x14ac:dyDescent="0.2">
      <c r="A763" t="s">
        <v>847</v>
      </c>
      <c r="B763" s="6">
        <v>972.06</v>
      </c>
      <c r="C763" s="6">
        <f t="shared" si="231"/>
        <v>-45.296461372231235</v>
      </c>
      <c r="D763" s="6">
        <f t="shared" si="217"/>
        <v>21.567670160513448</v>
      </c>
      <c r="E763" s="6">
        <f t="shared" si="218"/>
        <v>-66.864131532744679</v>
      </c>
      <c r="F763" s="6">
        <v>187.23</v>
      </c>
      <c r="G763" s="6">
        <f t="shared" si="232"/>
        <v>-40.380206343141012</v>
      </c>
      <c r="H763" s="6">
        <f t="shared" si="219"/>
        <v>63.651890186808849</v>
      </c>
      <c r="I763" s="6">
        <f t="shared" si="220"/>
        <v>-104.03209652994985</v>
      </c>
      <c r="J763" s="6">
        <v>23288.61</v>
      </c>
      <c r="K763" s="6">
        <f t="shared" si="233"/>
        <v>-31.351000967451537</v>
      </c>
      <c r="L763" s="6">
        <f t="shared" si="221"/>
        <v>22.102225065047509</v>
      </c>
      <c r="M763" s="6">
        <f t="shared" si="222"/>
        <v>-53.453226032499046</v>
      </c>
      <c r="N763" s="6">
        <v>8856.31</v>
      </c>
      <c r="O763" s="6">
        <f t="shared" si="234"/>
        <v>-13.435585760378622</v>
      </c>
      <c r="P763" s="6">
        <f t="shared" si="223"/>
        <v>11.200836751241063</v>
      </c>
      <c r="Q763" s="6">
        <f t="shared" si="224"/>
        <v>-24.636422511619685</v>
      </c>
      <c r="R763" s="6">
        <v>1.36</v>
      </c>
      <c r="S763" s="6">
        <f t="shared" si="235"/>
        <v>-22.285714285714274</v>
      </c>
      <c r="T763" s="6">
        <f t="shared" si="225"/>
        <v>4.0315686163858127</v>
      </c>
      <c r="U763" s="6">
        <f t="shared" si="226"/>
        <v>-26.317282902100086</v>
      </c>
      <c r="V763" s="6">
        <v>76.47</v>
      </c>
      <c r="W763" s="6">
        <f t="shared" si="236"/>
        <v>-31.966192170818509</v>
      </c>
      <c r="X763" s="6">
        <f t="shared" si="227"/>
        <v>20.228823790899096</v>
      </c>
      <c r="Y763" s="6">
        <f t="shared" si="228"/>
        <v>-52.195015961717601</v>
      </c>
      <c r="Z763" s="6">
        <v>92.6</v>
      </c>
      <c r="AA763" s="6">
        <f t="shared" si="237"/>
        <v>-1.9067796610169663</v>
      </c>
      <c r="AB763" s="6">
        <f t="shared" si="229"/>
        <v>1.6438821538364083</v>
      </c>
      <c r="AC763" s="6">
        <f t="shared" si="230"/>
        <v>-3.5506618148533748</v>
      </c>
    </row>
    <row r="764" spans="1:29" x14ac:dyDescent="0.2">
      <c r="A764" t="s">
        <v>848</v>
      </c>
      <c r="B764" s="6">
        <v>1005.24</v>
      </c>
      <c r="C764" s="6">
        <f t="shared" si="231"/>
        <v>-40.261716010791929</v>
      </c>
      <c r="D764" s="6">
        <f t="shared" si="217"/>
        <v>21.016859116493897</v>
      </c>
      <c r="E764" s="6">
        <f t="shared" si="218"/>
        <v>-61.278575127285826</v>
      </c>
      <c r="F764" s="6">
        <v>194.28</v>
      </c>
      <c r="G764" s="6">
        <f t="shared" si="232"/>
        <v>-37.500402123210549</v>
      </c>
      <c r="H764" s="6">
        <f t="shared" si="219"/>
        <v>62.886934253397925</v>
      </c>
      <c r="I764" s="6">
        <f t="shared" si="220"/>
        <v>-100.38733637660847</v>
      </c>
      <c r="J764" s="6">
        <v>23894.560000000001</v>
      </c>
      <c r="K764" s="6">
        <f t="shared" si="233"/>
        <v>-27.882330287202318</v>
      </c>
      <c r="L764" s="6">
        <f t="shared" si="221"/>
        <v>21.50604984188686</v>
      </c>
      <c r="M764" s="6">
        <f t="shared" si="222"/>
        <v>-49.388380129089178</v>
      </c>
      <c r="N764" s="6">
        <v>8809.42</v>
      </c>
      <c r="O764" s="6">
        <f t="shared" si="234"/>
        <v>-13.304885753706674</v>
      </c>
      <c r="P764" s="6">
        <f t="shared" si="223"/>
        <v>11.031150339331063</v>
      </c>
      <c r="Q764" s="6">
        <f t="shared" si="224"/>
        <v>-24.336036093037738</v>
      </c>
      <c r="R764" s="6">
        <v>1.36</v>
      </c>
      <c r="S764" s="6">
        <f t="shared" si="235"/>
        <v>-19.999999999999996</v>
      </c>
      <c r="T764" s="6">
        <f t="shared" si="225"/>
        <v>3.5238801243223201</v>
      </c>
      <c r="U764" s="6">
        <f t="shared" si="226"/>
        <v>-23.523880124322318</v>
      </c>
      <c r="V764" s="6">
        <v>82.46</v>
      </c>
      <c r="W764" s="6">
        <f t="shared" si="236"/>
        <v>-20.259162556812694</v>
      </c>
      <c r="X764" s="6">
        <f t="shared" si="227"/>
        <v>19.575198475460471</v>
      </c>
      <c r="Y764" s="6">
        <f t="shared" si="228"/>
        <v>-39.834361032273165</v>
      </c>
      <c r="Z764" s="6">
        <v>92.1</v>
      </c>
      <c r="AA764" s="6">
        <f t="shared" si="237"/>
        <v>-2.8481012658227889</v>
      </c>
      <c r="AB764" s="6">
        <f t="shared" si="229"/>
        <v>1.5828265195447437</v>
      </c>
      <c r="AC764" s="6">
        <f t="shared" si="230"/>
        <v>-4.4309277853675324</v>
      </c>
    </row>
    <row r="765" spans="1:29" x14ac:dyDescent="0.2">
      <c r="A765" t="s">
        <v>849</v>
      </c>
      <c r="B765" s="6">
        <v>934.06</v>
      </c>
      <c r="C765" s="6">
        <f t="shared" si="231"/>
        <v>-45.596766302448579</v>
      </c>
      <c r="D765" s="6">
        <f t="shared" si="217"/>
        <v>20.513014703253383</v>
      </c>
      <c r="E765" s="6">
        <f t="shared" si="218"/>
        <v>-66.109781005701961</v>
      </c>
      <c r="F765" s="6">
        <v>160.47999999999999</v>
      </c>
      <c r="G765" s="6">
        <f t="shared" si="232"/>
        <v>-56.84397353842845</v>
      </c>
      <c r="H765" s="6">
        <f t="shared" si="219"/>
        <v>62.259552134414299</v>
      </c>
      <c r="I765" s="6">
        <f t="shared" si="220"/>
        <v>-119.10352567284275</v>
      </c>
      <c r="J765" s="6">
        <v>21970.39</v>
      </c>
      <c r="K765" s="6">
        <f t="shared" si="233"/>
        <v>-21.709217444601435</v>
      </c>
      <c r="L765" s="6">
        <f t="shared" si="221"/>
        <v>21.099347308638581</v>
      </c>
      <c r="M765" s="6">
        <f t="shared" si="222"/>
        <v>-42.80856475324002</v>
      </c>
      <c r="N765" s="6">
        <v>8217.4699999999993</v>
      </c>
      <c r="O765" s="6">
        <f t="shared" si="234"/>
        <v>-12.367083815444991</v>
      </c>
      <c r="P765" s="6">
        <f t="shared" si="223"/>
        <v>10.879591419623402</v>
      </c>
      <c r="Q765" s="6">
        <f t="shared" si="224"/>
        <v>-23.246675235068395</v>
      </c>
      <c r="R765" s="6">
        <v>1.35</v>
      </c>
      <c r="S765" s="6">
        <f t="shared" si="235"/>
        <v>-16.666666666666664</v>
      </c>
      <c r="T765" s="6">
        <f t="shared" si="225"/>
        <v>2.942345352140066</v>
      </c>
      <c r="U765" s="6">
        <f t="shared" si="226"/>
        <v>-19.60901201880673</v>
      </c>
      <c r="V765" s="6">
        <v>74.12</v>
      </c>
      <c r="W765" s="6">
        <f t="shared" si="236"/>
        <v>-32.679382379654854</v>
      </c>
      <c r="X765" s="6">
        <f t="shared" si="227"/>
        <v>19.159492524897427</v>
      </c>
      <c r="Y765" s="6">
        <f t="shared" si="228"/>
        <v>-51.838874904552284</v>
      </c>
      <c r="Z765" s="6">
        <v>91.5</v>
      </c>
      <c r="AA765" s="6">
        <f t="shared" si="237"/>
        <v>-3.3790918690601912</v>
      </c>
      <c r="AB765" s="6">
        <f t="shared" si="229"/>
        <v>1.5117075169290917</v>
      </c>
      <c r="AC765" s="6">
        <f t="shared" si="230"/>
        <v>-4.8907993859892827</v>
      </c>
    </row>
    <row r="766" spans="1:29" x14ac:dyDescent="0.2">
      <c r="A766" t="s">
        <v>850</v>
      </c>
      <c r="B766" s="6">
        <v>816.97</v>
      </c>
      <c r="C766" s="6">
        <f t="shared" si="231"/>
        <v>-45.575244820464988</v>
      </c>
      <c r="D766" s="6">
        <f t="shared" si="217"/>
        <v>19.935241231767066</v>
      </c>
      <c r="E766" s="6">
        <f t="shared" si="218"/>
        <v>-65.510486052232054</v>
      </c>
      <c r="F766" s="6">
        <v>139.41999999999999</v>
      </c>
      <c r="G766" s="6">
        <f t="shared" si="232"/>
        <v>-62.729897348160826</v>
      </c>
      <c r="H766" s="6">
        <f t="shared" si="219"/>
        <v>61.529801371865403</v>
      </c>
      <c r="I766" s="6">
        <f t="shared" si="220"/>
        <v>-124.25969872002622</v>
      </c>
      <c r="J766" s="6">
        <v>21233.279999999999</v>
      </c>
      <c r="K766" s="6">
        <f t="shared" si="233"/>
        <v>-17.247023710930797</v>
      </c>
      <c r="L766" s="6">
        <f t="shared" si="221"/>
        <v>20.987879500383492</v>
      </c>
      <c r="M766" s="6">
        <f t="shared" si="222"/>
        <v>-38.23490321131429</v>
      </c>
      <c r="N766" s="6">
        <v>8396.52</v>
      </c>
      <c r="O766" s="6">
        <f t="shared" si="234"/>
        <v>-6.9582002690465554</v>
      </c>
      <c r="P766" s="6">
        <f t="shared" si="223"/>
        <v>10.868384029802677</v>
      </c>
      <c r="Q766" s="6">
        <f t="shared" si="224"/>
        <v>-17.826584298849234</v>
      </c>
      <c r="R766" s="6">
        <v>1.32</v>
      </c>
      <c r="S766" s="6">
        <f t="shared" si="235"/>
        <v>-19.512195121951216</v>
      </c>
      <c r="T766" s="6">
        <f t="shared" si="225"/>
        <v>2.5083175743622892</v>
      </c>
      <c r="U766" s="6">
        <f t="shared" si="226"/>
        <v>-22.020512696313503</v>
      </c>
      <c r="V766" s="6">
        <v>73.260000000000005</v>
      </c>
      <c r="W766" s="6">
        <f t="shared" si="236"/>
        <v>-37.277397260273972</v>
      </c>
      <c r="X766" s="6">
        <f t="shared" si="227"/>
        <v>18.665925224935428</v>
      </c>
      <c r="Y766" s="6">
        <f t="shared" si="228"/>
        <v>-55.9433224852094</v>
      </c>
      <c r="Z766" s="6">
        <v>90.8</v>
      </c>
      <c r="AA766" s="6">
        <f t="shared" si="237"/>
        <v>-4.2194092827004255</v>
      </c>
      <c r="AB766" s="6">
        <f t="shared" si="229"/>
        <v>1.4413097696570043</v>
      </c>
      <c r="AC766" s="6">
        <f t="shared" si="230"/>
        <v>-5.6607190523574298</v>
      </c>
    </row>
    <row r="767" spans="1:29" x14ac:dyDescent="0.2">
      <c r="A767" t="s">
        <v>851</v>
      </c>
      <c r="B767" s="6">
        <v>878.5</v>
      </c>
      <c r="C767" s="6">
        <f t="shared" si="231"/>
        <v>-16.859100545124171</v>
      </c>
      <c r="D767" s="6">
        <f t="shared" si="217"/>
        <v>19.316773720195751</v>
      </c>
      <c r="E767" s="6">
        <f t="shared" si="218"/>
        <v>-36.175874265319919</v>
      </c>
      <c r="F767" s="6">
        <v>140.63</v>
      </c>
      <c r="G767" s="6">
        <f t="shared" si="232"/>
        <v>-65.034808552958737</v>
      </c>
      <c r="H767" s="6">
        <f t="shared" si="219"/>
        <v>60.98534140878062</v>
      </c>
      <c r="I767" s="6">
        <f t="shared" si="220"/>
        <v>-126.02014996173935</v>
      </c>
      <c r="J767" s="6">
        <v>21091.26</v>
      </c>
      <c r="K767" s="6">
        <f t="shared" si="233"/>
        <v>-1.8184154187550594</v>
      </c>
      <c r="L767" s="6">
        <f t="shared" si="221"/>
        <v>21.064621613821433</v>
      </c>
      <c r="M767" s="6">
        <f t="shared" si="222"/>
        <v>-22.883037032576492</v>
      </c>
      <c r="N767" s="6">
        <v>8476.68</v>
      </c>
      <c r="O767" s="6">
        <f t="shared" si="234"/>
        <v>12.351139392509559</v>
      </c>
      <c r="P767" s="6">
        <f t="shared" si="223"/>
        <v>11.047511083849903</v>
      </c>
      <c r="Q767" s="6">
        <f t="shared" si="224"/>
        <v>1.3036283086596558</v>
      </c>
      <c r="R767" s="6">
        <v>1.3</v>
      </c>
      <c r="S767" s="6">
        <f t="shared" si="235"/>
        <v>-16.666666666666664</v>
      </c>
      <c r="T767" s="6">
        <f t="shared" si="225"/>
        <v>1.9206540890317825</v>
      </c>
      <c r="U767" s="6">
        <f t="shared" si="226"/>
        <v>-18.587320755698446</v>
      </c>
      <c r="V767" s="6">
        <v>78.98</v>
      </c>
      <c r="W767" s="6">
        <f t="shared" si="236"/>
        <v>-24.838218500190322</v>
      </c>
      <c r="X767" s="6">
        <f t="shared" si="227"/>
        <v>18.242998991145218</v>
      </c>
      <c r="Y767" s="6">
        <f t="shared" si="228"/>
        <v>-43.081217491335536</v>
      </c>
      <c r="Z767" s="6">
        <v>90.3</v>
      </c>
      <c r="AA767" s="6">
        <f t="shared" si="237"/>
        <v>-5.0473186119873841</v>
      </c>
      <c r="AB767" s="6">
        <f t="shared" si="229"/>
        <v>1.3510566685259622</v>
      </c>
      <c r="AC767" s="6">
        <f t="shared" si="230"/>
        <v>-6.3983752805133465</v>
      </c>
    </row>
    <row r="768" spans="1:29" x14ac:dyDescent="0.2">
      <c r="A768" t="s">
        <v>852</v>
      </c>
      <c r="B768" s="6">
        <v>860.82</v>
      </c>
      <c r="C768" s="6">
        <f t="shared" si="231"/>
        <v>-16.095326282957256</v>
      </c>
      <c r="D768" s="6">
        <f t="shared" si="217"/>
        <v>19.209872751737795</v>
      </c>
      <c r="E768" s="6">
        <f t="shared" si="218"/>
        <v>-35.30519903469505</v>
      </c>
      <c r="F768" s="6">
        <v>152.61000000000001</v>
      </c>
      <c r="G768" s="6">
        <f t="shared" si="232"/>
        <v>-62.500921443841072</v>
      </c>
      <c r="H768" s="6">
        <f t="shared" si="219"/>
        <v>60.457893738887599</v>
      </c>
      <c r="I768" s="6">
        <f t="shared" si="220"/>
        <v>-122.95881518272867</v>
      </c>
      <c r="J768" s="6">
        <v>20438.650000000001</v>
      </c>
      <c r="K768" s="6">
        <f t="shared" si="233"/>
        <v>-7.3387649218697115</v>
      </c>
      <c r="L768" s="6">
        <f t="shared" si="221"/>
        <v>21.064127783432181</v>
      </c>
      <c r="M768" s="6">
        <f t="shared" si="222"/>
        <v>-28.402892705301891</v>
      </c>
      <c r="N768" s="6">
        <v>8349.1299999999992</v>
      </c>
      <c r="O768" s="6">
        <f t="shared" si="234"/>
        <v>4.6015705651829553</v>
      </c>
      <c r="P768" s="6">
        <f t="shared" si="223"/>
        <v>11.407997440679514</v>
      </c>
      <c r="Q768" s="6">
        <f t="shared" si="224"/>
        <v>-6.8064268754965589</v>
      </c>
      <c r="R768" s="6">
        <v>1.29</v>
      </c>
      <c r="S768" s="6">
        <f t="shared" si="235"/>
        <v>-11.643835616438347</v>
      </c>
      <c r="T768" s="6">
        <f t="shared" si="225"/>
        <v>1.4143987879291522</v>
      </c>
      <c r="U768" s="6">
        <f t="shared" si="226"/>
        <v>-13.058234404367498</v>
      </c>
      <c r="V768" s="6">
        <v>84.72</v>
      </c>
      <c r="W768" s="6">
        <f t="shared" si="236"/>
        <v>-11.722413254141916</v>
      </c>
      <c r="X768" s="6">
        <f t="shared" si="227"/>
        <v>18.046335610334463</v>
      </c>
      <c r="Y768" s="6">
        <f t="shared" si="228"/>
        <v>-29.768748864476379</v>
      </c>
      <c r="Z768" s="6">
        <v>90.3</v>
      </c>
      <c r="AA768" s="6">
        <f t="shared" si="237"/>
        <v>-5.3459119496855445</v>
      </c>
      <c r="AB768" s="6">
        <f t="shared" si="229"/>
        <v>1.2575951813560977</v>
      </c>
      <c r="AC768" s="6">
        <f t="shared" si="230"/>
        <v>-6.603507131041642</v>
      </c>
    </row>
    <row r="769" spans="1:29" x14ac:dyDescent="0.2">
      <c r="A769" t="s">
        <v>853</v>
      </c>
      <c r="B769" s="6">
        <v>829.6</v>
      </c>
      <c r="C769" s="6">
        <f t="shared" si="231"/>
        <v>-8.7669907183389846</v>
      </c>
      <c r="D769" s="6">
        <f t="shared" ref="D769:D832" si="238">IF(COUNT(C721:C768)&lt;48,"",AVERAGE(C721:C768))</f>
        <v>18.971577989895316</v>
      </c>
      <c r="E769" s="6">
        <f t="shared" ref="E769:E832" si="239">IF(OR(C769="",D769=""),"",C769-D769)</f>
        <v>-27.7385687082343</v>
      </c>
      <c r="F769" s="6">
        <v>162.47</v>
      </c>
      <c r="G769" s="6">
        <f t="shared" si="232"/>
        <v>-62.287319235858043</v>
      </c>
      <c r="H769" s="6">
        <f t="shared" ref="H769:H832" si="240">IF(COUNT(G721:G768)&lt;48,"",AVERAGE(G721:G768))</f>
        <v>60.075305725028244</v>
      </c>
      <c r="I769" s="6">
        <f t="shared" ref="I769:I832" si="241">IF(OR(G769="",H769=""),"",G769-H769)</f>
        <v>-122.36262496088628</v>
      </c>
      <c r="J769" s="6">
        <v>19644.64</v>
      </c>
      <c r="K769" s="6">
        <f t="shared" si="233"/>
        <v>-13.740819013988348</v>
      </c>
      <c r="L769" s="6">
        <f t="shared" ref="L769:L832" si="242">IF(COUNT(K721:K768)&lt;48,"",AVERAGE(K721:K768))</f>
        <v>20.548159739985582</v>
      </c>
      <c r="M769" s="6">
        <f t="shared" ref="M769:M832" si="243">IF(OR(K769="",L769=""),"",K769-L769)</f>
        <v>-34.288978753973929</v>
      </c>
      <c r="N769" s="6">
        <v>8276.7099999999991</v>
      </c>
      <c r="O769" s="6">
        <f t="shared" si="234"/>
        <v>6.8512692340959802</v>
      </c>
      <c r="P769" s="6">
        <f t="shared" ref="P769:P832" si="244">IF(COUNT(O721:O768)&lt;48,"",AVERAGE(O721:O768))</f>
        <v>11.621477379314305</v>
      </c>
      <c r="Q769" s="6">
        <f t="shared" ref="Q769:Q832" si="245">IF(OR(O769="",P769=""),"",O769-P769)</f>
        <v>-4.7702081452183247</v>
      </c>
      <c r="R769" s="6">
        <v>1.42</v>
      </c>
      <c r="S769" s="6">
        <f t="shared" si="235"/>
        <v>7.575757575757569</v>
      </c>
      <c r="T769" s="6">
        <f t="shared" ref="T769:T832" si="246">IF(COUNT(S721:S768)&lt;48,"",AVERAGE(S721:S768))</f>
        <v>1.2184606702981313</v>
      </c>
      <c r="U769" s="6">
        <f t="shared" ref="U769:U832" si="247">IF(OR(S769="",T769=""),"",S769-T769)</f>
        <v>6.3572969054594379</v>
      </c>
      <c r="V769" s="6">
        <v>92.22</v>
      </c>
      <c r="W769" s="6">
        <f t="shared" si="236"/>
        <v>4.5341192473361991</v>
      </c>
      <c r="X769" s="6">
        <f t="shared" ref="X769:X832" si="248">IF(COUNT(W721:W768)&lt;48,"",AVERAGE(W721:W768))</f>
        <v>18.195161717624256</v>
      </c>
      <c r="Y769" s="6">
        <f t="shared" ref="Y769:Y832" si="249">IF(OR(W769="",X769=""),"",W769-X769)</f>
        <v>-13.661042470288056</v>
      </c>
      <c r="Z769" s="6">
        <v>90.3</v>
      </c>
      <c r="AA769" s="6">
        <f t="shared" si="237"/>
        <v>-5.8394160583941641</v>
      </c>
      <c r="AB769" s="6">
        <f t="shared" ref="AB769:AB832" si="250">IF(COUNT(AA721:AA768)&lt;48,"",AVERAGE(AA721:AA768))</f>
        <v>1.1532523869412485</v>
      </c>
      <c r="AC769" s="6">
        <f t="shared" ref="AC769:AC832" si="251">IF(OR(AA769="",AB769=""),"",AA769-AB769)</f>
        <v>-6.9926684453354131</v>
      </c>
    </row>
    <row r="770" spans="1:29" x14ac:dyDescent="0.2">
      <c r="A770" t="s">
        <v>854</v>
      </c>
      <c r="B770" s="6">
        <v>804.26</v>
      </c>
      <c r="C770" s="6">
        <f t="shared" si="231"/>
        <v>-9.5310408441039876</v>
      </c>
      <c r="D770" s="6">
        <f t="shared" si="238"/>
        <v>18.8744827644277</v>
      </c>
      <c r="E770" s="6">
        <f t="shared" si="239"/>
        <v>-28.405523608531688</v>
      </c>
      <c r="F770" s="6">
        <v>142.12</v>
      </c>
      <c r="G770" s="6">
        <f t="shared" si="232"/>
        <v>-63.5393416968111</v>
      </c>
      <c r="H770" s="6">
        <f t="shared" si="240"/>
        <v>59.657449141438406</v>
      </c>
      <c r="I770" s="6">
        <f t="shared" si="241"/>
        <v>-123.19679083824951</v>
      </c>
      <c r="J770" s="6">
        <v>18281.23</v>
      </c>
      <c r="K770" s="6">
        <f t="shared" si="233"/>
        <v>-17.027543821986136</v>
      </c>
      <c r="L770" s="6">
        <f t="shared" si="242"/>
        <v>19.404847310757567</v>
      </c>
      <c r="M770" s="6">
        <f t="shared" si="243"/>
        <v>-36.432391132743703</v>
      </c>
      <c r="N770" s="6">
        <v>7937.18</v>
      </c>
      <c r="O770" s="6">
        <f t="shared" si="234"/>
        <v>3.7393413740282488</v>
      </c>
      <c r="P770" s="6">
        <f t="shared" si="244"/>
        <v>11.864581778014147</v>
      </c>
      <c r="Q770" s="6">
        <f t="shared" si="245"/>
        <v>-8.1252404039858988</v>
      </c>
      <c r="R770" s="6">
        <v>1.45</v>
      </c>
      <c r="S770" s="6">
        <f t="shared" si="235"/>
        <v>12.403100775193799</v>
      </c>
      <c r="T770" s="6">
        <f t="shared" si="246"/>
        <v>1.3606247927254091</v>
      </c>
      <c r="U770" s="6">
        <f t="shared" si="247"/>
        <v>11.042475982468391</v>
      </c>
      <c r="V770" s="6">
        <v>89.08</v>
      </c>
      <c r="W770" s="6">
        <f t="shared" si="236"/>
        <v>-1.3838149009188561</v>
      </c>
      <c r="X770" s="6">
        <f t="shared" si="248"/>
        <v>18.713145182127764</v>
      </c>
      <c r="Y770" s="6">
        <f t="shared" si="249"/>
        <v>-20.096960083046621</v>
      </c>
      <c r="Z770" s="6">
        <v>90.2</v>
      </c>
      <c r="AA770" s="6">
        <f t="shared" si="237"/>
        <v>-5.4507337526205513</v>
      </c>
      <c r="AB770" s="6">
        <f t="shared" si="250"/>
        <v>1.0432888696379095</v>
      </c>
      <c r="AC770" s="6">
        <f t="shared" si="251"/>
        <v>-6.4940226222584609</v>
      </c>
    </row>
    <row r="771" spans="1:29" x14ac:dyDescent="0.2">
      <c r="A771" t="s">
        <v>855</v>
      </c>
      <c r="B771" s="6">
        <v>830.47</v>
      </c>
      <c r="C771" s="6">
        <f t="shared" si="231"/>
        <v>-12.188339289868244</v>
      </c>
      <c r="D771" s="6">
        <f t="shared" si="238"/>
        <v>18.67044439372815</v>
      </c>
      <c r="E771" s="6">
        <f t="shared" si="239"/>
        <v>-30.858783683596393</v>
      </c>
      <c r="F771" s="6">
        <v>126.82</v>
      </c>
      <c r="G771" s="6">
        <f t="shared" si="232"/>
        <v>-62.935468786532624</v>
      </c>
      <c r="H771" s="6">
        <f t="shared" si="240"/>
        <v>59.09113184502101</v>
      </c>
      <c r="I771" s="6">
        <f t="shared" si="241"/>
        <v>-122.02660063155363</v>
      </c>
      <c r="J771" s="6">
        <v>17027.36</v>
      </c>
      <c r="K771" s="6">
        <f t="shared" si="233"/>
        <v>-33.389821888924097</v>
      </c>
      <c r="L771" s="6">
        <f t="shared" si="242"/>
        <v>18.249703414576683</v>
      </c>
      <c r="M771" s="6">
        <f t="shared" si="243"/>
        <v>-51.639525303500776</v>
      </c>
      <c r="N771" s="6">
        <v>8189.59</v>
      </c>
      <c r="O771" s="6">
        <f t="shared" si="234"/>
        <v>1.7358065854561566</v>
      </c>
      <c r="P771" s="6">
        <f t="shared" si="244"/>
        <v>12.097334828645607</v>
      </c>
      <c r="Q771" s="6">
        <f t="shared" si="245"/>
        <v>-10.361528243189451</v>
      </c>
      <c r="R771" s="6">
        <v>1.48</v>
      </c>
      <c r="S771" s="6">
        <f t="shared" si="235"/>
        <v>16.535433070866134</v>
      </c>
      <c r="T771" s="6">
        <f t="shared" si="246"/>
        <v>1.6505883821076057</v>
      </c>
      <c r="U771" s="6">
        <f t="shared" si="247"/>
        <v>14.884844688758529</v>
      </c>
      <c r="V771" s="6">
        <v>81.349999999999994</v>
      </c>
      <c r="W771" s="6">
        <f t="shared" si="236"/>
        <v>-6.9008926527809544</v>
      </c>
      <c r="X771" s="6">
        <f t="shared" si="248"/>
        <v>19.212683575045709</v>
      </c>
      <c r="Y771" s="6">
        <f t="shared" si="249"/>
        <v>-26.113576227826663</v>
      </c>
      <c r="Z771" s="6">
        <v>90</v>
      </c>
      <c r="AA771" s="6">
        <f t="shared" si="237"/>
        <v>-4.9630411826821597</v>
      </c>
      <c r="AB771" s="6">
        <f t="shared" si="250"/>
        <v>0.95785340127271301</v>
      </c>
      <c r="AC771" s="6">
        <f t="shared" si="251"/>
        <v>-5.9208945839548726</v>
      </c>
    </row>
    <row r="772" spans="1:29" x14ac:dyDescent="0.2">
      <c r="A772" t="s">
        <v>856</v>
      </c>
      <c r="B772" s="6">
        <v>813.51</v>
      </c>
      <c r="C772" s="6">
        <f t="shared" si="231"/>
        <v>-13.492274481863909</v>
      </c>
      <c r="D772" s="6">
        <f t="shared" si="238"/>
        <v>17.851110716025808</v>
      </c>
      <c r="E772" s="6">
        <f t="shared" si="239"/>
        <v>-31.343385197889717</v>
      </c>
      <c r="F772" s="6">
        <v>141.82</v>
      </c>
      <c r="G772" s="6">
        <f t="shared" si="232"/>
        <v>-62.603169580465675</v>
      </c>
      <c r="H772" s="6">
        <f t="shared" si="240"/>
        <v>58.477798807265913</v>
      </c>
      <c r="I772" s="6">
        <f t="shared" si="241"/>
        <v>-121.08096838773159</v>
      </c>
      <c r="J772" s="6">
        <v>16460.84</v>
      </c>
      <c r="K772" s="6">
        <f t="shared" si="233"/>
        <v>-43.134183006694002</v>
      </c>
      <c r="L772" s="6">
        <f t="shared" si="242"/>
        <v>16.825251321016641</v>
      </c>
      <c r="M772" s="6">
        <f t="shared" si="243"/>
        <v>-59.959434327710639</v>
      </c>
      <c r="N772" s="6">
        <v>8399.94</v>
      </c>
      <c r="O772" s="6">
        <f t="shared" si="234"/>
        <v>0.29300093129880356</v>
      </c>
      <c r="P772" s="6">
        <f t="shared" si="244"/>
        <v>12.246464950897293</v>
      </c>
      <c r="Q772" s="6">
        <f t="shared" si="245"/>
        <v>-11.953464019598488</v>
      </c>
      <c r="R772" s="6">
        <v>1.46</v>
      </c>
      <c r="S772" s="6">
        <f t="shared" si="235"/>
        <v>8.1481481481481488</v>
      </c>
      <c r="T772" s="6">
        <f t="shared" si="246"/>
        <v>1.7240738610568804</v>
      </c>
      <c r="U772" s="6">
        <f t="shared" si="247"/>
        <v>6.4240742870912682</v>
      </c>
      <c r="V772" s="6">
        <v>75.72</v>
      </c>
      <c r="W772" s="6">
        <f t="shared" si="236"/>
        <v>-3.0101191238631975</v>
      </c>
      <c r="X772" s="6">
        <f t="shared" si="248"/>
        <v>19.13309983048762</v>
      </c>
      <c r="Y772" s="6">
        <f t="shared" si="249"/>
        <v>-22.143218954350818</v>
      </c>
      <c r="Z772" s="6">
        <v>89.8</v>
      </c>
      <c r="AA772" s="6">
        <f t="shared" si="237"/>
        <v>-4.6709129511677379</v>
      </c>
      <c r="AB772" s="6">
        <f t="shared" si="250"/>
        <v>0.87791767092779527</v>
      </c>
      <c r="AC772" s="6">
        <f t="shared" si="251"/>
        <v>-5.548830622095533</v>
      </c>
    </row>
    <row r="773" spans="1:29" x14ac:dyDescent="0.2">
      <c r="A773" t="s">
        <v>857</v>
      </c>
      <c r="B773" s="6">
        <v>844.9</v>
      </c>
      <c r="C773" s="6">
        <f t="shared" si="231"/>
        <v>-10.304999097635815</v>
      </c>
      <c r="D773" s="6">
        <f t="shared" si="238"/>
        <v>16.679439692306804</v>
      </c>
      <c r="E773" s="6">
        <f t="shared" si="239"/>
        <v>-26.984438789942619</v>
      </c>
      <c r="F773" s="6">
        <v>124.9</v>
      </c>
      <c r="G773" s="6">
        <f t="shared" si="232"/>
        <v>-60.722035284128431</v>
      </c>
      <c r="H773" s="6">
        <f t="shared" si="240"/>
        <v>57.896783035758112</v>
      </c>
      <c r="I773" s="6">
        <f t="shared" si="241"/>
        <v>-118.61881831988654</v>
      </c>
      <c r="J773" s="6">
        <v>16103.83</v>
      </c>
      <c r="K773" s="6">
        <f t="shared" si="233"/>
        <v>-42.883302872428452</v>
      </c>
      <c r="L773" s="6">
        <f t="shared" si="242"/>
        <v>15.350880720283939</v>
      </c>
      <c r="M773" s="6">
        <f t="shared" si="243"/>
        <v>-58.234183592712391</v>
      </c>
      <c r="N773" s="6">
        <v>8338.8799999999992</v>
      </c>
      <c r="O773" s="6">
        <f t="shared" si="234"/>
        <v>-7.7348292477829705</v>
      </c>
      <c r="P773" s="6">
        <f t="shared" si="244"/>
        <v>12.251972460576956</v>
      </c>
      <c r="Q773" s="6">
        <f t="shared" si="245"/>
        <v>-19.986801708359927</v>
      </c>
      <c r="R773" s="6">
        <v>1.53</v>
      </c>
      <c r="S773" s="6">
        <f t="shared" si="235"/>
        <v>8.5106382978723527</v>
      </c>
      <c r="T773" s="6">
        <f t="shared" si="246"/>
        <v>1.563139116788804</v>
      </c>
      <c r="U773" s="6">
        <f t="shared" si="247"/>
        <v>6.9474991810835487</v>
      </c>
      <c r="V773" s="6">
        <v>77.67</v>
      </c>
      <c r="W773" s="6">
        <f t="shared" si="236"/>
        <v>-3.4075363760726174</v>
      </c>
      <c r="X773" s="6">
        <f t="shared" si="248"/>
        <v>18.707851950914918</v>
      </c>
      <c r="Y773" s="6">
        <f t="shared" si="249"/>
        <v>-22.115388326987535</v>
      </c>
      <c r="Z773" s="6">
        <v>89.4</v>
      </c>
      <c r="AA773" s="6">
        <f t="shared" si="237"/>
        <v>-4.3850267379679124</v>
      </c>
      <c r="AB773" s="6">
        <f t="shared" si="250"/>
        <v>0.79704817196862177</v>
      </c>
      <c r="AC773" s="6">
        <f t="shared" si="251"/>
        <v>-5.1820749099365342</v>
      </c>
    </row>
    <row r="774" spans="1:29" x14ac:dyDescent="0.2">
      <c r="A774" t="s">
        <v>858</v>
      </c>
      <c r="B774" s="6">
        <v>856.93</v>
      </c>
      <c r="C774" s="6">
        <f t="shared" si="231"/>
        <v>-9.7949430514326696</v>
      </c>
      <c r="D774" s="6">
        <f t="shared" si="238"/>
        <v>15.661148199108844</v>
      </c>
      <c r="E774" s="6">
        <f t="shared" si="239"/>
        <v>-25.456091250541512</v>
      </c>
      <c r="F774" s="6">
        <v>124.22</v>
      </c>
      <c r="G774" s="6">
        <f t="shared" si="232"/>
        <v>-40.129169076537494</v>
      </c>
      <c r="H774" s="6">
        <f t="shared" si="240"/>
        <v>57.242620639416678</v>
      </c>
      <c r="I774" s="6">
        <f t="shared" si="241"/>
        <v>-97.371789715954179</v>
      </c>
      <c r="J774" s="6">
        <v>16338.46</v>
      </c>
      <c r="K774" s="6">
        <f t="shared" si="233"/>
        <v>-38.871256493670494</v>
      </c>
      <c r="L774" s="6">
        <f t="shared" si="242"/>
        <v>14.098820077811139</v>
      </c>
      <c r="M774" s="6">
        <f t="shared" si="243"/>
        <v>-52.970076571481634</v>
      </c>
      <c r="N774" s="6">
        <v>8304.9500000000007</v>
      </c>
      <c r="O774" s="6">
        <f t="shared" si="234"/>
        <v>-7.0680203522820122</v>
      </c>
      <c r="P774" s="6">
        <f t="shared" si="244"/>
        <v>12.058519593189965</v>
      </c>
      <c r="Q774" s="6">
        <f t="shared" si="245"/>
        <v>-19.126539945471976</v>
      </c>
      <c r="R774" s="6">
        <v>1.56</v>
      </c>
      <c r="S774" s="6">
        <f t="shared" si="235"/>
        <v>11.428571428571432</v>
      </c>
      <c r="T774" s="6">
        <f t="shared" si="246"/>
        <v>1.5719391793670272</v>
      </c>
      <c r="U774" s="6">
        <f t="shared" si="247"/>
        <v>9.8566322492044058</v>
      </c>
      <c r="V774" s="6">
        <v>80.55</v>
      </c>
      <c r="W774" s="6">
        <f t="shared" si="236"/>
        <v>0.37383177570093906</v>
      </c>
      <c r="X774" s="6">
        <f t="shared" si="248"/>
        <v>18.450915456806939</v>
      </c>
      <c r="Y774" s="6">
        <f t="shared" si="249"/>
        <v>-18.077083681106</v>
      </c>
      <c r="Z774" s="6">
        <v>89.5</v>
      </c>
      <c r="AA774" s="6">
        <f t="shared" si="237"/>
        <v>-4.0728831725616255</v>
      </c>
      <c r="AB774" s="6">
        <f t="shared" si="250"/>
        <v>0.70803954435705319</v>
      </c>
      <c r="AC774" s="6">
        <f t="shared" si="251"/>
        <v>-4.7809227169186785</v>
      </c>
    </row>
    <row r="775" spans="1:29" x14ac:dyDescent="0.2">
      <c r="A775" t="s">
        <v>859</v>
      </c>
      <c r="B775" s="6">
        <v>942.92</v>
      </c>
      <c r="C775" s="6">
        <f t="shared" si="231"/>
        <v>-2.9977573400818858</v>
      </c>
      <c r="D775" s="6">
        <f t="shared" si="238"/>
        <v>15.022294662596444</v>
      </c>
      <c r="E775" s="6">
        <f t="shared" si="239"/>
        <v>-18.02005200267833</v>
      </c>
      <c r="F775" s="6">
        <v>131.49</v>
      </c>
      <c r="G775" s="6">
        <f t="shared" si="232"/>
        <v>-29.770870052876131</v>
      </c>
      <c r="H775" s="6">
        <f t="shared" si="240"/>
        <v>57.013125313209038</v>
      </c>
      <c r="I775" s="6">
        <f t="shared" si="241"/>
        <v>-86.783995366085165</v>
      </c>
      <c r="J775" s="6">
        <v>17438.830000000002</v>
      </c>
      <c r="K775" s="6">
        <f t="shared" si="233"/>
        <v>-25.11863095307104</v>
      </c>
      <c r="L775" s="6">
        <f t="shared" si="242"/>
        <v>13.284022689741176</v>
      </c>
      <c r="M775" s="6">
        <f t="shared" si="243"/>
        <v>-38.402653642812218</v>
      </c>
      <c r="N775" s="6">
        <v>8689.1299999999992</v>
      </c>
      <c r="O775" s="6">
        <f t="shared" si="234"/>
        <v>-1.8876936331271188</v>
      </c>
      <c r="P775" s="6">
        <f t="shared" si="244"/>
        <v>12.113879072011754</v>
      </c>
      <c r="Q775" s="6">
        <f t="shared" si="245"/>
        <v>-14.001572705138873</v>
      </c>
      <c r="R775" s="6">
        <v>1.65</v>
      </c>
      <c r="S775" s="6">
        <f t="shared" si="235"/>
        <v>21.323529411764696</v>
      </c>
      <c r="T775" s="6">
        <f t="shared" si="246"/>
        <v>1.8993201317479782</v>
      </c>
      <c r="U775" s="6">
        <f t="shared" si="247"/>
        <v>19.424209280016719</v>
      </c>
      <c r="V775" s="6">
        <v>83.55</v>
      </c>
      <c r="W775" s="6">
        <f t="shared" si="236"/>
        <v>9.2585327579442822</v>
      </c>
      <c r="X775" s="6">
        <f t="shared" si="248"/>
        <v>18.72384893752039</v>
      </c>
      <c r="Y775" s="6">
        <f t="shared" si="249"/>
        <v>-9.4653161795761083</v>
      </c>
      <c r="Z775" s="6">
        <v>90.2</v>
      </c>
      <c r="AA775" s="6">
        <f t="shared" si="237"/>
        <v>-2.591792656587466</v>
      </c>
      <c r="AB775" s="6">
        <f t="shared" si="250"/>
        <v>0.59972685063439135</v>
      </c>
      <c r="AC775" s="6">
        <f t="shared" si="251"/>
        <v>-3.1915195072218574</v>
      </c>
    </row>
    <row r="776" spans="1:29" x14ac:dyDescent="0.2">
      <c r="A776" t="s">
        <v>860</v>
      </c>
      <c r="B776" s="6">
        <v>935.69</v>
      </c>
      <c r="C776" s="6">
        <f t="shared" si="231"/>
        <v>-6.9187457721539118</v>
      </c>
      <c r="D776" s="6">
        <f t="shared" si="238"/>
        <v>14.729955574991385</v>
      </c>
      <c r="E776" s="6">
        <f t="shared" si="239"/>
        <v>-21.648701347145298</v>
      </c>
      <c r="F776" s="6">
        <v>134.97</v>
      </c>
      <c r="G776" s="6">
        <f t="shared" si="232"/>
        <v>-30.528103767757877</v>
      </c>
      <c r="H776" s="6">
        <f t="shared" si="240"/>
        <v>56.983087141288443</v>
      </c>
      <c r="I776" s="6">
        <f t="shared" si="241"/>
        <v>-87.51119090904632</v>
      </c>
      <c r="J776" s="6">
        <v>18163.95</v>
      </c>
      <c r="K776" s="6">
        <f t="shared" si="233"/>
        <v>-23.982906569528794</v>
      </c>
      <c r="L776" s="6">
        <f t="shared" si="242"/>
        <v>12.949445477651905</v>
      </c>
      <c r="M776" s="6">
        <f t="shared" si="243"/>
        <v>-36.9323520471807</v>
      </c>
      <c r="N776" s="6">
        <v>9464.43</v>
      </c>
      <c r="O776" s="6">
        <f t="shared" si="234"/>
        <v>7.4353362650435573</v>
      </c>
      <c r="P776" s="6">
        <f t="shared" si="244"/>
        <v>12.481169420494723</v>
      </c>
      <c r="Q776" s="6">
        <f t="shared" si="245"/>
        <v>-5.0458331554511657</v>
      </c>
      <c r="R776" s="6">
        <v>1.63</v>
      </c>
      <c r="S776" s="6">
        <f t="shared" si="235"/>
        <v>19.852941176470562</v>
      </c>
      <c r="T776" s="6">
        <f t="shared" si="246"/>
        <v>2.7120410534499935</v>
      </c>
      <c r="U776" s="6">
        <f t="shared" si="247"/>
        <v>17.140900123020568</v>
      </c>
      <c r="V776" s="6">
        <v>88.01</v>
      </c>
      <c r="W776" s="6">
        <f t="shared" si="236"/>
        <v>6.7305360174630291</v>
      </c>
      <c r="X776" s="6">
        <f t="shared" si="248"/>
        <v>19.948440633132702</v>
      </c>
      <c r="Y776" s="6">
        <f t="shared" si="249"/>
        <v>-13.217904615669672</v>
      </c>
      <c r="Z776" s="6">
        <v>90.3</v>
      </c>
      <c r="AA776" s="6">
        <f t="shared" si="237"/>
        <v>-1.9543973941368087</v>
      </c>
      <c r="AB776" s="6">
        <f t="shared" si="250"/>
        <v>0.5222702093278585</v>
      </c>
      <c r="AC776" s="6">
        <f t="shared" si="251"/>
        <v>-2.4766676034646671</v>
      </c>
    </row>
    <row r="777" spans="1:29" x14ac:dyDescent="0.2">
      <c r="A777" t="s">
        <v>861</v>
      </c>
      <c r="B777" s="6">
        <v>859.15</v>
      </c>
      <c r="C777" s="6">
        <f t="shared" si="231"/>
        <v>-8.0198274200800732</v>
      </c>
      <c r="D777" s="6">
        <f t="shared" si="238"/>
        <v>14.513485188466612</v>
      </c>
      <c r="E777" s="6">
        <f t="shared" si="239"/>
        <v>-22.533312608546687</v>
      </c>
      <c r="F777" s="6">
        <v>142.01</v>
      </c>
      <c r="G777" s="6">
        <f t="shared" si="232"/>
        <v>-11.509222333001002</v>
      </c>
      <c r="H777" s="6">
        <f t="shared" si="240"/>
        <v>57.024642507023437</v>
      </c>
      <c r="I777" s="6">
        <f t="shared" si="241"/>
        <v>-68.533864840024435</v>
      </c>
      <c r="J777" s="6">
        <v>19586.98</v>
      </c>
      <c r="K777" s="6">
        <f t="shared" si="233"/>
        <v>-10.848282620381344</v>
      </c>
      <c r="L777" s="6">
        <f t="shared" si="242"/>
        <v>12.607816532445254</v>
      </c>
      <c r="M777" s="6">
        <f t="shared" si="243"/>
        <v>-23.456099152826596</v>
      </c>
      <c r="N777" s="6">
        <v>10139.33</v>
      </c>
      <c r="O777" s="6">
        <f t="shared" si="234"/>
        <v>23.387490310277983</v>
      </c>
      <c r="P777" s="6">
        <f t="shared" si="244"/>
        <v>13.082740743249424</v>
      </c>
      <c r="Q777" s="6">
        <f t="shared" si="245"/>
        <v>10.304749567028558</v>
      </c>
      <c r="R777" s="6">
        <v>1.69</v>
      </c>
      <c r="S777" s="6">
        <f t="shared" si="235"/>
        <v>25.185185185185176</v>
      </c>
      <c r="T777" s="6">
        <f t="shared" si="246"/>
        <v>3.6673106612931305</v>
      </c>
      <c r="U777" s="6">
        <f t="shared" si="247"/>
        <v>21.517874523892047</v>
      </c>
      <c r="V777" s="6">
        <v>81.45</v>
      </c>
      <c r="W777" s="6">
        <f t="shared" si="236"/>
        <v>9.8893685914732909</v>
      </c>
      <c r="X777" s="6">
        <f t="shared" si="248"/>
        <v>21.532837250245809</v>
      </c>
      <c r="Y777" s="6">
        <f t="shared" si="249"/>
        <v>-11.643468658772518</v>
      </c>
      <c r="Z777" s="6">
        <v>89.7</v>
      </c>
      <c r="AA777" s="6">
        <f t="shared" si="237"/>
        <v>-1.9672131147540961</v>
      </c>
      <c r="AB777" s="6">
        <f t="shared" si="250"/>
        <v>0.44405828386414431</v>
      </c>
      <c r="AC777" s="6">
        <f t="shared" si="251"/>
        <v>-2.4112713986182404</v>
      </c>
    </row>
    <row r="778" spans="1:29" x14ac:dyDescent="0.2">
      <c r="A778" t="s">
        <v>862</v>
      </c>
      <c r="B778" s="6">
        <v>873.67</v>
      </c>
      <c r="C778" s="6">
        <f t="shared" si="231"/>
        <v>6.9402793248221961</v>
      </c>
      <c r="D778" s="6">
        <f t="shared" si="238"/>
        <v>14.301520026499141</v>
      </c>
      <c r="E778" s="6">
        <f t="shared" si="239"/>
        <v>-7.3612407016769446</v>
      </c>
      <c r="F778" s="6">
        <v>135.1</v>
      </c>
      <c r="G778" s="6">
        <f t="shared" si="232"/>
        <v>-3.0985511404389543</v>
      </c>
      <c r="H778" s="6">
        <f t="shared" si="240"/>
        <v>57.53979698992233</v>
      </c>
      <c r="I778" s="6">
        <f t="shared" si="241"/>
        <v>-60.638348130361287</v>
      </c>
      <c r="J778" s="6">
        <v>17498.009999999998</v>
      </c>
      <c r="K778" s="6">
        <f t="shared" si="233"/>
        <v>-17.591582647617333</v>
      </c>
      <c r="L778" s="6">
        <f t="shared" si="242"/>
        <v>12.353498431092945</v>
      </c>
      <c r="M778" s="6">
        <f t="shared" si="243"/>
        <v>-29.945081078710277</v>
      </c>
      <c r="N778" s="6">
        <v>9648.17</v>
      </c>
      <c r="O778" s="6">
        <f t="shared" si="234"/>
        <v>14.906770900325373</v>
      </c>
      <c r="P778" s="6">
        <f t="shared" si="244"/>
        <v>13.839339729669874</v>
      </c>
      <c r="Q778" s="6">
        <f t="shared" si="245"/>
        <v>1.0674311706554995</v>
      </c>
      <c r="R778" s="6">
        <v>1.75</v>
      </c>
      <c r="S778" s="6">
        <f t="shared" si="235"/>
        <v>32.575757575757571</v>
      </c>
      <c r="T778" s="6">
        <f t="shared" si="246"/>
        <v>4.719779797095601</v>
      </c>
      <c r="U778" s="6">
        <f t="shared" si="247"/>
        <v>27.85597777866197</v>
      </c>
      <c r="V778" s="6">
        <v>81.209999999999994</v>
      </c>
      <c r="W778" s="6">
        <f t="shared" si="236"/>
        <v>10.851760851760828</v>
      </c>
      <c r="X778" s="6">
        <f t="shared" si="248"/>
        <v>22.875144379955568</v>
      </c>
      <c r="Y778" s="6">
        <f t="shared" si="249"/>
        <v>-12.02338352819474</v>
      </c>
      <c r="Z778" s="6">
        <v>89.1</v>
      </c>
      <c r="AA778" s="6">
        <f t="shared" si="237"/>
        <v>-1.8722466960352402</v>
      </c>
      <c r="AB778" s="6">
        <f t="shared" si="250"/>
        <v>0.36788323586532584</v>
      </c>
      <c r="AC778" s="6">
        <f t="shared" si="251"/>
        <v>-2.2401299319005661</v>
      </c>
    </row>
    <row r="779" spans="1:29" x14ac:dyDescent="0.2">
      <c r="A779" t="s">
        <v>863</v>
      </c>
      <c r="B779" s="6">
        <v>896.09</v>
      </c>
      <c r="C779" s="6">
        <f t="shared" si="231"/>
        <v>2.0022766078543031</v>
      </c>
      <c r="D779" s="6">
        <f t="shared" si="238"/>
        <v>14.0526003023241</v>
      </c>
      <c r="E779" s="6">
        <f t="shared" si="239"/>
        <v>-12.050323694469796</v>
      </c>
      <c r="F779" s="6">
        <v>137.55000000000001</v>
      </c>
      <c r="G779" s="6">
        <f t="shared" si="232"/>
        <v>-2.1901443504230844</v>
      </c>
      <c r="H779" s="6">
        <f t="shared" si="240"/>
        <v>58.058082853440737</v>
      </c>
      <c r="I779" s="6">
        <f t="shared" si="241"/>
        <v>-60.24822720386382</v>
      </c>
      <c r="J779" s="6">
        <v>16334.88</v>
      </c>
      <c r="K779" s="6">
        <f t="shared" si="233"/>
        <v>-22.551426515058836</v>
      </c>
      <c r="L779" s="6">
        <f t="shared" si="242"/>
        <v>11.850394961104222</v>
      </c>
      <c r="M779" s="6">
        <f t="shared" si="243"/>
        <v>-34.401821476163057</v>
      </c>
      <c r="N779" s="6">
        <v>9385.31</v>
      </c>
      <c r="O779" s="6">
        <f t="shared" si="234"/>
        <v>10.719173072476472</v>
      </c>
      <c r="P779" s="6">
        <f t="shared" si="244"/>
        <v>14.195100693174291</v>
      </c>
      <c r="Q779" s="6">
        <f t="shared" si="245"/>
        <v>-3.4759276206978189</v>
      </c>
      <c r="R779" s="6">
        <v>1.65</v>
      </c>
      <c r="S779" s="6">
        <f t="shared" si="235"/>
        <v>26.923076923076916</v>
      </c>
      <c r="T779" s="6">
        <f t="shared" si="246"/>
        <v>5.85677474659055</v>
      </c>
      <c r="U779" s="6">
        <f t="shared" si="247"/>
        <v>21.066302176486367</v>
      </c>
      <c r="V779" s="6">
        <v>83.26</v>
      </c>
      <c r="W779" s="6">
        <f t="shared" si="236"/>
        <v>5.4190934413775649</v>
      </c>
      <c r="X779" s="6">
        <f t="shared" si="248"/>
        <v>23.808914609659528</v>
      </c>
      <c r="Y779" s="6">
        <f t="shared" si="249"/>
        <v>-18.389821168281962</v>
      </c>
      <c r="Z779" s="6">
        <v>88.9</v>
      </c>
      <c r="AA779" s="6">
        <f t="shared" si="237"/>
        <v>-1.5503875968992165</v>
      </c>
      <c r="AB779" s="6">
        <f t="shared" si="250"/>
        <v>0.27257179005828464</v>
      </c>
      <c r="AC779" s="6">
        <f t="shared" si="251"/>
        <v>-1.8229593869575011</v>
      </c>
    </row>
    <row r="780" spans="1:29" x14ac:dyDescent="0.2">
      <c r="A780" t="s">
        <v>864</v>
      </c>
      <c r="B780" s="6">
        <v>932.63</v>
      </c>
      <c r="C780" s="6">
        <f t="shared" si="231"/>
        <v>8.342045956181309</v>
      </c>
      <c r="D780" s="6">
        <f t="shared" si="238"/>
        <v>13.518666583852186</v>
      </c>
      <c r="E780" s="6">
        <f t="shared" si="239"/>
        <v>-5.1766206276708768</v>
      </c>
      <c r="F780" s="6">
        <v>145.76</v>
      </c>
      <c r="G780" s="6">
        <f t="shared" si="232"/>
        <v>-4.4885656247952488</v>
      </c>
      <c r="H780" s="6">
        <f t="shared" si="240"/>
        <v>58.605545856129162</v>
      </c>
      <c r="I780" s="6">
        <f t="shared" si="241"/>
        <v>-63.094111480924411</v>
      </c>
      <c r="J780" s="6">
        <v>16292.12</v>
      </c>
      <c r="K780" s="6">
        <f t="shared" si="233"/>
        <v>-20.287690233944023</v>
      </c>
      <c r="L780" s="6">
        <f t="shared" si="242"/>
        <v>11.402719844096652</v>
      </c>
      <c r="M780" s="6">
        <f t="shared" si="243"/>
        <v>-31.690410078040674</v>
      </c>
      <c r="N780" s="6">
        <v>8971.9599999999991</v>
      </c>
      <c r="O780" s="6">
        <f t="shared" si="234"/>
        <v>7.4598191667874403</v>
      </c>
      <c r="P780" s="6">
        <f t="shared" si="244"/>
        <v>14.267191737696011</v>
      </c>
      <c r="Q780" s="6">
        <f t="shared" si="245"/>
        <v>-6.8073725709085711</v>
      </c>
      <c r="R780" s="6">
        <v>1.74</v>
      </c>
      <c r="S780" s="6">
        <f t="shared" si="235"/>
        <v>34.883720930232556</v>
      </c>
      <c r="T780" s="6">
        <f t="shared" si="246"/>
        <v>6.7279558704312477</v>
      </c>
      <c r="U780" s="6">
        <f t="shared" si="247"/>
        <v>28.155765059801308</v>
      </c>
      <c r="V780" s="6">
        <v>78.12</v>
      </c>
      <c r="W780" s="6">
        <f t="shared" si="236"/>
        <v>-7.790368271954673</v>
      </c>
      <c r="X780" s="6">
        <f t="shared" si="248"/>
        <v>24.579546612199611</v>
      </c>
      <c r="Y780" s="6">
        <f t="shared" si="249"/>
        <v>-32.369914884154284</v>
      </c>
      <c r="Z780" s="6">
        <v>89.2</v>
      </c>
      <c r="AA780" s="6">
        <f t="shared" si="237"/>
        <v>-1.2181616832779518</v>
      </c>
      <c r="AB780" s="6">
        <f t="shared" si="250"/>
        <v>0.17913585583018307</v>
      </c>
      <c r="AC780" s="6">
        <f t="shared" si="251"/>
        <v>-1.3972975391081348</v>
      </c>
    </row>
    <row r="781" spans="1:29" x14ac:dyDescent="0.2">
      <c r="A781" t="s">
        <v>865</v>
      </c>
      <c r="B781" s="6">
        <v>982.83</v>
      </c>
      <c r="C781" s="6">
        <f t="shared" si="231"/>
        <v>18.470347155255553</v>
      </c>
      <c r="D781" s="6">
        <f t="shared" si="238"/>
        <v>13.073345374594597</v>
      </c>
      <c r="E781" s="6">
        <f t="shared" si="239"/>
        <v>5.3970017806609558</v>
      </c>
      <c r="F781" s="6">
        <v>139.19999999999999</v>
      </c>
      <c r="G781" s="6">
        <f t="shared" si="232"/>
        <v>-14.322644180464096</v>
      </c>
      <c r="H781" s="6">
        <f t="shared" si="240"/>
        <v>59.001800154150608</v>
      </c>
      <c r="I781" s="6">
        <f t="shared" si="241"/>
        <v>-73.324444334614697</v>
      </c>
      <c r="J781" s="6">
        <v>16076.74</v>
      </c>
      <c r="K781" s="6">
        <f t="shared" si="233"/>
        <v>-18.16220607758655</v>
      </c>
      <c r="L781" s="6">
        <f t="shared" si="242"/>
        <v>11.140244097611694</v>
      </c>
      <c r="M781" s="6">
        <f t="shared" si="243"/>
        <v>-29.302450175198246</v>
      </c>
      <c r="N781" s="6">
        <v>9237.48</v>
      </c>
      <c r="O781" s="6">
        <f t="shared" si="234"/>
        <v>11.608114818569227</v>
      </c>
      <c r="P781" s="6">
        <f t="shared" si="244"/>
        <v>14.134521801092566</v>
      </c>
      <c r="Q781" s="6">
        <f t="shared" si="245"/>
        <v>-2.5264069825233388</v>
      </c>
      <c r="R781" s="6">
        <v>1.91</v>
      </c>
      <c r="S781" s="6">
        <f t="shared" si="235"/>
        <v>34.507042253521128</v>
      </c>
      <c r="T781" s="6">
        <f t="shared" si="246"/>
        <v>7.4387967485897191</v>
      </c>
      <c r="U781" s="6">
        <f t="shared" si="247"/>
        <v>27.068245504931408</v>
      </c>
      <c r="V781" s="6">
        <v>72.42</v>
      </c>
      <c r="W781" s="6">
        <f t="shared" si="236"/>
        <v>-21.470396877033181</v>
      </c>
      <c r="X781" s="6">
        <f t="shared" si="248"/>
        <v>24.931307154132288</v>
      </c>
      <c r="Y781" s="6">
        <f t="shared" si="249"/>
        <v>-46.401704031165465</v>
      </c>
      <c r="Z781" s="6">
        <v>89.4</v>
      </c>
      <c r="AA781" s="6">
        <f t="shared" si="237"/>
        <v>-0.9966777408637828</v>
      </c>
      <c r="AB781" s="6">
        <f t="shared" si="250"/>
        <v>9.2621294802524234E-2</v>
      </c>
      <c r="AC781" s="6">
        <f t="shared" si="251"/>
        <v>-1.089299035666307</v>
      </c>
    </row>
    <row r="782" spans="1:29" x14ac:dyDescent="0.2">
      <c r="A782" t="s">
        <v>866</v>
      </c>
      <c r="B782" s="6">
        <v>1077.25</v>
      </c>
      <c r="C782" s="6">
        <f t="shared" si="231"/>
        <v>33.943003506328793</v>
      </c>
      <c r="D782" s="6">
        <f t="shared" si="238"/>
        <v>12.682970512963925</v>
      </c>
      <c r="E782" s="6">
        <f t="shared" si="239"/>
        <v>21.260032993364867</v>
      </c>
      <c r="F782" s="6">
        <v>146.63</v>
      </c>
      <c r="G782" s="6">
        <f t="shared" si="232"/>
        <v>3.1733746130030882</v>
      </c>
      <c r="H782" s="6">
        <f t="shared" si="240"/>
        <v>59.061953558338878</v>
      </c>
      <c r="I782" s="6">
        <f t="shared" si="241"/>
        <v>-55.888578945335787</v>
      </c>
      <c r="J782" s="6">
        <v>16765.8</v>
      </c>
      <c r="K782" s="6">
        <f t="shared" si="233"/>
        <v>-8.2895406928308439</v>
      </c>
      <c r="L782" s="6">
        <f t="shared" si="242"/>
        <v>11.092164523191768</v>
      </c>
      <c r="M782" s="6">
        <f t="shared" si="243"/>
        <v>-19.38170521602261</v>
      </c>
      <c r="N782" s="6">
        <v>9533.99</v>
      </c>
      <c r="O782" s="6">
        <f t="shared" si="234"/>
        <v>20.118102399088844</v>
      </c>
      <c r="P782" s="6">
        <f t="shared" si="244"/>
        <v>14.034281011886955</v>
      </c>
      <c r="Q782" s="6">
        <f t="shared" si="245"/>
        <v>6.0838213872018887</v>
      </c>
      <c r="R782" s="6">
        <v>2.0099999999999998</v>
      </c>
      <c r="S782" s="6">
        <f t="shared" si="235"/>
        <v>38.620689655172399</v>
      </c>
      <c r="T782" s="6">
        <f t="shared" si="246"/>
        <v>8.1110516711599683</v>
      </c>
      <c r="U782" s="6">
        <f t="shared" si="247"/>
        <v>30.509637984012429</v>
      </c>
      <c r="V782" s="6">
        <v>73.97</v>
      </c>
      <c r="W782" s="6">
        <f t="shared" si="236"/>
        <v>-16.962281095644361</v>
      </c>
      <c r="X782" s="6">
        <f t="shared" si="248"/>
        <v>25.158557518994233</v>
      </c>
      <c r="Y782" s="6">
        <f t="shared" si="249"/>
        <v>-42.120838614638593</v>
      </c>
      <c r="Z782" s="6">
        <v>89.7</v>
      </c>
      <c r="AA782" s="6">
        <f t="shared" si="237"/>
        <v>-0.55432372505542782</v>
      </c>
      <c r="AB782" s="6">
        <f t="shared" si="250"/>
        <v>1.07209825751609E-2</v>
      </c>
      <c r="AC782" s="6">
        <f t="shared" si="251"/>
        <v>-0.56504470763058867</v>
      </c>
    </row>
    <row r="783" spans="1:29" x14ac:dyDescent="0.2">
      <c r="A783" t="s">
        <v>867</v>
      </c>
      <c r="B783" s="6">
        <v>1168.5899999999999</v>
      </c>
      <c r="C783" s="6">
        <f t="shared" si="231"/>
        <v>40.714294315267253</v>
      </c>
      <c r="D783" s="6">
        <f t="shared" si="238"/>
        <v>12.587151452180246</v>
      </c>
      <c r="E783" s="6">
        <f t="shared" si="239"/>
        <v>28.127142863087009</v>
      </c>
      <c r="F783" s="6">
        <v>142.12</v>
      </c>
      <c r="G783" s="6">
        <f t="shared" si="232"/>
        <v>12.064343163538883</v>
      </c>
      <c r="H783" s="6">
        <f t="shared" si="240"/>
        <v>59.453210038113632</v>
      </c>
      <c r="I783" s="6">
        <f t="shared" si="241"/>
        <v>-47.388866874574745</v>
      </c>
      <c r="J783" s="6">
        <v>15723.06</v>
      </c>
      <c r="K783" s="6">
        <f t="shared" si="233"/>
        <v>-7.6600248071339365</v>
      </c>
      <c r="L783" s="6">
        <f t="shared" si="242"/>
        <v>11.14029428652915</v>
      </c>
      <c r="M783" s="6">
        <f t="shared" si="243"/>
        <v>-18.800319093663084</v>
      </c>
      <c r="N783" s="6">
        <v>9075.73</v>
      </c>
      <c r="O783" s="6">
        <f t="shared" si="234"/>
        <v>10.820321896456342</v>
      </c>
      <c r="P783" s="6">
        <f t="shared" si="244"/>
        <v>14.107285975665816</v>
      </c>
      <c r="Q783" s="6">
        <f t="shared" si="245"/>
        <v>-3.2869640792094739</v>
      </c>
      <c r="R783" s="6">
        <v>1.93</v>
      </c>
      <c r="S783" s="6">
        <f t="shared" si="235"/>
        <v>30.405405405405396</v>
      </c>
      <c r="T783" s="6">
        <f t="shared" si="246"/>
        <v>8.5470596287196479</v>
      </c>
      <c r="U783" s="6">
        <f t="shared" si="247"/>
        <v>21.858345776685749</v>
      </c>
      <c r="V783" s="6">
        <v>72.290000000000006</v>
      </c>
      <c r="W783" s="6">
        <f t="shared" si="236"/>
        <v>-11.137062077443138</v>
      </c>
      <c r="X783" s="6">
        <f t="shared" si="248"/>
        <v>25.43705199023152</v>
      </c>
      <c r="Y783" s="6">
        <f t="shared" si="249"/>
        <v>-36.574114067674657</v>
      </c>
      <c r="Z783" s="6">
        <v>89.6</v>
      </c>
      <c r="AA783" s="6">
        <f t="shared" si="237"/>
        <v>-0.44444444444444731</v>
      </c>
      <c r="AB783" s="6">
        <f t="shared" si="250"/>
        <v>-8.3970719887628983E-2</v>
      </c>
      <c r="AC783" s="6">
        <f t="shared" si="251"/>
        <v>-0.36047372455681831</v>
      </c>
    </row>
    <row r="784" spans="1:29" x14ac:dyDescent="0.2">
      <c r="A784" t="s">
        <v>868</v>
      </c>
      <c r="B784" s="6">
        <v>1189.73</v>
      </c>
      <c r="C784" s="6">
        <f t="shared" si="231"/>
        <v>46.246512028125039</v>
      </c>
      <c r="D784" s="6">
        <f t="shared" si="238"/>
        <v>12.728976067697097</v>
      </c>
      <c r="E784" s="6">
        <f t="shared" si="239"/>
        <v>33.517535960427942</v>
      </c>
      <c r="F784" s="6">
        <v>129.81</v>
      </c>
      <c r="G784" s="6">
        <f t="shared" si="232"/>
        <v>-8.4684811733182883</v>
      </c>
      <c r="H784" s="6">
        <f t="shared" si="240"/>
        <v>59.785097368475583</v>
      </c>
      <c r="I784" s="6">
        <f t="shared" si="241"/>
        <v>-68.253578541793871</v>
      </c>
      <c r="J784" s="6">
        <v>15444.89</v>
      </c>
      <c r="K784" s="6">
        <f t="shared" si="233"/>
        <v>-6.171920752525395</v>
      </c>
      <c r="L784" s="6">
        <f t="shared" si="242"/>
        <v>10.893388400754363</v>
      </c>
      <c r="M784" s="6">
        <f t="shared" si="243"/>
        <v>-17.065309153279756</v>
      </c>
      <c r="N784" s="6">
        <v>8916.32</v>
      </c>
      <c r="O784" s="6">
        <f t="shared" si="234"/>
        <v>6.1474248625585259</v>
      </c>
      <c r="P784" s="6">
        <f t="shared" si="244"/>
        <v>13.902899082778289</v>
      </c>
      <c r="Q784" s="6">
        <f t="shared" si="245"/>
        <v>-7.7554742202197628</v>
      </c>
      <c r="R784" s="6">
        <v>1.99</v>
      </c>
      <c r="S784" s="6">
        <f t="shared" si="235"/>
        <v>36.301369863013711</v>
      </c>
      <c r="T784" s="6">
        <f t="shared" si="246"/>
        <v>8.9257094115960491</v>
      </c>
      <c r="U784" s="6">
        <f t="shared" si="247"/>
        <v>27.375660451417662</v>
      </c>
      <c r="V784" s="6">
        <v>72.31</v>
      </c>
      <c r="W784" s="6">
        <f t="shared" si="236"/>
        <v>-4.5034337031167437</v>
      </c>
      <c r="X784" s="6">
        <f t="shared" si="248"/>
        <v>25.829340018143508</v>
      </c>
      <c r="Y784" s="6">
        <f t="shared" si="249"/>
        <v>-30.332773721260253</v>
      </c>
      <c r="Z784" s="6">
        <v>89.6</v>
      </c>
      <c r="AA784" s="6">
        <f t="shared" si="237"/>
        <v>-0.22271714922049712</v>
      </c>
      <c r="AB784" s="6">
        <f t="shared" si="250"/>
        <v>-0.1739057574308672</v>
      </c>
      <c r="AC784" s="6">
        <f t="shared" si="251"/>
        <v>-4.8811391789629927E-2</v>
      </c>
    </row>
    <row r="785" spans="1:29" x14ac:dyDescent="0.2">
      <c r="A785" t="s">
        <v>869</v>
      </c>
      <c r="B785" s="6">
        <v>1070.31</v>
      </c>
      <c r="C785" s="6">
        <f t="shared" ref="C785:C848" si="252">IF(OR(B785="",B773=""),"",(B785/B773-1)*100)</f>
        <v>26.678896910877015</v>
      </c>
      <c r="D785" s="6">
        <f t="shared" si="238"/>
        <v>13.00328354086715</v>
      </c>
      <c r="E785" s="6">
        <f t="shared" si="239"/>
        <v>13.675613370009865</v>
      </c>
      <c r="F785" s="6">
        <v>118.6</v>
      </c>
      <c r="G785" s="6">
        <f t="shared" ref="G785:G848" si="253">IF(OR(F785="",F773=""),"",(F785/F773-1)*100)</f>
        <v>-5.0440352281825529</v>
      </c>
      <c r="H785" s="6">
        <f t="shared" si="240"/>
        <v>59.07823600425106</v>
      </c>
      <c r="I785" s="6">
        <f t="shared" si="241"/>
        <v>-64.122271232433619</v>
      </c>
      <c r="J785" s="6">
        <v>15394.14</v>
      </c>
      <c r="K785" s="6">
        <f t="shared" ref="K785:K848" si="254">IF(OR(J785="",J773=""),"",(J785/J773-1)*100)</f>
        <v>-4.4069640576185893</v>
      </c>
      <c r="L785" s="6">
        <f t="shared" si="242"/>
        <v>10.313832756137387</v>
      </c>
      <c r="M785" s="6">
        <f t="shared" si="243"/>
        <v>-14.720796813755976</v>
      </c>
      <c r="N785" s="6">
        <v>8991.41</v>
      </c>
      <c r="O785" s="6">
        <f t="shared" ref="O785:O848" si="255">IF(OR(N785="",N773=""),"",(N785/N773-1)*100)</f>
        <v>7.8251515791089465</v>
      </c>
      <c r="P785" s="6">
        <f t="shared" si="244"/>
        <v>13.44983004711816</v>
      </c>
      <c r="Q785" s="6">
        <f t="shared" si="245"/>
        <v>-5.6246784680092139</v>
      </c>
      <c r="R785" s="6">
        <v>1.93</v>
      </c>
      <c r="S785" s="6">
        <f t="shared" ref="S785:S848" si="256">IF(OR(R785="",R773=""),"",(R785/R773-1)*100)</f>
        <v>26.143790849673199</v>
      </c>
      <c r="T785" s="6">
        <f t="shared" si="246"/>
        <v>9.5250244800892006</v>
      </c>
      <c r="U785" s="6">
        <f t="shared" si="247"/>
        <v>16.618766369583998</v>
      </c>
      <c r="V785" s="6">
        <v>78.16</v>
      </c>
      <c r="W785" s="6">
        <f t="shared" ref="W785:W848" si="257">IF(OR(V785="",V773=""),"",(V785/V773-1)*100)</f>
        <v>0.63087421140723965</v>
      </c>
      <c r="X785" s="6">
        <f t="shared" si="248"/>
        <v>26.21631301041776</v>
      </c>
      <c r="Y785" s="6">
        <f t="shared" si="249"/>
        <v>-25.585438799010522</v>
      </c>
      <c r="Z785" s="6">
        <v>89.7</v>
      </c>
      <c r="AA785" s="6">
        <f t="shared" ref="AA785:AA848" si="258">IF(OR(Z785="",Z773=""),"",(Z785/Z773-1)*100)</f>
        <v>0.33557046979866278</v>
      </c>
      <c r="AB785" s="6">
        <f t="shared" si="250"/>
        <v>-0.25430327379720324</v>
      </c>
      <c r="AC785" s="6">
        <f t="shared" si="251"/>
        <v>0.58987374359586608</v>
      </c>
    </row>
    <row r="786" spans="1:29" x14ac:dyDescent="0.2">
      <c r="A786" t="s">
        <v>870</v>
      </c>
      <c r="B786" s="6">
        <v>1067.27</v>
      </c>
      <c r="C786" s="6">
        <f t="shared" si="252"/>
        <v>24.545762197612419</v>
      </c>
      <c r="D786" s="6">
        <f t="shared" si="238"/>
        <v>13.095656577060375</v>
      </c>
      <c r="E786" s="6">
        <f t="shared" si="239"/>
        <v>11.450105620552044</v>
      </c>
      <c r="F786" s="6">
        <v>106.93</v>
      </c>
      <c r="G786" s="6">
        <f t="shared" si="253"/>
        <v>-13.918853646755746</v>
      </c>
      <c r="H786" s="6">
        <f t="shared" si="240"/>
        <v>58.459645859860693</v>
      </c>
      <c r="I786" s="6">
        <f t="shared" si="241"/>
        <v>-72.378499506616436</v>
      </c>
      <c r="J786" s="6">
        <v>15288.09</v>
      </c>
      <c r="K786" s="6">
        <f t="shared" si="254"/>
        <v>-6.4288188727701367</v>
      </c>
      <c r="L786" s="6">
        <f t="shared" si="242"/>
        <v>9.5500908400676892</v>
      </c>
      <c r="M786" s="6">
        <f t="shared" si="243"/>
        <v>-15.978909712837826</v>
      </c>
      <c r="N786" s="6">
        <v>9330.6</v>
      </c>
      <c r="O786" s="6">
        <f t="shared" si="255"/>
        <v>12.349863635542647</v>
      </c>
      <c r="P786" s="6">
        <f t="shared" si="244"/>
        <v>12.942403995986618</v>
      </c>
      <c r="Q786" s="6">
        <f t="shared" si="245"/>
        <v>-0.59254036044397118</v>
      </c>
      <c r="R786" s="6">
        <v>2.0099999999999998</v>
      </c>
      <c r="S786" s="6">
        <f t="shared" si="256"/>
        <v>28.846153846153832</v>
      </c>
      <c r="T786" s="6">
        <f t="shared" si="246"/>
        <v>9.8996187622465062</v>
      </c>
      <c r="U786" s="6">
        <f t="shared" si="247"/>
        <v>18.946535083907328</v>
      </c>
      <c r="V786" s="6">
        <v>73.819999999999993</v>
      </c>
      <c r="W786" s="6">
        <f t="shared" si="257"/>
        <v>-8.3550589695841175</v>
      </c>
      <c r="X786" s="6">
        <f t="shared" si="248"/>
        <v>26.500901406778109</v>
      </c>
      <c r="Y786" s="6">
        <f t="shared" si="249"/>
        <v>-34.855960376362226</v>
      </c>
      <c r="Z786" s="6">
        <v>89.9</v>
      </c>
      <c r="AA786" s="6">
        <f t="shared" si="258"/>
        <v>0.44692737430167551</v>
      </c>
      <c r="AB786" s="6">
        <f t="shared" si="250"/>
        <v>-0.30368200813787805</v>
      </c>
      <c r="AC786" s="6">
        <f t="shared" si="251"/>
        <v>0.75060938243955355</v>
      </c>
    </row>
    <row r="787" spans="1:29" x14ac:dyDescent="0.2">
      <c r="A787" t="s">
        <v>871</v>
      </c>
      <c r="B787" s="6">
        <v>1067.5999999999999</v>
      </c>
      <c r="C787" s="6">
        <f t="shared" si="252"/>
        <v>13.222754846646589</v>
      </c>
      <c r="D787" s="6">
        <f t="shared" si="238"/>
        <v>12.775048237988296</v>
      </c>
      <c r="E787" s="6">
        <f t="shared" si="239"/>
        <v>0.4477066086582937</v>
      </c>
      <c r="F787" s="6">
        <v>103.97</v>
      </c>
      <c r="G787" s="6">
        <f t="shared" si="253"/>
        <v>-20.929348239409851</v>
      </c>
      <c r="H787" s="6">
        <f t="shared" si="240"/>
        <v>57.581383718171054</v>
      </c>
      <c r="I787" s="6">
        <f t="shared" si="241"/>
        <v>-78.510731957580902</v>
      </c>
      <c r="J787" s="6">
        <v>16065.69</v>
      </c>
      <c r="K787" s="6">
        <f t="shared" si="254"/>
        <v>-7.8740374210884649</v>
      </c>
      <c r="L787" s="6">
        <f t="shared" si="242"/>
        <v>8.4545998732697338</v>
      </c>
      <c r="M787" s="6">
        <f t="shared" si="243"/>
        <v>-16.328637294358199</v>
      </c>
      <c r="N787" s="6">
        <v>9739.68</v>
      </c>
      <c r="O787" s="6">
        <f t="shared" si="255"/>
        <v>12.090393399569365</v>
      </c>
      <c r="P787" s="6">
        <f t="shared" si="244"/>
        <v>12.180254115736146</v>
      </c>
      <c r="Q787" s="6">
        <f t="shared" si="245"/>
        <v>-8.9860716166780819E-2</v>
      </c>
      <c r="R787" s="6">
        <v>1.98</v>
      </c>
      <c r="S787" s="6">
        <f t="shared" si="256"/>
        <v>19.999999999999996</v>
      </c>
      <c r="T787" s="6">
        <f t="shared" si="246"/>
        <v>9.9719733355339155</v>
      </c>
      <c r="U787" s="6">
        <f t="shared" si="247"/>
        <v>10.028026664466081</v>
      </c>
      <c r="V787" s="6">
        <v>70.7</v>
      </c>
      <c r="W787" s="6">
        <f t="shared" si="257"/>
        <v>-15.380011968880902</v>
      </c>
      <c r="X787" s="6">
        <f t="shared" si="248"/>
        <v>26.049190068123266</v>
      </c>
      <c r="Y787" s="6">
        <f t="shared" si="249"/>
        <v>-41.429202037004167</v>
      </c>
      <c r="Z787" s="6">
        <v>89.6</v>
      </c>
      <c r="AA787" s="6">
        <f t="shared" si="258"/>
        <v>-0.66518847006652448</v>
      </c>
      <c r="AB787" s="6">
        <f t="shared" si="250"/>
        <v>-0.32453063513020103</v>
      </c>
      <c r="AC787" s="6">
        <f t="shared" si="251"/>
        <v>-0.34065783493632346</v>
      </c>
    </row>
    <row r="788" spans="1:29" x14ac:dyDescent="0.2">
      <c r="A788" t="s">
        <v>872</v>
      </c>
      <c r="B788" s="6">
        <v>994.37</v>
      </c>
      <c r="C788" s="6">
        <f t="shared" si="252"/>
        <v>6.2713078049353888</v>
      </c>
      <c r="D788" s="6">
        <f t="shared" si="238"/>
        <v>11.75965785721484</v>
      </c>
      <c r="E788" s="6">
        <f t="shared" si="239"/>
        <v>-5.4883500522794515</v>
      </c>
      <c r="F788" s="6">
        <v>98.61</v>
      </c>
      <c r="G788" s="6">
        <f t="shared" si="253"/>
        <v>-26.939319848855302</v>
      </c>
      <c r="H788" s="6">
        <f t="shared" si="240"/>
        <v>56.26569825296459</v>
      </c>
      <c r="I788" s="6">
        <f t="shared" si="241"/>
        <v>-83.205018101819888</v>
      </c>
      <c r="J788" s="6">
        <v>15113.29</v>
      </c>
      <c r="K788" s="6">
        <f t="shared" si="254"/>
        <v>-16.795135419333352</v>
      </c>
      <c r="L788" s="6">
        <f t="shared" si="242"/>
        <v>7.4885389085879668</v>
      </c>
      <c r="M788" s="6">
        <f t="shared" si="243"/>
        <v>-24.283674327921318</v>
      </c>
      <c r="N788" s="6">
        <v>9176.7999999999993</v>
      </c>
      <c r="O788" s="6">
        <f t="shared" si="255"/>
        <v>-3.03906310258516</v>
      </c>
      <c r="P788" s="6">
        <f t="shared" si="244"/>
        <v>10.902339699151362</v>
      </c>
      <c r="Q788" s="6">
        <f t="shared" si="245"/>
        <v>-13.941402801736523</v>
      </c>
      <c r="R788" s="6">
        <v>1.71</v>
      </c>
      <c r="S788" s="6">
        <f t="shared" si="256"/>
        <v>4.9079754601226933</v>
      </c>
      <c r="T788" s="6">
        <f t="shared" si="246"/>
        <v>9.4761055669388732</v>
      </c>
      <c r="U788" s="6">
        <f t="shared" si="247"/>
        <v>-4.5681301068161799</v>
      </c>
      <c r="V788" s="6">
        <v>65.91</v>
      </c>
      <c r="W788" s="6">
        <f t="shared" si="257"/>
        <v>-25.11078286558347</v>
      </c>
      <c r="X788" s="6">
        <f t="shared" si="248"/>
        <v>23.682318700759158</v>
      </c>
      <c r="Y788" s="6">
        <f t="shared" si="249"/>
        <v>-48.793101566342628</v>
      </c>
      <c r="Z788" s="6">
        <v>89.7</v>
      </c>
      <c r="AA788" s="6">
        <f t="shared" si="258"/>
        <v>-0.66445182724251817</v>
      </c>
      <c r="AB788" s="6">
        <f t="shared" si="250"/>
        <v>-0.37086831251790869</v>
      </c>
      <c r="AC788" s="6">
        <f t="shared" si="251"/>
        <v>-0.29358351472460947</v>
      </c>
    </row>
    <row r="789" spans="1:29" x14ac:dyDescent="0.2">
      <c r="A789" t="s">
        <v>873</v>
      </c>
      <c r="B789" s="6">
        <v>907.58</v>
      </c>
      <c r="C789" s="6">
        <f t="shared" si="252"/>
        <v>5.6369667694814662</v>
      </c>
      <c r="D789" s="6">
        <f t="shared" si="238"/>
        <v>10.285006102362662</v>
      </c>
      <c r="E789" s="6">
        <f t="shared" si="239"/>
        <v>-4.6480393328811953</v>
      </c>
      <c r="F789" s="6">
        <v>104.41</v>
      </c>
      <c r="G789" s="6">
        <f t="shared" si="253"/>
        <v>-26.477008661361879</v>
      </c>
      <c r="H789" s="6">
        <f t="shared" si="240"/>
        <v>54.506412323150158</v>
      </c>
      <c r="I789" s="6">
        <f t="shared" si="241"/>
        <v>-80.983420984512037</v>
      </c>
      <c r="J789" s="6">
        <v>15345.79</v>
      </c>
      <c r="K789" s="6">
        <f t="shared" si="254"/>
        <v>-21.653108340336281</v>
      </c>
      <c r="L789" s="6">
        <f t="shared" si="242"/>
        <v>6.3060771391674377</v>
      </c>
      <c r="M789" s="6">
        <f t="shared" si="243"/>
        <v>-27.95918547950372</v>
      </c>
      <c r="N789" s="6">
        <v>9532.98</v>
      </c>
      <c r="O789" s="6">
        <f t="shared" si="255"/>
        <v>-5.9801781774535439</v>
      </c>
      <c r="P789" s="6">
        <f t="shared" si="244"/>
        <v>9.0815479173982467</v>
      </c>
      <c r="Q789" s="6">
        <f t="shared" si="245"/>
        <v>-15.061726094851791</v>
      </c>
      <c r="R789" s="6">
        <v>1.7</v>
      </c>
      <c r="S789" s="6">
        <f t="shared" si="256"/>
        <v>0.59171597633136397</v>
      </c>
      <c r="T789" s="6">
        <f t="shared" si="246"/>
        <v>8.5836103109466872</v>
      </c>
      <c r="U789" s="6">
        <f t="shared" si="247"/>
        <v>-7.9918943346153233</v>
      </c>
      <c r="V789" s="6">
        <v>62.75</v>
      </c>
      <c r="W789" s="6">
        <f t="shared" si="257"/>
        <v>-22.958870472682634</v>
      </c>
      <c r="X789" s="6">
        <f t="shared" si="248"/>
        <v>19.009343740869397</v>
      </c>
      <c r="Y789" s="6">
        <f t="shared" si="249"/>
        <v>-41.968214213552031</v>
      </c>
      <c r="Z789" s="6">
        <v>89.6</v>
      </c>
      <c r="AA789" s="6">
        <f t="shared" si="258"/>
        <v>-0.11148272017837968</v>
      </c>
      <c r="AB789" s="6">
        <f t="shared" si="250"/>
        <v>-0.39852321361492687</v>
      </c>
      <c r="AC789" s="6">
        <f t="shared" si="251"/>
        <v>0.28704049343654719</v>
      </c>
    </row>
    <row r="790" spans="1:29" x14ac:dyDescent="0.2">
      <c r="A790" t="s">
        <v>874</v>
      </c>
      <c r="B790" s="6">
        <v>935.39</v>
      </c>
      <c r="C790" s="6">
        <f t="shared" si="252"/>
        <v>7.064452253139053</v>
      </c>
      <c r="D790" s="6">
        <f t="shared" si="238"/>
        <v>8.3793085730730024</v>
      </c>
      <c r="E790" s="6">
        <f t="shared" si="239"/>
        <v>-1.3148563199339494</v>
      </c>
      <c r="F790" s="6">
        <v>109.03</v>
      </c>
      <c r="G790" s="6">
        <f t="shared" si="253"/>
        <v>-19.296817172464841</v>
      </c>
      <c r="H790" s="6">
        <f t="shared" si="240"/>
        <v>51.789713037319963</v>
      </c>
      <c r="I790" s="6">
        <f t="shared" si="241"/>
        <v>-71.086530209784797</v>
      </c>
      <c r="J790" s="6">
        <v>15003.11</v>
      </c>
      <c r="K790" s="6">
        <f t="shared" si="254"/>
        <v>-14.258192788779967</v>
      </c>
      <c r="L790" s="6">
        <f t="shared" si="242"/>
        <v>4.9317319992282247</v>
      </c>
      <c r="M790" s="6">
        <f t="shared" si="243"/>
        <v>-19.189924788008192</v>
      </c>
      <c r="N790" s="6">
        <v>9835.07</v>
      </c>
      <c r="O790" s="6">
        <f t="shared" si="255"/>
        <v>1.9371549216068873</v>
      </c>
      <c r="P790" s="6">
        <f t="shared" si="244"/>
        <v>6.9999396836881891</v>
      </c>
      <c r="Q790" s="6">
        <f t="shared" si="245"/>
        <v>-5.0627847620813018</v>
      </c>
      <c r="R790" s="6">
        <v>1.61</v>
      </c>
      <c r="S790" s="6">
        <f t="shared" si="256"/>
        <v>-7.9999999999999964</v>
      </c>
      <c r="T790" s="6">
        <f t="shared" si="246"/>
        <v>7.5356698699774007</v>
      </c>
      <c r="U790" s="6">
        <f t="shared" si="247"/>
        <v>-15.535669869977397</v>
      </c>
      <c r="V790" s="6">
        <v>69.150000000000006</v>
      </c>
      <c r="W790" s="6">
        <f t="shared" si="257"/>
        <v>-14.850387883265592</v>
      </c>
      <c r="X790" s="6">
        <f t="shared" si="248"/>
        <v>16.060932995751919</v>
      </c>
      <c r="Y790" s="6">
        <f t="shared" si="249"/>
        <v>-30.911320879017509</v>
      </c>
      <c r="Z790" s="6">
        <v>89.5</v>
      </c>
      <c r="AA790" s="6">
        <f t="shared" si="258"/>
        <v>0.44893378226711356</v>
      </c>
      <c r="AB790" s="6">
        <f t="shared" si="250"/>
        <v>-0.41930276548649098</v>
      </c>
      <c r="AC790" s="6">
        <f t="shared" si="251"/>
        <v>0.86823654775360448</v>
      </c>
    </row>
    <row r="791" spans="1:29" x14ac:dyDescent="0.2">
      <c r="A791" t="s">
        <v>875</v>
      </c>
      <c r="B791" s="6">
        <v>976.38</v>
      </c>
      <c r="C791" s="6">
        <f t="shared" si="252"/>
        <v>8.9600374962336424</v>
      </c>
      <c r="D791" s="6">
        <f t="shared" si="238"/>
        <v>7.4223487774066301</v>
      </c>
      <c r="E791" s="6">
        <f t="shared" si="239"/>
        <v>1.5376887188270123</v>
      </c>
      <c r="F791" s="6">
        <v>112.9</v>
      </c>
      <c r="G791" s="6">
        <f t="shared" si="253"/>
        <v>-17.920756088695022</v>
      </c>
      <c r="H791" s="6">
        <f t="shared" si="240"/>
        <v>48.284842153479708</v>
      </c>
      <c r="I791" s="6">
        <f t="shared" si="241"/>
        <v>-66.20559824217473</v>
      </c>
      <c r="J791" s="6">
        <v>15034.02</v>
      </c>
      <c r="K791" s="6">
        <f t="shared" si="254"/>
        <v>-7.9636948664452927</v>
      </c>
      <c r="L791" s="6">
        <f t="shared" si="242"/>
        <v>3.7749068944461222</v>
      </c>
      <c r="M791" s="6">
        <f t="shared" si="243"/>
        <v>-11.738601760891415</v>
      </c>
      <c r="N791" s="6">
        <v>9770.58</v>
      </c>
      <c r="O791" s="6">
        <f t="shared" si="255"/>
        <v>4.1050322258934457</v>
      </c>
      <c r="P791" s="6">
        <f t="shared" si="244"/>
        <v>5.6367460057026015</v>
      </c>
      <c r="Q791" s="6">
        <f t="shared" si="245"/>
        <v>-1.5317137798091558</v>
      </c>
      <c r="R791" s="6">
        <v>1.68</v>
      </c>
      <c r="S791" s="6">
        <f t="shared" si="256"/>
        <v>1.8181818181818299</v>
      </c>
      <c r="T791" s="6">
        <f t="shared" si="246"/>
        <v>6.5321086164161466</v>
      </c>
      <c r="U791" s="6">
        <f t="shared" si="247"/>
        <v>-4.7139267982343167</v>
      </c>
      <c r="V791" s="6">
        <v>69.19</v>
      </c>
      <c r="W791" s="6">
        <f t="shared" si="257"/>
        <v>-16.898871006485717</v>
      </c>
      <c r="X791" s="6">
        <f t="shared" si="248"/>
        <v>14.044124674100431</v>
      </c>
      <c r="Y791" s="6">
        <f t="shared" si="249"/>
        <v>-30.942995680586147</v>
      </c>
      <c r="Z791" s="6">
        <v>89.4</v>
      </c>
      <c r="AA791" s="6">
        <f t="shared" si="258"/>
        <v>0.56242969628796935</v>
      </c>
      <c r="AB791" s="6">
        <f t="shared" si="250"/>
        <v>-0.42822483215709584</v>
      </c>
      <c r="AC791" s="6">
        <f t="shared" si="251"/>
        <v>0.99065452844506519</v>
      </c>
    </row>
    <row r="792" spans="1:29" x14ac:dyDescent="0.2">
      <c r="A792" t="s">
        <v>876</v>
      </c>
      <c r="B792" s="6">
        <v>1026.1199999999999</v>
      </c>
      <c r="C792" s="6">
        <f t="shared" si="252"/>
        <v>10.024339770326907</v>
      </c>
      <c r="D792" s="6">
        <f t="shared" si="238"/>
        <v>6.5020728212265491</v>
      </c>
      <c r="E792" s="6">
        <f t="shared" si="239"/>
        <v>3.5222669491003584</v>
      </c>
      <c r="F792" s="6">
        <v>112.15</v>
      </c>
      <c r="G792" s="6">
        <f t="shared" si="253"/>
        <v>-23.058452250274421</v>
      </c>
      <c r="H792" s="6">
        <f t="shared" si="240"/>
        <v>43.854326660230299</v>
      </c>
      <c r="I792" s="6">
        <f t="shared" si="241"/>
        <v>-66.912778910504727</v>
      </c>
      <c r="J792" s="6">
        <v>14949.25</v>
      </c>
      <c r="K792" s="6">
        <f t="shared" si="254"/>
        <v>-8.2424509517484594</v>
      </c>
      <c r="L792" s="6">
        <f t="shared" si="242"/>
        <v>2.7670686444993478</v>
      </c>
      <c r="M792" s="6">
        <f t="shared" si="243"/>
        <v>-11.009519596247808</v>
      </c>
      <c r="N792" s="6">
        <v>9669.56</v>
      </c>
      <c r="O792" s="6">
        <f t="shared" si="255"/>
        <v>7.7753356011395658</v>
      </c>
      <c r="P792" s="6">
        <f t="shared" si="244"/>
        <v>4.7158665286842343</v>
      </c>
      <c r="Q792" s="6">
        <f t="shared" si="245"/>
        <v>3.0594690724553315</v>
      </c>
      <c r="R792" s="6">
        <v>1.71</v>
      </c>
      <c r="S792" s="6">
        <f t="shared" si="256"/>
        <v>-1.7241379310344862</v>
      </c>
      <c r="T792" s="6">
        <f t="shared" si="246"/>
        <v>5.823459626517157</v>
      </c>
      <c r="U792" s="6">
        <f t="shared" si="247"/>
        <v>-7.5475975575516436</v>
      </c>
      <c r="V792" s="6">
        <v>66.72</v>
      </c>
      <c r="W792" s="6">
        <f t="shared" si="257"/>
        <v>-14.592933947772668</v>
      </c>
      <c r="X792" s="6">
        <f t="shared" si="248"/>
        <v>12.146525680734783</v>
      </c>
      <c r="Y792" s="6">
        <f t="shared" si="249"/>
        <v>-26.739459628507451</v>
      </c>
      <c r="Z792" s="6">
        <v>89.4</v>
      </c>
      <c r="AA792" s="6">
        <f t="shared" si="258"/>
        <v>0.22421524663678305</v>
      </c>
      <c r="AB792" s="6">
        <f t="shared" si="250"/>
        <v>-0.43478240061893275</v>
      </c>
      <c r="AC792" s="6">
        <f t="shared" si="251"/>
        <v>0.65899764725571575</v>
      </c>
    </row>
    <row r="793" spans="1:29" x14ac:dyDescent="0.2">
      <c r="A793" t="s">
        <v>877</v>
      </c>
      <c r="B793" s="6">
        <v>1036.74</v>
      </c>
      <c r="C793" s="6">
        <f t="shared" si="252"/>
        <v>5.4851805500442552</v>
      </c>
      <c r="D793" s="6">
        <f t="shared" si="238"/>
        <v>5.6654925658279005</v>
      </c>
      <c r="E793" s="6">
        <f t="shared" si="239"/>
        <v>-0.18031201578364531</v>
      </c>
      <c r="F793" s="6">
        <v>106.32</v>
      </c>
      <c r="G793" s="6">
        <f t="shared" si="253"/>
        <v>-23.620689655172413</v>
      </c>
      <c r="H793" s="6">
        <f t="shared" si="240"/>
        <v>38.41117133022567</v>
      </c>
      <c r="I793" s="6">
        <f t="shared" si="241"/>
        <v>-62.031860985398083</v>
      </c>
      <c r="J793" s="6">
        <v>15105.64</v>
      </c>
      <c r="K793" s="6">
        <f t="shared" si="254"/>
        <v>-6.0404037136882245</v>
      </c>
      <c r="L793" s="6">
        <f t="shared" si="242"/>
        <v>1.9356388448917443</v>
      </c>
      <c r="M793" s="6">
        <f t="shared" si="243"/>
        <v>-7.9760425585799686</v>
      </c>
      <c r="N793" s="6">
        <v>9983.7900000000009</v>
      </c>
      <c r="O793" s="6">
        <f t="shared" si="255"/>
        <v>8.079151456890866</v>
      </c>
      <c r="P793" s="6">
        <f t="shared" si="244"/>
        <v>3.9574461797237048</v>
      </c>
      <c r="Q793" s="6">
        <f t="shared" si="245"/>
        <v>4.1217052771671607</v>
      </c>
      <c r="R793" s="6">
        <v>1.74</v>
      </c>
      <c r="S793" s="6">
        <f t="shared" si="256"/>
        <v>-8.9005235602094164</v>
      </c>
      <c r="T793" s="6">
        <f t="shared" si="246"/>
        <v>5.1720097832569687</v>
      </c>
      <c r="U793" s="6">
        <f t="shared" si="247"/>
        <v>-14.072533343466386</v>
      </c>
      <c r="V793" s="6">
        <v>66.459999999999994</v>
      </c>
      <c r="W793" s="6">
        <f t="shared" si="257"/>
        <v>-8.2297707815520695</v>
      </c>
      <c r="X793" s="6">
        <f t="shared" si="248"/>
        <v>10.622912147369203</v>
      </c>
      <c r="Y793" s="6">
        <f t="shared" si="249"/>
        <v>-18.852682928921272</v>
      </c>
      <c r="Z793" s="6">
        <v>89.9</v>
      </c>
      <c r="AA793" s="6">
        <f t="shared" si="258"/>
        <v>0.55928411633110464</v>
      </c>
      <c r="AB793" s="6">
        <f t="shared" si="250"/>
        <v>-0.45752353034908727</v>
      </c>
      <c r="AC793" s="6">
        <f t="shared" si="251"/>
        <v>1.0168076466801919</v>
      </c>
    </row>
    <row r="794" spans="1:29" x14ac:dyDescent="0.2">
      <c r="A794" t="s">
        <v>878</v>
      </c>
      <c r="B794" s="6">
        <v>1038.0899999999999</v>
      </c>
      <c r="C794" s="6">
        <f t="shared" si="252"/>
        <v>-3.6351821768391801</v>
      </c>
      <c r="D794" s="6">
        <f t="shared" si="238"/>
        <v>4.7719845544731063</v>
      </c>
      <c r="E794" s="6">
        <f t="shared" si="239"/>
        <v>-8.4071667313122873</v>
      </c>
      <c r="F794" s="6">
        <v>107.5</v>
      </c>
      <c r="G794" s="6">
        <f t="shared" si="253"/>
        <v>-26.686217008797652</v>
      </c>
      <c r="H794" s="6">
        <f t="shared" si="240"/>
        <v>32.917165814668444</v>
      </c>
      <c r="I794" s="6">
        <f t="shared" si="241"/>
        <v>-59.603382823466092</v>
      </c>
      <c r="J794" s="6">
        <v>15092.12</v>
      </c>
      <c r="K794" s="6">
        <f t="shared" si="254"/>
        <v>-9.9827028832504165</v>
      </c>
      <c r="L794" s="6">
        <f t="shared" si="242"/>
        <v>1.1760833421171499</v>
      </c>
      <c r="M794" s="6">
        <f t="shared" si="243"/>
        <v>-11.158786225367567</v>
      </c>
      <c r="N794" s="6">
        <v>10739.91</v>
      </c>
      <c r="O794" s="6">
        <f t="shared" si="255"/>
        <v>12.648639237087522</v>
      </c>
      <c r="P794" s="6">
        <f t="shared" si="244"/>
        <v>3.3117396274364084</v>
      </c>
      <c r="Q794" s="6">
        <f t="shared" si="245"/>
        <v>9.3368996096511143</v>
      </c>
      <c r="R794" s="6">
        <v>1.71</v>
      </c>
      <c r="S794" s="6">
        <f t="shared" si="256"/>
        <v>-14.925373134328346</v>
      </c>
      <c r="T794" s="6">
        <f t="shared" si="246"/>
        <v>4.5912050801321698</v>
      </c>
      <c r="U794" s="6">
        <f t="shared" si="247"/>
        <v>-19.516578214460516</v>
      </c>
      <c r="V794" s="6">
        <v>63.04</v>
      </c>
      <c r="W794" s="6">
        <f t="shared" si="257"/>
        <v>-14.776260646207916</v>
      </c>
      <c r="X794" s="6">
        <f t="shared" si="248"/>
        <v>8.7991597388454839</v>
      </c>
      <c r="Y794" s="6">
        <f t="shared" si="249"/>
        <v>-23.575420385053398</v>
      </c>
      <c r="Z794" s="6"/>
      <c r="AA794" s="6" t="str">
        <f t="shared" si="258"/>
        <v/>
      </c>
      <c r="AB794" s="6">
        <f t="shared" si="250"/>
        <v>-0.48699019897815399</v>
      </c>
      <c r="AC794" s="6" t="str">
        <f t="shared" si="251"/>
        <v/>
      </c>
    </row>
    <row r="795" spans="1:29" x14ac:dyDescent="0.2">
      <c r="A795" t="s">
        <v>879</v>
      </c>
      <c r="B795" s="6">
        <v>983.4</v>
      </c>
      <c r="C795" s="6">
        <f t="shared" si="252"/>
        <v>-15.847303160218718</v>
      </c>
      <c r="D795" s="6">
        <f t="shared" si="238"/>
        <v>3.447731568531887</v>
      </c>
      <c r="E795" s="6">
        <f t="shared" si="239"/>
        <v>-19.295034728750604</v>
      </c>
      <c r="F795" s="6">
        <v>112.6</v>
      </c>
      <c r="G795" s="6">
        <f t="shared" si="253"/>
        <v>-20.771179285111184</v>
      </c>
      <c r="H795" s="6">
        <f t="shared" si="240"/>
        <v>26.435475220592441</v>
      </c>
      <c r="I795" s="6">
        <f t="shared" si="241"/>
        <v>-47.206654505703625</v>
      </c>
      <c r="J795" s="6">
        <v>14670.77</v>
      </c>
      <c r="K795" s="6">
        <f t="shared" si="254"/>
        <v>-6.6926539744807894</v>
      </c>
      <c r="L795" s="6">
        <f t="shared" si="242"/>
        <v>0.40446164041443744</v>
      </c>
      <c r="M795" s="6">
        <f t="shared" si="243"/>
        <v>-7.0971156148952268</v>
      </c>
      <c r="N795" s="6">
        <v>10812.03</v>
      </c>
      <c r="O795" s="6">
        <f t="shared" si="255"/>
        <v>19.131243437167058</v>
      </c>
      <c r="P795" s="6">
        <f t="shared" si="244"/>
        <v>2.6085235468141259</v>
      </c>
      <c r="Q795" s="6">
        <f t="shared" si="245"/>
        <v>16.522719890352931</v>
      </c>
      <c r="R795" s="6">
        <v>1.71</v>
      </c>
      <c r="S795" s="6">
        <f t="shared" si="256"/>
        <v>-11.398963730569944</v>
      </c>
      <c r="T795" s="6">
        <f t="shared" si="246"/>
        <v>4.0079286518162336</v>
      </c>
      <c r="U795" s="6">
        <f t="shared" si="247"/>
        <v>-15.406892382386179</v>
      </c>
      <c r="V795" s="6">
        <v>62.34</v>
      </c>
      <c r="W795" s="6">
        <f t="shared" si="257"/>
        <v>-13.764006086595659</v>
      </c>
      <c r="X795" s="6">
        <f t="shared" si="248"/>
        <v>6.2899843003619358</v>
      </c>
      <c r="Y795" s="6">
        <f t="shared" si="249"/>
        <v>-20.053990386957594</v>
      </c>
      <c r="Z795" s="6">
        <v>90</v>
      </c>
      <c r="AA795" s="6">
        <f t="shared" si="258"/>
        <v>0.44642857142858094</v>
      </c>
      <c r="AB795" s="6" t="str">
        <f t="shared" si="250"/>
        <v/>
      </c>
      <c r="AC795" s="6" t="str">
        <f t="shared" si="251"/>
        <v/>
      </c>
    </row>
    <row r="796" spans="1:29" x14ac:dyDescent="0.2">
      <c r="A796" t="s">
        <v>880</v>
      </c>
      <c r="B796" s="6">
        <v>980.12</v>
      </c>
      <c r="C796" s="6">
        <f t="shared" si="252"/>
        <v>-17.618283139872069</v>
      </c>
      <c r="D796" s="6">
        <f t="shared" si="238"/>
        <v>2.1577765552965689</v>
      </c>
      <c r="E796" s="6">
        <f t="shared" si="239"/>
        <v>-19.776059695168637</v>
      </c>
      <c r="F796" s="6">
        <v>107.67</v>
      </c>
      <c r="G796" s="6">
        <f t="shared" si="253"/>
        <v>-17.055696787612661</v>
      </c>
      <c r="H796" s="6">
        <f t="shared" si="240"/>
        <v>22.991613954430065</v>
      </c>
      <c r="I796" s="6">
        <f t="shared" si="241"/>
        <v>-40.047310742042725</v>
      </c>
      <c r="J796" s="6">
        <v>14883.99</v>
      </c>
      <c r="K796" s="6">
        <f t="shared" si="254"/>
        <v>-3.6316218503336661</v>
      </c>
      <c r="L796" s="6">
        <f t="shared" si="242"/>
        <v>-0.27862803972414385</v>
      </c>
      <c r="M796" s="6">
        <f t="shared" si="243"/>
        <v>-3.3529938106095223</v>
      </c>
      <c r="N796" s="6">
        <v>11785.25</v>
      </c>
      <c r="O796" s="6">
        <f t="shared" si="255"/>
        <v>32.176166849103673</v>
      </c>
      <c r="P796" s="6">
        <f t="shared" si="244"/>
        <v>2.2231448192988057</v>
      </c>
      <c r="Q796" s="6">
        <f t="shared" si="245"/>
        <v>29.953022029804867</v>
      </c>
      <c r="R796" s="6">
        <v>1.74</v>
      </c>
      <c r="S796" s="6">
        <f t="shared" si="256"/>
        <v>-12.562814070351758</v>
      </c>
      <c r="T796" s="6">
        <f t="shared" si="246"/>
        <v>3.5300656253780769</v>
      </c>
      <c r="U796" s="6">
        <f t="shared" si="247"/>
        <v>-16.092879695729835</v>
      </c>
      <c r="V796" s="6">
        <v>60.88</v>
      </c>
      <c r="W796" s="6">
        <f t="shared" si="257"/>
        <v>-15.806942331627717</v>
      </c>
      <c r="X796" s="6">
        <f t="shared" si="248"/>
        <v>4.1503972941252387</v>
      </c>
      <c r="Y796" s="6">
        <f t="shared" si="249"/>
        <v>-19.957339625752955</v>
      </c>
      <c r="Z796" s="6">
        <v>90.1</v>
      </c>
      <c r="AA796" s="6">
        <f t="shared" si="258"/>
        <v>0.55803571428572063</v>
      </c>
      <c r="AB796" s="6" t="str">
        <f t="shared" si="250"/>
        <v/>
      </c>
      <c r="AC796" s="6" t="str">
        <f t="shared" si="251"/>
        <v/>
      </c>
    </row>
    <row r="797" spans="1:29" x14ac:dyDescent="0.2">
      <c r="A797" t="s">
        <v>881</v>
      </c>
      <c r="B797" s="6">
        <v>1004.66</v>
      </c>
      <c r="C797" s="6">
        <f t="shared" si="252"/>
        <v>-6.1337369547140526</v>
      </c>
      <c r="D797" s="6">
        <f t="shared" si="238"/>
        <v>1.2702492433335741</v>
      </c>
      <c r="E797" s="6">
        <f t="shared" si="239"/>
        <v>-7.4039861980476269</v>
      </c>
      <c r="F797" s="6">
        <v>109.78</v>
      </c>
      <c r="G797" s="6">
        <f t="shared" si="253"/>
        <v>-7.4367622259696393</v>
      </c>
      <c r="H797" s="6">
        <f t="shared" si="240"/>
        <v>20.462875721192205</v>
      </c>
      <c r="I797" s="6">
        <f t="shared" si="241"/>
        <v>-27.899637947161843</v>
      </c>
      <c r="J797" s="6">
        <v>17768.5</v>
      </c>
      <c r="K797" s="6">
        <f t="shared" si="254"/>
        <v>15.423791130910857</v>
      </c>
      <c r="L797" s="6">
        <f t="shared" si="242"/>
        <v>-0.74964120536512802</v>
      </c>
      <c r="M797" s="6">
        <f t="shared" si="243"/>
        <v>16.173432336275987</v>
      </c>
      <c r="N797" s="6">
        <v>13012</v>
      </c>
      <c r="O797" s="6">
        <f t="shared" si="255"/>
        <v>44.715901065572595</v>
      </c>
      <c r="P797" s="6">
        <f t="shared" si="244"/>
        <v>2.4166403319375842</v>
      </c>
      <c r="Q797" s="6">
        <f t="shared" si="245"/>
        <v>42.299260733635009</v>
      </c>
      <c r="R797" s="6">
        <v>1.84</v>
      </c>
      <c r="S797" s="6">
        <f t="shared" si="256"/>
        <v>-4.663212435233155</v>
      </c>
      <c r="T797" s="6">
        <f t="shared" si="246"/>
        <v>3.0692957462584869</v>
      </c>
      <c r="U797" s="6">
        <f t="shared" si="247"/>
        <v>-7.7325081814916423</v>
      </c>
      <c r="V797" s="6">
        <v>63.65</v>
      </c>
      <c r="W797" s="6">
        <f t="shared" si="257"/>
        <v>-18.56448311156602</v>
      </c>
      <c r="X797" s="6">
        <f t="shared" si="248"/>
        <v>2.7890386598905881</v>
      </c>
      <c r="Y797" s="6">
        <f t="shared" si="249"/>
        <v>-21.353521771456606</v>
      </c>
      <c r="Z797" s="6">
        <v>88.7</v>
      </c>
      <c r="AA797" s="6">
        <f t="shared" si="258"/>
        <v>-1.1148272017837191</v>
      </c>
      <c r="AB797" s="6" t="str">
        <f t="shared" si="250"/>
        <v/>
      </c>
      <c r="AC797" s="6" t="str">
        <f t="shared" si="251"/>
        <v/>
      </c>
    </row>
    <row r="798" spans="1:29" x14ac:dyDescent="0.2">
      <c r="A798" t="s">
        <v>882</v>
      </c>
      <c r="B798" s="6">
        <v>1039.47</v>
      </c>
      <c r="C798" s="6">
        <f t="shared" si="252"/>
        <v>-2.6047766731942201</v>
      </c>
      <c r="D798" s="6">
        <f t="shared" si="238"/>
        <v>0.39662269674054312</v>
      </c>
      <c r="E798" s="6">
        <f t="shared" si="239"/>
        <v>-3.0013993699347634</v>
      </c>
      <c r="F798" s="6">
        <v>118.37</v>
      </c>
      <c r="G798" s="6">
        <f t="shared" si="253"/>
        <v>10.698587861217623</v>
      </c>
      <c r="H798" s="6">
        <f t="shared" si="240"/>
        <v>17.665807200308262</v>
      </c>
      <c r="I798" s="6">
        <f t="shared" si="241"/>
        <v>-6.9672193390906383</v>
      </c>
      <c r="J798" s="6">
        <v>17173.099999999999</v>
      </c>
      <c r="K798" s="6">
        <f t="shared" si="254"/>
        <v>12.329924797669278</v>
      </c>
      <c r="L798" s="6">
        <f t="shared" si="242"/>
        <v>-0.95222743155093925</v>
      </c>
      <c r="M798" s="6">
        <f t="shared" si="243"/>
        <v>13.282152229220218</v>
      </c>
      <c r="N798" s="6">
        <v>12951.35</v>
      </c>
      <c r="O798" s="6">
        <f t="shared" si="255"/>
        <v>38.805114354918224</v>
      </c>
      <c r="P798" s="6">
        <f t="shared" si="244"/>
        <v>2.8751711514151417</v>
      </c>
      <c r="Q798" s="6">
        <f t="shared" si="245"/>
        <v>35.929943203503086</v>
      </c>
      <c r="R798" s="6">
        <v>1.93</v>
      </c>
      <c r="S798" s="6">
        <f t="shared" si="256"/>
        <v>-3.9800995024875552</v>
      </c>
      <c r="T798" s="6">
        <f t="shared" si="246"/>
        <v>2.7231937052204795</v>
      </c>
      <c r="U798" s="6">
        <f t="shared" si="247"/>
        <v>-6.7032932077080343</v>
      </c>
      <c r="V798" s="6">
        <v>68.010000000000005</v>
      </c>
      <c r="W798" s="6">
        <f t="shared" si="257"/>
        <v>-7.8704958005960339</v>
      </c>
      <c r="X798" s="6">
        <f t="shared" si="248"/>
        <v>1.2237960080016181</v>
      </c>
      <c r="Y798" s="6">
        <f t="shared" si="249"/>
        <v>-9.094291808597653</v>
      </c>
      <c r="Z798" s="6">
        <v>87.3</v>
      </c>
      <c r="AA798" s="6">
        <f t="shared" si="258"/>
        <v>-2.8921023359288145</v>
      </c>
      <c r="AB798" s="6" t="str">
        <f t="shared" si="250"/>
        <v/>
      </c>
      <c r="AC798" s="6" t="str">
        <f t="shared" si="251"/>
        <v/>
      </c>
    </row>
    <row r="799" spans="1:29" x14ac:dyDescent="0.2">
      <c r="A799" t="s">
        <v>883</v>
      </c>
      <c r="B799" s="6">
        <v>1108.6099999999999</v>
      </c>
      <c r="C799" s="6">
        <f t="shared" si="252"/>
        <v>3.8413263394529773</v>
      </c>
      <c r="D799" s="6">
        <f t="shared" si="238"/>
        <v>-0.68413241380411904</v>
      </c>
      <c r="E799" s="6">
        <f t="shared" si="239"/>
        <v>4.5254587532570962</v>
      </c>
      <c r="F799" s="6">
        <v>138.6</v>
      </c>
      <c r="G799" s="6">
        <f t="shared" si="253"/>
        <v>33.307684909108403</v>
      </c>
      <c r="H799" s="6">
        <f t="shared" si="240"/>
        <v>14.693321301617246</v>
      </c>
      <c r="I799" s="6">
        <f t="shared" si="241"/>
        <v>18.614363607491157</v>
      </c>
      <c r="J799" s="6">
        <v>17076.29</v>
      </c>
      <c r="K799" s="6">
        <f t="shared" si="254"/>
        <v>6.290423878463991</v>
      </c>
      <c r="L799" s="6">
        <f t="shared" si="242"/>
        <v>-1.3041952671166699</v>
      </c>
      <c r="M799" s="6">
        <f t="shared" si="243"/>
        <v>7.5946191455806611</v>
      </c>
      <c r="N799" s="6">
        <v>12528.71</v>
      </c>
      <c r="O799" s="6">
        <f t="shared" si="255"/>
        <v>28.635745732919339</v>
      </c>
      <c r="P799" s="6">
        <f t="shared" si="244"/>
        <v>3.3215324648035467</v>
      </c>
      <c r="Q799" s="6">
        <f t="shared" si="245"/>
        <v>25.314213268115793</v>
      </c>
      <c r="R799" s="6">
        <v>1.95</v>
      </c>
      <c r="S799" s="6">
        <f t="shared" si="256"/>
        <v>-1.5151515151515138</v>
      </c>
      <c r="T799" s="6">
        <f t="shared" si="246"/>
        <v>2.5038662354265919</v>
      </c>
      <c r="U799" s="6">
        <f t="shared" si="247"/>
        <v>-4.0190177505781062</v>
      </c>
      <c r="V799" s="6">
        <v>95.58</v>
      </c>
      <c r="W799" s="6">
        <f t="shared" si="257"/>
        <v>35.190947666195193</v>
      </c>
      <c r="X799" s="6">
        <f t="shared" si="248"/>
        <v>-8.0044746251891882E-2</v>
      </c>
      <c r="Y799" s="6">
        <f t="shared" si="249"/>
        <v>35.270992412447086</v>
      </c>
      <c r="Z799" s="6">
        <v>85.8</v>
      </c>
      <c r="AA799" s="6">
        <f t="shared" si="258"/>
        <v>-4.2410714285714306</v>
      </c>
      <c r="AB799" s="6" t="str">
        <f t="shared" si="250"/>
        <v/>
      </c>
      <c r="AC799" s="6" t="str">
        <f t="shared" si="251"/>
        <v/>
      </c>
    </row>
    <row r="800" spans="1:29" x14ac:dyDescent="0.2">
      <c r="A800" t="s">
        <v>884</v>
      </c>
      <c r="B800" s="6">
        <v>1146.2</v>
      </c>
      <c r="C800" s="6">
        <f t="shared" si="252"/>
        <v>15.268964268833528</v>
      </c>
      <c r="D800" s="6">
        <f t="shared" si="238"/>
        <v>-2.1132720306517756</v>
      </c>
      <c r="E800" s="6">
        <f t="shared" si="239"/>
        <v>17.382236299485303</v>
      </c>
      <c r="F800" s="6">
        <v>130.91999999999999</v>
      </c>
      <c r="G800" s="6">
        <f t="shared" si="253"/>
        <v>32.765439610587151</v>
      </c>
      <c r="H800" s="6">
        <f t="shared" si="240"/>
        <v>10.577918298117046</v>
      </c>
      <c r="I800" s="6">
        <f t="shared" si="241"/>
        <v>22.187521312470103</v>
      </c>
      <c r="J800" s="6">
        <v>17961.599999999999</v>
      </c>
      <c r="K800" s="6">
        <f t="shared" si="254"/>
        <v>18.846392810566037</v>
      </c>
      <c r="L800" s="6">
        <f t="shared" si="242"/>
        <v>-3.3975361651754472</v>
      </c>
      <c r="M800" s="6">
        <f t="shared" si="243"/>
        <v>22.243928975741483</v>
      </c>
      <c r="N800" s="6">
        <v>12950.96</v>
      </c>
      <c r="O800" s="6">
        <f t="shared" si="255"/>
        <v>41.127190305989018</v>
      </c>
      <c r="P800" s="6">
        <f t="shared" si="244"/>
        <v>3.6300863211899217</v>
      </c>
      <c r="Q800" s="6">
        <f t="shared" si="245"/>
        <v>37.497103984799097</v>
      </c>
      <c r="R800" s="6">
        <v>2.06</v>
      </c>
      <c r="S800" s="6">
        <f t="shared" si="256"/>
        <v>20.467836257309948</v>
      </c>
      <c r="T800" s="6">
        <f t="shared" si="246"/>
        <v>2.460327398784306</v>
      </c>
      <c r="U800" s="6">
        <f t="shared" si="247"/>
        <v>18.007508858525643</v>
      </c>
      <c r="V800" s="6">
        <v>103.91</v>
      </c>
      <c r="W800" s="6">
        <f t="shared" si="257"/>
        <v>57.654377181004413</v>
      </c>
      <c r="X800" s="6">
        <f t="shared" si="248"/>
        <v>-0.93216555232099896</v>
      </c>
      <c r="Y800" s="6">
        <f t="shared" si="249"/>
        <v>58.586542733325409</v>
      </c>
      <c r="Z800" s="6">
        <v>86</v>
      </c>
      <c r="AA800" s="6">
        <f t="shared" si="258"/>
        <v>-4.1248606465997817</v>
      </c>
      <c r="AB800" s="6" t="str">
        <f t="shared" si="250"/>
        <v/>
      </c>
      <c r="AC800" s="6" t="str">
        <f t="shared" si="251"/>
        <v/>
      </c>
    </row>
    <row r="801" spans="1:29" x14ac:dyDescent="0.2">
      <c r="A801" t="s">
        <v>12</v>
      </c>
      <c r="B801" s="6">
        <v>1139.94</v>
      </c>
      <c r="C801" s="6">
        <f t="shared" si="252"/>
        <v>25.602150774587361</v>
      </c>
      <c r="D801" s="6">
        <f t="shared" si="238"/>
        <v>-2.9637329916072055</v>
      </c>
      <c r="E801" s="6">
        <f t="shared" si="239"/>
        <v>28.565883766194567</v>
      </c>
      <c r="F801" s="6">
        <v>136.86000000000001</v>
      </c>
      <c r="G801" s="6">
        <f t="shared" si="253"/>
        <v>31.079398525045509</v>
      </c>
      <c r="H801" s="6">
        <f t="shared" si="240"/>
        <v>6.321481887199397</v>
      </c>
      <c r="I801" s="6">
        <f t="shared" si="241"/>
        <v>24.757916637846112</v>
      </c>
      <c r="J801" s="6">
        <v>18805.77</v>
      </c>
      <c r="K801" s="6">
        <f t="shared" si="254"/>
        <v>22.54677015650546</v>
      </c>
      <c r="L801" s="6">
        <f t="shared" si="242"/>
        <v>-5.0996155992104475</v>
      </c>
      <c r="M801" s="6">
        <f t="shared" si="243"/>
        <v>27.646385755715908</v>
      </c>
      <c r="N801" s="6">
        <v>13543.19</v>
      </c>
      <c r="O801" s="6">
        <f t="shared" si="255"/>
        <v>42.066698975556434</v>
      </c>
      <c r="P801" s="6">
        <f t="shared" si="244"/>
        <v>4.3000001611467367</v>
      </c>
      <c r="Q801" s="6">
        <f t="shared" si="245"/>
        <v>37.7666988144097</v>
      </c>
      <c r="R801" s="6">
        <v>2.21</v>
      </c>
      <c r="S801" s="6">
        <f t="shared" si="256"/>
        <v>30.000000000000004</v>
      </c>
      <c r="T801" s="6">
        <f t="shared" si="246"/>
        <v>2.8105211419498084</v>
      </c>
      <c r="U801" s="6">
        <f t="shared" si="247"/>
        <v>27.189478858050194</v>
      </c>
      <c r="V801" s="6">
        <v>100.43</v>
      </c>
      <c r="W801" s="6">
        <f t="shared" si="257"/>
        <v>60.04780876494025</v>
      </c>
      <c r="X801" s="6">
        <f t="shared" si="248"/>
        <v>-1.070058376141416</v>
      </c>
      <c r="Y801" s="6">
        <f t="shared" si="249"/>
        <v>61.117867141081668</v>
      </c>
      <c r="Z801" s="6">
        <v>86.2</v>
      </c>
      <c r="AA801" s="6">
        <f t="shared" si="258"/>
        <v>-3.7946428571428492</v>
      </c>
      <c r="AB801" s="6" t="str">
        <f t="shared" si="250"/>
        <v/>
      </c>
      <c r="AC801" s="6" t="str">
        <f t="shared" si="251"/>
        <v/>
      </c>
    </row>
    <row r="802" spans="1:29" x14ac:dyDescent="0.2">
      <c r="E802" s="7" t="s">
        <v>885</v>
      </c>
      <c r="I802" s="7" t="s">
        <v>886</v>
      </c>
      <c r="M802" s="7" t="s">
        <v>887</v>
      </c>
      <c r="Q802" s="7" t="s">
        <v>888</v>
      </c>
      <c r="U802" s="7" t="s">
        <v>889</v>
      </c>
      <c r="Y802" s="7" t="s">
        <v>890</v>
      </c>
      <c r="AC802" s="7" t="s">
        <v>891</v>
      </c>
    </row>
    <row r="803" spans="1:29" x14ac:dyDescent="0.2">
      <c r="A803" s="7" t="s">
        <v>892</v>
      </c>
      <c r="E803" s="8">
        <f>LOOKUP(9.99E+307,E5:E801)</f>
        <v>28.565883766194567</v>
      </c>
      <c r="I803" s="8">
        <f>LOOKUP(9.99E+307,I5:I801)</f>
        <v>24.757916637846112</v>
      </c>
      <c r="M803" s="8">
        <f>LOOKUP(9.99E+307,M5:M801)</f>
        <v>27.646385755715908</v>
      </c>
      <c r="Q803" s="8">
        <f>LOOKUP(9.99E+307,Q5:Q801)</f>
        <v>37.7666988144097</v>
      </c>
      <c r="U803" s="8">
        <f>LOOKUP(9.99E+307,U5:U801)</f>
        <v>27.189478858050194</v>
      </c>
      <c r="Y803" s="8">
        <f>LOOKUP(9.99E+307,Y5:Y801)</f>
        <v>61.117867141081668</v>
      </c>
      <c r="AC803" s="8">
        <f>LOOKUP(9.99E+307,AC5:AC801)</f>
        <v>1.0168076466801919</v>
      </c>
    </row>
    <row r="804" spans="1:29" x14ac:dyDescent="0.2">
      <c r="A804" s="7" t="s">
        <v>893</v>
      </c>
      <c r="E804" s="8">
        <v>28.56588376619457</v>
      </c>
      <c r="I804" s="8">
        <v>24.757916637846112</v>
      </c>
      <c r="M804" s="8">
        <v>27.646385755715912</v>
      </c>
      <c r="Q804" s="8">
        <v>37.766698814409693</v>
      </c>
      <c r="U804" s="8">
        <v>27.18947885805019</v>
      </c>
      <c r="Y804" s="8">
        <v>61.117867141081668</v>
      </c>
      <c r="AC804" s="8">
        <v>1.0168076466801921</v>
      </c>
    </row>
    <row r="805" spans="1:29" x14ac:dyDescent="0.2">
      <c r="A805" s="7" t="s">
        <v>894</v>
      </c>
      <c r="E805" s="9">
        <f>E803-E804</f>
        <v>0</v>
      </c>
      <c r="I805" s="9">
        <f>I803-I804</f>
        <v>0</v>
      </c>
      <c r="M805" s="9">
        <f>M803-M804</f>
        <v>0</v>
      </c>
      <c r="Q805" s="9">
        <f>Q803-Q804</f>
        <v>0</v>
      </c>
      <c r="U805" s="9">
        <f>U803-U804</f>
        <v>0</v>
      </c>
      <c r="Y805" s="9">
        <f>Y803-Y804</f>
        <v>0</v>
      </c>
      <c r="AC805" s="9">
        <f>AC803-AC804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23"/>
  <sheetViews>
    <sheetView topLeftCell="A140" workbookViewId="0">
      <selection activeCell="D73" sqref="D73"/>
    </sheetView>
  </sheetViews>
  <sheetFormatPr baseColWidth="10" defaultColWidth="8.83203125" defaultRowHeight="15" x14ac:dyDescent="0.2"/>
  <cols>
    <col min="1" max="1" width="11" customWidth="1"/>
    <col min="2" max="2" width="16" customWidth="1"/>
    <col min="3" max="4" width="12" customWidth="1"/>
    <col min="5" max="5" width="14" customWidth="1"/>
    <col min="6" max="6" width="13" customWidth="1"/>
  </cols>
  <sheetData>
    <row r="1" spans="1:4" ht="17" x14ac:dyDescent="0.2">
      <c r="A1" s="1" t="s">
        <v>895</v>
      </c>
    </row>
    <row r="2" spans="1:4" x14ac:dyDescent="0.2">
      <c r="A2" s="2" t="s">
        <v>896</v>
      </c>
    </row>
    <row r="4" spans="1:4" x14ac:dyDescent="0.2">
      <c r="A4" s="10" t="s">
        <v>897</v>
      </c>
    </row>
    <row r="5" spans="1:4" ht="30" customHeight="1" x14ac:dyDescent="0.2">
      <c r="A5" s="5" t="s">
        <v>898</v>
      </c>
      <c r="B5" s="5" t="s">
        <v>899</v>
      </c>
      <c r="C5" s="5" t="s">
        <v>900</v>
      </c>
      <c r="D5" s="5" t="s">
        <v>901</v>
      </c>
    </row>
    <row r="6" spans="1:4" x14ac:dyDescent="0.2">
      <c r="A6" t="s">
        <v>902</v>
      </c>
      <c r="B6">
        <v>2.2999999999999998</v>
      </c>
      <c r="C6">
        <v>2.58</v>
      </c>
      <c r="D6" s="6">
        <f t="shared" ref="D6:D37" si="0">B6-C6</f>
        <v>-0.28000000000000025</v>
      </c>
    </row>
    <row r="7" spans="1:4" x14ac:dyDescent="0.2">
      <c r="A7" t="s">
        <v>903</v>
      </c>
      <c r="B7">
        <v>2.2999999999999998</v>
      </c>
      <c r="C7">
        <v>2.0760000000000001</v>
      </c>
      <c r="D7" s="6">
        <f t="shared" si="0"/>
        <v>0.22399999999999975</v>
      </c>
    </row>
    <row r="8" spans="1:4" x14ac:dyDescent="0.2">
      <c r="A8" t="s">
        <v>904</v>
      </c>
      <c r="B8">
        <v>3.4</v>
      </c>
      <c r="C8">
        <v>3.468</v>
      </c>
      <c r="D8" s="6">
        <f t="shared" si="0"/>
        <v>-6.800000000000006E-2</v>
      </c>
    </row>
    <row r="9" spans="1:4" x14ac:dyDescent="0.2">
      <c r="A9" t="s">
        <v>905</v>
      </c>
      <c r="B9">
        <v>2.1</v>
      </c>
      <c r="C9">
        <v>1.6</v>
      </c>
      <c r="D9" s="6">
        <f t="shared" si="0"/>
        <v>0.5</v>
      </c>
    </row>
    <row r="10" spans="1:4" x14ac:dyDescent="0.2">
      <c r="A10" t="s">
        <v>906</v>
      </c>
      <c r="B10">
        <v>3.1</v>
      </c>
      <c r="C10">
        <v>4.9859999999999998</v>
      </c>
      <c r="D10" s="6">
        <f t="shared" si="0"/>
        <v>-1.8859999999999997</v>
      </c>
    </row>
    <row r="11" spans="1:4" x14ac:dyDescent="0.2">
      <c r="A11" t="s">
        <v>907</v>
      </c>
      <c r="B11">
        <v>3.5</v>
      </c>
      <c r="C11">
        <v>4.5199999999999996</v>
      </c>
      <c r="D11" s="6">
        <f t="shared" si="0"/>
        <v>-1.0199999999999996</v>
      </c>
    </row>
    <row r="12" spans="1:4" x14ac:dyDescent="0.2">
      <c r="A12" t="s">
        <v>908</v>
      </c>
      <c r="B12">
        <v>5.3</v>
      </c>
      <c r="C12">
        <v>4.5</v>
      </c>
      <c r="D12" s="6">
        <f t="shared" si="0"/>
        <v>0.79999999999999982</v>
      </c>
    </row>
    <row r="13" spans="1:4" x14ac:dyDescent="0.2">
      <c r="A13" t="s">
        <v>909</v>
      </c>
      <c r="B13">
        <v>2.6</v>
      </c>
      <c r="C13">
        <v>2.5409999999999999</v>
      </c>
      <c r="D13" s="6">
        <f t="shared" si="0"/>
        <v>5.9000000000000163E-2</v>
      </c>
    </row>
    <row r="14" spans="1:4" x14ac:dyDescent="0.2">
      <c r="A14" t="s">
        <v>910</v>
      </c>
      <c r="B14">
        <v>2</v>
      </c>
      <c r="C14">
        <v>2.0779999999999998</v>
      </c>
      <c r="D14" s="6">
        <f t="shared" si="0"/>
        <v>-7.7999999999999847E-2</v>
      </c>
    </row>
    <row r="15" spans="1:4" x14ac:dyDescent="0.2">
      <c r="A15" t="s">
        <v>911</v>
      </c>
      <c r="B15">
        <v>0.7</v>
      </c>
      <c r="C15">
        <v>0.77500000000000002</v>
      </c>
      <c r="D15" s="6">
        <f t="shared" si="0"/>
        <v>-7.5000000000000067E-2</v>
      </c>
    </row>
    <row r="16" spans="1:4" x14ac:dyDescent="0.2">
      <c r="A16" t="s">
        <v>912</v>
      </c>
      <c r="B16">
        <v>2.2000000000000002</v>
      </c>
      <c r="C16">
        <v>2.4980000000000002</v>
      </c>
      <c r="D16" s="6">
        <f t="shared" si="0"/>
        <v>-0.29800000000000004</v>
      </c>
    </row>
    <row r="17" spans="1:4" x14ac:dyDescent="0.2">
      <c r="A17" t="s">
        <v>913</v>
      </c>
      <c r="B17">
        <v>3.8</v>
      </c>
      <c r="C17">
        <v>2.589</v>
      </c>
      <c r="D17" s="6">
        <f t="shared" si="0"/>
        <v>1.2109999999999999</v>
      </c>
    </row>
    <row r="18" spans="1:4" x14ac:dyDescent="0.2">
      <c r="A18" t="s">
        <v>914</v>
      </c>
      <c r="B18">
        <v>0.7</v>
      </c>
      <c r="C18">
        <v>0.96899999999999997</v>
      </c>
      <c r="D18" s="6">
        <f t="shared" si="0"/>
        <v>-0.26900000000000002</v>
      </c>
    </row>
    <row r="19" spans="1:4" x14ac:dyDescent="0.2">
      <c r="A19" t="s">
        <v>915</v>
      </c>
      <c r="B19">
        <v>7</v>
      </c>
      <c r="C19">
        <v>6.1859999999999999</v>
      </c>
      <c r="D19" s="6">
        <f t="shared" si="0"/>
        <v>0.81400000000000006</v>
      </c>
    </row>
    <row r="20" spans="1:4" x14ac:dyDescent="0.2">
      <c r="A20" t="s">
        <v>916</v>
      </c>
      <c r="B20">
        <v>4.9000000000000004</v>
      </c>
      <c r="C20">
        <v>4.5279999999999996</v>
      </c>
      <c r="D20" s="6">
        <f t="shared" si="0"/>
        <v>0.37200000000000077</v>
      </c>
    </row>
    <row r="21" spans="1:4" x14ac:dyDescent="0.2">
      <c r="A21" t="s">
        <v>917</v>
      </c>
      <c r="B21">
        <v>4.7</v>
      </c>
      <c r="C21">
        <v>6.53</v>
      </c>
      <c r="D21" s="6">
        <f t="shared" si="0"/>
        <v>-1.83</v>
      </c>
    </row>
    <row r="22" spans="1:4" x14ac:dyDescent="0.2">
      <c r="A22" t="s">
        <v>918</v>
      </c>
      <c r="B22">
        <v>2.8</v>
      </c>
      <c r="C22">
        <v>2.653</v>
      </c>
      <c r="D22" s="6">
        <f t="shared" si="0"/>
        <v>0.1469999999999998</v>
      </c>
    </row>
    <row r="23" spans="1:4" x14ac:dyDescent="0.2">
      <c r="A23" t="s">
        <v>919</v>
      </c>
      <c r="B23">
        <v>-0.5</v>
      </c>
      <c r="C23">
        <v>2.9940000000000002</v>
      </c>
      <c r="D23" s="6">
        <f t="shared" si="0"/>
        <v>-3.4940000000000002</v>
      </c>
    </row>
    <row r="24" spans="1:4" x14ac:dyDescent="0.2">
      <c r="A24" t="s">
        <v>920</v>
      </c>
      <c r="B24">
        <v>2.1</v>
      </c>
      <c r="C24">
        <v>1.7</v>
      </c>
      <c r="D24" s="6">
        <f t="shared" si="0"/>
        <v>0.40000000000000013</v>
      </c>
    </row>
    <row r="25" spans="1:4" x14ac:dyDescent="0.2">
      <c r="A25" t="s">
        <v>921</v>
      </c>
      <c r="B25">
        <v>2.2000000000000002</v>
      </c>
      <c r="C25">
        <v>3</v>
      </c>
      <c r="D25" s="6">
        <f t="shared" si="0"/>
        <v>-0.79999999999999982</v>
      </c>
    </row>
    <row r="26" spans="1:4" x14ac:dyDescent="0.2">
      <c r="A26" t="s">
        <v>922</v>
      </c>
      <c r="B26">
        <v>1.2</v>
      </c>
      <c r="C26">
        <v>1.984</v>
      </c>
      <c r="D26" s="6">
        <f t="shared" si="0"/>
        <v>-0.78400000000000003</v>
      </c>
    </row>
    <row r="27" spans="1:4" x14ac:dyDescent="0.2">
      <c r="A27" t="s">
        <v>923</v>
      </c>
      <c r="B27">
        <v>2.2000000000000002</v>
      </c>
      <c r="C27">
        <v>2.5</v>
      </c>
      <c r="D27" s="6">
        <f t="shared" si="0"/>
        <v>-0.29999999999999982</v>
      </c>
    </row>
    <row r="28" spans="1:4" x14ac:dyDescent="0.2">
      <c r="A28" t="s">
        <v>924</v>
      </c>
      <c r="B28">
        <v>1.9</v>
      </c>
      <c r="C28">
        <v>1.984</v>
      </c>
      <c r="D28" s="6">
        <f t="shared" si="0"/>
        <v>-8.4000000000000075E-2</v>
      </c>
    </row>
    <row r="29" spans="1:4" x14ac:dyDescent="0.2">
      <c r="A29" t="s">
        <v>925</v>
      </c>
      <c r="B29">
        <v>2.5</v>
      </c>
      <c r="C29">
        <v>2.2999999999999998</v>
      </c>
      <c r="D29" s="6">
        <f t="shared" si="0"/>
        <v>0.20000000000000018</v>
      </c>
    </row>
    <row r="30" spans="1:4" x14ac:dyDescent="0.2">
      <c r="A30" t="s">
        <v>926</v>
      </c>
      <c r="B30">
        <v>2.6</v>
      </c>
      <c r="C30">
        <v>2.6480000000000001</v>
      </c>
      <c r="D30" s="6">
        <f t="shared" si="0"/>
        <v>-4.8000000000000043E-2</v>
      </c>
    </row>
    <row r="31" spans="1:4" x14ac:dyDescent="0.2">
      <c r="A31" t="s">
        <v>927</v>
      </c>
      <c r="B31">
        <v>7.5</v>
      </c>
      <c r="C31">
        <v>7</v>
      </c>
      <c r="D31" s="6">
        <f t="shared" si="0"/>
        <v>0.5</v>
      </c>
    </row>
    <row r="32" spans="1:4" x14ac:dyDescent="0.2">
      <c r="A32" t="s">
        <v>928</v>
      </c>
      <c r="B32">
        <v>4.7</v>
      </c>
      <c r="C32">
        <v>2.2770000000000001</v>
      </c>
      <c r="D32" s="6">
        <f t="shared" si="0"/>
        <v>2.423</v>
      </c>
    </row>
    <row r="33" spans="1:4" x14ac:dyDescent="0.2">
      <c r="A33" t="s">
        <v>929</v>
      </c>
      <c r="B33">
        <v>2.6</v>
      </c>
      <c r="C33">
        <v>3.1459999999999999</v>
      </c>
      <c r="D33" s="6">
        <f t="shared" si="0"/>
        <v>-0.54599999999999982</v>
      </c>
    </row>
    <row r="34" spans="1:4" x14ac:dyDescent="0.2">
      <c r="A34" t="s">
        <v>930</v>
      </c>
      <c r="B34">
        <v>1.5</v>
      </c>
      <c r="C34">
        <v>1.5580000000000001</v>
      </c>
      <c r="D34" s="6">
        <f t="shared" si="0"/>
        <v>-5.8000000000000052E-2</v>
      </c>
    </row>
    <row r="35" spans="1:4" x14ac:dyDescent="0.2">
      <c r="A35" t="s">
        <v>931</v>
      </c>
      <c r="B35">
        <v>1.3</v>
      </c>
      <c r="C35">
        <v>1.611</v>
      </c>
      <c r="D35" s="6">
        <f t="shared" si="0"/>
        <v>-0.31099999999999994</v>
      </c>
    </row>
    <row r="36" spans="1:4" x14ac:dyDescent="0.2">
      <c r="A36" t="s">
        <v>932</v>
      </c>
      <c r="B36">
        <v>2.4</v>
      </c>
      <c r="C36">
        <v>2.1819999999999999</v>
      </c>
      <c r="D36" s="6">
        <f t="shared" si="0"/>
        <v>0.21799999999999997</v>
      </c>
    </row>
    <row r="37" spans="1:4" x14ac:dyDescent="0.2">
      <c r="A37" t="s">
        <v>933</v>
      </c>
      <c r="B37">
        <v>4.4000000000000004</v>
      </c>
      <c r="C37">
        <v>3.9569999999999999</v>
      </c>
      <c r="D37" s="6">
        <f t="shared" si="0"/>
        <v>0.4430000000000005</v>
      </c>
    </row>
    <row r="38" spans="1:4" x14ac:dyDescent="0.2">
      <c r="A38" t="s">
        <v>934</v>
      </c>
      <c r="B38">
        <v>6.2</v>
      </c>
      <c r="C38">
        <v>6.4</v>
      </c>
      <c r="D38" s="6">
        <f t="shared" ref="D38:D69" si="1">B38-C38</f>
        <v>-0.20000000000000018</v>
      </c>
    </row>
    <row r="39" spans="1:4" x14ac:dyDescent="0.2">
      <c r="A39" t="s">
        <v>935</v>
      </c>
      <c r="B39">
        <v>3.3</v>
      </c>
      <c r="C39">
        <v>4.0179999999999998</v>
      </c>
      <c r="D39" s="6">
        <f t="shared" si="1"/>
        <v>-0.71799999999999997</v>
      </c>
    </row>
    <row r="40" spans="1:4" x14ac:dyDescent="0.2">
      <c r="A40" t="s">
        <v>936</v>
      </c>
      <c r="B40">
        <v>5.9</v>
      </c>
      <c r="C40">
        <v>5.1710000000000003</v>
      </c>
      <c r="D40" s="6">
        <f t="shared" si="1"/>
        <v>0.72900000000000009</v>
      </c>
    </row>
    <row r="41" spans="1:4" x14ac:dyDescent="0.2">
      <c r="A41" t="s">
        <v>937</v>
      </c>
      <c r="B41">
        <v>2.8</v>
      </c>
      <c r="C41">
        <v>3.1659999999999999</v>
      </c>
      <c r="D41" s="6">
        <f t="shared" si="1"/>
        <v>-0.3660000000000001</v>
      </c>
    </row>
    <row r="42" spans="1:4" x14ac:dyDescent="0.2">
      <c r="A42" t="s">
        <v>938</v>
      </c>
      <c r="B42">
        <v>2.2999999999999998</v>
      </c>
      <c r="C42">
        <v>2.625</v>
      </c>
      <c r="D42" s="6">
        <f t="shared" si="1"/>
        <v>-0.32500000000000018</v>
      </c>
    </row>
    <row r="43" spans="1:4" x14ac:dyDescent="0.2">
      <c r="A43" t="s">
        <v>939</v>
      </c>
      <c r="B43">
        <v>4.0999999999999996</v>
      </c>
      <c r="C43">
        <v>4.3239999999999998</v>
      </c>
      <c r="D43" s="6">
        <f t="shared" si="1"/>
        <v>-0.2240000000000002</v>
      </c>
    </row>
    <row r="44" spans="1:4" x14ac:dyDescent="0.2">
      <c r="A44" t="s">
        <v>940</v>
      </c>
      <c r="B44">
        <v>4.8</v>
      </c>
      <c r="C44">
        <v>4.9139999999999997</v>
      </c>
      <c r="D44" s="6">
        <f t="shared" si="1"/>
        <v>-0.11399999999999988</v>
      </c>
    </row>
    <row r="45" spans="1:4" x14ac:dyDescent="0.2">
      <c r="A45" t="s">
        <v>941</v>
      </c>
      <c r="B45">
        <v>3.6</v>
      </c>
      <c r="C45">
        <v>3.4340000000000002</v>
      </c>
      <c r="D45" s="6">
        <f t="shared" si="1"/>
        <v>0.16599999999999993</v>
      </c>
    </row>
    <row r="46" spans="1:4" x14ac:dyDescent="0.2">
      <c r="A46" t="s">
        <v>942</v>
      </c>
      <c r="B46">
        <v>3</v>
      </c>
      <c r="C46">
        <v>2.6629999999999998</v>
      </c>
      <c r="D46" s="6">
        <f t="shared" si="1"/>
        <v>0.33700000000000019</v>
      </c>
    </row>
    <row r="47" spans="1:4" x14ac:dyDescent="0.2">
      <c r="A47" t="s">
        <v>943</v>
      </c>
      <c r="B47">
        <v>2.2000000000000002</v>
      </c>
      <c r="C47">
        <v>1.792</v>
      </c>
      <c r="D47" s="6">
        <f t="shared" si="1"/>
        <v>0.40800000000000014</v>
      </c>
    </row>
    <row r="48" spans="1:4" x14ac:dyDescent="0.2">
      <c r="A48" t="s">
        <v>944</v>
      </c>
      <c r="B48">
        <v>0.8</v>
      </c>
      <c r="C48">
        <v>0.92200000000000004</v>
      </c>
      <c r="D48" s="6">
        <f t="shared" si="1"/>
        <v>-0.122</v>
      </c>
    </row>
    <row r="49" spans="1:4" x14ac:dyDescent="0.2">
      <c r="A49" t="s">
        <v>945</v>
      </c>
      <c r="B49">
        <v>6</v>
      </c>
      <c r="C49">
        <v>5.51</v>
      </c>
      <c r="D49" s="6">
        <f t="shared" si="1"/>
        <v>0.49000000000000021</v>
      </c>
    </row>
    <row r="50" spans="1:4" x14ac:dyDescent="0.2">
      <c r="A50" t="s">
        <v>946</v>
      </c>
      <c r="B50">
        <v>3.1</v>
      </c>
      <c r="C50">
        <v>3.2639999999999998</v>
      </c>
      <c r="D50" s="6">
        <f t="shared" si="1"/>
        <v>-0.1639999999999997</v>
      </c>
    </row>
    <row r="51" spans="1:4" x14ac:dyDescent="0.2">
      <c r="A51" t="s">
        <v>947</v>
      </c>
      <c r="B51">
        <v>2</v>
      </c>
      <c r="C51">
        <v>1.845</v>
      </c>
      <c r="D51" s="6">
        <f t="shared" si="1"/>
        <v>0.15500000000000003</v>
      </c>
    </row>
    <row r="52" spans="1:4" x14ac:dyDescent="0.2">
      <c r="A52" t="s">
        <v>948</v>
      </c>
      <c r="B52">
        <v>3.7</v>
      </c>
      <c r="C52">
        <v>4.7880000000000003</v>
      </c>
      <c r="D52" s="6">
        <f t="shared" si="1"/>
        <v>-1.0880000000000001</v>
      </c>
    </row>
    <row r="53" spans="1:4" x14ac:dyDescent="0.2">
      <c r="A53" t="s">
        <v>949</v>
      </c>
      <c r="B53">
        <v>3.8</v>
      </c>
      <c r="C53">
        <v>3.004</v>
      </c>
      <c r="D53" s="6">
        <f t="shared" si="1"/>
        <v>0.79599999999999982</v>
      </c>
    </row>
    <row r="54" spans="1:4" x14ac:dyDescent="0.2">
      <c r="A54" t="s">
        <v>950</v>
      </c>
      <c r="B54">
        <v>2.5</v>
      </c>
      <c r="C54">
        <v>2.117</v>
      </c>
      <c r="D54" s="6">
        <f t="shared" si="1"/>
        <v>0.38300000000000001</v>
      </c>
    </row>
    <row r="55" spans="1:4" x14ac:dyDescent="0.2">
      <c r="A55" t="s">
        <v>951</v>
      </c>
      <c r="B55">
        <v>4.2</v>
      </c>
      <c r="C55">
        <v>4.2880000000000003</v>
      </c>
      <c r="D55" s="6">
        <f t="shared" si="1"/>
        <v>-8.8000000000000078E-2</v>
      </c>
    </row>
    <row r="56" spans="1:4" x14ac:dyDescent="0.2">
      <c r="A56" t="s">
        <v>952</v>
      </c>
      <c r="B56">
        <v>2.1</v>
      </c>
      <c r="C56">
        <v>1.8169999999999999</v>
      </c>
      <c r="D56" s="6">
        <f t="shared" si="1"/>
        <v>0.28300000000000014</v>
      </c>
    </row>
    <row r="57" spans="1:4" x14ac:dyDescent="0.2">
      <c r="A57" t="s">
        <v>953</v>
      </c>
      <c r="B57">
        <v>1.4</v>
      </c>
      <c r="C57">
        <v>1.825</v>
      </c>
      <c r="D57" s="6">
        <f t="shared" si="1"/>
        <v>-0.42500000000000004</v>
      </c>
    </row>
    <row r="58" spans="1:4" x14ac:dyDescent="0.2">
      <c r="A58" t="s">
        <v>954</v>
      </c>
      <c r="B58">
        <v>9.1999999999999993</v>
      </c>
      <c r="C58">
        <v>7.1070000000000002</v>
      </c>
      <c r="D58" s="6">
        <f t="shared" si="1"/>
        <v>2.0929999999999991</v>
      </c>
    </row>
    <row r="59" spans="1:4" x14ac:dyDescent="0.2">
      <c r="A59" t="s">
        <v>955</v>
      </c>
      <c r="B59">
        <v>1</v>
      </c>
      <c r="C59">
        <v>1.405</v>
      </c>
      <c r="D59" s="6">
        <f t="shared" si="1"/>
        <v>-0.40500000000000003</v>
      </c>
    </row>
    <row r="60" spans="1:4" x14ac:dyDescent="0.2">
      <c r="A60" t="s">
        <v>956</v>
      </c>
      <c r="B60">
        <v>2.4</v>
      </c>
      <c r="C60">
        <v>2.847</v>
      </c>
      <c r="D60" s="6">
        <f t="shared" si="1"/>
        <v>-0.44700000000000006</v>
      </c>
    </row>
    <row r="61" spans="1:4" x14ac:dyDescent="0.2">
      <c r="A61" t="s">
        <v>957</v>
      </c>
      <c r="B61">
        <v>0.9</v>
      </c>
      <c r="C61">
        <v>1.0149999999999999</v>
      </c>
      <c r="D61" s="6">
        <f t="shared" si="1"/>
        <v>-0.11499999999999988</v>
      </c>
    </row>
    <row r="62" spans="1:4" x14ac:dyDescent="0.2">
      <c r="A62" t="s">
        <v>958</v>
      </c>
      <c r="B62">
        <v>2.7</v>
      </c>
      <c r="C62">
        <v>2.6030000000000002</v>
      </c>
      <c r="D62" s="6">
        <f t="shared" si="1"/>
        <v>9.6999999999999975E-2</v>
      </c>
    </row>
    <row r="63" spans="1:4" x14ac:dyDescent="0.2">
      <c r="A63" t="s">
        <v>959</v>
      </c>
      <c r="B63">
        <v>0.8</v>
      </c>
      <c r="C63">
        <v>1.407</v>
      </c>
      <c r="D63" s="6">
        <f t="shared" si="1"/>
        <v>-0.60699999999999998</v>
      </c>
    </row>
    <row r="64" spans="1:4" x14ac:dyDescent="0.2">
      <c r="A64" t="s">
        <v>960</v>
      </c>
      <c r="B64">
        <v>5.3</v>
      </c>
      <c r="C64">
        <v>5</v>
      </c>
      <c r="D64" s="6">
        <f t="shared" si="1"/>
        <v>0.29999999999999982</v>
      </c>
    </row>
    <row r="65" spans="1:4" x14ac:dyDescent="0.2">
      <c r="A65" t="s">
        <v>961</v>
      </c>
      <c r="B65">
        <v>4.8</v>
      </c>
      <c r="C65">
        <v>4.7930000000000001</v>
      </c>
      <c r="D65" s="6">
        <f t="shared" si="1"/>
        <v>6.9999999999996732E-3</v>
      </c>
    </row>
    <row r="66" spans="1:4" x14ac:dyDescent="0.2">
      <c r="A66" t="s">
        <v>962</v>
      </c>
      <c r="B66">
        <v>8.6999999999999993</v>
      </c>
      <c r="C66">
        <v>10.609</v>
      </c>
      <c r="D66" s="6">
        <f t="shared" si="1"/>
        <v>-1.9090000000000007</v>
      </c>
    </row>
    <row r="67" spans="1:4" x14ac:dyDescent="0.2">
      <c r="A67" t="s">
        <v>963</v>
      </c>
      <c r="B67">
        <v>5.0999999999999996</v>
      </c>
      <c r="C67">
        <v>5.0279999999999996</v>
      </c>
      <c r="D67" s="6">
        <f t="shared" si="1"/>
        <v>7.2000000000000064E-2</v>
      </c>
    </row>
    <row r="68" spans="1:4" x14ac:dyDescent="0.2">
      <c r="A68" t="s">
        <v>964</v>
      </c>
      <c r="B68">
        <v>4.9000000000000004</v>
      </c>
      <c r="C68">
        <v>5</v>
      </c>
      <c r="D68" s="6">
        <f t="shared" si="1"/>
        <v>-9.9999999999999645E-2</v>
      </c>
    </row>
    <row r="69" spans="1:4" x14ac:dyDescent="0.2">
      <c r="A69" t="s">
        <v>965</v>
      </c>
      <c r="B69">
        <v>1.8</v>
      </c>
      <c r="C69">
        <v>1.7549999999999999</v>
      </c>
      <c r="D69" s="6">
        <f t="shared" si="1"/>
        <v>4.5000000000000151E-2</v>
      </c>
    </row>
    <row r="70" spans="1:4" x14ac:dyDescent="0.2">
      <c r="A70" t="s">
        <v>966</v>
      </c>
      <c r="B70">
        <v>3.1</v>
      </c>
      <c r="C70">
        <v>3.3140000000000001</v>
      </c>
      <c r="D70" s="6">
        <f t="shared" ref="D70:D101" si="2">B70-C70</f>
        <v>-0.21399999999999997</v>
      </c>
    </row>
    <row r="71" spans="1:4" x14ac:dyDescent="0.2">
      <c r="A71" t="s">
        <v>967</v>
      </c>
      <c r="B71">
        <v>3.9</v>
      </c>
      <c r="C71">
        <v>3.8</v>
      </c>
      <c r="D71" s="6">
        <f t="shared" si="2"/>
        <v>0.10000000000000009</v>
      </c>
    </row>
    <row r="72" spans="1:4" x14ac:dyDescent="0.2">
      <c r="A72" t="s">
        <v>968</v>
      </c>
      <c r="B72">
        <v>16.2</v>
      </c>
      <c r="C72">
        <v>22.951000000000001</v>
      </c>
      <c r="D72" s="6">
        <f t="shared" si="2"/>
        <v>-6.7510000000000012</v>
      </c>
    </row>
    <row r="73" spans="1:4" x14ac:dyDescent="0.2">
      <c r="A73" t="s">
        <v>969</v>
      </c>
      <c r="B73">
        <v>2.4</v>
      </c>
      <c r="C73">
        <v>1.863</v>
      </c>
      <c r="D73" s="6">
        <f t="shared" si="2"/>
        <v>0.53699999999999992</v>
      </c>
    </row>
    <row r="74" spans="1:4" x14ac:dyDescent="0.2">
      <c r="A74" t="s">
        <v>970</v>
      </c>
      <c r="B74">
        <v>3.3</v>
      </c>
      <c r="C74">
        <v>3.4</v>
      </c>
      <c r="D74" s="6">
        <f t="shared" si="2"/>
        <v>-0.10000000000000009</v>
      </c>
    </row>
    <row r="75" spans="1:4" x14ac:dyDescent="0.2">
      <c r="A75" t="s">
        <v>971</v>
      </c>
      <c r="B75">
        <v>2.6</v>
      </c>
      <c r="C75">
        <v>2.7370000000000001</v>
      </c>
      <c r="D75" s="6">
        <f t="shared" si="2"/>
        <v>-0.13700000000000001</v>
      </c>
    </row>
    <row r="76" spans="1:4" x14ac:dyDescent="0.2">
      <c r="A76" t="s">
        <v>972</v>
      </c>
      <c r="B76">
        <v>-1.7</v>
      </c>
      <c r="C76">
        <v>1</v>
      </c>
      <c r="D76" s="6">
        <f t="shared" si="2"/>
        <v>-2.7</v>
      </c>
    </row>
    <row r="77" spans="1:4" x14ac:dyDescent="0.2">
      <c r="A77" t="s">
        <v>973</v>
      </c>
      <c r="B77">
        <v>1.7</v>
      </c>
      <c r="C77">
        <v>2.5499999999999998</v>
      </c>
      <c r="D77" s="6">
        <f t="shared" si="2"/>
        <v>-0.84999999999999987</v>
      </c>
    </row>
    <row r="78" spans="1:4" x14ac:dyDescent="0.2">
      <c r="A78" t="s">
        <v>974</v>
      </c>
      <c r="B78">
        <v>5</v>
      </c>
      <c r="C78">
        <v>4.6740000000000004</v>
      </c>
      <c r="D78" s="6">
        <f t="shared" si="2"/>
        <v>0.32599999999999962</v>
      </c>
    </row>
    <row r="79" spans="1:4" x14ac:dyDescent="0.2">
      <c r="A79" t="s">
        <v>975</v>
      </c>
      <c r="B79">
        <v>6.5</v>
      </c>
      <c r="C79">
        <v>6.2649999999999997</v>
      </c>
      <c r="D79" s="6">
        <f t="shared" si="2"/>
        <v>0.23500000000000032</v>
      </c>
    </row>
    <row r="80" spans="1:4" x14ac:dyDescent="0.2">
      <c r="A80" t="s">
        <v>976</v>
      </c>
      <c r="B80">
        <v>2.5</v>
      </c>
      <c r="C80">
        <v>2.113</v>
      </c>
      <c r="D80" s="6">
        <f t="shared" si="2"/>
        <v>0.38700000000000001</v>
      </c>
    </row>
    <row r="81" spans="1:4" x14ac:dyDescent="0.2">
      <c r="A81" t="s">
        <v>977</v>
      </c>
      <c r="B81">
        <v>-6.1</v>
      </c>
      <c r="C81">
        <v>1.1040000000000001</v>
      </c>
      <c r="D81" s="6">
        <f t="shared" si="2"/>
        <v>-7.2039999999999997</v>
      </c>
    </row>
    <row r="82" spans="1:4" x14ac:dyDescent="0.2">
      <c r="A82" t="s">
        <v>978</v>
      </c>
      <c r="B82">
        <v>-6.8</v>
      </c>
      <c r="C82">
        <v>1.4390000000000001</v>
      </c>
      <c r="D82" s="6">
        <f t="shared" si="2"/>
        <v>-8.2390000000000008</v>
      </c>
    </row>
    <row r="83" spans="1:4" x14ac:dyDescent="0.2">
      <c r="A83" t="s">
        <v>979</v>
      </c>
      <c r="B83">
        <v>1.9</v>
      </c>
      <c r="C83">
        <v>2.4</v>
      </c>
      <c r="D83" s="6">
        <f t="shared" si="2"/>
        <v>-0.5</v>
      </c>
    </row>
    <row r="84" spans="1:4" x14ac:dyDescent="0.2">
      <c r="A84" t="s">
        <v>980</v>
      </c>
      <c r="B84">
        <v>3.5</v>
      </c>
      <c r="C84">
        <v>3.6</v>
      </c>
      <c r="D84" s="6">
        <f t="shared" si="2"/>
        <v>-0.10000000000000009</v>
      </c>
    </row>
    <row r="85" spans="1:4" x14ac:dyDescent="0.2">
      <c r="A85" t="s">
        <v>981</v>
      </c>
      <c r="B85">
        <v>0.5</v>
      </c>
      <c r="C85">
        <v>0.83499999999999996</v>
      </c>
      <c r="D85" s="6">
        <f t="shared" si="2"/>
        <v>-0.33499999999999996</v>
      </c>
    </row>
    <row r="86" spans="1:4" x14ac:dyDescent="0.2">
      <c r="A86" t="s">
        <v>982</v>
      </c>
      <c r="B86">
        <v>-1.2</v>
      </c>
      <c r="C86">
        <v>1.6</v>
      </c>
      <c r="D86" s="6">
        <f t="shared" si="2"/>
        <v>-2.8</v>
      </c>
    </row>
    <row r="87" spans="1:4" x14ac:dyDescent="0.2">
      <c r="A87" t="s">
        <v>983</v>
      </c>
      <c r="B87">
        <v>2.7</v>
      </c>
      <c r="C87">
        <v>2.9</v>
      </c>
      <c r="D87" s="6">
        <f t="shared" si="2"/>
        <v>-0.19999999999999973</v>
      </c>
    </row>
    <row r="88" spans="1:4" x14ac:dyDescent="0.2">
      <c r="A88" t="s">
        <v>984</v>
      </c>
      <c r="B88">
        <v>0.7</v>
      </c>
      <c r="C88">
        <v>0.57899999999999996</v>
      </c>
      <c r="D88" s="6">
        <f t="shared" si="2"/>
        <v>0.121</v>
      </c>
    </row>
    <row r="89" spans="1:4" x14ac:dyDescent="0.2">
      <c r="A89" t="s">
        <v>985</v>
      </c>
      <c r="B89">
        <v>4.5999999999999996</v>
      </c>
      <c r="C89">
        <v>4.2569999999999997</v>
      </c>
      <c r="D89" s="6">
        <f t="shared" si="2"/>
        <v>0.34299999999999997</v>
      </c>
    </row>
    <row r="90" spans="1:4" x14ac:dyDescent="0.2">
      <c r="A90" t="s">
        <v>986</v>
      </c>
      <c r="B90">
        <v>4.5</v>
      </c>
      <c r="C90">
        <v>4.8890000000000002</v>
      </c>
      <c r="D90" s="6">
        <f t="shared" si="2"/>
        <v>-0.38900000000000023</v>
      </c>
    </row>
    <row r="91" spans="1:4" x14ac:dyDescent="0.2">
      <c r="A91" t="s">
        <v>987</v>
      </c>
      <c r="B91">
        <v>6.1</v>
      </c>
      <c r="C91">
        <v>5.266</v>
      </c>
      <c r="D91" s="6">
        <f t="shared" si="2"/>
        <v>0.83399999999999963</v>
      </c>
    </row>
    <row r="92" spans="1:4" x14ac:dyDescent="0.2">
      <c r="A92" t="s">
        <v>988</v>
      </c>
      <c r="B92">
        <v>4</v>
      </c>
      <c r="C92">
        <v>3.407</v>
      </c>
      <c r="D92" s="6">
        <f t="shared" si="2"/>
        <v>0.59299999999999997</v>
      </c>
    </row>
    <row r="93" spans="1:4" x14ac:dyDescent="0.2">
      <c r="A93" t="s">
        <v>989</v>
      </c>
      <c r="B93">
        <v>3.1</v>
      </c>
      <c r="C93">
        <v>3.222</v>
      </c>
      <c r="D93" s="6">
        <f t="shared" si="2"/>
        <v>-0.12199999999999989</v>
      </c>
    </row>
    <row r="94" spans="1:4" x14ac:dyDescent="0.2">
      <c r="A94" t="s">
        <v>990</v>
      </c>
      <c r="B94">
        <v>1.9</v>
      </c>
      <c r="C94">
        <v>1.4470000000000001</v>
      </c>
      <c r="D94" s="6">
        <f t="shared" si="2"/>
        <v>0.45299999999999985</v>
      </c>
    </row>
    <row r="95" spans="1:4" x14ac:dyDescent="0.2">
      <c r="A95" t="s">
        <v>991</v>
      </c>
      <c r="B95">
        <v>-0.6</v>
      </c>
      <c r="C95">
        <v>3.129</v>
      </c>
      <c r="D95" s="6">
        <f t="shared" si="2"/>
        <v>-3.7290000000000001</v>
      </c>
    </row>
    <row r="96" spans="1:4" x14ac:dyDescent="0.2">
      <c r="A96" t="s">
        <v>992</v>
      </c>
      <c r="B96">
        <v>4</v>
      </c>
      <c r="C96">
        <v>1.952</v>
      </c>
      <c r="D96" s="6">
        <f t="shared" si="2"/>
        <v>2.048</v>
      </c>
    </row>
    <row r="97" spans="1:4" x14ac:dyDescent="0.2">
      <c r="A97" t="s">
        <v>993</v>
      </c>
      <c r="B97">
        <v>5.0999999999999996</v>
      </c>
      <c r="C97">
        <v>5.5289999999999999</v>
      </c>
      <c r="D97" s="6">
        <f t="shared" si="2"/>
        <v>-0.42900000000000027</v>
      </c>
    </row>
    <row r="98" spans="1:4" x14ac:dyDescent="0.2">
      <c r="A98" t="s">
        <v>994</v>
      </c>
      <c r="B98">
        <v>6.7</v>
      </c>
      <c r="C98">
        <v>4.2850000000000001</v>
      </c>
      <c r="D98" s="6">
        <f t="shared" si="2"/>
        <v>2.415</v>
      </c>
    </row>
    <row r="99" spans="1:4" x14ac:dyDescent="0.2">
      <c r="A99" t="s">
        <v>995</v>
      </c>
      <c r="B99">
        <v>1.1000000000000001</v>
      </c>
      <c r="C99">
        <v>1.444</v>
      </c>
      <c r="D99" s="6">
        <f t="shared" si="2"/>
        <v>-0.34399999999999986</v>
      </c>
    </row>
    <row r="100" spans="1:4" x14ac:dyDescent="0.2">
      <c r="A100" t="s">
        <v>996</v>
      </c>
      <c r="B100">
        <v>2.9</v>
      </c>
      <c r="C100">
        <v>2.4590000000000001</v>
      </c>
      <c r="D100" s="6">
        <f t="shared" si="2"/>
        <v>0.44099999999999984</v>
      </c>
    </row>
    <row r="101" spans="1:4" x14ac:dyDescent="0.2">
      <c r="A101" t="s">
        <v>997</v>
      </c>
      <c r="B101">
        <v>1.6</v>
      </c>
      <c r="C101">
        <v>2.2149999999999999</v>
      </c>
      <c r="D101" s="6">
        <f t="shared" si="2"/>
        <v>-0.61499999999999977</v>
      </c>
    </row>
    <row r="102" spans="1:4" x14ac:dyDescent="0.2">
      <c r="A102" t="s">
        <v>998</v>
      </c>
      <c r="B102">
        <v>2.2000000000000002</v>
      </c>
      <c r="C102">
        <v>2.4820000000000002</v>
      </c>
      <c r="D102" s="6">
        <f t="shared" ref="D102:D133" si="3">B102-C102</f>
        <v>-0.28200000000000003</v>
      </c>
    </row>
    <row r="103" spans="1:4" x14ac:dyDescent="0.2">
      <c r="A103" t="s">
        <v>999</v>
      </c>
      <c r="B103">
        <v>3</v>
      </c>
      <c r="C103">
        <v>3.5219999999999998</v>
      </c>
      <c r="D103" s="6">
        <f t="shared" si="3"/>
        <v>-0.5219999999999998</v>
      </c>
    </row>
    <row r="104" spans="1:4" x14ac:dyDescent="0.2">
      <c r="A104" t="s">
        <v>1000</v>
      </c>
      <c r="B104">
        <v>4.9000000000000004</v>
      </c>
      <c r="C104">
        <v>3.746</v>
      </c>
      <c r="D104" s="6">
        <f t="shared" si="3"/>
        <v>1.1540000000000004</v>
      </c>
    </row>
    <row r="105" spans="1:4" x14ac:dyDescent="0.2">
      <c r="A105" t="s">
        <v>1001</v>
      </c>
      <c r="B105">
        <v>3.6</v>
      </c>
      <c r="C105">
        <v>4.2060000000000004</v>
      </c>
      <c r="D105" s="6">
        <f t="shared" si="3"/>
        <v>-0.60600000000000032</v>
      </c>
    </row>
    <row r="106" spans="1:4" x14ac:dyDescent="0.2">
      <c r="A106" t="s">
        <v>1002</v>
      </c>
      <c r="B106">
        <v>3</v>
      </c>
      <c r="C106">
        <v>4.3390000000000004</v>
      </c>
      <c r="D106" s="6">
        <f t="shared" si="3"/>
        <v>-1.3390000000000004</v>
      </c>
    </row>
    <row r="107" spans="1:4" x14ac:dyDescent="0.2">
      <c r="A107" t="s">
        <v>1003</v>
      </c>
      <c r="B107">
        <v>1.6</v>
      </c>
      <c r="C107">
        <v>1.37</v>
      </c>
      <c r="D107" s="6">
        <f t="shared" si="3"/>
        <v>0.22999999999999998</v>
      </c>
    </row>
    <row r="108" spans="1:4" x14ac:dyDescent="0.2">
      <c r="A108" t="s">
        <v>1004</v>
      </c>
      <c r="B108">
        <v>3.7</v>
      </c>
      <c r="C108">
        <v>4.07</v>
      </c>
      <c r="D108" s="6">
        <f t="shared" si="3"/>
        <v>-0.37000000000000011</v>
      </c>
    </row>
    <row r="109" spans="1:4" x14ac:dyDescent="0.2">
      <c r="A109" t="s">
        <v>1005</v>
      </c>
      <c r="B109">
        <v>3.1</v>
      </c>
      <c r="C109">
        <v>3.2</v>
      </c>
      <c r="D109" s="6">
        <f t="shared" si="3"/>
        <v>-0.10000000000000009</v>
      </c>
    </row>
    <row r="110" spans="1:4" x14ac:dyDescent="0.2">
      <c r="A110" t="s">
        <v>1006</v>
      </c>
      <c r="B110">
        <v>5.5</v>
      </c>
      <c r="C110">
        <v>5.0999999999999996</v>
      </c>
      <c r="D110" s="6">
        <f t="shared" si="3"/>
        <v>0.40000000000000036</v>
      </c>
    </row>
    <row r="111" spans="1:4" x14ac:dyDescent="0.2">
      <c r="A111" t="s">
        <v>1007</v>
      </c>
      <c r="B111">
        <v>3.7</v>
      </c>
      <c r="C111">
        <v>3.9</v>
      </c>
      <c r="D111" s="6">
        <f t="shared" si="3"/>
        <v>-0.19999999999999973</v>
      </c>
    </row>
    <row r="112" spans="1:4" x14ac:dyDescent="0.2">
      <c r="A112" t="s">
        <v>1008</v>
      </c>
      <c r="B112">
        <v>3</v>
      </c>
      <c r="C112">
        <v>2.052</v>
      </c>
      <c r="D112" s="6">
        <f t="shared" si="3"/>
        <v>0.94799999999999995</v>
      </c>
    </row>
    <row r="113" spans="1:4" x14ac:dyDescent="0.2">
      <c r="A113" t="s">
        <v>1009</v>
      </c>
      <c r="B113">
        <v>5.3</v>
      </c>
      <c r="C113">
        <v>5.899</v>
      </c>
      <c r="D113" s="6">
        <f t="shared" si="3"/>
        <v>-0.5990000000000002</v>
      </c>
    </row>
    <row r="114" spans="1:4" x14ac:dyDescent="0.2">
      <c r="A114" t="s">
        <v>1010</v>
      </c>
      <c r="B114">
        <v>0.5</v>
      </c>
      <c r="C114">
        <v>3.524</v>
      </c>
      <c r="D114" s="6">
        <f t="shared" si="3"/>
        <v>-3.024</v>
      </c>
    </row>
    <row r="115" spans="1:4" x14ac:dyDescent="0.2">
      <c r="A115" t="s">
        <v>1011</v>
      </c>
      <c r="B115">
        <v>4.4000000000000004</v>
      </c>
      <c r="C115">
        <v>3.714</v>
      </c>
      <c r="D115" s="6">
        <f t="shared" si="3"/>
        <v>0.68600000000000039</v>
      </c>
    </row>
    <row r="116" spans="1:4" x14ac:dyDescent="0.2">
      <c r="A116" t="s">
        <v>1012</v>
      </c>
      <c r="B116">
        <v>3.4</v>
      </c>
      <c r="C116">
        <v>3</v>
      </c>
      <c r="D116" s="6">
        <f t="shared" si="3"/>
        <v>0.39999999999999991</v>
      </c>
    </row>
    <row r="117" spans="1:4" x14ac:dyDescent="0.2">
      <c r="A117" t="s">
        <v>1013</v>
      </c>
      <c r="B117">
        <v>2.2000000000000002</v>
      </c>
      <c r="C117">
        <v>4.3</v>
      </c>
      <c r="D117" s="6">
        <f t="shared" si="3"/>
        <v>-2.0999999999999996</v>
      </c>
    </row>
    <row r="118" spans="1:4" x14ac:dyDescent="0.2">
      <c r="A118" t="s">
        <v>1014</v>
      </c>
      <c r="B118">
        <v>4.7</v>
      </c>
      <c r="C118">
        <v>3.8</v>
      </c>
      <c r="D118" s="6">
        <f t="shared" si="3"/>
        <v>0.90000000000000036</v>
      </c>
    </row>
    <row r="119" spans="1:4" x14ac:dyDescent="0.2">
      <c r="A119" t="s">
        <v>1015</v>
      </c>
      <c r="B119">
        <v>2.4</v>
      </c>
      <c r="C119">
        <v>3.706</v>
      </c>
      <c r="D119" s="6">
        <f t="shared" si="3"/>
        <v>-1.306</v>
      </c>
    </row>
    <row r="120" spans="1:4" x14ac:dyDescent="0.2">
      <c r="A120" t="s">
        <v>1016</v>
      </c>
      <c r="B120">
        <v>6.7</v>
      </c>
      <c r="C120">
        <v>6.7</v>
      </c>
      <c r="D120" s="6">
        <f t="shared" si="3"/>
        <v>0</v>
      </c>
    </row>
    <row r="121" spans="1:4" x14ac:dyDescent="0.2">
      <c r="A121" t="s">
        <v>1017</v>
      </c>
      <c r="B121">
        <v>4.0999999999999996</v>
      </c>
      <c r="C121">
        <v>2.7250000000000001</v>
      </c>
      <c r="D121" s="6">
        <f t="shared" si="3"/>
        <v>1.3749999999999996</v>
      </c>
    </row>
    <row r="122" spans="1:4" x14ac:dyDescent="0.2">
      <c r="A122" t="s">
        <v>1018</v>
      </c>
      <c r="B122">
        <v>3.8</v>
      </c>
      <c r="C122">
        <v>3.1</v>
      </c>
      <c r="D122" s="6">
        <f t="shared" si="3"/>
        <v>0.69999999999999973</v>
      </c>
    </row>
    <row r="123" spans="1:4" x14ac:dyDescent="0.2">
      <c r="A123" t="s">
        <v>1019</v>
      </c>
      <c r="B123">
        <v>1.2</v>
      </c>
      <c r="C123">
        <v>1.4159999999999999</v>
      </c>
      <c r="D123" s="6">
        <f t="shared" si="3"/>
        <v>-0.21599999999999997</v>
      </c>
    </row>
    <row r="124" spans="1:4" x14ac:dyDescent="0.2">
      <c r="A124" t="s">
        <v>1020</v>
      </c>
      <c r="B124">
        <v>1.5</v>
      </c>
      <c r="C124">
        <v>1.72</v>
      </c>
      <c r="D124" s="6">
        <f t="shared" si="3"/>
        <v>-0.21999999999999997</v>
      </c>
    </row>
    <row r="125" spans="1:4" x14ac:dyDescent="0.2">
      <c r="A125" t="s">
        <v>1021</v>
      </c>
      <c r="B125">
        <v>3</v>
      </c>
      <c r="C125">
        <v>5.4829999999999997</v>
      </c>
      <c r="D125" s="6">
        <f t="shared" si="3"/>
        <v>-2.4829999999999997</v>
      </c>
    </row>
    <row r="126" spans="1:4" x14ac:dyDescent="0.2">
      <c r="A126" t="s">
        <v>1022</v>
      </c>
      <c r="B126">
        <v>2.1</v>
      </c>
      <c r="C126">
        <v>1.6319999999999999</v>
      </c>
      <c r="D126" s="6">
        <f t="shared" si="3"/>
        <v>0.46800000000000019</v>
      </c>
    </row>
    <row r="127" spans="1:4" x14ac:dyDescent="0.2">
      <c r="A127" t="s">
        <v>1023</v>
      </c>
      <c r="B127">
        <v>2.1</v>
      </c>
      <c r="C127">
        <v>2.722</v>
      </c>
      <c r="D127" s="6">
        <f t="shared" si="3"/>
        <v>-0.62199999999999989</v>
      </c>
    </row>
    <row r="128" spans="1:4" x14ac:dyDescent="0.2">
      <c r="A128" t="s">
        <v>1024</v>
      </c>
      <c r="B128">
        <v>3.5</v>
      </c>
      <c r="C128">
        <v>3.645</v>
      </c>
      <c r="D128" s="6">
        <f t="shared" si="3"/>
        <v>-0.14500000000000002</v>
      </c>
    </row>
    <row r="129" spans="1:4" x14ac:dyDescent="0.2">
      <c r="A129" t="s">
        <v>1025</v>
      </c>
      <c r="B129">
        <v>3.6</v>
      </c>
      <c r="C129">
        <v>3.5529999999999999</v>
      </c>
      <c r="D129" s="6">
        <f t="shared" si="3"/>
        <v>4.7000000000000153E-2</v>
      </c>
    </row>
    <row r="130" spans="1:4" x14ac:dyDescent="0.2">
      <c r="A130" t="s">
        <v>1026</v>
      </c>
      <c r="B130">
        <v>3.8</v>
      </c>
      <c r="C130">
        <v>4</v>
      </c>
      <c r="D130" s="6">
        <f t="shared" si="3"/>
        <v>-0.20000000000000018</v>
      </c>
    </row>
    <row r="131" spans="1:4" x14ac:dyDescent="0.2">
      <c r="A131" t="s">
        <v>1027</v>
      </c>
      <c r="B131">
        <v>2.8</v>
      </c>
      <c r="C131">
        <v>2.61</v>
      </c>
      <c r="D131" s="6">
        <f t="shared" si="3"/>
        <v>0.18999999999999995</v>
      </c>
    </row>
    <row r="132" spans="1:4" x14ac:dyDescent="0.2">
      <c r="A132" t="s">
        <v>1028</v>
      </c>
      <c r="B132">
        <v>4.0999999999999996</v>
      </c>
      <c r="C132">
        <v>5.76</v>
      </c>
      <c r="D132" s="6">
        <f t="shared" si="3"/>
        <v>-1.6600000000000001</v>
      </c>
    </row>
    <row r="133" spans="1:4" x14ac:dyDescent="0.2">
      <c r="A133" t="s">
        <v>1029</v>
      </c>
      <c r="B133">
        <v>3.3</v>
      </c>
      <c r="C133">
        <v>3.5049999999999999</v>
      </c>
      <c r="D133" s="6">
        <f t="shared" si="3"/>
        <v>-0.20500000000000007</v>
      </c>
    </row>
    <row r="134" spans="1:4" x14ac:dyDescent="0.2">
      <c r="A134" t="s">
        <v>1030</v>
      </c>
      <c r="B134">
        <v>3.8</v>
      </c>
      <c r="C134">
        <v>3.5</v>
      </c>
      <c r="D134" s="6">
        <f t="shared" ref="D134:D165" si="4">B134-C134</f>
        <v>0.29999999999999982</v>
      </c>
    </row>
    <row r="135" spans="1:4" x14ac:dyDescent="0.2">
      <c r="A135" t="s">
        <v>1031</v>
      </c>
      <c r="B135">
        <v>3.3</v>
      </c>
      <c r="C135">
        <v>3.101</v>
      </c>
      <c r="D135" s="6">
        <f t="shared" si="4"/>
        <v>0.19899999999999984</v>
      </c>
    </row>
    <row r="136" spans="1:4" x14ac:dyDescent="0.2">
      <c r="A136" t="s">
        <v>1032</v>
      </c>
      <c r="B136">
        <v>-0.1</v>
      </c>
      <c r="C136">
        <v>-0.1</v>
      </c>
      <c r="D136" s="6">
        <f t="shared" si="4"/>
        <v>0</v>
      </c>
    </row>
    <row r="137" spans="1:4" x14ac:dyDescent="0.2">
      <c r="A137" t="s">
        <v>1033</v>
      </c>
      <c r="B137">
        <v>1.9</v>
      </c>
      <c r="C137">
        <v>1.667</v>
      </c>
      <c r="D137" s="6">
        <f t="shared" si="4"/>
        <v>0.23299999999999987</v>
      </c>
    </row>
    <row r="138" spans="1:4" x14ac:dyDescent="0.2">
      <c r="A138" t="s">
        <v>1034</v>
      </c>
      <c r="B138">
        <v>4.2</v>
      </c>
      <c r="C138">
        <v>3.5</v>
      </c>
      <c r="D138" s="6">
        <f t="shared" si="4"/>
        <v>0.70000000000000018</v>
      </c>
    </row>
    <row r="139" spans="1:4" x14ac:dyDescent="0.2">
      <c r="A139" t="s">
        <v>1035</v>
      </c>
      <c r="B139">
        <v>-8.6</v>
      </c>
      <c r="C139">
        <v>5.6180000000000003</v>
      </c>
      <c r="D139" s="6">
        <f t="shared" si="4"/>
        <v>-14.218</v>
      </c>
    </row>
    <row r="140" spans="1:4" x14ac:dyDescent="0.2">
      <c r="A140" t="s">
        <v>1036</v>
      </c>
      <c r="B140">
        <v>0.7</v>
      </c>
      <c r="C140">
        <v>2.7589999999999999</v>
      </c>
      <c r="D140" s="6">
        <f t="shared" si="4"/>
        <v>-2.0590000000000002</v>
      </c>
    </row>
    <row r="141" spans="1:4" x14ac:dyDescent="0.2">
      <c r="A141" t="s">
        <v>1037</v>
      </c>
      <c r="B141">
        <v>1.1000000000000001</v>
      </c>
      <c r="C141">
        <v>0.86499999999999999</v>
      </c>
      <c r="D141" s="6">
        <f t="shared" si="4"/>
        <v>0.2350000000000001</v>
      </c>
    </row>
    <row r="142" spans="1:4" x14ac:dyDescent="0.2">
      <c r="A142" t="s">
        <v>1038</v>
      </c>
      <c r="B142">
        <v>7.2</v>
      </c>
      <c r="C142">
        <v>7.476</v>
      </c>
      <c r="D142" s="6">
        <f t="shared" si="4"/>
        <v>-0.2759999999999998</v>
      </c>
    </row>
    <row r="143" spans="1:4" x14ac:dyDescent="0.2">
      <c r="A143" t="s">
        <v>1039</v>
      </c>
      <c r="B143">
        <v>3.1</v>
      </c>
      <c r="C143">
        <v>3.742</v>
      </c>
      <c r="D143" s="6">
        <f t="shared" si="4"/>
        <v>-0.6419999999999999</v>
      </c>
    </row>
    <row r="144" spans="1:4" x14ac:dyDescent="0.2">
      <c r="A144" t="s">
        <v>1040</v>
      </c>
      <c r="B144">
        <v>0.7</v>
      </c>
      <c r="C144">
        <v>8.8179999999999996</v>
      </c>
      <c r="D144" s="6">
        <f t="shared" si="4"/>
        <v>-8.1180000000000003</v>
      </c>
    </row>
    <row r="145" spans="1:4" x14ac:dyDescent="0.2">
      <c r="A145" t="s">
        <v>1041</v>
      </c>
      <c r="B145">
        <v>2.2000000000000002</v>
      </c>
      <c r="C145">
        <v>4.0890000000000004</v>
      </c>
      <c r="D145" s="6">
        <f t="shared" si="4"/>
        <v>-1.8890000000000002</v>
      </c>
    </row>
    <row r="146" spans="1:4" x14ac:dyDescent="0.2">
      <c r="A146" t="s">
        <v>1042</v>
      </c>
      <c r="B146">
        <v>3.5</v>
      </c>
      <c r="C146">
        <v>1.879</v>
      </c>
      <c r="D146" s="6">
        <f t="shared" si="4"/>
        <v>1.621</v>
      </c>
    </row>
    <row r="147" spans="1:4" x14ac:dyDescent="0.2">
      <c r="A147" t="s">
        <v>1043</v>
      </c>
      <c r="B147">
        <v>2.8</v>
      </c>
      <c r="C147">
        <v>2.8279999999999998</v>
      </c>
      <c r="D147" s="6">
        <f t="shared" si="4"/>
        <v>-2.8000000000000025E-2</v>
      </c>
    </row>
    <row r="148" spans="1:4" x14ac:dyDescent="0.2">
      <c r="A148" t="s">
        <v>1044</v>
      </c>
      <c r="B148">
        <v>4.5</v>
      </c>
      <c r="C148">
        <v>4.851</v>
      </c>
      <c r="D148" s="6">
        <f t="shared" si="4"/>
        <v>-0.35099999999999998</v>
      </c>
    </row>
    <row r="149" spans="1:4" x14ac:dyDescent="0.2">
      <c r="A149" t="s">
        <v>1045</v>
      </c>
      <c r="B149">
        <v>3.3</v>
      </c>
      <c r="C149">
        <v>2.5150000000000001</v>
      </c>
      <c r="D149" s="6">
        <f t="shared" si="4"/>
        <v>0.7849999999999997</v>
      </c>
    </row>
    <row r="150" spans="1:4" x14ac:dyDescent="0.2">
      <c r="A150" t="s">
        <v>1046</v>
      </c>
      <c r="B150">
        <v>1.3</v>
      </c>
      <c r="C150">
        <v>1.3</v>
      </c>
      <c r="D150" s="6">
        <f t="shared" si="4"/>
        <v>0</v>
      </c>
    </row>
    <row r="151" spans="1:4" x14ac:dyDescent="0.2">
      <c r="A151" t="s">
        <v>1047</v>
      </c>
      <c r="B151">
        <v>2.6</v>
      </c>
      <c r="C151">
        <v>4.0999999999999996</v>
      </c>
      <c r="D151" s="6">
        <f t="shared" si="4"/>
        <v>-1.4999999999999996</v>
      </c>
    </row>
    <row r="152" spans="1:4" x14ac:dyDescent="0.2">
      <c r="A152" t="s">
        <v>1048</v>
      </c>
      <c r="B152">
        <v>2.8</v>
      </c>
      <c r="C152">
        <v>4.234</v>
      </c>
      <c r="D152" s="6">
        <f t="shared" si="4"/>
        <v>-1.4340000000000002</v>
      </c>
    </row>
    <row r="153" spans="1:4" x14ac:dyDescent="0.2">
      <c r="A153" t="s">
        <v>1049</v>
      </c>
      <c r="B153">
        <v>4.0999999999999996</v>
      </c>
      <c r="C153">
        <v>64.466999999999999</v>
      </c>
      <c r="D153" s="6">
        <f t="shared" si="4"/>
        <v>-60.366999999999997</v>
      </c>
    </row>
    <row r="154" spans="1:4" x14ac:dyDescent="0.2">
      <c r="A154" t="s">
        <v>1050</v>
      </c>
      <c r="B154">
        <v>3.4</v>
      </c>
      <c r="C154">
        <v>4.83</v>
      </c>
      <c r="D154" s="6">
        <f t="shared" si="4"/>
        <v>-1.4300000000000002</v>
      </c>
    </row>
    <row r="155" spans="1:4" x14ac:dyDescent="0.2">
      <c r="A155" t="s">
        <v>1051</v>
      </c>
      <c r="B155">
        <v>3.9</v>
      </c>
      <c r="C155">
        <v>3.718</v>
      </c>
      <c r="D155" s="6">
        <f t="shared" si="4"/>
        <v>0.18199999999999994</v>
      </c>
    </row>
    <row r="156" spans="1:4" x14ac:dyDescent="0.2">
      <c r="A156" t="s">
        <v>1052</v>
      </c>
      <c r="B156">
        <v>0.6</v>
      </c>
      <c r="C156">
        <v>1.706</v>
      </c>
      <c r="D156" s="6">
        <f t="shared" si="4"/>
        <v>-1.1059999999999999</v>
      </c>
    </row>
    <row r="157" spans="1:4" x14ac:dyDescent="0.2">
      <c r="A157" t="s">
        <v>1053</v>
      </c>
      <c r="B157">
        <v>2</v>
      </c>
      <c r="C157">
        <v>2.4</v>
      </c>
      <c r="D157" s="6">
        <f t="shared" si="4"/>
        <v>-0.39999999999999991</v>
      </c>
    </row>
    <row r="158" spans="1:4" x14ac:dyDescent="0.2">
      <c r="A158" t="s">
        <v>1054</v>
      </c>
      <c r="B158">
        <v>2</v>
      </c>
      <c r="C158">
        <v>2.1680000000000001</v>
      </c>
      <c r="D158" s="6">
        <f t="shared" si="4"/>
        <v>-0.16800000000000015</v>
      </c>
    </row>
    <row r="159" spans="1:4" x14ac:dyDescent="0.2">
      <c r="A159" t="s">
        <v>1055</v>
      </c>
      <c r="B159">
        <v>4</v>
      </c>
      <c r="C159">
        <v>4.931</v>
      </c>
      <c r="D159" s="6">
        <f t="shared" si="4"/>
        <v>-0.93100000000000005</v>
      </c>
    </row>
    <row r="160" spans="1:4" x14ac:dyDescent="0.2">
      <c r="A160" t="s">
        <v>1056</v>
      </c>
      <c r="B160">
        <v>1.5</v>
      </c>
      <c r="C160">
        <v>3.496</v>
      </c>
      <c r="D160" s="6">
        <f t="shared" si="4"/>
        <v>-1.996</v>
      </c>
    </row>
    <row r="161" spans="1:4" x14ac:dyDescent="0.2">
      <c r="A161" t="s">
        <v>1057</v>
      </c>
      <c r="B161">
        <v>5.2</v>
      </c>
      <c r="C161">
        <v>3.173</v>
      </c>
      <c r="D161" s="6">
        <f t="shared" si="4"/>
        <v>2.0270000000000001</v>
      </c>
    </row>
    <row r="162" spans="1:4" x14ac:dyDescent="0.2">
      <c r="A162" t="s">
        <v>1058</v>
      </c>
      <c r="B162">
        <v>5</v>
      </c>
      <c r="C162">
        <v>5.5</v>
      </c>
      <c r="D162" s="6">
        <f t="shared" si="4"/>
        <v>-0.5</v>
      </c>
    </row>
    <row r="163" spans="1:4" x14ac:dyDescent="0.2">
      <c r="A163" t="s">
        <v>1059</v>
      </c>
      <c r="B163">
        <v>1.5</v>
      </c>
      <c r="C163">
        <v>1.6</v>
      </c>
      <c r="D163" s="6">
        <f t="shared" si="4"/>
        <v>-0.10000000000000009</v>
      </c>
    </row>
    <row r="164" spans="1:4" x14ac:dyDescent="0.2">
      <c r="A164" t="s">
        <v>1060</v>
      </c>
      <c r="B164">
        <v>6</v>
      </c>
      <c r="C164">
        <v>4.96</v>
      </c>
      <c r="D164" s="6">
        <f t="shared" si="4"/>
        <v>1.04</v>
      </c>
    </row>
    <row r="165" spans="1:4" x14ac:dyDescent="0.2">
      <c r="A165" t="s">
        <v>1061</v>
      </c>
      <c r="B165">
        <v>2.6</v>
      </c>
      <c r="C165">
        <v>2.3450000000000002</v>
      </c>
      <c r="D165" s="6">
        <f t="shared" si="4"/>
        <v>0.25499999999999989</v>
      </c>
    </row>
    <row r="166" spans="1:4" x14ac:dyDescent="0.2">
      <c r="A166" t="s">
        <v>1062</v>
      </c>
      <c r="B166">
        <v>4.0999999999999996</v>
      </c>
      <c r="C166">
        <v>3.2</v>
      </c>
      <c r="D166" s="6">
        <f t="shared" ref="D166:D197" si="5">B166-C166</f>
        <v>0.89999999999999947</v>
      </c>
    </row>
    <row r="167" spans="1:4" x14ac:dyDescent="0.2">
      <c r="A167" t="s">
        <v>1063</v>
      </c>
      <c r="B167">
        <v>2.2999999999999998</v>
      </c>
      <c r="C167">
        <v>2.3410000000000002</v>
      </c>
      <c r="D167" s="6">
        <f t="shared" si="5"/>
        <v>-4.1000000000000369E-2</v>
      </c>
    </row>
    <row r="168" spans="1:4" x14ac:dyDescent="0.2">
      <c r="A168" t="s">
        <v>1064</v>
      </c>
      <c r="B168">
        <v>0.8</v>
      </c>
      <c r="C168">
        <v>1.0940000000000001</v>
      </c>
      <c r="D168" s="6">
        <f t="shared" si="5"/>
        <v>-0.29400000000000004</v>
      </c>
    </row>
    <row r="169" spans="1:4" x14ac:dyDescent="0.2">
      <c r="A169" t="s">
        <v>1065</v>
      </c>
      <c r="B169">
        <v>2.1</v>
      </c>
      <c r="C169">
        <v>1.417</v>
      </c>
      <c r="D169" s="6">
        <f t="shared" si="5"/>
        <v>0.68300000000000005</v>
      </c>
    </row>
    <row r="170" spans="1:4" x14ac:dyDescent="0.2">
      <c r="A170" t="s">
        <v>1066</v>
      </c>
      <c r="B170">
        <v>3.4</v>
      </c>
      <c r="C170">
        <v>3.1909999999999998</v>
      </c>
      <c r="D170" s="6">
        <f t="shared" si="5"/>
        <v>0.20900000000000007</v>
      </c>
    </row>
    <row r="171" spans="1:4" x14ac:dyDescent="0.2">
      <c r="A171" t="s">
        <v>1067</v>
      </c>
      <c r="B171">
        <v>2.5</v>
      </c>
      <c r="C171">
        <v>2.323</v>
      </c>
      <c r="D171" s="6">
        <f t="shared" si="5"/>
        <v>0.17700000000000005</v>
      </c>
    </row>
    <row r="172" spans="1:4" x14ac:dyDescent="0.2">
      <c r="A172" t="s">
        <v>1068</v>
      </c>
      <c r="B172">
        <v>5.2</v>
      </c>
      <c r="C172">
        <v>2.4990000000000001</v>
      </c>
      <c r="D172" s="6">
        <f t="shared" si="5"/>
        <v>2.7010000000000001</v>
      </c>
    </row>
    <row r="173" spans="1:4" x14ac:dyDescent="0.2">
      <c r="A173" t="s">
        <v>1069</v>
      </c>
      <c r="B173">
        <v>7.5</v>
      </c>
      <c r="C173">
        <v>7.6319999999999997</v>
      </c>
      <c r="D173" s="6">
        <f t="shared" si="5"/>
        <v>-0.13199999999999967</v>
      </c>
    </row>
    <row r="174" spans="1:4" x14ac:dyDescent="0.2">
      <c r="A174" t="s">
        <v>1070</v>
      </c>
      <c r="B174">
        <v>2</v>
      </c>
      <c r="C174">
        <v>4.5</v>
      </c>
      <c r="D174" s="6">
        <f t="shared" si="5"/>
        <v>-2.5</v>
      </c>
    </row>
    <row r="175" spans="1:4" x14ac:dyDescent="0.2">
      <c r="A175" t="s">
        <v>1071</v>
      </c>
      <c r="B175">
        <v>1.8</v>
      </c>
      <c r="C175">
        <v>2.6</v>
      </c>
      <c r="D175" s="6">
        <f t="shared" si="5"/>
        <v>-0.8</v>
      </c>
    </row>
    <row r="176" spans="1:4" x14ac:dyDescent="0.2">
      <c r="A176" t="s">
        <v>1072</v>
      </c>
      <c r="B176">
        <v>2.2999999999999998</v>
      </c>
      <c r="C176">
        <v>1.744</v>
      </c>
      <c r="D176" s="6">
        <f t="shared" si="5"/>
        <v>0.55599999999999983</v>
      </c>
    </row>
    <row r="177" spans="1:6" x14ac:dyDescent="0.2">
      <c r="A177" t="s">
        <v>1073</v>
      </c>
      <c r="B177">
        <v>6.5</v>
      </c>
      <c r="C177">
        <v>5.8079999999999998</v>
      </c>
      <c r="D177" s="6">
        <f t="shared" si="5"/>
        <v>0.69200000000000017</v>
      </c>
    </row>
    <row r="178" spans="1:6" x14ac:dyDescent="0.2">
      <c r="A178" t="s">
        <v>1074</v>
      </c>
      <c r="B178">
        <v>4</v>
      </c>
      <c r="C178">
        <v>-5.5</v>
      </c>
      <c r="D178" s="6">
        <f t="shared" si="5"/>
        <v>9.5</v>
      </c>
    </row>
    <row r="179" spans="1:6" x14ac:dyDescent="0.2">
      <c r="A179" t="s">
        <v>1075</v>
      </c>
      <c r="B179">
        <v>7.1</v>
      </c>
      <c r="C179">
        <v>4.0469999999999997</v>
      </c>
      <c r="D179" s="6">
        <f t="shared" si="5"/>
        <v>3.0529999999999999</v>
      </c>
    </row>
    <row r="180" spans="1:6" x14ac:dyDescent="0.2">
      <c r="A180" t="s">
        <v>1076</v>
      </c>
      <c r="B180">
        <v>3.5</v>
      </c>
      <c r="C180">
        <v>2.0939999999999999</v>
      </c>
      <c r="D180" s="6">
        <f t="shared" si="5"/>
        <v>1.4060000000000001</v>
      </c>
    </row>
    <row r="181" spans="1:6" x14ac:dyDescent="0.2">
      <c r="A181" t="s">
        <v>1077</v>
      </c>
      <c r="B181">
        <v>3.2</v>
      </c>
      <c r="C181">
        <v>2.5680000000000001</v>
      </c>
      <c r="D181" s="6">
        <f t="shared" si="5"/>
        <v>0.63200000000000012</v>
      </c>
    </row>
    <row r="182" spans="1:6" x14ac:dyDescent="0.2">
      <c r="A182" t="s">
        <v>1078</v>
      </c>
      <c r="B182">
        <v>0.5</v>
      </c>
      <c r="C182">
        <v>0</v>
      </c>
      <c r="D182" s="6">
        <f t="shared" si="5"/>
        <v>0.5</v>
      </c>
    </row>
    <row r="183" spans="1:6" x14ac:dyDescent="0.2">
      <c r="A183" t="s">
        <v>1079</v>
      </c>
      <c r="B183">
        <v>1</v>
      </c>
      <c r="C183">
        <v>1.2889999999999999</v>
      </c>
      <c r="D183" s="6">
        <f t="shared" si="5"/>
        <v>-0.28899999999999992</v>
      </c>
    </row>
    <row r="184" spans="1:6" x14ac:dyDescent="0.2">
      <c r="A184" t="s">
        <v>1080</v>
      </c>
      <c r="B184">
        <v>4.3</v>
      </c>
      <c r="C184">
        <v>6.8170000000000002</v>
      </c>
      <c r="D184" s="6">
        <f t="shared" si="5"/>
        <v>-2.5170000000000003</v>
      </c>
    </row>
    <row r="185" spans="1:6" x14ac:dyDescent="0.2">
      <c r="A185" t="s">
        <v>1081</v>
      </c>
      <c r="B185">
        <v>5</v>
      </c>
      <c r="C185">
        <v>4.6399999999999997</v>
      </c>
      <c r="D185" s="6">
        <f t="shared" si="5"/>
        <v>0.36000000000000032</v>
      </c>
    </row>
    <row r="188" spans="1:6" x14ac:dyDescent="0.2">
      <c r="A188" s="10" t="s">
        <v>1082</v>
      </c>
    </row>
    <row r="189" spans="1:6" ht="30" customHeight="1" x14ac:dyDescent="0.2">
      <c r="A189" s="5" t="s">
        <v>1083</v>
      </c>
      <c r="B189" s="5" t="s">
        <v>1084</v>
      </c>
      <c r="C189" s="5" t="s">
        <v>1085</v>
      </c>
      <c r="D189" s="5" t="s">
        <v>1086</v>
      </c>
      <c r="E189" s="5" t="s">
        <v>1087</v>
      </c>
      <c r="F189" s="5" t="s">
        <v>1088</v>
      </c>
    </row>
    <row r="190" spans="1:6" x14ac:dyDescent="0.2">
      <c r="A190">
        <v>2</v>
      </c>
      <c r="B190" t="s">
        <v>1089</v>
      </c>
      <c r="C190" t="s">
        <v>1090</v>
      </c>
      <c r="D190" s="8">
        <v>6.8825126878840003E-4</v>
      </c>
      <c r="E190" s="6">
        <f t="shared" ref="E190:E253" si="6">IFERROR(VLOOKUP(C190,$A$6:$D$185,4,FALSE),0)</f>
        <v>0</v>
      </c>
      <c r="F190" s="8">
        <f t="shared" ref="F190:F253" si="7">D190*E190</f>
        <v>0</v>
      </c>
    </row>
    <row r="191" spans="1:6" x14ac:dyDescent="0.2">
      <c r="A191">
        <v>2</v>
      </c>
      <c r="B191" t="s">
        <v>1089</v>
      </c>
      <c r="C191" t="s">
        <v>906</v>
      </c>
      <c r="D191" s="8">
        <v>2.8168010960714401E-2</v>
      </c>
      <c r="E191" s="6">
        <f t="shared" si="6"/>
        <v>-1.8859999999999997</v>
      </c>
      <c r="F191" s="8">
        <f t="shared" si="7"/>
        <v>-5.3124868671907348E-2</v>
      </c>
    </row>
    <row r="192" spans="1:6" x14ac:dyDescent="0.2">
      <c r="A192">
        <v>2</v>
      </c>
      <c r="B192" t="s">
        <v>1089</v>
      </c>
      <c r="C192" t="s">
        <v>907</v>
      </c>
      <c r="D192" s="8">
        <v>1.455145194246E-4</v>
      </c>
      <c r="E192" s="6">
        <f t="shared" si="6"/>
        <v>-1.0199999999999996</v>
      </c>
      <c r="F192" s="8">
        <f t="shared" si="7"/>
        <v>-1.4842480981309194E-4</v>
      </c>
    </row>
    <row r="193" spans="1:6" x14ac:dyDescent="0.2">
      <c r="A193">
        <v>2</v>
      </c>
      <c r="B193" t="s">
        <v>1089</v>
      </c>
      <c r="C193" t="s">
        <v>910</v>
      </c>
      <c r="D193" s="8">
        <v>2.0291960449018002E-3</v>
      </c>
      <c r="E193" s="6">
        <f t="shared" si="6"/>
        <v>-7.7999999999999847E-2</v>
      </c>
      <c r="F193" s="8">
        <f t="shared" si="7"/>
        <v>-1.582772915023401E-4</v>
      </c>
    </row>
    <row r="194" spans="1:6" x14ac:dyDescent="0.2">
      <c r="A194">
        <v>2</v>
      </c>
      <c r="B194" t="s">
        <v>1089</v>
      </c>
      <c r="C194" t="s">
        <v>911</v>
      </c>
      <c r="D194" s="8">
        <v>2.9262383877061658E-7</v>
      </c>
      <c r="E194" s="6">
        <f t="shared" si="6"/>
        <v>-7.5000000000000067E-2</v>
      </c>
      <c r="F194" s="8">
        <f t="shared" si="7"/>
        <v>-2.1946787907796261E-8</v>
      </c>
    </row>
    <row r="195" spans="1:6" x14ac:dyDescent="0.2">
      <c r="A195">
        <v>2</v>
      </c>
      <c r="B195" t="s">
        <v>1089</v>
      </c>
      <c r="C195" t="s">
        <v>914</v>
      </c>
      <c r="D195" s="8">
        <v>3.6363640200023572E-5</v>
      </c>
      <c r="E195" s="6">
        <f t="shared" si="6"/>
        <v>-0.26900000000000002</v>
      </c>
      <c r="F195" s="8">
        <f t="shared" si="7"/>
        <v>-9.7818192138063409E-6</v>
      </c>
    </row>
    <row r="196" spans="1:6" x14ac:dyDescent="0.2">
      <c r="A196">
        <v>2</v>
      </c>
      <c r="B196" t="s">
        <v>1089</v>
      </c>
      <c r="C196" t="s">
        <v>915</v>
      </c>
      <c r="D196" s="8">
        <v>1.518778686519244E-5</v>
      </c>
      <c r="E196" s="6">
        <f t="shared" si="6"/>
        <v>0.81400000000000006</v>
      </c>
      <c r="F196" s="8">
        <f t="shared" si="7"/>
        <v>1.2362858508266646E-5</v>
      </c>
    </row>
    <row r="197" spans="1:6" x14ac:dyDescent="0.2">
      <c r="A197">
        <v>2</v>
      </c>
      <c r="B197" t="s">
        <v>1089</v>
      </c>
      <c r="C197" t="s">
        <v>916</v>
      </c>
      <c r="D197" s="8">
        <v>7.3155959692654172E-8</v>
      </c>
      <c r="E197" s="6">
        <f t="shared" si="6"/>
        <v>0.37200000000000077</v>
      </c>
      <c r="F197" s="8">
        <f t="shared" si="7"/>
        <v>2.7214017005667408E-8</v>
      </c>
    </row>
    <row r="198" spans="1:6" x14ac:dyDescent="0.2">
      <c r="A198">
        <v>2</v>
      </c>
      <c r="B198" t="s">
        <v>1089</v>
      </c>
      <c r="C198" t="s">
        <v>917</v>
      </c>
      <c r="D198" s="8">
        <v>6.6659751366127895E-2</v>
      </c>
      <c r="E198" s="6">
        <f t="shared" si="6"/>
        <v>-1.83</v>
      </c>
      <c r="F198" s="8">
        <f t="shared" si="7"/>
        <v>-0.12198734500001406</v>
      </c>
    </row>
    <row r="199" spans="1:6" x14ac:dyDescent="0.2">
      <c r="A199">
        <v>2</v>
      </c>
      <c r="B199" t="s">
        <v>1089</v>
      </c>
      <c r="C199" t="s">
        <v>918</v>
      </c>
      <c r="D199" s="8">
        <v>9.3809350233084256E-5</v>
      </c>
      <c r="E199" s="6">
        <f t="shared" si="6"/>
        <v>0.1469999999999998</v>
      </c>
      <c r="F199" s="8">
        <f t="shared" si="7"/>
        <v>1.3789974484263367E-5</v>
      </c>
    </row>
    <row r="200" spans="1:6" x14ac:dyDescent="0.2">
      <c r="A200">
        <v>2</v>
      </c>
      <c r="B200" t="s">
        <v>1089</v>
      </c>
      <c r="C200" t="s">
        <v>919</v>
      </c>
      <c r="D200" s="8">
        <v>1.3199750006780001E-4</v>
      </c>
      <c r="E200" s="6">
        <f t="shared" si="6"/>
        <v>-3.4940000000000002</v>
      </c>
      <c r="F200" s="8">
        <f t="shared" si="7"/>
        <v>-4.6119926523689329E-4</v>
      </c>
    </row>
    <row r="201" spans="1:6" x14ac:dyDescent="0.2">
      <c r="A201">
        <v>2</v>
      </c>
      <c r="B201" t="s">
        <v>1089</v>
      </c>
      <c r="C201" t="s">
        <v>924</v>
      </c>
      <c r="D201" s="8">
        <v>4.0012113238320002E-4</v>
      </c>
      <c r="E201" s="6">
        <f t="shared" si="6"/>
        <v>-8.4000000000000075E-2</v>
      </c>
      <c r="F201" s="8">
        <f t="shared" si="7"/>
        <v>-3.3610175120188829E-5</v>
      </c>
    </row>
    <row r="202" spans="1:6" x14ac:dyDescent="0.2">
      <c r="A202">
        <v>2</v>
      </c>
      <c r="B202" t="s">
        <v>1089</v>
      </c>
      <c r="C202" t="s">
        <v>926</v>
      </c>
      <c r="D202" s="8">
        <v>1.4898878373760001E-4</v>
      </c>
      <c r="E202" s="6">
        <f t="shared" si="6"/>
        <v>-4.8000000000000043E-2</v>
      </c>
      <c r="F202" s="8">
        <f t="shared" si="7"/>
        <v>-7.1514616194048071E-6</v>
      </c>
    </row>
    <row r="203" spans="1:6" x14ac:dyDescent="0.2">
      <c r="A203">
        <v>2</v>
      </c>
      <c r="B203" t="s">
        <v>1089</v>
      </c>
      <c r="C203" t="s">
        <v>927</v>
      </c>
      <c r="D203" s="8">
        <v>3.3010505086594888E-5</v>
      </c>
      <c r="E203" s="6">
        <f t="shared" si="6"/>
        <v>0.5</v>
      </c>
      <c r="F203" s="8">
        <f t="shared" si="7"/>
        <v>1.6505252543297444E-5</v>
      </c>
    </row>
    <row r="204" spans="1:6" x14ac:dyDescent="0.2">
      <c r="A204">
        <v>2</v>
      </c>
      <c r="B204" t="s">
        <v>1089</v>
      </c>
      <c r="C204" t="s">
        <v>930</v>
      </c>
      <c r="D204" s="8">
        <v>1.7138319906312999E-3</v>
      </c>
      <c r="E204" s="6">
        <f t="shared" si="6"/>
        <v>-5.8000000000000052E-2</v>
      </c>
      <c r="F204" s="8">
        <f t="shared" si="7"/>
        <v>-9.9402255456615491E-5</v>
      </c>
    </row>
    <row r="205" spans="1:6" x14ac:dyDescent="0.2">
      <c r="A205">
        <v>2</v>
      </c>
      <c r="B205" t="s">
        <v>1089</v>
      </c>
      <c r="C205" t="s">
        <v>931</v>
      </c>
      <c r="D205" s="8">
        <v>2.7742205473180003E-4</v>
      </c>
      <c r="E205" s="6">
        <f t="shared" si="6"/>
        <v>-0.31099999999999994</v>
      </c>
      <c r="F205" s="8">
        <f t="shared" si="7"/>
        <v>-8.6278259021589797E-5</v>
      </c>
    </row>
    <row r="206" spans="1:6" x14ac:dyDescent="0.2">
      <c r="A206">
        <v>2</v>
      </c>
      <c r="B206" t="s">
        <v>1089</v>
      </c>
      <c r="C206" t="s">
        <v>932</v>
      </c>
      <c r="D206" s="8">
        <v>3.9072350560839998E-4</v>
      </c>
      <c r="E206" s="6">
        <f t="shared" si="6"/>
        <v>0.21799999999999997</v>
      </c>
      <c r="F206" s="8">
        <f t="shared" si="7"/>
        <v>8.517772422263118E-5</v>
      </c>
    </row>
    <row r="207" spans="1:6" x14ac:dyDescent="0.2">
      <c r="A207">
        <v>2</v>
      </c>
      <c r="B207" t="s">
        <v>1089</v>
      </c>
      <c r="C207" t="s">
        <v>933</v>
      </c>
      <c r="D207" s="8">
        <v>0.2364262066901896</v>
      </c>
      <c r="E207" s="6">
        <f t="shared" si="6"/>
        <v>0.4430000000000005</v>
      </c>
      <c r="F207" s="8">
        <f t="shared" si="7"/>
        <v>0.10473680956375411</v>
      </c>
    </row>
    <row r="208" spans="1:6" x14ac:dyDescent="0.2">
      <c r="A208">
        <v>2</v>
      </c>
      <c r="B208" t="s">
        <v>1089</v>
      </c>
      <c r="C208" t="s">
        <v>934</v>
      </c>
      <c r="D208" s="8">
        <v>1.2846476707336851E-5</v>
      </c>
      <c r="E208" s="6">
        <f t="shared" si="6"/>
        <v>-0.20000000000000018</v>
      </c>
      <c r="F208" s="8">
        <f t="shared" si="7"/>
        <v>-2.5692953414673725E-6</v>
      </c>
    </row>
    <row r="209" spans="1:6" x14ac:dyDescent="0.2">
      <c r="A209">
        <v>2</v>
      </c>
      <c r="B209" t="s">
        <v>1089</v>
      </c>
      <c r="C209" t="s">
        <v>936</v>
      </c>
      <c r="D209" s="8">
        <v>1.2192659948775691E-7</v>
      </c>
      <c r="E209" s="6">
        <f t="shared" si="6"/>
        <v>0.72900000000000009</v>
      </c>
      <c r="F209" s="8">
        <f t="shared" si="7"/>
        <v>8.8884491026574797E-8</v>
      </c>
    </row>
    <row r="210" spans="1:6" x14ac:dyDescent="0.2">
      <c r="A210">
        <v>2</v>
      </c>
      <c r="B210" t="s">
        <v>1089</v>
      </c>
      <c r="C210" t="s">
        <v>1091</v>
      </c>
      <c r="D210" s="8">
        <v>7.2937467226372077E-6</v>
      </c>
      <c r="E210" s="6">
        <f t="shared" si="6"/>
        <v>0</v>
      </c>
      <c r="F210" s="8">
        <f t="shared" si="7"/>
        <v>0</v>
      </c>
    </row>
    <row r="211" spans="1:6" x14ac:dyDescent="0.2">
      <c r="A211">
        <v>2</v>
      </c>
      <c r="B211" t="s">
        <v>1089</v>
      </c>
      <c r="C211" t="s">
        <v>943</v>
      </c>
      <c r="D211" s="8">
        <v>2.061949397035E-4</v>
      </c>
      <c r="E211" s="6">
        <f t="shared" si="6"/>
        <v>0.40800000000000014</v>
      </c>
      <c r="F211" s="8">
        <f t="shared" si="7"/>
        <v>8.4127535399028026E-5</v>
      </c>
    </row>
    <row r="212" spans="1:6" x14ac:dyDescent="0.2">
      <c r="A212">
        <v>2</v>
      </c>
      <c r="B212" t="s">
        <v>1089</v>
      </c>
      <c r="C212" t="s">
        <v>944</v>
      </c>
      <c r="D212" s="8">
        <v>4.5910586530772002E-3</v>
      </c>
      <c r="E212" s="6">
        <f t="shared" si="6"/>
        <v>-0.122</v>
      </c>
      <c r="F212" s="8">
        <f t="shared" si="7"/>
        <v>-5.6010915567541845E-4</v>
      </c>
    </row>
    <row r="213" spans="1:6" x14ac:dyDescent="0.2">
      <c r="A213">
        <v>2</v>
      </c>
      <c r="B213" t="s">
        <v>1089</v>
      </c>
      <c r="C213" t="s">
        <v>945</v>
      </c>
      <c r="D213" s="8">
        <v>2.0324920281410001E-4</v>
      </c>
      <c r="E213" s="6">
        <f t="shared" si="6"/>
        <v>0.49000000000000021</v>
      </c>
      <c r="F213" s="8">
        <f t="shared" si="7"/>
        <v>9.9592109378909052E-5</v>
      </c>
    </row>
    <row r="214" spans="1:6" x14ac:dyDescent="0.2">
      <c r="A214">
        <v>2</v>
      </c>
      <c r="B214" t="s">
        <v>1089</v>
      </c>
      <c r="C214" t="s">
        <v>947</v>
      </c>
      <c r="D214" s="8">
        <v>4.2603153457253861E-5</v>
      </c>
      <c r="E214" s="6">
        <f t="shared" si="6"/>
        <v>0.15500000000000003</v>
      </c>
      <c r="F214" s="8">
        <f t="shared" si="7"/>
        <v>6.6034887858743496E-6</v>
      </c>
    </row>
    <row r="215" spans="1:6" x14ac:dyDescent="0.2">
      <c r="A215">
        <v>2</v>
      </c>
      <c r="B215" t="s">
        <v>1089</v>
      </c>
      <c r="C215" t="s">
        <v>951</v>
      </c>
      <c r="D215" s="8">
        <v>5.5345653599069998E-4</v>
      </c>
      <c r="E215" s="6">
        <f t="shared" si="6"/>
        <v>-8.8000000000000078E-2</v>
      </c>
      <c r="F215" s="8">
        <f t="shared" si="7"/>
        <v>-4.8704175167181643E-5</v>
      </c>
    </row>
    <row r="216" spans="1:6" x14ac:dyDescent="0.2">
      <c r="A216">
        <v>2</v>
      </c>
      <c r="B216" t="s">
        <v>1089</v>
      </c>
      <c r="C216" t="s">
        <v>952</v>
      </c>
      <c r="D216" s="8">
        <v>4.004584350051E-4</v>
      </c>
      <c r="E216" s="6">
        <f t="shared" si="6"/>
        <v>0.28300000000000014</v>
      </c>
      <c r="F216" s="8">
        <f t="shared" si="7"/>
        <v>1.1332973710644336E-4</v>
      </c>
    </row>
    <row r="217" spans="1:6" x14ac:dyDescent="0.2">
      <c r="A217">
        <v>2</v>
      </c>
      <c r="B217" t="s">
        <v>1089</v>
      </c>
      <c r="C217" t="s">
        <v>953</v>
      </c>
      <c r="D217" s="8">
        <v>3.0639154653157511E-5</v>
      </c>
      <c r="E217" s="6">
        <f t="shared" si="6"/>
        <v>-0.42500000000000004</v>
      </c>
      <c r="F217" s="8">
        <f t="shared" si="7"/>
        <v>-1.3021640727591944E-5</v>
      </c>
    </row>
    <row r="218" spans="1:6" x14ac:dyDescent="0.2">
      <c r="A218">
        <v>2</v>
      </c>
      <c r="B218" t="s">
        <v>1089</v>
      </c>
      <c r="C218" t="s">
        <v>955</v>
      </c>
      <c r="D218" s="8">
        <v>2.2653962184825242E-6</v>
      </c>
      <c r="E218" s="6">
        <f t="shared" si="6"/>
        <v>-0.40500000000000003</v>
      </c>
      <c r="F218" s="8">
        <f t="shared" si="7"/>
        <v>-9.1748546848542232E-7</v>
      </c>
    </row>
    <row r="219" spans="1:6" x14ac:dyDescent="0.2">
      <c r="A219">
        <v>2</v>
      </c>
      <c r="B219" t="s">
        <v>1089</v>
      </c>
      <c r="C219" t="s">
        <v>957</v>
      </c>
      <c r="D219" s="8">
        <v>4.1942307776544003E-3</v>
      </c>
      <c r="E219" s="6">
        <f t="shared" si="6"/>
        <v>-0.11499999999999988</v>
      </c>
      <c r="F219" s="8">
        <f t="shared" si="7"/>
        <v>-4.8233653943025555E-4</v>
      </c>
    </row>
    <row r="220" spans="1:6" x14ac:dyDescent="0.2">
      <c r="A220">
        <v>2</v>
      </c>
      <c r="B220" t="s">
        <v>1089</v>
      </c>
      <c r="C220" t="s">
        <v>959</v>
      </c>
      <c r="D220" s="8">
        <v>2.2639544900912001E-3</v>
      </c>
      <c r="E220" s="6">
        <f t="shared" si="6"/>
        <v>-0.60699999999999998</v>
      </c>
      <c r="F220" s="8">
        <f t="shared" si="7"/>
        <v>-1.3742203754853585E-3</v>
      </c>
    </row>
    <row r="221" spans="1:6" x14ac:dyDescent="0.2">
      <c r="A221">
        <v>2</v>
      </c>
      <c r="B221" t="s">
        <v>1089</v>
      </c>
      <c r="C221" t="s">
        <v>965</v>
      </c>
      <c r="D221" s="8">
        <v>2.865275087962288E-5</v>
      </c>
      <c r="E221" s="6">
        <f t="shared" si="6"/>
        <v>4.5000000000000151E-2</v>
      </c>
      <c r="F221" s="8">
        <f t="shared" si="7"/>
        <v>1.2893737895830339E-6</v>
      </c>
    </row>
    <row r="222" spans="1:6" x14ac:dyDescent="0.2">
      <c r="A222">
        <v>2</v>
      </c>
      <c r="B222" t="s">
        <v>1089</v>
      </c>
      <c r="C222" t="s">
        <v>969</v>
      </c>
      <c r="D222" s="8">
        <v>0.1232579156422756</v>
      </c>
      <c r="E222" s="6">
        <f t="shared" si="6"/>
        <v>0.53699999999999992</v>
      </c>
      <c r="F222" s="8">
        <f t="shared" si="7"/>
        <v>6.6189500699901996E-2</v>
      </c>
    </row>
    <row r="223" spans="1:6" x14ac:dyDescent="0.2">
      <c r="A223">
        <v>2</v>
      </c>
      <c r="B223" t="s">
        <v>1089</v>
      </c>
      <c r="C223" t="s">
        <v>975</v>
      </c>
      <c r="D223" s="8">
        <v>7.1610317669537599E-2</v>
      </c>
      <c r="E223" s="6">
        <f t="shared" si="6"/>
        <v>0.23500000000000032</v>
      </c>
      <c r="F223" s="8">
        <f t="shared" si="7"/>
        <v>1.682842465234136E-2</v>
      </c>
    </row>
    <row r="224" spans="1:6" x14ac:dyDescent="0.2">
      <c r="A224">
        <v>2</v>
      </c>
      <c r="B224" t="s">
        <v>1089</v>
      </c>
      <c r="C224" t="s">
        <v>977</v>
      </c>
      <c r="D224" s="8">
        <v>0.1312794929977372</v>
      </c>
      <c r="E224" s="6">
        <f t="shared" si="6"/>
        <v>-7.2039999999999997</v>
      </c>
      <c r="F224" s="8">
        <f t="shared" si="7"/>
        <v>-0.94573746755569876</v>
      </c>
    </row>
    <row r="225" spans="1:6" x14ac:dyDescent="0.2">
      <c r="A225">
        <v>2</v>
      </c>
      <c r="B225" t="s">
        <v>1089</v>
      </c>
      <c r="C225" t="s">
        <v>978</v>
      </c>
      <c r="D225" s="8">
        <v>1.5429308339879001E-3</v>
      </c>
      <c r="E225" s="6">
        <f t="shared" si="6"/>
        <v>-8.2390000000000008</v>
      </c>
      <c r="F225" s="8">
        <f t="shared" si="7"/>
        <v>-1.271220714122631E-2</v>
      </c>
    </row>
    <row r="226" spans="1:6" x14ac:dyDescent="0.2">
      <c r="A226">
        <v>2</v>
      </c>
      <c r="B226" t="s">
        <v>1089</v>
      </c>
      <c r="C226" t="s">
        <v>980</v>
      </c>
      <c r="D226" s="8">
        <v>1.7125578503510001E-4</v>
      </c>
      <c r="E226" s="6">
        <f t="shared" si="6"/>
        <v>-0.10000000000000009</v>
      </c>
      <c r="F226" s="8">
        <f t="shared" si="7"/>
        <v>-1.7125578503510015E-5</v>
      </c>
    </row>
    <row r="227" spans="1:6" x14ac:dyDescent="0.2">
      <c r="A227">
        <v>2</v>
      </c>
      <c r="B227" t="s">
        <v>1089</v>
      </c>
      <c r="C227" t="s">
        <v>981</v>
      </c>
      <c r="D227" s="8">
        <v>3.0854898893880001E-4</v>
      </c>
      <c r="E227" s="6">
        <f t="shared" si="6"/>
        <v>-0.33499999999999996</v>
      </c>
      <c r="F227" s="8">
        <f t="shared" si="7"/>
        <v>-1.0336391129449799E-4</v>
      </c>
    </row>
    <row r="228" spans="1:6" x14ac:dyDescent="0.2">
      <c r="A228">
        <v>2</v>
      </c>
      <c r="B228" t="s">
        <v>1089</v>
      </c>
      <c r="C228" t="s">
        <v>983</v>
      </c>
      <c r="D228" s="8">
        <v>1.5075999681710001E-4</v>
      </c>
      <c r="E228" s="6">
        <f t="shared" si="6"/>
        <v>-0.19999999999999973</v>
      </c>
      <c r="F228" s="8">
        <f t="shared" si="7"/>
        <v>-3.0151999363419963E-5</v>
      </c>
    </row>
    <row r="229" spans="1:6" x14ac:dyDescent="0.2">
      <c r="A229">
        <v>2</v>
      </c>
      <c r="B229" t="s">
        <v>1089</v>
      </c>
      <c r="C229" t="s">
        <v>984</v>
      </c>
      <c r="D229" s="8">
        <v>2.43923520531933E-2</v>
      </c>
      <c r="E229" s="6">
        <f t="shared" si="6"/>
        <v>0.121</v>
      </c>
      <c r="F229" s="8">
        <f t="shared" si="7"/>
        <v>2.9514745984363894E-3</v>
      </c>
    </row>
    <row r="230" spans="1:6" x14ac:dyDescent="0.2">
      <c r="A230">
        <v>2</v>
      </c>
      <c r="B230" t="s">
        <v>1089</v>
      </c>
      <c r="C230" t="s">
        <v>985</v>
      </c>
      <c r="D230" s="8">
        <v>1.200855078354918E-5</v>
      </c>
      <c r="E230" s="6">
        <f t="shared" si="6"/>
        <v>0.34299999999999997</v>
      </c>
      <c r="F230" s="8">
        <f t="shared" si="7"/>
        <v>4.1189329187573684E-6</v>
      </c>
    </row>
    <row r="231" spans="1:6" x14ac:dyDescent="0.2">
      <c r="A231">
        <v>2</v>
      </c>
      <c r="B231" t="s">
        <v>1089</v>
      </c>
      <c r="C231" t="s">
        <v>987</v>
      </c>
      <c r="D231" s="8">
        <v>5.0721465386906873E-5</v>
      </c>
      <c r="E231" s="6">
        <f t="shared" si="6"/>
        <v>0.83399999999999963</v>
      </c>
      <c r="F231" s="8">
        <f t="shared" si="7"/>
        <v>4.2301702132680312E-5</v>
      </c>
    </row>
    <row r="232" spans="1:6" x14ac:dyDescent="0.2">
      <c r="A232">
        <v>2</v>
      </c>
      <c r="B232" t="s">
        <v>1089</v>
      </c>
      <c r="C232" t="s">
        <v>988</v>
      </c>
      <c r="D232" s="8">
        <v>3.5297159451551001E-3</v>
      </c>
      <c r="E232" s="6">
        <f t="shared" si="6"/>
        <v>0.59299999999999997</v>
      </c>
      <c r="F232" s="8">
        <f t="shared" si="7"/>
        <v>2.0931215554769742E-3</v>
      </c>
    </row>
    <row r="233" spans="1:6" x14ac:dyDescent="0.2">
      <c r="A233">
        <v>2</v>
      </c>
      <c r="B233" t="s">
        <v>1089</v>
      </c>
      <c r="C233" t="s">
        <v>990</v>
      </c>
      <c r="D233" s="8">
        <v>3.6959017417522999E-3</v>
      </c>
      <c r="E233" s="6">
        <f t="shared" si="6"/>
        <v>0.45299999999999985</v>
      </c>
      <c r="F233" s="8">
        <f t="shared" si="7"/>
        <v>1.6742434890137912E-3</v>
      </c>
    </row>
    <row r="234" spans="1:6" x14ac:dyDescent="0.2">
      <c r="A234">
        <v>2</v>
      </c>
      <c r="B234" t="s">
        <v>1089</v>
      </c>
      <c r="C234" t="s">
        <v>991</v>
      </c>
      <c r="D234" s="8">
        <v>7.9602675013049995E-4</v>
      </c>
      <c r="E234" s="6">
        <f t="shared" si="6"/>
        <v>-3.7290000000000001</v>
      </c>
      <c r="F234" s="8">
        <f t="shared" si="7"/>
        <v>-2.9683837512366343E-3</v>
      </c>
    </row>
    <row r="235" spans="1:6" x14ac:dyDescent="0.2">
      <c r="A235">
        <v>2</v>
      </c>
      <c r="B235" t="s">
        <v>1089</v>
      </c>
      <c r="C235" t="s">
        <v>992</v>
      </c>
      <c r="D235" s="8">
        <v>1.3411925943653259E-6</v>
      </c>
      <c r="E235" s="6">
        <f t="shared" si="6"/>
        <v>2.048</v>
      </c>
      <c r="F235" s="8">
        <f t="shared" si="7"/>
        <v>2.7467624332601874E-6</v>
      </c>
    </row>
    <row r="236" spans="1:6" x14ac:dyDescent="0.2">
      <c r="A236">
        <v>2</v>
      </c>
      <c r="B236" t="s">
        <v>1089</v>
      </c>
      <c r="C236" t="s">
        <v>1092</v>
      </c>
      <c r="D236" s="8">
        <v>8.3989138057141336E-6</v>
      </c>
      <c r="E236" s="6">
        <f t="shared" si="6"/>
        <v>0</v>
      </c>
      <c r="F236" s="8">
        <f t="shared" si="7"/>
        <v>0</v>
      </c>
    </row>
    <row r="237" spans="1:6" x14ac:dyDescent="0.2">
      <c r="A237">
        <v>2</v>
      </c>
      <c r="B237" t="s">
        <v>1089</v>
      </c>
      <c r="C237" t="s">
        <v>994</v>
      </c>
      <c r="D237" s="8">
        <v>1.4814081837760001E-4</v>
      </c>
      <c r="E237" s="6">
        <f t="shared" si="6"/>
        <v>2.415</v>
      </c>
      <c r="F237" s="8">
        <f t="shared" si="7"/>
        <v>3.5776007638190405E-4</v>
      </c>
    </row>
    <row r="238" spans="1:6" x14ac:dyDescent="0.2">
      <c r="A238">
        <v>2</v>
      </c>
      <c r="B238" t="s">
        <v>1089</v>
      </c>
      <c r="C238" t="s">
        <v>1093</v>
      </c>
      <c r="D238" s="8">
        <v>2.2519172329091E-3</v>
      </c>
      <c r="E238" s="6">
        <f t="shared" si="6"/>
        <v>0</v>
      </c>
      <c r="F238" s="8">
        <f t="shared" si="7"/>
        <v>0</v>
      </c>
    </row>
    <row r="239" spans="1:6" x14ac:dyDescent="0.2">
      <c r="A239">
        <v>2</v>
      </c>
      <c r="B239" t="s">
        <v>1089</v>
      </c>
      <c r="C239" t="s">
        <v>1000</v>
      </c>
      <c r="D239" s="8">
        <v>2.8747073296986601E-5</v>
      </c>
      <c r="E239" s="6">
        <f t="shared" si="6"/>
        <v>1.1540000000000004</v>
      </c>
      <c r="F239" s="8">
        <f t="shared" si="7"/>
        <v>3.3174122584722549E-5</v>
      </c>
    </row>
    <row r="240" spans="1:6" x14ac:dyDescent="0.2">
      <c r="A240">
        <v>2</v>
      </c>
      <c r="B240" t="s">
        <v>1089</v>
      </c>
      <c r="C240" t="s">
        <v>1002</v>
      </c>
      <c r="D240" s="8">
        <v>3.0688105744319E-3</v>
      </c>
      <c r="E240" s="6">
        <f t="shared" si="6"/>
        <v>-1.3390000000000004</v>
      </c>
      <c r="F240" s="8">
        <f t="shared" si="7"/>
        <v>-4.1091373591643152E-3</v>
      </c>
    </row>
    <row r="241" spans="1:6" x14ac:dyDescent="0.2">
      <c r="A241">
        <v>2</v>
      </c>
      <c r="B241" t="s">
        <v>1089</v>
      </c>
      <c r="C241" t="s">
        <v>1003</v>
      </c>
      <c r="D241" s="8">
        <v>2.8547894004063398E-7</v>
      </c>
      <c r="E241" s="6">
        <f t="shared" si="6"/>
        <v>0.22999999999999998</v>
      </c>
      <c r="F241" s="8">
        <f t="shared" si="7"/>
        <v>6.5660156209345811E-8</v>
      </c>
    </row>
    <row r="242" spans="1:6" x14ac:dyDescent="0.2">
      <c r="A242">
        <v>2</v>
      </c>
      <c r="B242" t="s">
        <v>1089</v>
      </c>
      <c r="C242" t="s">
        <v>1012</v>
      </c>
      <c r="D242" s="8">
        <v>2.369765387644043E-5</v>
      </c>
      <c r="E242" s="6">
        <f t="shared" si="6"/>
        <v>0.39999999999999991</v>
      </c>
      <c r="F242" s="8">
        <f t="shared" si="7"/>
        <v>9.4790615505761697E-6</v>
      </c>
    </row>
    <row r="243" spans="1:6" x14ac:dyDescent="0.2">
      <c r="A243">
        <v>2</v>
      </c>
      <c r="B243" t="s">
        <v>1089</v>
      </c>
      <c r="C243" t="s">
        <v>1014</v>
      </c>
      <c r="D243" s="8">
        <v>6.0822780774264097E-2</v>
      </c>
      <c r="E243" s="6">
        <f t="shared" si="6"/>
        <v>0.90000000000000036</v>
      </c>
      <c r="F243" s="8">
        <f t="shared" si="7"/>
        <v>5.4740502696837709E-2</v>
      </c>
    </row>
    <row r="244" spans="1:6" x14ac:dyDescent="0.2">
      <c r="A244">
        <v>2</v>
      </c>
      <c r="B244" t="s">
        <v>1089</v>
      </c>
      <c r="C244" t="s">
        <v>1017</v>
      </c>
      <c r="D244" s="8">
        <v>1.6517562252781728E-5</v>
      </c>
      <c r="E244" s="6">
        <f t="shared" si="6"/>
        <v>1.3749999999999996</v>
      </c>
      <c r="F244" s="8">
        <f t="shared" si="7"/>
        <v>2.2711648097574868E-5</v>
      </c>
    </row>
    <row r="245" spans="1:6" x14ac:dyDescent="0.2">
      <c r="A245">
        <v>2</v>
      </c>
      <c r="B245" t="s">
        <v>1089</v>
      </c>
      <c r="C245" t="s">
        <v>1019</v>
      </c>
      <c r="D245" s="8">
        <v>2.0542979832669402E-2</v>
      </c>
      <c r="E245" s="6">
        <f t="shared" si="6"/>
        <v>-0.21599999999999997</v>
      </c>
      <c r="F245" s="8">
        <f t="shared" si="7"/>
        <v>-4.4372836438565898E-3</v>
      </c>
    </row>
    <row r="246" spans="1:6" x14ac:dyDescent="0.2">
      <c r="A246">
        <v>2</v>
      </c>
      <c r="B246" t="s">
        <v>1089</v>
      </c>
      <c r="C246" t="s">
        <v>1020</v>
      </c>
      <c r="D246" s="8">
        <v>2.9755381889430451E-5</v>
      </c>
      <c r="E246" s="6">
        <f t="shared" si="6"/>
        <v>-0.21999999999999997</v>
      </c>
      <c r="F246" s="8">
        <f t="shared" si="7"/>
        <v>-6.5461840156746984E-6</v>
      </c>
    </row>
    <row r="247" spans="1:6" x14ac:dyDescent="0.2">
      <c r="A247">
        <v>2</v>
      </c>
      <c r="B247" t="s">
        <v>1089</v>
      </c>
      <c r="C247" t="s">
        <v>1021</v>
      </c>
      <c r="D247" s="8">
        <v>3.4628945112416001E-3</v>
      </c>
      <c r="E247" s="6">
        <f t="shared" si="6"/>
        <v>-2.4829999999999997</v>
      </c>
      <c r="F247" s="8">
        <f t="shared" si="7"/>
        <v>-8.5983670714128921E-3</v>
      </c>
    </row>
    <row r="248" spans="1:6" x14ac:dyDescent="0.2">
      <c r="A248">
        <v>2</v>
      </c>
      <c r="B248" t="s">
        <v>1089</v>
      </c>
      <c r="C248" t="s">
        <v>1023</v>
      </c>
      <c r="D248" s="8">
        <v>2.044806614689274E-5</v>
      </c>
      <c r="E248" s="6">
        <f t="shared" si="6"/>
        <v>-0.62199999999999989</v>
      </c>
      <c r="F248" s="8">
        <f t="shared" si="7"/>
        <v>-1.2718697143367281E-5</v>
      </c>
    </row>
    <row r="249" spans="1:6" x14ac:dyDescent="0.2">
      <c r="A249">
        <v>2</v>
      </c>
      <c r="B249" t="s">
        <v>1089</v>
      </c>
      <c r="C249" t="s">
        <v>1024</v>
      </c>
      <c r="D249" s="8">
        <v>1.9880283479315002E-3</v>
      </c>
      <c r="E249" s="6">
        <f t="shared" si="6"/>
        <v>-0.14500000000000002</v>
      </c>
      <c r="F249" s="8">
        <f t="shared" si="7"/>
        <v>-2.8826411045006754E-4</v>
      </c>
    </row>
    <row r="250" spans="1:6" x14ac:dyDescent="0.2">
      <c r="A250">
        <v>2</v>
      </c>
      <c r="B250" t="s">
        <v>1089</v>
      </c>
      <c r="C250" t="s">
        <v>1025</v>
      </c>
      <c r="D250" s="8">
        <v>3.1860034907441603E-2</v>
      </c>
      <c r="E250" s="6">
        <f t="shared" si="6"/>
        <v>4.7000000000000153E-2</v>
      </c>
      <c r="F250" s="8">
        <f t="shared" si="7"/>
        <v>1.4974216406497603E-3</v>
      </c>
    </row>
    <row r="251" spans="1:6" x14ac:dyDescent="0.2">
      <c r="A251">
        <v>2</v>
      </c>
      <c r="B251" t="s">
        <v>1089</v>
      </c>
      <c r="C251" t="s">
        <v>1027</v>
      </c>
      <c r="D251" s="8">
        <v>3.2498803533864679E-6</v>
      </c>
      <c r="E251" s="6">
        <f t="shared" si="6"/>
        <v>0.18999999999999995</v>
      </c>
      <c r="F251" s="8">
        <f t="shared" si="7"/>
        <v>6.1747726714342876E-7</v>
      </c>
    </row>
    <row r="252" spans="1:6" x14ac:dyDescent="0.2">
      <c r="A252">
        <v>2</v>
      </c>
      <c r="B252" t="s">
        <v>1089</v>
      </c>
      <c r="C252" t="s">
        <v>1028</v>
      </c>
      <c r="D252" s="8">
        <v>2.66054532923134E-2</v>
      </c>
      <c r="E252" s="6">
        <f t="shared" si="6"/>
        <v>-1.6600000000000001</v>
      </c>
      <c r="F252" s="8">
        <f t="shared" si="7"/>
        <v>-4.4165052465240245E-2</v>
      </c>
    </row>
    <row r="253" spans="1:6" x14ac:dyDescent="0.2">
      <c r="A253">
        <v>2</v>
      </c>
      <c r="B253" t="s">
        <v>1089</v>
      </c>
      <c r="C253" t="s">
        <v>1030</v>
      </c>
      <c r="D253" s="8">
        <v>2.8869850944138779E-5</v>
      </c>
      <c r="E253" s="6">
        <f t="shared" si="6"/>
        <v>0.29999999999999982</v>
      </c>
      <c r="F253" s="8">
        <f t="shared" si="7"/>
        <v>8.6609552832416283E-6</v>
      </c>
    </row>
    <row r="254" spans="1:6" x14ac:dyDescent="0.2">
      <c r="A254">
        <v>2</v>
      </c>
      <c r="B254" t="s">
        <v>1089</v>
      </c>
      <c r="C254" t="s">
        <v>1031</v>
      </c>
      <c r="D254" s="8">
        <v>1.3311497442179999E-4</v>
      </c>
      <c r="E254" s="6">
        <f t="shared" ref="E254:E317" si="8">IFERROR(VLOOKUP(C254,$A$6:$D$185,4,FALSE),0)</f>
        <v>0.19899999999999984</v>
      </c>
      <c r="F254" s="8">
        <f t="shared" ref="F254:F317" si="9">D254*E254</f>
        <v>2.6489879909938176E-5</v>
      </c>
    </row>
    <row r="255" spans="1:6" x14ac:dyDescent="0.2">
      <c r="A255">
        <v>2</v>
      </c>
      <c r="B255" t="s">
        <v>1089</v>
      </c>
      <c r="C255" t="s">
        <v>1033</v>
      </c>
      <c r="D255" s="8">
        <v>1.58016872936133E-6</v>
      </c>
      <c r="E255" s="6">
        <f t="shared" si="8"/>
        <v>0.23299999999999987</v>
      </c>
      <c r="F255" s="8">
        <f t="shared" si="9"/>
        <v>3.6817931394118966E-7</v>
      </c>
    </row>
    <row r="256" spans="1:6" x14ac:dyDescent="0.2">
      <c r="A256">
        <v>2</v>
      </c>
      <c r="B256" t="s">
        <v>1089</v>
      </c>
      <c r="C256" t="s">
        <v>1035</v>
      </c>
      <c r="D256" s="8">
        <v>8.2708820975360003E-4</v>
      </c>
      <c r="E256" s="6">
        <f t="shared" si="8"/>
        <v>-14.218</v>
      </c>
      <c r="F256" s="8">
        <f t="shared" si="9"/>
        <v>-1.1759540166276686E-2</v>
      </c>
    </row>
    <row r="257" spans="1:6" x14ac:dyDescent="0.2">
      <c r="A257">
        <v>2</v>
      </c>
      <c r="B257" t="s">
        <v>1089</v>
      </c>
      <c r="C257" t="s">
        <v>1036</v>
      </c>
      <c r="D257" s="8">
        <v>1.8033553697236689E-5</v>
      </c>
      <c r="E257" s="6">
        <f t="shared" si="8"/>
        <v>-2.0590000000000002</v>
      </c>
      <c r="F257" s="8">
        <f t="shared" si="9"/>
        <v>-3.713108706261035E-5</v>
      </c>
    </row>
    <row r="258" spans="1:6" x14ac:dyDescent="0.2">
      <c r="A258">
        <v>2</v>
      </c>
      <c r="B258" t="s">
        <v>1089</v>
      </c>
      <c r="C258" t="s">
        <v>1037</v>
      </c>
      <c r="D258" s="8">
        <v>9.2131218358090002E-4</v>
      </c>
      <c r="E258" s="6">
        <f t="shared" si="8"/>
        <v>0.2350000000000001</v>
      </c>
      <c r="F258" s="8">
        <f t="shared" si="9"/>
        <v>2.1650836314151159E-4</v>
      </c>
    </row>
    <row r="259" spans="1:6" x14ac:dyDescent="0.2">
      <c r="A259">
        <v>2</v>
      </c>
      <c r="B259" t="s">
        <v>1089</v>
      </c>
      <c r="C259" t="s">
        <v>1094</v>
      </c>
      <c r="D259" s="8">
        <v>4.4172313824112498E-2</v>
      </c>
      <c r="E259" s="6">
        <f t="shared" si="8"/>
        <v>0</v>
      </c>
      <c r="F259" s="8">
        <f t="shared" si="9"/>
        <v>0</v>
      </c>
    </row>
    <row r="260" spans="1:6" x14ac:dyDescent="0.2">
      <c r="A260">
        <v>2</v>
      </c>
      <c r="B260" t="s">
        <v>1089</v>
      </c>
      <c r="C260" t="s">
        <v>1039</v>
      </c>
      <c r="D260" s="8">
        <v>5.6317335977514003E-3</v>
      </c>
      <c r="E260" s="6">
        <f t="shared" si="8"/>
        <v>-0.6419999999999999</v>
      </c>
      <c r="F260" s="8">
        <f t="shared" si="9"/>
        <v>-3.6155729697563985E-3</v>
      </c>
    </row>
    <row r="261" spans="1:6" x14ac:dyDescent="0.2">
      <c r="A261">
        <v>2</v>
      </c>
      <c r="B261" t="s">
        <v>1089</v>
      </c>
      <c r="C261" t="s">
        <v>1040</v>
      </c>
      <c r="D261" s="8">
        <v>1.0955104963970001E-4</v>
      </c>
      <c r="E261" s="6">
        <f t="shared" si="8"/>
        <v>-8.1180000000000003</v>
      </c>
      <c r="F261" s="8">
        <f t="shared" si="9"/>
        <v>-8.8933542097508465E-4</v>
      </c>
    </row>
    <row r="262" spans="1:6" x14ac:dyDescent="0.2">
      <c r="A262">
        <v>2</v>
      </c>
      <c r="B262" t="s">
        <v>1089</v>
      </c>
      <c r="C262" t="s">
        <v>1042</v>
      </c>
      <c r="D262" s="8">
        <v>4.3126457350108699E-2</v>
      </c>
      <c r="E262" s="6">
        <f t="shared" si="8"/>
        <v>1.621</v>
      </c>
      <c r="F262" s="8">
        <f t="shared" si="9"/>
        <v>6.9907987364526206E-2</v>
      </c>
    </row>
    <row r="263" spans="1:6" x14ac:dyDescent="0.2">
      <c r="A263">
        <v>2</v>
      </c>
      <c r="B263" t="s">
        <v>1089</v>
      </c>
      <c r="C263" t="s">
        <v>1051</v>
      </c>
      <c r="D263" s="8">
        <v>8.406397660390694E-5</v>
      </c>
      <c r="E263" s="6">
        <f t="shared" si="8"/>
        <v>0.18199999999999994</v>
      </c>
      <c r="F263" s="8">
        <f t="shared" si="9"/>
        <v>1.5299643741911059E-5</v>
      </c>
    </row>
    <row r="264" spans="1:6" x14ac:dyDescent="0.2">
      <c r="A264">
        <v>2</v>
      </c>
      <c r="B264" t="s">
        <v>1089</v>
      </c>
      <c r="C264" t="s">
        <v>1054</v>
      </c>
      <c r="D264" s="8">
        <v>5.2282125860350163E-9</v>
      </c>
      <c r="E264" s="6">
        <f t="shared" si="8"/>
        <v>-0.16800000000000015</v>
      </c>
      <c r="F264" s="8">
        <f t="shared" si="9"/>
        <v>-8.7833971445388353E-10</v>
      </c>
    </row>
    <row r="265" spans="1:6" x14ac:dyDescent="0.2">
      <c r="A265">
        <v>2</v>
      </c>
      <c r="B265" t="s">
        <v>1089</v>
      </c>
      <c r="C265" t="s">
        <v>1095</v>
      </c>
      <c r="D265" s="8">
        <v>7.9349830946632193E-6</v>
      </c>
      <c r="E265" s="6">
        <f t="shared" si="8"/>
        <v>0</v>
      </c>
      <c r="F265" s="8">
        <f t="shared" si="9"/>
        <v>0</v>
      </c>
    </row>
    <row r="266" spans="1:6" x14ac:dyDescent="0.2">
      <c r="A266">
        <v>2</v>
      </c>
      <c r="B266" t="s">
        <v>1089</v>
      </c>
      <c r="C266" t="s">
        <v>1058</v>
      </c>
      <c r="D266" s="8">
        <v>2.4385319897551381E-8</v>
      </c>
      <c r="E266" s="6">
        <f t="shared" si="8"/>
        <v>-0.5</v>
      </c>
      <c r="F266" s="8">
        <f t="shared" si="9"/>
        <v>-1.219265994877569E-8</v>
      </c>
    </row>
    <row r="267" spans="1:6" x14ac:dyDescent="0.2">
      <c r="A267">
        <v>2</v>
      </c>
      <c r="B267" t="s">
        <v>1089</v>
      </c>
      <c r="C267" t="s">
        <v>1059</v>
      </c>
      <c r="D267" s="8">
        <v>2.9669802109149001E-2</v>
      </c>
      <c r="E267" s="6">
        <f t="shared" si="8"/>
        <v>-0.10000000000000009</v>
      </c>
      <c r="F267" s="8">
        <f t="shared" si="9"/>
        <v>-2.9669802109149029E-3</v>
      </c>
    </row>
    <row r="268" spans="1:6" x14ac:dyDescent="0.2">
      <c r="A268">
        <v>2</v>
      </c>
      <c r="B268" t="s">
        <v>1089</v>
      </c>
      <c r="C268" t="s">
        <v>1062</v>
      </c>
      <c r="D268" s="8">
        <v>1.2016736594043999E-3</v>
      </c>
      <c r="E268" s="6">
        <f t="shared" si="8"/>
        <v>0.89999999999999947</v>
      </c>
      <c r="F268" s="8">
        <f t="shared" si="9"/>
        <v>1.0815062934639592E-3</v>
      </c>
    </row>
    <row r="269" spans="1:6" x14ac:dyDescent="0.2">
      <c r="A269">
        <v>2</v>
      </c>
      <c r="B269" t="s">
        <v>1089</v>
      </c>
      <c r="C269" t="s">
        <v>1065</v>
      </c>
      <c r="D269" s="8">
        <v>8.2825641288869481E-5</v>
      </c>
      <c r="E269" s="6">
        <f t="shared" si="8"/>
        <v>0.68300000000000005</v>
      </c>
      <c r="F269" s="8">
        <f t="shared" si="9"/>
        <v>5.6569913000297862E-5</v>
      </c>
    </row>
    <row r="270" spans="1:6" x14ac:dyDescent="0.2">
      <c r="A270">
        <v>2</v>
      </c>
      <c r="B270" t="s">
        <v>1089</v>
      </c>
      <c r="C270" t="s">
        <v>1066</v>
      </c>
      <c r="D270" s="8">
        <v>8.1870183000239583E-5</v>
      </c>
      <c r="E270" s="6">
        <f t="shared" si="8"/>
        <v>0.20900000000000007</v>
      </c>
      <c r="F270" s="8">
        <f t="shared" si="9"/>
        <v>1.711086824705008E-5</v>
      </c>
    </row>
    <row r="271" spans="1:6" x14ac:dyDescent="0.2">
      <c r="A271">
        <v>2</v>
      </c>
      <c r="B271" t="s">
        <v>1089</v>
      </c>
      <c r="C271" t="s">
        <v>1072</v>
      </c>
      <c r="D271" s="8">
        <v>6.6159111433437999E-3</v>
      </c>
      <c r="E271" s="6">
        <f t="shared" si="8"/>
        <v>0.55599999999999983</v>
      </c>
      <c r="F271" s="8">
        <f t="shared" si="9"/>
        <v>3.6784465956991516E-3</v>
      </c>
    </row>
    <row r="272" spans="1:6" x14ac:dyDescent="0.2">
      <c r="A272">
        <v>2</v>
      </c>
      <c r="B272" t="s">
        <v>1089</v>
      </c>
      <c r="C272" t="s">
        <v>1073</v>
      </c>
      <c r="D272" s="8">
        <v>4.9989905789980335E-7</v>
      </c>
      <c r="E272" s="6">
        <f t="shared" si="8"/>
        <v>0.69200000000000017</v>
      </c>
      <c r="F272" s="8">
        <f t="shared" si="9"/>
        <v>3.4593014806666402E-7</v>
      </c>
    </row>
    <row r="273" spans="1:6" x14ac:dyDescent="0.2">
      <c r="A273">
        <v>2</v>
      </c>
      <c r="B273" t="s">
        <v>1089</v>
      </c>
      <c r="C273" t="s">
        <v>1075</v>
      </c>
      <c r="D273" s="8">
        <v>5.3969580852764997E-3</v>
      </c>
      <c r="E273" s="6">
        <f t="shared" si="8"/>
        <v>3.0529999999999999</v>
      </c>
      <c r="F273" s="8">
        <f t="shared" si="9"/>
        <v>1.6476913034349155E-2</v>
      </c>
    </row>
    <row r="274" spans="1:6" x14ac:dyDescent="0.2">
      <c r="A274">
        <v>2</v>
      </c>
      <c r="B274" t="s">
        <v>1089</v>
      </c>
      <c r="C274" t="s">
        <v>1076</v>
      </c>
      <c r="D274" s="8">
        <v>2.2356461282075109E-5</v>
      </c>
      <c r="E274" s="6">
        <f t="shared" si="8"/>
        <v>1.4060000000000001</v>
      </c>
      <c r="F274" s="8">
        <f t="shared" si="9"/>
        <v>3.1433184562597609E-5</v>
      </c>
    </row>
    <row r="275" spans="1:6" x14ac:dyDescent="0.2">
      <c r="A275">
        <v>2</v>
      </c>
      <c r="B275" t="s">
        <v>1089</v>
      </c>
      <c r="C275" t="s">
        <v>1078</v>
      </c>
      <c r="D275" s="8">
        <v>6.1694859340805E-5</v>
      </c>
      <c r="E275" s="6">
        <f t="shared" si="8"/>
        <v>0.5</v>
      </c>
      <c r="F275" s="8">
        <f t="shared" si="9"/>
        <v>3.08474296704025E-5</v>
      </c>
    </row>
    <row r="276" spans="1:6" x14ac:dyDescent="0.2">
      <c r="A276">
        <v>2</v>
      </c>
      <c r="B276" t="s">
        <v>1089</v>
      </c>
      <c r="C276" t="s">
        <v>1079</v>
      </c>
      <c r="D276" s="8">
        <v>2.054615365764E-4</v>
      </c>
      <c r="E276" s="6">
        <f t="shared" si="8"/>
        <v>-0.28899999999999992</v>
      </c>
      <c r="F276" s="8">
        <f t="shared" si="9"/>
        <v>-5.9378384070579586E-5</v>
      </c>
    </row>
    <row r="277" spans="1:6" x14ac:dyDescent="0.2">
      <c r="A277">
        <v>2</v>
      </c>
      <c r="B277" t="s">
        <v>1089</v>
      </c>
      <c r="C277" t="s">
        <v>1080</v>
      </c>
      <c r="D277" s="8">
        <v>2.165465177542358E-5</v>
      </c>
      <c r="E277" s="6">
        <f t="shared" si="8"/>
        <v>-2.5170000000000003</v>
      </c>
      <c r="F277" s="8">
        <f t="shared" si="9"/>
        <v>-5.4504758518741156E-5</v>
      </c>
    </row>
    <row r="278" spans="1:6" x14ac:dyDescent="0.2">
      <c r="A278">
        <v>3</v>
      </c>
      <c r="B278" t="s">
        <v>1096</v>
      </c>
      <c r="C278" t="s">
        <v>1090</v>
      </c>
      <c r="D278" s="8">
        <v>5.0265176366502573E-5</v>
      </c>
      <c r="E278" s="6">
        <f t="shared" si="8"/>
        <v>0</v>
      </c>
      <c r="F278" s="8">
        <f t="shared" si="9"/>
        <v>0</v>
      </c>
    </row>
    <row r="279" spans="1:6" x14ac:dyDescent="0.2">
      <c r="A279">
        <v>3</v>
      </c>
      <c r="B279" t="s">
        <v>1096</v>
      </c>
      <c r="C279" t="s">
        <v>903</v>
      </c>
      <c r="D279" s="8">
        <v>1.7983622887127322E-5</v>
      </c>
      <c r="E279" s="6">
        <f t="shared" si="8"/>
        <v>0.22399999999999975</v>
      </c>
      <c r="F279" s="8">
        <f t="shared" si="9"/>
        <v>4.0283315267165156E-6</v>
      </c>
    </row>
    <row r="280" spans="1:6" x14ac:dyDescent="0.2">
      <c r="A280">
        <v>3</v>
      </c>
      <c r="B280" t="s">
        <v>1096</v>
      </c>
      <c r="C280" t="s">
        <v>906</v>
      </c>
      <c r="D280" s="8">
        <v>1.7881397907936102E-2</v>
      </c>
      <c r="E280" s="6">
        <f t="shared" si="8"/>
        <v>-1.8859999999999997</v>
      </c>
      <c r="F280" s="8">
        <f t="shared" si="9"/>
        <v>-3.3724316454367478E-2</v>
      </c>
    </row>
    <row r="281" spans="1:6" x14ac:dyDescent="0.2">
      <c r="A281">
        <v>3</v>
      </c>
      <c r="B281" t="s">
        <v>1096</v>
      </c>
      <c r="C281" t="s">
        <v>907</v>
      </c>
      <c r="D281" s="8">
        <v>1.5604930302243001E-3</v>
      </c>
      <c r="E281" s="6">
        <f t="shared" si="8"/>
        <v>-1.0199999999999996</v>
      </c>
      <c r="F281" s="8">
        <f t="shared" si="9"/>
        <v>-1.5917028908287855E-3</v>
      </c>
    </row>
    <row r="282" spans="1:6" x14ac:dyDescent="0.2">
      <c r="A282">
        <v>3</v>
      </c>
      <c r="B282" t="s">
        <v>1096</v>
      </c>
      <c r="C282" t="s">
        <v>908</v>
      </c>
      <c r="D282" s="8">
        <v>3.2515080104775001E-3</v>
      </c>
      <c r="E282" s="6">
        <f t="shared" si="8"/>
        <v>0.79999999999999982</v>
      </c>
      <c r="F282" s="8">
        <f t="shared" si="9"/>
        <v>2.6012064083819997E-3</v>
      </c>
    </row>
    <row r="283" spans="1:6" x14ac:dyDescent="0.2">
      <c r="A283">
        <v>3</v>
      </c>
      <c r="B283" t="s">
        <v>1096</v>
      </c>
      <c r="C283" t="s">
        <v>1097</v>
      </c>
      <c r="D283" s="8">
        <v>1.8691140640173441E-6</v>
      </c>
      <c r="E283" s="6">
        <f t="shared" si="8"/>
        <v>0</v>
      </c>
      <c r="F283" s="8">
        <f t="shared" si="9"/>
        <v>0</v>
      </c>
    </row>
    <row r="284" spans="1:6" x14ac:dyDescent="0.2">
      <c r="A284">
        <v>3</v>
      </c>
      <c r="B284" t="s">
        <v>1096</v>
      </c>
      <c r="C284" t="s">
        <v>910</v>
      </c>
      <c r="D284" s="8">
        <v>5.4289837275275999E-3</v>
      </c>
      <c r="E284" s="6">
        <f t="shared" si="8"/>
        <v>-7.7999999999999847E-2</v>
      </c>
      <c r="F284" s="8">
        <f t="shared" si="9"/>
        <v>-4.2346073074715199E-4</v>
      </c>
    </row>
    <row r="285" spans="1:6" x14ac:dyDescent="0.2">
      <c r="A285">
        <v>3</v>
      </c>
      <c r="B285" t="s">
        <v>1096</v>
      </c>
      <c r="C285" t="s">
        <v>912</v>
      </c>
      <c r="D285" s="8">
        <v>9.4544699742402715E-6</v>
      </c>
      <c r="E285" s="6">
        <f t="shared" si="8"/>
        <v>-0.29800000000000004</v>
      </c>
      <c r="F285" s="8">
        <f t="shared" si="9"/>
        <v>-2.8174320523236014E-6</v>
      </c>
    </row>
    <row r="286" spans="1:6" x14ac:dyDescent="0.2">
      <c r="A286">
        <v>3</v>
      </c>
      <c r="B286" t="s">
        <v>1096</v>
      </c>
      <c r="C286" t="s">
        <v>914</v>
      </c>
      <c r="D286" s="8">
        <v>1.3220826076161299E-2</v>
      </c>
      <c r="E286" s="6">
        <f t="shared" si="8"/>
        <v>-0.26900000000000002</v>
      </c>
      <c r="F286" s="8">
        <f t="shared" si="9"/>
        <v>-3.5564022144873898E-3</v>
      </c>
    </row>
    <row r="287" spans="1:6" x14ac:dyDescent="0.2">
      <c r="A287">
        <v>3</v>
      </c>
      <c r="B287" t="s">
        <v>1096</v>
      </c>
      <c r="C287" t="s">
        <v>915</v>
      </c>
      <c r="D287" s="8">
        <v>1.605331381745E-4</v>
      </c>
      <c r="E287" s="6">
        <f t="shared" si="8"/>
        <v>0.81400000000000006</v>
      </c>
      <c r="F287" s="8">
        <f t="shared" si="9"/>
        <v>1.30673974474043E-4</v>
      </c>
    </row>
    <row r="288" spans="1:6" x14ac:dyDescent="0.2">
      <c r="A288">
        <v>3</v>
      </c>
      <c r="B288" t="s">
        <v>1096</v>
      </c>
      <c r="C288" t="s">
        <v>917</v>
      </c>
      <c r="D288" s="8">
        <v>2.1384142072739101E-2</v>
      </c>
      <c r="E288" s="6">
        <f t="shared" si="8"/>
        <v>-1.83</v>
      </c>
      <c r="F288" s="8">
        <f t="shared" si="9"/>
        <v>-3.9132979993112556E-2</v>
      </c>
    </row>
    <row r="289" spans="1:6" x14ac:dyDescent="0.2">
      <c r="A289">
        <v>3</v>
      </c>
      <c r="B289" t="s">
        <v>1096</v>
      </c>
      <c r="C289" t="s">
        <v>918</v>
      </c>
      <c r="D289" s="8">
        <v>7.4067506460819997E-4</v>
      </c>
      <c r="E289" s="6">
        <f t="shared" si="8"/>
        <v>0.1469999999999998</v>
      </c>
      <c r="F289" s="8">
        <f t="shared" si="9"/>
        <v>1.0887923449740524E-4</v>
      </c>
    </row>
    <row r="290" spans="1:6" x14ac:dyDescent="0.2">
      <c r="A290">
        <v>3</v>
      </c>
      <c r="B290" t="s">
        <v>1096</v>
      </c>
      <c r="C290" t="s">
        <v>919</v>
      </c>
      <c r="D290" s="8">
        <v>3.551973815546E-4</v>
      </c>
      <c r="E290" s="6">
        <f t="shared" si="8"/>
        <v>-3.4940000000000002</v>
      </c>
      <c r="F290" s="8">
        <f t="shared" si="9"/>
        <v>-1.2410596511517726E-3</v>
      </c>
    </row>
    <row r="291" spans="1:6" x14ac:dyDescent="0.2">
      <c r="A291">
        <v>3</v>
      </c>
      <c r="B291" t="s">
        <v>1096</v>
      </c>
      <c r="C291" t="s">
        <v>922</v>
      </c>
      <c r="D291" s="8">
        <v>2.3194242979100051E-5</v>
      </c>
      <c r="E291" s="6">
        <f t="shared" si="8"/>
        <v>-0.78400000000000003</v>
      </c>
      <c r="F291" s="8">
        <f t="shared" si="9"/>
        <v>-1.8184286495614441E-5</v>
      </c>
    </row>
    <row r="292" spans="1:6" x14ac:dyDescent="0.2">
      <c r="A292">
        <v>3</v>
      </c>
      <c r="B292" t="s">
        <v>1096</v>
      </c>
      <c r="C292" t="s">
        <v>924</v>
      </c>
      <c r="D292" s="8">
        <v>6.0225442376662004E-3</v>
      </c>
      <c r="E292" s="6">
        <f t="shared" si="8"/>
        <v>-8.4000000000000075E-2</v>
      </c>
      <c r="F292" s="8">
        <f t="shared" si="9"/>
        <v>-5.0589371596396128E-4</v>
      </c>
    </row>
    <row r="293" spans="1:6" x14ac:dyDescent="0.2">
      <c r="A293">
        <v>3</v>
      </c>
      <c r="B293" t="s">
        <v>1096</v>
      </c>
      <c r="C293" t="s">
        <v>926</v>
      </c>
      <c r="D293" s="8">
        <v>2.4796416930872979E-5</v>
      </c>
      <c r="E293" s="6">
        <f t="shared" si="8"/>
        <v>-4.8000000000000043E-2</v>
      </c>
      <c r="F293" s="8">
        <f t="shared" si="9"/>
        <v>-1.1902280126819041E-6</v>
      </c>
    </row>
    <row r="294" spans="1:6" x14ac:dyDescent="0.2">
      <c r="A294">
        <v>3</v>
      </c>
      <c r="B294" t="s">
        <v>1096</v>
      </c>
      <c r="C294" t="s">
        <v>930</v>
      </c>
      <c r="D294" s="8">
        <v>1.17236494020712E-2</v>
      </c>
      <c r="E294" s="6">
        <f t="shared" si="8"/>
        <v>-5.8000000000000052E-2</v>
      </c>
      <c r="F294" s="8">
        <f t="shared" si="9"/>
        <v>-6.7997166532013018E-4</v>
      </c>
    </row>
    <row r="295" spans="1:6" x14ac:dyDescent="0.2">
      <c r="A295">
        <v>3</v>
      </c>
      <c r="B295" t="s">
        <v>1096</v>
      </c>
      <c r="C295" t="s">
        <v>931</v>
      </c>
      <c r="D295" s="8">
        <v>6.0167713637758691E-5</v>
      </c>
      <c r="E295" s="6">
        <f t="shared" si="8"/>
        <v>-0.31099999999999994</v>
      </c>
      <c r="F295" s="8">
        <f t="shared" si="9"/>
        <v>-1.8712158941342949E-5</v>
      </c>
    </row>
    <row r="296" spans="1:6" x14ac:dyDescent="0.2">
      <c r="A296">
        <v>3</v>
      </c>
      <c r="B296" t="s">
        <v>1096</v>
      </c>
      <c r="C296" t="s">
        <v>932</v>
      </c>
      <c r="D296" s="8">
        <v>1.1051735759199999E-3</v>
      </c>
      <c r="E296" s="6">
        <f t="shared" si="8"/>
        <v>0.21799999999999997</v>
      </c>
      <c r="F296" s="8">
        <f t="shared" si="9"/>
        <v>2.4092783955055995E-4</v>
      </c>
    </row>
    <row r="297" spans="1:6" x14ac:dyDescent="0.2">
      <c r="A297">
        <v>3</v>
      </c>
      <c r="B297" t="s">
        <v>1096</v>
      </c>
      <c r="C297" t="s">
        <v>933</v>
      </c>
      <c r="D297" s="8">
        <v>0.13381595152287429</v>
      </c>
      <c r="E297" s="6">
        <f t="shared" si="8"/>
        <v>0.4430000000000005</v>
      </c>
      <c r="F297" s="8">
        <f t="shared" si="9"/>
        <v>5.9280466524633375E-2</v>
      </c>
    </row>
    <row r="298" spans="1:6" x14ac:dyDescent="0.2">
      <c r="A298">
        <v>3</v>
      </c>
      <c r="B298" t="s">
        <v>1096</v>
      </c>
      <c r="C298" t="s">
        <v>934</v>
      </c>
      <c r="D298" s="8">
        <v>1.436155439018E-4</v>
      </c>
      <c r="E298" s="6">
        <f t="shared" si="8"/>
        <v>-0.20000000000000018</v>
      </c>
      <c r="F298" s="8">
        <f t="shared" si="9"/>
        <v>-2.8723108780360024E-5</v>
      </c>
    </row>
    <row r="299" spans="1:6" x14ac:dyDescent="0.2">
      <c r="A299">
        <v>3</v>
      </c>
      <c r="B299" t="s">
        <v>1096</v>
      </c>
      <c r="C299" t="s">
        <v>935</v>
      </c>
      <c r="D299" s="8">
        <v>7.1098833882413359E-5</v>
      </c>
      <c r="E299" s="6">
        <f t="shared" si="8"/>
        <v>-0.71799999999999997</v>
      </c>
      <c r="F299" s="8">
        <f t="shared" si="9"/>
        <v>-5.1048962727572789E-5</v>
      </c>
    </row>
    <row r="300" spans="1:6" x14ac:dyDescent="0.2">
      <c r="A300">
        <v>3</v>
      </c>
      <c r="B300" t="s">
        <v>1096</v>
      </c>
      <c r="C300" t="s">
        <v>936</v>
      </c>
      <c r="D300" s="8">
        <v>1.5279446791920001E-4</v>
      </c>
      <c r="E300" s="6">
        <f t="shared" si="8"/>
        <v>0.72900000000000009</v>
      </c>
      <c r="F300" s="8">
        <f t="shared" si="9"/>
        <v>1.1138716711309682E-4</v>
      </c>
    </row>
    <row r="301" spans="1:6" x14ac:dyDescent="0.2">
      <c r="A301">
        <v>3</v>
      </c>
      <c r="B301" t="s">
        <v>1096</v>
      </c>
      <c r="C301" t="s">
        <v>937</v>
      </c>
      <c r="D301" s="8">
        <v>2.2084638663011251E-5</v>
      </c>
      <c r="E301" s="6">
        <f t="shared" si="8"/>
        <v>-0.3660000000000001</v>
      </c>
      <c r="F301" s="8">
        <f t="shared" si="9"/>
        <v>-8.0829777506621201E-6</v>
      </c>
    </row>
    <row r="302" spans="1:6" x14ac:dyDescent="0.2">
      <c r="A302">
        <v>3</v>
      </c>
      <c r="B302" t="s">
        <v>1096</v>
      </c>
      <c r="C302" t="s">
        <v>938</v>
      </c>
      <c r="D302" s="8">
        <v>3.4614120711539998E-4</v>
      </c>
      <c r="E302" s="6">
        <f t="shared" si="8"/>
        <v>-0.32500000000000018</v>
      </c>
      <c r="F302" s="8">
        <f t="shared" si="9"/>
        <v>-1.1249589231250505E-4</v>
      </c>
    </row>
    <row r="303" spans="1:6" x14ac:dyDescent="0.2">
      <c r="A303">
        <v>3</v>
      </c>
      <c r="B303" t="s">
        <v>1096</v>
      </c>
      <c r="C303" t="s">
        <v>940</v>
      </c>
      <c r="D303" s="8">
        <v>7.5127191809046023E-5</v>
      </c>
      <c r="E303" s="6">
        <f t="shared" si="8"/>
        <v>-0.11399999999999988</v>
      </c>
      <c r="F303" s="8">
        <f t="shared" si="9"/>
        <v>-8.5644998662312384E-6</v>
      </c>
    </row>
    <row r="304" spans="1:6" x14ac:dyDescent="0.2">
      <c r="A304">
        <v>3</v>
      </c>
      <c r="B304" t="s">
        <v>1096</v>
      </c>
      <c r="C304" t="s">
        <v>941</v>
      </c>
      <c r="D304" s="8">
        <v>1.5984402116300001E-4</v>
      </c>
      <c r="E304" s="6">
        <f t="shared" si="8"/>
        <v>0.16599999999999993</v>
      </c>
      <c r="F304" s="8">
        <f t="shared" si="9"/>
        <v>2.653410751305799E-5</v>
      </c>
    </row>
    <row r="305" spans="1:6" x14ac:dyDescent="0.2">
      <c r="A305">
        <v>3</v>
      </c>
      <c r="B305" t="s">
        <v>1096</v>
      </c>
      <c r="C305" t="s">
        <v>942</v>
      </c>
      <c r="D305" s="8">
        <v>8.705636352406203E-6</v>
      </c>
      <c r="E305" s="6">
        <f t="shared" si="8"/>
        <v>0.33700000000000019</v>
      </c>
      <c r="F305" s="8">
        <f t="shared" si="9"/>
        <v>2.9337994507608919E-6</v>
      </c>
    </row>
    <row r="306" spans="1:6" x14ac:dyDescent="0.2">
      <c r="A306">
        <v>3</v>
      </c>
      <c r="B306" t="s">
        <v>1096</v>
      </c>
      <c r="C306" t="s">
        <v>943</v>
      </c>
      <c r="D306" s="8">
        <v>1.277599005126E-4</v>
      </c>
      <c r="E306" s="6">
        <f t="shared" si="8"/>
        <v>0.40800000000000014</v>
      </c>
      <c r="F306" s="8">
        <f t="shared" si="9"/>
        <v>5.2126039409140822E-5</v>
      </c>
    </row>
    <row r="307" spans="1:6" x14ac:dyDescent="0.2">
      <c r="A307">
        <v>3</v>
      </c>
      <c r="B307" t="s">
        <v>1096</v>
      </c>
      <c r="C307" t="s">
        <v>944</v>
      </c>
      <c r="D307" s="8">
        <v>3.2965720282179901E-2</v>
      </c>
      <c r="E307" s="6">
        <f t="shared" si="8"/>
        <v>-0.122</v>
      </c>
      <c r="F307" s="8">
        <f t="shared" si="9"/>
        <v>-4.0218178744259479E-3</v>
      </c>
    </row>
    <row r="308" spans="1:6" x14ac:dyDescent="0.2">
      <c r="A308">
        <v>3</v>
      </c>
      <c r="B308" t="s">
        <v>1096</v>
      </c>
      <c r="C308" t="s">
        <v>945</v>
      </c>
      <c r="D308" s="8">
        <v>4.4241950487219998E-4</v>
      </c>
      <c r="E308" s="6">
        <f t="shared" si="8"/>
        <v>0.49000000000000021</v>
      </c>
      <c r="F308" s="8">
        <f t="shared" si="9"/>
        <v>2.1678555738737808E-4</v>
      </c>
    </row>
    <row r="309" spans="1:6" x14ac:dyDescent="0.2">
      <c r="A309">
        <v>3</v>
      </c>
      <c r="B309" t="s">
        <v>1096</v>
      </c>
      <c r="C309" t="s">
        <v>947</v>
      </c>
      <c r="D309" s="8">
        <v>3.8245905961619998E-4</v>
      </c>
      <c r="E309" s="6">
        <f t="shared" si="8"/>
        <v>0.15500000000000003</v>
      </c>
      <c r="F309" s="8">
        <f t="shared" si="9"/>
        <v>5.9281154240511006E-5</v>
      </c>
    </row>
    <row r="310" spans="1:6" x14ac:dyDescent="0.2">
      <c r="A310">
        <v>3</v>
      </c>
      <c r="B310" t="s">
        <v>1096</v>
      </c>
      <c r="C310" t="s">
        <v>948</v>
      </c>
      <c r="D310" s="8">
        <v>8.5340633949722005E-3</v>
      </c>
      <c r="E310" s="6">
        <f t="shared" si="8"/>
        <v>-1.0880000000000001</v>
      </c>
      <c r="F310" s="8">
        <f t="shared" si="9"/>
        <v>-9.2850609737297543E-3</v>
      </c>
    </row>
    <row r="311" spans="1:6" x14ac:dyDescent="0.2">
      <c r="A311">
        <v>3</v>
      </c>
      <c r="B311" t="s">
        <v>1096</v>
      </c>
      <c r="C311" t="s">
        <v>949</v>
      </c>
      <c r="D311" s="8">
        <v>7.4404863597435002E-3</v>
      </c>
      <c r="E311" s="6">
        <f t="shared" si="8"/>
        <v>0.79599999999999982</v>
      </c>
      <c r="F311" s="8">
        <f t="shared" si="9"/>
        <v>5.9226271423558248E-3</v>
      </c>
    </row>
    <row r="312" spans="1:6" x14ac:dyDescent="0.2">
      <c r="A312">
        <v>3</v>
      </c>
      <c r="B312" t="s">
        <v>1096</v>
      </c>
      <c r="C312" t="s">
        <v>950</v>
      </c>
      <c r="D312" s="8">
        <v>6.4154663295896855E-5</v>
      </c>
      <c r="E312" s="6">
        <f t="shared" si="8"/>
        <v>0.38300000000000001</v>
      </c>
      <c r="F312" s="8">
        <f t="shared" si="9"/>
        <v>2.4571236042328498E-5</v>
      </c>
    </row>
    <row r="313" spans="1:6" x14ac:dyDescent="0.2">
      <c r="A313">
        <v>3</v>
      </c>
      <c r="B313" t="s">
        <v>1096</v>
      </c>
      <c r="C313" t="s">
        <v>951</v>
      </c>
      <c r="D313" s="8">
        <v>4.6545580871085797E-2</v>
      </c>
      <c r="E313" s="6">
        <f t="shared" si="8"/>
        <v>-8.8000000000000078E-2</v>
      </c>
      <c r="F313" s="8">
        <f t="shared" si="9"/>
        <v>-4.0960111166555534E-3</v>
      </c>
    </row>
    <row r="314" spans="1:6" x14ac:dyDescent="0.2">
      <c r="A314">
        <v>3</v>
      </c>
      <c r="B314" t="s">
        <v>1096</v>
      </c>
      <c r="C314" t="s">
        <v>952</v>
      </c>
      <c r="D314" s="8">
        <v>6.7803893325453996E-3</v>
      </c>
      <c r="E314" s="6">
        <f t="shared" si="8"/>
        <v>0.28300000000000014</v>
      </c>
      <c r="F314" s="8">
        <f t="shared" si="9"/>
        <v>1.9188501811103491E-3</v>
      </c>
    </row>
    <row r="315" spans="1:6" x14ac:dyDescent="0.2">
      <c r="A315">
        <v>3</v>
      </c>
      <c r="B315" t="s">
        <v>1096</v>
      </c>
      <c r="C315" t="s">
        <v>953</v>
      </c>
      <c r="D315" s="8">
        <v>2.5303726167739997E-4</v>
      </c>
      <c r="E315" s="6">
        <f t="shared" si="8"/>
        <v>-0.42500000000000004</v>
      </c>
      <c r="F315" s="8">
        <f t="shared" si="9"/>
        <v>-1.0754083621289501E-4</v>
      </c>
    </row>
    <row r="316" spans="1:6" x14ac:dyDescent="0.2">
      <c r="A316">
        <v>3</v>
      </c>
      <c r="B316" t="s">
        <v>1096</v>
      </c>
      <c r="C316" t="s">
        <v>954</v>
      </c>
      <c r="D316" s="8">
        <v>1.6256751571370001E-4</v>
      </c>
      <c r="E316" s="6">
        <f t="shared" si="8"/>
        <v>2.0929999999999991</v>
      </c>
      <c r="F316" s="8">
        <f t="shared" si="9"/>
        <v>3.4025381038877399E-4</v>
      </c>
    </row>
    <row r="317" spans="1:6" x14ac:dyDescent="0.2">
      <c r="A317">
        <v>3</v>
      </c>
      <c r="B317" t="s">
        <v>1096</v>
      </c>
      <c r="C317" t="s">
        <v>955</v>
      </c>
      <c r="D317" s="8">
        <v>1.475271561192E-4</v>
      </c>
      <c r="E317" s="6">
        <f t="shared" si="8"/>
        <v>-0.40500000000000003</v>
      </c>
      <c r="F317" s="8">
        <f t="shared" si="9"/>
        <v>-5.9748498228276003E-5</v>
      </c>
    </row>
    <row r="318" spans="1:6" x14ac:dyDescent="0.2">
      <c r="A318">
        <v>3</v>
      </c>
      <c r="B318" t="s">
        <v>1096</v>
      </c>
      <c r="C318" t="s">
        <v>957</v>
      </c>
      <c r="D318" s="8">
        <v>6.4747614251507001E-3</v>
      </c>
      <c r="E318" s="6">
        <f t="shared" ref="E318:E381" si="10">IFERROR(VLOOKUP(C318,$A$6:$D$185,4,FALSE),0)</f>
        <v>-0.11499999999999988</v>
      </c>
      <c r="F318" s="8">
        <f t="shared" ref="F318:F381" si="11">D318*E318</f>
        <v>-7.4459756389232969E-4</v>
      </c>
    </row>
    <row r="319" spans="1:6" x14ac:dyDescent="0.2">
      <c r="A319">
        <v>3</v>
      </c>
      <c r="B319" t="s">
        <v>1096</v>
      </c>
      <c r="C319" t="s">
        <v>959</v>
      </c>
      <c r="D319" s="8">
        <v>1.1861547355619201E-2</v>
      </c>
      <c r="E319" s="6">
        <f t="shared" si="10"/>
        <v>-0.60699999999999998</v>
      </c>
      <c r="F319" s="8">
        <f t="shared" si="11"/>
        <v>-7.1999592448608544E-3</v>
      </c>
    </row>
    <row r="320" spans="1:6" x14ac:dyDescent="0.2">
      <c r="A320">
        <v>3</v>
      </c>
      <c r="B320" t="s">
        <v>1096</v>
      </c>
      <c r="C320" t="s">
        <v>960</v>
      </c>
      <c r="D320" s="8">
        <v>1.55952186337257E-2</v>
      </c>
      <c r="E320" s="6">
        <f t="shared" si="10"/>
        <v>0.29999999999999982</v>
      </c>
      <c r="F320" s="8">
        <f t="shared" si="11"/>
        <v>4.6785655901177073E-3</v>
      </c>
    </row>
    <row r="321" spans="1:6" x14ac:dyDescent="0.2">
      <c r="A321">
        <v>3</v>
      </c>
      <c r="B321" t="s">
        <v>1096</v>
      </c>
      <c r="C321" t="s">
        <v>965</v>
      </c>
      <c r="D321" s="8">
        <v>2.7373446541872999E-3</v>
      </c>
      <c r="E321" s="6">
        <f t="shared" si="10"/>
        <v>4.5000000000000151E-2</v>
      </c>
      <c r="F321" s="8">
        <f t="shared" si="11"/>
        <v>1.2318050943842891E-4</v>
      </c>
    </row>
    <row r="322" spans="1:6" x14ac:dyDescent="0.2">
      <c r="A322">
        <v>3</v>
      </c>
      <c r="B322" t="s">
        <v>1096</v>
      </c>
      <c r="C322" t="s">
        <v>967</v>
      </c>
      <c r="D322" s="8">
        <v>8.9589488807289999E-4</v>
      </c>
      <c r="E322" s="6">
        <f t="shared" si="10"/>
        <v>0.10000000000000009</v>
      </c>
      <c r="F322" s="8">
        <f t="shared" si="11"/>
        <v>8.9589488807290081E-5</v>
      </c>
    </row>
    <row r="323" spans="1:6" x14ac:dyDescent="0.2">
      <c r="A323">
        <v>3</v>
      </c>
      <c r="B323" t="s">
        <v>1096</v>
      </c>
      <c r="C323" t="s">
        <v>969</v>
      </c>
      <c r="D323" s="8">
        <v>1.4253487135952E-3</v>
      </c>
      <c r="E323" s="6">
        <f t="shared" si="10"/>
        <v>0.53699999999999992</v>
      </c>
      <c r="F323" s="8">
        <f t="shared" si="11"/>
        <v>7.6541225920062227E-4</v>
      </c>
    </row>
    <row r="324" spans="1:6" x14ac:dyDescent="0.2">
      <c r="A324">
        <v>3</v>
      </c>
      <c r="B324" t="s">
        <v>1096</v>
      </c>
      <c r="C324" t="s">
        <v>970</v>
      </c>
      <c r="D324" s="8">
        <v>4.961558768548E-4</v>
      </c>
      <c r="E324" s="6">
        <f t="shared" si="10"/>
        <v>-0.10000000000000009</v>
      </c>
      <c r="F324" s="8">
        <f t="shared" si="11"/>
        <v>-4.9615587685480045E-5</v>
      </c>
    </row>
    <row r="325" spans="1:6" x14ac:dyDescent="0.2">
      <c r="A325">
        <v>3</v>
      </c>
      <c r="B325" t="s">
        <v>1096</v>
      </c>
      <c r="C325" t="s">
        <v>971</v>
      </c>
      <c r="D325" s="8">
        <v>1.777737882212E-4</v>
      </c>
      <c r="E325" s="6">
        <f t="shared" si="10"/>
        <v>-0.13700000000000001</v>
      </c>
      <c r="F325" s="8">
        <f t="shared" si="11"/>
        <v>-2.4355008986304403E-5</v>
      </c>
    </row>
    <row r="326" spans="1:6" x14ac:dyDescent="0.2">
      <c r="A326">
        <v>3</v>
      </c>
      <c r="B326" t="s">
        <v>1096</v>
      </c>
      <c r="C326" t="s">
        <v>972</v>
      </c>
      <c r="D326" s="8">
        <v>5.617325584346E-4</v>
      </c>
      <c r="E326" s="6">
        <f t="shared" si="10"/>
        <v>-2.7</v>
      </c>
      <c r="F326" s="8">
        <f t="shared" si="11"/>
        <v>-1.5166779077734201E-3</v>
      </c>
    </row>
    <row r="327" spans="1:6" x14ac:dyDescent="0.2">
      <c r="A327">
        <v>3</v>
      </c>
      <c r="B327" t="s">
        <v>1096</v>
      </c>
      <c r="C327" t="s">
        <v>973</v>
      </c>
      <c r="D327" s="8">
        <v>5.5823425696860005E-4</v>
      </c>
      <c r="E327" s="6">
        <f t="shared" si="10"/>
        <v>-0.84999999999999987</v>
      </c>
      <c r="F327" s="8">
        <f t="shared" si="11"/>
        <v>-4.7449911842330997E-4</v>
      </c>
    </row>
    <row r="328" spans="1:6" x14ac:dyDescent="0.2">
      <c r="A328">
        <v>3</v>
      </c>
      <c r="B328" t="s">
        <v>1096</v>
      </c>
      <c r="C328" t="s">
        <v>975</v>
      </c>
      <c r="D328" s="8">
        <v>6.6122962985925807E-2</v>
      </c>
      <c r="E328" s="6">
        <f t="shared" si="10"/>
        <v>0.23500000000000032</v>
      </c>
      <c r="F328" s="8">
        <f t="shared" si="11"/>
        <v>1.5538896301692586E-2</v>
      </c>
    </row>
    <row r="329" spans="1:6" x14ac:dyDescent="0.2">
      <c r="A329">
        <v>3</v>
      </c>
      <c r="B329" t="s">
        <v>1096</v>
      </c>
      <c r="C329" t="s">
        <v>976</v>
      </c>
      <c r="D329" s="8">
        <v>5.3348442638580002E-4</v>
      </c>
      <c r="E329" s="6">
        <f t="shared" si="10"/>
        <v>0.38700000000000001</v>
      </c>
      <c r="F329" s="8">
        <f t="shared" si="11"/>
        <v>2.0645847301130463E-4</v>
      </c>
    </row>
    <row r="330" spans="1:6" x14ac:dyDescent="0.2">
      <c r="A330">
        <v>3</v>
      </c>
      <c r="B330" t="s">
        <v>1096</v>
      </c>
      <c r="C330" t="s">
        <v>977</v>
      </c>
      <c r="D330" s="8">
        <v>5.1307933898405E-3</v>
      </c>
      <c r="E330" s="6">
        <f t="shared" si="10"/>
        <v>-7.2039999999999997</v>
      </c>
      <c r="F330" s="8">
        <f t="shared" si="11"/>
        <v>-3.6962235580410958E-2</v>
      </c>
    </row>
    <row r="331" spans="1:6" x14ac:dyDescent="0.2">
      <c r="A331">
        <v>3</v>
      </c>
      <c r="B331" t="s">
        <v>1096</v>
      </c>
      <c r="C331" t="s">
        <v>978</v>
      </c>
      <c r="D331" s="8">
        <v>2.6228063903090001E-3</v>
      </c>
      <c r="E331" s="6">
        <f t="shared" si="10"/>
        <v>-8.2390000000000008</v>
      </c>
      <c r="F331" s="8">
        <f t="shared" si="11"/>
        <v>-2.1609301849755853E-2</v>
      </c>
    </row>
    <row r="332" spans="1:6" x14ac:dyDescent="0.2">
      <c r="A332">
        <v>3</v>
      </c>
      <c r="B332" t="s">
        <v>1096</v>
      </c>
      <c r="C332" t="s">
        <v>980</v>
      </c>
      <c r="D332" s="8">
        <v>7.5170442263690004E-4</v>
      </c>
      <c r="E332" s="6">
        <f t="shared" si="10"/>
        <v>-0.10000000000000009</v>
      </c>
      <c r="F332" s="8">
        <f t="shared" si="11"/>
        <v>-7.5170442263690067E-5</v>
      </c>
    </row>
    <row r="333" spans="1:6" x14ac:dyDescent="0.2">
      <c r="A333">
        <v>3</v>
      </c>
      <c r="B333" t="s">
        <v>1096</v>
      </c>
      <c r="C333" t="s">
        <v>981</v>
      </c>
      <c r="D333" s="8">
        <v>2.7390154320700098E-2</v>
      </c>
      <c r="E333" s="6">
        <f t="shared" si="10"/>
        <v>-0.33499999999999996</v>
      </c>
      <c r="F333" s="8">
        <f t="shared" si="11"/>
        <v>-9.1757016974345317E-3</v>
      </c>
    </row>
    <row r="334" spans="1:6" x14ac:dyDescent="0.2">
      <c r="A334">
        <v>3</v>
      </c>
      <c r="B334" t="s">
        <v>1096</v>
      </c>
      <c r="C334" t="s">
        <v>983</v>
      </c>
      <c r="D334" s="8">
        <v>8.5220959512979997E-4</v>
      </c>
      <c r="E334" s="6">
        <f t="shared" si="10"/>
        <v>-0.19999999999999973</v>
      </c>
      <c r="F334" s="8">
        <f t="shared" si="11"/>
        <v>-1.7044191902595976E-4</v>
      </c>
    </row>
    <row r="335" spans="1:6" x14ac:dyDescent="0.2">
      <c r="A335">
        <v>3</v>
      </c>
      <c r="B335" t="s">
        <v>1096</v>
      </c>
      <c r="C335" t="s">
        <v>984</v>
      </c>
      <c r="D335" s="8">
        <v>4.0964136027908299E-2</v>
      </c>
      <c r="E335" s="6">
        <f t="shared" si="10"/>
        <v>0.121</v>
      </c>
      <c r="F335" s="8">
        <f t="shared" si="11"/>
        <v>4.9566604593769036E-3</v>
      </c>
    </row>
    <row r="336" spans="1:6" x14ac:dyDescent="0.2">
      <c r="A336">
        <v>3</v>
      </c>
      <c r="B336" t="s">
        <v>1096</v>
      </c>
      <c r="C336" t="s">
        <v>985</v>
      </c>
      <c r="D336" s="8">
        <v>1.5453190923340001E-4</v>
      </c>
      <c r="E336" s="6">
        <f t="shared" si="10"/>
        <v>0.34299999999999997</v>
      </c>
      <c r="F336" s="8">
        <f t="shared" si="11"/>
        <v>5.30044448670562E-5</v>
      </c>
    </row>
    <row r="337" spans="1:6" x14ac:dyDescent="0.2">
      <c r="A337">
        <v>3</v>
      </c>
      <c r="B337" t="s">
        <v>1096</v>
      </c>
      <c r="C337" t="s">
        <v>986</v>
      </c>
      <c r="D337" s="8">
        <v>4.4291139339009853E-5</v>
      </c>
      <c r="E337" s="6">
        <f t="shared" si="10"/>
        <v>-0.38900000000000023</v>
      </c>
      <c r="F337" s="8">
        <f t="shared" si="11"/>
        <v>-1.7229253202874843E-5</v>
      </c>
    </row>
    <row r="338" spans="1:6" x14ac:dyDescent="0.2">
      <c r="A338">
        <v>3</v>
      </c>
      <c r="B338" t="s">
        <v>1096</v>
      </c>
      <c r="C338" t="s">
        <v>987</v>
      </c>
      <c r="D338" s="8">
        <v>8.6822724266059873E-6</v>
      </c>
      <c r="E338" s="6">
        <f t="shared" si="10"/>
        <v>0.83399999999999963</v>
      </c>
      <c r="F338" s="8">
        <f t="shared" si="11"/>
        <v>7.2410152037893898E-6</v>
      </c>
    </row>
    <row r="339" spans="1:6" x14ac:dyDescent="0.2">
      <c r="A339">
        <v>3</v>
      </c>
      <c r="B339" t="s">
        <v>1096</v>
      </c>
      <c r="C339" t="s">
        <v>988</v>
      </c>
      <c r="D339" s="8">
        <v>1.842518049281E-4</v>
      </c>
      <c r="E339" s="6">
        <f t="shared" si="10"/>
        <v>0.59299999999999997</v>
      </c>
      <c r="F339" s="8">
        <f t="shared" si="11"/>
        <v>1.0926132032236329E-4</v>
      </c>
    </row>
    <row r="340" spans="1:6" x14ac:dyDescent="0.2">
      <c r="A340">
        <v>3</v>
      </c>
      <c r="B340" t="s">
        <v>1096</v>
      </c>
      <c r="C340" t="s">
        <v>989</v>
      </c>
      <c r="D340" s="8">
        <v>2.4313794783597358E-8</v>
      </c>
      <c r="E340" s="6">
        <f t="shared" si="10"/>
        <v>-0.12199999999999989</v>
      </c>
      <c r="F340" s="8">
        <f t="shared" si="11"/>
        <v>-2.9662829635988748E-9</v>
      </c>
    </row>
    <row r="341" spans="1:6" x14ac:dyDescent="0.2">
      <c r="A341">
        <v>3</v>
      </c>
      <c r="B341" t="s">
        <v>1096</v>
      </c>
      <c r="C341" t="s">
        <v>990</v>
      </c>
      <c r="D341" s="8">
        <v>9.3292496009903993E-3</v>
      </c>
      <c r="E341" s="6">
        <f t="shared" si="10"/>
        <v>0.45299999999999985</v>
      </c>
      <c r="F341" s="8">
        <f t="shared" si="11"/>
        <v>4.226150069248649E-3</v>
      </c>
    </row>
    <row r="342" spans="1:6" x14ac:dyDescent="0.2">
      <c r="A342">
        <v>3</v>
      </c>
      <c r="B342" t="s">
        <v>1096</v>
      </c>
      <c r="C342" t="s">
        <v>991</v>
      </c>
      <c r="D342" s="8">
        <v>4.5726511756510001E-4</v>
      </c>
      <c r="E342" s="6">
        <f t="shared" si="10"/>
        <v>-3.7290000000000001</v>
      </c>
      <c r="F342" s="8">
        <f t="shared" si="11"/>
        <v>-1.7051416234002579E-3</v>
      </c>
    </row>
    <row r="343" spans="1:6" x14ac:dyDescent="0.2">
      <c r="A343">
        <v>3</v>
      </c>
      <c r="B343" t="s">
        <v>1096</v>
      </c>
      <c r="C343" t="s">
        <v>992</v>
      </c>
      <c r="D343" s="8">
        <v>3.9599874237655578E-8</v>
      </c>
      <c r="E343" s="6">
        <f t="shared" si="10"/>
        <v>2.048</v>
      </c>
      <c r="F343" s="8">
        <f t="shared" si="11"/>
        <v>8.1100542438718623E-8</v>
      </c>
    </row>
    <row r="344" spans="1:6" x14ac:dyDescent="0.2">
      <c r="A344">
        <v>3</v>
      </c>
      <c r="B344" t="s">
        <v>1096</v>
      </c>
      <c r="C344" t="s">
        <v>1092</v>
      </c>
      <c r="D344" s="8">
        <v>1.4628839866136999E-3</v>
      </c>
      <c r="E344" s="6">
        <f t="shared" si="10"/>
        <v>0</v>
      </c>
      <c r="F344" s="8">
        <f t="shared" si="11"/>
        <v>0</v>
      </c>
    </row>
    <row r="345" spans="1:6" x14ac:dyDescent="0.2">
      <c r="A345">
        <v>3</v>
      </c>
      <c r="B345" t="s">
        <v>1096</v>
      </c>
      <c r="C345" t="s">
        <v>994</v>
      </c>
      <c r="D345" s="8">
        <v>2.5315143603480003E-4</v>
      </c>
      <c r="E345" s="6">
        <f t="shared" si="10"/>
        <v>2.415</v>
      </c>
      <c r="F345" s="8">
        <f t="shared" si="11"/>
        <v>6.1136071802404205E-4</v>
      </c>
    </row>
    <row r="346" spans="1:6" x14ac:dyDescent="0.2">
      <c r="A346">
        <v>3</v>
      </c>
      <c r="B346" t="s">
        <v>1096</v>
      </c>
      <c r="C346" t="s">
        <v>1093</v>
      </c>
      <c r="D346" s="8">
        <v>8.2547763956992998E-3</v>
      </c>
      <c r="E346" s="6">
        <f t="shared" si="10"/>
        <v>0</v>
      </c>
      <c r="F346" s="8">
        <f t="shared" si="11"/>
        <v>0</v>
      </c>
    </row>
    <row r="347" spans="1:6" x14ac:dyDescent="0.2">
      <c r="A347">
        <v>3</v>
      </c>
      <c r="B347" t="s">
        <v>1096</v>
      </c>
      <c r="C347" t="s">
        <v>996</v>
      </c>
      <c r="D347" s="8">
        <v>1.5596388292570001E-4</v>
      </c>
      <c r="E347" s="6">
        <f t="shared" si="10"/>
        <v>0.44099999999999984</v>
      </c>
      <c r="F347" s="8">
        <f t="shared" si="11"/>
        <v>6.8780072370233682E-5</v>
      </c>
    </row>
    <row r="348" spans="1:6" x14ac:dyDescent="0.2">
      <c r="A348">
        <v>3</v>
      </c>
      <c r="B348" t="s">
        <v>1096</v>
      </c>
      <c r="C348" t="s">
        <v>998</v>
      </c>
      <c r="D348" s="8">
        <v>2.948706533018E-4</v>
      </c>
      <c r="E348" s="6">
        <f t="shared" si="10"/>
        <v>-0.28200000000000003</v>
      </c>
      <c r="F348" s="8">
        <f t="shared" si="11"/>
        <v>-8.3153524231107615E-5</v>
      </c>
    </row>
    <row r="349" spans="1:6" x14ac:dyDescent="0.2">
      <c r="A349">
        <v>3</v>
      </c>
      <c r="B349" t="s">
        <v>1096</v>
      </c>
      <c r="C349" t="s">
        <v>999</v>
      </c>
      <c r="D349" s="8">
        <v>2.4785529605440002E-4</v>
      </c>
      <c r="E349" s="6">
        <f t="shared" si="10"/>
        <v>-0.5219999999999998</v>
      </c>
      <c r="F349" s="8">
        <f t="shared" si="11"/>
        <v>-1.2938046454039675E-4</v>
      </c>
    </row>
    <row r="350" spans="1:6" x14ac:dyDescent="0.2">
      <c r="A350">
        <v>3</v>
      </c>
      <c r="B350" t="s">
        <v>1096</v>
      </c>
      <c r="C350" t="s">
        <v>1000</v>
      </c>
      <c r="D350" s="8">
        <v>1.1531170354199399E-2</v>
      </c>
      <c r="E350" s="6">
        <f t="shared" si="10"/>
        <v>1.1540000000000004</v>
      </c>
      <c r="F350" s="8">
        <f t="shared" si="11"/>
        <v>1.330697058874611E-2</v>
      </c>
    </row>
    <row r="351" spans="1:6" x14ac:dyDescent="0.2">
      <c r="A351">
        <v>3</v>
      </c>
      <c r="B351" t="s">
        <v>1096</v>
      </c>
      <c r="C351" t="s">
        <v>1002</v>
      </c>
      <c r="D351" s="8">
        <v>2.4647690363202809E-5</v>
      </c>
      <c r="E351" s="6">
        <f t="shared" si="10"/>
        <v>-1.3390000000000004</v>
      </c>
      <c r="F351" s="8">
        <f t="shared" si="11"/>
        <v>-3.3003257396328571E-5</v>
      </c>
    </row>
    <row r="352" spans="1:6" x14ac:dyDescent="0.2">
      <c r="A352">
        <v>3</v>
      </c>
      <c r="B352" t="s">
        <v>1096</v>
      </c>
      <c r="C352" t="s">
        <v>1003</v>
      </c>
      <c r="D352" s="8">
        <v>1.7907366148505E-3</v>
      </c>
      <c r="E352" s="6">
        <f t="shared" si="10"/>
        <v>0.22999999999999998</v>
      </c>
      <c r="F352" s="8">
        <f t="shared" si="11"/>
        <v>4.1186942141561495E-4</v>
      </c>
    </row>
    <row r="353" spans="1:6" x14ac:dyDescent="0.2">
      <c r="A353">
        <v>3</v>
      </c>
      <c r="B353" t="s">
        <v>1096</v>
      </c>
      <c r="C353" t="s">
        <v>1005</v>
      </c>
      <c r="D353" s="8">
        <v>4.6609843975205373E-6</v>
      </c>
      <c r="E353" s="6">
        <f t="shared" si="10"/>
        <v>-0.10000000000000009</v>
      </c>
      <c r="F353" s="8">
        <f t="shared" si="11"/>
        <v>-4.6609843975205416E-7</v>
      </c>
    </row>
    <row r="354" spans="1:6" x14ac:dyDescent="0.2">
      <c r="A354">
        <v>3</v>
      </c>
      <c r="B354" t="s">
        <v>1096</v>
      </c>
      <c r="C354" t="s">
        <v>1007</v>
      </c>
      <c r="D354" s="8">
        <v>4.0397151705640393E-5</v>
      </c>
      <c r="E354" s="6">
        <f t="shared" si="10"/>
        <v>-0.19999999999999973</v>
      </c>
      <c r="F354" s="8">
        <f t="shared" si="11"/>
        <v>-8.0794303411280671E-6</v>
      </c>
    </row>
    <row r="355" spans="1:6" x14ac:dyDescent="0.2">
      <c r="A355">
        <v>3</v>
      </c>
      <c r="B355" t="s">
        <v>1096</v>
      </c>
      <c r="C355" t="s">
        <v>1008</v>
      </c>
      <c r="D355" s="8">
        <v>4.1552855555319998E-4</v>
      </c>
      <c r="E355" s="6">
        <f t="shared" si="10"/>
        <v>0.94799999999999995</v>
      </c>
      <c r="F355" s="8">
        <f t="shared" si="11"/>
        <v>3.9392107066443354E-4</v>
      </c>
    </row>
    <row r="356" spans="1:6" x14ac:dyDescent="0.2">
      <c r="A356">
        <v>3</v>
      </c>
      <c r="B356" t="s">
        <v>1096</v>
      </c>
      <c r="C356" t="s">
        <v>1098</v>
      </c>
      <c r="D356" s="8">
        <v>8.9231716615517259E-6</v>
      </c>
      <c r="E356" s="6">
        <f t="shared" si="10"/>
        <v>0</v>
      </c>
      <c r="F356" s="8">
        <f t="shared" si="11"/>
        <v>0</v>
      </c>
    </row>
    <row r="357" spans="1:6" x14ac:dyDescent="0.2">
      <c r="A357">
        <v>3</v>
      </c>
      <c r="B357" t="s">
        <v>1096</v>
      </c>
      <c r="C357" t="s">
        <v>1012</v>
      </c>
      <c r="D357" s="8">
        <v>1.3306349213330001E-4</v>
      </c>
      <c r="E357" s="6">
        <f t="shared" si="10"/>
        <v>0.39999999999999991</v>
      </c>
      <c r="F357" s="8">
        <f t="shared" si="11"/>
        <v>5.3225396853319994E-5</v>
      </c>
    </row>
    <row r="358" spans="1:6" x14ac:dyDescent="0.2">
      <c r="A358">
        <v>3</v>
      </c>
      <c r="B358" t="s">
        <v>1096</v>
      </c>
      <c r="C358" t="s">
        <v>1014</v>
      </c>
      <c r="D358" s="8">
        <v>8.8176218021549999E-2</v>
      </c>
      <c r="E358" s="6">
        <f t="shared" si="10"/>
        <v>0.90000000000000036</v>
      </c>
      <c r="F358" s="8">
        <f t="shared" si="11"/>
        <v>7.9358596219395033E-2</v>
      </c>
    </row>
    <row r="359" spans="1:6" x14ac:dyDescent="0.2">
      <c r="A359">
        <v>3</v>
      </c>
      <c r="B359" t="s">
        <v>1096</v>
      </c>
      <c r="C359" t="s">
        <v>1099</v>
      </c>
      <c r="D359" s="8">
        <v>1.7583928156488591E-7</v>
      </c>
      <c r="E359" s="6">
        <f t="shared" si="10"/>
        <v>0</v>
      </c>
      <c r="F359" s="8">
        <f t="shared" si="11"/>
        <v>0</v>
      </c>
    </row>
    <row r="360" spans="1:6" x14ac:dyDescent="0.2">
      <c r="A360">
        <v>3</v>
      </c>
      <c r="B360" t="s">
        <v>1096</v>
      </c>
      <c r="C360" t="s">
        <v>1017</v>
      </c>
      <c r="D360" s="8">
        <v>8.5483694963379997E-4</v>
      </c>
      <c r="E360" s="6">
        <f t="shared" si="10"/>
        <v>1.3749999999999996</v>
      </c>
      <c r="F360" s="8">
        <f t="shared" si="11"/>
        <v>1.1754008057464746E-3</v>
      </c>
    </row>
    <row r="361" spans="1:6" x14ac:dyDescent="0.2">
      <c r="A361">
        <v>3</v>
      </c>
      <c r="B361" t="s">
        <v>1096</v>
      </c>
      <c r="C361" t="s">
        <v>1018</v>
      </c>
      <c r="D361" s="8">
        <v>2.9000061900343998E-3</v>
      </c>
      <c r="E361" s="6">
        <f t="shared" si="10"/>
        <v>0.69999999999999973</v>
      </c>
      <c r="F361" s="8">
        <f t="shared" si="11"/>
        <v>2.030004333024079E-3</v>
      </c>
    </row>
    <row r="362" spans="1:6" x14ac:dyDescent="0.2">
      <c r="A362">
        <v>3</v>
      </c>
      <c r="B362" t="s">
        <v>1096</v>
      </c>
      <c r="C362" t="s">
        <v>1019</v>
      </c>
      <c r="D362" s="8">
        <v>1.8238432580567801E-2</v>
      </c>
      <c r="E362" s="6">
        <f t="shared" si="10"/>
        <v>-0.21599999999999997</v>
      </c>
      <c r="F362" s="8">
        <f t="shared" si="11"/>
        <v>-3.9395014374026443E-3</v>
      </c>
    </row>
    <row r="363" spans="1:6" x14ac:dyDescent="0.2">
      <c r="A363">
        <v>3</v>
      </c>
      <c r="B363" t="s">
        <v>1096</v>
      </c>
      <c r="C363" t="s">
        <v>1020</v>
      </c>
      <c r="D363" s="8">
        <v>3.6495453712749999E-4</v>
      </c>
      <c r="E363" s="6">
        <f t="shared" si="10"/>
        <v>-0.21999999999999997</v>
      </c>
      <c r="F363" s="8">
        <f t="shared" si="11"/>
        <v>-8.0289998168049995E-5</v>
      </c>
    </row>
    <row r="364" spans="1:6" x14ac:dyDescent="0.2">
      <c r="A364">
        <v>3</v>
      </c>
      <c r="B364" t="s">
        <v>1096</v>
      </c>
      <c r="C364" t="s">
        <v>1021</v>
      </c>
      <c r="D364" s="8">
        <v>1.5299645314975001E-3</v>
      </c>
      <c r="E364" s="6">
        <f t="shared" si="10"/>
        <v>-2.4829999999999997</v>
      </c>
      <c r="F364" s="8">
        <f t="shared" si="11"/>
        <v>-3.798901931708292E-3</v>
      </c>
    </row>
    <row r="365" spans="1:6" x14ac:dyDescent="0.2">
      <c r="A365">
        <v>3</v>
      </c>
      <c r="B365" t="s">
        <v>1096</v>
      </c>
      <c r="C365" t="s">
        <v>1023</v>
      </c>
      <c r="D365" s="8">
        <v>1.8656500433704001E-3</v>
      </c>
      <c r="E365" s="6">
        <f t="shared" si="10"/>
        <v>-0.62199999999999989</v>
      </c>
      <c r="F365" s="8">
        <f t="shared" si="11"/>
        <v>-1.1604343269763886E-3</v>
      </c>
    </row>
    <row r="366" spans="1:6" x14ac:dyDescent="0.2">
      <c r="A366">
        <v>3</v>
      </c>
      <c r="B366" t="s">
        <v>1096</v>
      </c>
      <c r="C366" t="s">
        <v>1024</v>
      </c>
      <c r="D366" s="8">
        <v>2.993277986667E-4</v>
      </c>
      <c r="E366" s="6">
        <f t="shared" si="10"/>
        <v>-0.14500000000000002</v>
      </c>
      <c r="F366" s="8">
        <f t="shared" si="11"/>
        <v>-4.3402530806671507E-5</v>
      </c>
    </row>
    <row r="367" spans="1:6" x14ac:dyDescent="0.2">
      <c r="A367">
        <v>3</v>
      </c>
      <c r="B367" t="s">
        <v>1096</v>
      </c>
      <c r="C367" t="s">
        <v>1025</v>
      </c>
      <c r="D367" s="8">
        <v>6.5497403212386998E-3</v>
      </c>
      <c r="E367" s="6">
        <f t="shared" si="10"/>
        <v>4.7000000000000153E-2</v>
      </c>
      <c r="F367" s="8">
        <f t="shared" si="11"/>
        <v>3.0783779509821989E-4</v>
      </c>
    </row>
    <row r="368" spans="1:6" x14ac:dyDescent="0.2">
      <c r="A368">
        <v>3</v>
      </c>
      <c r="B368" t="s">
        <v>1096</v>
      </c>
      <c r="C368" t="s">
        <v>1027</v>
      </c>
      <c r="D368" s="8">
        <v>2.6275324077319E-3</v>
      </c>
      <c r="E368" s="6">
        <f t="shared" si="10"/>
        <v>0.18999999999999995</v>
      </c>
      <c r="F368" s="8">
        <f t="shared" si="11"/>
        <v>4.9923115746906084E-4</v>
      </c>
    </row>
    <row r="369" spans="1:6" x14ac:dyDescent="0.2">
      <c r="A369">
        <v>3</v>
      </c>
      <c r="B369" t="s">
        <v>1096</v>
      </c>
      <c r="C369" t="s">
        <v>1028</v>
      </c>
      <c r="D369" s="8">
        <v>2.3037728515362801E-2</v>
      </c>
      <c r="E369" s="6">
        <f t="shared" si="10"/>
        <v>-1.6600000000000001</v>
      </c>
      <c r="F369" s="8">
        <f t="shared" si="11"/>
        <v>-3.8242629335502251E-2</v>
      </c>
    </row>
    <row r="370" spans="1:6" x14ac:dyDescent="0.2">
      <c r="A370">
        <v>3</v>
      </c>
      <c r="B370" t="s">
        <v>1096</v>
      </c>
      <c r="C370" t="s">
        <v>1030</v>
      </c>
      <c r="D370" s="8">
        <v>2.4873514190025431E-5</v>
      </c>
      <c r="E370" s="6">
        <f t="shared" si="10"/>
        <v>0.29999999999999982</v>
      </c>
      <c r="F370" s="8">
        <f t="shared" si="11"/>
        <v>7.4620542570076246E-6</v>
      </c>
    </row>
    <row r="371" spans="1:6" x14ac:dyDescent="0.2">
      <c r="A371">
        <v>3</v>
      </c>
      <c r="B371" t="s">
        <v>1096</v>
      </c>
      <c r="C371" t="s">
        <v>1031</v>
      </c>
      <c r="D371" s="8">
        <v>4.7754464950007002E-3</v>
      </c>
      <c r="E371" s="6">
        <f t="shared" si="10"/>
        <v>0.19899999999999984</v>
      </c>
      <c r="F371" s="8">
        <f t="shared" si="11"/>
        <v>9.5031385250513858E-4</v>
      </c>
    </row>
    <row r="372" spans="1:6" x14ac:dyDescent="0.2">
      <c r="A372">
        <v>3</v>
      </c>
      <c r="B372" t="s">
        <v>1096</v>
      </c>
      <c r="C372" t="s">
        <v>1033</v>
      </c>
      <c r="D372" s="8">
        <v>4.1711070363741999E-3</v>
      </c>
      <c r="E372" s="6">
        <f t="shared" si="10"/>
        <v>0.23299999999999987</v>
      </c>
      <c r="F372" s="8">
        <f t="shared" si="11"/>
        <v>9.7186793947518803E-4</v>
      </c>
    </row>
    <row r="373" spans="1:6" x14ac:dyDescent="0.2">
      <c r="A373">
        <v>3</v>
      </c>
      <c r="B373" t="s">
        <v>1096</v>
      </c>
      <c r="C373" t="s">
        <v>1034</v>
      </c>
      <c r="D373" s="8">
        <v>3.0481442460209999E-4</v>
      </c>
      <c r="E373" s="6">
        <f t="shared" si="10"/>
        <v>0.70000000000000018</v>
      </c>
      <c r="F373" s="8">
        <f t="shared" si="11"/>
        <v>2.1337009722147005E-4</v>
      </c>
    </row>
    <row r="374" spans="1:6" x14ac:dyDescent="0.2">
      <c r="A374">
        <v>3</v>
      </c>
      <c r="B374" t="s">
        <v>1096</v>
      </c>
      <c r="C374" t="s">
        <v>1100</v>
      </c>
      <c r="D374" s="8">
        <v>5.2799832316874111E-9</v>
      </c>
      <c r="E374" s="6">
        <f t="shared" si="10"/>
        <v>0</v>
      </c>
      <c r="F374" s="8">
        <f t="shared" si="11"/>
        <v>0</v>
      </c>
    </row>
    <row r="375" spans="1:6" x14ac:dyDescent="0.2">
      <c r="A375">
        <v>3</v>
      </c>
      <c r="B375" t="s">
        <v>1096</v>
      </c>
      <c r="C375" t="s">
        <v>1035</v>
      </c>
      <c r="D375" s="8">
        <v>9.3029220052899997E-4</v>
      </c>
      <c r="E375" s="6">
        <f t="shared" si="10"/>
        <v>-14.218</v>
      </c>
      <c r="F375" s="8">
        <f t="shared" si="11"/>
        <v>-1.3226894507121322E-2</v>
      </c>
    </row>
    <row r="376" spans="1:6" x14ac:dyDescent="0.2">
      <c r="A376">
        <v>3</v>
      </c>
      <c r="B376" t="s">
        <v>1096</v>
      </c>
      <c r="C376" t="s">
        <v>1036</v>
      </c>
      <c r="D376" s="8">
        <v>7.187500382543E-4</v>
      </c>
      <c r="E376" s="6">
        <f t="shared" si="10"/>
        <v>-2.0590000000000002</v>
      </c>
      <c r="F376" s="8">
        <f t="shared" si="11"/>
        <v>-1.4799063287656037E-3</v>
      </c>
    </row>
    <row r="377" spans="1:6" x14ac:dyDescent="0.2">
      <c r="A377">
        <v>3</v>
      </c>
      <c r="B377" t="s">
        <v>1096</v>
      </c>
      <c r="C377" t="s">
        <v>1037</v>
      </c>
      <c r="D377" s="8">
        <v>1.5864319010453501E-2</v>
      </c>
      <c r="E377" s="6">
        <f t="shared" si="10"/>
        <v>0.2350000000000001</v>
      </c>
      <c r="F377" s="8">
        <f t="shared" si="11"/>
        <v>3.7281149674565743E-3</v>
      </c>
    </row>
    <row r="378" spans="1:6" x14ac:dyDescent="0.2">
      <c r="A378">
        <v>3</v>
      </c>
      <c r="B378" t="s">
        <v>1096</v>
      </c>
      <c r="C378" t="s">
        <v>1094</v>
      </c>
      <c r="D378" s="8">
        <v>1.34089780848471E-2</v>
      </c>
      <c r="E378" s="6">
        <f t="shared" si="10"/>
        <v>0</v>
      </c>
      <c r="F378" s="8">
        <f t="shared" si="11"/>
        <v>0</v>
      </c>
    </row>
    <row r="379" spans="1:6" x14ac:dyDescent="0.2">
      <c r="A379">
        <v>3</v>
      </c>
      <c r="B379" t="s">
        <v>1096</v>
      </c>
      <c r="C379" t="s">
        <v>1039</v>
      </c>
      <c r="D379" s="8">
        <v>1.0063198883566601E-2</v>
      </c>
      <c r="E379" s="6">
        <f t="shared" si="10"/>
        <v>-0.6419999999999999</v>
      </c>
      <c r="F379" s="8">
        <f t="shared" si="11"/>
        <v>-6.460573683249757E-3</v>
      </c>
    </row>
    <row r="380" spans="1:6" x14ac:dyDescent="0.2">
      <c r="A380">
        <v>3</v>
      </c>
      <c r="B380" t="s">
        <v>1096</v>
      </c>
      <c r="C380" t="s">
        <v>1040</v>
      </c>
      <c r="D380" s="8">
        <v>4.1667435943429999E-4</v>
      </c>
      <c r="E380" s="6">
        <f t="shared" si="10"/>
        <v>-8.1180000000000003</v>
      </c>
      <c r="F380" s="8">
        <f t="shared" si="11"/>
        <v>-3.3825624498876475E-3</v>
      </c>
    </row>
    <row r="381" spans="1:6" x14ac:dyDescent="0.2">
      <c r="A381">
        <v>3</v>
      </c>
      <c r="B381" t="s">
        <v>1096</v>
      </c>
      <c r="C381" t="s">
        <v>1041</v>
      </c>
      <c r="D381" s="8">
        <v>1.5129002592899999E-4</v>
      </c>
      <c r="E381" s="6">
        <f t="shared" si="10"/>
        <v>-1.8890000000000002</v>
      </c>
      <c r="F381" s="8">
        <f t="shared" si="11"/>
        <v>-2.8578685897988104E-4</v>
      </c>
    </row>
    <row r="382" spans="1:6" x14ac:dyDescent="0.2">
      <c r="A382">
        <v>3</v>
      </c>
      <c r="B382" t="s">
        <v>1096</v>
      </c>
      <c r="C382" t="s">
        <v>1042</v>
      </c>
      <c r="D382" s="8">
        <v>2.6470551059200799E-2</v>
      </c>
      <c r="E382" s="6">
        <f t="shared" ref="E382:E445" si="12">IFERROR(VLOOKUP(C382,$A$6:$D$185,4,FALSE),0)</f>
        <v>1.621</v>
      </c>
      <c r="F382" s="8">
        <f t="shared" ref="F382:F445" si="13">D382*E382</f>
        <v>4.2908763266964495E-2</v>
      </c>
    </row>
    <row r="383" spans="1:6" x14ac:dyDescent="0.2">
      <c r="A383">
        <v>3</v>
      </c>
      <c r="B383" t="s">
        <v>1096</v>
      </c>
      <c r="C383" t="s">
        <v>1047</v>
      </c>
      <c r="D383" s="8">
        <v>4.4351859146174259E-6</v>
      </c>
      <c r="E383" s="6">
        <f t="shared" si="12"/>
        <v>-1.4999999999999996</v>
      </c>
      <c r="F383" s="8">
        <f t="shared" si="13"/>
        <v>-6.6527788719261367E-6</v>
      </c>
    </row>
    <row r="384" spans="1:6" x14ac:dyDescent="0.2">
      <c r="A384">
        <v>3</v>
      </c>
      <c r="B384" t="s">
        <v>1096</v>
      </c>
      <c r="C384" t="s">
        <v>1048</v>
      </c>
      <c r="D384" s="8">
        <v>2.1119932926749651E-6</v>
      </c>
      <c r="E384" s="6">
        <f t="shared" si="12"/>
        <v>-1.4340000000000002</v>
      </c>
      <c r="F384" s="8">
        <f t="shared" si="13"/>
        <v>-3.0285983816959003E-6</v>
      </c>
    </row>
    <row r="385" spans="1:6" x14ac:dyDescent="0.2">
      <c r="A385">
        <v>3</v>
      </c>
      <c r="B385" t="s">
        <v>1096</v>
      </c>
      <c r="C385" t="s">
        <v>1051</v>
      </c>
      <c r="D385" s="8">
        <v>1.011644787191308E-5</v>
      </c>
      <c r="E385" s="6">
        <f t="shared" si="12"/>
        <v>0.18199999999999994</v>
      </c>
      <c r="F385" s="8">
        <f t="shared" si="13"/>
        <v>1.84119351268818E-6</v>
      </c>
    </row>
    <row r="386" spans="1:6" x14ac:dyDescent="0.2">
      <c r="A386">
        <v>3</v>
      </c>
      <c r="B386" t="s">
        <v>1096</v>
      </c>
      <c r="C386" t="s">
        <v>1052</v>
      </c>
      <c r="D386" s="8">
        <v>8.5175142458494434E-5</v>
      </c>
      <c r="E386" s="6">
        <f t="shared" si="12"/>
        <v>-1.1059999999999999</v>
      </c>
      <c r="F386" s="8">
        <f t="shared" si="13"/>
        <v>-9.420370755909483E-5</v>
      </c>
    </row>
    <row r="387" spans="1:6" x14ac:dyDescent="0.2">
      <c r="A387">
        <v>3</v>
      </c>
      <c r="B387" t="s">
        <v>1096</v>
      </c>
      <c r="C387" t="s">
        <v>1053</v>
      </c>
      <c r="D387" s="8">
        <v>3.428730083746E-4</v>
      </c>
      <c r="E387" s="6">
        <f t="shared" si="12"/>
        <v>-0.39999999999999991</v>
      </c>
      <c r="F387" s="8">
        <f t="shared" si="13"/>
        <v>-1.3714920334983996E-4</v>
      </c>
    </row>
    <row r="388" spans="1:6" x14ac:dyDescent="0.2">
      <c r="A388">
        <v>3</v>
      </c>
      <c r="B388" t="s">
        <v>1096</v>
      </c>
      <c r="C388" t="s">
        <v>1054</v>
      </c>
      <c r="D388" s="8">
        <v>1.3000332473189999E-4</v>
      </c>
      <c r="E388" s="6">
        <f t="shared" si="12"/>
        <v>-0.16800000000000015</v>
      </c>
      <c r="F388" s="8">
        <f t="shared" si="13"/>
        <v>-2.1840558554959216E-5</v>
      </c>
    </row>
    <row r="389" spans="1:6" x14ac:dyDescent="0.2">
      <c r="A389">
        <v>3</v>
      </c>
      <c r="B389" t="s">
        <v>1096</v>
      </c>
      <c r="C389" t="s">
        <v>1055</v>
      </c>
      <c r="D389" s="8">
        <v>2.498593664899117E-6</v>
      </c>
      <c r="E389" s="6">
        <f t="shared" si="12"/>
        <v>-0.93100000000000005</v>
      </c>
      <c r="F389" s="8">
        <f t="shared" si="13"/>
        <v>-2.3261907020210782E-6</v>
      </c>
    </row>
    <row r="390" spans="1:6" x14ac:dyDescent="0.2">
      <c r="A390">
        <v>3</v>
      </c>
      <c r="B390" t="s">
        <v>1096</v>
      </c>
      <c r="C390" t="s">
        <v>1095</v>
      </c>
      <c r="D390" s="8">
        <v>7.0698892048549997E-4</v>
      </c>
      <c r="E390" s="6">
        <f t="shared" si="12"/>
        <v>0</v>
      </c>
      <c r="F390" s="8">
        <f t="shared" si="13"/>
        <v>0</v>
      </c>
    </row>
    <row r="391" spans="1:6" x14ac:dyDescent="0.2">
      <c r="A391">
        <v>3</v>
      </c>
      <c r="B391" t="s">
        <v>1096</v>
      </c>
      <c r="C391" t="s">
        <v>1058</v>
      </c>
      <c r="D391" s="8">
        <v>8.5989278912938013E-5</v>
      </c>
      <c r="E391" s="6">
        <f t="shared" si="12"/>
        <v>-0.5</v>
      </c>
      <c r="F391" s="8">
        <f t="shared" si="13"/>
        <v>-4.2994639456469006E-5</v>
      </c>
    </row>
    <row r="392" spans="1:6" x14ac:dyDescent="0.2">
      <c r="A392">
        <v>3</v>
      </c>
      <c r="B392" t="s">
        <v>1096</v>
      </c>
      <c r="C392" t="s">
        <v>1059</v>
      </c>
      <c r="D392" s="8">
        <v>3.00883049840487E-2</v>
      </c>
      <c r="E392" s="6">
        <f t="shared" si="12"/>
        <v>-0.10000000000000009</v>
      </c>
      <c r="F392" s="8">
        <f t="shared" si="13"/>
        <v>-3.0088304984048726E-3</v>
      </c>
    </row>
    <row r="393" spans="1:6" x14ac:dyDescent="0.2">
      <c r="A393">
        <v>3</v>
      </c>
      <c r="B393" t="s">
        <v>1096</v>
      </c>
      <c r="C393" t="s">
        <v>1062</v>
      </c>
      <c r="D393" s="8">
        <v>2.9558262260870002E-4</v>
      </c>
      <c r="E393" s="6">
        <f t="shared" si="12"/>
        <v>0.89999999999999947</v>
      </c>
      <c r="F393" s="8">
        <f t="shared" si="13"/>
        <v>2.6602436034782988E-4</v>
      </c>
    </row>
    <row r="394" spans="1:6" x14ac:dyDescent="0.2">
      <c r="A394">
        <v>3</v>
      </c>
      <c r="B394" t="s">
        <v>1096</v>
      </c>
      <c r="C394" t="s">
        <v>1064</v>
      </c>
      <c r="D394" s="8">
        <v>1.2334040829221789E-5</v>
      </c>
      <c r="E394" s="6">
        <f t="shared" si="12"/>
        <v>-0.29400000000000004</v>
      </c>
      <c r="F394" s="8">
        <f t="shared" si="13"/>
        <v>-3.6262080037912067E-6</v>
      </c>
    </row>
    <row r="395" spans="1:6" x14ac:dyDescent="0.2">
      <c r="A395">
        <v>3</v>
      </c>
      <c r="B395" t="s">
        <v>1096</v>
      </c>
      <c r="C395" t="s">
        <v>1065</v>
      </c>
      <c r="D395" s="8">
        <v>6.7786784616899996E-4</v>
      </c>
      <c r="E395" s="6">
        <f t="shared" si="12"/>
        <v>0.68300000000000005</v>
      </c>
      <c r="F395" s="8">
        <f t="shared" si="13"/>
        <v>4.6298373893342702E-4</v>
      </c>
    </row>
    <row r="396" spans="1:6" x14ac:dyDescent="0.2">
      <c r="A396">
        <v>3</v>
      </c>
      <c r="B396" t="s">
        <v>1096</v>
      </c>
      <c r="C396" t="s">
        <v>1066</v>
      </c>
      <c r="D396" s="8">
        <v>4.7970364673466997E-3</v>
      </c>
      <c r="E396" s="6">
        <f t="shared" si="12"/>
        <v>0.20900000000000007</v>
      </c>
      <c r="F396" s="8">
        <f t="shared" si="13"/>
        <v>1.0025806216754606E-3</v>
      </c>
    </row>
    <row r="397" spans="1:6" x14ac:dyDescent="0.2">
      <c r="A397">
        <v>3</v>
      </c>
      <c r="B397" t="s">
        <v>1096</v>
      </c>
      <c r="C397" t="s">
        <v>1069</v>
      </c>
      <c r="D397" s="8">
        <v>9.9184485007248018E-6</v>
      </c>
      <c r="E397" s="6">
        <f t="shared" si="12"/>
        <v>-0.13199999999999967</v>
      </c>
      <c r="F397" s="8">
        <f t="shared" si="13"/>
        <v>-1.3092352020956706E-6</v>
      </c>
    </row>
    <row r="398" spans="1:6" x14ac:dyDescent="0.2">
      <c r="A398">
        <v>3</v>
      </c>
      <c r="B398" t="s">
        <v>1096</v>
      </c>
      <c r="C398" t="s">
        <v>1070</v>
      </c>
      <c r="D398" s="8">
        <v>4.4722543008940001E-4</v>
      </c>
      <c r="E398" s="6">
        <f t="shared" si="12"/>
        <v>-2.5</v>
      </c>
      <c r="F398" s="8">
        <f t="shared" si="13"/>
        <v>-1.1180635752235E-3</v>
      </c>
    </row>
    <row r="399" spans="1:6" x14ac:dyDescent="0.2">
      <c r="A399">
        <v>3</v>
      </c>
      <c r="B399" t="s">
        <v>1096</v>
      </c>
      <c r="C399" t="s">
        <v>1071</v>
      </c>
      <c r="D399" s="8">
        <v>9.002953528178E-4</v>
      </c>
      <c r="E399" s="6">
        <f t="shared" si="12"/>
        <v>-0.8</v>
      </c>
      <c r="F399" s="8">
        <f t="shared" si="13"/>
        <v>-7.2023628225424002E-4</v>
      </c>
    </row>
    <row r="400" spans="1:6" x14ac:dyDescent="0.2">
      <c r="A400">
        <v>3</v>
      </c>
      <c r="B400" t="s">
        <v>1096</v>
      </c>
      <c r="C400" t="s">
        <v>1072</v>
      </c>
      <c r="D400" s="8">
        <v>0.1452066159317762</v>
      </c>
      <c r="E400" s="6">
        <f t="shared" si="12"/>
        <v>0.55599999999999983</v>
      </c>
      <c r="F400" s="8">
        <f t="shared" si="13"/>
        <v>8.0734878458067538E-2</v>
      </c>
    </row>
    <row r="401" spans="1:6" x14ac:dyDescent="0.2">
      <c r="A401">
        <v>3</v>
      </c>
      <c r="B401" t="s">
        <v>1096</v>
      </c>
      <c r="C401" t="s">
        <v>1073</v>
      </c>
      <c r="D401" s="8">
        <v>5.451318687555668E-5</v>
      </c>
      <c r="E401" s="6">
        <f t="shared" si="12"/>
        <v>0.69200000000000017</v>
      </c>
      <c r="F401" s="8">
        <f t="shared" si="13"/>
        <v>3.7723125317885231E-5</v>
      </c>
    </row>
    <row r="402" spans="1:6" x14ac:dyDescent="0.2">
      <c r="A402">
        <v>3</v>
      </c>
      <c r="B402" t="s">
        <v>1096</v>
      </c>
      <c r="C402" t="s">
        <v>1074</v>
      </c>
      <c r="D402" s="8">
        <v>1.3943010119410001E-4</v>
      </c>
      <c r="E402" s="6">
        <f t="shared" si="12"/>
        <v>9.5</v>
      </c>
      <c r="F402" s="8">
        <f t="shared" si="13"/>
        <v>1.3245859613439501E-3</v>
      </c>
    </row>
    <row r="403" spans="1:6" x14ac:dyDescent="0.2">
      <c r="A403">
        <v>3</v>
      </c>
      <c r="B403" t="s">
        <v>1096</v>
      </c>
      <c r="C403" t="s">
        <v>1075</v>
      </c>
      <c r="D403" s="8">
        <v>4.9362650994814898E-2</v>
      </c>
      <c r="E403" s="6">
        <f t="shared" si="12"/>
        <v>3.0529999999999999</v>
      </c>
      <c r="F403" s="8">
        <f t="shared" si="13"/>
        <v>0.15070417348716988</v>
      </c>
    </row>
    <row r="404" spans="1:6" x14ac:dyDescent="0.2">
      <c r="A404">
        <v>3</v>
      </c>
      <c r="B404" t="s">
        <v>1096</v>
      </c>
      <c r="C404" t="s">
        <v>1077</v>
      </c>
      <c r="D404" s="8">
        <v>6.7583785365598866E-9</v>
      </c>
      <c r="E404" s="6">
        <f t="shared" si="12"/>
        <v>0.63200000000000012</v>
      </c>
      <c r="F404" s="8">
        <f t="shared" si="13"/>
        <v>4.2712952351058492E-9</v>
      </c>
    </row>
    <row r="405" spans="1:6" x14ac:dyDescent="0.2">
      <c r="A405">
        <v>3</v>
      </c>
      <c r="B405" t="s">
        <v>1096</v>
      </c>
      <c r="C405" t="s">
        <v>1078</v>
      </c>
      <c r="D405" s="8">
        <v>1.2824774614730001E-4</v>
      </c>
      <c r="E405" s="6">
        <f t="shared" si="12"/>
        <v>0.5</v>
      </c>
      <c r="F405" s="8">
        <f t="shared" si="13"/>
        <v>6.4123873073650007E-5</v>
      </c>
    </row>
    <row r="406" spans="1:6" x14ac:dyDescent="0.2">
      <c r="A406">
        <v>3</v>
      </c>
      <c r="B406" t="s">
        <v>1096</v>
      </c>
      <c r="C406" t="s">
        <v>1079</v>
      </c>
      <c r="D406" s="8">
        <v>1.1512981630363E-3</v>
      </c>
      <c r="E406" s="6">
        <f t="shared" si="12"/>
        <v>-0.28899999999999992</v>
      </c>
      <c r="F406" s="8">
        <f t="shared" si="13"/>
        <v>-3.327251691174906E-4</v>
      </c>
    </row>
    <row r="407" spans="1:6" x14ac:dyDescent="0.2">
      <c r="A407">
        <v>6</v>
      </c>
      <c r="B407" t="s">
        <v>1101</v>
      </c>
      <c r="C407" t="s">
        <v>1090</v>
      </c>
      <c r="D407" s="8">
        <v>6.3291397066422169E-5</v>
      </c>
      <c r="E407" s="6">
        <f t="shared" si="12"/>
        <v>0</v>
      </c>
      <c r="F407" s="8">
        <f t="shared" si="13"/>
        <v>0</v>
      </c>
    </row>
    <row r="408" spans="1:6" x14ac:dyDescent="0.2">
      <c r="A408">
        <v>6</v>
      </c>
      <c r="B408" t="s">
        <v>1101</v>
      </c>
      <c r="C408" t="s">
        <v>904</v>
      </c>
      <c r="D408" s="8">
        <v>1.2303641041017231E-5</v>
      </c>
      <c r="E408" s="6">
        <f t="shared" si="12"/>
        <v>-6.800000000000006E-2</v>
      </c>
      <c r="F408" s="8">
        <f t="shared" si="13"/>
        <v>-8.3664759078917245E-7</v>
      </c>
    </row>
    <row r="409" spans="1:6" x14ac:dyDescent="0.2">
      <c r="A409">
        <v>6</v>
      </c>
      <c r="B409" t="s">
        <v>1101</v>
      </c>
      <c r="C409" t="s">
        <v>906</v>
      </c>
      <c r="D409" s="8">
        <v>1.0083800392076E-3</v>
      </c>
      <c r="E409" s="6">
        <f t="shared" si="12"/>
        <v>-1.8859999999999997</v>
      </c>
      <c r="F409" s="8">
        <f t="shared" si="13"/>
        <v>-1.9018047539455332E-3</v>
      </c>
    </row>
    <row r="410" spans="1:6" x14ac:dyDescent="0.2">
      <c r="A410">
        <v>6</v>
      </c>
      <c r="B410" t="s">
        <v>1101</v>
      </c>
      <c r="C410" t="s">
        <v>910</v>
      </c>
      <c r="D410" s="8">
        <v>2.8285424838234998E-3</v>
      </c>
      <c r="E410" s="6">
        <f t="shared" si="12"/>
        <v>-7.7999999999999847E-2</v>
      </c>
      <c r="F410" s="8">
        <f t="shared" si="13"/>
        <v>-2.2062631373823255E-4</v>
      </c>
    </row>
    <row r="411" spans="1:6" x14ac:dyDescent="0.2">
      <c r="A411">
        <v>6</v>
      </c>
      <c r="B411" t="s">
        <v>1101</v>
      </c>
      <c r="C411" t="s">
        <v>914</v>
      </c>
      <c r="D411" s="8">
        <v>2.9222163864119999E-4</v>
      </c>
      <c r="E411" s="6">
        <f t="shared" si="12"/>
        <v>-0.26900000000000002</v>
      </c>
      <c r="F411" s="8">
        <f t="shared" si="13"/>
        <v>-7.8607620794482797E-5</v>
      </c>
    </row>
    <row r="412" spans="1:6" x14ac:dyDescent="0.2">
      <c r="A412">
        <v>6</v>
      </c>
      <c r="B412" t="s">
        <v>1101</v>
      </c>
      <c r="C412" t="s">
        <v>917</v>
      </c>
      <c r="D412" s="8">
        <v>4.0149465379404996E-3</v>
      </c>
      <c r="E412" s="6">
        <f t="shared" si="12"/>
        <v>-1.83</v>
      </c>
      <c r="F412" s="8">
        <f t="shared" si="13"/>
        <v>-7.3473521644311143E-3</v>
      </c>
    </row>
    <row r="413" spans="1:6" x14ac:dyDescent="0.2">
      <c r="A413">
        <v>6</v>
      </c>
      <c r="B413" t="s">
        <v>1101</v>
      </c>
      <c r="C413" t="s">
        <v>918</v>
      </c>
      <c r="D413" s="8">
        <v>3.123080818530258E-5</v>
      </c>
      <c r="E413" s="6">
        <f t="shared" si="12"/>
        <v>0.1469999999999998</v>
      </c>
      <c r="F413" s="8">
        <f t="shared" si="13"/>
        <v>4.5909288032394731E-6</v>
      </c>
    </row>
    <row r="414" spans="1:6" x14ac:dyDescent="0.2">
      <c r="A414">
        <v>6</v>
      </c>
      <c r="B414" t="s">
        <v>1101</v>
      </c>
      <c r="C414" t="s">
        <v>919</v>
      </c>
      <c r="D414" s="8">
        <v>3.3018157238450002E-4</v>
      </c>
      <c r="E414" s="6">
        <f t="shared" si="12"/>
        <v>-3.4940000000000002</v>
      </c>
      <c r="F414" s="8">
        <f t="shared" si="13"/>
        <v>-1.1536544139114431E-3</v>
      </c>
    </row>
    <row r="415" spans="1:6" x14ac:dyDescent="0.2">
      <c r="A415">
        <v>6</v>
      </c>
      <c r="B415" t="s">
        <v>1101</v>
      </c>
      <c r="C415" t="s">
        <v>920</v>
      </c>
      <c r="D415" s="8">
        <v>1.2851918815074051E-7</v>
      </c>
      <c r="E415" s="6">
        <f t="shared" si="12"/>
        <v>0.40000000000000013</v>
      </c>
      <c r="F415" s="8">
        <f t="shared" si="13"/>
        <v>5.1407675260296221E-8</v>
      </c>
    </row>
    <row r="416" spans="1:6" x14ac:dyDescent="0.2">
      <c r="A416">
        <v>6</v>
      </c>
      <c r="B416" t="s">
        <v>1101</v>
      </c>
      <c r="C416" t="s">
        <v>924</v>
      </c>
      <c r="D416" s="8">
        <v>2.5459995420487101E-5</v>
      </c>
      <c r="E416" s="6">
        <f t="shared" si="12"/>
        <v>-8.4000000000000075E-2</v>
      </c>
      <c r="F416" s="8">
        <f t="shared" si="13"/>
        <v>-2.1386396153209183E-6</v>
      </c>
    </row>
    <row r="417" spans="1:6" x14ac:dyDescent="0.2">
      <c r="A417">
        <v>6</v>
      </c>
      <c r="B417" t="s">
        <v>1101</v>
      </c>
      <c r="C417" t="s">
        <v>926</v>
      </c>
      <c r="D417" s="8">
        <v>2.0234590263484151E-5</v>
      </c>
      <c r="E417" s="6">
        <f t="shared" si="12"/>
        <v>-4.8000000000000043E-2</v>
      </c>
      <c r="F417" s="8">
        <f t="shared" si="13"/>
        <v>-9.7126033264724013E-7</v>
      </c>
    </row>
    <row r="418" spans="1:6" x14ac:dyDescent="0.2">
      <c r="A418">
        <v>6</v>
      </c>
      <c r="B418" t="s">
        <v>1101</v>
      </c>
      <c r="C418" t="s">
        <v>931</v>
      </c>
      <c r="D418" s="8">
        <v>1.684662795569696E-5</v>
      </c>
      <c r="E418" s="6">
        <f t="shared" si="12"/>
        <v>-0.31099999999999994</v>
      </c>
      <c r="F418" s="8">
        <f t="shared" si="13"/>
        <v>-5.2393012942217539E-6</v>
      </c>
    </row>
    <row r="419" spans="1:6" x14ac:dyDescent="0.2">
      <c r="A419">
        <v>6</v>
      </c>
      <c r="B419" t="s">
        <v>1101</v>
      </c>
      <c r="C419" t="s">
        <v>933</v>
      </c>
      <c r="D419" s="8">
        <v>1.53758411330397E-2</v>
      </c>
      <c r="E419" s="6">
        <f t="shared" si="12"/>
        <v>0.4430000000000005</v>
      </c>
      <c r="F419" s="8">
        <f t="shared" si="13"/>
        <v>6.8114976219365948E-3</v>
      </c>
    </row>
    <row r="420" spans="1:6" x14ac:dyDescent="0.2">
      <c r="A420">
        <v>6</v>
      </c>
      <c r="B420" t="s">
        <v>1101</v>
      </c>
      <c r="C420" t="s">
        <v>934</v>
      </c>
      <c r="D420" s="8">
        <v>1.302045681292798E-5</v>
      </c>
      <c r="E420" s="6">
        <f t="shared" si="12"/>
        <v>-0.20000000000000018</v>
      </c>
      <c r="F420" s="8">
        <f t="shared" si="13"/>
        <v>-2.6040913625855983E-6</v>
      </c>
    </row>
    <row r="421" spans="1:6" x14ac:dyDescent="0.2">
      <c r="A421">
        <v>6</v>
      </c>
      <c r="B421" t="s">
        <v>1101</v>
      </c>
      <c r="C421" t="s">
        <v>1102</v>
      </c>
      <c r="D421" s="8">
        <v>1.434365939182372E-8</v>
      </c>
      <c r="E421" s="6">
        <f t="shared" si="12"/>
        <v>0</v>
      </c>
      <c r="F421" s="8">
        <f t="shared" si="13"/>
        <v>0</v>
      </c>
    </row>
    <row r="422" spans="1:6" x14ac:dyDescent="0.2">
      <c r="A422">
        <v>6</v>
      </c>
      <c r="B422" t="s">
        <v>1101</v>
      </c>
      <c r="C422" t="s">
        <v>941</v>
      </c>
      <c r="D422" s="8">
        <v>6.8622433234284325E-5</v>
      </c>
      <c r="E422" s="6">
        <f t="shared" si="12"/>
        <v>0.16599999999999993</v>
      </c>
      <c r="F422" s="8">
        <f t="shared" si="13"/>
        <v>1.1391323916891193E-5</v>
      </c>
    </row>
    <row r="423" spans="1:6" x14ac:dyDescent="0.2">
      <c r="A423">
        <v>6</v>
      </c>
      <c r="B423" t="s">
        <v>1101</v>
      </c>
      <c r="C423" t="s">
        <v>1103</v>
      </c>
      <c r="D423" s="8">
        <v>2.3325228593201981E-6</v>
      </c>
      <c r="E423" s="6">
        <f t="shared" si="12"/>
        <v>0</v>
      </c>
      <c r="F423" s="8">
        <f t="shared" si="13"/>
        <v>0</v>
      </c>
    </row>
    <row r="424" spans="1:6" x14ac:dyDescent="0.2">
      <c r="A424">
        <v>6</v>
      </c>
      <c r="B424" t="s">
        <v>1101</v>
      </c>
      <c r="C424" t="s">
        <v>943</v>
      </c>
      <c r="D424" s="8">
        <v>5.970892469672027E-6</v>
      </c>
      <c r="E424" s="6">
        <f t="shared" si="12"/>
        <v>0.40800000000000014</v>
      </c>
      <c r="F424" s="8">
        <f t="shared" si="13"/>
        <v>2.436124127626188E-6</v>
      </c>
    </row>
    <row r="425" spans="1:6" x14ac:dyDescent="0.2">
      <c r="A425">
        <v>6</v>
      </c>
      <c r="B425" t="s">
        <v>1101</v>
      </c>
      <c r="C425" t="s">
        <v>944</v>
      </c>
      <c r="D425" s="8">
        <v>1.8672042226490001E-3</v>
      </c>
      <c r="E425" s="6">
        <f t="shared" si="12"/>
        <v>-0.122</v>
      </c>
      <c r="F425" s="8">
        <f t="shared" si="13"/>
        <v>-2.2779891516317799E-4</v>
      </c>
    </row>
    <row r="426" spans="1:6" x14ac:dyDescent="0.2">
      <c r="A426">
        <v>6</v>
      </c>
      <c r="B426" t="s">
        <v>1101</v>
      </c>
      <c r="C426" t="s">
        <v>945</v>
      </c>
      <c r="D426" s="8">
        <v>3.4870009727890002E-4</v>
      </c>
      <c r="E426" s="6">
        <f t="shared" si="12"/>
        <v>0.49000000000000021</v>
      </c>
      <c r="F426" s="8">
        <f t="shared" si="13"/>
        <v>1.7086304766666108E-4</v>
      </c>
    </row>
    <row r="427" spans="1:6" x14ac:dyDescent="0.2">
      <c r="A427">
        <v>6</v>
      </c>
      <c r="B427" t="s">
        <v>1101</v>
      </c>
      <c r="C427" t="s">
        <v>947</v>
      </c>
      <c r="D427" s="8">
        <v>2.5098400373414861E-5</v>
      </c>
      <c r="E427" s="6">
        <f t="shared" si="12"/>
        <v>0.15500000000000003</v>
      </c>
      <c r="F427" s="8">
        <f t="shared" si="13"/>
        <v>3.8902520578793039E-6</v>
      </c>
    </row>
    <row r="428" spans="1:6" x14ac:dyDescent="0.2">
      <c r="A428">
        <v>6</v>
      </c>
      <c r="B428" t="s">
        <v>1101</v>
      </c>
      <c r="C428" t="s">
        <v>949</v>
      </c>
      <c r="D428" s="8">
        <v>2.0371768718809729E-5</v>
      </c>
      <c r="E428" s="6">
        <f t="shared" si="12"/>
        <v>0.79599999999999982</v>
      </c>
      <c r="F428" s="8">
        <f t="shared" si="13"/>
        <v>1.6215927900172541E-5</v>
      </c>
    </row>
    <row r="429" spans="1:6" x14ac:dyDescent="0.2">
      <c r="A429">
        <v>6</v>
      </c>
      <c r="B429" t="s">
        <v>1101</v>
      </c>
      <c r="C429" t="s">
        <v>951</v>
      </c>
      <c r="D429" s="8">
        <v>1.2057413911108999E-3</v>
      </c>
      <c r="E429" s="6">
        <f t="shared" si="12"/>
        <v>-8.8000000000000078E-2</v>
      </c>
      <c r="F429" s="8">
        <f t="shared" si="13"/>
        <v>-1.0610524241775929E-4</v>
      </c>
    </row>
    <row r="430" spans="1:6" x14ac:dyDescent="0.2">
      <c r="A430">
        <v>6</v>
      </c>
      <c r="B430" t="s">
        <v>1101</v>
      </c>
      <c r="C430" t="s">
        <v>952</v>
      </c>
      <c r="D430" s="8">
        <v>2.6368001844649999E-4</v>
      </c>
      <c r="E430" s="6">
        <f t="shared" si="12"/>
        <v>0.28300000000000014</v>
      </c>
      <c r="F430" s="8">
        <f t="shared" si="13"/>
        <v>7.4621445220359538E-5</v>
      </c>
    </row>
    <row r="431" spans="1:6" x14ac:dyDescent="0.2">
      <c r="A431">
        <v>6</v>
      </c>
      <c r="B431" t="s">
        <v>1101</v>
      </c>
      <c r="C431" t="s">
        <v>954</v>
      </c>
      <c r="D431" s="8">
        <v>4.5103636957580001E-4</v>
      </c>
      <c r="E431" s="6">
        <f t="shared" si="12"/>
        <v>2.0929999999999991</v>
      </c>
      <c r="F431" s="8">
        <f t="shared" si="13"/>
        <v>9.4401912152214905E-4</v>
      </c>
    </row>
    <row r="432" spans="1:6" x14ac:dyDescent="0.2">
      <c r="A432">
        <v>6</v>
      </c>
      <c r="B432" t="s">
        <v>1101</v>
      </c>
      <c r="C432" t="s">
        <v>956</v>
      </c>
      <c r="D432" s="8">
        <v>4.7807416752948458E-8</v>
      </c>
      <c r="E432" s="6">
        <f t="shared" si="12"/>
        <v>-0.44700000000000006</v>
      </c>
      <c r="F432" s="8">
        <f t="shared" si="13"/>
        <v>-2.1369915288567963E-8</v>
      </c>
    </row>
    <row r="433" spans="1:6" x14ac:dyDescent="0.2">
      <c r="A433">
        <v>6</v>
      </c>
      <c r="B433" t="s">
        <v>1101</v>
      </c>
      <c r="C433" t="s">
        <v>957</v>
      </c>
      <c r="D433" s="8">
        <v>4.4299644296679998E-4</v>
      </c>
      <c r="E433" s="6">
        <f t="shared" si="12"/>
        <v>-0.11499999999999988</v>
      </c>
      <c r="F433" s="8">
        <f t="shared" si="13"/>
        <v>-5.0944590941181946E-5</v>
      </c>
    </row>
    <row r="434" spans="1:6" x14ac:dyDescent="0.2">
      <c r="A434">
        <v>6</v>
      </c>
      <c r="B434" t="s">
        <v>1101</v>
      </c>
      <c r="C434" t="s">
        <v>958</v>
      </c>
      <c r="D434" s="8">
        <v>6.3112101324024371E-7</v>
      </c>
      <c r="E434" s="6">
        <f t="shared" si="12"/>
        <v>9.6999999999999975E-2</v>
      </c>
      <c r="F434" s="8">
        <f t="shared" si="13"/>
        <v>6.1218738284303621E-8</v>
      </c>
    </row>
    <row r="435" spans="1:6" x14ac:dyDescent="0.2">
      <c r="A435">
        <v>6</v>
      </c>
      <c r="B435" t="s">
        <v>1101</v>
      </c>
      <c r="C435" t="s">
        <v>959</v>
      </c>
      <c r="D435" s="8">
        <v>1.0271922605686E-3</v>
      </c>
      <c r="E435" s="6">
        <f t="shared" si="12"/>
        <v>-0.60699999999999998</v>
      </c>
      <c r="F435" s="8">
        <f t="shared" si="13"/>
        <v>-6.2350570216514016E-4</v>
      </c>
    </row>
    <row r="436" spans="1:6" x14ac:dyDescent="0.2">
      <c r="A436">
        <v>6</v>
      </c>
      <c r="B436" t="s">
        <v>1101</v>
      </c>
      <c r="C436" t="s">
        <v>965</v>
      </c>
      <c r="D436" s="8">
        <v>4.760660552146294E-7</v>
      </c>
      <c r="E436" s="6">
        <f t="shared" si="12"/>
        <v>4.5000000000000151E-2</v>
      </c>
      <c r="F436" s="8">
        <f t="shared" si="13"/>
        <v>2.1422972484658396E-8</v>
      </c>
    </row>
    <row r="437" spans="1:6" x14ac:dyDescent="0.2">
      <c r="A437">
        <v>6</v>
      </c>
      <c r="B437" t="s">
        <v>1101</v>
      </c>
      <c r="C437" t="s">
        <v>966</v>
      </c>
      <c r="D437" s="8">
        <v>1.3769913016150771E-7</v>
      </c>
      <c r="E437" s="6">
        <f t="shared" si="12"/>
        <v>-0.21399999999999997</v>
      </c>
      <c r="F437" s="8">
        <f t="shared" si="13"/>
        <v>-2.9467613854562645E-8</v>
      </c>
    </row>
    <row r="438" spans="1:6" x14ac:dyDescent="0.2">
      <c r="A438">
        <v>6</v>
      </c>
      <c r="B438" t="s">
        <v>1101</v>
      </c>
      <c r="C438" t="s">
        <v>969</v>
      </c>
      <c r="D438" s="8">
        <v>5.7212898463992672E-5</v>
      </c>
      <c r="E438" s="6">
        <f t="shared" si="12"/>
        <v>0.53699999999999992</v>
      </c>
      <c r="F438" s="8">
        <f t="shared" si="13"/>
        <v>3.0723326475164059E-5</v>
      </c>
    </row>
    <row r="439" spans="1:6" x14ac:dyDescent="0.2">
      <c r="A439">
        <v>6</v>
      </c>
      <c r="B439" t="s">
        <v>1101</v>
      </c>
      <c r="C439" t="s">
        <v>975</v>
      </c>
      <c r="D439" s="8">
        <v>4.2056737639196498E-2</v>
      </c>
      <c r="E439" s="6">
        <f t="shared" si="12"/>
        <v>0.23500000000000032</v>
      </c>
      <c r="F439" s="8">
        <f t="shared" si="13"/>
        <v>9.8833333452111906E-3</v>
      </c>
    </row>
    <row r="440" spans="1:6" x14ac:dyDescent="0.2">
      <c r="A440">
        <v>6</v>
      </c>
      <c r="B440" t="s">
        <v>1101</v>
      </c>
      <c r="C440" t="s">
        <v>977</v>
      </c>
      <c r="D440" s="8">
        <v>6.1851293663483058E-5</v>
      </c>
      <c r="E440" s="6">
        <f t="shared" si="12"/>
        <v>-7.2039999999999997</v>
      </c>
      <c r="F440" s="8">
        <f t="shared" si="13"/>
        <v>-4.4557671955173194E-4</v>
      </c>
    </row>
    <row r="441" spans="1:6" x14ac:dyDescent="0.2">
      <c r="A441">
        <v>6</v>
      </c>
      <c r="B441" t="s">
        <v>1101</v>
      </c>
      <c r="C441" t="s">
        <v>978</v>
      </c>
      <c r="D441" s="8">
        <v>1.290929345264135E-6</v>
      </c>
      <c r="E441" s="6">
        <f t="shared" si="12"/>
        <v>-8.2390000000000008</v>
      </c>
      <c r="F441" s="8">
        <f t="shared" si="13"/>
        <v>-1.0635966875631209E-5</v>
      </c>
    </row>
    <row r="442" spans="1:6" x14ac:dyDescent="0.2">
      <c r="A442">
        <v>6</v>
      </c>
      <c r="B442" t="s">
        <v>1101</v>
      </c>
      <c r="C442" t="s">
        <v>981</v>
      </c>
      <c r="D442" s="8">
        <v>1.4571955427064001E-3</v>
      </c>
      <c r="E442" s="6">
        <f t="shared" si="12"/>
        <v>-0.33499999999999996</v>
      </c>
      <c r="F442" s="8">
        <f t="shared" si="13"/>
        <v>-4.8816050680664398E-4</v>
      </c>
    </row>
    <row r="443" spans="1:6" x14ac:dyDescent="0.2">
      <c r="A443">
        <v>6</v>
      </c>
      <c r="B443" t="s">
        <v>1101</v>
      </c>
      <c r="C443" t="s">
        <v>984</v>
      </c>
      <c r="D443" s="8">
        <v>0.79327070016072421</v>
      </c>
      <c r="E443" s="6">
        <f t="shared" si="12"/>
        <v>0.121</v>
      </c>
      <c r="F443" s="8">
        <f t="shared" si="13"/>
        <v>9.5985754719447633E-2</v>
      </c>
    </row>
    <row r="444" spans="1:6" x14ac:dyDescent="0.2">
      <c r="A444">
        <v>6</v>
      </c>
      <c r="B444" t="s">
        <v>1101</v>
      </c>
      <c r="C444" t="s">
        <v>988</v>
      </c>
      <c r="D444" s="8">
        <v>1.005203650179006E-5</v>
      </c>
      <c r="E444" s="6">
        <f t="shared" si="12"/>
        <v>0.59299999999999997</v>
      </c>
      <c r="F444" s="8">
        <f t="shared" si="13"/>
        <v>5.9608576455615053E-6</v>
      </c>
    </row>
    <row r="445" spans="1:6" x14ac:dyDescent="0.2">
      <c r="A445">
        <v>6</v>
      </c>
      <c r="B445" t="s">
        <v>1101</v>
      </c>
      <c r="C445" t="s">
        <v>990</v>
      </c>
      <c r="D445" s="8">
        <v>3.29791918988191E-2</v>
      </c>
      <c r="E445" s="6">
        <f t="shared" si="12"/>
        <v>0.45299999999999985</v>
      </c>
      <c r="F445" s="8">
        <f t="shared" si="13"/>
        <v>1.4939573930165047E-2</v>
      </c>
    </row>
    <row r="446" spans="1:6" x14ac:dyDescent="0.2">
      <c r="A446">
        <v>6</v>
      </c>
      <c r="B446" t="s">
        <v>1101</v>
      </c>
      <c r="C446" t="s">
        <v>991</v>
      </c>
      <c r="D446" s="8">
        <v>1.2797022188102999E-3</v>
      </c>
      <c r="E446" s="6">
        <f t="shared" ref="E446:E509" si="14">IFERROR(VLOOKUP(C446,$A$6:$D$185,4,FALSE),0)</f>
        <v>-3.7290000000000001</v>
      </c>
      <c r="F446" s="8">
        <f t="shared" ref="F446:F509" si="15">D446*E446</f>
        <v>-4.7720095739436086E-3</v>
      </c>
    </row>
    <row r="447" spans="1:6" x14ac:dyDescent="0.2">
      <c r="A447">
        <v>6</v>
      </c>
      <c r="B447" t="s">
        <v>1101</v>
      </c>
      <c r="C447" t="s">
        <v>1092</v>
      </c>
      <c r="D447" s="8">
        <v>7.8489938557998583E-6</v>
      </c>
      <c r="E447" s="6">
        <f t="shared" si="14"/>
        <v>0</v>
      </c>
      <c r="F447" s="8">
        <f t="shared" si="15"/>
        <v>0</v>
      </c>
    </row>
    <row r="448" spans="1:6" x14ac:dyDescent="0.2">
      <c r="A448">
        <v>6</v>
      </c>
      <c r="B448" t="s">
        <v>1101</v>
      </c>
      <c r="C448" t="s">
        <v>994</v>
      </c>
      <c r="D448" s="8">
        <v>2.2740170807730001E-4</v>
      </c>
      <c r="E448" s="6">
        <f t="shared" si="14"/>
        <v>2.415</v>
      </c>
      <c r="F448" s="8">
        <f t="shared" si="15"/>
        <v>5.4917512500667954E-4</v>
      </c>
    </row>
    <row r="449" spans="1:6" x14ac:dyDescent="0.2">
      <c r="A449">
        <v>6</v>
      </c>
      <c r="B449" t="s">
        <v>1101</v>
      </c>
      <c r="C449" t="s">
        <v>1093</v>
      </c>
      <c r="D449" s="8">
        <v>8.530813881464E-4</v>
      </c>
      <c r="E449" s="6">
        <f t="shared" si="14"/>
        <v>0</v>
      </c>
      <c r="F449" s="8">
        <f t="shared" si="15"/>
        <v>0</v>
      </c>
    </row>
    <row r="450" spans="1:6" x14ac:dyDescent="0.2">
      <c r="A450">
        <v>6</v>
      </c>
      <c r="B450" t="s">
        <v>1101</v>
      </c>
      <c r="C450" t="s">
        <v>999</v>
      </c>
      <c r="D450" s="8">
        <v>1.111920476054175E-6</v>
      </c>
      <c r="E450" s="6">
        <f t="shared" si="14"/>
        <v>-0.5219999999999998</v>
      </c>
      <c r="F450" s="8">
        <f t="shared" si="15"/>
        <v>-5.8042248850027908E-7</v>
      </c>
    </row>
    <row r="451" spans="1:6" x14ac:dyDescent="0.2">
      <c r="A451">
        <v>6</v>
      </c>
      <c r="B451" t="s">
        <v>1101</v>
      </c>
      <c r="C451" t="s">
        <v>1000</v>
      </c>
      <c r="D451" s="8">
        <v>1.8135308215160001E-4</v>
      </c>
      <c r="E451" s="6">
        <f t="shared" si="14"/>
        <v>1.1540000000000004</v>
      </c>
      <c r="F451" s="8">
        <f t="shared" si="15"/>
        <v>2.0928145680294648E-4</v>
      </c>
    </row>
    <row r="452" spans="1:6" x14ac:dyDescent="0.2">
      <c r="A452">
        <v>6</v>
      </c>
      <c r="B452" t="s">
        <v>1101</v>
      </c>
      <c r="C452" t="s">
        <v>1002</v>
      </c>
      <c r="D452" s="8">
        <v>2.4910704984077209E-5</v>
      </c>
      <c r="E452" s="6">
        <f t="shared" si="14"/>
        <v>-1.3390000000000004</v>
      </c>
      <c r="F452" s="8">
        <f t="shared" si="15"/>
        <v>-3.3355433973679395E-5</v>
      </c>
    </row>
    <row r="453" spans="1:6" x14ac:dyDescent="0.2">
      <c r="A453">
        <v>6</v>
      </c>
      <c r="B453" t="s">
        <v>1101</v>
      </c>
      <c r="C453" t="s">
        <v>1012</v>
      </c>
      <c r="D453" s="8">
        <v>1.979166810202621E-6</v>
      </c>
      <c r="E453" s="6">
        <f t="shared" si="14"/>
        <v>0.39999999999999991</v>
      </c>
      <c r="F453" s="8">
        <f t="shared" si="15"/>
        <v>7.9166672408104821E-7</v>
      </c>
    </row>
    <row r="454" spans="1:6" x14ac:dyDescent="0.2">
      <c r="A454">
        <v>6</v>
      </c>
      <c r="B454" t="s">
        <v>1101</v>
      </c>
      <c r="C454" t="s">
        <v>1014</v>
      </c>
      <c r="D454" s="8">
        <v>1.49382318285957E-2</v>
      </c>
      <c r="E454" s="6">
        <f t="shared" si="14"/>
        <v>0.90000000000000036</v>
      </c>
      <c r="F454" s="8">
        <f t="shared" si="15"/>
        <v>1.3444408645736136E-2</v>
      </c>
    </row>
    <row r="455" spans="1:6" x14ac:dyDescent="0.2">
      <c r="A455">
        <v>6</v>
      </c>
      <c r="B455" t="s">
        <v>1101</v>
      </c>
      <c r="C455" t="s">
        <v>1019</v>
      </c>
      <c r="D455" s="8">
        <v>3.0780240623890002E-3</v>
      </c>
      <c r="E455" s="6">
        <f t="shared" si="14"/>
        <v>-0.21599999999999997</v>
      </c>
      <c r="F455" s="8">
        <f t="shared" si="15"/>
        <v>-6.6485319747602389E-4</v>
      </c>
    </row>
    <row r="456" spans="1:6" x14ac:dyDescent="0.2">
      <c r="A456">
        <v>6</v>
      </c>
      <c r="B456" t="s">
        <v>1101</v>
      </c>
      <c r="C456" t="s">
        <v>1020</v>
      </c>
      <c r="D456" s="8">
        <v>2.7793121143811E-3</v>
      </c>
      <c r="E456" s="6">
        <f t="shared" si="14"/>
        <v>-0.21999999999999997</v>
      </c>
      <c r="F456" s="8">
        <f t="shared" si="15"/>
        <v>-6.1144866516384198E-4</v>
      </c>
    </row>
    <row r="457" spans="1:6" x14ac:dyDescent="0.2">
      <c r="A457">
        <v>6</v>
      </c>
      <c r="B457" t="s">
        <v>1101</v>
      </c>
      <c r="C457" t="s">
        <v>1021</v>
      </c>
      <c r="D457" s="8">
        <v>2.3554893529919999E-4</v>
      </c>
      <c r="E457" s="6">
        <f t="shared" si="14"/>
        <v>-2.4829999999999997</v>
      </c>
      <c r="F457" s="8">
        <f t="shared" si="15"/>
        <v>-5.8486800634791351E-4</v>
      </c>
    </row>
    <row r="458" spans="1:6" x14ac:dyDescent="0.2">
      <c r="A458">
        <v>6</v>
      </c>
      <c r="B458" t="s">
        <v>1101</v>
      </c>
      <c r="C458" t="s">
        <v>1023</v>
      </c>
      <c r="D458" s="8">
        <v>2.3506731537900001E-4</v>
      </c>
      <c r="E458" s="6">
        <f t="shared" si="14"/>
        <v>-0.62199999999999989</v>
      </c>
      <c r="F458" s="8">
        <f t="shared" si="15"/>
        <v>-1.4621187016573798E-4</v>
      </c>
    </row>
    <row r="459" spans="1:6" x14ac:dyDescent="0.2">
      <c r="A459">
        <v>6</v>
      </c>
      <c r="B459" t="s">
        <v>1101</v>
      </c>
      <c r="C459" t="s">
        <v>1024</v>
      </c>
      <c r="D459" s="8">
        <v>1.182706435152825E-5</v>
      </c>
      <c r="E459" s="6">
        <f t="shared" si="14"/>
        <v>-0.14500000000000002</v>
      </c>
      <c r="F459" s="8">
        <f t="shared" si="15"/>
        <v>-1.7149243309715964E-6</v>
      </c>
    </row>
    <row r="460" spans="1:6" x14ac:dyDescent="0.2">
      <c r="A460">
        <v>6</v>
      </c>
      <c r="B460" t="s">
        <v>1101</v>
      </c>
      <c r="C460" t="s">
        <v>1025</v>
      </c>
      <c r="D460" s="8">
        <v>3.6327368266213002E-3</v>
      </c>
      <c r="E460" s="6">
        <f t="shared" si="14"/>
        <v>4.7000000000000153E-2</v>
      </c>
      <c r="F460" s="8">
        <f t="shared" si="15"/>
        <v>1.7073863085120166E-4</v>
      </c>
    </row>
    <row r="461" spans="1:6" x14ac:dyDescent="0.2">
      <c r="A461">
        <v>6</v>
      </c>
      <c r="B461" t="s">
        <v>1101</v>
      </c>
      <c r="C461" t="s">
        <v>1027</v>
      </c>
      <c r="D461" s="8">
        <v>7.1718296959118601E-6</v>
      </c>
      <c r="E461" s="6">
        <f t="shared" si="14"/>
        <v>0.18999999999999995</v>
      </c>
      <c r="F461" s="8">
        <f t="shared" si="15"/>
        <v>1.362647642223253E-6</v>
      </c>
    </row>
    <row r="462" spans="1:6" x14ac:dyDescent="0.2">
      <c r="A462">
        <v>6</v>
      </c>
      <c r="B462" t="s">
        <v>1101</v>
      </c>
      <c r="C462" t="s">
        <v>1028</v>
      </c>
      <c r="D462" s="8">
        <v>3.4894923229889999E-4</v>
      </c>
      <c r="E462" s="6">
        <f t="shared" si="14"/>
        <v>-1.6600000000000001</v>
      </c>
      <c r="F462" s="8">
        <f t="shared" si="15"/>
        <v>-5.7925572561617401E-4</v>
      </c>
    </row>
    <row r="463" spans="1:6" x14ac:dyDescent="0.2">
      <c r="A463">
        <v>6</v>
      </c>
      <c r="B463" t="s">
        <v>1101</v>
      </c>
      <c r="C463" t="s">
        <v>1030</v>
      </c>
      <c r="D463" s="8">
        <v>2.0512738203312571E-5</v>
      </c>
      <c r="E463" s="6">
        <f t="shared" si="14"/>
        <v>0.29999999999999982</v>
      </c>
      <c r="F463" s="8">
        <f t="shared" si="15"/>
        <v>6.1538214609937676E-6</v>
      </c>
    </row>
    <row r="464" spans="1:6" x14ac:dyDescent="0.2">
      <c r="A464">
        <v>6</v>
      </c>
      <c r="B464" t="s">
        <v>1101</v>
      </c>
      <c r="C464" t="s">
        <v>1031</v>
      </c>
      <c r="D464" s="8">
        <v>5.4840127296410001E-4</v>
      </c>
      <c r="E464" s="6">
        <f t="shared" si="14"/>
        <v>0.19899999999999984</v>
      </c>
      <c r="F464" s="8">
        <f t="shared" si="15"/>
        <v>1.0913185331985581E-4</v>
      </c>
    </row>
    <row r="465" spans="1:6" x14ac:dyDescent="0.2">
      <c r="A465">
        <v>6</v>
      </c>
      <c r="B465" t="s">
        <v>1101</v>
      </c>
      <c r="C465" t="s">
        <v>1033</v>
      </c>
      <c r="D465" s="8">
        <v>2.3840728236816E-3</v>
      </c>
      <c r="E465" s="6">
        <f t="shared" si="14"/>
        <v>0.23299999999999987</v>
      </c>
      <c r="F465" s="8">
        <f t="shared" si="15"/>
        <v>5.5548896791781256E-4</v>
      </c>
    </row>
    <row r="466" spans="1:6" x14ac:dyDescent="0.2">
      <c r="A466">
        <v>6</v>
      </c>
      <c r="B466" t="s">
        <v>1101</v>
      </c>
      <c r="C466" t="s">
        <v>1100</v>
      </c>
      <c r="D466" s="8">
        <v>1.223383618822098E-5</v>
      </c>
      <c r="E466" s="6">
        <f t="shared" si="14"/>
        <v>0</v>
      </c>
      <c r="F466" s="8">
        <f t="shared" si="15"/>
        <v>0</v>
      </c>
    </row>
    <row r="467" spans="1:6" x14ac:dyDescent="0.2">
      <c r="A467">
        <v>6</v>
      </c>
      <c r="B467" t="s">
        <v>1101</v>
      </c>
      <c r="C467" t="s">
        <v>1094</v>
      </c>
      <c r="D467" s="8">
        <v>1.9890034020716E-3</v>
      </c>
      <c r="E467" s="6">
        <f t="shared" si="14"/>
        <v>0</v>
      </c>
      <c r="F467" s="8">
        <f t="shared" si="15"/>
        <v>0</v>
      </c>
    </row>
    <row r="468" spans="1:6" x14ac:dyDescent="0.2">
      <c r="A468">
        <v>6</v>
      </c>
      <c r="B468" t="s">
        <v>1101</v>
      </c>
      <c r="C468" t="s">
        <v>1039</v>
      </c>
      <c r="D468" s="8">
        <v>3.5978780207256999E-3</v>
      </c>
      <c r="E468" s="6">
        <f t="shared" si="14"/>
        <v>-0.6419999999999999</v>
      </c>
      <c r="F468" s="8">
        <f t="shared" si="15"/>
        <v>-2.3098376893058992E-3</v>
      </c>
    </row>
    <row r="469" spans="1:6" x14ac:dyDescent="0.2">
      <c r="A469">
        <v>6</v>
      </c>
      <c r="B469" t="s">
        <v>1101</v>
      </c>
      <c r="C469" t="s">
        <v>1040</v>
      </c>
      <c r="D469" s="8">
        <v>3.9739218791220001E-4</v>
      </c>
      <c r="E469" s="6">
        <f t="shared" si="14"/>
        <v>-8.1180000000000003</v>
      </c>
      <c r="F469" s="8">
        <f t="shared" si="15"/>
        <v>-3.2260297814712398E-3</v>
      </c>
    </row>
    <row r="470" spans="1:6" x14ac:dyDescent="0.2">
      <c r="A470">
        <v>6</v>
      </c>
      <c r="B470" t="s">
        <v>1101</v>
      </c>
      <c r="C470" t="s">
        <v>1041</v>
      </c>
      <c r="D470" s="8">
        <v>7.0853517734385549E-6</v>
      </c>
      <c r="E470" s="6">
        <f t="shared" si="14"/>
        <v>-1.8890000000000002</v>
      </c>
      <c r="F470" s="8">
        <f t="shared" si="15"/>
        <v>-1.3384229500025432E-5</v>
      </c>
    </row>
    <row r="471" spans="1:6" x14ac:dyDescent="0.2">
      <c r="A471">
        <v>6</v>
      </c>
      <c r="B471" t="s">
        <v>1101</v>
      </c>
      <c r="C471" t="s">
        <v>1042</v>
      </c>
      <c r="D471" s="8">
        <v>1.5391590846855799E-2</v>
      </c>
      <c r="E471" s="6">
        <f t="shared" si="14"/>
        <v>1.621</v>
      </c>
      <c r="F471" s="8">
        <f t="shared" si="15"/>
        <v>2.494976876275325E-2</v>
      </c>
    </row>
    <row r="472" spans="1:6" x14ac:dyDescent="0.2">
      <c r="A472">
        <v>6</v>
      </c>
      <c r="B472" t="s">
        <v>1101</v>
      </c>
      <c r="C472" t="s">
        <v>1053</v>
      </c>
      <c r="D472" s="8">
        <v>3.1419785897789858E-5</v>
      </c>
      <c r="E472" s="6">
        <f t="shared" si="14"/>
        <v>-0.39999999999999991</v>
      </c>
      <c r="F472" s="8">
        <f t="shared" si="15"/>
        <v>-1.2567914359115941E-5</v>
      </c>
    </row>
    <row r="473" spans="1:6" x14ac:dyDescent="0.2">
      <c r="A473">
        <v>6</v>
      </c>
      <c r="B473" t="s">
        <v>1101</v>
      </c>
      <c r="C473" t="s">
        <v>1055</v>
      </c>
      <c r="D473" s="8">
        <v>1.2870852445471261E-6</v>
      </c>
      <c r="E473" s="6">
        <f t="shared" si="14"/>
        <v>-0.93100000000000005</v>
      </c>
      <c r="F473" s="8">
        <f t="shared" si="15"/>
        <v>-1.1982763626733745E-6</v>
      </c>
    </row>
    <row r="474" spans="1:6" x14ac:dyDescent="0.2">
      <c r="A474">
        <v>6</v>
      </c>
      <c r="B474" t="s">
        <v>1101</v>
      </c>
      <c r="C474" t="s">
        <v>1095</v>
      </c>
      <c r="D474" s="8">
        <v>3.2040149166486243E-5</v>
      </c>
      <c r="E474" s="6">
        <f t="shared" si="14"/>
        <v>0</v>
      </c>
      <c r="F474" s="8">
        <f t="shared" si="15"/>
        <v>0</v>
      </c>
    </row>
    <row r="475" spans="1:6" x14ac:dyDescent="0.2">
      <c r="A475">
        <v>6</v>
      </c>
      <c r="B475" t="s">
        <v>1101</v>
      </c>
      <c r="C475" t="s">
        <v>1059</v>
      </c>
      <c r="D475" s="8">
        <v>3.81127961898736E-2</v>
      </c>
      <c r="E475" s="6">
        <f t="shared" si="14"/>
        <v>-0.10000000000000009</v>
      </c>
      <c r="F475" s="8">
        <f t="shared" si="15"/>
        <v>-3.8112796189873634E-3</v>
      </c>
    </row>
    <row r="476" spans="1:6" x14ac:dyDescent="0.2">
      <c r="A476">
        <v>6</v>
      </c>
      <c r="B476" t="s">
        <v>1101</v>
      </c>
      <c r="C476" t="s">
        <v>1062</v>
      </c>
      <c r="D476" s="8">
        <v>1.6173399695946078E-5</v>
      </c>
      <c r="E476" s="6">
        <f t="shared" si="14"/>
        <v>0.89999999999999947</v>
      </c>
      <c r="F476" s="8">
        <f t="shared" si="15"/>
        <v>1.4556059726351463E-5</v>
      </c>
    </row>
    <row r="477" spans="1:6" x14ac:dyDescent="0.2">
      <c r="A477">
        <v>6</v>
      </c>
      <c r="B477" t="s">
        <v>1101</v>
      </c>
      <c r="C477" t="s">
        <v>1064</v>
      </c>
      <c r="D477" s="8">
        <v>3.2572069431372617E-5</v>
      </c>
      <c r="E477" s="6">
        <f t="shared" si="14"/>
        <v>-0.29400000000000004</v>
      </c>
      <c r="F477" s="8">
        <f t="shared" si="15"/>
        <v>-9.5761884128235504E-6</v>
      </c>
    </row>
    <row r="478" spans="1:6" x14ac:dyDescent="0.2">
      <c r="A478">
        <v>6</v>
      </c>
      <c r="B478" t="s">
        <v>1101</v>
      </c>
      <c r="C478" t="s">
        <v>1065</v>
      </c>
      <c r="D478" s="8">
        <v>7.8869328348912316E-5</v>
      </c>
      <c r="E478" s="6">
        <f t="shared" si="14"/>
        <v>0.68300000000000005</v>
      </c>
      <c r="F478" s="8">
        <f t="shared" si="15"/>
        <v>5.3867751262307115E-5</v>
      </c>
    </row>
    <row r="479" spans="1:6" x14ac:dyDescent="0.2">
      <c r="A479">
        <v>6</v>
      </c>
      <c r="B479" t="s">
        <v>1101</v>
      </c>
      <c r="C479" t="s">
        <v>1066</v>
      </c>
      <c r="D479" s="8">
        <v>1.302263131169E-4</v>
      </c>
      <c r="E479" s="6">
        <f t="shared" si="14"/>
        <v>0.20900000000000007</v>
      </c>
      <c r="F479" s="8">
        <f t="shared" si="15"/>
        <v>2.721729944143211E-5</v>
      </c>
    </row>
    <row r="480" spans="1:6" x14ac:dyDescent="0.2">
      <c r="A480">
        <v>6</v>
      </c>
      <c r="B480" t="s">
        <v>1101</v>
      </c>
      <c r="C480" t="s">
        <v>1071</v>
      </c>
      <c r="D480" s="8">
        <v>9.7350416292307598E-8</v>
      </c>
      <c r="E480" s="6">
        <f t="shared" si="14"/>
        <v>-0.8</v>
      </c>
      <c r="F480" s="8">
        <f t="shared" si="15"/>
        <v>-7.7880333033846083E-8</v>
      </c>
    </row>
    <row r="481" spans="1:6" x14ac:dyDescent="0.2">
      <c r="A481">
        <v>6</v>
      </c>
      <c r="B481" t="s">
        <v>1101</v>
      </c>
      <c r="C481" t="s">
        <v>1072</v>
      </c>
      <c r="D481" s="8">
        <v>5.4089272442960003E-4</v>
      </c>
      <c r="E481" s="6">
        <f t="shared" si="14"/>
        <v>0.55599999999999983</v>
      </c>
      <c r="F481" s="8">
        <f t="shared" si="15"/>
        <v>3.0073635478285751E-4</v>
      </c>
    </row>
    <row r="482" spans="1:6" x14ac:dyDescent="0.2">
      <c r="A482">
        <v>6</v>
      </c>
      <c r="B482" t="s">
        <v>1101</v>
      </c>
      <c r="C482" t="s">
        <v>1075</v>
      </c>
      <c r="D482" s="8">
        <v>8.8695859575206992E-3</v>
      </c>
      <c r="E482" s="6">
        <f t="shared" si="14"/>
        <v>3.0529999999999999</v>
      </c>
      <c r="F482" s="8">
        <f t="shared" si="15"/>
        <v>2.7078845928310693E-2</v>
      </c>
    </row>
    <row r="483" spans="1:6" x14ac:dyDescent="0.2">
      <c r="A483">
        <v>6</v>
      </c>
      <c r="B483" t="s">
        <v>1101</v>
      </c>
      <c r="C483" t="s">
        <v>1078</v>
      </c>
      <c r="D483" s="8">
        <v>2.5018600858750002E-4</v>
      </c>
      <c r="E483" s="6">
        <f t="shared" si="14"/>
        <v>0.5</v>
      </c>
      <c r="F483" s="8">
        <f t="shared" si="15"/>
        <v>1.2509300429375001E-4</v>
      </c>
    </row>
    <row r="484" spans="1:6" x14ac:dyDescent="0.2">
      <c r="A484">
        <v>6</v>
      </c>
      <c r="B484" t="s">
        <v>1101</v>
      </c>
      <c r="C484" t="s">
        <v>1079</v>
      </c>
      <c r="D484" s="8">
        <v>5.4309067651096149E-5</v>
      </c>
      <c r="E484" s="6">
        <f t="shared" si="14"/>
        <v>-0.28899999999999992</v>
      </c>
      <c r="F484" s="8">
        <f t="shared" si="15"/>
        <v>-1.5695320551166782E-5</v>
      </c>
    </row>
    <row r="485" spans="1:6" x14ac:dyDescent="0.2">
      <c r="A485">
        <v>7</v>
      </c>
      <c r="B485" t="s">
        <v>1104</v>
      </c>
      <c r="C485" t="s">
        <v>904</v>
      </c>
      <c r="D485" s="8">
        <v>6.6706489924379996E-4</v>
      </c>
      <c r="E485" s="6">
        <f t="shared" si="14"/>
        <v>-6.800000000000006E-2</v>
      </c>
      <c r="F485" s="8">
        <f t="shared" si="15"/>
        <v>-4.5360413148578438E-5</v>
      </c>
    </row>
    <row r="486" spans="1:6" x14ac:dyDescent="0.2">
      <c r="A486">
        <v>7</v>
      </c>
      <c r="B486" t="s">
        <v>1104</v>
      </c>
      <c r="C486" t="s">
        <v>905</v>
      </c>
      <c r="D486" s="8">
        <v>2.489449001070441E-6</v>
      </c>
      <c r="E486" s="6">
        <f t="shared" si="14"/>
        <v>0.5</v>
      </c>
      <c r="F486" s="8">
        <f t="shared" si="15"/>
        <v>1.2447245005352205E-6</v>
      </c>
    </row>
    <row r="487" spans="1:6" x14ac:dyDescent="0.2">
      <c r="A487">
        <v>7</v>
      </c>
      <c r="B487" t="s">
        <v>1104</v>
      </c>
      <c r="C487" t="s">
        <v>906</v>
      </c>
      <c r="D487" s="8">
        <v>1.0615077775658001E-3</v>
      </c>
      <c r="E487" s="6">
        <f t="shared" si="14"/>
        <v>-1.8859999999999997</v>
      </c>
      <c r="F487" s="8">
        <f t="shared" si="15"/>
        <v>-2.0020036684890987E-3</v>
      </c>
    </row>
    <row r="488" spans="1:6" x14ac:dyDescent="0.2">
      <c r="A488">
        <v>7</v>
      </c>
      <c r="B488" t="s">
        <v>1104</v>
      </c>
      <c r="C488" t="s">
        <v>907</v>
      </c>
      <c r="D488" s="8">
        <v>1.3573798269569999E-4</v>
      </c>
      <c r="E488" s="6">
        <f t="shared" si="14"/>
        <v>-1.0199999999999996</v>
      </c>
      <c r="F488" s="8">
        <f t="shared" si="15"/>
        <v>-1.3845274234961394E-4</v>
      </c>
    </row>
    <row r="489" spans="1:6" x14ac:dyDescent="0.2">
      <c r="A489">
        <v>7</v>
      </c>
      <c r="B489" t="s">
        <v>1104</v>
      </c>
      <c r="C489" t="s">
        <v>908</v>
      </c>
      <c r="D489" s="8">
        <v>1.3295235173267169E-5</v>
      </c>
      <c r="E489" s="6">
        <f t="shared" si="14"/>
        <v>0.79999999999999982</v>
      </c>
      <c r="F489" s="8">
        <f t="shared" si="15"/>
        <v>1.0636188138613734E-5</v>
      </c>
    </row>
    <row r="490" spans="1:6" x14ac:dyDescent="0.2">
      <c r="A490">
        <v>7</v>
      </c>
      <c r="B490" t="s">
        <v>1104</v>
      </c>
      <c r="C490" t="s">
        <v>910</v>
      </c>
      <c r="D490" s="8">
        <v>3.4294721204734598E-2</v>
      </c>
      <c r="E490" s="6">
        <f t="shared" si="14"/>
        <v>-7.7999999999999847E-2</v>
      </c>
      <c r="F490" s="8">
        <f t="shared" si="15"/>
        <v>-2.6749882539692932E-3</v>
      </c>
    </row>
    <row r="491" spans="1:6" x14ac:dyDescent="0.2">
      <c r="A491">
        <v>7</v>
      </c>
      <c r="B491" t="s">
        <v>1104</v>
      </c>
      <c r="C491" t="s">
        <v>911</v>
      </c>
      <c r="D491" s="8">
        <v>4.9149680583920648E-5</v>
      </c>
      <c r="E491" s="6">
        <f t="shared" si="14"/>
        <v>-7.5000000000000067E-2</v>
      </c>
      <c r="F491" s="8">
        <f t="shared" si="15"/>
        <v>-3.686226043794052E-6</v>
      </c>
    </row>
    <row r="492" spans="1:6" x14ac:dyDescent="0.2">
      <c r="A492">
        <v>7</v>
      </c>
      <c r="B492" t="s">
        <v>1104</v>
      </c>
      <c r="C492" t="s">
        <v>912</v>
      </c>
      <c r="D492" s="8">
        <v>1.045178611792068E-5</v>
      </c>
      <c r="E492" s="6">
        <f t="shared" si="14"/>
        <v>-0.29800000000000004</v>
      </c>
      <c r="F492" s="8">
        <f t="shared" si="15"/>
        <v>-3.1146322631403631E-6</v>
      </c>
    </row>
    <row r="493" spans="1:6" x14ac:dyDescent="0.2">
      <c r="A493">
        <v>7</v>
      </c>
      <c r="B493" t="s">
        <v>1104</v>
      </c>
      <c r="C493" t="s">
        <v>914</v>
      </c>
      <c r="D493" s="8">
        <v>4.5195821970120002E-4</v>
      </c>
      <c r="E493" s="6">
        <f t="shared" si="14"/>
        <v>-0.26900000000000002</v>
      </c>
      <c r="F493" s="8">
        <f t="shared" si="15"/>
        <v>-1.2157676109962281E-4</v>
      </c>
    </row>
    <row r="494" spans="1:6" x14ac:dyDescent="0.2">
      <c r="A494">
        <v>7</v>
      </c>
      <c r="B494" t="s">
        <v>1104</v>
      </c>
      <c r="C494" t="s">
        <v>917</v>
      </c>
      <c r="D494" s="8">
        <v>5.433958459567386E-5</v>
      </c>
      <c r="E494" s="6">
        <f t="shared" si="14"/>
        <v>-1.83</v>
      </c>
      <c r="F494" s="8">
        <f t="shared" si="15"/>
        <v>-9.9441439810083167E-5</v>
      </c>
    </row>
    <row r="495" spans="1:6" x14ac:dyDescent="0.2">
      <c r="A495">
        <v>7</v>
      </c>
      <c r="B495" t="s">
        <v>1104</v>
      </c>
      <c r="C495" t="s">
        <v>918</v>
      </c>
      <c r="D495" s="8">
        <v>5.7166530003660001E-4</v>
      </c>
      <c r="E495" s="6">
        <f t="shared" si="14"/>
        <v>0.1469999999999998</v>
      </c>
      <c r="F495" s="8">
        <f t="shared" si="15"/>
        <v>8.4034799105380082E-5</v>
      </c>
    </row>
    <row r="496" spans="1:6" x14ac:dyDescent="0.2">
      <c r="A496">
        <v>7</v>
      </c>
      <c r="B496" t="s">
        <v>1104</v>
      </c>
      <c r="C496" t="s">
        <v>919</v>
      </c>
      <c r="D496" s="8">
        <v>7.6220817966794028E-5</v>
      </c>
      <c r="E496" s="6">
        <f t="shared" si="14"/>
        <v>-3.4940000000000002</v>
      </c>
      <c r="F496" s="8">
        <f t="shared" si="15"/>
        <v>-2.6631553797597837E-4</v>
      </c>
    </row>
    <row r="497" spans="1:6" x14ac:dyDescent="0.2">
      <c r="A497">
        <v>7</v>
      </c>
      <c r="B497" t="s">
        <v>1104</v>
      </c>
      <c r="C497" t="s">
        <v>924</v>
      </c>
      <c r="D497" s="8">
        <v>1.0849449833249E-3</v>
      </c>
      <c r="E497" s="6">
        <f t="shared" si="14"/>
        <v>-8.4000000000000075E-2</v>
      </c>
      <c r="F497" s="8">
        <f t="shared" si="15"/>
        <v>-9.1135378599291688E-5</v>
      </c>
    </row>
    <row r="498" spans="1:6" x14ac:dyDescent="0.2">
      <c r="A498">
        <v>7</v>
      </c>
      <c r="B498" t="s">
        <v>1104</v>
      </c>
      <c r="C498" t="s">
        <v>926</v>
      </c>
      <c r="D498" s="8">
        <v>1.204688263535E-4</v>
      </c>
      <c r="E498" s="6">
        <f t="shared" si="14"/>
        <v>-4.8000000000000043E-2</v>
      </c>
      <c r="F498" s="8">
        <f t="shared" si="15"/>
        <v>-5.7825036649680052E-6</v>
      </c>
    </row>
    <row r="499" spans="1:6" x14ac:dyDescent="0.2">
      <c r="A499">
        <v>7</v>
      </c>
      <c r="B499" t="s">
        <v>1104</v>
      </c>
      <c r="C499" t="s">
        <v>930</v>
      </c>
      <c r="D499" s="8">
        <v>2.6299364429675999E-3</v>
      </c>
      <c r="E499" s="6">
        <f t="shared" si="14"/>
        <v>-5.8000000000000052E-2</v>
      </c>
      <c r="F499" s="8">
        <f t="shared" si="15"/>
        <v>-1.5253631369212094E-4</v>
      </c>
    </row>
    <row r="500" spans="1:6" x14ac:dyDescent="0.2">
      <c r="A500">
        <v>7</v>
      </c>
      <c r="B500" t="s">
        <v>1104</v>
      </c>
      <c r="C500" t="s">
        <v>931</v>
      </c>
      <c r="D500" s="8">
        <v>6.939063346099E-4</v>
      </c>
      <c r="E500" s="6">
        <f t="shared" si="14"/>
        <v>-0.31099999999999994</v>
      </c>
      <c r="F500" s="8">
        <f t="shared" si="15"/>
        <v>-2.1580487006367887E-4</v>
      </c>
    </row>
    <row r="501" spans="1:6" x14ac:dyDescent="0.2">
      <c r="A501">
        <v>7</v>
      </c>
      <c r="B501" t="s">
        <v>1104</v>
      </c>
      <c r="C501" t="s">
        <v>932</v>
      </c>
      <c r="D501" s="8">
        <v>5.5554305659015002E-3</v>
      </c>
      <c r="E501" s="6">
        <f t="shared" si="14"/>
        <v>0.21799999999999997</v>
      </c>
      <c r="F501" s="8">
        <f t="shared" si="15"/>
        <v>1.2110838633665269E-3</v>
      </c>
    </row>
    <row r="502" spans="1:6" x14ac:dyDescent="0.2">
      <c r="A502">
        <v>7</v>
      </c>
      <c r="B502" t="s">
        <v>1104</v>
      </c>
      <c r="C502" t="s">
        <v>933</v>
      </c>
      <c r="D502" s="8">
        <v>0.45737217873450881</v>
      </c>
      <c r="E502" s="6">
        <f t="shared" si="14"/>
        <v>0.4430000000000005</v>
      </c>
      <c r="F502" s="8">
        <f t="shared" si="15"/>
        <v>0.20261587517938764</v>
      </c>
    </row>
    <row r="503" spans="1:6" x14ac:dyDescent="0.2">
      <c r="A503">
        <v>7</v>
      </c>
      <c r="B503" t="s">
        <v>1104</v>
      </c>
      <c r="C503" t="s">
        <v>934</v>
      </c>
      <c r="D503" s="8">
        <v>2.307555199495034E-5</v>
      </c>
      <c r="E503" s="6">
        <f t="shared" si="14"/>
        <v>-0.20000000000000018</v>
      </c>
      <c r="F503" s="8">
        <f t="shared" si="15"/>
        <v>-4.6151103989900721E-6</v>
      </c>
    </row>
    <row r="504" spans="1:6" x14ac:dyDescent="0.2">
      <c r="A504">
        <v>7</v>
      </c>
      <c r="B504" t="s">
        <v>1104</v>
      </c>
      <c r="C504" t="s">
        <v>938</v>
      </c>
      <c r="D504" s="8">
        <v>1.3537994495815111E-6</v>
      </c>
      <c r="E504" s="6">
        <f t="shared" si="14"/>
        <v>-0.32500000000000018</v>
      </c>
      <c r="F504" s="8">
        <f t="shared" si="15"/>
        <v>-4.3998482111399133E-7</v>
      </c>
    </row>
    <row r="505" spans="1:6" x14ac:dyDescent="0.2">
      <c r="A505">
        <v>7</v>
      </c>
      <c r="B505" t="s">
        <v>1104</v>
      </c>
      <c r="C505" t="s">
        <v>942</v>
      </c>
      <c r="D505" s="8">
        <v>2.7313859676287001E-3</v>
      </c>
      <c r="E505" s="6">
        <f t="shared" si="14"/>
        <v>0.33700000000000019</v>
      </c>
      <c r="F505" s="8">
        <f t="shared" si="15"/>
        <v>9.204770710908724E-4</v>
      </c>
    </row>
    <row r="506" spans="1:6" x14ac:dyDescent="0.2">
      <c r="A506">
        <v>7</v>
      </c>
      <c r="B506" t="s">
        <v>1104</v>
      </c>
      <c r="C506" t="s">
        <v>943</v>
      </c>
      <c r="D506" s="8">
        <v>5.8667129014459995E-4</v>
      </c>
      <c r="E506" s="6">
        <f t="shared" si="14"/>
        <v>0.40800000000000014</v>
      </c>
      <c r="F506" s="8">
        <f t="shared" si="15"/>
        <v>2.3936188637899687E-4</v>
      </c>
    </row>
    <row r="507" spans="1:6" x14ac:dyDescent="0.2">
      <c r="A507">
        <v>7</v>
      </c>
      <c r="B507" t="s">
        <v>1104</v>
      </c>
      <c r="C507" t="s">
        <v>944</v>
      </c>
      <c r="D507" s="8">
        <v>3.4169987958668998E-3</v>
      </c>
      <c r="E507" s="6">
        <f t="shared" si="14"/>
        <v>-0.122</v>
      </c>
      <c r="F507" s="8">
        <f t="shared" si="15"/>
        <v>-4.1687385309576179E-4</v>
      </c>
    </row>
    <row r="508" spans="1:6" x14ac:dyDescent="0.2">
      <c r="A508">
        <v>7</v>
      </c>
      <c r="B508" t="s">
        <v>1104</v>
      </c>
      <c r="C508" t="s">
        <v>947</v>
      </c>
      <c r="D508" s="8">
        <v>1.1752139839111999E-3</v>
      </c>
      <c r="E508" s="6">
        <f t="shared" si="14"/>
        <v>0.15500000000000003</v>
      </c>
      <c r="F508" s="8">
        <f t="shared" si="15"/>
        <v>1.8215816750623601E-4</v>
      </c>
    </row>
    <row r="509" spans="1:6" x14ac:dyDescent="0.2">
      <c r="A509">
        <v>7</v>
      </c>
      <c r="B509" t="s">
        <v>1104</v>
      </c>
      <c r="C509" t="s">
        <v>948</v>
      </c>
      <c r="D509" s="8">
        <v>5.3362617277499997E-4</v>
      </c>
      <c r="E509" s="6">
        <f t="shared" si="14"/>
        <v>-1.0880000000000001</v>
      </c>
      <c r="F509" s="8">
        <f t="shared" si="15"/>
        <v>-5.805852759792E-4</v>
      </c>
    </row>
    <row r="510" spans="1:6" x14ac:dyDescent="0.2">
      <c r="A510">
        <v>7</v>
      </c>
      <c r="B510" t="s">
        <v>1104</v>
      </c>
      <c r="C510" t="s">
        <v>949</v>
      </c>
      <c r="D510" s="8">
        <v>9.3823622398232992E-6</v>
      </c>
      <c r="E510" s="6">
        <f t="shared" ref="E510:E573" si="16">IFERROR(VLOOKUP(C510,$A$6:$D$185,4,FALSE),0)</f>
        <v>0.79599999999999982</v>
      </c>
      <c r="F510" s="8">
        <f t="shared" ref="F510:F573" si="17">D510*E510</f>
        <v>7.4683603428993447E-6</v>
      </c>
    </row>
    <row r="511" spans="1:6" x14ac:dyDescent="0.2">
      <c r="A511">
        <v>7</v>
      </c>
      <c r="B511" t="s">
        <v>1104</v>
      </c>
      <c r="C511" t="s">
        <v>950</v>
      </c>
      <c r="D511" s="8">
        <v>1.712773776412E-4</v>
      </c>
      <c r="E511" s="6">
        <f t="shared" si="16"/>
        <v>0.38300000000000001</v>
      </c>
      <c r="F511" s="8">
        <f t="shared" si="17"/>
        <v>6.5599235636579605E-5</v>
      </c>
    </row>
    <row r="512" spans="1:6" x14ac:dyDescent="0.2">
      <c r="A512">
        <v>7</v>
      </c>
      <c r="B512" t="s">
        <v>1104</v>
      </c>
      <c r="C512" t="s">
        <v>951</v>
      </c>
      <c r="D512" s="8">
        <v>4.9851193566410453E-5</v>
      </c>
      <c r="E512" s="6">
        <f t="shared" si="16"/>
        <v>-8.8000000000000078E-2</v>
      </c>
      <c r="F512" s="8">
        <f t="shared" si="17"/>
        <v>-4.3869050338441236E-6</v>
      </c>
    </row>
    <row r="513" spans="1:6" x14ac:dyDescent="0.2">
      <c r="A513">
        <v>7</v>
      </c>
      <c r="B513" t="s">
        <v>1104</v>
      </c>
      <c r="C513" t="s">
        <v>952</v>
      </c>
      <c r="D513" s="8">
        <v>3.3453463917245E-3</v>
      </c>
      <c r="E513" s="6">
        <f t="shared" si="16"/>
        <v>0.28300000000000014</v>
      </c>
      <c r="F513" s="8">
        <f t="shared" si="17"/>
        <v>9.4673302885803397E-4</v>
      </c>
    </row>
    <row r="514" spans="1:6" x14ac:dyDescent="0.2">
      <c r="A514">
        <v>7</v>
      </c>
      <c r="B514" t="s">
        <v>1104</v>
      </c>
      <c r="C514" t="s">
        <v>955</v>
      </c>
      <c r="D514" s="8">
        <v>7.0490795864648901E-6</v>
      </c>
      <c r="E514" s="6">
        <f t="shared" si="16"/>
        <v>-0.40500000000000003</v>
      </c>
      <c r="F514" s="8">
        <f t="shared" si="17"/>
        <v>-2.8548772325182808E-6</v>
      </c>
    </row>
    <row r="515" spans="1:6" x14ac:dyDescent="0.2">
      <c r="A515">
        <v>7</v>
      </c>
      <c r="B515" t="s">
        <v>1104</v>
      </c>
      <c r="C515" t="s">
        <v>957</v>
      </c>
      <c r="D515" s="8">
        <v>6.2393572984616001E-3</v>
      </c>
      <c r="E515" s="6">
        <f t="shared" si="16"/>
        <v>-0.11499999999999988</v>
      </c>
      <c r="F515" s="8">
        <f t="shared" si="17"/>
        <v>-7.1752608932308323E-4</v>
      </c>
    </row>
    <row r="516" spans="1:6" x14ac:dyDescent="0.2">
      <c r="A516">
        <v>7</v>
      </c>
      <c r="B516" t="s">
        <v>1104</v>
      </c>
      <c r="C516" t="s">
        <v>959</v>
      </c>
      <c r="D516" s="8">
        <v>3.6186707127216001E-3</v>
      </c>
      <c r="E516" s="6">
        <f t="shared" si="16"/>
        <v>-0.60699999999999998</v>
      </c>
      <c r="F516" s="8">
        <f t="shared" si="17"/>
        <v>-2.1965331226220111E-3</v>
      </c>
    </row>
    <row r="517" spans="1:6" x14ac:dyDescent="0.2">
      <c r="A517">
        <v>7</v>
      </c>
      <c r="B517" t="s">
        <v>1104</v>
      </c>
      <c r="C517" t="s">
        <v>960</v>
      </c>
      <c r="D517" s="8">
        <v>5.5496935417409401E-6</v>
      </c>
      <c r="E517" s="6">
        <f t="shared" si="16"/>
        <v>0.29999999999999982</v>
      </c>
      <c r="F517" s="8">
        <f t="shared" si="17"/>
        <v>1.6649080625222811E-6</v>
      </c>
    </row>
    <row r="518" spans="1:6" x14ac:dyDescent="0.2">
      <c r="A518">
        <v>7</v>
      </c>
      <c r="B518" t="s">
        <v>1104</v>
      </c>
      <c r="C518" t="s">
        <v>965</v>
      </c>
      <c r="D518" s="8">
        <v>1.2152920368715099E-2</v>
      </c>
      <c r="E518" s="6">
        <f t="shared" si="16"/>
        <v>4.5000000000000151E-2</v>
      </c>
      <c r="F518" s="8">
        <f t="shared" si="17"/>
        <v>5.4688141659218136E-4</v>
      </c>
    </row>
    <row r="519" spans="1:6" x14ac:dyDescent="0.2">
      <c r="A519">
        <v>7</v>
      </c>
      <c r="B519" t="s">
        <v>1104</v>
      </c>
      <c r="C519" t="s">
        <v>1105</v>
      </c>
      <c r="D519" s="8">
        <v>1.546074952802805E-6</v>
      </c>
      <c r="E519" s="6">
        <f t="shared" si="16"/>
        <v>0</v>
      </c>
      <c r="F519" s="8">
        <f t="shared" si="17"/>
        <v>0</v>
      </c>
    </row>
    <row r="520" spans="1:6" x14ac:dyDescent="0.2">
      <c r="A520">
        <v>7</v>
      </c>
      <c r="B520" t="s">
        <v>1104</v>
      </c>
      <c r="C520" t="s">
        <v>969</v>
      </c>
      <c r="D520" s="8">
        <v>6.7583859845415706E-2</v>
      </c>
      <c r="E520" s="6">
        <f t="shared" si="16"/>
        <v>0.53699999999999992</v>
      </c>
      <c r="F520" s="8">
        <f t="shared" si="17"/>
        <v>3.629253273698823E-2</v>
      </c>
    </row>
    <row r="521" spans="1:6" x14ac:dyDescent="0.2">
      <c r="A521">
        <v>7</v>
      </c>
      <c r="B521" t="s">
        <v>1104</v>
      </c>
      <c r="C521" t="s">
        <v>971</v>
      </c>
      <c r="D521" s="8">
        <v>2.6522090390189998E-4</v>
      </c>
      <c r="E521" s="6">
        <f t="shared" si="16"/>
        <v>-0.13700000000000001</v>
      </c>
      <c r="F521" s="8">
        <f t="shared" si="17"/>
        <v>-3.6335263834560302E-5</v>
      </c>
    </row>
    <row r="522" spans="1:6" x14ac:dyDescent="0.2">
      <c r="A522">
        <v>7</v>
      </c>
      <c r="B522" t="s">
        <v>1104</v>
      </c>
      <c r="C522" t="s">
        <v>973</v>
      </c>
      <c r="D522" s="8">
        <v>4.9487034138622223E-5</v>
      </c>
      <c r="E522" s="6">
        <f t="shared" si="16"/>
        <v>-0.84999999999999987</v>
      </c>
      <c r="F522" s="8">
        <f t="shared" si="17"/>
        <v>-4.2063979017828883E-5</v>
      </c>
    </row>
    <row r="523" spans="1:6" x14ac:dyDescent="0.2">
      <c r="A523">
        <v>7</v>
      </c>
      <c r="B523" t="s">
        <v>1104</v>
      </c>
      <c r="C523" t="s">
        <v>975</v>
      </c>
      <c r="D523" s="8">
        <v>1.9986348537657001E-3</v>
      </c>
      <c r="E523" s="6">
        <f t="shared" si="16"/>
        <v>0.23500000000000032</v>
      </c>
      <c r="F523" s="8">
        <f t="shared" si="17"/>
        <v>4.6967919063494015E-4</v>
      </c>
    </row>
    <row r="524" spans="1:6" x14ac:dyDescent="0.2">
      <c r="A524">
        <v>7</v>
      </c>
      <c r="B524" t="s">
        <v>1104</v>
      </c>
      <c r="C524" t="s">
        <v>976</v>
      </c>
      <c r="D524" s="8">
        <v>1.4812868096800001E-4</v>
      </c>
      <c r="E524" s="6">
        <f t="shared" si="16"/>
        <v>0.38700000000000001</v>
      </c>
      <c r="F524" s="8">
        <f t="shared" si="17"/>
        <v>5.7325799534616002E-5</v>
      </c>
    </row>
    <row r="525" spans="1:6" x14ac:dyDescent="0.2">
      <c r="A525">
        <v>7</v>
      </c>
      <c r="B525" t="s">
        <v>1104</v>
      </c>
      <c r="C525" t="s">
        <v>977</v>
      </c>
      <c r="D525" s="8">
        <v>2.4872675915309998E-4</v>
      </c>
      <c r="E525" s="6">
        <f t="shared" si="16"/>
        <v>-7.2039999999999997</v>
      </c>
      <c r="F525" s="8">
        <f t="shared" si="17"/>
        <v>-1.7918275729389322E-3</v>
      </c>
    </row>
    <row r="526" spans="1:6" x14ac:dyDescent="0.2">
      <c r="A526">
        <v>7</v>
      </c>
      <c r="B526" t="s">
        <v>1104</v>
      </c>
      <c r="C526" t="s">
        <v>978</v>
      </c>
      <c r="D526" s="8">
        <v>8.2126548292955437E-5</v>
      </c>
      <c r="E526" s="6">
        <f t="shared" si="16"/>
        <v>-8.2390000000000008</v>
      </c>
      <c r="F526" s="8">
        <f t="shared" si="17"/>
        <v>-6.7664063138565995E-4</v>
      </c>
    </row>
    <row r="527" spans="1:6" x14ac:dyDescent="0.2">
      <c r="A527">
        <v>7</v>
      </c>
      <c r="B527" t="s">
        <v>1104</v>
      </c>
      <c r="C527" t="s">
        <v>979</v>
      </c>
      <c r="D527" s="8">
        <v>3.2783509953346539E-5</v>
      </c>
      <c r="E527" s="6">
        <f t="shared" si="16"/>
        <v>-0.5</v>
      </c>
      <c r="F527" s="8">
        <f t="shared" si="17"/>
        <v>-1.639175497667327E-5</v>
      </c>
    </row>
    <row r="528" spans="1:6" x14ac:dyDescent="0.2">
      <c r="A528">
        <v>7</v>
      </c>
      <c r="B528" t="s">
        <v>1104</v>
      </c>
      <c r="C528" t="s">
        <v>980</v>
      </c>
      <c r="D528" s="8">
        <v>2.9865298335370001E-4</v>
      </c>
      <c r="E528" s="6">
        <f t="shared" si="16"/>
        <v>-0.10000000000000009</v>
      </c>
      <c r="F528" s="8">
        <f t="shared" si="17"/>
        <v>-2.9865298335370029E-5</v>
      </c>
    </row>
    <row r="529" spans="1:6" x14ac:dyDescent="0.2">
      <c r="A529">
        <v>7</v>
      </c>
      <c r="B529" t="s">
        <v>1104</v>
      </c>
      <c r="C529" t="s">
        <v>981</v>
      </c>
      <c r="D529" s="8">
        <v>2.98142164993658E-2</v>
      </c>
      <c r="E529" s="6">
        <f t="shared" si="16"/>
        <v>-0.33499999999999996</v>
      </c>
      <c r="F529" s="8">
        <f t="shared" si="17"/>
        <v>-9.9877625272875425E-3</v>
      </c>
    </row>
    <row r="530" spans="1:6" x14ac:dyDescent="0.2">
      <c r="A530">
        <v>7</v>
      </c>
      <c r="B530" t="s">
        <v>1104</v>
      </c>
      <c r="C530" t="s">
        <v>983</v>
      </c>
      <c r="D530" s="8">
        <v>9.3270866103412845E-5</v>
      </c>
      <c r="E530" s="6">
        <f t="shared" si="16"/>
        <v>-0.19999999999999973</v>
      </c>
      <c r="F530" s="8">
        <f t="shared" si="17"/>
        <v>-1.8654173220682543E-5</v>
      </c>
    </row>
    <row r="531" spans="1:6" x14ac:dyDescent="0.2">
      <c r="A531">
        <v>7</v>
      </c>
      <c r="B531" t="s">
        <v>1104</v>
      </c>
      <c r="C531" t="s">
        <v>984</v>
      </c>
      <c r="D531" s="8">
        <v>0.11309140476072679</v>
      </c>
      <c r="E531" s="6">
        <f t="shared" si="16"/>
        <v>0.121</v>
      </c>
      <c r="F531" s="8">
        <f t="shared" si="17"/>
        <v>1.3684059976047942E-2</v>
      </c>
    </row>
    <row r="532" spans="1:6" x14ac:dyDescent="0.2">
      <c r="A532">
        <v>7</v>
      </c>
      <c r="B532" t="s">
        <v>1104</v>
      </c>
      <c r="C532" t="s">
        <v>985</v>
      </c>
      <c r="D532" s="8">
        <v>8.6717580810614437E-5</v>
      </c>
      <c r="E532" s="6">
        <f t="shared" si="16"/>
        <v>0.34299999999999997</v>
      </c>
      <c r="F532" s="8">
        <f t="shared" si="17"/>
        <v>2.9744130218040749E-5</v>
      </c>
    </row>
    <row r="533" spans="1:6" x14ac:dyDescent="0.2">
      <c r="A533">
        <v>7</v>
      </c>
      <c r="B533" t="s">
        <v>1104</v>
      </c>
      <c r="C533" t="s">
        <v>987</v>
      </c>
      <c r="D533" s="8">
        <v>7.6664873692701093E-7</v>
      </c>
      <c r="E533" s="6">
        <f t="shared" si="16"/>
        <v>0.83399999999999963</v>
      </c>
      <c r="F533" s="8">
        <f t="shared" si="17"/>
        <v>6.3938504659712682E-7</v>
      </c>
    </row>
    <row r="534" spans="1:6" x14ac:dyDescent="0.2">
      <c r="A534">
        <v>7</v>
      </c>
      <c r="B534" t="s">
        <v>1104</v>
      </c>
      <c r="C534" t="s">
        <v>988</v>
      </c>
      <c r="D534" s="8">
        <v>6.5892832842408101E-5</v>
      </c>
      <c r="E534" s="6">
        <f t="shared" si="16"/>
        <v>0.59299999999999997</v>
      </c>
      <c r="F534" s="8">
        <f t="shared" si="17"/>
        <v>3.9074449875548E-5</v>
      </c>
    </row>
    <row r="535" spans="1:6" x14ac:dyDescent="0.2">
      <c r="A535">
        <v>7</v>
      </c>
      <c r="B535" t="s">
        <v>1104</v>
      </c>
      <c r="C535" t="s">
        <v>990</v>
      </c>
      <c r="D535" s="8">
        <v>1.9958146662386399E-2</v>
      </c>
      <c r="E535" s="6">
        <f t="shared" si="16"/>
        <v>0.45299999999999985</v>
      </c>
      <c r="F535" s="8">
        <f t="shared" si="17"/>
        <v>9.0410404380610356E-3</v>
      </c>
    </row>
    <row r="536" spans="1:6" x14ac:dyDescent="0.2">
      <c r="A536">
        <v>7</v>
      </c>
      <c r="B536" t="s">
        <v>1104</v>
      </c>
      <c r="C536" t="s">
        <v>991</v>
      </c>
      <c r="D536" s="8">
        <v>2.1057970819339999E-4</v>
      </c>
      <c r="E536" s="6">
        <f t="shared" si="16"/>
        <v>-3.7290000000000001</v>
      </c>
      <c r="F536" s="8">
        <f t="shared" si="17"/>
        <v>-7.8525173185318856E-4</v>
      </c>
    </row>
    <row r="537" spans="1:6" x14ac:dyDescent="0.2">
      <c r="A537">
        <v>7</v>
      </c>
      <c r="B537" t="s">
        <v>1104</v>
      </c>
      <c r="C537" t="s">
        <v>1092</v>
      </c>
      <c r="D537" s="8">
        <v>6.7289980144869996E-4</v>
      </c>
      <c r="E537" s="6">
        <f t="shared" si="16"/>
        <v>0</v>
      </c>
      <c r="F537" s="8">
        <f t="shared" si="17"/>
        <v>0</v>
      </c>
    </row>
    <row r="538" spans="1:6" x14ac:dyDescent="0.2">
      <c r="A538">
        <v>7</v>
      </c>
      <c r="B538" t="s">
        <v>1104</v>
      </c>
      <c r="C538" t="s">
        <v>994</v>
      </c>
      <c r="D538" s="8">
        <v>1.7786250696706659E-5</v>
      </c>
      <c r="E538" s="6">
        <f t="shared" si="16"/>
        <v>2.415</v>
      </c>
      <c r="F538" s="8">
        <f t="shared" si="17"/>
        <v>4.2953795432546578E-5</v>
      </c>
    </row>
    <row r="539" spans="1:6" x14ac:dyDescent="0.2">
      <c r="A539">
        <v>7</v>
      </c>
      <c r="B539" t="s">
        <v>1104</v>
      </c>
      <c r="C539" t="s">
        <v>1093</v>
      </c>
      <c r="D539" s="8">
        <v>6.8150498375347609E-6</v>
      </c>
      <c r="E539" s="6">
        <f t="shared" si="16"/>
        <v>0</v>
      </c>
      <c r="F539" s="8">
        <f t="shared" si="17"/>
        <v>0</v>
      </c>
    </row>
    <row r="540" spans="1:6" x14ac:dyDescent="0.2">
      <c r="A540">
        <v>7</v>
      </c>
      <c r="B540" t="s">
        <v>1104</v>
      </c>
      <c r="C540" t="s">
        <v>997</v>
      </c>
      <c r="D540" s="8">
        <v>1.395758646052684E-5</v>
      </c>
      <c r="E540" s="6">
        <f t="shared" si="16"/>
        <v>-0.61499999999999977</v>
      </c>
      <c r="F540" s="8">
        <f t="shared" si="17"/>
        <v>-8.5839156732240026E-6</v>
      </c>
    </row>
    <row r="541" spans="1:6" x14ac:dyDescent="0.2">
      <c r="A541">
        <v>7</v>
      </c>
      <c r="B541" t="s">
        <v>1104</v>
      </c>
      <c r="C541" t="s">
        <v>999</v>
      </c>
      <c r="D541" s="8">
        <v>3.4416139548548399E-6</v>
      </c>
      <c r="E541" s="6">
        <f t="shared" si="16"/>
        <v>-0.5219999999999998</v>
      </c>
      <c r="F541" s="8">
        <f t="shared" si="17"/>
        <v>-1.7965224844342256E-6</v>
      </c>
    </row>
    <row r="542" spans="1:6" x14ac:dyDescent="0.2">
      <c r="A542">
        <v>7</v>
      </c>
      <c r="B542" t="s">
        <v>1104</v>
      </c>
      <c r="C542" t="s">
        <v>1000</v>
      </c>
      <c r="D542" s="8">
        <v>4.0679551120671019E-5</v>
      </c>
      <c r="E542" s="6">
        <f t="shared" si="16"/>
        <v>1.1540000000000004</v>
      </c>
      <c r="F542" s="8">
        <f t="shared" si="17"/>
        <v>4.6944201993254368E-5</v>
      </c>
    </row>
    <row r="543" spans="1:6" x14ac:dyDescent="0.2">
      <c r="A543">
        <v>7</v>
      </c>
      <c r="B543" t="s">
        <v>1104</v>
      </c>
      <c r="C543" t="s">
        <v>1001</v>
      </c>
      <c r="D543" s="8">
        <v>4.90655191633287E-5</v>
      </c>
      <c r="E543" s="6">
        <f t="shared" si="16"/>
        <v>-0.60600000000000032</v>
      </c>
      <c r="F543" s="8">
        <f t="shared" si="17"/>
        <v>-2.9733704612977209E-5</v>
      </c>
    </row>
    <row r="544" spans="1:6" x14ac:dyDescent="0.2">
      <c r="A544">
        <v>7</v>
      </c>
      <c r="B544" t="s">
        <v>1104</v>
      </c>
      <c r="C544" t="s">
        <v>1002</v>
      </c>
      <c r="D544" s="8">
        <v>3.2576901951988392E-5</v>
      </c>
      <c r="E544" s="6">
        <f t="shared" si="16"/>
        <v>-1.3390000000000004</v>
      </c>
      <c r="F544" s="8">
        <f t="shared" si="17"/>
        <v>-4.3620471713712469E-5</v>
      </c>
    </row>
    <row r="545" spans="1:6" x14ac:dyDescent="0.2">
      <c r="A545">
        <v>7</v>
      </c>
      <c r="B545" t="s">
        <v>1104</v>
      </c>
      <c r="C545" t="s">
        <v>1003</v>
      </c>
      <c r="D545" s="8">
        <v>2.8412406597720001E-4</v>
      </c>
      <c r="E545" s="6">
        <f t="shared" si="16"/>
        <v>0.22999999999999998</v>
      </c>
      <c r="F545" s="8">
        <f t="shared" si="17"/>
        <v>6.5348535174756004E-5</v>
      </c>
    </row>
    <row r="546" spans="1:6" x14ac:dyDescent="0.2">
      <c r="A546">
        <v>7</v>
      </c>
      <c r="B546" t="s">
        <v>1104</v>
      </c>
      <c r="C546" t="s">
        <v>1005</v>
      </c>
      <c r="D546" s="8">
        <v>1.5310435265674561E-5</v>
      </c>
      <c r="E546" s="6">
        <f t="shared" si="16"/>
        <v>-0.10000000000000009</v>
      </c>
      <c r="F546" s="8">
        <f t="shared" si="17"/>
        <v>-1.5310435265674574E-6</v>
      </c>
    </row>
    <row r="547" spans="1:6" x14ac:dyDescent="0.2">
      <c r="A547">
        <v>7</v>
      </c>
      <c r="B547" t="s">
        <v>1104</v>
      </c>
      <c r="C547" t="s">
        <v>1007</v>
      </c>
      <c r="D547" s="8">
        <v>1.8794078820899999E-4</v>
      </c>
      <c r="E547" s="6">
        <f t="shared" si="16"/>
        <v>-0.19999999999999973</v>
      </c>
      <c r="F547" s="8">
        <f t="shared" si="17"/>
        <v>-3.758815764179995E-5</v>
      </c>
    </row>
    <row r="548" spans="1:6" x14ac:dyDescent="0.2">
      <c r="A548">
        <v>7</v>
      </c>
      <c r="B548" t="s">
        <v>1104</v>
      </c>
      <c r="C548" t="s">
        <v>1008</v>
      </c>
      <c r="D548" s="8">
        <v>3.55336361356948E-5</v>
      </c>
      <c r="E548" s="6">
        <f t="shared" si="16"/>
        <v>0.94799999999999995</v>
      </c>
      <c r="F548" s="8">
        <f t="shared" si="17"/>
        <v>3.3685887056638667E-5</v>
      </c>
    </row>
    <row r="549" spans="1:6" x14ac:dyDescent="0.2">
      <c r="A549">
        <v>7</v>
      </c>
      <c r="B549" t="s">
        <v>1104</v>
      </c>
      <c r="C549" t="s">
        <v>1012</v>
      </c>
      <c r="D549" s="8">
        <v>3.4303607013689999E-4</v>
      </c>
      <c r="E549" s="6">
        <f t="shared" si="16"/>
        <v>0.39999999999999991</v>
      </c>
      <c r="F549" s="8">
        <f t="shared" si="17"/>
        <v>1.3721442805475996E-4</v>
      </c>
    </row>
    <row r="550" spans="1:6" x14ac:dyDescent="0.2">
      <c r="A550">
        <v>7</v>
      </c>
      <c r="B550" t="s">
        <v>1104</v>
      </c>
      <c r="C550" t="s">
        <v>1014</v>
      </c>
      <c r="D550" s="8">
        <v>6.7807218554355703E-2</v>
      </c>
      <c r="E550" s="6">
        <f t="shared" si="16"/>
        <v>0.90000000000000036</v>
      </c>
      <c r="F550" s="8">
        <f t="shared" si="17"/>
        <v>6.1026496698920157E-2</v>
      </c>
    </row>
    <row r="551" spans="1:6" x14ac:dyDescent="0.2">
      <c r="A551">
        <v>7</v>
      </c>
      <c r="B551" t="s">
        <v>1104</v>
      </c>
      <c r="C551" t="s">
        <v>1015</v>
      </c>
      <c r="D551" s="8">
        <v>2.6500619114566501E-6</v>
      </c>
      <c r="E551" s="6">
        <f t="shared" si="16"/>
        <v>-1.306</v>
      </c>
      <c r="F551" s="8">
        <f t="shared" si="17"/>
        <v>-3.4609808563623853E-6</v>
      </c>
    </row>
    <row r="552" spans="1:6" x14ac:dyDescent="0.2">
      <c r="A552">
        <v>7</v>
      </c>
      <c r="B552" t="s">
        <v>1104</v>
      </c>
      <c r="C552" t="s">
        <v>1019</v>
      </c>
      <c r="D552" s="8">
        <v>2.8623804160400001E-3</v>
      </c>
      <c r="E552" s="6">
        <f t="shared" si="16"/>
        <v>-0.21599999999999997</v>
      </c>
      <c r="F552" s="8">
        <f t="shared" si="17"/>
        <v>-6.1827416986463997E-4</v>
      </c>
    </row>
    <row r="553" spans="1:6" x14ac:dyDescent="0.2">
      <c r="A553">
        <v>7</v>
      </c>
      <c r="B553" t="s">
        <v>1104</v>
      </c>
      <c r="C553" t="s">
        <v>1020</v>
      </c>
      <c r="D553" s="8">
        <v>1.9713181409040051E-5</v>
      </c>
      <c r="E553" s="6">
        <f t="shared" si="16"/>
        <v>-0.21999999999999997</v>
      </c>
      <c r="F553" s="8">
        <f t="shared" si="17"/>
        <v>-4.3368999099888105E-6</v>
      </c>
    </row>
    <row r="554" spans="1:6" x14ac:dyDescent="0.2">
      <c r="A554">
        <v>7</v>
      </c>
      <c r="B554" t="s">
        <v>1104</v>
      </c>
      <c r="C554" t="s">
        <v>1023</v>
      </c>
      <c r="D554" s="8">
        <v>5.6928941982389999E-4</v>
      </c>
      <c r="E554" s="6">
        <f t="shared" si="16"/>
        <v>-0.62199999999999989</v>
      </c>
      <c r="F554" s="8">
        <f t="shared" si="17"/>
        <v>-3.5409801913046572E-4</v>
      </c>
    </row>
    <row r="555" spans="1:6" x14ac:dyDescent="0.2">
      <c r="A555">
        <v>7</v>
      </c>
      <c r="B555" t="s">
        <v>1104</v>
      </c>
      <c r="C555" t="s">
        <v>1024</v>
      </c>
      <c r="D555" s="8">
        <v>1.6347941001357891E-5</v>
      </c>
      <c r="E555" s="6">
        <f t="shared" si="16"/>
        <v>-0.14500000000000002</v>
      </c>
      <c r="F555" s="8">
        <f t="shared" si="17"/>
        <v>-2.3704514451968945E-6</v>
      </c>
    </row>
    <row r="556" spans="1:6" x14ac:dyDescent="0.2">
      <c r="A556">
        <v>7</v>
      </c>
      <c r="B556" t="s">
        <v>1104</v>
      </c>
      <c r="C556" t="s">
        <v>1025</v>
      </c>
      <c r="D556" s="8">
        <v>1.2465005701091021E-5</v>
      </c>
      <c r="E556" s="6">
        <f t="shared" si="16"/>
        <v>4.7000000000000153E-2</v>
      </c>
      <c r="F556" s="8">
        <f t="shared" si="17"/>
        <v>5.8585526795127985E-7</v>
      </c>
    </row>
    <row r="557" spans="1:6" x14ac:dyDescent="0.2">
      <c r="A557">
        <v>7</v>
      </c>
      <c r="B557" t="s">
        <v>1104</v>
      </c>
      <c r="C557" t="s">
        <v>1026</v>
      </c>
      <c r="D557" s="8">
        <v>1.142945491968E-4</v>
      </c>
      <c r="E557" s="6">
        <f t="shared" si="16"/>
        <v>-0.20000000000000018</v>
      </c>
      <c r="F557" s="8">
        <f t="shared" si="17"/>
        <v>-2.2858909839360022E-5</v>
      </c>
    </row>
    <row r="558" spans="1:6" x14ac:dyDescent="0.2">
      <c r="A558">
        <v>7</v>
      </c>
      <c r="B558" t="s">
        <v>1104</v>
      </c>
      <c r="C558" t="s">
        <v>1027</v>
      </c>
      <c r="D558" s="8">
        <v>5.8351155887509712E-5</v>
      </c>
      <c r="E558" s="6">
        <f t="shared" si="16"/>
        <v>0.18999999999999995</v>
      </c>
      <c r="F558" s="8">
        <f t="shared" si="17"/>
        <v>1.1086719618626842E-5</v>
      </c>
    </row>
    <row r="559" spans="1:6" x14ac:dyDescent="0.2">
      <c r="A559">
        <v>7</v>
      </c>
      <c r="B559" t="s">
        <v>1104</v>
      </c>
      <c r="C559" t="s">
        <v>1028</v>
      </c>
      <c r="D559" s="8">
        <v>7.4346447235230997E-3</v>
      </c>
      <c r="E559" s="6">
        <f t="shared" si="16"/>
        <v>-1.6600000000000001</v>
      </c>
      <c r="F559" s="8">
        <f t="shared" si="17"/>
        <v>-1.2341510241048346E-2</v>
      </c>
    </row>
    <row r="560" spans="1:6" x14ac:dyDescent="0.2">
      <c r="A560">
        <v>7</v>
      </c>
      <c r="B560" t="s">
        <v>1104</v>
      </c>
      <c r="C560" t="s">
        <v>1031</v>
      </c>
      <c r="D560" s="8">
        <v>1.0263097457479001E-3</v>
      </c>
      <c r="E560" s="6">
        <f t="shared" si="16"/>
        <v>0.19899999999999984</v>
      </c>
      <c r="F560" s="8">
        <f t="shared" si="17"/>
        <v>2.0423563940383195E-4</v>
      </c>
    </row>
    <row r="561" spans="1:6" x14ac:dyDescent="0.2">
      <c r="A561">
        <v>7</v>
      </c>
      <c r="B561" t="s">
        <v>1104</v>
      </c>
      <c r="C561" t="s">
        <v>1033</v>
      </c>
      <c r="D561" s="8">
        <v>1.0844993572469001E-3</v>
      </c>
      <c r="E561" s="6">
        <f t="shared" si="16"/>
        <v>0.23299999999999987</v>
      </c>
      <c r="F561" s="8">
        <f t="shared" si="17"/>
        <v>2.5268835023852757E-4</v>
      </c>
    </row>
    <row r="562" spans="1:6" x14ac:dyDescent="0.2">
      <c r="A562">
        <v>7</v>
      </c>
      <c r="B562" t="s">
        <v>1104</v>
      </c>
      <c r="C562" t="s">
        <v>1035</v>
      </c>
      <c r="D562" s="8">
        <v>1.208750517975E-4</v>
      </c>
      <c r="E562" s="6">
        <f t="shared" si="16"/>
        <v>-14.218</v>
      </c>
      <c r="F562" s="8">
        <f t="shared" si="17"/>
        <v>-1.718601486456855E-3</v>
      </c>
    </row>
    <row r="563" spans="1:6" x14ac:dyDescent="0.2">
      <c r="A563">
        <v>7</v>
      </c>
      <c r="B563" t="s">
        <v>1104</v>
      </c>
      <c r="C563" t="s">
        <v>1036</v>
      </c>
      <c r="D563" s="8">
        <v>1.607276521471689E-5</v>
      </c>
      <c r="E563" s="6">
        <f t="shared" si="16"/>
        <v>-2.0590000000000002</v>
      </c>
      <c r="F563" s="8">
        <f t="shared" si="17"/>
        <v>-3.3093823577102081E-5</v>
      </c>
    </row>
    <row r="564" spans="1:6" x14ac:dyDescent="0.2">
      <c r="A564">
        <v>7</v>
      </c>
      <c r="B564" t="s">
        <v>1104</v>
      </c>
      <c r="C564" t="s">
        <v>1037</v>
      </c>
      <c r="D564" s="8">
        <v>2.6303432676753002E-3</v>
      </c>
      <c r="E564" s="6">
        <f t="shared" si="16"/>
        <v>0.2350000000000001</v>
      </c>
      <c r="F564" s="8">
        <f t="shared" si="17"/>
        <v>6.1813066790369583E-4</v>
      </c>
    </row>
    <row r="565" spans="1:6" x14ac:dyDescent="0.2">
      <c r="A565">
        <v>7</v>
      </c>
      <c r="B565" t="s">
        <v>1104</v>
      </c>
      <c r="C565" t="s">
        <v>1094</v>
      </c>
      <c r="D565" s="8">
        <v>1.2087286810086801E-2</v>
      </c>
      <c r="E565" s="6">
        <f t="shared" si="16"/>
        <v>0</v>
      </c>
      <c r="F565" s="8">
        <f t="shared" si="17"/>
        <v>0</v>
      </c>
    </row>
    <row r="566" spans="1:6" x14ac:dyDescent="0.2">
      <c r="A566">
        <v>7</v>
      </c>
      <c r="B566" t="s">
        <v>1104</v>
      </c>
      <c r="C566" t="s">
        <v>1039</v>
      </c>
      <c r="D566" s="8">
        <v>3.3466400335255002E-3</v>
      </c>
      <c r="E566" s="6">
        <f t="shared" si="16"/>
        <v>-0.6419999999999999</v>
      </c>
      <c r="F566" s="8">
        <f t="shared" si="17"/>
        <v>-2.148542901523371E-3</v>
      </c>
    </row>
    <row r="567" spans="1:6" x14ac:dyDescent="0.2">
      <c r="A567">
        <v>7</v>
      </c>
      <c r="B567" t="s">
        <v>1104</v>
      </c>
      <c r="C567" t="s">
        <v>1040</v>
      </c>
      <c r="D567" s="8">
        <v>4.0798490283465769E-6</v>
      </c>
      <c r="E567" s="6">
        <f t="shared" si="16"/>
        <v>-8.1180000000000003</v>
      </c>
      <c r="F567" s="8">
        <f t="shared" si="17"/>
        <v>-3.3120214412117511E-5</v>
      </c>
    </row>
    <row r="568" spans="1:6" x14ac:dyDescent="0.2">
      <c r="A568">
        <v>7</v>
      </c>
      <c r="B568" t="s">
        <v>1104</v>
      </c>
      <c r="C568" t="s">
        <v>1042</v>
      </c>
      <c r="D568" s="8">
        <v>4.8694054937712297E-2</v>
      </c>
      <c r="E568" s="6">
        <f t="shared" si="16"/>
        <v>1.621</v>
      </c>
      <c r="F568" s="8">
        <f t="shared" si="17"/>
        <v>7.8933063054031638E-2</v>
      </c>
    </row>
    <row r="569" spans="1:6" x14ac:dyDescent="0.2">
      <c r="A569">
        <v>7</v>
      </c>
      <c r="B569" t="s">
        <v>1104</v>
      </c>
      <c r="C569" t="s">
        <v>1048</v>
      </c>
      <c r="D569" s="8">
        <v>9.5818697961296035E-6</v>
      </c>
      <c r="E569" s="6">
        <f t="shared" si="16"/>
        <v>-1.4340000000000002</v>
      </c>
      <c r="F569" s="8">
        <f t="shared" si="17"/>
        <v>-1.3740401287649854E-5</v>
      </c>
    </row>
    <row r="570" spans="1:6" x14ac:dyDescent="0.2">
      <c r="A570">
        <v>7</v>
      </c>
      <c r="B570" t="s">
        <v>1104</v>
      </c>
      <c r="C570" t="s">
        <v>1051</v>
      </c>
      <c r="D570" s="8">
        <v>8.4650798035690793E-7</v>
      </c>
      <c r="E570" s="6">
        <f t="shared" si="16"/>
        <v>0.18199999999999994</v>
      </c>
      <c r="F570" s="8">
        <f t="shared" si="17"/>
        <v>1.5406445242495719E-7</v>
      </c>
    </row>
    <row r="571" spans="1:6" x14ac:dyDescent="0.2">
      <c r="A571">
        <v>7</v>
      </c>
      <c r="B571" t="s">
        <v>1104</v>
      </c>
      <c r="C571" t="s">
        <v>1053</v>
      </c>
      <c r="D571" s="8">
        <v>2.9336385071819998E-4</v>
      </c>
      <c r="E571" s="6">
        <f t="shared" si="16"/>
        <v>-0.39999999999999991</v>
      </c>
      <c r="F571" s="8">
        <f t="shared" si="17"/>
        <v>-1.1734554028727996E-4</v>
      </c>
    </row>
    <row r="572" spans="1:6" x14ac:dyDescent="0.2">
      <c r="A572">
        <v>7</v>
      </c>
      <c r="B572" t="s">
        <v>1104</v>
      </c>
      <c r="C572" t="s">
        <v>1054</v>
      </c>
      <c r="D572" s="8">
        <v>1.6621399367050001E-4</v>
      </c>
      <c r="E572" s="6">
        <f t="shared" si="16"/>
        <v>-0.16800000000000015</v>
      </c>
      <c r="F572" s="8">
        <f t="shared" si="17"/>
        <v>-2.7923950936644028E-5</v>
      </c>
    </row>
    <row r="573" spans="1:6" x14ac:dyDescent="0.2">
      <c r="A573">
        <v>7</v>
      </c>
      <c r="B573" t="s">
        <v>1104</v>
      </c>
      <c r="C573" t="s">
        <v>1059</v>
      </c>
      <c r="D573" s="8">
        <v>1.00533592702168E-2</v>
      </c>
      <c r="E573" s="6">
        <f t="shared" si="16"/>
        <v>-0.10000000000000009</v>
      </c>
      <c r="F573" s="8">
        <f t="shared" si="17"/>
        <v>-1.005335927021681E-3</v>
      </c>
    </row>
    <row r="574" spans="1:6" x14ac:dyDescent="0.2">
      <c r="A574">
        <v>7</v>
      </c>
      <c r="B574" t="s">
        <v>1104</v>
      </c>
      <c r="C574" t="s">
        <v>1062</v>
      </c>
      <c r="D574" s="8">
        <v>2.4831458707050059E-5</v>
      </c>
      <c r="E574" s="6">
        <f t="shared" ref="E574:E637" si="18">IFERROR(VLOOKUP(C574,$A$6:$D$185,4,FALSE),0)</f>
        <v>0.89999999999999947</v>
      </c>
      <c r="F574" s="8">
        <f t="shared" ref="F574:F637" si="19">D574*E574</f>
        <v>2.2348312836345038E-5</v>
      </c>
    </row>
    <row r="575" spans="1:6" x14ac:dyDescent="0.2">
      <c r="A575">
        <v>7</v>
      </c>
      <c r="B575" t="s">
        <v>1104</v>
      </c>
      <c r="C575" t="s">
        <v>1065</v>
      </c>
      <c r="D575" s="8">
        <v>1.1008436988319999E-4</v>
      </c>
      <c r="E575" s="6">
        <f t="shared" si="18"/>
        <v>0.68300000000000005</v>
      </c>
      <c r="F575" s="8">
        <f t="shared" si="19"/>
        <v>7.5187624630225605E-5</v>
      </c>
    </row>
    <row r="576" spans="1:6" x14ac:dyDescent="0.2">
      <c r="A576">
        <v>7</v>
      </c>
      <c r="B576" t="s">
        <v>1104</v>
      </c>
      <c r="C576" t="s">
        <v>1066</v>
      </c>
      <c r="D576" s="8">
        <v>4.4820234365159999E-4</v>
      </c>
      <c r="E576" s="6">
        <f t="shared" si="18"/>
        <v>0.20900000000000007</v>
      </c>
      <c r="F576" s="8">
        <f t="shared" si="19"/>
        <v>9.3674289823184425E-5</v>
      </c>
    </row>
    <row r="577" spans="1:6" x14ac:dyDescent="0.2">
      <c r="A577">
        <v>7</v>
      </c>
      <c r="B577" t="s">
        <v>1104</v>
      </c>
      <c r="C577" t="s">
        <v>1106</v>
      </c>
      <c r="D577" s="8">
        <v>1.489326335547573E-5</v>
      </c>
      <c r="E577" s="6">
        <f t="shared" si="18"/>
        <v>0</v>
      </c>
      <c r="F577" s="8">
        <f t="shared" si="19"/>
        <v>0</v>
      </c>
    </row>
    <row r="578" spans="1:6" x14ac:dyDescent="0.2">
      <c r="A578">
        <v>7</v>
      </c>
      <c r="B578" t="s">
        <v>1104</v>
      </c>
      <c r="C578" t="s">
        <v>1071</v>
      </c>
      <c r="D578" s="8">
        <v>2.33274599924256E-6</v>
      </c>
      <c r="E578" s="6">
        <f t="shared" si="18"/>
        <v>-0.8</v>
      </c>
      <c r="F578" s="8">
        <f t="shared" si="19"/>
        <v>-1.8661967993940481E-6</v>
      </c>
    </row>
    <row r="579" spans="1:6" x14ac:dyDescent="0.2">
      <c r="A579">
        <v>7</v>
      </c>
      <c r="B579" t="s">
        <v>1104</v>
      </c>
      <c r="C579" t="s">
        <v>1072</v>
      </c>
      <c r="D579" s="8">
        <v>4.9940866210110499E-2</v>
      </c>
      <c r="E579" s="6">
        <f t="shared" si="18"/>
        <v>0.55599999999999983</v>
      </c>
      <c r="F579" s="8">
        <f t="shared" si="19"/>
        <v>2.7767121612821428E-2</v>
      </c>
    </row>
    <row r="580" spans="1:6" x14ac:dyDescent="0.2">
      <c r="A580">
        <v>7</v>
      </c>
      <c r="B580" t="s">
        <v>1104</v>
      </c>
      <c r="C580" t="s">
        <v>1073</v>
      </c>
      <c r="D580" s="8">
        <v>1.0768137330470001E-4</v>
      </c>
      <c r="E580" s="6">
        <f t="shared" si="18"/>
        <v>0.69200000000000017</v>
      </c>
      <c r="F580" s="8">
        <f t="shared" si="19"/>
        <v>7.4515510326852419E-5</v>
      </c>
    </row>
    <row r="581" spans="1:6" x14ac:dyDescent="0.2">
      <c r="A581">
        <v>7</v>
      </c>
      <c r="B581" t="s">
        <v>1104</v>
      </c>
      <c r="C581" t="s">
        <v>1107</v>
      </c>
      <c r="D581" s="8">
        <v>3.8255771972657848E-5</v>
      </c>
      <c r="E581" s="6">
        <f t="shared" si="18"/>
        <v>0</v>
      </c>
      <c r="F581" s="8">
        <f t="shared" si="19"/>
        <v>0</v>
      </c>
    </row>
    <row r="582" spans="1:6" x14ac:dyDescent="0.2">
      <c r="A582">
        <v>7</v>
      </c>
      <c r="B582" t="s">
        <v>1104</v>
      </c>
      <c r="C582" t="s">
        <v>1075</v>
      </c>
      <c r="D582" s="8">
        <v>1.5753090146732301E-2</v>
      </c>
      <c r="E582" s="6">
        <f t="shared" si="18"/>
        <v>3.0529999999999999</v>
      </c>
      <c r="F582" s="8">
        <f t="shared" si="19"/>
        <v>4.8094184217973714E-2</v>
      </c>
    </row>
    <row r="583" spans="1:6" x14ac:dyDescent="0.2">
      <c r="A583">
        <v>7</v>
      </c>
      <c r="B583" t="s">
        <v>1104</v>
      </c>
      <c r="C583" t="s">
        <v>1079</v>
      </c>
      <c r="D583" s="8">
        <v>4.8235210854099999E-4</v>
      </c>
      <c r="E583" s="6">
        <f t="shared" si="18"/>
        <v>-0.28899999999999992</v>
      </c>
      <c r="F583" s="8">
        <f t="shared" si="19"/>
        <v>-1.3939975936834895E-4</v>
      </c>
    </row>
    <row r="584" spans="1:6" x14ac:dyDescent="0.2">
      <c r="A584">
        <v>8</v>
      </c>
      <c r="B584" t="s">
        <v>1108</v>
      </c>
      <c r="C584" t="s">
        <v>906</v>
      </c>
      <c r="D584" s="8">
        <v>1.6976013008549999E-4</v>
      </c>
      <c r="E584" s="6">
        <f t="shared" si="18"/>
        <v>-1.8859999999999997</v>
      </c>
      <c r="F584" s="8">
        <f t="shared" si="19"/>
        <v>-3.2016760534125293E-4</v>
      </c>
    </row>
    <row r="585" spans="1:6" x14ac:dyDescent="0.2">
      <c r="A585">
        <v>8</v>
      </c>
      <c r="B585" t="s">
        <v>1108</v>
      </c>
      <c r="C585" t="s">
        <v>910</v>
      </c>
      <c r="D585" s="8">
        <v>7.3840884308618097E-5</v>
      </c>
      <c r="E585" s="6">
        <f t="shared" si="18"/>
        <v>-7.7999999999999847E-2</v>
      </c>
      <c r="F585" s="8">
        <f t="shared" si="19"/>
        <v>-5.7595889760721999E-6</v>
      </c>
    </row>
    <row r="586" spans="1:6" x14ac:dyDescent="0.2">
      <c r="A586">
        <v>8</v>
      </c>
      <c r="B586" t="s">
        <v>1108</v>
      </c>
      <c r="C586" t="s">
        <v>917</v>
      </c>
      <c r="D586" s="8">
        <v>2.5105497599808999E-2</v>
      </c>
      <c r="E586" s="6">
        <f t="shared" si="18"/>
        <v>-1.83</v>
      </c>
      <c r="F586" s="8">
        <f t="shared" si="19"/>
        <v>-4.5943060607650472E-2</v>
      </c>
    </row>
    <row r="587" spans="1:6" x14ac:dyDescent="0.2">
      <c r="A587">
        <v>8</v>
      </c>
      <c r="B587" t="s">
        <v>1108</v>
      </c>
      <c r="C587" t="s">
        <v>921</v>
      </c>
      <c r="D587" s="8">
        <v>3.0142441344598949E-6</v>
      </c>
      <c r="E587" s="6">
        <f t="shared" si="18"/>
        <v>-0.79999999999999982</v>
      </c>
      <c r="F587" s="8">
        <f t="shared" si="19"/>
        <v>-2.4113953075679156E-6</v>
      </c>
    </row>
    <row r="588" spans="1:6" x14ac:dyDescent="0.2">
      <c r="A588">
        <v>8</v>
      </c>
      <c r="B588" t="s">
        <v>1108</v>
      </c>
      <c r="C588" t="s">
        <v>926</v>
      </c>
      <c r="D588" s="8">
        <v>2.0080547948106002E-3</v>
      </c>
      <c r="E588" s="6">
        <f t="shared" si="18"/>
        <v>-4.8000000000000043E-2</v>
      </c>
      <c r="F588" s="8">
        <f t="shared" si="19"/>
        <v>-9.6386630150908893E-5</v>
      </c>
    </row>
    <row r="589" spans="1:6" x14ac:dyDescent="0.2">
      <c r="A589">
        <v>8</v>
      </c>
      <c r="B589" t="s">
        <v>1108</v>
      </c>
      <c r="C589" t="s">
        <v>931</v>
      </c>
      <c r="D589" s="8">
        <v>1.040839259923E-4</v>
      </c>
      <c r="E589" s="6">
        <f t="shared" si="18"/>
        <v>-0.31099999999999994</v>
      </c>
      <c r="F589" s="8">
        <f t="shared" si="19"/>
        <v>-3.2370100983605291E-5</v>
      </c>
    </row>
    <row r="590" spans="1:6" x14ac:dyDescent="0.2">
      <c r="A590">
        <v>8</v>
      </c>
      <c r="B590" t="s">
        <v>1108</v>
      </c>
      <c r="C590" t="s">
        <v>933</v>
      </c>
      <c r="D590" s="8">
        <v>0.34791752370429091</v>
      </c>
      <c r="E590" s="6">
        <f t="shared" si="18"/>
        <v>0.4430000000000005</v>
      </c>
      <c r="F590" s="8">
        <f t="shared" si="19"/>
        <v>0.15412746300100105</v>
      </c>
    </row>
    <row r="591" spans="1:6" x14ac:dyDescent="0.2">
      <c r="A591">
        <v>8</v>
      </c>
      <c r="B591" t="s">
        <v>1108</v>
      </c>
      <c r="C591" t="s">
        <v>957</v>
      </c>
      <c r="D591" s="8">
        <v>4.7075497961266518E-11</v>
      </c>
      <c r="E591" s="6">
        <f t="shared" si="18"/>
        <v>-0.11499999999999988</v>
      </c>
      <c r="F591" s="8">
        <f t="shared" si="19"/>
        <v>-5.413682265545644E-12</v>
      </c>
    </row>
    <row r="592" spans="1:6" x14ac:dyDescent="0.2">
      <c r="A592">
        <v>8</v>
      </c>
      <c r="B592" t="s">
        <v>1108</v>
      </c>
      <c r="C592" t="s">
        <v>969</v>
      </c>
      <c r="D592" s="8">
        <v>1.48336058074128E-2</v>
      </c>
      <c r="E592" s="6">
        <f t="shared" si="18"/>
        <v>0.53699999999999992</v>
      </c>
      <c r="F592" s="8">
        <f t="shared" si="19"/>
        <v>7.9656463185806721E-3</v>
      </c>
    </row>
    <row r="593" spans="1:6" x14ac:dyDescent="0.2">
      <c r="A593">
        <v>8</v>
      </c>
      <c r="B593" t="s">
        <v>1108</v>
      </c>
      <c r="C593" t="s">
        <v>971</v>
      </c>
      <c r="D593" s="8">
        <v>1.0108140080882001E-3</v>
      </c>
      <c r="E593" s="6">
        <f t="shared" si="18"/>
        <v>-0.13700000000000001</v>
      </c>
      <c r="F593" s="8">
        <f t="shared" si="19"/>
        <v>-1.3848151910808343E-4</v>
      </c>
    </row>
    <row r="594" spans="1:6" x14ac:dyDescent="0.2">
      <c r="A594">
        <v>8</v>
      </c>
      <c r="B594" t="s">
        <v>1108</v>
      </c>
      <c r="C594" t="s">
        <v>975</v>
      </c>
      <c r="D594" s="8">
        <v>0.1699291882258322</v>
      </c>
      <c r="E594" s="6">
        <f t="shared" si="18"/>
        <v>0.23500000000000032</v>
      </c>
      <c r="F594" s="8">
        <f t="shared" si="19"/>
        <v>3.993335923307062E-2</v>
      </c>
    </row>
    <row r="595" spans="1:6" x14ac:dyDescent="0.2">
      <c r="A595">
        <v>8</v>
      </c>
      <c r="B595" t="s">
        <v>1108</v>
      </c>
      <c r="C595" t="s">
        <v>981</v>
      </c>
      <c r="D595" s="8">
        <v>6.4949657498866E-3</v>
      </c>
      <c r="E595" s="6">
        <f t="shared" si="18"/>
        <v>-0.33499999999999996</v>
      </c>
      <c r="F595" s="8">
        <f t="shared" si="19"/>
        <v>-2.1758135262120106E-3</v>
      </c>
    </row>
    <row r="596" spans="1:6" x14ac:dyDescent="0.2">
      <c r="A596">
        <v>8</v>
      </c>
      <c r="B596" t="s">
        <v>1108</v>
      </c>
      <c r="C596" t="s">
        <v>984</v>
      </c>
      <c r="D596" s="8">
        <v>0.1111338558365417</v>
      </c>
      <c r="E596" s="6">
        <f t="shared" si="18"/>
        <v>0.121</v>
      </c>
      <c r="F596" s="8">
        <f t="shared" si="19"/>
        <v>1.3447196556221546E-2</v>
      </c>
    </row>
    <row r="597" spans="1:6" x14ac:dyDescent="0.2">
      <c r="A597">
        <v>8</v>
      </c>
      <c r="B597" t="s">
        <v>1108</v>
      </c>
      <c r="C597" t="s">
        <v>988</v>
      </c>
      <c r="D597" s="8">
        <v>9.0052876656341995E-3</v>
      </c>
      <c r="E597" s="6">
        <f t="shared" si="18"/>
        <v>0.59299999999999997</v>
      </c>
      <c r="F597" s="8">
        <f t="shared" si="19"/>
        <v>5.3401355857210803E-3</v>
      </c>
    </row>
    <row r="598" spans="1:6" x14ac:dyDescent="0.2">
      <c r="A598">
        <v>8</v>
      </c>
      <c r="B598" t="s">
        <v>1108</v>
      </c>
      <c r="C598" t="s">
        <v>990</v>
      </c>
      <c r="D598" s="8">
        <v>5.3433681761672E-2</v>
      </c>
      <c r="E598" s="6">
        <f t="shared" si="18"/>
        <v>0.45299999999999985</v>
      </c>
      <c r="F598" s="8">
        <f t="shared" si="19"/>
        <v>2.4205457838037406E-2</v>
      </c>
    </row>
    <row r="599" spans="1:6" x14ac:dyDescent="0.2">
      <c r="A599">
        <v>8</v>
      </c>
      <c r="B599" t="s">
        <v>1108</v>
      </c>
      <c r="C599" t="s">
        <v>992</v>
      </c>
      <c r="D599" s="8">
        <v>1.9254387081535989E-5</v>
      </c>
      <c r="E599" s="6">
        <f t="shared" si="18"/>
        <v>2.048</v>
      </c>
      <c r="F599" s="8">
        <f t="shared" si="19"/>
        <v>3.9432984742985707E-5</v>
      </c>
    </row>
    <row r="600" spans="1:6" x14ac:dyDescent="0.2">
      <c r="A600">
        <v>8</v>
      </c>
      <c r="B600" t="s">
        <v>1108</v>
      </c>
      <c r="C600" t="s">
        <v>1093</v>
      </c>
      <c r="D600" s="8">
        <v>2.7415651969559999E-4</v>
      </c>
      <c r="E600" s="6">
        <f t="shared" si="18"/>
        <v>0</v>
      </c>
      <c r="F600" s="8">
        <f t="shared" si="19"/>
        <v>0</v>
      </c>
    </row>
    <row r="601" spans="1:6" x14ac:dyDescent="0.2">
      <c r="A601">
        <v>8</v>
      </c>
      <c r="B601" t="s">
        <v>1108</v>
      </c>
      <c r="C601" t="s">
        <v>1014</v>
      </c>
      <c r="D601" s="8">
        <v>6.4629410875536197E-2</v>
      </c>
      <c r="E601" s="6">
        <f t="shared" si="18"/>
        <v>0.90000000000000036</v>
      </c>
      <c r="F601" s="8">
        <f t="shared" si="19"/>
        <v>5.8166469787982601E-2</v>
      </c>
    </row>
    <row r="602" spans="1:6" x14ac:dyDescent="0.2">
      <c r="A602">
        <v>8</v>
      </c>
      <c r="B602" t="s">
        <v>1108</v>
      </c>
      <c r="C602" t="s">
        <v>1019</v>
      </c>
      <c r="D602" s="8">
        <v>2.7740414061120001E-4</v>
      </c>
      <c r="E602" s="6">
        <f t="shared" si="18"/>
        <v>-0.21599999999999997</v>
      </c>
      <c r="F602" s="8">
        <f t="shared" si="19"/>
        <v>-5.9919294372019192E-5</v>
      </c>
    </row>
    <row r="603" spans="1:6" x14ac:dyDescent="0.2">
      <c r="A603">
        <v>8</v>
      </c>
      <c r="B603" t="s">
        <v>1108</v>
      </c>
      <c r="C603" t="s">
        <v>1023</v>
      </c>
      <c r="D603" s="8">
        <v>6.2399178409309997E-4</v>
      </c>
      <c r="E603" s="6">
        <f t="shared" si="18"/>
        <v>-0.62199999999999989</v>
      </c>
      <c r="F603" s="8">
        <f t="shared" si="19"/>
        <v>-3.8812288970590809E-4</v>
      </c>
    </row>
    <row r="604" spans="1:6" x14ac:dyDescent="0.2">
      <c r="A604">
        <v>8</v>
      </c>
      <c r="B604" t="s">
        <v>1108</v>
      </c>
      <c r="C604" t="s">
        <v>1025</v>
      </c>
      <c r="D604" s="8">
        <v>3.9218259107016004E-3</v>
      </c>
      <c r="E604" s="6">
        <f t="shared" si="18"/>
        <v>4.7000000000000153E-2</v>
      </c>
      <c r="F604" s="8">
        <f t="shared" si="19"/>
        <v>1.8432581780297581E-4</v>
      </c>
    </row>
    <row r="605" spans="1:6" x14ac:dyDescent="0.2">
      <c r="A605">
        <v>8</v>
      </c>
      <c r="B605" t="s">
        <v>1108</v>
      </c>
      <c r="C605" t="s">
        <v>1028</v>
      </c>
      <c r="D605" s="8">
        <v>7.9292392575190204E-2</v>
      </c>
      <c r="E605" s="6">
        <f t="shared" si="18"/>
        <v>-1.6600000000000001</v>
      </c>
      <c r="F605" s="8">
        <f t="shared" si="19"/>
        <v>-0.13162537167481575</v>
      </c>
    </row>
    <row r="606" spans="1:6" x14ac:dyDescent="0.2">
      <c r="A606">
        <v>8</v>
      </c>
      <c r="B606" t="s">
        <v>1108</v>
      </c>
      <c r="C606" t="s">
        <v>1030</v>
      </c>
      <c r="D606" s="8">
        <v>1.746223111236271E-5</v>
      </c>
      <c r="E606" s="6">
        <f t="shared" si="18"/>
        <v>0.29999999999999982</v>
      </c>
      <c r="F606" s="8">
        <f t="shared" si="19"/>
        <v>5.2386693337088098E-6</v>
      </c>
    </row>
    <row r="607" spans="1:6" x14ac:dyDescent="0.2">
      <c r="A607">
        <v>8</v>
      </c>
      <c r="B607" t="s">
        <v>1108</v>
      </c>
      <c r="C607" t="s">
        <v>1031</v>
      </c>
      <c r="D607" s="8">
        <v>1.0632880926151E-3</v>
      </c>
      <c r="E607" s="6">
        <f t="shared" si="18"/>
        <v>0.19899999999999984</v>
      </c>
      <c r="F607" s="8">
        <f t="shared" si="19"/>
        <v>2.1159433043040473E-4</v>
      </c>
    </row>
    <row r="608" spans="1:6" x14ac:dyDescent="0.2">
      <c r="A608">
        <v>8</v>
      </c>
      <c r="B608" t="s">
        <v>1108</v>
      </c>
      <c r="C608" t="s">
        <v>1036</v>
      </c>
      <c r="D608" s="8">
        <v>3.1496335231570002E-4</v>
      </c>
      <c r="E608" s="6">
        <f t="shared" si="18"/>
        <v>-2.0590000000000002</v>
      </c>
      <c r="F608" s="8">
        <f t="shared" si="19"/>
        <v>-6.4850954241802642E-4</v>
      </c>
    </row>
    <row r="609" spans="1:6" x14ac:dyDescent="0.2">
      <c r="A609">
        <v>8</v>
      </c>
      <c r="B609" t="s">
        <v>1108</v>
      </c>
      <c r="C609" t="s">
        <v>1094</v>
      </c>
      <c r="D609" s="8">
        <v>4.95233667835078E-2</v>
      </c>
      <c r="E609" s="6">
        <f t="shared" si="18"/>
        <v>0</v>
      </c>
      <c r="F609" s="8">
        <f t="shared" si="19"/>
        <v>0</v>
      </c>
    </row>
    <row r="610" spans="1:6" x14ac:dyDescent="0.2">
      <c r="A610">
        <v>8</v>
      </c>
      <c r="B610" t="s">
        <v>1108</v>
      </c>
      <c r="C610" t="s">
        <v>1042</v>
      </c>
      <c r="D610" s="8">
        <v>1.5815786708066001E-3</v>
      </c>
      <c r="E610" s="6">
        <f t="shared" si="18"/>
        <v>1.621</v>
      </c>
      <c r="F610" s="8">
        <f t="shared" si="19"/>
        <v>2.5637390253774989E-3</v>
      </c>
    </row>
    <row r="611" spans="1:6" x14ac:dyDescent="0.2">
      <c r="A611">
        <v>8</v>
      </c>
      <c r="B611" t="s">
        <v>1108</v>
      </c>
      <c r="C611" t="s">
        <v>1048</v>
      </c>
      <c r="D611" s="8">
        <v>5.2433139365019995E-4</v>
      </c>
      <c r="E611" s="6">
        <f t="shared" si="18"/>
        <v>-1.4340000000000002</v>
      </c>
      <c r="F611" s="8">
        <f t="shared" si="19"/>
        <v>-7.5189121849438684E-4</v>
      </c>
    </row>
    <row r="612" spans="1:6" x14ac:dyDescent="0.2">
      <c r="A612">
        <v>8</v>
      </c>
      <c r="B612" t="s">
        <v>1108</v>
      </c>
      <c r="C612" t="s">
        <v>1053</v>
      </c>
      <c r="D612" s="8">
        <v>5.9610996935879998E-4</v>
      </c>
      <c r="E612" s="6">
        <f t="shared" si="18"/>
        <v>-0.39999999999999991</v>
      </c>
      <c r="F612" s="8">
        <f t="shared" si="19"/>
        <v>-2.3844398774351994E-4</v>
      </c>
    </row>
    <row r="613" spans="1:6" x14ac:dyDescent="0.2">
      <c r="A613">
        <v>8</v>
      </c>
      <c r="B613" t="s">
        <v>1108</v>
      </c>
      <c r="C613" t="s">
        <v>1059</v>
      </c>
      <c r="D613" s="8">
        <v>2.0330122993127701E-2</v>
      </c>
      <c r="E613" s="6">
        <f t="shared" si="18"/>
        <v>-0.10000000000000009</v>
      </c>
      <c r="F613" s="8">
        <f t="shared" si="19"/>
        <v>-2.0330122993127719E-3</v>
      </c>
    </row>
    <row r="614" spans="1:6" x14ac:dyDescent="0.2">
      <c r="A614">
        <v>8</v>
      </c>
      <c r="B614" t="s">
        <v>1108</v>
      </c>
      <c r="C614" t="s">
        <v>1066</v>
      </c>
      <c r="D614" s="8">
        <v>2.8398028356870002E-4</v>
      </c>
      <c r="E614" s="6">
        <f t="shared" si="18"/>
        <v>0.20900000000000007</v>
      </c>
      <c r="F614" s="8">
        <f t="shared" si="19"/>
        <v>5.9351879265858325E-5</v>
      </c>
    </row>
    <row r="615" spans="1:6" x14ac:dyDescent="0.2">
      <c r="A615">
        <v>8</v>
      </c>
      <c r="B615" t="s">
        <v>1108</v>
      </c>
      <c r="C615" t="s">
        <v>1075</v>
      </c>
      <c r="D615" s="8">
        <v>3.5503185651451802E-2</v>
      </c>
      <c r="E615" s="6">
        <f t="shared" si="18"/>
        <v>3.0529999999999999</v>
      </c>
      <c r="F615" s="8">
        <f t="shared" si="19"/>
        <v>0.10839122579388234</v>
      </c>
    </row>
    <row r="616" spans="1:6" x14ac:dyDescent="0.2">
      <c r="A616">
        <v>9</v>
      </c>
      <c r="B616" t="s">
        <v>1109</v>
      </c>
      <c r="C616" t="s">
        <v>906</v>
      </c>
      <c r="D616" s="8">
        <v>1.276486135761417E-8</v>
      </c>
      <c r="E616" s="6">
        <f t="shared" si="18"/>
        <v>-1.8859999999999997</v>
      </c>
      <c r="F616" s="8">
        <f t="shared" si="19"/>
        <v>-2.4074528520460318E-8</v>
      </c>
    </row>
    <row r="617" spans="1:6" x14ac:dyDescent="0.2">
      <c r="A617">
        <v>9</v>
      </c>
      <c r="B617" t="s">
        <v>1109</v>
      </c>
      <c r="C617" t="s">
        <v>910</v>
      </c>
      <c r="D617" s="8">
        <v>5.1763353498132996E-3</v>
      </c>
      <c r="E617" s="6">
        <f t="shared" si="18"/>
        <v>-7.7999999999999847E-2</v>
      </c>
      <c r="F617" s="8">
        <f t="shared" si="19"/>
        <v>-4.0375415728543656E-4</v>
      </c>
    </row>
    <row r="618" spans="1:6" x14ac:dyDescent="0.2">
      <c r="A618">
        <v>9</v>
      </c>
      <c r="B618" t="s">
        <v>1109</v>
      </c>
      <c r="C618" t="s">
        <v>933</v>
      </c>
      <c r="D618" s="8">
        <v>1.6043491266674901E-2</v>
      </c>
      <c r="E618" s="6">
        <f t="shared" si="18"/>
        <v>0.4430000000000005</v>
      </c>
      <c r="F618" s="8">
        <f t="shared" si="19"/>
        <v>7.1072666311369891E-3</v>
      </c>
    </row>
    <row r="619" spans="1:6" x14ac:dyDescent="0.2">
      <c r="A619">
        <v>9</v>
      </c>
      <c r="B619" t="s">
        <v>1109</v>
      </c>
      <c r="C619" t="s">
        <v>984</v>
      </c>
      <c r="D619" s="8">
        <v>3.9392857410900102E-2</v>
      </c>
      <c r="E619" s="6">
        <f t="shared" si="18"/>
        <v>0.121</v>
      </c>
      <c r="F619" s="8">
        <f t="shared" si="19"/>
        <v>4.7665357467189121E-3</v>
      </c>
    </row>
    <row r="620" spans="1:6" x14ac:dyDescent="0.2">
      <c r="A620">
        <v>9</v>
      </c>
      <c r="B620" t="s">
        <v>1109</v>
      </c>
      <c r="C620" t="s">
        <v>990</v>
      </c>
      <c r="D620" s="8">
        <v>1.41656810341625E-2</v>
      </c>
      <c r="E620" s="6">
        <f t="shared" si="18"/>
        <v>0.45299999999999985</v>
      </c>
      <c r="F620" s="8">
        <f t="shared" si="19"/>
        <v>6.4170535084756104E-3</v>
      </c>
    </row>
    <row r="621" spans="1:6" x14ac:dyDescent="0.2">
      <c r="A621">
        <v>9</v>
      </c>
      <c r="B621" t="s">
        <v>1109</v>
      </c>
      <c r="C621" t="s">
        <v>1014</v>
      </c>
      <c r="D621" s="8">
        <v>4.0534104961839996E-3</v>
      </c>
      <c r="E621" s="6">
        <f t="shared" si="18"/>
        <v>0.90000000000000036</v>
      </c>
      <c r="F621" s="8">
        <f t="shared" si="19"/>
        <v>3.6480694465656012E-3</v>
      </c>
    </row>
    <row r="622" spans="1:6" x14ac:dyDescent="0.2">
      <c r="A622">
        <v>9</v>
      </c>
      <c r="B622" t="s">
        <v>1109</v>
      </c>
      <c r="C622" t="s">
        <v>1042</v>
      </c>
      <c r="D622" s="8">
        <v>0.57800606091479745</v>
      </c>
      <c r="E622" s="6">
        <f t="shared" si="18"/>
        <v>1.621</v>
      </c>
      <c r="F622" s="8">
        <f t="shared" si="19"/>
        <v>0.93694782474288663</v>
      </c>
    </row>
    <row r="623" spans="1:6" x14ac:dyDescent="0.2">
      <c r="A623">
        <v>9</v>
      </c>
      <c r="B623" t="s">
        <v>1109</v>
      </c>
      <c r="C623" t="s">
        <v>1059</v>
      </c>
      <c r="D623" s="8">
        <v>0.34038776270099319</v>
      </c>
      <c r="E623" s="6">
        <f t="shared" si="18"/>
        <v>-0.10000000000000009</v>
      </c>
      <c r="F623" s="8">
        <f t="shared" si="19"/>
        <v>-3.4038776270099352E-2</v>
      </c>
    </row>
    <row r="624" spans="1:6" x14ac:dyDescent="0.2">
      <c r="A624">
        <v>9</v>
      </c>
      <c r="B624" t="s">
        <v>1109</v>
      </c>
      <c r="C624" t="s">
        <v>1062</v>
      </c>
      <c r="D624" s="8">
        <v>4.8506473158933847E-8</v>
      </c>
      <c r="E624" s="6">
        <f t="shared" si="18"/>
        <v>0.89999999999999947</v>
      </c>
      <c r="F624" s="8">
        <f t="shared" si="19"/>
        <v>4.3655825843040435E-8</v>
      </c>
    </row>
    <row r="625" spans="1:6" x14ac:dyDescent="0.2">
      <c r="A625">
        <v>9</v>
      </c>
      <c r="B625" t="s">
        <v>1109</v>
      </c>
      <c r="C625" t="s">
        <v>1075</v>
      </c>
      <c r="D625" s="8">
        <v>2.7743395551397998E-3</v>
      </c>
      <c r="E625" s="6">
        <f t="shared" si="18"/>
        <v>3.0529999999999999</v>
      </c>
      <c r="F625" s="8">
        <f t="shared" si="19"/>
        <v>8.4700586618418078E-3</v>
      </c>
    </row>
    <row r="626" spans="1:6" x14ac:dyDescent="0.2">
      <c r="A626">
        <v>10</v>
      </c>
      <c r="B626" t="s">
        <v>1110</v>
      </c>
      <c r="C626" t="s">
        <v>906</v>
      </c>
      <c r="D626" s="8">
        <v>4.5589324861500003E-4</v>
      </c>
      <c r="E626" s="6">
        <f t="shared" si="18"/>
        <v>-1.8859999999999997</v>
      </c>
      <c r="F626" s="8">
        <f t="shared" si="19"/>
        <v>-8.5981466688788994E-4</v>
      </c>
    </row>
    <row r="627" spans="1:6" x14ac:dyDescent="0.2">
      <c r="A627">
        <v>10</v>
      </c>
      <c r="B627" t="s">
        <v>1110</v>
      </c>
      <c r="C627" t="s">
        <v>907</v>
      </c>
      <c r="D627" s="8">
        <v>6.2525905823032302E-6</v>
      </c>
      <c r="E627" s="6">
        <f t="shared" si="18"/>
        <v>-1.0199999999999996</v>
      </c>
      <c r="F627" s="8">
        <f t="shared" si="19"/>
        <v>-6.3776423939492924E-6</v>
      </c>
    </row>
    <row r="628" spans="1:6" x14ac:dyDescent="0.2">
      <c r="A628">
        <v>10</v>
      </c>
      <c r="B628" t="s">
        <v>1110</v>
      </c>
      <c r="C628" t="s">
        <v>910</v>
      </c>
      <c r="D628" s="8">
        <v>3.3187020137961041E-5</v>
      </c>
      <c r="E628" s="6">
        <f t="shared" si="18"/>
        <v>-7.7999999999999847E-2</v>
      </c>
      <c r="F628" s="8">
        <f t="shared" si="19"/>
        <v>-2.5885875707609563E-6</v>
      </c>
    </row>
    <row r="629" spans="1:6" x14ac:dyDescent="0.2">
      <c r="A629">
        <v>10</v>
      </c>
      <c r="B629" t="s">
        <v>1110</v>
      </c>
      <c r="C629" t="s">
        <v>914</v>
      </c>
      <c r="D629" s="8">
        <v>1.265689874752954E-6</v>
      </c>
      <c r="E629" s="6">
        <f t="shared" si="18"/>
        <v>-0.26900000000000002</v>
      </c>
      <c r="F629" s="8">
        <f t="shared" si="19"/>
        <v>-3.4047057630854462E-7</v>
      </c>
    </row>
    <row r="630" spans="1:6" x14ac:dyDescent="0.2">
      <c r="A630">
        <v>10</v>
      </c>
      <c r="B630" t="s">
        <v>1110</v>
      </c>
      <c r="C630" t="s">
        <v>917</v>
      </c>
      <c r="D630" s="8">
        <v>1.7360732172209999E-4</v>
      </c>
      <c r="E630" s="6">
        <f t="shared" si="18"/>
        <v>-1.83</v>
      </c>
      <c r="F630" s="8">
        <f t="shared" si="19"/>
        <v>-3.1770139875144298E-4</v>
      </c>
    </row>
    <row r="631" spans="1:6" x14ac:dyDescent="0.2">
      <c r="A631">
        <v>10</v>
      </c>
      <c r="B631" t="s">
        <v>1110</v>
      </c>
      <c r="C631" t="s">
        <v>918</v>
      </c>
      <c r="D631" s="8">
        <v>4.2202205539833101E-2</v>
      </c>
      <c r="E631" s="6">
        <f t="shared" si="18"/>
        <v>0.1469999999999998</v>
      </c>
      <c r="F631" s="8">
        <f t="shared" si="19"/>
        <v>6.2037242143554577E-3</v>
      </c>
    </row>
    <row r="632" spans="1:6" x14ac:dyDescent="0.2">
      <c r="A632">
        <v>10</v>
      </c>
      <c r="B632" t="s">
        <v>1110</v>
      </c>
      <c r="C632" t="s">
        <v>919</v>
      </c>
      <c r="D632" s="8">
        <v>1.764630563049994E-6</v>
      </c>
      <c r="E632" s="6">
        <f t="shared" si="18"/>
        <v>-3.4940000000000002</v>
      </c>
      <c r="F632" s="8">
        <f t="shared" si="19"/>
        <v>-6.1656191872966794E-6</v>
      </c>
    </row>
    <row r="633" spans="1:6" x14ac:dyDescent="0.2">
      <c r="A633">
        <v>10</v>
      </c>
      <c r="B633" t="s">
        <v>1110</v>
      </c>
      <c r="C633" t="s">
        <v>924</v>
      </c>
      <c r="D633" s="8">
        <v>1.2851259270922111E-5</v>
      </c>
      <c r="E633" s="6">
        <f t="shared" si="18"/>
        <v>-8.4000000000000075E-2</v>
      </c>
      <c r="F633" s="8">
        <f t="shared" si="19"/>
        <v>-1.0795057787574581E-6</v>
      </c>
    </row>
    <row r="634" spans="1:6" x14ac:dyDescent="0.2">
      <c r="A634">
        <v>10</v>
      </c>
      <c r="B634" t="s">
        <v>1110</v>
      </c>
      <c r="C634" t="s">
        <v>925</v>
      </c>
      <c r="D634" s="8">
        <v>1.6271161067113131E-7</v>
      </c>
      <c r="E634" s="6">
        <f t="shared" si="18"/>
        <v>0.20000000000000018</v>
      </c>
      <c r="F634" s="8">
        <f t="shared" si="19"/>
        <v>3.2542322134226292E-8</v>
      </c>
    </row>
    <row r="635" spans="1:6" x14ac:dyDescent="0.2">
      <c r="A635">
        <v>10</v>
      </c>
      <c r="B635" t="s">
        <v>1110</v>
      </c>
      <c r="C635" t="s">
        <v>926</v>
      </c>
      <c r="D635" s="8">
        <v>5.3137029271519674E-7</v>
      </c>
      <c r="E635" s="6">
        <f t="shared" si="18"/>
        <v>-4.8000000000000043E-2</v>
      </c>
      <c r="F635" s="8">
        <f t="shared" si="19"/>
        <v>-2.5505774050329468E-8</v>
      </c>
    </row>
    <row r="636" spans="1:6" x14ac:dyDescent="0.2">
      <c r="A636">
        <v>10</v>
      </c>
      <c r="B636" t="s">
        <v>1110</v>
      </c>
      <c r="C636" t="s">
        <v>930</v>
      </c>
      <c r="D636" s="8">
        <v>1.1366667425404351E-6</v>
      </c>
      <c r="E636" s="6">
        <f t="shared" si="18"/>
        <v>-5.8000000000000052E-2</v>
      </c>
      <c r="F636" s="8">
        <f t="shared" si="19"/>
        <v>-6.592667106734529E-8</v>
      </c>
    </row>
    <row r="637" spans="1:6" x14ac:dyDescent="0.2">
      <c r="A637">
        <v>10</v>
      </c>
      <c r="B637" t="s">
        <v>1110</v>
      </c>
      <c r="C637" t="s">
        <v>931</v>
      </c>
      <c r="D637" s="8">
        <v>1.1572660787420441E-10</v>
      </c>
      <c r="E637" s="6">
        <f t="shared" si="18"/>
        <v>-0.31099999999999994</v>
      </c>
      <c r="F637" s="8">
        <f t="shared" si="19"/>
        <v>-3.5990975048877563E-11</v>
      </c>
    </row>
    <row r="638" spans="1:6" x14ac:dyDescent="0.2">
      <c r="A638">
        <v>10</v>
      </c>
      <c r="B638" t="s">
        <v>1110</v>
      </c>
      <c r="C638" t="s">
        <v>932</v>
      </c>
      <c r="D638" s="8">
        <v>6.6656153740080276E-6</v>
      </c>
      <c r="E638" s="6">
        <f t="shared" ref="E638:E701" si="20">IFERROR(VLOOKUP(C638,$A$6:$D$185,4,FALSE),0)</f>
        <v>0.21799999999999997</v>
      </c>
      <c r="F638" s="8">
        <f t="shared" ref="F638:F701" si="21">D638*E638</f>
        <v>1.4531041515337498E-6</v>
      </c>
    </row>
    <row r="639" spans="1:6" x14ac:dyDescent="0.2">
      <c r="A639">
        <v>10</v>
      </c>
      <c r="B639" t="s">
        <v>1110</v>
      </c>
      <c r="C639" t="s">
        <v>933</v>
      </c>
      <c r="D639" s="8">
        <v>0.23275427182069069</v>
      </c>
      <c r="E639" s="6">
        <f t="shared" si="20"/>
        <v>0.4430000000000005</v>
      </c>
      <c r="F639" s="8">
        <f t="shared" si="21"/>
        <v>0.10311014241656609</v>
      </c>
    </row>
    <row r="640" spans="1:6" x14ac:dyDescent="0.2">
      <c r="A640">
        <v>10</v>
      </c>
      <c r="B640" t="s">
        <v>1110</v>
      </c>
      <c r="C640" t="s">
        <v>938</v>
      </c>
      <c r="D640" s="8">
        <v>3.3642882175109948E-8</v>
      </c>
      <c r="E640" s="6">
        <f t="shared" si="20"/>
        <v>-0.32500000000000018</v>
      </c>
      <c r="F640" s="8">
        <f t="shared" si="21"/>
        <v>-1.0933936706910739E-8</v>
      </c>
    </row>
    <row r="641" spans="1:6" x14ac:dyDescent="0.2">
      <c r="A641">
        <v>10</v>
      </c>
      <c r="B641" t="s">
        <v>1110</v>
      </c>
      <c r="C641" t="s">
        <v>941</v>
      </c>
      <c r="D641" s="8">
        <v>1.4122036950263641E-6</v>
      </c>
      <c r="E641" s="6">
        <f t="shared" si="20"/>
        <v>0.16599999999999993</v>
      </c>
      <c r="F641" s="8">
        <f t="shared" si="21"/>
        <v>2.3442581337437633E-7</v>
      </c>
    </row>
    <row r="642" spans="1:6" x14ac:dyDescent="0.2">
      <c r="A642">
        <v>10</v>
      </c>
      <c r="B642" t="s">
        <v>1110</v>
      </c>
      <c r="C642" t="s">
        <v>1111</v>
      </c>
      <c r="D642" s="8">
        <v>4.6401856419848862E-8</v>
      </c>
      <c r="E642" s="6">
        <f t="shared" si="20"/>
        <v>0</v>
      </c>
      <c r="F642" s="8">
        <f t="shared" si="21"/>
        <v>0</v>
      </c>
    </row>
    <row r="643" spans="1:6" x14ac:dyDescent="0.2">
      <c r="A643">
        <v>10</v>
      </c>
      <c r="B643" t="s">
        <v>1110</v>
      </c>
      <c r="C643" t="s">
        <v>944</v>
      </c>
      <c r="D643" s="8">
        <v>6.1769049669614398E-2</v>
      </c>
      <c r="E643" s="6">
        <f t="shared" si="20"/>
        <v>-0.122</v>
      </c>
      <c r="F643" s="8">
        <f t="shared" si="21"/>
        <v>-7.5358240596929563E-3</v>
      </c>
    </row>
    <row r="644" spans="1:6" x14ac:dyDescent="0.2">
      <c r="A644">
        <v>10</v>
      </c>
      <c r="B644" t="s">
        <v>1110</v>
      </c>
      <c r="C644" t="s">
        <v>947</v>
      </c>
      <c r="D644" s="8">
        <v>1.7706171004753269E-7</v>
      </c>
      <c r="E644" s="6">
        <f t="shared" si="20"/>
        <v>0.15500000000000003</v>
      </c>
      <c r="F644" s="8">
        <f t="shared" si="21"/>
        <v>2.7444565057367572E-8</v>
      </c>
    </row>
    <row r="645" spans="1:6" x14ac:dyDescent="0.2">
      <c r="A645">
        <v>10</v>
      </c>
      <c r="B645" t="s">
        <v>1110</v>
      </c>
      <c r="C645" t="s">
        <v>950</v>
      </c>
      <c r="D645" s="8">
        <v>5.941172595045903E-6</v>
      </c>
      <c r="E645" s="6">
        <f t="shared" si="20"/>
        <v>0.38300000000000001</v>
      </c>
      <c r="F645" s="8">
        <f t="shared" si="21"/>
        <v>2.2754691039025808E-6</v>
      </c>
    </row>
    <row r="646" spans="1:6" x14ac:dyDescent="0.2">
      <c r="A646">
        <v>10</v>
      </c>
      <c r="B646" t="s">
        <v>1110</v>
      </c>
      <c r="C646" t="s">
        <v>951</v>
      </c>
      <c r="D646" s="8">
        <v>2.7520944618564541E-6</v>
      </c>
      <c r="E646" s="6">
        <f t="shared" si="20"/>
        <v>-8.8000000000000078E-2</v>
      </c>
      <c r="F646" s="8">
        <f t="shared" si="21"/>
        <v>-2.4218431264336815E-7</v>
      </c>
    </row>
    <row r="647" spans="1:6" x14ac:dyDescent="0.2">
      <c r="A647">
        <v>10</v>
      </c>
      <c r="B647" t="s">
        <v>1110</v>
      </c>
      <c r="C647" t="s">
        <v>952</v>
      </c>
      <c r="D647" s="8">
        <v>7.46175797444356E-2</v>
      </c>
      <c r="E647" s="6">
        <f t="shared" si="20"/>
        <v>0.28300000000000014</v>
      </c>
      <c r="F647" s="8">
        <f t="shared" si="21"/>
        <v>2.1116775067675286E-2</v>
      </c>
    </row>
    <row r="648" spans="1:6" x14ac:dyDescent="0.2">
      <c r="A648">
        <v>10</v>
      </c>
      <c r="B648" t="s">
        <v>1110</v>
      </c>
      <c r="C648" t="s">
        <v>953</v>
      </c>
      <c r="D648" s="8">
        <v>5.0410510390003433E-8</v>
      </c>
      <c r="E648" s="6">
        <f t="shared" si="20"/>
        <v>-0.42500000000000004</v>
      </c>
      <c r="F648" s="8">
        <f t="shared" si="21"/>
        <v>-2.142446691575146E-8</v>
      </c>
    </row>
    <row r="649" spans="1:6" x14ac:dyDescent="0.2">
      <c r="A649">
        <v>10</v>
      </c>
      <c r="B649" t="s">
        <v>1110</v>
      </c>
      <c r="C649" t="s">
        <v>956</v>
      </c>
      <c r="D649" s="8">
        <v>5.3497749108263573E-7</v>
      </c>
      <c r="E649" s="6">
        <f t="shared" si="20"/>
        <v>-0.44700000000000006</v>
      </c>
      <c r="F649" s="8">
        <f t="shared" si="21"/>
        <v>-2.3913493851393821E-7</v>
      </c>
    </row>
    <row r="650" spans="1:6" x14ac:dyDescent="0.2">
      <c r="A650">
        <v>10</v>
      </c>
      <c r="B650" t="s">
        <v>1110</v>
      </c>
      <c r="C650" t="s">
        <v>957</v>
      </c>
      <c r="D650" s="8">
        <v>1.571313545323E-4</v>
      </c>
      <c r="E650" s="6">
        <f t="shared" si="20"/>
        <v>-0.11499999999999988</v>
      </c>
      <c r="F650" s="8">
        <f t="shared" si="21"/>
        <v>-1.8070105771214481E-5</v>
      </c>
    </row>
    <row r="651" spans="1:6" x14ac:dyDescent="0.2">
      <c r="A651">
        <v>10</v>
      </c>
      <c r="B651" t="s">
        <v>1110</v>
      </c>
      <c r="C651" t="s">
        <v>959</v>
      </c>
      <c r="D651" s="8">
        <v>6.6023227562625076E-5</v>
      </c>
      <c r="E651" s="6">
        <f t="shared" si="20"/>
        <v>-0.60699999999999998</v>
      </c>
      <c r="F651" s="8">
        <f t="shared" si="21"/>
        <v>-4.0076099130513423E-5</v>
      </c>
    </row>
    <row r="652" spans="1:6" x14ac:dyDescent="0.2">
      <c r="A652">
        <v>10</v>
      </c>
      <c r="B652" t="s">
        <v>1110</v>
      </c>
      <c r="C652" t="s">
        <v>961</v>
      </c>
      <c r="D652" s="8">
        <v>7.6790159201712555E-6</v>
      </c>
      <c r="E652" s="6">
        <f t="shared" si="20"/>
        <v>6.9999999999996732E-3</v>
      </c>
      <c r="F652" s="8">
        <f t="shared" si="21"/>
        <v>5.3753111441196279E-8</v>
      </c>
    </row>
    <row r="653" spans="1:6" x14ac:dyDescent="0.2">
      <c r="A653">
        <v>10</v>
      </c>
      <c r="B653" t="s">
        <v>1110</v>
      </c>
      <c r="C653" t="s">
        <v>965</v>
      </c>
      <c r="D653" s="8">
        <v>2.742615989765125E-6</v>
      </c>
      <c r="E653" s="6">
        <f t="shared" si="20"/>
        <v>4.5000000000000151E-2</v>
      </c>
      <c r="F653" s="8">
        <f t="shared" si="21"/>
        <v>1.2341771953943104E-7</v>
      </c>
    </row>
    <row r="654" spans="1:6" x14ac:dyDescent="0.2">
      <c r="A654">
        <v>10</v>
      </c>
      <c r="B654" t="s">
        <v>1110</v>
      </c>
      <c r="C654" t="s">
        <v>969</v>
      </c>
      <c r="D654" s="8">
        <v>2.202277347846109E-6</v>
      </c>
      <c r="E654" s="6">
        <f t="shared" si="20"/>
        <v>0.53699999999999992</v>
      </c>
      <c r="F654" s="8">
        <f t="shared" si="21"/>
        <v>1.1826229357933603E-6</v>
      </c>
    </row>
    <row r="655" spans="1:6" x14ac:dyDescent="0.2">
      <c r="A655">
        <v>10</v>
      </c>
      <c r="B655" t="s">
        <v>1110</v>
      </c>
      <c r="C655" t="s">
        <v>973</v>
      </c>
      <c r="D655" s="8">
        <v>1.6664631533885431E-8</v>
      </c>
      <c r="E655" s="6">
        <f t="shared" si="20"/>
        <v>-0.84999999999999987</v>
      </c>
      <c r="F655" s="8">
        <f t="shared" si="21"/>
        <v>-1.4164936803802615E-8</v>
      </c>
    </row>
    <row r="656" spans="1:6" x14ac:dyDescent="0.2">
      <c r="A656">
        <v>10</v>
      </c>
      <c r="B656" t="s">
        <v>1110</v>
      </c>
      <c r="C656" t="s">
        <v>975</v>
      </c>
      <c r="D656" s="8">
        <v>0.11422141884928171</v>
      </c>
      <c r="E656" s="6">
        <f t="shared" si="20"/>
        <v>0.23500000000000032</v>
      </c>
      <c r="F656" s="8">
        <f t="shared" si="21"/>
        <v>2.6842033429581236E-2</v>
      </c>
    </row>
    <row r="657" spans="1:6" x14ac:dyDescent="0.2">
      <c r="A657">
        <v>10</v>
      </c>
      <c r="B657" t="s">
        <v>1110</v>
      </c>
      <c r="C657" t="s">
        <v>976</v>
      </c>
      <c r="D657" s="8">
        <v>4.8842414853307943E-7</v>
      </c>
      <c r="E657" s="6">
        <f t="shared" si="20"/>
        <v>0.38700000000000001</v>
      </c>
      <c r="F657" s="8">
        <f t="shared" si="21"/>
        <v>1.8902014548230176E-7</v>
      </c>
    </row>
    <row r="658" spans="1:6" x14ac:dyDescent="0.2">
      <c r="A658">
        <v>10</v>
      </c>
      <c r="B658" t="s">
        <v>1110</v>
      </c>
      <c r="C658" t="s">
        <v>977</v>
      </c>
      <c r="D658" s="8">
        <v>2.5009792954302179E-5</v>
      </c>
      <c r="E658" s="6">
        <f t="shared" si="20"/>
        <v>-7.2039999999999997</v>
      </c>
      <c r="F658" s="8">
        <f t="shared" si="21"/>
        <v>-1.8017054844279289E-4</v>
      </c>
    </row>
    <row r="659" spans="1:6" x14ac:dyDescent="0.2">
      <c r="A659">
        <v>10</v>
      </c>
      <c r="B659" t="s">
        <v>1110</v>
      </c>
      <c r="C659" t="s">
        <v>979</v>
      </c>
      <c r="D659" s="8">
        <v>1.7159941415587022E-8</v>
      </c>
      <c r="E659" s="6">
        <f t="shared" si="20"/>
        <v>-0.5</v>
      </c>
      <c r="F659" s="8">
        <f t="shared" si="21"/>
        <v>-8.5799707077935108E-9</v>
      </c>
    </row>
    <row r="660" spans="1:6" x14ac:dyDescent="0.2">
      <c r="A660">
        <v>10</v>
      </c>
      <c r="B660" t="s">
        <v>1110</v>
      </c>
      <c r="C660" t="s">
        <v>981</v>
      </c>
      <c r="D660" s="8">
        <v>2.1216853381225131E-6</v>
      </c>
      <c r="E660" s="6">
        <f t="shared" si="20"/>
        <v>-0.33499999999999996</v>
      </c>
      <c r="F660" s="8">
        <f t="shared" si="21"/>
        <v>-7.1076458827104177E-7</v>
      </c>
    </row>
    <row r="661" spans="1:6" x14ac:dyDescent="0.2">
      <c r="A661">
        <v>10</v>
      </c>
      <c r="B661" t="s">
        <v>1110</v>
      </c>
      <c r="C661" t="s">
        <v>984</v>
      </c>
      <c r="D661" s="8">
        <v>0.2188694660957104</v>
      </c>
      <c r="E661" s="6">
        <f t="shared" si="20"/>
        <v>0.121</v>
      </c>
      <c r="F661" s="8">
        <f t="shared" si="21"/>
        <v>2.6483205397580957E-2</v>
      </c>
    </row>
    <row r="662" spans="1:6" x14ac:dyDescent="0.2">
      <c r="A662">
        <v>10</v>
      </c>
      <c r="B662" t="s">
        <v>1110</v>
      </c>
      <c r="C662" t="s">
        <v>986</v>
      </c>
      <c r="D662" s="8">
        <v>3.9965952576140727E-6</v>
      </c>
      <c r="E662" s="6">
        <f t="shared" si="20"/>
        <v>-0.38900000000000023</v>
      </c>
      <c r="F662" s="8">
        <f t="shared" si="21"/>
        <v>-1.5546755552118752E-6</v>
      </c>
    </row>
    <row r="663" spans="1:6" x14ac:dyDescent="0.2">
      <c r="A663">
        <v>10</v>
      </c>
      <c r="B663" t="s">
        <v>1110</v>
      </c>
      <c r="C663" t="s">
        <v>988</v>
      </c>
      <c r="D663" s="8">
        <v>4.3432948158140082E-5</v>
      </c>
      <c r="E663" s="6">
        <f t="shared" si="20"/>
        <v>0.59299999999999997</v>
      </c>
      <c r="F663" s="8">
        <f t="shared" si="21"/>
        <v>2.5755738257777068E-5</v>
      </c>
    </row>
    <row r="664" spans="1:6" x14ac:dyDescent="0.2">
      <c r="A664">
        <v>10</v>
      </c>
      <c r="B664" t="s">
        <v>1110</v>
      </c>
      <c r="C664" t="s">
        <v>990</v>
      </c>
      <c r="D664" s="8">
        <v>0.14604432101973319</v>
      </c>
      <c r="E664" s="6">
        <f t="shared" si="20"/>
        <v>0.45299999999999985</v>
      </c>
      <c r="F664" s="8">
        <f t="shared" si="21"/>
        <v>6.6158077421939118E-2</v>
      </c>
    </row>
    <row r="665" spans="1:6" x14ac:dyDescent="0.2">
      <c r="A665">
        <v>10</v>
      </c>
      <c r="B665" t="s">
        <v>1110</v>
      </c>
      <c r="C665" t="s">
        <v>991</v>
      </c>
      <c r="D665" s="8">
        <v>5.1614067111895144E-7</v>
      </c>
      <c r="E665" s="6">
        <f t="shared" si="20"/>
        <v>-3.7290000000000001</v>
      </c>
      <c r="F665" s="8">
        <f t="shared" si="21"/>
        <v>-1.9246885626025701E-6</v>
      </c>
    </row>
    <row r="666" spans="1:6" x14ac:dyDescent="0.2">
      <c r="A666">
        <v>10</v>
      </c>
      <c r="B666" t="s">
        <v>1110</v>
      </c>
      <c r="C666" t="s">
        <v>1093</v>
      </c>
      <c r="D666" s="8">
        <v>1.9976148418205788E-5</v>
      </c>
      <c r="E666" s="6">
        <f t="shared" si="20"/>
        <v>0</v>
      </c>
      <c r="F666" s="8">
        <f t="shared" si="21"/>
        <v>0</v>
      </c>
    </row>
    <row r="667" spans="1:6" x14ac:dyDescent="0.2">
      <c r="A667">
        <v>10</v>
      </c>
      <c r="B667" t="s">
        <v>1110</v>
      </c>
      <c r="C667" t="s">
        <v>996</v>
      </c>
      <c r="D667" s="8">
        <v>5.1787657023706449E-7</v>
      </c>
      <c r="E667" s="6">
        <f t="shared" si="20"/>
        <v>0.44099999999999984</v>
      </c>
      <c r="F667" s="8">
        <f t="shared" si="21"/>
        <v>2.2838356747454534E-7</v>
      </c>
    </row>
    <row r="668" spans="1:6" x14ac:dyDescent="0.2">
      <c r="A668">
        <v>10</v>
      </c>
      <c r="B668" t="s">
        <v>1110</v>
      </c>
      <c r="C668" t="s">
        <v>998</v>
      </c>
      <c r="D668" s="8">
        <v>4.9586536941939081E-5</v>
      </c>
      <c r="E668" s="6">
        <f t="shared" si="20"/>
        <v>-0.28200000000000003</v>
      </c>
      <c r="F668" s="8">
        <f t="shared" si="21"/>
        <v>-1.3983403417626822E-5</v>
      </c>
    </row>
    <row r="669" spans="1:6" x14ac:dyDescent="0.2">
      <c r="A669">
        <v>10</v>
      </c>
      <c r="B669" t="s">
        <v>1110</v>
      </c>
      <c r="C669" t="s">
        <v>1002</v>
      </c>
      <c r="D669" s="8">
        <v>4.0564490592066108E-6</v>
      </c>
      <c r="E669" s="6">
        <f t="shared" si="20"/>
        <v>-1.3390000000000004</v>
      </c>
      <c r="F669" s="8">
        <f t="shared" si="21"/>
        <v>-5.4315852902776536E-6</v>
      </c>
    </row>
    <row r="670" spans="1:6" x14ac:dyDescent="0.2">
      <c r="A670">
        <v>10</v>
      </c>
      <c r="B670" t="s">
        <v>1110</v>
      </c>
      <c r="C670" t="s">
        <v>1003</v>
      </c>
      <c r="D670" s="8">
        <v>1.3305666740336649E-5</v>
      </c>
      <c r="E670" s="6">
        <f t="shared" si="20"/>
        <v>0.22999999999999998</v>
      </c>
      <c r="F670" s="8">
        <f t="shared" si="21"/>
        <v>3.0603033502774289E-6</v>
      </c>
    </row>
    <row r="671" spans="1:6" x14ac:dyDescent="0.2">
      <c r="A671">
        <v>10</v>
      </c>
      <c r="B671" t="s">
        <v>1110</v>
      </c>
      <c r="C671" t="s">
        <v>1007</v>
      </c>
      <c r="D671" s="8">
        <v>2.0830789417356789E-8</v>
      </c>
      <c r="E671" s="6">
        <f t="shared" si="20"/>
        <v>-0.19999999999999973</v>
      </c>
      <c r="F671" s="8">
        <f t="shared" si="21"/>
        <v>-4.166157883471352E-9</v>
      </c>
    </row>
    <row r="672" spans="1:6" x14ac:dyDescent="0.2">
      <c r="A672">
        <v>10</v>
      </c>
      <c r="B672" t="s">
        <v>1110</v>
      </c>
      <c r="C672" t="s">
        <v>1008</v>
      </c>
      <c r="D672" s="8">
        <v>6.9435964724522614E-9</v>
      </c>
      <c r="E672" s="6">
        <f t="shared" si="20"/>
        <v>0.94799999999999995</v>
      </c>
      <c r="F672" s="8">
        <f t="shared" si="21"/>
        <v>6.5825294558847439E-9</v>
      </c>
    </row>
    <row r="673" spans="1:6" x14ac:dyDescent="0.2">
      <c r="A673">
        <v>10</v>
      </c>
      <c r="B673" t="s">
        <v>1110</v>
      </c>
      <c r="C673" t="s">
        <v>1010</v>
      </c>
      <c r="D673" s="8">
        <v>3.610670165675176E-7</v>
      </c>
      <c r="E673" s="6">
        <f t="shared" si="20"/>
        <v>-3.024</v>
      </c>
      <c r="F673" s="8">
        <f t="shared" si="21"/>
        <v>-1.0918666581001731E-6</v>
      </c>
    </row>
    <row r="674" spans="1:6" x14ac:dyDescent="0.2">
      <c r="A674">
        <v>10</v>
      </c>
      <c r="B674" t="s">
        <v>1110</v>
      </c>
      <c r="C674" t="s">
        <v>1012</v>
      </c>
      <c r="D674" s="8">
        <v>4.7586781157872827E-8</v>
      </c>
      <c r="E674" s="6">
        <f t="shared" si="20"/>
        <v>0.39999999999999991</v>
      </c>
      <c r="F674" s="8">
        <f t="shared" si="21"/>
        <v>1.9034712463149128E-8</v>
      </c>
    </row>
    <row r="675" spans="1:6" x14ac:dyDescent="0.2">
      <c r="A675">
        <v>10</v>
      </c>
      <c r="B675" t="s">
        <v>1110</v>
      </c>
      <c r="C675" t="s">
        <v>1014</v>
      </c>
      <c r="D675" s="8">
        <v>1.9734380196761998E-2</v>
      </c>
      <c r="E675" s="6">
        <f t="shared" si="20"/>
        <v>0.90000000000000036</v>
      </c>
      <c r="F675" s="8">
        <f t="shared" si="21"/>
        <v>1.7760942177085806E-2</v>
      </c>
    </row>
    <row r="676" spans="1:6" x14ac:dyDescent="0.2">
      <c r="A676">
        <v>10</v>
      </c>
      <c r="B676" t="s">
        <v>1110</v>
      </c>
      <c r="C676" t="s">
        <v>1015</v>
      </c>
      <c r="D676" s="8">
        <v>5.1305424248694636E-7</v>
      </c>
      <c r="E676" s="6">
        <f t="shared" si="20"/>
        <v>-1.306</v>
      </c>
      <c r="F676" s="8">
        <f t="shared" si="21"/>
        <v>-6.7004884068795198E-7</v>
      </c>
    </row>
    <row r="677" spans="1:6" x14ac:dyDescent="0.2">
      <c r="A677">
        <v>10</v>
      </c>
      <c r="B677" t="s">
        <v>1110</v>
      </c>
      <c r="C677" t="s">
        <v>1099</v>
      </c>
      <c r="D677" s="8">
        <v>1.394299631522146E-7</v>
      </c>
      <c r="E677" s="6">
        <f t="shared" si="20"/>
        <v>0</v>
      </c>
      <c r="F677" s="8">
        <f t="shared" si="21"/>
        <v>0</v>
      </c>
    </row>
    <row r="678" spans="1:6" x14ac:dyDescent="0.2">
      <c r="A678">
        <v>10</v>
      </c>
      <c r="B678" t="s">
        <v>1110</v>
      </c>
      <c r="C678" t="s">
        <v>1017</v>
      </c>
      <c r="D678" s="8">
        <v>5.1120145949488042E-5</v>
      </c>
      <c r="E678" s="6">
        <f t="shared" si="20"/>
        <v>1.3749999999999996</v>
      </c>
      <c r="F678" s="8">
        <f t="shared" si="21"/>
        <v>7.029020068054604E-5</v>
      </c>
    </row>
    <row r="679" spans="1:6" x14ac:dyDescent="0.2">
      <c r="A679">
        <v>10</v>
      </c>
      <c r="B679" t="s">
        <v>1110</v>
      </c>
      <c r="C679" t="s">
        <v>1019</v>
      </c>
      <c r="D679" s="8">
        <v>7.7864240994709999E-4</v>
      </c>
      <c r="E679" s="6">
        <f t="shared" si="20"/>
        <v>-0.21599999999999997</v>
      </c>
      <c r="F679" s="8">
        <f t="shared" si="21"/>
        <v>-1.6818676054857357E-4</v>
      </c>
    </row>
    <row r="680" spans="1:6" x14ac:dyDescent="0.2">
      <c r="A680">
        <v>10</v>
      </c>
      <c r="B680" t="s">
        <v>1110</v>
      </c>
      <c r="C680" t="s">
        <v>1026</v>
      </c>
      <c r="D680" s="8">
        <v>4.5891386352515738E-8</v>
      </c>
      <c r="E680" s="6">
        <f t="shared" si="20"/>
        <v>-0.20000000000000018</v>
      </c>
      <c r="F680" s="8">
        <f t="shared" si="21"/>
        <v>-9.1782772705031565E-9</v>
      </c>
    </row>
    <row r="681" spans="1:6" x14ac:dyDescent="0.2">
      <c r="A681">
        <v>10</v>
      </c>
      <c r="B681" t="s">
        <v>1110</v>
      </c>
      <c r="C681" t="s">
        <v>1027</v>
      </c>
      <c r="D681" s="8">
        <v>6.3359924340660113E-6</v>
      </c>
      <c r="E681" s="6">
        <f t="shared" si="20"/>
        <v>0.18999999999999995</v>
      </c>
      <c r="F681" s="8">
        <f t="shared" si="21"/>
        <v>1.2038385624725418E-6</v>
      </c>
    </row>
    <row r="682" spans="1:6" x14ac:dyDescent="0.2">
      <c r="A682">
        <v>10</v>
      </c>
      <c r="B682" t="s">
        <v>1110</v>
      </c>
      <c r="C682" t="s">
        <v>1028</v>
      </c>
      <c r="D682" s="8">
        <v>6.0972007379861699E-2</v>
      </c>
      <c r="E682" s="6">
        <f t="shared" si="20"/>
        <v>-1.6600000000000001</v>
      </c>
      <c r="F682" s="8">
        <f t="shared" si="21"/>
        <v>-0.10121353225057043</v>
      </c>
    </row>
    <row r="683" spans="1:6" x14ac:dyDescent="0.2">
      <c r="A683">
        <v>10</v>
      </c>
      <c r="B683" t="s">
        <v>1110</v>
      </c>
      <c r="C683" t="s">
        <v>1030</v>
      </c>
      <c r="D683" s="8">
        <v>1.6913274779967469E-6</v>
      </c>
      <c r="E683" s="6">
        <f t="shared" si="20"/>
        <v>0.29999999999999982</v>
      </c>
      <c r="F683" s="8">
        <f t="shared" si="21"/>
        <v>5.0739824339902376E-7</v>
      </c>
    </row>
    <row r="684" spans="1:6" x14ac:dyDescent="0.2">
      <c r="A684">
        <v>10</v>
      </c>
      <c r="B684" t="s">
        <v>1110</v>
      </c>
      <c r="C684" t="s">
        <v>1031</v>
      </c>
      <c r="D684" s="8">
        <v>5.0711399570476353E-7</v>
      </c>
      <c r="E684" s="6">
        <f t="shared" si="20"/>
        <v>0.19899999999999984</v>
      </c>
      <c r="F684" s="8">
        <f t="shared" si="21"/>
        <v>1.0091568514524786E-7</v>
      </c>
    </row>
    <row r="685" spans="1:6" x14ac:dyDescent="0.2">
      <c r="A685">
        <v>10</v>
      </c>
      <c r="B685" t="s">
        <v>1110</v>
      </c>
      <c r="C685" t="s">
        <v>1100</v>
      </c>
      <c r="D685" s="8">
        <v>7.2699148391064312E-6</v>
      </c>
      <c r="E685" s="6">
        <f t="shared" si="20"/>
        <v>0</v>
      </c>
      <c r="F685" s="8">
        <f t="shared" si="21"/>
        <v>0</v>
      </c>
    </row>
    <row r="686" spans="1:6" x14ac:dyDescent="0.2">
      <c r="A686">
        <v>10</v>
      </c>
      <c r="B686" t="s">
        <v>1110</v>
      </c>
      <c r="C686" t="s">
        <v>1037</v>
      </c>
      <c r="D686" s="8">
        <v>2.9979787856060001E-4</v>
      </c>
      <c r="E686" s="6">
        <f t="shared" si="20"/>
        <v>0.2350000000000001</v>
      </c>
      <c r="F686" s="8">
        <f t="shared" si="21"/>
        <v>7.0452501461741037E-5</v>
      </c>
    </row>
    <row r="687" spans="1:6" x14ac:dyDescent="0.2">
      <c r="A687">
        <v>10</v>
      </c>
      <c r="B687" t="s">
        <v>1110</v>
      </c>
      <c r="C687" t="s">
        <v>1094</v>
      </c>
      <c r="D687" s="8">
        <v>1.9244168198626399E-2</v>
      </c>
      <c r="E687" s="6">
        <f t="shared" si="20"/>
        <v>0</v>
      </c>
      <c r="F687" s="8">
        <f t="shared" si="21"/>
        <v>0</v>
      </c>
    </row>
    <row r="688" spans="1:6" x14ac:dyDescent="0.2">
      <c r="A688">
        <v>10</v>
      </c>
      <c r="B688" t="s">
        <v>1110</v>
      </c>
      <c r="C688" t="s">
        <v>1039</v>
      </c>
      <c r="D688" s="8">
        <v>4.776770003576081E-5</v>
      </c>
      <c r="E688" s="6">
        <f t="shared" si="20"/>
        <v>-0.6419999999999999</v>
      </c>
      <c r="F688" s="8">
        <f t="shared" si="21"/>
        <v>-3.0666863422958436E-5</v>
      </c>
    </row>
    <row r="689" spans="1:6" x14ac:dyDescent="0.2">
      <c r="A689">
        <v>10</v>
      </c>
      <c r="B689" t="s">
        <v>1110</v>
      </c>
      <c r="C689" t="s">
        <v>1041</v>
      </c>
      <c r="D689" s="8">
        <v>3.952572855978726E-7</v>
      </c>
      <c r="E689" s="6">
        <f t="shared" si="20"/>
        <v>-1.8890000000000002</v>
      </c>
      <c r="F689" s="8">
        <f t="shared" si="21"/>
        <v>-7.4664101249438146E-7</v>
      </c>
    </row>
    <row r="690" spans="1:6" x14ac:dyDescent="0.2">
      <c r="A690">
        <v>10</v>
      </c>
      <c r="B690" t="s">
        <v>1110</v>
      </c>
      <c r="C690" t="s">
        <v>1042</v>
      </c>
      <c r="D690" s="8">
        <v>5.8635674019293996E-3</v>
      </c>
      <c r="E690" s="6">
        <f t="shared" si="20"/>
        <v>1.621</v>
      </c>
      <c r="F690" s="8">
        <f t="shared" si="21"/>
        <v>9.5048427585275562E-3</v>
      </c>
    </row>
    <row r="691" spans="1:6" x14ac:dyDescent="0.2">
      <c r="A691">
        <v>10</v>
      </c>
      <c r="B691" t="s">
        <v>1110</v>
      </c>
      <c r="C691" t="s">
        <v>1054</v>
      </c>
      <c r="D691" s="8">
        <v>5.7530937119287473E-7</v>
      </c>
      <c r="E691" s="6">
        <f t="shared" si="20"/>
        <v>-0.16800000000000015</v>
      </c>
      <c r="F691" s="8">
        <f t="shared" si="21"/>
        <v>-9.6651974360403039E-8</v>
      </c>
    </row>
    <row r="692" spans="1:6" x14ac:dyDescent="0.2">
      <c r="A692">
        <v>10</v>
      </c>
      <c r="B692" t="s">
        <v>1110</v>
      </c>
      <c r="C692" t="s">
        <v>1056</v>
      </c>
      <c r="D692" s="8">
        <v>6.1031898460697899E-8</v>
      </c>
      <c r="E692" s="6">
        <f t="shared" si="20"/>
        <v>-1.996</v>
      </c>
      <c r="F692" s="8">
        <f t="shared" si="21"/>
        <v>-1.2181966932755299E-7</v>
      </c>
    </row>
    <row r="693" spans="1:6" x14ac:dyDescent="0.2">
      <c r="A693">
        <v>10</v>
      </c>
      <c r="B693" t="s">
        <v>1110</v>
      </c>
      <c r="C693" t="s">
        <v>1112</v>
      </c>
      <c r="D693" s="8">
        <v>1.054787852937278E-6</v>
      </c>
      <c r="E693" s="6">
        <f t="shared" si="20"/>
        <v>0</v>
      </c>
      <c r="F693" s="8">
        <f t="shared" si="21"/>
        <v>0</v>
      </c>
    </row>
    <row r="694" spans="1:6" x14ac:dyDescent="0.2">
      <c r="A694">
        <v>10</v>
      </c>
      <c r="B694" t="s">
        <v>1110</v>
      </c>
      <c r="C694" t="s">
        <v>1059</v>
      </c>
      <c r="D694" s="8">
        <v>4.2678840367690001E-4</v>
      </c>
      <c r="E694" s="6">
        <f t="shared" si="20"/>
        <v>-0.10000000000000009</v>
      </c>
      <c r="F694" s="8">
        <f t="shared" si="21"/>
        <v>-4.2678840367690041E-5</v>
      </c>
    </row>
    <row r="695" spans="1:6" x14ac:dyDescent="0.2">
      <c r="A695">
        <v>10</v>
      </c>
      <c r="B695" t="s">
        <v>1110</v>
      </c>
      <c r="C695" t="s">
        <v>1062</v>
      </c>
      <c r="D695" s="8">
        <v>2.9450498906395181E-5</v>
      </c>
      <c r="E695" s="6">
        <f t="shared" si="20"/>
        <v>0.89999999999999947</v>
      </c>
      <c r="F695" s="8">
        <f t="shared" si="21"/>
        <v>2.6505449015755646E-5</v>
      </c>
    </row>
    <row r="696" spans="1:6" x14ac:dyDescent="0.2">
      <c r="A696">
        <v>10</v>
      </c>
      <c r="B696" t="s">
        <v>1110</v>
      </c>
      <c r="C696" t="s">
        <v>1065</v>
      </c>
      <c r="D696" s="8">
        <v>1.118081049315838E-7</v>
      </c>
      <c r="E696" s="6">
        <f t="shared" si="20"/>
        <v>0.68300000000000005</v>
      </c>
      <c r="F696" s="8">
        <f t="shared" si="21"/>
        <v>7.6364935668271738E-8</v>
      </c>
    </row>
    <row r="697" spans="1:6" x14ac:dyDescent="0.2">
      <c r="A697">
        <v>10</v>
      </c>
      <c r="B697" t="s">
        <v>1110</v>
      </c>
      <c r="C697" t="s">
        <v>1066</v>
      </c>
      <c r="D697" s="8">
        <v>2.6251909781929998E-4</v>
      </c>
      <c r="E697" s="6">
        <f t="shared" si="20"/>
        <v>0.20900000000000007</v>
      </c>
      <c r="F697" s="8">
        <f t="shared" si="21"/>
        <v>5.4866491444233716E-5</v>
      </c>
    </row>
    <row r="698" spans="1:6" x14ac:dyDescent="0.2">
      <c r="A698">
        <v>10</v>
      </c>
      <c r="B698" t="s">
        <v>1110</v>
      </c>
      <c r="C698" t="s">
        <v>1106</v>
      </c>
      <c r="D698" s="8">
        <v>6.1514246962317583E-6</v>
      </c>
      <c r="E698" s="6">
        <f t="shared" si="20"/>
        <v>0</v>
      </c>
      <c r="F698" s="8">
        <f t="shared" si="21"/>
        <v>0</v>
      </c>
    </row>
    <row r="699" spans="1:6" x14ac:dyDescent="0.2">
      <c r="A699">
        <v>10</v>
      </c>
      <c r="B699" t="s">
        <v>1110</v>
      </c>
      <c r="C699" t="s">
        <v>1072</v>
      </c>
      <c r="D699" s="8">
        <v>2.2256254895590001E-4</v>
      </c>
      <c r="E699" s="6">
        <f t="shared" si="20"/>
        <v>0.55599999999999983</v>
      </c>
      <c r="F699" s="8">
        <f t="shared" si="21"/>
        <v>1.2374477721948036E-4</v>
      </c>
    </row>
    <row r="700" spans="1:6" x14ac:dyDescent="0.2">
      <c r="A700">
        <v>10</v>
      </c>
      <c r="B700" t="s">
        <v>1110</v>
      </c>
      <c r="C700" t="s">
        <v>1075</v>
      </c>
      <c r="D700" s="8">
        <v>4.6039780498710001E-4</v>
      </c>
      <c r="E700" s="6">
        <f t="shared" si="20"/>
        <v>3.0529999999999999</v>
      </c>
      <c r="F700" s="8">
        <f t="shared" si="21"/>
        <v>1.4055944986256163E-3</v>
      </c>
    </row>
    <row r="701" spans="1:6" x14ac:dyDescent="0.2">
      <c r="A701">
        <v>10</v>
      </c>
      <c r="B701" t="s">
        <v>1110</v>
      </c>
      <c r="C701" t="s">
        <v>1076</v>
      </c>
      <c r="D701" s="8">
        <v>1.4203705217440471E-7</v>
      </c>
      <c r="E701" s="6">
        <f t="shared" si="20"/>
        <v>1.4060000000000001</v>
      </c>
      <c r="F701" s="8">
        <f t="shared" si="21"/>
        <v>1.9970409535721304E-7</v>
      </c>
    </row>
    <row r="702" spans="1:6" x14ac:dyDescent="0.2">
      <c r="A702">
        <v>12</v>
      </c>
      <c r="B702" t="s">
        <v>1113</v>
      </c>
      <c r="C702" t="s">
        <v>902</v>
      </c>
      <c r="D702" s="8">
        <v>2.311390829638221E-5</v>
      </c>
      <c r="E702" s="6">
        <f t="shared" ref="E702:E765" si="22">IFERROR(VLOOKUP(C702,$A$6:$D$185,4,FALSE),0)</f>
        <v>-0.28000000000000025</v>
      </c>
      <c r="F702" s="8">
        <f t="shared" ref="F702:F765" si="23">D702*E702</f>
        <v>-6.4718943229870248E-6</v>
      </c>
    </row>
    <row r="703" spans="1:6" x14ac:dyDescent="0.2">
      <c r="A703">
        <v>12</v>
      </c>
      <c r="B703" t="s">
        <v>1113</v>
      </c>
      <c r="C703" t="s">
        <v>1090</v>
      </c>
      <c r="D703" s="8">
        <v>1.250373159436948E-5</v>
      </c>
      <c r="E703" s="6">
        <f t="shared" si="22"/>
        <v>0</v>
      </c>
      <c r="F703" s="8">
        <f t="shared" si="23"/>
        <v>0</v>
      </c>
    </row>
    <row r="704" spans="1:6" x14ac:dyDescent="0.2">
      <c r="A704">
        <v>12</v>
      </c>
      <c r="B704" t="s">
        <v>1113</v>
      </c>
      <c r="C704" t="s">
        <v>903</v>
      </c>
      <c r="D704" s="8">
        <v>2.1456075395811002E-3</v>
      </c>
      <c r="E704" s="6">
        <f t="shared" si="22"/>
        <v>0.22399999999999975</v>
      </c>
      <c r="F704" s="8">
        <f t="shared" si="23"/>
        <v>4.806160888661659E-4</v>
      </c>
    </row>
    <row r="705" spans="1:6" x14ac:dyDescent="0.2">
      <c r="A705">
        <v>12</v>
      </c>
      <c r="B705" t="s">
        <v>1113</v>
      </c>
      <c r="C705" t="s">
        <v>904</v>
      </c>
      <c r="D705" s="8">
        <v>1.895251167664E-4</v>
      </c>
      <c r="E705" s="6">
        <f t="shared" si="22"/>
        <v>-6.800000000000006E-2</v>
      </c>
      <c r="F705" s="8">
        <f t="shared" si="23"/>
        <v>-1.2887707940115212E-5</v>
      </c>
    </row>
    <row r="706" spans="1:6" x14ac:dyDescent="0.2">
      <c r="A706">
        <v>12</v>
      </c>
      <c r="B706" t="s">
        <v>1113</v>
      </c>
      <c r="C706" t="s">
        <v>905</v>
      </c>
      <c r="D706" s="8">
        <v>1.795314139677099E-9</v>
      </c>
      <c r="E706" s="6">
        <f t="shared" si="22"/>
        <v>0.5</v>
      </c>
      <c r="F706" s="8">
        <f t="shared" si="23"/>
        <v>8.976570698385495E-10</v>
      </c>
    </row>
    <row r="707" spans="1:6" x14ac:dyDescent="0.2">
      <c r="A707">
        <v>12</v>
      </c>
      <c r="B707" t="s">
        <v>1113</v>
      </c>
      <c r="C707" t="s">
        <v>906</v>
      </c>
      <c r="D707" s="8">
        <v>8.5177193893466001E-3</v>
      </c>
      <c r="E707" s="6">
        <f t="shared" si="22"/>
        <v>-1.8859999999999997</v>
      </c>
      <c r="F707" s="8">
        <f t="shared" si="23"/>
        <v>-1.6064418768307685E-2</v>
      </c>
    </row>
    <row r="708" spans="1:6" x14ac:dyDescent="0.2">
      <c r="A708">
        <v>12</v>
      </c>
      <c r="B708" t="s">
        <v>1113</v>
      </c>
      <c r="C708" t="s">
        <v>907</v>
      </c>
      <c r="D708" s="8">
        <v>1.640920403686E-4</v>
      </c>
      <c r="E708" s="6">
        <f t="shared" si="22"/>
        <v>-1.0199999999999996</v>
      </c>
      <c r="F708" s="8">
        <f t="shared" si="23"/>
        <v>-1.6737388117597194E-4</v>
      </c>
    </row>
    <row r="709" spans="1:6" x14ac:dyDescent="0.2">
      <c r="A709">
        <v>12</v>
      </c>
      <c r="B709" t="s">
        <v>1113</v>
      </c>
      <c r="C709" t="s">
        <v>908</v>
      </c>
      <c r="D709" s="8">
        <v>8.8313646731814505E-6</v>
      </c>
      <c r="E709" s="6">
        <f t="shared" si="22"/>
        <v>0.79999999999999982</v>
      </c>
      <c r="F709" s="8">
        <f t="shared" si="23"/>
        <v>7.0650917385451587E-6</v>
      </c>
    </row>
    <row r="710" spans="1:6" x14ac:dyDescent="0.2">
      <c r="A710">
        <v>12</v>
      </c>
      <c r="B710" t="s">
        <v>1113</v>
      </c>
      <c r="C710" t="s">
        <v>1097</v>
      </c>
      <c r="D710" s="8">
        <v>3.5686858820999339E-5</v>
      </c>
      <c r="E710" s="6">
        <f t="shared" si="22"/>
        <v>0</v>
      </c>
      <c r="F710" s="8">
        <f t="shared" si="23"/>
        <v>0</v>
      </c>
    </row>
    <row r="711" spans="1:6" x14ac:dyDescent="0.2">
      <c r="A711">
        <v>12</v>
      </c>
      <c r="B711" t="s">
        <v>1113</v>
      </c>
      <c r="C711" t="s">
        <v>1114</v>
      </c>
      <c r="D711" s="8">
        <v>9.3452715285444442E-7</v>
      </c>
      <c r="E711" s="6">
        <f t="shared" si="22"/>
        <v>0</v>
      </c>
      <c r="F711" s="8">
        <f t="shared" si="23"/>
        <v>0</v>
      </c>
    </row>
    <row r="712" spans="1:6" x14ac:dyDescent="0.2">
      <c r="A712">
        <v>12</v>
      </c>
      <c r="B712" t="s">
        <v>1113</v>
      </c>
      <c r="C712" t="s">
        <v>909</v>
      </c>
      <c r="D712" s="8">
        <v>1.580595053136938E-6</v>
      </c>
      <c r="E712" s="6">
        <f t="shared" si="22"/>
        <v>5.9000000000000163E-2</v>
      </c>
      <c r="F712" s="8">
        <f t="shared" si="23"/>
        <v>9.3255108135079605E-8</v>
      </c>
    </row>
    <row r="713" spans="1:6" x14ac:dyDescent="0.2">
      <c r="A713">
        <v>12</v>
      </c>
      <c r="B713" t="s">
        <v>1113</v>
      </c>
      <c r="C713" t="s">
        <v>910</v>
      </c>
      <c r="D713" s="8">
        <v>7.0990884241393997E-3</v>
      </c>
      <c r="E713" s="6">
        <f t="shared" si="22"/>
        <v>-7.7999999999999847E-2</v>
      </c>
      <c r="F713" s="8">
        <f t="shared" si="23"/>
        <v>-5.5372889708287215E-4</v>
      </c>
    </row>
    <row r="714" spans="1:6" x14ac:dyDescent="0.2">
      <c r="A714">
        <v>12</v>
      </c>
      <c r="B714" t="s">
        <v>1113</v>
      </c>
      <c r="C714" t="s">
        <v>911</v>
      </c>
      <c r="D714" s="8">
        <v>4.8834613498879933E-5</v>
      </c>
      <c r="E714" s="6">
        <f t="shared" si="22"/>
        <v>-7.5000000000000067E-2</v>
      </c>
      <c r="F714" s="8">
        <f t="shared" si="23"/>
        <v>-3.662596012415998E-6</v>
      </c>
    </row>
    <row r="715" spans="1:6" x14ac:dyDescent="0.2">
      <c r="A715">
        <v>12</v>
      </c>
      <c r="B715" t="s">
        <v>1113</v>
      </c>
      <c r="C715" t="s">
        <v>912</v>
      </c>
      <c r="D715" s="8">
        <v>3.095283566956327E-5</v>
      </c>
      <c r="E715" s="6">
        <f t="shared" si="22"/>
        <v>-0.29800000000000004</v>
      </c>
      <c r="F715" s="8">
        <f t="shared" si="23"/>
        <v>-9.2239450295298552E-6</v>
      </c>
    </row>
    <row r="716" spans="1:6" x14ac:dyDescent="0.2">
      <c r="A716">
        <v>12</v>
      </c>
      <c r="B716" t="s">
        <v>1113</v>
      </c>
      <c r="C716" t="s">
        <v>914</v>
      </c>
      <c r="D716" s="8">
        <v>1.3831826509631E-3</v>
      </c>
      <c r="E716" s="6">
        <f t="shared" si="22"/>
        <v>-0.26900000000000002</v>
      </c>
      <c r="F716" s="8">
        <f t="shared" si="23"/>
        <v>-3.7207613310907394E-4</v>
      </c>
    </row>
    <row r="717" spans="1:6" x14ac:dyDescent="0.2">
      <c r="A717">
        <v>12</v>
      </c>
      <c r="B717" t="s">
        <v>1113</v>
      </c>
      <c r="C717" t="s">
        <v>915</v>
      </c>
      <c r="D717" s="8">
        <v>4.5898806220414003E-3</v>
      </c>
      <c r="E717" s="6">
        <f t="shared" si="22"/>
        <v>0.81400000000000006</v>
      </c>
      <c r="F717" s="8">
        <f t="shared" si="23"/>
        <v>3.7361628263417003E-3</v>
      </c>
    </row>
    <row r="718" spans="1:6" x14ac:dyDescent="0.2">
      <c r="A718">
        <v>12</v>
      </c>
      <c r="B718" t="s">
        <v>1113</v>
      </c>
      <c r="C718" t="s">
        <v>916</v>
      </c>
      <c r="D718" s="8">
        <v>2.3730283009120001E-4</v>
      </c>
      <c r="E718" s="6">
        <f t="shared" si="22"/>
        <v>0.37200000000000077</v>
      </c>
      <c r="F718" s="8">
        <f t="shared" si="23"/>
        <v>8.8276652793926587E-5</v>
      </c>
    </row>
    <row r="719" spans="1:6" x14ac:dyDescent="0.2">
      <c r="A719">
        <v>12</v>
      </c>
      <c r="B719" t="s">
        <v>1113</v>
      </c>
      <c r="C719" t="s">
        <v>917</v>
      </c>
      <c r="D719" s="8">
        <v>2.87224137768246E-2</v>
      </c>
      <c r="E719" s="6">
        <f t="shared" si="22"/>
        <v>-1.83</v>
      </c>
      <c r="F719" s="8">
        <f t="shared" si="23"/>
        <v>-5.256201721158902E-2</v>
      </c>
    </row>
    <row r="720" spans="1:6" x14ac:dyDescent="0.2">
      <c r="A720">
        <v>12</v>
      </c>
      <c r="B720" t="s">
        <v>1113</v>
      </c>
      <c r="C720" t="s">
        <v>918</v>
      </c>
      <c r="D720" s="8">
        <v>3.0599347110310001E-4</v>
      </c>
      <c r="E720" s="6">
        <f t="shared" si="22"/>
        <v>0.1469999999999998</v>
      </c>
      <c r="F720" s="8">
        <f t="shared" si="23"/>
        <v>4.4981040252155641E-5</v>
      </c>
    </row>
    <row r="721" spans="1:6" x14ac:dyDescent="0.2">
      <c r="A721">
        <v>12</v>
      </c>
      <c r="B721" t="s">
        <v>1113</v>
      </c>
      <c r="C721" t="s">
        <v>919</v>
      </c>
      <c r="D721" s="8">
        <v>1.87173109244E-4</v>
      </c>
      <c r="E721" s="6">
        <f t="shared" si="22"/>
        <v>-3.4940000000000002</v>
      </c>
      <c r="F721" s="8">
        <f t="shared" si="23"/>
        <v>-6.5398284369853606E-4</v>
      </c>
    </row>
    <row r="722" spans="1:6" x14ac:dyDescent="0.2">
      <c r="A722">
        <v>12</v>
      </c>
      <c r="B722" t="s">
        <v>1113</v>
      </c>
      <c r="C722" t="s">
        <v>921</v>
      </c>
      <c r="D722" s="8">
        <v>1.473242051497326E-5</v>
      </c>
      <c r="E722" s="6">
        <f t="shared" si="22"/>
        <v>-0.79999999999999982</v>
      </c>
      <c r="F722" s="8">
        <f t="shared" si="23"/>
        <v>-1.1785936411978604E-5</v>
      </c>
    </row>
    <row r="723" spans="1:6" x14ac:dyDescent="0.2">
      <c r="A723">
        <v>12</v>
      </c>
      <c r="B723" t="s">
        <v>1113</v>
      </c>
      <c r="C723" t="s">
        <v>922</v>
      </c>
      <c r="D723" s="8">
        <v>5.3379266284928073E-5</v>
      </c>
      <c r="E723" s="6">
        <f t="shared" si="22"/>
        <v>-0.78400000000000003</v>
      </c>
      <c r="F723" s="8">
        <f t="shared" si="23"/>
        <v>-4.1849344767383613E-5</v>
      </c>
    </row>
    <row r="724" spans="1:6" x14ac:dyDescent="0.2">
      <c r="A724">
        <v>12</v>
      </c>
      <c r="B724" t="s">
        <v>1113</v>
      </c>
      <c r="C724" t="s">
        <v>1115</v>
      </c>
      <c r="D724" s="8">
        <v>2.0825583449601859E-5</v>
      </c>
      <c r="E724" s="6">
        <f t="shared" si="22"/>
        <v>0</v>
      </c>
      <c r="F724" s="8">
        <f t="shared" si="23"/>
        <v>0</v>
      </c>
    </row>
    <row r="725" spans="1:6" x14ac:dyDescent="0.2">
      <c r="A725">
        <v>12</v>
      </c>
      <c r="B725" t="s">
        <v>1113</v>
      </c>
      <c r="C725" t="s">
        <v>924</v>
      </c>
      <c r="D725" s="8">
        <v>7.9424361088237996E-3</v>
      </c>
      <c r="E725" s="6">
        <f t="shared" si="22"/>
        <v>-8.4000000000000075E-2</v>
      </c>
      <c r="F725" s="8">
        <f t="shared" si="23"/>
        <v>-6.6716463314119977E-4</v>
      </c>
    </row>
    <row r="726" spans="1:6" x14ac:dyDescent="0.2">
      <c r="A726">
        <v>12</v>
      </c>
      <c r="B726" t="s">
        <v>1113</v>
      </c>
      <c r="C726" t="s">
        <v>925</v>
      </c>
      <c r="D726" s="8">
        <v>1.450185953769937E-5</v>
      </c>
      <c r="E726" s="6">
        <f t="shared" si="22"/>
        <v>0.20000000000000018</v>
      </c>
      <c r="F726" s="8">
        <f t="shared" si="23"/>
        <v>2.9003719075398764E-6</v>
      </c>
    </row>
    <row r="727" spans="1:6" x14ac:dyDescent="0.2">
      <c r="A727">
        <v>12</v>
      </c>
      <c r="B727" t="s">
        <v>1113</v>
      </c>
      <c r="C727" t="s">
        <v>926</v>
      </c>
      <c r="D727" s="8">
        <v>5.2394600628480001E-4</v>
      </c>
      <c r="E727" s="6">
        <f t="shared" si="22"/>
        <v>-4.8000000000000043E-2</v>
      </c>
      <c r="F727" s="8">
        <f t="shared" si="23"/>
        <v>-2.5149408301670424E-5</v>
      </c>
    </row>
    <row r="728" spans="1:6" x14ac:dyDescent="0.2">
      <c r="A728">
        <v>12</v>
      </c>
      <c r="B728" t="s">
        <v>1113</v>
      </c>
      <c r="C728" t="s">
        <v>929</v>
      </c>
      <c r="D728" s="8">
        <v>3.4293029498280399E-7</v>
      </c>
      <c r="E728" s="6">
        <f t="shared" si="22"/>
        <v>-0.54599999999999982</v>
      </c>
      <c r="F728" s="8">
        <f t="shared" si="23"/>
        <v>-1.8723994106061092E-7</v>
      </c>
    </row>
    <row r="729" spans="1:6" x14ac:dyDescent="0.2">
      <c r="A729">
        <v>12</v>
      </c>
      <c r="B729" t="s">
        <v>1113</v>
      </c>
      <c r="C729" t="s">
        <v>930</v>
      </c>
      <c r="D729" s="8">
        <v>2.7520922973571001E-3</v>
      </c>
      <c r="E729" s="6">
        <f t="shared" si="22"/>
        <v>-5.8000000000000052E-2</v>
      </c>
      <c r="F729" s="8">
        <f t="shared" si="23"/>
        <v>-1.5962135324671195E-4</v>
      </c>
    </row>
    <row r="730" spans="1:6" x14ac:dyDescent="0.2">
      <c r="A730">
        <v>12</v>
      </c>
      <c r="B730" t="s">
        <v>1113</v>
      </c>
      <c r="C730" t="s">
        <v>931</v>
      </c>
      <c r="D730" s="8">
        <v>1.668701645634E-4</v>
      </c>
      <c r="E730" s="6">
        <f t="shared" si="22"/>
        <v>-0.31099999999999994</v>
      </c>
      <c r="F730" s="8">
        <f t="shared" si="23"/>
        <v>-5.189662117921739E-5</v>
      </c>
    </row>
    <row r="731" spans="1:6" x14ac:dyDescent="0.2">
      <c r="A731">
        <v>12</v>
      </c>
      <c r="B731" t="s">
        <v>1113</v>
      </c>
      <c r="C731" t="s">
        <v>932</v>
      </c>
      <c r="D731" s="8">
        <v>5.5075774588920004E-4</v>
      </c>
      <c r="E731" s="6">
        <f t="shared" si="22"/>
        <v>0.21799999999999997</v>
      </c>
      <c r="F731" s="8">
        <f t="shared" si="23"/>
        <v>1.2006518860384559E-4</v>
      </c>
    </row>
    <row r="732" spans="1:6" x14ac:dyDescent="0.2">
      <c r="A732">
        <v>12</v>
      </c>
      <c r="B732" t="s">
        <v>1113</v>
      </c>
      <c r="C732" t="s">
        <v>933</v>
      </c>
      <c r="D732" s="8">
        <v>0.20449996284397889</v>
      </c>
      <c r="E732" s="6">
        <f t="shared" si="22"/>
        <v>0.4430000000000005</v>
      </c>
      <c r="F732" s="8">
        <f t="shared" si="23"/>
        <v>9.0593483539882752E-2</v>
      </c>
    </row>
    <row r="733" spans="1:6" x14ac:dyDescent="0.2">
      <c r="A733">
        <v>12</v>
      </c>
      <c r="B733" t="s">
        <v>1113</v>
      </c>
      <c r="C733" t="s">
        <v>934</v>
      </c>
      <c r="D733" s="8">
        <v>1.8779741018386999E-3</v>
      </c>
      <c r="E733" s="6">
        <f t="shared" si="22"/>
        <v>-0.20000000000000018</v>
      </c>
      <c r="F733" s="8">
        <f t="shared" si="23"/>
        <v>-3.755948203677403E-4</v>
      </c>
    </row>
    <row r="734" spans="1:6" x14ac:dyDescent="0.2">
      <c r="A734">
        <v>12</v>
      </c>
      <c r="B734" t="s">
        <v>1113</v>
      </c>
      <c r="C734" t="s">
        <v>935</v>
      </c>
      <c r="D734" s="8">
        <v>1.1712910512767E-3</v>
      </c>
      <c r="E734" s="6">
        <f t="shared" si="22"/>
        <v>-0.71799999999999997</v>
      </c>
      <c r="F734" s="8">
        <f t="shared" si="23"/>
        <v>-8.4098697481667058E-4</v>
      </c>
    </row>
    <row r="735" spans="1:6" x14ac:dyDescent="0.2">
      <c r="A735">
        <v>12</v>
      </c>
      <c r="B735" t="s">
        <v>1113</v>
      </c>
      <c r="C735" t="s">
        <v>936</v>
      </c>
      <c r="D735" s="8">
        <v>2.356745438868E-4</v>
      </c>
      <c r="E735" s="6">
        <f t="shared" si="22"/>
        <v>0.72900000000000009</v>
      </c>
      <c r="F735" s="8">
        <f t="shared" si="23"/>
        <v>1.7180674249347723E-4</v>
      </c>
    </row>
    <row r="736" spans="1:6" x14ac:dyDescent="0.2">
      <c r="A736">
        <v>12</v>
      </c>
      <c r="B736" t="s">
        <v>1113</v>
      </c>
      <c r="C736" t="s">
        <v>937</v>
      </c>
      <c r="D736" s="8">
        <v>1.6670116363607E-3</v>
      </c>
      <c r="E736" s="6">
        <f t="shared" si="22"/>
        <v>-0.3660000000000001</v>
      </c>
      <c r="F736" s="8">
        <f t="shared" si="23"/>
        <v>-6.1012625890801634E-4</v>
      </c>
    </row>
    <row r="737" spans="1:6" x14ac:dyDescent="0.2">
      <c r="A737">
        <v>12</v>
      </c>
      <c r="B737" t="s">
        <v>1113</v>
      </c>
      <c r="C737" t="s">
        <v>1102</v>
      </c>
      <c r="D737" s="8">
        <v>3.278793600574954E-6</v>
      </c>
      <c r="E737" s="6">
        <f t="shared" si="22"/>
        <v>0</v>
      </c>
      <c r="F737" s="8">
        <f t="shared" si="23"/>
        <v>0</v>
      </c>
    </row>
    <row r="738" spans="1:6" x14ac:dyDescent="0.2">
      <c r="A738">
        <v>12</v>
      </c>
      <c r="B738" t="s">
        <v>1113</v>
      </c>
      <c r="C738" t="s">
        <v>938</v>
      </c>
      <c r="D738" s="8">
        <v>1.401174250871E-4</v>
      </c>
      <c r="E738" s="6">
        <f t="shared" si="22"/>
        <v>-0.32500000000000018</v>
      </c>
      <c r="F738" s="8">
        <f t="shared" si="23"/>
        <v>-4.5538163153307525E-5</v>
      </c>
    </row>
    <row r="739" spans="1:6" x14ac:dyDescent="0.2">
      <c r="A739">
        <v>12</v>
      </c>
      <c r="B739" t="s">
        <v>1113</v>
      </c>
      <c r="C739" t="s">
        <v>939</v>
      </c>
      <c r="D739" s="8">
        <v>4.9187808920393833E-5</v>
      </c>
      <c r="E739" s="6">
        <f t="shared" si="22"/>
        <v>-0.2240000000000002</v>
      </c>
      <c r="F739" s="8">
        <f t="shared" si="23"/>
        <v>-1.1018069198168229E-5</v>
      </c>
    </row>
    <row r="740" spans="1:6" x14ac:dyDescent="0.2">
      <c r="A740">
        <v>12</v>
      </c>
      <c r="B740" t="s">
        <v>1113</v>
      </c>
      <c r="C740" t="s">
        <v>940</v>
      </c>
      <c r="D740" s="8">
        <v>6.4686428322137591E-7</v>
      </c>
      <c r="E740" s="6">
        <f t="shared" si="22"/>
        <v>-0.11399999999999988</v>
      </c>
      <c r="F740" s="8">
        <f t="shared" si="23"/>
        <v>-7.3742528287236769E-8</v>
      </c>
    </row>
    <row r="741" spans="1:6" x14ac:dyDescent="0.2">
      <c r="A741">
        <v>12</v>
      </c>
      <c r="B741" t="s">
        <v>1113</v>
      </c>
      <c r="C741" t="s">
        <v>941</v>
      </c>
      <c r="D741" s="8">
        <v>2.018231355004E-4</v>
      </c>
      <c r="E741" s="6">
        <f t="shared" si="22"/>
        <v>0.16599999999999993</v>
      </c>
      <c r="F741" s="8">
        <f t="shared" si="23"/>
        <v>3.3502640493066386E-5</v>
      </c>
    </row>
    <row r="742" spans="1:6" x14ac:dyDescent="0.2">
      <c r="A742">
        <v>12</v>
      </c>
      <c r="B742" t="s">
        <v>1113</v>
      </c>
      <c r="C742" t="s">
        <v>1116</v>
      </c>
      <c r="D742" s="8">
        <v>1.6248512911147702E-5</v>
      </c>
      <c r="E742" s="6">
        <f t="shared" si="22"/>
        <v>0</v>
      </c>
      <c r="F742" s="8">
        <f t="shared" si="23"/>
        <v>0</v>
      </c>
    </row>
    <row r="743" spans="1:6" x14ac:dyDescent="0.2">
      <c r="A743">
        <v>12</v>
      </c>
      <c r="B743" t="s">
        <v>1113</v>
      </c>
      <c r="C743" t="s">
        <v>1091</v>
      </c>
      <c r="D743" s="8">
        <v>1.282012506273742E-7</v>
      </c>
      <c r="E743" s="6">
        <f t="shared" si="22"/>
        <v>0</v>
      </c>
      <c r="F743" s="8">
        <f t="shared" si="23"/>
        <v>0</v>
      </c>
    </row>
    <row r="744" spans="1:6" x14ac:dyDescent="0.2">
      <c r="A744">
        <v>12</v>
      </c>
      <c r="B744" t="s">
        <v>1113</v>
      </c>
      <c r="C744" t="s">
        <v>942</v>
      </c>
      <c r="D744" s="8">
        <v>1.3554360089343361E-5</v>
      </c>
      <c r="E744" s="6">
        <f t="shared" si="22"/>
        <v>0.33700000000000019</v>
      </c>
      <c r="F744" s="8">
        <f t="shared" si="23"/>
        <v>4.5678193501087148E-6</v>
      </c>
    </row>
    <row r="745" spans="1:6" x14ac:dyDescent="0.2">
      <c r="A745">
        <v>12</v>
      </c>
      <c r="B745" t="s">
        <v>1113</v>
      </c>
      <c r="C745" t="s">
        <v>943</v>
      </c>
      <c r="D745" s="8">
        <v>1.484051373844277E-5</v>
      </c>
      <c r="E745" s="6">
        <f t="shared" si="22"/>
        <v>0.40800000000000014</v>
      </c>
      <c r="F745" s="8">
        <f t="shared" si="23"/>
        <v>6.0549296052846522E-6</v>
      </c>
    </row>
    <row r="746" spans="1:6" x14ac:dyDescent="0.2">
      <c r="A746">
        <v>12</v>
      </c>
      <c r="B746" t="s">
        <v>1113</v>
      </c>
      <c r="C746" t="s">
        <v>944</v>
      </c>
      <c r="D746" s="8">
        <v>3.3270322643907998E-3</v>
      </c>
      <c r="E746" s="6">
        <f t="shared" si="22"/>
        <v>-0.122</v>
      </c>
      <c r="F746" s="8">
        <f t="shared" si="23"/>
        <v>-4.0589793625567754E-4</v>
      </c>
    </row>
    <row r="747" spans="1:6" x14ac:dyDescent="0.2">
      <c r="A747">
        <v>12</v>
      </c>
      <c r="B747" t="s">
        <v>1113</v>
      </c>
      <c r="C747" t="s">
        <v>945</v>
      </c>
      <c r="D747" s="8">
        <v>8.8268235169211007E-3</v>
      </c>
      <c r="E747" s="6">
        <f t="shared" si="22"/>
        <v>0.49000000000000021</v>
      </c>
      <c r="F747" s="8">
        <f t="shared" si="23"/>
        <v>4.3251435232913409E-3</v>
      </c>
    </row>
    <row r="748" spans="1:6" x14ac:dyDescent="0.2">
      <c r="A748">
        <v>12</v>
      </c>
      <c r="B748" t="s">
        <v>1113</v>
      </c>
      <c r="C748" t="s">
        <v>946</v>
      </c>
      <c r="D748" s="8">
        <v>6.0573344245528558E-6</v>
      </c>
      <c r="E748" s="6">
        <f t="shared" si="22"/>
        <v>-0.1639999999999997</v>
      </c>
      <c r="F748" s="8">
        <f t="shared" si="23"/>
        <v>-9.9340284562666646E-7</v>
      </c>
    </row>
    <row r="749" spans="1:6" x14ac:dyDescent="0.2">
      <c r="A749">
        <v>12</v>
      </c>
      <c r="B749" t="s">
        <v>1113</v>
      </c>
      <c r="C749" t="s">
        <v>947</v>
      </c>
      <c r="D749" s="8">
        <v>5.5921488566450001E-4</v>
      </c>
      <c r="E749" s="6">
        <f t="shared" si="22"/>
        <v>0.15500000000000003</v>
      </c>
      <c r="F749" s="8">
        <f t="shared" si="23"/>
        <v>8.667830727799752E-5</v>
      </c>
    </row>
    <row r="750" spans="1:6" x14ac:dyDescent="0.2">
      <c r="A750">
        <v>12</v>
      </c>
      <c r="B750" t="s">
        <v>1113</v>
      </c>
      <c r="C750" t="s">
        <v>948</v>
      </c>
      <c r="D750" s="8">
        <v>3.1258114738160001E-4</v>
      </c>
      <c r="E750" s="6">
        <f t="shared" si="22"/>
        <v>-1.0880000000000001</v>
      </c>
      <c r="F750" s="8">
        <f t="shared" si="23"/>
        <v>-3.4008828835118082E-4</v>
      </c>
    </row>
    <row r="751" spans="1:6" x14ac:dyDescent="0.2">
      <c r="A751">
        <v>12</v>
      </c>
      <c r="B751" t="s">
        <v>1113</v>
      </c>
      <c r="C751" t="s">
        <v>949</v>
      </c>
      <c r="D751" s="8">
        <v>5.4876486711495998E-3</v>
      </c>
      <c r="E751" s="6">
        <f t="shared" si="22"/>
        <v>0.79599999999999982</v>
      </c>
      <c r="F751" s="8">
        <f t="shared" si="23"/>
        <v>4.3681683422350801E-3</v>
      </c>
    </row>
    <row r="752" spans="1:6" x14ac:dyDescent="0.2">
      <c r="A752">
        <v>12</v>
      </c>
      <c r="B752" t="s">
        <v>1113</v>
      </c>
      <c r="C752" t="s">
        <v>950</v>
      </c>
      <c r="D752" s="8">
        <v>1.186396568282E-4</v>
      </c>
      <c r="E752" s="6">
        <f t="shared" si="22"/>
        <v>0.38300000000000001</v>
      </c>
      <c r="F752" s="8">
        <f t="shared" si="23"/>
        <v>4.54389885652006E-5</v>
      </c>
    </row>
    <row r="753" spans="1:6" x14ac:dyDescent="0.2">
      <c r="A753">
        <v>12</v>
      </c>
      <c r="B753" t="s">
        <v>1113</v>
      </c>
      <c r="C753" t="s">
        <v>951</v>
      </c>
      <c r="D753" s="8">
        <v>2.13187492898483E-2</v>
      </c>
      <c r="E753" s="6">
        <f t="shared" si="22"/>
        <v>-8.8000000000000078E-2</v>
      </c>
      <c r="F753" s="8">
        <f t="shared" si="23"/>
        <v>-1.876049937506652E-3</v>
      </c>
    </row>
    <row r="754" spans="1:6" x14ac:dyDescent="0.2">
      <c r="A754">
        <v>12</v>
      </c>
      <c r="B754" t="s">
        <v>1113</v>
      </c>
      <c r="C754" t="s">
        <v>952</v>
      </c>
      <c r="D754" s="8">
        <v>2.0277884837308899E-2</v>
      </c>
      <c r="E754" s="6">
        <f t="shared" si="22"/>
        <v>0.28300000000000014</v>
      </c>
      <c r="F754" s="8">
        <f t="shared" si="23"/>
        <v>5.738641408958421E-3</v>
      </c>
    </row>
    <row r="755" spans="1:6" x14ac:dyDescent="0.2">
      <c r="A755">
        <v>12</v>
      </c>
      <c r="B755" t="s">
        <v>1113</v>
      </c>
      <c r="C755" t="s">
        <v>953</v>
      </c>
      <c r="D755" s="8">
        <v>8.5755823658855007E-3</v>
      </c>
      <c r="E755" s="6">
        <f t="shared" si="22"/>
        <v>-0.42500000000000004</v>
      </c>
      <c r="F755" s="8">
        <f t="shared" si="23"/>
        <v>-3.644622505501338E-3</v>
      </c>
    </row>
    <row r="756" spans="1:6" x14ac:dyDescent="0.2">
      <c r="A756">
        <v>12</v>
      </c>
      <c r="B756" t="s">
        <v>1113</v>
      </c>
      <c r="C756" t="s">
        <v>954</v>
      </c>
      <c r="D756" s="8">
        <v>1.7493319530708171E-5</v>
      </c>
      <c r="E756" s="6">
        <f t="shared" si="22"/>
        <v>2.0929999999999991</v>
      </c>
      <c r="F756" s="8">
        <f t="shared" si="23"/>
        <v>3.6613517777772186E-5</v>
      </c>
    </row>
    <row r="757" spans="1:6" x14ac:dyDescent="0.2">
      <c r="A757">
        <v>12</v>
      </c>
      <c r="B757" t="s">
        <v>1113</v>
      </c>
      <c r="C757" t="s">
        <v>955</v>
      </c>
      <c r="D757" s="8">
        <v>5.6130617294309997E-4</v>
      </c>
      <c r="E757" s="6">
        <f t="shared" si="22"/>
        <v>-0.40500000000000003</v>
      </c>
      <c r="F757" s="8">
        <f t="shared" si="23"/>
        <v>-2.273290000419555E-4</v>
      </c>
    </row>
    <row r="758" spans="1:6" x14ac:dyDescent="0.2">
      <c r="A758">
        <v>12</v>
      </c>
      <c r="B758" t="s">
        <v>1113</v>
      </c>
      <c r="C758" t="s">
        <v>956</v>
      </c>
      <c r="D758" s="8">
        <v>1.774563784977E-4</v>
      </c>
      <c r="E758" s="6">
        <f t="shared" si="22"/>
        <v>-0.44700000000000006</v>
      </c>
      <c r="F758" s="8">
        <f t="shared" si="23"/>
        <v>-7.9323001188471914E-5</v>
      </c>
    </row>
    <row r="759" spans="1:6" x14ac:dyDescent="0.2">
      <c r="A759">
        <v>12</v>
      </c>
      <c r="B759" t="s">
        <v>1113</v>
      </c>
      <c r="C759" t="s">
        <v>957</v>
      </c>
      <c r="D759" s="8">
        <v>1.8717485759407999E-3</v>
      </c>
      <c r="E759" s="6">
        <f t="shared" si="22"/>
        <v>-0.11499999999999988</v>
      </c>
      <c r="F759" s="8">
        <f t="shared" si="23"/>
        <v>-2.1525108623319177E-4</v>
      </c>
    </row>
    <row r="760" spans="1:6" x14ac:dyDescent="0.2">
      <c r="A760">
        <v>12</v>
      </c>
      <c r="B760" t="s">
        <v>1113</v>
      </c>
      <c r="C760" t="s">
        <v>1117</v>
      </c>
      <c r="D760" s="8">
        <v>1.523397144179439E-5</v>
      </c>
      <c r="E760" s="6">
        <f t="shared" si="22"/>
        <v>0</v>
      </c>
      <c r="F760" s="8">
        <f t="shared" si="23"/>
        <v>0</v>
      </c>
    </row>
    <row r="761" spans="1:6" x14ac:dyDescent="0.2">
      <c r="A761">
        <v>12</v>
      </c>
      <c r="B761" t="s">
        <v>1113</v>
      </c>
      <c r="C761" t="s">
        <v>958</v>
      </c>
      <c r="D761" s="8">
        <v>8.1765091584080665E-5</v>
      </c>
      <c r="E761" s="6">
        <f t="shared" si="22"/>
        <v>9.6999999999999975E-2</v>
      </c>
      <c r="F761" s="8">
        <f t="shared" si="23"/>
        <v>7.9312138836558229E-6</v>
      </c>
    </row>
    <row r="762" spans="1:6" x14ac:dyDescent="0.2">
      <c r="A762">
        <v>12</v>
      </c>
      <c r="B762" t="s">
        <v>1113</v>
      </c>
      <c r="C762" t="s">
        <v>959</v>
      </c>
      <c r="D762" s="8">
        <v>3.7437147314778002E-3</v>
      </c>
      <c r="E762" s="6">
        <f t="shared" si="22"/>
        <v>-0.60699999999999998</v>
      </c>
      <c r="F762" s="8">
        <f t="shared" si="23"/>
        <v>-2.2724348420070247E-3</v>
      </c>
    </row>
    <row r="763" spans="1:6" x14ac:dyDescent="0.2">
      <c r="A763">
        <v>12</v>
      </c>
      <c r="B763" t="s">
        <v>1113</v>
      </c>
      <c r="C763" t="s">
        <v>960</v>
      </c>
      <c r="D763" s="8">
        <v>9.8391889194400007E-4</v>
      </c>
      <c r="E763" s="6">
        <f t="shared" si="22"/>
        <v>0.29999999999999982</v>
      </c>
      <c r="F763" s="8">
        <f t="shared" si="23"/>
        <v>2.9517566758319983E-4</v>
      </c>
    </row>
    <row r="764" spans="1:6" x14ac:dyDescent="0.2">
      <c r="A764">
        <v>12</v>
      </c>
      <c r="B764" t="s">
        <v>1113</v>
      </c>
      <c r="C764" t="s">
        <v>961</v>
      </c>
      <c r="D764" s="8">
        <v>1.7729482799321999E-3</v>
      </c>
      <c r="E764" s="6">
        <f t="shared" si="22"/>
        <v>6.9999999999996732E-3</v>
      </c>
      <c r="F764" s="8">
        <f t="shared" si="23"/>
        <v>1.241063795952482E-5</v>
      </c>
    </row>
    <row r="765" spans="1:6" x14ac:dyDescent="0.2">
      <c r="A765">
        <v>12</v>
      </c>
      <c r="B765" t="s">
        <v>1113</v>
      </c>
      <c r="C765" t="s">
        <v>962</v>
      </c>
      <c r="D765" s="8">
        <v>2.2151020285257001E-3</v>
      </c>
      <c r="E765" s="6">
        <f t="shared" si="22"/>
        <v>-1.9090000000000007</v>
      </c>
      <c r="F765" s="8">
        <f t="shared" si="23"/>
        <v>-4.2286297724555633E-3</v>
      </c>
    </row>
    <row r="766" spans="1:6" x14ac:dyDescent="0.2">
      <c r="A766">
        <v>12</v>
      </c>
      <c r="B766" t="s">
        <v>1113</v>
      </c>
      <c r="C766" t="s">
        <v>963</v>
      </c>
      <c r="D766" s="8">
        <v>1.2840186632204001E-3</v>
      </c>
      <c r="E766" s="6">
        <f t="shared" ref="E766:E829" si="24">IFERROR(VLOOKUP(C766,$A$6:$D$185,4,FALSE),0)</f>
        <v>7.2000000000000064E-2</v>
      </c>
      <c r="F766" s="8">
        <f t="shared" ref="F766:F829" si="25">D766*E766</f>
        <v>9.2449343751868884E-5</v>
      </c>
    </row>
    <row r="767" spans="1:6" x14ac:dyDescent="0.2">
      <c r="A767">
        <v>12</v>
      </c>
      <c r="B767" t="s">
        <v>1113</v>
      </c>
      <c r="C767" t="s">
        <v>964</v>
      </c>
      <c r="D767" s="8">
        <v>2.35458017614317E-5</v>
      </c>
      <c r="E767" s="6">
        <f t="shared" si="24"/>
        <v>-9.9999999999999645E-2</v>
      </c>
      <c r="F767" s="8">
        <f t="shared" si="25"/>
        <v>-2.3545801761431617E-6</v>
      </c>
    </row>
    <row r="768" spans="1:6" x14ac:dyDescent="0.2">
      <c r="A768">
        <v>12</v>
      </c>
      <c r="B768" t="s">
        <v>1113</v>
      </c>
      <c r="C768" t="s">
        <v>1118</v>
      </c>
      <c r="D768" s="8">
        <v>2.2586025247519999E-4</v>
      </c>
      <c r="E768" s="6">
        <f t="shared" si="24"/>
        <v>0</v>
      </c>
      <c r="F768" s="8">
        <f t="shared" si="25"/>
        <v>0</v>
      </c>
    </row>
    <row r="769" spans="1:6" x14ac:dyDescent="0.2">
      <c r="A769">
        <v>12</v>
      </c>
      <c r="B769" t="s">
        <v>1113</v>
      </c>
      <c r="C769" t="s">
        <v>965</v>
      </c>
      <c r="D769" s="8">
        <v>2.6167244981306998E-3</v>
      </c>
      <c r="E769" s="6">
        <f t="shared" si="24"/>
        <v>4.5000000000000151E-2</v>
      </c>
      <c r="F769" s="8">
        <f t="shared" si="25"/>
        <v>1.1775260241588189E-4</v>
      </c>
    </row>
    <row r="770" spans="1:6" x14ac:dyDescent="0.2">
      <c r="A770">
        <v>12</v>
      </c>
      <c r="B770" t="s">
        <v>1113</v>
      </c>
      <c r="C770" t="s">
        <v>966</v>
      </c>
      <c r="D770" s="8">
        <v>9.4494133164718754E-6</v>
      </c>
      <c r="E770" s="6">
        <f t="shared" si="24"/>
        <v>-0.21399999999999997</v>
      </c>
      <c r="F770" s="8">
        <f t="shared" si="25"/>
        <v>-2.0221744497249808E-6</v>
      </c>
    </row>
    <row r="771" spans="1:6" x14ac:dyDescent="0.2">
      <c r="A771">
        <v>12</v>
      </c>
      <c r="B771" t="s">
        <v>1113</v>
      </c>
      <c r="C771" t="s">
        <v>967</v>
      </c>
      <c r="D771" s="8">
        <v>8.4324218126820318E-5</v>
      </c>
      <c r="E771" s="6">
        <f t="shared" si="24"/>
        <v>0.10000000000000009</v>
      </c>
      <c r="F771" s="8">
        <f t="shared" si="25"/>
        <v>8.4324218126820393E-6</v>
      </c>
    </row>
    <row r="772" spans="1:6" x14ac:dyDescent="0.2">
      <c r="A772">
        <v>12</v>
      </c>
      <c r="B772" t="s">
        <v>1113</v>
      </c>
      <c r="C772" t="s">
        <v>1105</v>
      </c>
      <c r="D772" s="8">
        <v>5.0533242534059289E-6</v>
      </c>
      <c r="E772" s="6">
        <f t="shared" si="24"/>
        <v>0</v>
      </c>
      <c r="F772" s="8">
        <f t="shared" si="25"/>
        <v>0</v>
      </c>
    </row>
    <row r="773" spans="1:6" x14ac:dyDescent="0.2">
      <c r="A773">
        <v>12</v>
      </c>
      <c r="B773" t="s">
        <v>1113</v>
      </c>
      <c r="C773" t="s">
        <v>968</v>
      </c>
      <c r="D773" s="8">
        <v>3.7824959121734592E-5</v>
      </c>
      <c r="E773" s="6">
        <f t="shared" si="24"/>
        <v>-6.7510000000000012</v>
      </c>
      <c r="F773" s="8">
        <f t="shared" si="25"/>
        <v>-2.5535629903083025E-4</v>
      </c>
    </row>
    <row r="774" spans="1:6" x14ac:dyDescent="0.2">
      <c r="A774">
        <v>12</v>
      </c>
      <c r="B774" t="s">
        <v>1113</v>
      </c>
      <c r="C774" t="s">
        <v>969</v>
      </c>
      <c r="D774" s="8">
        <v>2.9063485545141E-3</v>
      </c>
      <c r="E774" s="6">
        <f t="shared" si="24"/>
        <v>0.53699999999999992</v>
      </c>
      <c r="F774" s="8">
        <f t="shared" si="25"/>
        <v>1.5607091737740715E-3</v>
      </c>
    </row>
    <row r="775" spans="1:6" x14ac:dyDescent="0.2">
      <c r="A775">
        <v>12</v>
      </c>
      <c r="B775" t="s">
        <v>1113</v>
      </c>
      <c r="C775" t="s">
        <v>970</v>
      </c>
      <c r="D775" s="8">
        <v>5.7847632442019998E-4</v>
      </c>
      <c r="E775" s="6">
        <f t="shared" si="24"/>
        <v>-0.10000000000000009</v>
      </c>
      <c r="F775" s="8">
        <f t="shared" si="25"/>
        <v>-5.784763244202005E-5</v>
      </c>
    </row>
    <row r="776" spans="1:6" x14ac:dyDescent="0.2">
      <c r="A776">
        <v>12</v>
      </c>
      <c r="B776" t="s">
        <v>1113</v>
      </c>
      <c r="C776" t="s">
        <v>971</v>
      </c>
      <c r="D776" s="8">
        <v>1.4219563631034E-3</v>
      </c>
      <c r="E776" s="6">
        <f t="shared" si="24"/>
        <v>-0.13700000000000001</v>
      </c>
      <c r="F776" s="8">
        <f t="shared" si="25"/>
        <v>-1.9480802174516582E-4</v>
      </c>
    </row>
    <row r="777" spans="1:6" x14ac:dyDescent="0.2">
      <c r="A777">
        <v>12</v>
      </c>
      <c r="B777" t="s">
        <v>1113</v>
      </c>
      <c r="C777" t="s">
        <v>972</v>
      </c>
      <c r="D777" s="8">
        <v>3.1025653751592E-3</v>
      </c>
      <c r="E777" s="6">
        <f t="shared" si="24"/>
        <v>-2.7</v>
      </c>
      <c r="F777" s="8">
        <f t="shared" si="25"/>
        <v>-8.3769265129298408E-3</v>
      </c>
    </row>
    <row r="778" spans="1:6" x14ac:dyDescent="0.2">
      <c r="A778">
        <v>12</v>
      </c>
      <c r="B778" t="s">
        <v>1113</v>
      </c>
      <c r="C778" t="s">
        <v>973</v>
      </c>
      <c r="D778" s="8">
        <v>7.2238971423703015E-5</v>
      </c>
      <c r="E778" s="6">
        <f t="shared" si="24"/>
        <v>-0.84999999999999987</v>
      </c>
      <c r="F778" s="8">
        <f t="shared" si="25"/>
        <v>-6.1403125710147554E-5</v>
      </c>
    </row>
    <row r="779" spans="1:6" x14ac:dyDescent="0.2">
      <c r="A779">
        <v>12</v>
      </c>
      <c r="B779" t="s">
        <v>1113</v>
      </c>
      <c r="C779" t="s">
        <v>975</v>
      </c>
      <c r="D779" s="8">
        <v>0.1167365309378315</v>
      </c>
      <c r="E779" s="6">
        <f t="shared" si="24"/>
        <v>0.23500000000000032</v>
      </c>
      <c r="F779" s="8">
        <f t="shared" si="25"/>
        <v>2.7433084770390439E-2</v>
      </c>
    </row>
    <row r="780" spans="1:6" x14ac:dyDescent="0.2">
      <c r="A780">
        <v>12</v>
      </c>
      <c r="B780" t="s">
        <v>1113</v>
      </c>
      <c r="C780" t="s">
        <v>976</v>
      </c>
      <c r="D780" s="8">
        <v>3.4253876846567969E-5</v>
      </c>
      <c r="E780" s="6">
        <f t="shared" si="24"/>
        <v>0.38700000000000001</v>
      </c>
      <c r="F780" s="8">
        <f t="shared" si="25"/>
        <v>1.3256250339621804E-5</v>
      </c>
    </row>
    <row r="781" spans="1:6" x14ac:dyDescent="0.2">
      <c r="A781">
        <v>12</v>
      </c>
      <c r="B781" t="s">
        <v>1113</v>
      </c>
      <c r="C781" t="s">
        <v>977</v>
      </c>
      <c r="D781" s="8">
        <v>4.6568024256300001E-4</v>
      </c>
      <c r="E781" s="6">
        <f t="shared" si="24"/>
        <v>-7.2039999999999997</v>
      </c>
      <c r="F781" s="8">
        <f t="shared" si="25"/>
        <v>-3.3547604674238518E-3</v>
      </c>
    </row>
    <row r="782" spans="1:6" x14ac:dyDescent="0.2">
      <c r="A782">
        <v>12</v>
      </c>
      <c r="B782" t="s">
        <v>1113</v>
      </c>
      <c r="C782" t="s">
        <v>978</v>
      </c>
      <c r="D782" s="8">
        <v>2.2560316897086E-3</v>
      </c>
      <c r="E782" s="6">
        <f t="shared" si="24"/>
        <v>-8.2390000000000008</v>
      </c>
      <c r="F782" s="8">
        <f t="shared" si="25"/>
        <v>-1.8587445091509159E-2</v>
      </c>
    </row>
    <row r="783" spans="1:6" x14ac:dyDescent="0.2">
      <c r="A783">
        <v>12</v>
      </c>
      <c r="B783" t="s">
        <v>1113</v>
      </c>
      <c r="C783" t="s">
        <v>979</v>
      </c>
      <c r="D783" s="8">
        <v>2.1419442839398201E-5</v>
      </c>
      <c r="E783" s="6">
        <f t="shared" si="24"/>
        <v>-0.5</v>
      </c>
      <c r="F783" s="8">
        <f t="shared" si="25"/>
        <v>-1.07097214196991E-5</v>
      </c>
    </row>
    <row r="784" spans="1:6" x14ac:dyDescent="0.2">
      <c r="A784">
        <v>12</v>
      </c>
      <c r="B784" t="s">
        <v>1113</v>
      </c>
      <c r="C784" t="s">
        <v>980</v>
      </c>
      <c r="D784" s="8">
        <v>1.5477958060706001E-3</v>
      </c>
      <c r="E784" s="6">
        <f t="shared" si="24"/>
        <v>-0.10000000000000009</v>
      </c>
      <c r="F784" s="8">
        <f t="shared" si="25"/>
        <v>-1.5477958060706014E-4</v>
      </c>
    </row>
    <row r="785" spans="1:6" x14ac:dyDescent="0.2">
      <c r="A785">
        <v>12</v>
      </c>
      <c r="B785" t="s">
        <v>1113</v>
      </c>
      <c r="C785" t="s">
        <v>981</v>
      </c>
      <c r="D785" s="8">
        <v>1.7055157300334401E-2</v>
      </c>
      <c r="E785" s="6">
        <f t="shared" si="24"/>
        <v>-0.33499999999999996</v>
      </c>
      <c r="F785" s="8">
        <f t="shared" si="25"/>
        <v>-5.7134776956120235E-3</v>
      </c>
    </row>
    <row r="786" spans="1:6" x14ac:dyDescent="0.2">
      <c r="A786">
        <v>12</v>
      </c>
      <c r="B786" t="s">
        <v>1113</v>
      </c>
      <c r="C786" t="s">
        <v>982</v>
      </c>
      <c r="D786" s="8">
        <v>1.5392268747480001E-4</v>
      </c>
      <c r="E786" s="6">
        <f t="shared" si="24"/>
        <v>-2.8</v>
      </c>
      <c r="F786" s="8">
        <f t="shared" si="25"/>
        <v>-4.3098352492943999E-4</v>
      </c>
    </row>
    <row r="787" spans="1:6" x14ac:dyDescent="0.2">
      <c r="A787">
        <v>12</v>
      </c>
      <c r="B787" t="s">
        <v>1113</v>
      </c>
      <c r="C787" t="s">
        <v>983</v>
      </c>
      <c r="D787" s="8">
        <v>1.1945850213437E-3</v>
      </c>
      <c r="E787" s="6">
        <f t="shared" si="24"/>
        <v>-0.19999999999999973</v>
      </c>
      <c r="F787" s="8">
        <f t="shared" si="25"/>
        <v>-2.3891700426873969E-4</v>
      </c>
    </row>
    <row r="788" spans="1:6" x14ac:dyDescent="0.2">
      <c r="A788">
        <v>12</v>
      </c>
      <c r="B788" t="s">
        <v>1113</v>
      </c>
      <c r="C788" t="s">
        <v>984</v>
      </c>
      <c r="D788" s="8">
        <v>2.0656303595332399E-2</v>
      </c>
      <c r="E788" s="6">
        <f t="shared" si="24"/>
        <v>0.121</v>
      </c>
      <c r="F788" s="8">
        <f t="shared" si="25"/>
        <v>2.4994127350352201E-3</v>
      </c>
    </row>
    <row r="789" spans="1:6" x14ac:dyDescent="0.2">
      <c r="A789">
        <v>12</v>
      </c>
      <c r="B789" t="s">
        <v>1113</v>
      </c>
      <c r="C789" t="s">
        <v>985</v>
      </c>
      <c r="D789" s="8">
        <v>2.280723734568E-4</v>
      </c>
      <c r="E789" s="6">
        <f t="shared" si="24"/>
        <v>0.34299999999999997</v>
      </c>
      <c r="F789" s="8">
        <f t="shared" si="25"/>
        <v>7.8228824095682398E-5</v>
      </c>
    </row>
    <row r="790" spans="1:6" x14ac:dyDescent="0.2">
      <c r="A790">
        <v>12</v>
      </c>
      <c r="B790" t="s">
        <v>1113</v>
      </c>
      <c r="C790" t="s">
        <v>986</v>
      </c>
      <c r="D790" s="8">
        <v>7.3696708941194998E-3</v>
      </c>
      <c r="E790" s="6">
        <f t="shared" si="24"/>
        <v>-0.38900000000000023</v>
      </c>
      <c r="F790" s="8">
        <f t="shared" si="25"/>
        <v>-2.8668019778124872E-3</v>
      </c>
    </row>
    <row r="791" spans="1:6" x14ac:dyDescent="0.2">
      <c r="A791">
        <v>12</v>
      </c>
      <c r="B791" t="s">
        <v>1113</v>
      </c>
      <c r="C791" t="s">
        <v>987</v>
      </c>
      <c r="D791" s="8">
        <v>2.0915248851585201E-5</v>
      </c>
      <c r="E791" s="6">
        <f t="shared" si="24"/>
        <v>0.83399999999999963</v>
      </c>
      <c r="F791" s="8">
        <f t="shared" si="25"/>
        <v>1.7443317542222049E-5</v>
      </c>
    </row>
    <row r="792" spans="1:6" x14ac:dyDescent="0.2">
      <c r="A792">
        <v>12</v>
      </c>
      <c r="B792" t="s">
        <v>1113</v>
      </c>
      <c r="C792" t="s">
        <v>988</v>
      </c>
      <c r="D792" s="8">
        <v>1.7482047633437E-3</v>
      </c>
      <c r="E792" s="6">
        <f t="shared" si="24"/>
        <v>0.59299999999999997</v>
      </c>
      <c r="F792" s="8">
        <f t="shared" si="25"/>
        <v>1.0366854246628141E-3</v>
      </c>
    </row>
    <row r="793" spans="1:6" x14ac:dyDescent="0.2">
      <c r="A793">
        <v>12</v>
      </c>
      <c r="B793" t="s">
        <v>1113</v>
      </c>
      <c r="C793" t="s">
        <v>989</v>
      </c>
      <c r="D793" s="8">
        <v>4.4373131487172987E-5</v>
      </c>
      <c r="E793" s="6">
        <f t="shared" si="24"/>
        <v>-0.12199999999999989</v>
      </c>
      <c r="F793" s="8">
        <f t="shared" si="25"/>
        <v>-5.4135220414350994E-6</v>
      </c>
    </row>
    <row r="794" spans="1:6" x14ac:dyDescent="0.2">
      <c r="A794">
        <v>12</v>
      </c>
      <c r="B794" t="s">
        <v>1113</v>
      </c>
      <c r="C794" t="s">
        <v>1119</v>
      </c>
      <c r="D794" s="8">
        <v>5.3643114276155934E-7</v>
      </c>
      <c r="E794" s="6">
        <f t="shared" si="24"/>
        <v>0</v>
      </c>
      <c r="F794" s="8">
        <f t="shared" si="25"/>
        <v>0</v>
      </c>
    </row>
    <row r="795" spans="1:6" x14ac:dyDescent="0.2">
      <c r="A795">
        <v>12</v>
      </c>
      <c r="B795" t="s">
        <v>1113</v>
      </c>
      <c r="C795" t="s">
        <v>990</v>
      </c>
      <c r="D795" s="8">
        <v>1.6540296543568499E-2</v>
      </c>
      <c r="E795" s="6">
        <f t="shared" si="24"/>
        <v>0.45299999999999985</v>
      </c>
      <c r="F795" s="8">
        <f t="shared" si="25"/>
        <v>7.4927543342365273E-3</v>
      </c>
    </row>
    <row r="796" spans="1:6" x14ac:dyDescent="0.2">
      <c r="A796">
        <v>12</v>
      </c>
      <c r="B796" t="s">
        <v>1113</v>
      </c>
      <c r="C796" t="s">
        <v>991</v>
      </c>
      <c r="D796" s="8">
        <v>4.8062947497740002E-4</v>
      </c>
      <c r="E796" s="6">
        <f t="shared" si="24"/>
        <v>-3.7290000000000001</v>
      </c>
      <c r="F796" s="8">
        <f t="shared" si="25"/>
        <v>-1.7922673121907246E-3</v>
      </c>
    </row>
    <row r="797" spans="1:6" x14ac:dyDescent="0.2">
      <c r="A797">
        <v>12</v>
      </c>
      <c r="B797" t="s">
        <v>1113</v>
      </c>
      <c r="C797" t="s">
        <v>992</v>
      </c>
      <c r="D797" s="8">
        <v>3.575859652125995E-6</v>
      </c>
      <c r="E797" s="6">
        <f t="shared" si="24"/>
        <v>2.048</v>
      </c>
      <c r="F797" s="8">
        <f t="shared" si="25"/>
        <v>7.3233605675540382E-6</v>
      </c>
    </row>
    <row r="798" spans="1:6" x14ac:dyDescent="0.2">
      <c r="A798">
        <v>12</v>
      </c>
      <c r="B798" t="s">
        <v>1113</v>
      </c>
      <c r="C798" t="s">
        <v>1092</v>
      </c>
      <c r="D798" s="8">
        <v>6.3848574755660001E-4</v>
      </c>
      <c r="E798" s="6">
        <f t="shared" si="24"/>
        <v>0</v>
      </c>
      <c r="F798" s="8">
        <f t="shared" si="25"/>
        <v>0</v>
      </c>
    </row>
    <row r="799" spans="1:6" x14ac:dyDescent="0.2">
      <c r="A799">
        <v>12</v>
      </c>
      <c r="B799" t="s">
        <v>1113</v>
      </c>
      <c r="C799" t="s">
        <v>993</v>
      </c>
      <c r="D799" s="8">
        <v>6.079407025693E-4</v>
      </c>
      <c r="E799" s="6">
        <f t="shared" si="24"/>
        <v>-0.42900000000000027</v>
      </c>
      <c r="F799" s="8">
        <f t="shared" si="25"/>
        <v>-2.6080656140222986E-4</v>
      </c>
    </row>
    <row r="800" spans="1:6" x14ac:dyDescent="0.2">
      <c r="A800">
        <v>12</v>
      </c>
      <c r="B800" t="s">
        <v>1113</v>
      </c>
      <c r="C800" t="s">
        <v>994</v>
      </c>
      <c r="D800" s="8">
        <v>3.881331013169E-4</v>
      </c>
      <c r="E800" s="6">
        <f t="shared" si="24"/>
        <v>2.415</v>
      </c>
      <c r="F800" s="8">
        <f t="shared" si="25"/>
        <v>9.3734143968031349E-4</v>
      </c>
    </row>
    <row r="801" spans="1:6" x14ac:dyDescent="0.2">
      <c r="A801">
        <v>12</v>
      </c>
      <c r="B801" t="s">
        <v>1113</v>
      </c>
      <c r="C801" t="s">
        <v>1120</v>
      </c>
      <c r="D801" s="8">
        <v>1.327514173779724E-5</v>
      </c>
      <c r="E801" s="6">
        <f t="shared" si="24"/>
        <v>0</v>
      </c>
      <c r="F801" s="8">
        <f t="shared" si="25"/>
        <v>0</v>
      </c>
    </row>
    <row r="802" spans="1:6" x14ac:dyDescent="0.2">
      <c r="A802">
        <v>12</v>
      </c>
      <c r="B802" t="s">
        <v>1113</v>
      </c>
      <c r="C802" t="s">
        <v>1093</v>
      </c>
      <c r="D802" s="8">
        <v>2.2604814898462E-3</v>
      </c>
      <c r="E802" s="6">
        <f t="shared" si="24"/>
        <v>0</v>
      </c>
      <c r="F802" s="8">
        <f t="shared" si="25"/>
        <v>0</v>
      </c>
    </row>
    <row r="803" spans="1:6" x14ac:dyDescent="0.2">
      <c r="A803">
        <v>12</v>
      </c>
      <c r="B803" t="s">
        <v>1113</v>
      </c>
      <c r="C803" t="s">
        <v>996</v>
      </c>
      <c r="D803" s="8">
        <v>2.075334854666E-4</v>
      </c>
      <c r="E803" s="6">
        <f t="shared" si="24"/>
        <v>0.44099999999999984</v>
      </c>
      <c r="F803" s="8">
        <f t="shared" si="25"/>
        <v>9.1522267090770571E-5</v>
      </c>
    </row>
    <row r="804" spans="1:6" x14ac:dyDescent="0.2">
      <c r="A804">
        <v>12</v>
      </c>
      <c r="B804" t="s">
        <v>1113</v>
      </c>
      <c r="C804" t="s">
        <v>997</v>
      </c>
      <c r="D804" s="8">
        <v>5.0773034478771991E-8</v>
      </c>
      <c r="E804" s="6">
        <f t="shared" si="24"/>
        <v>-0.61499999999999977</v>
      </c>
      <c r="F804" s="8">
        <f t="shared" si="25"/>
        <v>-3.1225416204444766E-8</v>
      </c>
    </row>
    <row r="805" spans="1:6" x14ac:dyDescent="0.2">
      <c r="A805">
        <v>12</v>
      </c>
      <c r="B805" t="s">
        <v>1113</v>
      </c>
      <c r="C805" t="s">
        <v>998</v>
      </c>
      <c r="D805" s="8">
        <v>7.9737397360829998E-4</v>
      </c>
      <c r="E805" s="6">
        <f t="shared" si="24"/>
        <v>-0.28200000000000003</v>
      </c>
      <c r="F805" s="8">
        <f t="shared" si="25"/>
        <v>-2.2485946055754061E-4</v>
      </c>
    </row>
    <row r="806" spans="1:6" x14ac:dyDescent="0.2">
      <c r="A806">
        <v>12</v>
      </c>
      <c r="B806" t="s">
        <v>1113</v>
      </c>
      <c r="C806" t="s">
        <v>999</v>
      </c>
      <c r="D806" s="8">
        <v>7.7696326084765007E-6</v>
      </c>
      <c r="E806" s="6">
        <f t="shared" si="24"/>
        <v>-0.5219999999999998</v>
      </c>
      <c r="F806" s="8">
        <f t="shared" si="25"/>
        <v>-4.055748221624732E-6</v>
      </c>
    </row>
    <row r="807" spans="1:6" x14ac:dyDescent="0.2">
      <c r="A807">
        <v>12</v>
      </c>
      <c r="B807" t="s">
        <v>1113</v>
      </c>
      <c r="C807" t="s">
        <v>1000</v>
      </c>
      <c r="D807" s="8">
        <v>1.0278193629612001E-3</v>
      </c>
      <c r="E807" s="6">
        <f t="shared" si="24"/>
        <v>1.1540000000000004</v>
      </c>
      <c r="F807" s="8">
        <f t="shared" si="25"/>
        <v>1.1861035448572253E-3</v>
      </c>
    </row>
    <row r="808" spans="1:6" x14ac:dyDescent="0.2">
      <c r="A808">
        <v>12</v>
      </c>
      <c r="B808" t="s">
        <v>1113</v>
      </c>
      <c r="C808" t="s">
        <v>1121</v>
      </c>
      <c r="D808" s="8">
        <v>1.10023925131623E-5</v>
      </c>
      <c r="E808" s="6">
        <f t="shared" si="24"/>
        <v>0</v>
      </c>
      <c r="F808" s="8">
        <f t="shared" si="25"/>
        <v>0</v>
      </c>
    </row>
    <row r="809" spans="1:6" x14ac:dyDescent="0.2">
      <c r="A809">
        <v>12</v>
      </c>
      <c r="B809" t="s">
        <v>1113</v>
      </c>
      <c r="C809" t="s">
        <v>1001</v>
      </c>
      <c r="D809" s="8">
        <v>1.9916300012610001E-4</v>
      </c>
      <c r="E809" s="6">
        <f t="shared" si="24"/>
        <v>-0.60600000000000032</v>
      </c>
      <c r="F809" s="8">
        <f t="shared" si="25"/>
        <v>-1.2069277807641667E-4</v>
      </c>
    </row>
    <row r="810" spans="1:6" x14ac:dyDescent="0.2">
      <c r="A810">
        <v>12</v>
      </c>
      <c r="B810" t="s">
        <v>1113</v>
      </c>
      <c r="C810" t="s">
        <v>1002</v>
      </c>
      <c r="D810" s="8">
        <v>1.5304952895650001E-4</v>
      </c>
      <c r="E810" s="6">
        <f t="shared" si="24"/>
        <v>-1.3390000000000004</v>
      </c>
      <c r="F810" s="8">
        <f t="shared" si="25"/>
        <v>-2.0493331927275358E-4</v>
      </c>
    </row>
    <row r="811" spans="1:6" x14ac:dyDescent="0.2">
      <c r="A811">
        <v>12</v>
      </c>
      <c r="B811" t="s">
        <v>1113</v>
      </c>
      <c r="C811" t="s">
        <v>1003</v>
      </c>
      <c r="D811" s="8">
        <v>2.8010368345729999E-3</v>
      </c>
      <c r="E811" s="6">
        <f t="shared" si="24"/>
        <v>0.22999999999999998</v>
      </c>
      <c r="F811" s="8">
        <f t="shared" si="25"/>
        <v>6.4423847195178993E-4</v>
      </c>
    </row>
    <row r="812" spans="1:6" x14ac:dyDescent="0.2">
      <c r="A812">
        <v>12</v>
      </c>
      <c r="B812" t="s">
        <v>1113</v>
      </c>
      <c r="C812" t="s">
        <v>1004</v>
      </c>
      <c r="D812" s="8">
        <v>7.3538553707599831E-5</v>
      </c>
      <c r="E812" s="6">
        <f t="shared" si="24"/>
        <v>-0.37000000000000011</v>
      </c>
      <c r="F812" s="8">
        <f t="shared" si="25"/>
        <v>-2.7209264871811946E-5</v>
      </c>
    </row>
    <row r="813" spans="1:6" x14ac:dyDescent="0.2">
      <c r="A813">
        <v>12</v>
      </c>
      <c r="B813" t="s">
        <v>1113</v>
      </c>
      <c r="C813" t="s">
        <v>1005</v>
      </c>
      <c r="D813" s="8">
        <v>3.1974968579933932E-5</v>
      </c>
      <c r="E813" s="6">
        <f t="shared" si="24"/>
        <v>-0.10000000000000009</v>
      </c>
      <c r="F813" s="8">
        <f t="shared" si="25"/>
        <v>-3.1974968579933962E-6</v>
      </c>
    </row>
    <row r="814" spans="1:6" x14ac:dyDescent="0.2">
      <c r="A814">
        <v>12</v>
      </c>
      <c r="B814" t="s">
        <v>1113</v>
      </c>
      <c r="C814" t="s">
        <v>1006</v>
      </c>
      <c r="D814" s="8">
        <v>1.9729731936351701E-5</v>
      </c>
      <c r="E814" s="6">
        <f t="shared" si="24"/>
        <v>0.40000000000000036</v>
      </c>
      <c r="F814" s="8">
        <f t="shared" si="25"/>
        <v>7.8918927745406874E-6</v>
      </c>
    </row>
    <row r="815" spans="1:6" x14ac:dyDescent="0.2">
      <c r="A815">
        <v>12</v>
      </c>
      <c r="B815" t="s">
        <v>1113</v>
      </c>
      <c r="C815" t="s">
        <v>1007</v>
      </c>
      <c r="D815" s="8">
        <v>2.2978527264689999E-4</v>
      </c>
      <c r="E815" s="6">
        <f t="shared" si="24"/>
        <v>-0.19999999999999973</v>
      </c>
      <c r="F815" s="8">
        <f t="shared" si="25"/>
        <v>-4.5957054529379941E-5</v>
      </c>
    </row>
    <row r="816" spans="1:6" x14ac:dyDescent="0.2">
      <c r="A816">
        <v>12</v>
      </c>
      <c r="B816" t="s">
        <v>1113</v>
      </c>
      <c r="C816" t="s">
        <v>1008</v>
      </c>
      <c r="D816" s="8">
        <v>1.3684056107887199E-2</v>
      </c>
      <c r="E816" s="6">
        <f t="shared" si="24"/>
        <v>0.94799999999999995</v>
      </c>
      <c r="F816" s="8">
        <f t="shared" si="25"/>
        <v>1.2972485190277064E-2</v>
      </c>
    </row>
    <row r="817" spans="1:6" x14ac:dyDescent="0.2">
      <c r="A817">
        <v>12</v>
      </c>
      <c r="B817" t="s">
        <v>1113</v>
      </c>
      <c r="C817" t="s">
        <v>1098</v>
      </c>
      <c r="D817" s="8">
        <v>3.377091120070122E-5</v>
      </c>
      <c r="E817" s="6">
        <f t="shared" si="24"/>
        <v>0</v>
      </c>
      <c r="F817" s="8">
        <f t="shared" si="25"/>
        <v>0</v>
      </c>
    </row>
    <row r="818" spans="1:6" x14ac:dyDescent="0.2">
      <c r="A818">
        <v>12</v>
      </c>
      <c r="B818" t="s">
        <v>1113</v>
      </c>
      <c r="C818" t="s">
        <v>1009</v>
      </c>
      <c r="D818" s="8">
        <v>2.1572724870839469E-5</v>
      </c>
      <c r="E818" s="6">
        <f t="shared" si="24"/>
        <v>-0.5990000000000002</v>
      </c>
      <c r="F818" s="8">
        <f t="shared" si="25"/>
        <v>-1.2922062197632847E-5</v>
      </c>
    </row>
    <row r="819" spans="1:6" x14ac:dyDescent="0.2">
      <c r="A819">
        <v>12</v>
      </c>
      <c r="B819" t="s">
        <v>1113</v>
      </c>
      <c r="C819" t="s">
        <v>1122</v>
      </c>
      <c r="D819" s="8">
        <v>4.4065221156740044E-6</v>
      </c>
      <c r="E819" s="6">
        <f t="shared" si="24"/>
        <v>0</v>
      </c>
      <c r="F819" s="8">
        <f t="shared" si="25"/>
        <v>0</v>
      </c>
    </row>
    <row r="820" spans="1:6" x14ac:dyDescent="0.2">
      <c r="A820">
        <v>12</v>
      </c>
      <c r="B820" t="s">
        <v>1113</v>
      </c>
      <c r="C820" t="s">
        <v>1010</v>
      </c>
      <c r="D820" s="8">
        <v>1.6847394250084E-3</v>
      </c>
      <c r="E820" s="6">
        <f t="shared" si="24"/>
        <v>-3.024</v>
      </c>
      <c r="F820" s="8">
        <f t="shared" si="25"/>
        <v>-5.0946520212254015E-3</v>
      </c>
    </row>
    <row r="821" spans="1:6" x14ac:dyDescent="0.2">
      <c r="A821">
        <v>12</v>
      </c>
      <c r="B821" t="s">
        <v>1113</v>
      </c>
      <c r="C821" t="s">
        <v>1011</v>
      </c>
      <c r="D821" s="8">
        <v>3.1373679744117998E-3</v>
      </c>
      <c r="E821" s="6">
        <f t="shared" si="24"/>
        <v>0.68600000000000039</v>
      </c>
      <c r="F821" s="8">
        <f t="shared" si="25"/>
        <v>2.152234430446496E-3</v>
      </c>
    </row>
    <row r="822" spans="1:6" x14ac:dyDescent="0.2">
      <c r="A822">
        <v>12</v>
      </c>
      <c r="B822" t="s">
        <v>1113</v>
      </c>
      <c r="C822" t="s">
        <v>1012</v>
      </c>
      <c r="D822" s="8">
        <v>3.7306741542670002E-4</v>
      </c>
      <c r="E822" s="6">
        <f t="shared" si="24"/>
        <v>0.39999999999999991</v>
      </c>
      <c r="F822" s="8">
        <f t="shared" si="25"/>
        <v>1.4922696617067997E-4</v>
      </c>
    </row>
    <row r="823" spans="1:6" x14ac:dyDescent="0.2">
      <c r="A823">
        <v>12</v>
      </c>
      <c r="B823" t="s">
        <v>1113</v>
      </c>
      <c r="C823" t="s">
        <v>1013</v>
      </c>
      <c r="D823" s="8">
        <v>6.1336144391846773E-6</v>
      </c>
      <c r="E823" s="6">
        <f t="shared" si="24"/>
        <v>-2.0999999999999996</v>
      </c>
      <c r="F823" s="8">
        <f t="shared" si="25"/>
        <v>-1.2880590322287819E-5</v>
      </c>
    </row>
    <row r="824" spans="1:6" x14ac:dyDescent="0.2">
      <c r="A824">
        <v>12</v>
      </c>
      <c r="B824" t="s">
        <v>1113</v>
      </c>
      <c r="C824" t="s">
        <v>1014</v>
      </c>
      <c r="D824" s="8">
        <v>4.5160046401218699E-2</v>
      </c>
      <c r="E824" s="6">
        <f t="shared" si="24"/>
        <v>0.90000000000000036</v>
      </c>
      <c r="F824" s="8">
        <f t="shared" si="25"/>
        <v>4.0644041761096844E-2</v>
      </c>
    </row>
    <row r="825" spans="1:6" x14ac:dyDescent="0.2">
      <c r="A825">
        <v>12</v>
      </c>
      <c r="B825" t="s">
        <v>1113</v>
      </c>
      <c r="C825" t="s">
        <v>1015</v>
      </c>
      <c r="D825" s="8">
        <v>1.7492317207550829E-5</v>
      </c>
      <c r="E825" s="6">
        <f t="shared" si="24"/>
        <v>-1.306</v>
      </c>
      <c r="F825" s="8">
        <f t="shared" si="25"/>
        <v>-2.2844966273061385E-5</v>
      </c>
    </row>
    <row r="826" spans="1:6" x14ac:dyDescent="0.2">
      <c r="A826">
        <v>12</v>
      </c>
      <c r="B826" t="s">
        <v>1113</v>
      </c>
      <c r="C826" t="s">
        <v>1099</v>
      </c>
      <c r="D826" s="8">
        <v>2.2262813728457281E-5</v>
      </c>
      <c r="E826" s="6">
        <f t="shared" si="24"/>
        <v>0</v>
      </c>
      <c r="F826" s="8">
        <f t="shared" si="25"/>
        <v>0</v>
      </c>
    </row>
    <row r="827" spans="1:6" x14ac:dyDescent="0.2">
      <c r="A827">
        <v>12</v>
      </c>
      <c r="B827" t="s">
        <v>1113</v>
      </c>
      <c r="C827" t="s">
        <v>1016</v>
      </c>
      <c r="D827" s="8">
        <v>1.7777620244560001E-4</v>
      </c>
      <c r="E827" s="6">
        <f t="shared" si="24"/>
        <v>0</v>
      </c>
      <c r="F827" s="8">
        <f t="shared" si="25"/>
        <v>0</v>
      </c>
    </row>
    <row r="828" spans="1:6" x14ac:dyDescent="0.2">
      <c r="A828">
        <v>12</v>
      </c>
      <c r="B828" t="s">
        <v>1113</v>
      </c>
      <c r="C828" t="s">
        <v>1017</v>
      </c>
      <c r="D828" s="8">
        <v>5.4403982673181996E-3</v>
      </c>
      <c r="E828" s="6">
        <f t="shared" si="24"/>
        <v>1.3749999999999996</v>
      </c>
      <c r="F828" s="8">
        <f t="shared" si="25"/>
        <v>7.4805476175625217E-3</v>
      </c>
    </row>
    <row r="829" spans="1:6" x14ac:dyDescent="0.2">
      <c r="A829">
        <v>12</v>
      </c>
      <c r="B829" t="s">
        <v>1113</v>
      </c>
      <c r="C829" t="s">
        <v>1019</v>
      </c>
      <c r="D829" s="8">
        <v>2.4992679021237599E-2</v>
      </c>
      <c r="E829" s="6">
        <f t="shared" si="24"/>
        <v>-0.21599999999999997</v>
      </c>
      <c r="F829" s="8">
        <f t="shared" si="25"/>
        <v>-5.3984186685873204E-3</v>
      </c>
    </row>
    <row r="830" spans="1:6" x14ac:dyDescent="0.2">
      <c r="A830">
        <v>12</v>
      </c>
      <c r="B830" t="s">
        <v>1113</v>
      </c>
      <c r="C830" t="s">
        <v>1020</v>
      </c>
      <c r="D830" s="8">
        <v>7.9146279229175051E-5</v>
      </c>
      <c r="E830" s="6">
        <f t="shared" ref="E830:E893" si="26">IFERROR(VLOOKUP(C830,$A$6:$D$185,4,FALSE),0)</f>
        <v>-0.21999999999999997</v>
      </c>
      <c r="F830" s="8">
        <f t="shared" ref="F830:F893" si="27">D830*E830</f>
        <v>-1.7412181430418508E-5</v>
      </c>
    </row>
    <row r="831" spans="1:6" x14ac:dyDescent="0.2">
      <c r="A831">
        <v>12</v>
      </c>
      <c r="B831" t="s">
        <v>1113</v>
      </c>
      <c r="C831" t="s">
        <v>1021</v>
      </c>
      <c r="D831" s="8">
        <v>6.2653325914932003E-5</v>
      </c>
      <c r="E831" s="6">
        <f t="shared" si="26"/>
        <v>-2.4829999999999997</v>
      </c>
      <c r="F831" s="8">
        <f t="shared" si="27"/>
        <v>-1.5556820824677613E-4</v>
      </c>
    </row>
    <row r="832" spans="1:6" x14ac:dyDescent="0.2">
      <c r="A832">
        <v>12</v>
      </c>
      <c r="B832" t="s">
        <v>1113</v>
      </c>
      <c r="C832" t="s">
        <v>1022</v>
      </c>
      <c r="D832" s="8">
        <v>7.6613492416147079E-6</v>
      </c>
      <c r="E832" s="6">
        <f t="shared" si="26"/>
        <v>0.46800000000000019</v>
      </c>
      <c r="F832" s="8">
        <f t="shared" si="27"/>
        <v>3.5855114450756846E-6</v>
      </c>
    </row>
    <row r="833" spans="1:6" x14ac:dyDescent="0.2">
      <c r="A833">
        <v>12</v>
      </c>
      <c r="B833" t="s">
        <v>1113</v>
      </c>
      <c r="C833" t="s">
        <v>1023</v>
      </c>
      <c r="D833" s="8">
        <v>5.5239972353962998E-3</v>
      </c>
      <c r="E833" s="6">
        <f t="shared" si="26"/>
        <v>-0.62199999999999989</v>
      </c>
      <c r="F833" s="8">
        <f t="shared" si="27"/>
        <v>-3.4359262804164979E-3</v>
      </c>
    </row>
    <row r="834" spans="1:6" x14ac:dyDescent="0.2">
      <c r="A834">
        <v>12</v>
      </c>
      <c r="B834" t="s">
        <v>1113</v>
      </c>
      <c r="C834" t="s">
        <v>1024</v>
      </c>
      <c r="D834" s="8">
        <v>4.1876209562470004E-3</v>
      </c>
      <c r="E834" s="6">
        <f t="shared" si="26"/>
        <v>-0.14500000000000002</v>
      </c>
      <c r="F834" s="8">
        <f t="shared" si="27"/>
        <v>-6.0720503865581508E-4</v>
      </c>
    </row>
    <row r="835" spans="1:6" x14ac:dyDescent="0.2">
      <c r="A835">
        <v>12</v>
      </c>
      <c r="B835" t="s">
        <v>1113</v>
      </c>
      <c r="C835" t="s">
        <v>1025</v>
      </c>
      <c r="D835" s="8">
        <v>5.4030087769848002E-2</v>
      </c>
      <c r="E835" s="6">
        <f t="shared" si="26"/>
        <v>4.7000000000000153E-2</v>
      </c>
      <c r="F835" s="8">
        <f t="shared" si="27"/>
        <v>2.5394141251828643E-3</v>
      </c>
    </row>
    <row r="836" spans="1:6" x14ac:dyDescent="0.2">
      <c r="A836">
        <v>12</v>
      </c>
      <c r="B836" t="s">
        <v>1113</v>
      </c>
      <c r="C836" t="s">
        <v>1026</v>
      </c>
      <c r="D836" s="8">
        <v>9.7851739045079863E-5</v>
      </c>
      <c r="E836" s="6">
        <f t="shared" si="26"/>
        <v>-0.20000000000000018</v>
      </c>
      <c r="F836" s="8">
        <f t="shared" si="27"/>
        <v>-1.9570347809015991E-5</v>
      </c>
    </row>
    <row r="837" spans="1:6" x14ac:dyDescent="0.2">
      <c r="A837">
        <v>12</v>
      </c>
      <c r="B837" t="s">
        <v>1113</v>
      </c>
      <c r="C837" t="s">
        <v>1027</v>
      </c>
      <c r="D837" s="8">
        <v>3.9373019278820002E-4</v>
      </c>
      <c r="E837" s="6">
        <f t="shared" si="26"/>
        <v>0.18999999999999995</v>
      </c>
      <c r="F837" s="8">
        <f t="shared" si="27"/>
        <v>7.4808736629757984E-5</v>
      </c>
    </row>
    <row r="838" spans="1:6" x14ac:dyDescent="0.2">
      <c r="A838">
        <v>12</v>
      </c>
      <c r="B838" t="s">
        <v>1113</v>
      </c>
      <c r="C838" t="s">
        <v>1028</v>
      </c>
      <c r="D838" s="8">
        <v>3.6602673098421301E-2</v>
      </c>
      <c r="E838" s="6">
        <f t="shared" si="26"/>
        <v>-1.6600000000000001</v>
      </c>
      <c r="F838" s="8">
        <f t="shared" si="27"/>
        <v>-6.0760437343379367E-2</v>
      </c>
    </row>
    <row r="839" spans="1:6" x14ac:dyDescent="0.2">
      <c r="A839">
        <v>12</v>
      </c>
      <c r="B839" t="s">
        <v>1113</v>
      </c>
      <c r="C839" t="s">
        <v>1029</v>
      </c>
      <c r="D839" s="8">
        <v>1.680999147240777E-6</v>
      </c>
      <c r="E839" s="6">
        <f t="shared" si="26"/>
        <v>-0.20500000000000007</v>
      </c>
      <c r="F839" s="8">
        <f t="shared" si="27"/>
        <v>-3.446048251843594E-7</v>
      </c>
    </row>
    <row r="840" spans="1:6" x14ac:dyDescent="0.2">
      <c r="A840">
        <v>12</v>
      </c>
      <c r="B840" t="s">
        <v>1113</v>
      </c>
      <c r="C840" t="s">
        <v>1030</v>
      </c>
      <c r="D840" s="8">
        <v>1.6509494192485999E-3</v>
      </c>
      <c r="E840" s="6">
        <f t="shared" si="26"/>
        <v>0.29999999999999982</v>
      </c>
      <c r="F840" s="8">
        <f t="shared" si="27"/>
        <v>4.9528482577457971E-4</v>
      </c>
    </row>
    <row r="841" spans="1:6" x14ac:dyDescent="0.2">
      <c r="A841">
        <v>12</v>
      </c>
      <c r="B841" t="s">
        <v>1113</v>
      </c>
      <c r="C841" t="s">
        <v>1031</v>
      </c>
      <c r="D841" s="8">
        <v>6.4573983390439995E-4</v>
      </c>
      <c r="E841" s="6">
        <f t="shared" si="26"/>
        <v>0.19899999999999984</v>
      </c>
      <c r="F841" s="8">
        <f t="shared" si="27"/>
        <v>1.2850222694697549E-4</v>
      </c>
    </row>
    <row r="842" spans="1:6" x14ac:dyDescent="0.2">
      <c r="A842">
        <v>12</v>
      </c>
      <c r="B842" t="s">
        <v>1113</v>
      </c>
      <c r="C842" t="s">
        <v>1033</v>
      </c>
      <c r="D842" s="8">
        <v>3.1410229551319998E-4</v>
      </c>
      <c r="E842" s="6">
        <f t="shared" si="26"/>
        <v>0.23299999999999987</v>
      </c>
      <c r="F842" s="8">
        <f t="shared" si="27"/>
        <v>7.3185834854575552E-5</v>
      </c>
    </row>
    <row r="843" spans="1:6" x14ac:dyDescent="0.2">
      <c r="A843">
        <v>12</v>
      </c>
      <c r="B843" t="s">
        <v>1113</v>
      </c>
      <c r="C843" t="s">
        <v>1034</v>
      </c>
      <c r="D843" s="8">
        <v>4.0220437208142646E-6</v>
      </c>
      <c r="E843" s="6">
        <f t="shared" si="26"/>
        <v>0.70000000000000018</v>
      </c>
      <c r="F843" s="8">
        <f t="shared" si="27"/>
        <v>2.8154306045699861E-6</v>
      </c>
    </row>
    <row r="844" spans="1:6" x14ac:dyDescent="0.2">
      <c r="A844">
        <v>12</v>
      </c>
      <c r="B844" t="s">
        <v>1113</v>
      </c>
      <c r="C844" t="s">
        <v>1123</v>
      </c>
      <c r="D844" s="8">
        <v>5.4550946004199039E-5</v>
      </c>
      <c r="E844" s="6">
        <f t="shared" si="26"/>
        <v>0</v>
      </c>
      <c r="F844" s="8">
        <f t="shared" si="27"/>
        <v>0</v>
      </c>
    </row>
    <row r="845" spans="1:6" x14ac:dyDescent="0.2">
      <c r="A845">
        <v>12</v>
      </c>
      <c r="B845" t="s">
        <v>1113</v>
      </c>
      <c r="C845" t="s">
        <v>1100</v>
      </c>
      <c r="D845" s="8">
        <v>7.1136605342951939E-6</v>
      </c>
      <c r="E845" s="6">
        <f t="shared" si="26"/>
        <v>0</v>
      </c>
      <c r="F845" s="8">
        <f t="shared" si="27"/>
        <v>0</v>
      </c>
    </row>
    <row r="846" spans="1:6" x14ac:dyDescent="0.2">
      <c r="A846">
        <v>12</v>
      </c>
      <c r="B846" t="s">
        <v>1113</v>
      </c>
      <c r="C846" t="s">
        <v>1035</v>
      </c>
      <c r="D846" s="8">
        <v>1.7598537814190001E-4</v>
      </c>
      <c r="E846" s="6">
        <f t="shared" si="26"/>
        <v>-14.218</v>
      </c>
      <c r="F846" s="8">
        <f t="shared" si="27"/>
        <v>-2.5021601064215341E-3</v>
      </c>
    </row>
    <row r="847" spans="1:6" x14ac:dyDescent="0.2">
      <c r="A847">
        <v>12</v>
      </c>
      <c r="B847" t="s">
        <v>1113</v>
      </c>
      <c r="C847" t="s">
        <v>1036</v>
      </c>
      <c r="D847" s="8">
        <v>4.8609100179349999E-4</v>
      </c>
      <c r="E847" s="6">
        <f t="shared" si="26"/>
        <v>-2.0590000000000002</v>
      </c>
      <c r="F847" s="8">
        <f t="shared" si="27"/>
        <v>-1.0008613726928165E-3</v>
      </c>
    </row>
    <row r="848" spans="1:6" x14ac:dyDescent="0.2">
      <c r="A848">
        <v>12</v>
      </c>
      <c r="B848" t="s">
        <v>1113</v>
      </c>
      <c r="C848" t="s">
        <v>1037</v>
      </c>
      <c r="D848" s="8">
        <v>1.6544091865861501E-2</v>
      </c>
      <c r="E848" s="6">
        <f t="shared" si="26"/>
        <v>0.2350000000000001</v>
      </c>
      <c r="F848" s="8">
        <f t="shared" si="27"/>
        <v>3.8878615884774545E-3</v>
      </c>
    </row>
    <row r="849" spans="1:6" x14ac:dyDescent="0.2">
      <c r="A849">
        <v>12</v>
      </c>
      <c r="B849" t="s">
        <v>1113</v>
      </c>
      <c r="C849" t="s">
        <v>1038</v>
      </c>
      <c r="D849" s="8">
        <v>5.3289972835207522E-6</v>
      </c>
      <c r="E849" s="6">
        <f t="shared" si="26"/>
        <v>-0.2759999999999998</v>
      </c>
      <c r="F849" s="8">
        <f t="shared" si="27"/>
        <v>-1.4708032502517264E-6</v>
      </c>
    </row>
    <row r="850" spans="1:6" x14ac:dyDescent="0.2">
      <c r="A850">
        <v>12</v>
      </c>
      <c r="B850" t="s">
        <v>1113</v>
      </c>
      <c r="C850" t="s">
        <v>1094</v>
      </c>
      <c r="D850" s="8">
        <v>6.0110198939963997E-3</v>
      </c>
      <c r="E850" s="6">
        <f t="shared" si="26"/>
        <v>0</v>
      </c>
      <c r="F850" s="8">
        <f t="shared" si="27"/>
        <v>0</v>
      </c>
    </row>
    <row r="851" spans="1:6" x14ac:dyDescent="0.2">
      <c r="A851">
        <v>12</v>
      </c>
      <c r="B851" t="s">
        <v>1113</v>
      </c>
      <c r="C851" t="s">
        <v>1039</v>
      </c>
      <c r="D851" s="8">
        <v>1.53856899413956E-2</v>
      </c>
      <c r="E851" s="6">
        <f t="shared" si="26"/>
        <v>-0.6419999999999999</v>
      </c>
      <c r="F851" s="8">
        <f t="shared" si="27"/>
        <v>-9.8776129423759733E-3</v>
      </c>
    </row>
    <row r="852" spans="1:6" x14ac:dyDescent="0.2">
      <c r="A852">
        <v>12</v>
      </c>
      <c r="B852" t="s">
        <v>1113</v>
      </c>
      <c r="C852" t="s">
        <v>1040</v>
      </c>
      <c r="D852" s="8">
        <v>9.8368013854369996E-4</v>
      </c>
      <c r="E852" s="6">
        <f t="shared" si="26"/>
        <v>-8.1180000000000003</v>
      </c>
      <c r="F852" s="8">
        <f t="shared" si="27"/>
        <v>-7.9855153646977567E-3</v>
      </c>
    </row>
    <row r="853" spans="1:6" x14ac:dyDescent="0.2">
      <c r="A853">
        <v>12</v>
      </c>
      <c r="B853" t="s">
        <v>1113</v>
      </c>
      <c r="C853" t="s">
        <v>1041</v>
      </c>
      <c r="D853" s="8">
        <v>4.1026436221945004E-3</v>
      </c>
      <c r="E853" s="6">
        <f t="shared" si="26"/>
        <v>-1.8890000000000002</v>
      </c>
      <c r="F853" s="8">
        <f t="shared" si="27"/>
        <v>-7.7498938023254117E-3</v>
      </c>
    </row>
    <row r="854" spans="1:6" x14ac:dyDescent="0.2">
      <c r="A854">
        <v>12</v>
      </c>
      <c r="B854" t="s">
        <v>1113</v>
      </c>
      <c r="C854" t="s">
        <v>1042</v>
      </c>
      <c r="D854" s="8">
        <v>1.0549320495048999E-2</v>
      </c>
      <c r="E854" s="6">
        <f t="shared" si="26"/>
        <v>1.621</v>
      </c>
      <c r="F854" s="8">
        <f t="shared" si="27"/>
        <v>1.7100448522474429E-2</v>
      </c>
    </row>
    <row r="855" spans="1:6" x14ac:dyDescent="0.2">
      <c r="A855">
        <v>12</v>
      </c>
      <c r="B855" t="s">
        <v>1113</v>
      </c>
      <c r="C855" t="s">
        <v>1043</v>
      </c>
      <c r="D855" s="8">
        <v>3.0393458376919998E-4</v>
      </c>
      <c r="E855" s="6">
        <f t="shared" si="26"/>
        <v>-2.8000000000000025E-2</v>
      </c>
      <c r="F855" s="8">
        <f t="shared" si="27"/>
        <v>-8.5101683455376068E-6</v>
      </c>
    </row>
    <row r="856" spans="1:6" x14ac:dyDescent="0.2">
      <c r="A856">
        <v>12</v>
      </c>
      <c r="B856" t="s">
        <v>1113</v>
      </c>
      <c r="C856" t="s">
        <v>1044</v>
      </c>
      <c r="D856" s="8">
        <v>1.4844960981109999E-4</v>
      </c>
      <c r="E856" s="6">
        <f t="shared" si="26"/>
        <v>-0.35099999999999998</v>
      </c>
      <c r="F856" s="8">
        <f t="shared" si="27"/>
        <v>-5.2105813043696093E-5</v>
      </c>
    </row>
    <row r="857" spans="1:6" x14ac:dyDescent="0.2">
      <c r="A857">
        <v>12</v>
      </c>
      <c r="B857" t="s">
        <v>1113</v>
      </c>
      <c r="C857" t="s">
        <v>1045</v>
      </c>
      <c r="D857" s="8">
        <v>1.033698755321504E-6</v>
      </c>
      <c r="E857" s="6">
        <f t="shared" si="26"/>
        <v>0.7849999999999997</v>
      </c>
      <c r="F857" s="8">
        <f t="shared" si="27"/>
        <v>8.1145352292738032E-7</v>
      </c>
    </row>
    <row r="858" spans="1:6" x14ac:dyDescent="0.2">
      <c r="A858">
        <v>12</v>
      </c>
      <c r="B858" t="s">
        <v>1113</v>
      </c>
      <c r="C858" t="s">
        <v>1047</v>
      </c>
      <c r="D858" s="8">
        <v>8.9769606406160001E-4</v>
      </c>
      <c r="E858" s="6">
        <f t="shared" si="26"/>
        <v>-1.4999999999999996</v>
      </c>
      <c r="F858" s="8">
        <f t="shared" si="27"/>
        <v>-1.3465440960923995E-3</v>
      </c>
    </row>
    <row r="859" spans="1:6" x14ac:dyDescent="0.2">
      <c r="A859">
        <v>12</v>
      </c>
      <c r="B859" t="s">
        <v>1113</v>
      </c>
      <c r="C859" t="s">
        <v>1048</v>
      </c>
      <c r="D859" s="8">
        <v>1.4324129855930001E-4</v>
      </c>
      <c r="E859" s="6">
        <f t="shared" si="26"/>
        <v>-1.4340000000000002</v>
      </c>
      <c r="F859" s="8">
        <f t="shared" si="27"/>
        <v>-2.0540802213403624E-4</v>
      </c>
    </row>
    <row r="860" spans="1:6" x14ac:dyDescent="0.2">
      <c r="A860">
        <v>12</v>
      </c>
      <c r="B860" t="s">
        <v>1113</v>
      </c>
      <c r="C860" t="s">
        <v>1050</v>
      </c>
      <c r="D860" s="8">
        <v>2.0446217096670621E-5</v>
      </c>
      <c r="E860" s="6">
        <f t="shared" si="26"/>
        <v>-1.4300000000000002</v>
      </c>
      <c r="F860" s="8">
        <f t="shared" si="27"/>
        <v>-2.923809044823899E-5</v>
      </c>
    </row>
    <row r="861" spans="1:6" x14ac:dyDescent="0.2">
      <c r="A861">
        <v>12</v>
      </c>
      <c r="B861" t="s">
        <v>1113</v>
      </c>
      <c r="C861" t="s">
        <v>1051</v>
      </c>
      <c r="D861" s="8">
        <v>5.0666386761809942E-5</v>
      </c>
      <c r="E861" s="6">
        <f t="shared" si="26"/>
        <v>0.18199999999999994</v>
      </c>
      <c r="F861" s="8">
        <f t="shared" si="27"/>
        <v>9.2212823906494066E-6</v>
      </c>
    </row>
    <row r="862" spans="1:6" x14ac:dyDescent="0.2">
      <c r="A862">
        <v>12</v>
      </c>
      <c r="B862" t="s">
        <v>1113</v>
      </c>
      <c r="C862" t="s">
        <v>1052</v>
      </c>
      <c r="D862" s="8">
        <v>6.8827202878237003E-6</v>
      </c>
      <c r="E862" s="6">
        <f t="shared" si="26"/>
        <v>-1.1059999999999999</v>
      </c>
      <c r="F862" s="8">
        <f t="shared" si="27"/>
        <v>-7.6122886383330114E-6</v>
      </c>
    </row>
    <row r="863" spans="1:6" x14ac:dyDescent="0.2">
      <c r="A863">
        <v>12</v>
      </c>
      <c r="B863" t="s">
        <v>1113</v>
      </c>
      <c r="C863" t="s">
        <v>1053</v>
      </c>
      <c r="D863" s="8">
        <v>3.6136728686576161E-5</v>
      </c>
      <c r="E863" s="6">
        <f t="shared" si="26"/>
        <v>-0.39999999999999991</v>
      </c>
      <c r="F863" s="8">
        <f t="shared" si="27"/>
        <v>-1.4454691474630461E-5</v>
      </c>
    </row>
    <row r="864" spans="1:6" x14ac:dyDescent="0.2">
      <c r="A864">
        <v>12</v>
      </c>
      <c r="B864" t="s">
        <v>1113</v>
      </c>
      <c r="C864" t="s">
        <v>1054</v>
      </c>
      <c r="D864" s="8">
        <v>1.3248771942024999E-3</v>
      </c>
      <c r="E864" s="6">
        <f t="shared" si="26"/>
        <v>-0.16800000000000015</v>
      </c>
      <c r="F864" s="8">
        <f t="shared" si="27"/>
        <v>-2.2257936862602018E-4</v>
      </c>
    </row>
    <row r="865" spans="1:6" x14ac:dyDescent="0.2">
      <c r="A865">
        <v>12</v>
      </c>
      <c r="B865" t="s">
        <v>1113</v>
      </c>
      <c r="C865" t="s">
        <v>1055</v>
      </c>
      <c r="D865" s="8">
        <v>2.8780775463381462E-7</v>
      </c>
      <c r="E865" s="6">
        <f t="shared" si="26"/>
        <v>-0.93100000000000005</v>
      </c>
      <c r="F865" s="8">
        <f t="shared" si="27"/>
        <v>-2.6794901956408143E-7</v>
      </c>
    </row>
    <row r="866" spans="1:6" x14ac:dyDescent="0.2">
      <c r="A866">
        <v>12</v>
      </c>
      <c r="B866" t="s">
        <v>1113</v>
      </c>
      <c r="C866" t="s">
        <v>1056</v>
      </c>
      <c r="D866" s="8">
        <v>3.4499347677603399E-5</v>
      </c>
      <c r="E866" s="6">
        <f t="shared" si="26"/>
        <v>-1.996</v>
      </c>
      <c r="F866" s="8">
        <f t="shared" si="27"/>
        <v>-6.8860697964496381E-5</v>
      </c>
    </row>
    <row r="867" spans="1:6" x14ac:dyDescent="0.2">
      <c r="A867">
        <v>12</v>
      </c>
      <c r="B867" t="s">
        <v>1113</v>
      </c>
      <c r="C867" t="s">
        <v>1095</v>
      </c>
      <c r="D867" s="8">
        <v>1.7680428769410001E-4</v>
      </c>
      <c r="E867" s="6">
        <f t="shared" si="26"/>
        <v>0</v>
      </c>
      <c r="F867" s="8">
        <f t="shared" si="27"/>
        <v>0</v>
      </c>
    </row>
    <row r="868" spans="1:6" x14ac:dyDescent="0.2">
      <c r="A868">
        <v>12</v>
      </c>
      <c r="B868" t="s">
        <v>1113</v>
      </c>
      <c r="C868" t="s">
        <v>1057</v>
      </c>
      <c r="D868" s="8">
        <v>2.1759885764194279E-6</v>
      </c>
      <c r="E868" s="6">
        <f t="shared" si="26"/>
        <v>2.0270000000000001</v>
      </c>
      <c r="F868" s="8">
        <f t="shared" si="27"/>
        <v>4.4107288444021806E-6</v>
      </c>
    </row>
    <row r="869" spans="1:6" x14ac:dyDescent="0.2">
      <c r="A869">
        <v>12</v>
      </c>
      <c r="B869" t="s">
        <v>1113</v>
      </c>
      <c r="C869" t="s">
        <v>1058</v>
      </c>
      <c r="D869" s="8">
        <v>3.2642370016425998E-3</v>
      </c>
      <c r="E869" s="6">
        <f t="shared" si="26"/>
        <v>-0.5</v>
      </c>
      <c r="F869" s="8">
        <f t="shared" si="27"/>
        <v>-1.6321185008212999E-3</v>
      </c>
    </row>
    <row r="870" spans="1:6" x14ac:dyDescent="0.2">
      <c r="A870">
        <v>12</v>
      </c>
      <c r="B870" t="s">
        <v>1113</v>
      </c>
      <c r="C870" t="s">
        <v>1059</v>
      </c>
      <c r="D870" s="8">
        <v>1.3508033209714901E-2</v>
      </c>
      <c r="E870" s="6">
        <f t="shared" si="26"/>
        <v>-0.10000000000000009</v>
      </c>
      <c r="F870" s="8">
        <f t="shared" si="27"/>
        <v>-1.3508033209714914E-3</v>
      </c>
    </row>
    <row r="871" spans="1:6" x14ac:dyDescent="0.2">
      <c r="A871">
        <v>12</v>
      </c>
      <c r="B871" t="s">
        <v>1113</v>
      </c>
      <c r="C871" t="s">
        <v>1060</v>
      </c>
      <c r="D871" s="8">
        <v>1.200624205093883E-5</v>
      </c>
      <c r="E871" s="6">
        <f t="shared" si="26"/>
        <v>1.04</v>
      </c>
      <c r="F871" s="8">
        <f t="shared" si="27"/>
        <v>1.2486491732976383E-5</v>
      </c>
    </row>
    <row r="872" spans="1:6" x14ac:dyDescent="0.2">
      <c r="A872">
        <v>12</v>
      </c>
      <c r="B872" t="s">
        <v>1113</v>
      </c>
      <c r="C872" t="s">
        <v>1061</v>
      </c>
      <c r="D872" s="8">
        <v>3.0378707533238079E-5</v>
      </c>
      <c r="E872" s="6">
        <f t="shared" si="26"/>
        <v>0.25499999999999989</v>
      </c>
      <c r="F872" s="8">
        <f t="shared" si="27"/>
        <v>7.7465704209757078E-6</v>
      </c>
    </row>
    <row r="873" spans="1:6" x14ac:dyDescent="0.2">
      <c r="A873">
        <v>12</v>
      </c>
      <c r="B873" t="s">
        <v>1113</v>
      </c>
      <c r="C873" t="s">
        <v>1062</v>
      </c>
      <c r="D873" s="8">
        <v>2.7743706364583001E-3</v>
      </c>
      <c r="E873" s="6">
        <f t="shared" si="26"/>
        <v>0.89999999999999947</v>
      </c>
      <c r="F873" s="8">
        <f t="shared" si="27"/>
        <v>2.4969335728124687E-3</v>
      </c>
    </row>
    <row r="874" spans="1:6" x14ac:dyDescent="0.2">
      <c r="A874">
        <v>12</v>
      </c>
      <c r="B874" t="s">
        <v>1113</v>
      </c>
      <c r="C874" t="s">
        <v>1063</v>
      </c>
      <c r="D874" s="8">
        <v>1.0170056409800001E-4</v>
      </c>
      <c r="E874" s="6">
        <f t="shared" si="26"/>
        <v>-4.1000000000000369E-2</v>
      </c>
      <c r="F874" s="8">
        <f t="shared" si="27"/>
        <v>-4.1697231280180377E-6</v>
      </c>
    </row>
    <row r="875" spans="1:6" x14ac:dyDescent="0.2">
      <c r="A875">
        <v>12</v>
      </c>
      <c r="B875" t="s">
        <v>1113</v>
      </c>
      <c r="C875" t="s">
        <v>1064</v>
      </c>
      <c r="D875" s="8">
        <v>1.3566683234619999E-4</v>
      </c>
      <c r="E875" s="6">
        <f t="shared" si="26"/>
        <v>-0.29400000000000004</v>
      </c>
      <c r="F875" s="8">
        <f t="shared" si="27"/>
        <v>-3.98860487097828E-5</v>
      </c>
    </row>
    <row r="876" spans="1:6" x14ac:dyDescent="0.2">
      <c r="A876">
        <v>12</v>
      </c>
      <c r="B876" t="s">
        <v>1113</v>
      </c>
      <c r="C876" t="s">
        <v>1065</v>
      </c>
      <c r="D876" s="8">
        <v>1.3765977117755001E-3</v>
      </c>
      <c r="E876" s="6">
        <f t="shared" si="26"/>
        <v>0.68300000000000005</v>
      </c>
      <c r="F876" s="8">
        <f t="shared" si="27"/>
        <v>9.4021623714266663E-4</v>
      </c>
    </row>
    <row r="877" spans="1:6" x14ac:dyDescent="0.2">
      <c r="A877">
        <v>12</v>
      </c>
      <c r="B877" t="s">
        <v>1113</v>
      </c>
      <c r="C877" t="s">
        <v>1066</v>
      </c>
      <c r="D877" s="8">
        <v>7.2524449331096003E-3</v>
      </c>
      <c r="E877" s="6">
        <f t="shared" si="26"/>
        <v>0.20900000000000007</v>
      </c>
      <c r="F877" s="8">
        <f t="shared" si="27"/>
        <v>1.5157609910199071E-3</v>
      </c>
    </row>
    <row r="878" spans="1:6" x14ac:dyDescent="0.2">
      <c r="A878">
        <v>12</v>
      </c>
      <c r="B878" t="s">
        <v>1113</v>
      </c>
      <c r="C878" t="s">
        <v>1067</v>
      </c>
      <c r="D878" s="8">
        <v>1.222298807379378E-6</v>
      </c>
      <c r="E878" s="6">
        <f t="shared" si="26"/>
        <v>0.17700000000000005</v>
      </c>
      <c r="F878" s="8">
        <f t="shared" si="27"/>
        <v>2.1634688890614996E-7</v>
      </c>
    </row>
    <row r="879" spans="1:6" x14ac:dyDescent="0.2">
      <c r="A879">
        <v>12</v>
      </c>
      <c r="B879" t="s">
        <v>1113</v>
      </c>
      <c r="C879" t="s">
        <v>1106</v>
      </c>
      <c r="D879" s="8">
        <v>4.7765914425705004E-3</v>
      </c>
      <c r="E879" s="6">
        <f t="shared" si="26"/>
        <v>0</v>
      </c>
      <c r="F879" s="8">
        <f t="shared" si="27"/>
        <v>0</v>
      </c>
    </row>
    <row r="880" spans="1:6" x14ac:dyDescent="0.2">
      <c r="A880">
        <v>12</v>
      </c>
      <c r="B880" t="s">
        <v>1113</v>
      </c>
      <c r="C880" t="s">
        <v>1069</v>
      </c>
      <c r="D880" s="8">
        <v>3.1335886656426527E-5</v>
      </c>
      <c r="E880" s="6">
        <f t="shared" si="26"/>
        <v>-0.13199999999999967</v>
      </c>
      <c r="F880" s="8">
        <f t="shared" si="27"/>
        <v>-4.1363370386482915E-6</v>
      </c>
    </row>
    <row r="881" spans="1:6" x14ac:dyDescent="0.2">
      <c r="A881">
        <v>12</v>
      </c>
      <c r="B881" t="s">
        <v>1113</v>
      </c>
      <c r="C881" t="s">
        <v>1070</v>
      </c>
      <c r="D881" s="8">
        <v>9.3328831341328445E-5</v>
      </c>
      <c r="E881" s="6">
        <f t="shared" si="26"/>
        <v>-2.5</v>
      </c>
      <c r="F881" s="8">
        <f t="shared" si="27"/>
        <v>-2.3332207835332112E-4</v>
      </c>
    </row>
    <row r="882" spans="1:6" x14ac:dyDescent="0.2">
      <c r="A882">
        <v>12</v>
      </c>
      <c r="B882" t="s">
        <v>1113</v>
      </c>
      <c r="C882" t="s">
        <v>1071</v>
      </c>
      <c r="D882" s="8">
        <v>1.2364103326719999E-4</v>
      </c>
      <c r="E882" s="6">
        <f t="shared" si="26"/>
        <v>-0.8</v>
      </c>
      <c r="F882" s="8">
        <f t="shared" si="27"/>
        <v>-9.8912826613760003E-5</v>
      </c>
    </row>
    <row r="883" spans="1:6" x14ac:dyDescent="0.2">
      <c r="A883">
        <v>12</v>
      </c>
      <c r="B883" t="s">
        <v>1113</v>
      </c>
      <c r="C883" t="s">
        <v>1072</v>
      </c>
      <c r="D883" s="8">
        <v>0.10352376560799829</v>
      </c>
      <c r="E883" s="6">
        <f t="shared" si="26"/>
        <v>0.55599999999999983</v>
      </c>
      <c r="F883" s="8">
        <f t="shared" si="27"/>
        <v>5.7559213678047033E-2</v>
      </c>
    </row>
    <row r="884" spans="1:6" x14ac:dyDescent="0.2">
      <c r="A884">
        <v>12</v>
      </c>
      <c r="B884" t="s">
        <v>1113</v>
      </c>
      <c r="C884" t="s">
        <v>1073</v>
      </c>
      <c r="D884" s="8">
        <v>3.0910072631420001E-4</v>
      </c>
      <c r="E884" s="6">
        <f t="shared" si="26"/>
        <v>0.69200000000000017</v>
      </c>
      <c r="F884" s="8">
        <f t="shared" si="27"/>
        <v>2.1389770260942645E-4</v>
      </c>
    </row>
    <row r="885" spans="1:6" x14ac:dyDescent="0.2">
      <c r="A885">
        <v>12</v>
      </c>
      <c r="B885" t="s">
        <v>1113</v>
      </c>
      <c r="C885" t="s">
        <v>1124</v>
      </c>
      <c r="D885" s="8">
        <v>2.4883477970491999E-6</v>
      </c>
      <c r="E885" s="6">
        <f t="shared" si="26"/>
        <v>0</v>
      </c>
      <c r="F885" s="8">
        <f t="shared" si="27"/>
        <v>0</v>
      </c>
    </row>
    <row r="886" spans="1:6" x14ac:dyDescent="0.2">
      <c r="A886">
        <v>12</v>
      </c>
      <c r="B886" t="s">
        <v>1113</v>
      </c>
      <c r="C886" t="s">
        <v>1074</v>
      </c>
      <c r="D886" s="8">
        <v>4.6752814903727999E-6</v>
      </c>
      <c r="E886" s="6">
        <f t="shared" si="26"/>
        <v>9.5</v>
      </c>
      <c r="F886" s="8">
        <f t="shared" si="27"/>
        <v>4.44151741585416E-5</v>
      </c>
    </row>
    <row r="887" spans="1:6" x14ac:dyDescent="0.2">
      <c r="A887">
        <v>12</v>
      </c>
      <c r="B887" t="s">
        <v>1113</v>
      </c>
      <c r="C887" t="s">
        <v>1075</v>
      </c>
      <c r="D887" s="8">
        <v>2.9541901347874499E-2</v>
      </c>
      <c r="E887" s="6">
        <f t="shared" si="26"/>
        <v>3.0529999999999999</v>
      </c>
      <c r="F887" s="8">
        <f t="shared" si="27"/>
        <v>9.0191424815060844E-2</v>
      </c>
    </row>
    <row r="888" spans="1:6" x14ac:dyDescent="0.2">
      <c r="A888">
        <v>12</v>
      </c>
      <c r="B888" t="s">
        <v>1113</v>
      </c>
      <c r="C888" t="s">
        <v>1076</v>
      </c>
      <c r="D888" s="8">
        <v>6.8693117818655427E-5</v>
      </c>
      <c r="E888" s="6">
        <f t="shared" si="26"/>
        <v>1.4060000000000001</v>
      </c>
      <c r="F888" s="8">
        <f t="shared" si="27"/>
        <v>9.6582523653029539E-5</v>
      </c>
    </row>
    <row r="889" spans="1:6" x14ac:dyDescent="0.2">
      <c r="A889">
        <v>12</v>
      </c>
      <c r="B889" t="s">
        <v>1113</v>
      </c>
      <c r="C889" t="s">
        <v>1077</v>
      </c>
      <c r="D889" s="8">
        <v>1.444468595391E-4</v>
      </c>
      <c r="E889" s="6">
        <f t="shared" si="26"/>
        <v>0.63200000000000012</v>
      </c>
      <c r="F889" s="8">
        <f t="shared" si="27"/>
        <v>9.1290415228711225E-5</v>
      </c>
    </row>
    <row r="890" spans="1:6" x14ac:dyDescent="0.2">
      <c r="A890">
        <v>12</v>
      </c>
      <c r="B890" t="s">
        <v>1113</v>
      </c>
      <c r="C890" t="s">
        <v>1078</v>
      </c>
      <c r="D890" s="8">
        <v>2.6591970669675E-3</v>
      </c>
      <c r="E890" s="6">
        <f t="shared" si="26"/>
        <v>0.5</v>
      </c>
      <c r="F890" s="8">
        <f t="shared" si="27"/>
        <v>1.32959853348375E-3</v>
      </c>
    </row>
    <row r="891" spans="1:6" x14ac:dyDescent="0.2">
      <c r="A891">
        <v>12</v>
      </c>
      <c r="B891" t="s">
        <v>1113</v>
      </c>
      <c r="C891" t="s">
        <v>1079</v>
      </c>
      <c r="D891" s="8">
        <v>1.00695746502382E-2</v>
      </c>
      <c r="E891" s="6">
        <f t="shared" si="26"/>
        <v>-0.28899999999999992</v>
      </c>
      <c r="F891" s="8">
        <f t="shared" si="27"/>
        <v>-2.9101070739188388E-3</v>
      </c>
    </row>
    <row r="892" spans="1:6" x14ac:dyDescent="0.2">
      <c r="A892">
        <v>12</v>
      </c>
      <c r="B892" t="s">
        <v>1113</v>
      </c>
      <c r="C892" t="s">
        <v>1080</v>
      </c>
      <c r="D892" s="8">
        <v>9.7687291976809367E-6</v>
      </c>
      <c r="E892" s="6">
        <f t="shared" si="26"/>
        <v>-2.5170000000000003</v>
      </c>
      <c r="F892" s="8">
        <f t="shared" si="27"/>
        <v>-2.4587891390562922E-5</v>
      </c>
    </row>
    <row r="893" spans="1:6" x14ac:dyDescent="0.2">
      <c r="A893">
        <v>12</v>
      </c>
      <c r="B893" t="s">
        <v>1113</v>
      </c>
      <c r="C893" t="s">
        <v>1081</v>
      </c>
      <c r="D893" s="8">
        <v>9.3068281107161038E-5</v>
      </c>
      <c r="E893" s="6">
        <f t="shared" si="26"/>
        <v>0.36000000000000032</v>
      </c>
      <c r="F893" s="8">
        <f t="shared" si="27"/>
        <v>3.3504581198578003E-5</v>
      </c>
    </row>
    <row r="894" spans="1:6" x14ac:dyDescent="0.2">
      <c r="A894">
        <v>13</v>
      </c>
      <c r="B894" t="s">
        <v>1125</v>
      </c>
      <c r="C894" t="s">
        <v>902</v>
      </c>
      <c r="D894" s="8">
        <v>2.69108478701414E-5</v>
      </c>
      <c r="E894" s="6">
        <f t="shared" ref="E894:E957" si="28">IFERROR(VLOOKUP(C894,$A$6:$D$185,4,FALSE),0)</f>
        <v>-0.28000000000000025</v>
      </c>
      <c r="F894" s="8">
        <f t="shared" ref="F894:F957" si="29">D894*E894</f>
        <v>-7.5350374036395989E-6</v>
      </c>
    </row>
    <row r="895" spans="1:6" x14ac:dyDescent="0.2">
      <c r="A895">
        <v>13</v>
      </c>
      <c r="B895" t="s">
        <v>1125</v>
      </c>
      <c r="C895" t="s">
        <v>904</v>
      </c>
      <c r="D895" s="8">
        <v>7.2983823864617914E-5</v>
      </c>
      <c r="E895" s="6">
        <f t="shared" si="28"/>
        <v>-6.800000000000006E-2</v>
      </c>
      <c r="F895" s="8">
        <f t="shared" si="29"/>
        <v>-4.9629000227940229E-6</v>
      </c>
    </row>
    <row r="896" spans="1:6" x14ac:dyDescent="0.2">
      <c r="A896">
        <v>13</v>
      </c>
      <c r="B896" t="s">
        <v>1125</v>
      </c>
      <c r="C896" t="s">
        <v>906</v>
      </c>
      <c r="D896" s="8">
        <v>8.4205307846571993E-3</v>
      </c>
      <c r="E896" s="6">
        <f t="shared" si="28"/>
        <v>-1.8859999999999997</v>
      </c>
      <c r="F896" s="8">
        <f t="shared" si="29"/>
        <v>-1.5881121059863477E-2</v>
      </c>
    </row>
    <row r="897" spans="1:6" x14ac:dyDescent="0.2">
      <c r="A897">
        <v>13</v>
      </c>
      <c r="B897" t="s">
        <v>1125</v>
      </c>
      <c r="C897" t="s">
        <v>907</v>
      </c>
      <c r="D897" s="8">
        <v>6.7911603080421881E-6</v>
      </c>
      <c r="E897" s="6">
        <f t="shared" si="28"/>
        <v>-1.0199999999999996</v>
      </c>
      <c r="F897" s="8">
        <f t="shared" si="29"/>
        <v>-6.9269835142030288E-6</v>
      </c>
    </row>
    <row r="898" spans="1:6" x14ac:dyDescent="0.2">
      <c r="A898">
        <v>13</v>
      </c>
      <c r="B898" t="s">
        <v>1125</v>
      </c>
      <c r="C898" t="s">
        <v>908</v>
      </c>
      <c r="D898" s="8">
        <v>3.278314493521595E-5</v>
      </c>
      <c r="E898" s="6">
        <f t="shared" si="28"/>
        <v>0.79999999999999982</v>
      </c>
      <c r="F898" s="8">
        <f t="shared" si="29"/>
        <v>2.6226515948172755E-5</v>
      </c>
    </row>
    <row r="899" spans="1:6" x14ac:dyDescent="0.2">
      <c r="A899">
        <v>13</v>
      </c>
      <c r="B899" t="s">
        <v>1125</v>
      </c>
      <c r="C899" t="s">
        <v>910</v>
      </c>
      <c r="D899" s="8">
        <v>3.4195126592641803E-2</v>
      </c>
      <c r="E899" s="6">
        <f t="shared" si="28"/>
        <v>-7.7999999999999847E-2</v>
      </c>
      <c r="F899" s="8">
        <f t="shared" si="29"/>
        <v>-2.6672198742260554E-3</v>
      </c>
    </row>
    <row r="900" spans="1:6" x14ac:dyDescent="0.2">
      <c r="A900">
        <v>13</v>
      </c>
      <c r="B900" t="s">
        <v>1125</v>
      </c>
      <c r="C900" t="s">
        <v>911</v>
      </c>
      <c r="D900" s="8">
        <v>2.3643622979674371E-6</v>
      </c>
      <c r="E900" s="6">
        <f t="shared" si="28"/>
        <v>-7.5000000000000067E-2</v>
      </c>
      <c r="F900" s="8">
        <f t="shared" si="29"/>
        <v>-1.7732717234755795E-7</v>
      </c>
    </row>
    <row r="901" spans="1:6" x14ac:dyDescent="0.2">
      <c r="A901">
        <v>13</v>
      </c>
      <c r="B901" t="s">
        <v>1125</v>
      </c>
      <c r="C901" t="s">
        <v>912</v>
      </c>
      <c r="D901" s="8">
        <v>1.823228175483834E-9</v>
      </c>
      <c r="E901" s="6">
        <f t="shared" si="28"/>
        <v>-0.29800000000000004</v>
      </c>
      <c r="F901" s="8">
        <f t="shared" si="29"/>
        <v>-5.4332199629418263E-10</v>
      </c>
    </row>
    <row r="902" spans="1:6" x14ac:dyDescent="0.2">
      <c r="A902">
        <v>13</v>
      </c>
      <c r="B902" t="s">
        <v>1125</v>
      </c>
      <c r="C902" t="s">
        <v>914</v>
      </c>
      <c r="D902" s="8">
        <v>3.0480832990567999E-2</v>
      </c>
      <c r="E902" s="6">
        <f t="shared" si="28"/>
        <v>-0.26900000000000002</v>
      </c>
      <c r="F902" s="8">
        <f t="shared" si="29"/>
        <v>-8.1993440744627926E-3</v>
      </c>
    </row>
    <row r="903" spans="1:6" x14ac:dyDescent="0.2">
      <c r="A903">
        <v>13</v>
      </c>
      <c r="B903" t="s">
        <v>1125</v>
      </c>
      <c r="C903" t="s">
        <v>917</v>
      </c>
      <c r="D903" s="8">
        <v>6.7208946256699996E-4</v>
      </c>
      <c r="E903" s="6">
        <f t="shared" si="28"/>
        <v>-1.83</v>
      </c>
      <c r="F903" s="8">
        <f t="shared" si="29"/>
        <v>-1.2299237164976099E-3</v>
      </c>
    </row>
    <row r="904" spans="1:6" x14ac:dyDescent="0.2">
      <c r="A904">
        <v>13</v>
      </c>
      <c r="B904" t="s">
        <v>1125</v>
      </c>
      <c r="C904" t="s">
        <v>918</v>
      </c>
      <c r="D904" s="8">
        <v>3.5781578588680002E-4</v>
      </c>
      <c r="E904" s="6">
        <f t="shared" si="28"/>
        <v>0.1469999999999998</v>
      </c>
      <c r="F904" s="8">
        <f t="shared" si="29"/>
        <v>5.2598920525359531E-5</v>
      </c>
    </row>
    <row r="905" spans="1:6" x14ac:dyDescent="0.2">
      <c r="A905">
        <v>13</v>
      </c>
      <c r="B905" t="s">
        <v>1125</v>
      </c>
      <c r="C905" t="s">
        <v>919</v>
      </c>
      <c r="D905" s="8">
        <v>3.6464563509676689E-9</v>
      </c>
      <c r="E905" s="6">
        <f t="shared" si="28"/>
        <v>-3.4940000000000002</v>
      </c>
      <c r="F905" s="8">
        <f t="shared" si="29"/>
        <v>-1.2740718490281036E-8</v>
      </c>
    </row>
    <row r="906" spans="1:6" x14ac:dyDescent="0.2">
      <c r="A906">
        <v>13</v>
      </c>
      <c r="B906" t="s">
        <v>1125</v>
      </c>
      <c r="C906" t="s">
        <v>924</v>
      </c>
      <c r="D906" s="8">
        <v>8.1147333635888993E-3</v>
      </c>
      <c r="E906" s="6">
        <f t="shared" si="28"/>
        <v>-8.4000000000000075E-2</v>
      </c>
      <c r="F906" s="8">
        <f t="shared" si="29"/>
        <v>-6.8163760254146813E-4</v>
      </c>
    </row>
    <row r="907" spans="1:6" x14ac:dyDescent="0.2">
      <c r="A907">
        <v>13</v>
      </c>
      <c r="B907" t="s">
        <v>1125</v>
      </c>
      <c r="C907" t="s">
        <v>929</v>
      </c>
      <c r="D907" s="8">
        <v>2.7888098172200749E-8</v>
      </c>
      <c r="E907" s="6">
        <f t="shared" si="28"/>
        <v>-0.54599999999999982</v>
      </c>
      <c r="F907" s="8">
        <f t="shared" si="29"/>
        <v>-1.5226901602021603E-8</v>
      </c>
    </row>
    <row r="908" spans="1:6" x14ac:dyDescent="0.2">
      <c r="A908">
        <v>13</v>
      </c>
      <c r="B908" t="s">
        <v>1125</v>
      </c>
      <c r="C908" t="s">
        <v>930</v>
      </c>
      <c r="D908" s="8">
        <v>1.2589025906080779E-7</v>
      </c>
      <c r="E908" s="6">
        <f t="shared" si="28"/>
        <v>-5.8000000000000052E-2</v>
      </c>
      <c r="F908" s="8">
        <f t="shared" si="29"/>
        <v>-7.3016350255268583E-9</v>
      </c>
    </row>
    <row r="909" spans="1:6" x14ac:dyDescent="0.2">
      <c r="A909">
        <v>13</v>
      </c>
      <c r="B909" t="s">
        <v>1125</v>
      </c>
      <c r="C909" t="s">
        <v>931</v>
      </c>
      <c r="D909" s="8">
        <v>2.7155068554949999E-4</v>
      </c>
      <c r="E909" s="6">
        <f t="shared" si="28"/>
        <v>-0.31099999999999994</v>
      </c>
      <c r="F909" s="8">
        <f t="shared" si="29"/>
        <v>-8.4452263205894482E-5</v>
      </c>
    </row>
    <row r="910" spans="1:6" x14ac:dyDescent="0.2">
      <c r="A910">
        <v>13</v>
      </c>
      <c r="B910" t="s">
        <v>1125</v>
      </c>
      <c r="C910" t="s">
        <v>933</v>
      </c>
      <c r="D910" s="8">
        <v>9.2948475100386001E-3</v>
      </c>
      <c r="E910" s="6">
        <f t="shared" si="28"/>
        <v>0.4430000000000005</v>
      </c>
      <c r="F910" s="8">
        <f t="shared" si="29"/>
        <v>4.1176174469471048E-3</v>
      </c>
    </row>
    <row r="911" spans="1:6" x14ac:dyDescent="0.2">
      <c r="A911">
        <v>13</v>
      </c>
      <c r="B911" t="s">
        <v>1125</v>
      </c>
      <c r="C911" t="s">
        <v>942</v>
      </c>
      <c r="D911" s="8">
        <v>4.1696863727680207E-5</v>
      </c>
      <c r="E911" s="6">
        <f t="shared" si="28"/>
        <v>0.33700000000000019</v>
      </c>
      <c r="F911" s="8">
        <f t="shared" si="29"/>
        <v>1.4051843076228238E-5</v>
      </c>
    </row>
    <row r="912" spans="1:6" x14ac:dyDescent="0.2">
      <c r="A912">
        <v>13</v>
      </c>
      <c r="B912" t="s">
        <v>1125</v>
      </c>
      <c r="C912" t="s">
        <v>943</v>
      </c>
      <c r="D912" s="8">
        <v>4.2166162660049752E-5</v>
      </c>
      <c r="E912" s="6">
        <f t="shared" si="28"/>
        <v>0.40800000000000014</v>
      </c>
      <c r="F912" s="8">
        <f t="shared" si="29"/>
        <v>1.7203794365300306E-5</v>
      </c>
    </row>
    <row r="913" spans="1:6" x14ac:dyDescent="0.2">
      <c r="A913">
        <v>13</v>
      </c>
      <c r="B913" t="s">
        <v>1125</v>
      </c>
      <c r="C913" t="s">
        <v>944</v>
      </c>
      <c r="D913" s="8">
        <v>3.1010333177203E-2</v>
      </c>
      <c r="E913" s="6">
        <f t="shared" si="28"/>
        <v>-0.122</v>
      </c>
      <c r="F913" s="8">
        <f t="shared" si="29"/>
        <v>-3.783260647618766E-3</v>
      </c>
    </row>
    <row r="914" spans="1:6" x14ac:dyDescent="0.2">
      <c r="A914">
        <v>13</v>
      </c>
      <c r="B914" t="s">
        <v>1125</v>
      </c>
      <c r="C914" t="s">
        <v>948</v>
      </c>
      <c r="D914" s="8">
        <v>1.06168215040433E-2</v>
      </c>
      <c r="E914" s="6">
        <f t="shared" si="28"/>
        <v>-1.0880000000000001</v>
      </c>
      <c r="F914" s="8">
        <f t="shared" si="29"/>
        <v>-1.1551101796399111E-2</v>
      </c>
    </row>
    <row r="915" spans="1:6" x14ac:dyDescent="0.2">
      <c r="A915">
        <v>13</v>
      </c>
      <c r="B915" t="s">
        <v>1125</v>
      </c>
      <c r="C915" t="s">
        <v>951</v>
      </c>
      <c r="D915" s="8">
        <v>1.691510879174181E-5</v>
      </c>
      <c r="E915" s="6">
        <f t="shared" si="28"/>
        <v>-8.8000000000000078E-2</v>
      </c>
      <c r="F915" s="8">
        <f t="shared" si="29"/>
        <v>-1.4885295736732805E-6</v>
      </c>
    </row>
    <row r="916" spans="1:6" x14ac:dyDescent="0.2">
      <c r="A916">
        <v>13</v>
      </c>
      <c r="B916" t="s">
        <v>1125</v>
      </c>
      <c r="C916" t="s">
        <v>953</v>
      </c>
      <c r="D916" s="8">
        <v>2.990094207793489E-5</v>
      </c>
      <c r="E916" s="6">
        <f t="shared" si="28"/>
        <v>-0.42500000000000004</v>
      </c>
      <c r="F916" s="8">
        <f t="shared" si="29"/>
        <v>-1.270790038312233E-5</v>
      </c>
    </row>
    <row r="917" spans="1:6" x14ac:dyDescent="0.2">
      <c r="A917">
        <v>13</v>
      </c>
      <c r="B917" t="s">
        <v>1125</v>
      </c>
      <c r="C917" t="s">
        <v>956</v>
      </c>
      <c r="D917" s="8">
        <v>2.4188232393847001E-3</v>
      </c>
      <c r="E917" s="6">
        <f t="shared" si="28"/>
        <v>-0.44700000000000006</v>
      </c>
      <c r="F917" s="8">
        <f t="shared" si="29"/>
        <v>-1.0812139880049612E-3</v>
      </c>
    </row>
    <row r="918" spans="1:6" x14ac:dyDescent="0.2">
      <c r="A918">
        <v>13</v>
      </c>
      <c r="B918" t="s">
        <v>1125</v>
      </c>
      <c r="C918" t="s">
        <v>957</v>
      </c>
      <c r="D918" s="8">
        <v>1.13101407346694E-5</v>
      </c>
      <c r="E918" s="6">
        <f t="shared" si="28"/>
        <v>-0.11499999999999988</v>
      </c>
      <c r="F918" s="8">
        <f t="shared" si="29"/>
        <v>-1.3006661844869796E-6</v>
      </c>
    </row>
    <row r="919" spans="1:6" x14ac:dyDescent="0.2">
      <c r="A919">
        <v>13</v>
      </c>
      <c r="B919" t="s">
        <v>1125</v>
      </c>
      <c r="C919" t="s">
        <v>1117</v>
      </c>
      <c r="D919" s="8">
        <v>8.3516977680023119E-6</v>
      </c>
      <c r="E919" s="6">
        <f t="shared" si="28"/>
        <v>0</v>
      </c>
      <c r="F919" s="8">
        <f t="shared" si="29"/>
        <v>0</v>
      </c>
    </row>
    <row r="920" spans="1:6" x14ac:dyDescent="0.2">
      <c r="A920">
        <v>13</v>
      </c>
      <c r="B920" t="s">
        <v>1125</v>
      </c>
      <c r="C920" t="s">
        <v>959</v>
      </c>
      <c r="D920" s="8">
        <v>4.793473627422102E-5</v>
      </c>
      <c r="E920" s="6">
        <f t="shared" si="28"/>
        <v>-0.60699999999999998</v>
      </c>
      <c r="F920" s="8">
        <f t="shared" si="29"/>
        <v>-2.9096384918452158E-5</v>
      </c>
    </row>
    <row r="921" spans="1:6" x14ac:dyDescent="0.2">
      <c r="A921">
        <v>13</v>
      </c>
      <c r="B921" t="s">
        <v>1125</v>
      </c>
      <c r="C921" t="s">
        <v>960</v>
      </c>
      <c r="D921" s="8">
        <v>2.711305116771526E-5</v>
      </c>
      <c r="E921" s="6">
        <f t="shared" si="28"/>
        <v>0.29999999999999982</v>
      </c>
      <c r="F921" s="8">
        <f t="shared" si="29"/>
        <v>8.1339153503145729E-6</v>
      </c>
    </row>
    <row r="922" spans="1:6" x14ac:dyDescent="0.2">
      <c r="A922">
        <v>13</v>
      </c>
      <c r="B922" t="s">
        <v>1125</v>
      </c>
      <c r="C922" t="s">
        <v>961</v>
      </c>
      <c r="D922" s="8">
        <v>4.3757476211612036E-9</v>
      </c>
      <c r="E922" s="6">
        <f t="shared" si="28"/>
        <v>6.9999999999996732E-3</v>
      </c>
      <c r="F922" s="8">
        <f t="shared" si="29"/>
        <v>3.0630233348126994E-11</v>
      </c>
    </row>
    <row r="923" spans="1:6" x14ac:dyDescent="0.2">
      <c r="A923">
        <v>13</v>
      </c>
      <c r="B923" t="s">
        <v>1125</v>
      </c>
      <c r="C923" t="s">
        <v>965</v>
      </c>
      <c r="D923" s="8">
        <v>6.7073720340089999E-4</v>
      </c>
      <c r="E923" s="6">
        <f t="shared" si="28"/>
        <v>4.5000000000000151E-2</v>
      </c>
      <c r="F923" s="8">
        <f t="shared" si="29"/>
        <v>3.01831741530406E-5</v>
      </c>
    </row>
    <row r="924" spans="1:6" x14ac:dyDescent="0.2">
      <c r="A924">
        <v>13</v>
      </c>
      <c r="B924" t="s">
        <v>1125</v>
      </c>
      <c r="C924" t="s">
        <v>969</v>
      </c>
      <c r="D924" s="8">
        <v>4.4525366691073098E-2</v>
      </c>
      <c r="E924" s="6">
        <f t="shared" si="28"/>
        <v>0.53699999999999992</v>
      </c>
      <c r="F924" s="8">
        <f t="shared" si="29"/>
        <v>2.391012191310625E-2</v>
      </c>
    </row>
    <row r="925" spans="1:6" x14ac:dyDescent="0.2">
      <c r="A925">
        <v>13</v>
      </c>
      <c r="B925" t="s">
        <v>1125</v>
      </c>
      <c r="C925" t="s">
        <v>970</v>
      </c>
      <c r="D925" s="8">
        <v>1.8654661879189999E-4</v>
      </c>
      <c r="E925" s="6">
        <f t="shared" si="28"/>
        <v>-0.10000000000000009</v>
      </c>
      <c r="F925" s="8">
        <f t="shared" si="29"/>
        <v>-1.8654661879190014E-5</v>
      </c>
    </row>
    <row r="926" spans="1:6" x14ac:dyDescent="0.2">
      <c r="A926">
        <v>13</v>
      </c>
      <c r="B926" t="s">
        <v>1125</v>
      </c>
      <c r="C926" t="s">
        <v>971</v>
      </c>
      <c r="D926" s="8">
        <v>7.2889293130170001E-4</v>
      </c>
      <c r="E926" s="6">
        <f t="shared" si="28"/>
        <v>-0.13700000000000001</v>
      </c>
      <c r="F926" s="8">
        <f t="shared" si="29"/>
        <v>-9.9858331588332914E-5</v>
      </c>
    </row>
    <row r="927" spans="1:6" x14ac:dyDescent="0.2">
      <c r="A927">
        <v>13</v>
      </c>
      <c r="B927" t="s">
        <v>1125</v>
      </c>
      <c r="C927" t="s">
        <v>973</v>
      </c>
      <c r="D927" s="8">
        <v>1.4458053573330001E-4</v>
      </c>
      <c r="E927" s="6">
        <f t="shared" si="28"/>
        <v>-0.84999999999999987</v>
      </c>
      <c r="F927" s="8">
        <f t="shared" si="29"/>
        <v>-1.2289345537330499E-4</v>
      </c>
    </row>
    <row r="928" spans="1:6" x14ac:dyDescent="0.2">
      <c r="A928">
        <v>13</v>
      </c>
      <c r="B928" t="s">
        <v>1125</v>
      </c>
      <c r="C928" t="s">
        <v>975</v>
      </c>
      <c r="D928" s="8">
        <v>7.2239628316693996E-3</v>
      </c>
      <c r="E928" s="6">
        <f t="shared" si="28"/>
        <v>0.23500000000000032</v>
      </c>
      <c r="F928" s="8">
        <f t="shared" si="29"/>
        <v>1.6976312654423112E-3</v>
      </c>
    </row>
    <row r="929" spans="1:6" x14ac:dyDescent="0.2">
      <c r="A929">
        <v>13</v>
      </c>
      <c r="B929" t="s">
        <v>1125</v>
      </c>
      <c r="C929" t="s">
        <v>978</v>
      </c>
      <c r="D929" s="8">
        <v>9.4807865125159406E-5</v>
      </c>
      <c r="E929" s="6">
        <f t="shared" si="28"/>
        <v>-8.2390000000000008</v>
      </c>
      <c r="F929" s="8">
        <f t="shared" si="29"/>
        <v>-7.8112200076618842E-4</v>
      </c>
    </row>
    <row r="930" spans="1:6" x14ac:dyDescent="0.2">
      <c r="A930">
        <v>13</v>
      </c>
      <c r="B930" t="s">
        <v>1125</v>
      </c>
      <c r="C930" t="s">
        <v>981</v>
      </c>
      <c r="D930" s="8">
        <v>6.3199430916730003E-4</v>
      </c>
      <c r="E930" s="6">
        <f t="shared" si="28"/>
        <v>-0.33499999999999996</v>
      </c>
      <c r="F930" s="8">
        <f t="shared" si="29"/>
        <v>-2.1171809357104548E-4</v>
      </c>
    </row>
    <row r="931" spans="1:6" x14ac:dyDescent="0.2">
      <c r="A931">
        <v>13</v>
      </c>
      <c r="B931" t="s">
        <v>1125</v>
      </c>
      <c r="C931" t="s">
        <v>983</v>
      </c>
      <c r="D931" s="8">
        <v>5.5334975125929996E-4</v>
      </c>
      <c r="E931" s="6">
        <f t="shared" si="28"/>
        <v>-0.19999999999999973</v>
      </c>
      <c r="F931" s="8">
        <f t="shared" si="29"/>
        <v>-1.1066995025185985E-4</v>
      </c>
    </row>
    <row r="932" spans="1:6" x14ac:dyDescent="0.2">
      <c r="A932">
        <v>13</v>
      </c>
      <c r="B932" t="s">
        <v>1125</v>
      </c>
      <c r="C932" t="s">
        <v>984</v>
      </c>
      <c r="D932" s="8">
        <v>6.55608200845339E-2</v>
      </c>
      <c r="E932" s="6">
        <f t="shared" si="28"/>
        <v>0.121</v>
      </c>
      <c r="F932" s="8">
        <f t="shared" si="29"/>
        <v>7.9328592302286022E-3</v>
      </c>
    </row>
    <row r="933" spans="1:6" x14ac:dyDescent="0.2">
      <c r="A933">
        <v>13</v>
      </c>
      <c r="B933" t="s">
        <v>1125</v>
      </c>
      <c r="C933" t="s">
        <v>987</v>
      </c>
      <c r="D933" s="8">
        <v>1.437080116576682E-5</v>
      </c>
      <c r="E933" s="6">
        <f t="shared" si="28"/>
        <v>0.83399999999999963</v>
      </c>
      <c r="F933" s="8">
        <f t="shared" si="29"/>
        <v>1.1985248172249523E-5</v>
      </c>
    </row>
    <row r="934" spans="1:6" x14ac:dyDescent="0.2">
      <c r="A934">
        <v>13</v>
      </c>
      <c r="B934" t="s">
        <v>1125</v>
      </c>
      <c r="C934" t="s">
        <v>988</v>
      </c>
      <c r="D934" s="8">
        <v>0.1824484979196046</v>
      </c>
      <c r="E934" s="6">
        <f t="shared" si="28"/>
        <v>0.59299999999999997</v>
      </c>
      <c r="F934" s="8">
        <f t="shared" si="29"/>
        <v>0.10819195926632552</v>
      </c>
    </row>
    <row r="935" spans="1:6" x14ac:dyDescent="0.2">
      <c r="A935">
        <v>13</v>
      </c>
      <c r="B935" t="s">
        <v>1125</v>
      </c>
      <c r="C935" t="s">
        <v>990</v>
      </c>
      <c r="D935" s="8">
        <v>2.28081895983566E-2</v>
      </c>
      <c r="E935" s="6">
        <f t="shared" si="28"/>
        <v>0.45299999999999985</v>
      </c>
      <c r="F935" s="8">
        <f t="shared" si="29"/>
        <v>1.0332109888055536E-2</v>
      </c>
    </row>
    <row r="936" spans="1:6" x14ac:dyDescent="0.2">
      <c r="A936">
        <v>13</v>
      </c>
      <c r="B936" t="s">
        <v>1125</v>
      </c>
      <c r="C936" t="s">
        <v>992</v>
      </c>
      <c r="D936" s="8">
        <v>2.05276312199E-4</v>
      </c>
      <c r="E936" s="6">
        <f t="shared" si="28"/>
        <v>2.048</v>
      </c>
      <c r="F936" s="8">
        <f t="shared" si="29"/>
        <v>4.20405887383552E-4</v>
      </c>
    </row>
    <row r="937" spans="1:6" x14ac:dyDescent="0.2">
      <c r="A937">
        <v>13</v>
      </c>
      <c r="B937" t="s">
        <v>1125</v>
      </c>
      <c r="C937" t="s">
        <v>1092</v>
      </c>
      <c r="D937" s="8">
        <v>2.4831383206870003E-4</v>
      </c>
      <c r="E937" s="6">
        <f t="shared" si="28"/>
        <v>0</v>
      </c>
      <c r="F937" s="8">
        <f t="shared" si="29"/>
        <v>0</v>
      </c>
    </row>
    <row r="938" spans="1:6" x14ac:dyDescent="0.2">
      <c r="A938">
        <v>13</v>
      </c>
      <c r="B938" t="s">
        <v>1125</v>
      </c>
      <c r="C938" t="s">
        <v>1093</v>
      </c>
      <c r="D938" s="8">
        <v>6.2544871253393999E-3</v>
      </c>
      <c r="E938" s="6">
        <f t="shared" si="28"/>
        <v>0</v>
      </c>
      <c r="F938" s="8">
        <f t="shared" si="29"/>
        <v>0</v>
      </c>
    </row>
    <row r="939" spans="1:6" x14ac:dyDescent="0.2">
      <c r="A939">
        <v>13</v>
      </c>
      <c r="B939" t="s">
        <v>1125</v>
      </c>
      <c r="C939" t="s">
        <v>998</v>
      </c>
      <c r="D939" s="8">
        <v>7.1470544478966328E-6</v>
      </c>
      <c r="E939" s="6">
        <f t="shared" si="28"/>
        <v>-0.28200000000000003</v>
      </c>
      <c r="F939" s="8">
        <f t="shared" si="29"/>
        <v>-2.0154693543068508E-6</v>
      </c>
    </row>
    <row r="940" spans="1:6" x14ac:dyDescent="0.2">
      <c r="A940">
        <v>13</v>
      </c>
      <c r="B940" t="s">
        <v>1125</v>
      </c>
      <c r="C940" t="s">
        <v>999</v>
      </c>
      <c r="D940" s="8">
        <v>7.2779257663328627E-6</v>
      </c>
      <c r="E940" s="6">
        <f t="shared" si="28"/>
        <v>-0.5219999999999998</v>
      </c>
      <c r="F940" s="8">
        <f t="shared" si="29"/>
        <v>-3.7990772500257528E-6</v>
      </c>
    </row>
    <row r="941" spans="1:6" x14ac:dyDescent="0.2">
      <c r="A941">
        <v>13</v>
      </c>
      <c r="B941" t="s">
        <v>1125</v>
      </c>
      <c r="C941" t="s">
        <v>1002</v>
      </c>
      <c r="D941" s="8">
        <v>4.1663039271490002E-4</v>
      </c>
      <c r="E941" s="6">
        <f t="shared" si="28"/>
        <v>-1.3390000000000004</v>
      </c>
      <c r="F941" s="8">
        <f t="shared" si="29"/>
        <v>-5.5786809584525132E-4</v>
      </c>
    </row>
    <row r="942" spans="1:6" x14ac:dyDescent="0.2">
      <c r="A942">
        <v>13</v>
      </c>
      <c r="B942" t="s">
        <v>1125</v>
      </c>
      <c r="C942" t="s">
        <v>1003</v>
      </c>
      <c r="D942" s="8">
        <v>1.0939369052903009E-9</v>
      </c>
      <c r="E942" s="6">
        <f t="shared" si="28"/>
        <v>0.22999999999999998</v>
      </c>
      <c r="F942" s="8">
        <f t="shared" si="29"/>
        <v>2.516054882167692E-10</v>
      </c>
    </row>
    <row r="943" spans="1:6" x14ac:dyDescent="0.2">
      <c r="A943">
        <v>13</v>
      </c>
      <c r="B943" t="s">
        <v>1125</v>
      </c>
      <c r="C943" t="s">
        <v>1008</v>
      </c>
      <c r="D943" s="8">
        <v>1.2402159603918999E-3</v>
      </c>
      <c r="E943" s="6">
        <f t="shared" si="28"/>
        <v>0.94799999999999995</v>
      </c>
      <c r="F943" s="8">
        <f t="shared" si="29"/>
        <v>1.1757247304515211E-3</v>
      </c>
    </row>
    <row r="944" spans="1:6" x14ac:dyDescent="0.2">
      <c r="A944">
        <v>13</v>
      </c>
      <c r="B944" t="s">
        <v>1125</v>
      </c>
      <c r="C944" t="s">
        <v>1014</v>
      </c>
      <c r="D944" s="8">
        <v>5.5389709828708701E-2</v>
      </c>
      <c r="E944" s="6">
        <f t="shared" si="28"/>
        <v>0.90000000000000036</v>
      </c>
      <c r="F944" s="8">
        <f t="shared" si="29"/>
        <v>4.985073884583785E-2</v>
      </c>
    </row>
    <row r="945" spans="1:6" x14ac:dyDescent="0.2">
      <c r="A945">
        <v>13</v>
      </c>
      <c r="B945" t="s">
        <v>1125</v>
      </c>
      <c r="C945" t="s">
        <v>1017</v>
      </c>
      <c r="D945" s="8">
        <v>2.2141282963075689E-6</v>
      </c>
      <c r="E945" s="6">
        <f t="shared" si="28"/>
        <v>1.3749999999999996</v>
      </c>
      <c r="F945" s="8">
        <f t="shared" si="29"/>
        <v>3.0444264074229064E-6</v>
      </c>
    </row>
    <row r="946" spans="1:6" x14ac:dyDescent="0.2">
      <c r="A946">
        <v>13</v>
      </c>
      <c r="B946" t="s">
        <v>1125</v>
      </c>
      <c r="C946" t="s">
        <v>1018</v>
      </c>
      <c r="D946" s="8">
        <v>1.1746851505416999E-3</v>
      </c>
      <c r="E946" s="6">
        <f t="shared" si="28"/>
        <v>0.69999999999999973</v>
      </c>
      <c r="F946" s="8">
        <f t="shared" si="29"/>
        <v>8.2227960537918968E-4</v>
      </c>
    </row>
    <row r="947" spans="1:6" x14ac:dyDescent="0.2">
      <c r="A947">
        <v>13</v>
      </c>
      <c r="B947" t="s">
        <v>1125</v>
      </c>
      <c r="C947" t="s">
        <v>1019</v>
      </c>
      <c r="D947" s="8">
        <v>3.5852729754636999E-3</v>
      </c>
      <c r="E947" s="6">
        <f t="shared" si="28"/>
        <v>-0.21599999999999997</v>
      </c>
      <c r="F947" s="8">
        <f t="shared" si="29"/>
        <v>-7.7441896270015909E-4</v>
      </c>
    </row>
    <row r="948" spans="1:6" x14ac:dyDescent="0.2">
      <c r="A948">
        <v>13</v>
      </c>
      <c r="B948" t="s">
        <v>1125</v>
      </c>
      <c r="C948" t="s">
        <v>1021</v>
      </c>
      <c r="D948" s="8">
        <v>4.7908383334172567E-5</v>
      </c>
      <c r="E948" s="6">
        <f t="shared" si="28"/>
        <v>-2.4829999999999997</v>
      </c>
      <c r="F948" s="8">
        <f t="shared" si="29"/>
        <v>-1.1895651581875047E-4</v>
      </c>
    </row>
    <row r="949" spans="1:6" x14ac:dyDescent="0.2">
      <c r="A949">
        <v>13</v>
      </c>
      <c r="B949" t="s">
        <v>1125</v>
      </c>
      <c r="C949" t="s">
        <v>1023</v>
      </c>
      <c r="D949" s="8">
        <v>6.4596445054473997E-3</v>
      </c>
      <c r="E949" s="6">
        <f t="shared" si="28"/>
        <v>-0.62199999999999989</v>
      </c>
      <c r="F949" s="8">
        <f t="shared" si="29"/>
        <v>-4.017898882388282E-3</v>
      </c>
    </row>
    <row r="950" spans="1:6" x14ac:dyDescent="0.2">
      <c r="A950">
        <v>13</v>
      </c>
      <c r="B950" t="s">
        <v>1125</v>
      </c>
      <c r="C950" t="s">
        <v>1025</v>
      </c>
      <c r="D950" s="8">
        <v>1.3124624707820001E-4</v>
      </c>
      <c r="E950" s="6">
        <f t="shared" si="28"/>
        <v>4.7000000000000153E-2</v>
      </c>
      <c r="F950" s="8">
        <f t="shared" si="29"/>
        <v>6.1685736126754199E-6</v>
      </c>
    </row>
    <row r="951" spans="1:6" x14ac:dyDescent="0.2">
      <c r="A951">
        <v>13</v>
      </c>
      <c r="B951" t="s">
        <v>1125</v>
      </c>
      <c r="C951" t="s">
        <v>1028</v>
      </c>
      <c r="D951" s="8">
        <v>0.18637777700086841</v>
      </c>
      <c r="E951" s="6">
        <f t="shared" si="28"/>
        <v>-1.6600000000000001</v>
      </c>
      <c r="F951" s="8">
        <f t="shared" si="29"/>
        <v>-0.30938710982144157</v>
      </c>
    </row>
    <row r="952" spans="1:6" x14ac:dyDescent="0.2">
      <c r="A952">
        <v>13</v>
      </c>
      <c r="B952" t="s">
        <v>1125</v>
      </c>
      <c r="C952" t="s">
        <v>1030</v>
      </c>
      <c r="D952" s="8">
        <v>5.5560239612599998E-3</v>
      </c>
      <c r="E952" s="6">
        <f t="shared" si="28"/>
        <v>0.29999999999999982</v>
      </c>
      <c r="F952" s="8">
        <f t="shared" si="29"/>
        <v>1.6668071883779989E-3</v>
      </c>
    </row>
    <row r="953" spans="1:6" x14ac:dyDescent="0.2">
      <c r="A953">
        <v>13</v>
      </c>
      <c r="B953" t="s">
        <v>1125</v>
      </c>
      <c r="C953" t="s">
        <v>1031</v>
      </c>
      <c r="D953" s="8">
        <v>7.6782097508590005E-4</v>
      </c>
      <c r="E953" s="6">
        <f t="shared" si="28"/>
        <v>0.19899999999999984</v>
      </c>
      <c r="F953" s="8">
        <f t="shared" si="29"/>
        <v>1.52796374042094E-4</v>
      </c>
    </row>
    <row r="954" spans="1:6" x14ac:dyDescent="0.2">
      <c r="A954">
        <v>13</v>
      </c>
      <c r="B954" t="s">
        <v>1125</v>
      </c>
      <c r="C954" t="s">
        <v>1033</v>
      </c>
      <c r="D954" s="8">
        <v>7.2929127019353373E-10</v>
      </c>
      <c r="E954" s="6">
        <f t="shared" si="28"/>
        <v>0.23299999999999987</v>
      </c>
      <c r="F954" s="8">
        <f t="shared" si="29"/>
        <v>1.6992486595509327E-10</v>
      </c>
    </row>
    <row r="955" spans="1:6" x14ac:dyDescent="0.2">
      <c r="A955">
        <v>13</v>
      </c>
      <c r="B955" t="s">
        <v>1125</v>
      </c>
      <c r="C955" t="s">
        <v>1034</v>
      </c>
      <c r="D955" s="8">
        <v>7.8458754037316995E-3</v>
      </c>
      <c r="E955" s="6">
        <f t="shared" si="28"/>
        <v>0.70000000000000018</v>
      </c>
      <c r="F955" s="8">
        <f t="shared" si="29"/>
        <v>5.4921127826121907E-3</v>
      </c>
    </row>
    <row r="956" spans="1:6" x14ac:dyDescent="0.2">
      <c r="A956">
        <v>13</v>
      </c>
      <c r="B956" t="s">
        <v>1125</v>
      </c>
      <c r="C956" t="s">
        <v>1036</v>
      </c>
      <c r="D956" s="8">
        <v>5.1606692294451007E-5</v>
      </c>
      <c r="E956" s="6">
        <f t="shared" si="28"/>
        <v>-2.0590000000000002</v>
      </c>
      <c r="F956" s="8">
        <f t="shared" si="29"/>
        <v>-1.0625817943427463E-4</v>
      </c>
    </row>
    <row r="957" spans="1:6" x14ac:dyDescent="0.2">
      <c r="A957">
        <v>13</v>
      </c>
      <c r="B957" t="s">
        <v>1125</v>
      </c>
      <c r="C957" t="s">
        <v>1037</v>
      </c>
      <c r="D957" s="8">
        <v>3.6001625893340001E-4</v>
      </c>
      <c r="E957" s="6">
        <f t="shared" si="28"/>
        <v>0.2350000000000001</v>
      </c>
      <c r="F957" s="8">
        <f t="shared" si="29"/>
        <v>8.460382084934904E-5</v>
      </c>
    </row>
    <row r="958" spans="1:6" x14ac:dyDescent="0.2">
      <c r="A958">
        <v>13</v>
      </c>
      <c r="B958" t="s">
        <v>1125</v>
      </c>
      <c r="C958" t="s">
        <v>1094</v>
      </c>
      <c r="D958" s="8">
        <v>1.08610937169328E-2</v>
      </c>
      <c r="E958" s="6">
        <f t="shared" ref="E958:E1021" si="30">IFERROR(VLOOKUP(C958,$A$6:$D$185,4,FALSE),0)</f>
        <v>0</v>
      </c>
      <c r="F958" s="8">
        <f t="shared" ref="F958:F1021" si="31">D958*E958</f>
        <v>0</v>
      </c>
    </row>
    <row r="959" spans="1:6" x14ac:dyDescent="0.2">
      <c r="A959">
        <v>13</v>
      </c>
      <c r="B959" t="s">
        <v>1125</v>
      </c>
      <c r="C959" t="s">
        <v>1042</v>
      </c>
      <c r="D959" s="8">
        <v>0.11439549868741521</v>
      </c>
      <c r="E959" s="6">
        <f t="shared" si="30"/>
        <v>1.621</v>
      </c>
      <c r="F959" s="8">
        <f t="shared" si="31"/>
        <v>0.18543510337230004</v>
      </c>
    </row>
    <row r="960" spans="1:6" x14ac:dyDescent="0.2">
      <c r="A960">
        <v>13</v>
      </c>
      <c r="B960" t="s">
        <v>1125</v>
      </c>
      <c r="C960" t="s">
        <v>1043</v>
      </c>
      <c r="D960" s="8">
        <v>9.5280349601790004E-4</v>
      </c>
      <c r="E960" s="6">
        <f t="shared" si="30"/>
        <v>-2.8000000000000025E-2</v>
      </c>
      <c r="F960" s="8">
        <f t="shared" si="31"/>
        <v>-2.6678497888501225E-5</v>
      </c>
    </row>
    <row r="961" spans="1:6" x14ac:dyDescent="0.2">
      <c r="A961">
        <v>13</v>
      </c>
      <c r="B961" t="s">
        <v>1125</v>
      </c>
      <c r="C961" t="s">
        <v>1051</v>
      </c>
      <c r="D961" s="8">
        <v>5.797865598038595E-6</v>
      </c>
      <c r="E961" s="6">
        <f t="shared" si="30"/>
        <v>0.18199999999999994</v>
      </c>
      <c r="F961" s="8">
        <f t="shared" si="31"/>
        <v>1.0552115388430239E-6</v>
      </c>
    </row>
    <row r="962" spans="1:6" x14ac:dyDescent="0.2">
      <c r="A962">
        <v>13</v>
      </c>
      <c r="B962" t="s">
        <v>1125</v>
      </c>
      <c r="C962" t="s">
        <v>1052</v>
      </c>
      <c r="D962" s="8">
        <v>7.2929127019353394E-8</v>
      </c>
      <c r="E962" s="6">
        <f t="shared" si="30"/>
        <v>-1.1059999999999999</v>
      </c>
      <c r="F962" s="8">
        <f t="shared" si="31"/>
        <v>-8.0659614483404838E-8</v>
      </c>
    </row>
    <row r="963" spans="1:6" x14ac:dyDescent="0.2">
      <c r="A963">
        <v>13</v>
      </c>
      <c r="B963" t="s">
        <v>1125</v>
      </c>
      <c r="C963" t="s">
        <v>1054</v>
      </c>
      <c r="D963" s="8">
        <v>3.5005980969289629E-6</v>
      </c>
      <c r="E963" s="6">
        <f t="shared" si="30"/>
        <v>-0.16800000000000015</v>
      </c>
      <c r="F963" s="8">
        <f t="shared" si="31"/>
        <v>-5.8810048028406634E-7</v>
      </c>
    </row>
    <row r="964" spans="1:6" x14ac:dyDescent="0.2">
      <c r="A964">
        <v>13</v>
      </c>
      <c r="B964" t="s">
        <v>1125</v>
      </c>
      <c r="C964" t="s">
        <v>1059</v>
      </c>
      <c r="D964" s="8">
        <v>3.8551676542209999E-2</v>
      </c>
      <c r="E964" s="6">
        <f t="shared" si="30"/>
        <v>-0.10000000000000009</v>
      </c>
      <c r="F964" s="8">
        <f t="shared" si="31"/>
        <v>-3.8551676542210034E-3</v>
      </c>
    </row>
    <row r="965" spans="1:6" x14ac:dyDescent="0.2">
      <c r="A965">
        <v>13</v>
      </c>
      <c r="B965" t="s">
        <v>1125</v>
      </c>
      <c r="C965" t="s">
        <v>1062</v>
      </c>
      <c r="D965" s="8">
        <v>3.8052133769593001E-3</v>
      </c>
      <c r="E965" s="6">
        <f t="shared" si="30"/>
        <v>0.89999999999999947</v>
      </c>
      <c r="F965" s="8">
        <f t="shared" si="31"/>
        <v>3.4246920392633682E-3</v>
      </c>
    </row>
    <row r="966" spans="1:6" x14ac:dyDescent="0.2">
      <c r="A966">
        <v>13</v>
      </c>
      <c r="B966" t="s">
        <v>1125</v>
      </c>
      <c r="C966" t="s">
        <v>1066</v>
      </c>
      <c r="D966" s="8">
        <v>1.2914102632689E-3</v>
      </c>
      <c r="E966" s="6">
        <f t="shared" si="30"/>
        <v>0.20900000000000007</v>
      </c>
      <c r="F966" s="8">
        <f t="shared" si="31"/>
        <v>2.6990474502320021E-4</v>
      </c>
    </row>
    <row r="967" spans="1:6" x14ac:dyDescent="0.2">
      <c r="A967">
        <v>13</v>
      </c>
      <c r="B967" t="s">
        <v>1125</v>
      </c>
      <c r="C967" t="s">
        <v>1072</v>
      </c>
      <c r="D967" s="8">
        <v>8.3884652528511006E-3</v>
      </c>
      <c r="E967" s="6">
        <f t="shared" si="30"/>
        <v>0.55599999999999983</v>
      </c>
      <c r="F967" s="8">
        <f t="shared" si="31"/>
        <v>4.6639866805852108E-3</v>
      </c>
    </row>
    <row r="968" spans="1:6" x14ac:dyDescent="0.2">
      <c r="A968">
        <v>13</v>
      </c>
      <c r="B968" t="s">
        <v>1125</v>
      </c>
      <c r="C968" t="s">
        <v>1075</v>
      </c>
      <c r="D968" s="8">
        <v>8.3112745856611103E-2</v>
      </c>
      <c r="E968" s="6">
        <f t="shared" si="30"/>
        <v>3.0529999999999999</v>
      </c>
      <c r="F968" s="8">
        <f t="shared" si="31"/>
        <v>0.25374321310023368</v>
      </c>
    </row>
    <row r="969" spans="1:6" x14ac:dyDescent="0.2">
      <c r="A969">
        <v>13</v>
      </c>
      <c r="B969" t="s">
        <v>1125</v>
      </c>
      <c r="C969" t="s">
        <v>1077</v>
      </c>
      <c r="D969" s="8">
        <v>6.5255042942129996E-4</v>
      </c>
      <c r="E969" s="6">
        <f t="shared" si="30"/>
        <v>0.63200000000000012</v>
      </c>
      <c r="F969" s="8">
        <f t="shared" si="31"/>
        <v>4.1241187139426166E-4</v>
      </c>
    </row>
    <row r="970" spans="1:6" x14ac:dyDescent="0.2">
      <c r="A970">
        <v>13</v>
      </c>
      <c r="B970" t="s">
        <v>1125</v>
      </c>
      <c r="C970" t="s">
        <v>1079</v>
      </c>
      <c r="D970" s="8">
        <v>3.7011144708657372E-5</v>
      </c>
      <c r="E970" s="6">
        <f t="shared" si="30"/>
        <v>-0.28899999999999992</v>
      </c>
      <c r="F970" s="8">
        <f t="shared" si="31"/>
        <v>-1.0696220820801977E-5</v>
      </c>
    </row>
    <row r="971" spans="1:6" x14ac:dyDescent="0.2">
      <c r="A971">
        <v>14</v>
      </c>
      <c r="B971" t="s">
        <v>1126</v>
      </c>
      <c r="C971" t="s">
        <v>902</v>
      </c>
      <c r="D971" s="8">
        <v>1.4433956616750419E-6</v>
      </c>
      <c r="E971" s="6">
        <f t="shared" si="30"/>
        <v>-0.28000000000000025</v>
      </c>
      <c r="F971" s="8">
        <f t="shared" si="31"/>
        <v>-4.0415078526901207E-7</v>
      </c>
    </row>
    <row r="972" spans="1:6" x14ac:dyDescent="0.2">
      <c r="A972">
        <v>14</v>
      </c>
      <c r="B972" t="s">
        <v>1126</v>
      </c>
      <c r="C972" t="s">
        <v>903</v>
      </c>
      <c r="D972" s="8">
        <v>1.9292460439388759E-5</v>
      </c>
      <c r="E972" s="6">
        <f t="shared" si="30"/>
        <v>0.22399999999999975</v>
      </c>
      <c r="F972" s="8">
        <f t="shared" si="31"/>
        <v>4.3215111384230773E-6</v>
      </c>
    </row>
    <row r="973" spans="1:6" x14ac:dyDescent="0.2">
      <c r="A973">
        <v>14</v>
      </c>
      <c r="B973" t="s">
        <v>1126</v>
      </c>
      <c r="C973" t="s">
        <v>1127</v>
      </c>
      <c r="D973" s="8">
        <v>1.8508390749665091E-7</v>
      </c>
      <c r="E973" s="6">
        <f t="shared" si="30"/>
        <v>0</v>
      </c>
      <c r="F973" s="8">
        <f t="shared" si="31"/>
        <v>0</v>
      </c>
    </row>
    <row r="974" spans="1:6" x14ac:dyDescent="0.2">
      <c r="A974">
        <v>14</v>
      </c>
      <c r="B974" t="s">
        <v>1126</v>
      </c>
      <c r="C974" t="s">
        <v>904</v>
      </c>
      <c r="D974" s="8">
        <v>8.385951287008676E-6</v>
      </c>
      <c r="E974" s="6">
        <f t="shared" si="30"/>
        <v>-6.800000000000006E-2</v>
      </c>
      <c r="F974" s="8">
        <f t="shared" si="31"/>
        <v>-5.7024468751659042E-7</v>
      </c>
    </row>
    <row r="975" spans="1:6" x14ac:dyDescent="0.2">
      <c r="A975">
        <v>14</v>
      </c>
      <c r="B975" t="s">
        <v>1126</v>
      </c>
      <c r="C975" t="s">
        <v>905</v>
      </c>
      <c r="D975" s="8">
        <v>6.0289982871911736E-9</v>
      </c>
      <c r="E975" s="6">
        <f t="shared" si="30"/>
        <v>0.5</v>
      </c>
      <c r="F975" s="8">
        <f t="shared" si="31"/>
        <v>3.0144991435955868E-9</v>
      </c>
    </row>
    <row r="976" spans="1:6" x14ac:dyDescent="0.2">
      <c r="A976">
        <v>14</v>
      </c>
      <c r="B976" t="s">
        <v>1126</v>
      </c>
      <c r="C976" t="s">
        <v>906</v>
      </c>
      <c r="D976" s="8">
        <v>1.9841587436112602E-2</v>
      </c>
      <c r="E976" s="6">
        <f t="shared" si="30"/>
        <v>-1.8859999999999997</v>
      </c>
      <c r="F976" s="8">
        <f t="shared" si="31"/>
        <v>-3.7421233904508362E-2</v>
      </c>
    </row>
    <row r="977" spans="1:6" x14ac:dyDescent="0.2">
      <c r="A977">
        <v>14</v>
      </c>
      <c r="B977" t="s">
        <v>1126</v>
      </c>
      <c r="C977" t="s">
        <v>907</v>
      </c>
      <c r="D977" s="8">
        <v>1.1084332824425999E-3</v>
      </c>
      <c r="E977" s="6">
        <f t="shared" si="30"/>
        <v>-1.0199999999999996</v>
      </c>
      <c r="F977" s="8">
        <f t="shared" si="31"/>
        <v>-1.1306019480914514E-3</v>
      </c>
    </row>
    <row r="978" spans="1:6" x14ac:dyDescent="0.2">
      <c r="A978">
        <v>14</v>
      </c>
      <c r="B978" t="s">
        <v>1126</v>
      </c>
      <c r="C978" t="s">
        <v>908</v>
      </c>
      <c r="D978" s="8">
        <v>3.2803290519704649E-6</v>
      </c>
      <c r="E978" s="6">
        <f t="shared" si="30"/>
        <v>0.79999999999999982</v>
      </c>
      <c r="F978" s="8">
        <f t="shared" si="31"/>
        <v>2.6242632415763712E-6</v>
      </c>
    </row>
    <row r="979" spans="1:6" x14ac:dyDescent="0.2">
      <c r="A979">
        <v>14</v>
      </c>
      <c r="B979" t="s">
        <v>1126</v>
      </c>
      <c r="C979" t="s">
        <v>1097</v>
      </c>
      <c r="D979" s="8">
        <v>8.7506083067663597E-10</v>
      </c>
      <c r="E979" s="6">
        <f t="shared" si="30"/>
        <v>0</v>
      </c>
      <c r="F979" s="8">
        <f t="shared" si="31"/>
        <v>0</v>
      </c>
    </row>
    <row r="980" spans="1:6" x14ac:dyDescent="0.2">
      <c r="A980">
        <v>14</v>
      </c>
      <c r="B980" t="s">
        <v>1126</v>
      </c>
      <c r="C980" t="s">
        <v>909</v>
      </c>
      <c r="D980" s="8">
        <v>2.6425005343046978E-6</v>
      </c>
      <c r="E980" s="6">
        <f t="shared" si="30"/>
        <v>5.9000000000000163E-2</v>
      </c>
      <c r="F980" s="8">
        <f t="shared" si="31"/>
        <v>1.5590753152397761E-7</v>
      </c>
    </row>
    <row r="981" spans="1:6" x14ac:dyDescent="0.2">
      <c r="A981">
        <v>14</v>
      </c>
      <c r="B981" t="s">
        <v>1126</v>
      </c>
      <c r="C981" t="s">
        <v>910</v>
      </c>
      <c r="D981" s="8">
        <v>2.60946202135004E-2</v>
      </c>
      <c r="E981" s="6">
        <f t="shared" si="30"/>
        <v>-7.7999999999999847E-2</v>
      </c>
      <c r="F981" s="8">
        <f t="shared" si="31"/>
        <v>-2.0353803766530272E-3</v>
      </c>
    </row>
    <row r="982" spans="1:6" x14ac:dyDescent="0.2">
      <c r="A982">
        <v>14</v>
      </c>
      <c r="B982" t="s">
        <v>1126</v>
      </c>
      <c r="C982" t="s">
        <v>911</v>
      </c>
      <c r="D982" s="8">
        <v>7.4253527922320001E-4</v>
      </c>
      <c r="E982" s="6">
        <f t="shared" si="30"/>
        <v>-7.5000000000000067E-2</v>
      </c>
      <c r="F982" s="8">
        <f t="shared" si="31"/>
        <v>-5.5690145941740047E-5</v>
      </c>
    </row>
    <row r="983" spans="1:6" x14ac:dyDescent="0.2">
      <c r="A983">
        <v>14</v>
      </c>
      <c r="B983" t="s">
        <v>1126</v>
      </c>
      <c r="C983" t="s">
        <v>912</v>
      </c>
      <c r="D983" s="8">
        <v>2.8994694552246451E-8</v>
      </c>
      <c r="E983" s="6">
        <f t="shared" si="30"/>
        <v>-0.29800000000000004</v>
      </c>
      <c r="F983" s="8">
        <f t="shared" si="31"/>
        <v>-8.6404189765694436E-9</v>
      </c>
    </row>
    <row r="984" spans="1:6" x14ac:dyDescent="0.2">
      <c r="A984">
        <v>14</v>
      </c>
      <c r="B984" t="s">
        <v>1126</v>
      </c>
      <c r="C984" t="s">
        <v>914</v>
      </c>
      <c r="D984" s="8">
        <v>1.0460176347911901E-2</v>
      </c>
      <c r="E984" s="6">
        <f t="shared" si="30"/>
        <v>-0.26900000000000002</v>
      </c>
      <c r="F984" s="8">
        <f t="shared" si="31"/>
        <v>-2.8137874375883014E-3</v>
      </c>
    </row>
    <row r="985" spans="1:6" x14ac:dyDescent="0.2">
      <c r="A985">
        <v>14</v>
      </c>
      <c r="B985" t="s">
        <v>1126</v>
      </c>
      <c r="C985" t="s">
        <v>915</v>
      </c>
      <c r="D985" s="8">
        <v>1.077285300648363E-5</v>
      </c>
      <c r="E985" s="6">
        <f t="shared" si="30"/>
        <v>0.81400000000000006</v>
      </c>
      <c r="F985" s="8">
        <f t="shared" si="31"/>
        <v>8.7691023472776749E-6</v>
      </c>
    </row>
    <row r="986" spans="1:6" x14ac:dyDescent="0.2">
      <c r="A986">
        <v>14</v>
      </c>
      <c r="B986" t="s">
        <v>1126</v>
      </c>
      <c r="C986" t="s">
        <v>916</v>
      </c>
      <c r="D986" s="8">
        <v>1.11003174733E-4</v>
      </c>
      <c r="E986" s="6">
        <f t="shared" si="30"/>
        <v>0.37200000000000077</v>
      </c>
      <c r="F986" s="8">
        <f t="shared" si="31"/>
        <v>4.1293181000676082E-5</v>
      </c>
    </row>
    <row r="987" spans="1:6" x14ac:dyDescent="0.2">
      <c r="A987">
        <v>14</v>
      </c>
      <c r="B987" t="s">
        <v>1126</v>
      </c>
      <c r="C987" t="s">
        <v>917</v>
      </c>
      <c r="D987" s="8">
        <v>1.04298611858069E-2</v>
      </c>
      <c r="E987" s="6">
        <f t="shared" si="30"/>
        <v>-1.83</v>
      </c>
      <c r="F987" s="8">
        <f t="shared" si="31"/>
        <v>-1.9086645970026628E-2</v>
      </c>
    </row>
    <row r="988" spans="1:6" x14ac:dyDescent="0.2">
      <c r="A988">
        <v>14</v>
      </c>
      <c r="B988" t="s">
        <v>1126</v>
      </c>
      <c r="C988" t="s">
        <v>918</v>
      </c>
      <c r="D988" s="8">
        <v>3.6527773874811107E-5</v>
      </c>
      <c r="E988" s="6">
        <f t="shared" si="30"/>
        <v>0.1469999999999998</v>
      </c>
      <c r="F988" s="8">
        <f t="shared" si="31"/>
        <v>5.3695827595972252E-6</v>
      </c>
    </row>
    <row r="989" spans="1:6" x14ac:dyDescent="0.2">
      <c r="A989">
        <v>14</v>
      </c>
      <c r="B989" t="s">
        <v>1126</v>
      </c>
      <c r="C989" t="s">
        <v>919</v>
      </c>
      <c r="D989" s="8">
        <v>9.3402326464668515E-5</v>
      </c>
      <c r="E989" s="6">
        <f t="shared" si="30"/>
        <v>-3.4940000000000002</v>
      </c>
      <c r="F989" s="8">
        <f t="shared" si="31"/>
        <v>-3.263477286675518E-4</v>
      </c>
    </row>
    <row r="990" spans="1:6" x14ac:dyDescent="0.2">
      <c r="A990">
        <v>14</v>
      </c>
      <c r="B990" t="s">
        <v>1126</v>
      </c>
      <c r="C990" t="s">
        <v>920</v>
      </c>
      <c r="D990" s="8">
        <v>1.394115975105296E-5</v>
      </c>
      <c r="E990" s="6">
        <f t="shared" si="30"/>
        <v>0.40000000000000013</v>
      </c>
      <c r="F990" s="8">
        <f t="shared" si="31"/>
        <v>5.5764639004211861E-6</v>
      </c>
    </row>
    <row r="991" spans="1:6" x14ac:dyDescent="0.2">
      <c r="A991">
        <v>14</v>
      </c>
      <c r="B991" t="s">
        <v>1126</v>
      </c>
      <c r="C991" t="s">
        <v>921</v>
      </c>
      <c r="D991" s="8">
        <v>2.683513553476097E-7</v>
      </c>
      <c r="E991" s="6">
        <f t="shared" si="30"/>
        <v>-0.79999999999999982</v>
      </c>
      <c r="F991" s="8">
        <f t="shared" si="31"/>
        <v>-2.1468108427808772E-7</v>
      </c>
    </row>
    <row r="992" spans="1:6" x14ac:dyDescent="0.2">
      <c r="A992">
        <v>14</v>
      </c>
      <c r="B992" t="s">
        <v>1126</v>
      </c>
      <c r="C992" t="s">
        <v>1128</v>
      </c>
      <c r="D992" s="8">
        <v>1.67771559760889E-7</v>
      </c>
      <c r="E992" s="6">
        <f t="shared" si="30"/>
        <v>0</v>
      </c>
      <c r="F992" s="8">
        <f t="shared" si="31"/>
        <v>0</v>
      </c>
    </row>
    <row r="993" spans="1:6" x14ac:dyDescent="0.2">
      <c r="A993">
        <v>14</v>
      </c>
      <c r="B993" t="s">
        <v>1126</v>
      </c>
      <c r="C993" t="s">
        <v>922</v>
      </c>
      <c r="D993" s="8">
        <v>1.9981834690521589E-5</v>
      </c>
      <c r="E993" s="6">
        <f t="shared" si="30"/>
        <v>-0.78400000000000003</v>
      </c>
      <c r="F993" s="8">
        <f t="shared" si="31"/>
        <v>-1.5665758397368926E-5</v>
      </c>
    </row>
    <row r="994" spans="1:6" x14ac:dyDescent="0.2">
      <c r="A994">
        <v>14</v>
      </c>
      <c r="B994" t="s">
        <v>1126</v>
      </c>
      <c r="C994" t="s">
        <v>923</v>
      </c>
      <c r="D994" s="8">
        <v>3.8165142239769994E-6</v>
      </c>
      <c r="E994" s="6">
        <f t="shared" si="30"/>
        <v>-0.29999999999999982</v>
      </c>
      <c r="F994" s="8">
        <f t="shared" si="31"/>
        <v>-1.1449542671930992E-6</v>
      </c>
    </row>
    <row r="995" spans="1:6" x14ac:dyDescent="0.2">
      <c r="A995">
        <v>14</v>
      </c>
      <c r="B995" t="s">
        <v>1126</v>
      </c>
      <c r="C995" t="s">
        <v>1129</v>
      </c>
      <c r="D995" s="8">
        <v>2.9806582065123202E-6</v>
      </c>
      <c r="E995" s="6">
        <f t="shared" si="30"/>
        <v>0</v>
      </c>
      <c r="F995" s="8">
        <f t="shared" si="31"/>
        <v>0</v>
      </c>
    </row>
    <row r="996" spans="1:6" x14ac:dyDescent="0.2">
      <c r="A996">
        <v>14</v>
      </c>
      <c r="B996" t="s">
        <v>1126</v>
      </c>
      <c r="C996" t="s">
        <v>1115</v>
      </c>
      <c r="D996" s="8">
        <v>1.2090950871738909E-5</v>
      </c>
      <c r="E996" s="6">
        <f t="shared" si="30"/>
        <v>0</v>
      </c>
      <c r="F996" s="8">
        <f t="shared" si="31"/>
        <v>0</v>
      </c>
    </row>
    <row r="997" spans="1:6" x14ac:dyDescent="0.2">
      <c r="A997">
        <v>14</v>
      </c>
      <c r="B997" t="s">
        <v>1126</v>
      </c>
      <c r="C997" t="s">
        <v>924</v>
      </c>
      <c r="D997" s="8">
        <v>8.1560388659136004E-3</v>
      </c>
      <c r="E997" s="6">
        <f t="shared" si="30"/>
        <v>-8.4000000000000075E-2</v>
      </c>
      <c r="F997" s="8">
        <f t="shared" si="31"/>
        <v>-6.8510726473674306E-4</v>
      </c>
    </row>
    <row r="998" spans="1:6" x14ac:dyDescent="0.2">
      <c r="A998">
        <v>14</v>
      </c>
      <c r="B998" t="s">
        <v>1126</v>
      </c>
      <c r="C998" t="s">
        <v>925</v>
      </c>
      <c r="D998" s="8">
        <v>1.544450125562464E-5</v>
      </c>
      <c r="E998" s="6">
        <f t="shared" si="30"/>
        <v>0.20000000000000018</v>
      </c>
      <c r="F998" s="8">
        <f t="shared" si="31"/>
        <v>3.0889002511249309E-6</v>
      </c>
    </row>
    <row r="999" spans="1:6" x14ac:dyDescent="0.2">
      <c r="A999">
        <v>14</v>
      </c>
      <c r="B999" t="s">
        <v>1126</v>
      </c>
      <c r="C999" t="s">
        <v>926</v>
      </c>
      <c r="D999" s="8">
        <v>2.807014517829E-4</v>
      </c>
      <c r="E999" s="6">
        <f t="shared" si="30"/>
        <v>-4.8000000000000043E-2</v>
      </c>
      <c r="F999" s="8">
        <f t="shared" si="31"/>
        <v>-1.3473669685579212E-5</v>
      </c>
    </row>
    <row r="1000" spans="1:6" x14ac:dyDescent="0.2">
      <c r="A1000">
        <v>14</v>
      </c>
      <c r="B1000" t="s">
        <v>1126</v>
      </c>
      <c r="C1000" t="s">
        <v>927</v>
      </c>
      <c r="D1000" s="8">
        <v>2.372724595110184E-7</v>
      </c>
      <c r="E1000" s="6">
        <f t="shared" si="30"/>
        <v>0.5</v>
      </c>
      <c r="F1000" s="8">
        <f t="shared" si="31"/>
        <v>1.186362297555092E-7</v>
      </c>
    </row>
    <row r="1001" spans="1:6" x14ac:dyDescent="0.2">
      <c r="A1001">
        <v>14</v>
      </c>
      <c r="B1001" t="s">
        <v>1126</v>
      </c>
      <c r="C1001" t="s">
        <v>928</v>
      </c>
      <c r="D1001" s="8">
        <v>2.3957115509876121E-7</v>
      </c>
      <c r="E1001" s="6">
        <f t="shared" si="30"/>
        <v>2.423</v>
      </c>
      <c r="F1001" s="8">
        <f t="shared" si="31"/>
        <v>5.8048090880429842E-7</v>
      </c>
    </row>
    <row r="1002" spans="1:6" x14ac:dyDescent="0.2">
      <c r="A1002">
        <v>14</v>
      </c>
      <c r="B1002" t="s">
        <v>1126</v>
      </c>
      <c r="C1002" t="s">
        <v>929</v>
      </c>
      <c r="D1002" s="8">
        <v>1.6945248612941988E-5</v>
      </c>
      <c r="E1002" s="6">
        <f t="shared" si="30"/>
        <v>-0.54599999999999982</v>
      </c>
      <c r="F1002" s="8">
        <f t="shared" si="31"/>
        <v>-9.2521057426663225E-6</v>
      </c>
    </row>
    <row r="1003" spans="1:6" x14ac:dyDescent="0.2">
      <c r="A1003">
        <v>14</v>
      </c>
      <c r="B1003" t="s">
        <v>1126</v>
      </c>
      <c r="C1003" t="s">
        <v>930</v>
      </c>
      <c r="D1003" s="8">
        <v>2.2823383378399498E-2</v>
      </c>
      <c r="E1003" s="6">
        <f t="shared" si="30"/>
        <v>-5.8000000000000052E-2</v>
      </c>
      <c r="F1003" s="8">
        <f t="shared" si="31"/>
        <v>-1.3237562359471721E-3</v>
      </c>
    </row>
    <row r="1004" spans="1:6" x14ac:dyDescent="0.2">
      <c r="A1004">
        <v>14</v>
      </c>
      <c r="B1004" t="s">
        <v>1126</v>
      </c>
      <c r="C1004" t="s">
        <v>931</v>
      </c>
      <c r="D1004" s="8">
        <v>7.338798913915E-4</v>
      </c>
      <c r="E1004" s="6">
        <f t="shared" si="30"/>
        <v>-0.31099999999999994</v>
      </c>
      <c r="F1004" s="8">
        <f t="shared" si="31"/>
        <v>-2.2823664622275645E-4</v>
      </c>
    </row>
    <row r="1005" spans="1:6" x14ac:dyDescent="0.2">
      <c r="A1005">
        <v>14</v>
      </c>
      <c r="B1005" t="s">
        <v>1126</v>
      </c>
      <c r="C1005" t="s">
        <v>932</v>
      </c>
      <c r="D1005" s="8">
        <v>1.5068231182099E-3</v>
      </c>
      <c r="E1005" s="6">
        <f t="shared" si="30"/>
        <v>0.21799999999999997</v>
      </c>
      <c r="F1005" s="8">
        <f t="shared" si="31"/>
        <v>3.2848743976975818E-4</v>
      </c>
    </row>
    <row r="1006" spans="1:6" x14ac:dyDescent="0.2">
      <c r="A1006">
        <v>14</v>
      </c>
      <c r="B1006" t="s">
        <v>1126</v>
      </c>
      <c r="C1006" t="s">
        <v>933</v>
      </c>
      <c r="D1006" s="8">
        <v>2.82839944398031E-2</v>
      </c>
      <c r="E1006" s="6">
        <f t="shared" si="30"/>
        <v>0.4430000000000005</v>
      </c>
      <c r="F1006" s="8">
        <f t="shared" si="31"/>
        <v>1.2529809536832788E-2</v>
      </c>
    </row>
    <row r="1007" spans="1:6" x14ac:dyDescent="0.2">
      <c r="A1007">
        <v>14</v>
      </c>
      <c r="B1007" t="s">
        <v>1126</v>
      </c>
      <c r="C1007" t="s">
        <v>934</v>
      </c>
      <c r="D1007" s="8">
        <v>1.457432810474E-4</v>
      </c>
      <c r="E1007" s="6">
        <f t="shared" si="30"/>
        <v>-0.20000000000000018</v>
      </c>
      <c r="F1007" s="8">
        <f t="shared" si="31"/>
        <v>-2.9148656209480024E-5</v>
      </c>
    </row>
    <row r="1008" spans="1:6" x14ac:dyDescent="0.2">
      <c r="A1008">
        <v>14</v>
      </c>
      <c r="B1008" t="s">
        <v>1126</v>
      </c>
      <c r="C1008" t="s">
        <v>935</v>
      </c>
      <c r="D1008" s="8">
        <v>2.199736084022E-4</v>
      </c>
      <c r="E1008" s="6">
        <f t="shared" si="30"/>
        <v>-0.71799999999999997</v>
      </c>
      <c r="F1008" s="8">
        <f t="shared" si="31"/>
        <v>-1.5794105083277959E-4</v>
      </c>
    </row>
    <row r="1009" spans="1:6" x14ac:dyDescent="0.2">
      <c r="A1009">
        <v>14</v>
      </c>
      <c r="B1009" t="s">
        <v>1126</v>
      </c>
      <c r="C1009" t="s">
        <v>936</v>
      </c>
      <c r="D1009" s="8">
        <v>1.7350084496812421E-5</v>
      </c>
      <c r="E1009" s="6">
        <f t="shared" si="30"/>
        <v>0.72900000000000009</v>
      </c>
      <c r="F1009" s="8">
        <f t="shared" si="31"/>
        <v>1.2648211598176257E-5</v>
      </c>
    </row>
    <row r="1010" spans="1:6" x14ac:dyDescent="0.2">
      <c r="A1010">
        <v>14</v>
      </c>
      <c r="B1010" t="s">
        <v>1126</v>
      </c>
      <c r="C1010" t="s">
        <v>937</v>
      </c>
      <c r="D1010" s="8">
        <v>1.472229968586E-4</v>
      </c>
      <c r="E1010" s="6">
        <f t="shared" si="30"/>
        <v>-0.3660000000000001</v>
      </c>
      <c r="F1010" s="8">
        <f t="shared" si="31"/>
        <v>-5.3883616850247618E-5</v>
      </c>
    </row>
    <row r="1011" spans="1:6" x14ac:dyDescent="0.2">
      <c r="A1011">
        <v>14</v>
      </c>
      <c r="B1011" t="s">
        <v>1126</v>
      </c>
      <c r="C1011" t="s">
        <v>1102</v>
      </c>
      <c r="D1011" s="8">
        <v>1.0629225912566639E-5</v>
      </c>
      <c r="E1011" s="6">
        <f t="shared" si="30"/>
        <v>0</v>
      </c>
      <c r="F1011" s="8">
        <f t="shared" si="31"/>
        <v>0</v>
      </c>
    </row>
    <row r="1012" spans="1:6" x14ac:dyDescent="0.2">
      <c r="A1012">
        <v>14</v>
      </c>
      <c r="B1012" t="s">
        <v>1126</v>
      </c>
      <c r="C1012" t="s">
        <v>938</v>
      </c>
      <c r="D1012" s="8">
        <v>1.5882926286840001E-3</v>
      </c>
      <c r="E1012" s="6">
        <f t="shared" si="30"/>
        <v>-0.32500000000000018</v>
      </c>
      <c r="F1012" s="8">
        <f t="shared" si="31"/>
        <v>-5.1619510432230036E-4</v>
      </c>
    </row>
    <row r="1013" spans="1:6" x14ac:dyDescent="0.2">
      <c r="A1013">
        <v>14</v>
      </c>
      <c r="B1013" t="s">
        <v>1126</v>
      </c>
      <c r="C1013" t="s">
        <v>940</v>
      </c>
      <c r="D1013" s="8">
        <v>6.8977002159529143E-8</v>
      </c>
      <c r="E1013" s="6">
        <f t="shared" si="30"/>
        <v>-0.11399999999999988</v>
      </c>
      <c r="F1013" s="8">
        <f t="shared" si="31"/>
        <v>-7.8633782461863132E-9</v>
      </c>
    </row>
    <row r="1014" spans="1:6" x14ac:dyDescent="0.2">
      <c r="A1014">
        <v>14</v>
      </c>
      <c r="B1014" t="s">
        <v>1126</v>
      </c>
      <c r="C1014" t="s">
        <v>941</v>
      </c>
      <c r="D1014" s="8">
        <v>1.150820189067E-4</v>
      </c>
      <c r="E1014" s="6">
        <f t="shared" si="30"/>
        <v>0.16599999999999993</v>
      </c>
      <c r="F1014" s="8">
        <f t="shared" si="31"/>
        <v>1.910361513851219E-5</v>
      </c>
    </row>
    <row r="1015" spans="1:6" x14ac:dyDescent="0.2">
      <c r="A1015">
        <v>14</v>
      </c>
      <c r="B1015" t="s">
        <v>1126</v>
      </c>
      <c r="C1015" t="s">
        <v>1111</v>
      </c>
      <c r="D1015" s="8">
        <v>5.0881604720892457E-5</v>
      </c>
      <c r="E1015" s="6">
        <f t="shared" si="30"/>
        <v>0</v>
      </c>
      <c r="F1015" s="8">
        <f t="shared" si="31"/>
        <v>0</v>
      </c>
    </row>
    <row r="1016" spans="1:6" x14ac:dyDescent="0.2">
      <c r="A1016">
        <v>14</v>
      </c>
      <c r="B1016" t="s">
        <v>1126</v>
      </c>
      <c r="C1016" t="s">
        <v>1091</v>
      </c>
      <c r="D1016" s="8">
        <v>2.205684783614427E-8</v>
      </c>
      <c r="E1016" s="6">
        <f t="shared" si="30"/>
        <v>0</v>
      </c>
      <c r="F1016" s="8">
        <f t="shared" si="31"/>
        <v>0</v>
      </c>
    </row>
    <row r="1017" spans="1:6" x14ac:dyDescent="0.2">
      <c r="A1017">
        <v>14</v>
      </c>
      <c r="B1017" t="s">
        <v>1126</v>
      </c>
      <c r="C1017" t="s">
        <v>1103</v>
      </c>
      <c r="D1017" s="8">
        <v>2.3973140891791488E-6</v>
      </c>
      <c r="E1017" s="6">
        <f t="shared" si="30"/>
        <v>0</v>
      </c>
      <c r="F1017" s="8">
        <f t="shared" si="31"/>
        <v>0</v>
      </c>
    </row>
    <row r="1018" spans="1:6" x14ac:dyDescent="0.2">
      <c r="A1018">
        <v>14</v>
      </c>
      <c r="B1018" t="s">
        <v>1126</v>
      </c>
      <c r="C1018" t="s">
        <v>942</v>
      </c>
      <c r="D1018" s="8">
        <v>1.040898743274189E-5</v>
      </c>
      <c r="E1018" s="6">
        <f t="shared" si="30"/>
        <v>0.33700000000000019</v>
      </c>
      <c r="F1018" s="8">
        <f t="shared" si="31"/>
        <v>3.507828764834019E-6</v>
      </c>
    </row>
    <row r="1019" spans="1:6" x14ac:dyDescent="0.2">
      <c r="A1019">
        <v>14</v>
      </c>
      <c r="B1019" t="s">
        <v>1126</v>
      </c>
      <c r="C1019" t="s">
        <v>943</v>
      </c>
      <c r="D1019" s="8">
        <v>4.1290274213749998E-4</v>
      </c>
      <c r="E1019" s="6">
        <f t="shared" si="30"/>
        <v>0.40800000000000014</v>
      </c>
      <c r="F1019" s="8">
        <f t="shared" si="31"/>
        <v>1.6846431879210006E-4</v>
      </c>
    </row>
    <row r="1020" spans="1:6" x14ac:dyDescent="0.2">
      <c r="A1020">
        <v>14</v>
      </c>
      <c r="B1020" t="s">
        <v>1126</v>
      </c>
      <c r="C1020" t="s">
        <v>944</v>
      </c>
      <c r="D1020" s="8">
        <v>2.78323501677573E-2</v>
      </c>
      <c r="E1020" s="6">
        <f t="shared" si="30"/>
        <v>-0.122</v>
      </c>
      <c r="F1020" s="8">
        <f t="shared" si="31"/>
        <v>-3.3955467204663907E-3</v>
      </c>
    </row>
    <row r="1021" spans="1:6" x14ac:dyDescent="0.2">
      <c r="A1021">
        <v>14</v>
      </c>
      <c r="B1021" t="s">
        <v>1126</v>
      </c>
      <c r="C1021" t="s">
        <v>945</v>
      </c>
      <c r="D1021" s="8">
        <v>6.0093802538210004E-4</v>
      </c>
      <c r="E1021" s="6">
        <f t="shared" si="30"/>
        <v>0.49000000000000021</v>
      </c>
      <c r="F1021" s="8">
        <f t="shared" si="31"/>
        <v>2.9445963243722917E-4</v>
      </c>
    </row>
    <row r="1022" spans="1:6" x14ac:dyDescent="0.2">
      <c r="A1022">
        <v>14</v>
      </c>
      <c r="B1022" t="s">
        <v>1126</v>
      </c>
      <c r="C1022" t="s">
        <v>947</v>
      </c>
      <c r="D1022" s="8">
        <v>7.9901782620010004E-4</v>
      </c>
      <c r="E1022" s="6">
        <f t="shared" ref="E1022:E1085" si="32">IFERROR(VLOOKUP(C1022,$A$6:$D$185,4,FALSE),0)</f>
        <v>0.15500000000000003</v>
      </c>
      <c r="F1022" s="8">
        <f t="shared" ref="F1022:F1085" si="33">D1022*E1022</f>
        <v>1.2384776306101553E-4</v>
      </c>
    </row>
    <row r="1023" spans="1:6" x14ac:dyDescent="0.2">
      <c r="A1023">
        <v>14</v>
      </c>
      <c r="B1023" t="s">
        <v>1126</v>
      </c>
      <c r="C1023" t="s">
        <v>948</v>
      </c>
      <c r="D1023" s="8">
        <v>1.6107174035340001E-3</v>
      </c>
      <c r="E1023" s="6">
        <f t="shared" si="32"/>
        <v>-1.0880000000000001</v>
      </c>
      <c r="F1023" s="8">
        <f t="shared" si="33"/>
        <v>-1.7524605350449922E-3</v>
      </c>
    </row>
    <row r="1024" spans="1:6" x14ac:dyDescent="0.2">
      <c r="A1024">
        <v>14</v>
      </c>
      <c r="B1024" t="s">
        <v>1126</v>
      </c>
      <c r="C1024" t="s">
        <v>949</v>
      </c>
      <c r="D1024" s="8">
        <v>8.7294723133449995E-4</v>
      </c>
      <c r="E1024" s="6">
        <f t="shared" si="32"/>
        <v>0.79599999999999982</v>
      </c>
      <c r="F1024" s="8">
        <f t="shared" si="33"/>
        <v>6.948659961422618E-4</v>
      </c>
    </row>
    <row r="1025" spans="1:6" x14ac:dyDescent="0.2">
      <c r="A1025">
        <v>14</v>
      </c>
      <c r="B1025" t="s">
        <v>1126</v>
      </c>
      <c r="C1025" t="s">
        <v>950</v>
      </c>
      <c r="D1025" s="8">
        <v>2.580511196586E-4</v>
      </c>
      <c r="E1025" s="6">
        <f t="shared" si="32"/>
        <v>0.38300000000000001</v>
      </c>
      <c r="F1025" s="8">
        <f t="shared" si="33"/>
        <v>9.8833578829243807E-5</v>
      </c>
    </row>
    <row r="1026" spans="1:6" x14ac:dyDescent="0.2">
      <c r="A1026">
        <v>14</v>
      </c>
      <c r="B1026" t="s">
        <v>1126</v>
      </c>
      <c r="C1026" t="s">
        <v>951</v>
      </c>
      <c r="D1026" s="8">
        <v>7.6740541288379998E-3</v>
      </c>
      <c r="E1026" s="6">
        <f t="shared" si="32"/>
        <v>-8.8000000000000078E-2</v>
      </c>
      <c r="F1026" s="8">
        <f t="shared" si="33"/>
        <v>-6.753167633377446E-4</v>
      </c>
    </row>
    <row r="1027" spans="1:6" x14ac:dyDescent="0.2">
      <c r="A1027">
        <v>14</v>
      </c>
      <c r="B1027" t="s">
        <v>1126</v>
      </c>
      <c r="C1027" t="s">
        <v>952</v>
      </c>
      <c r="D1027" s="8">
        <v>7.4444763725748002E-3</v>
      </c>
      <c r="E1027" s="6">
        <f t="shared" si="32"/>
        <v>0.28300000000000014</v>
      </c>
      <c r="F1027" s="8">
        <f t="shared" si="33"/>
        <v>2.1067868134386695E-3</v>
      </c>
    </row>
    <row r="1028" spans="1:6" x14ac:dyDescent="0.2">
      <c r="A1028">
        <v>14</v>
      </c>
      <c r="B1028" t="s">
        <v>1126</v>
      </c>
      <c r="C1028" t="s">
        <v>953</v>
      </c>
      <c r="D1028" s="8">
        <v>5.2645848744126841E-5</v>
      </c>
      <c r="E1028" s="6">
        <f t="shared" si="32"/>
        <v>-0.42500000000000004</v>
      </c>
      <c r="F1028" s="8">
        <f t="shared" si="33"/>
        <v>-2.2374485716253909E-5</v>
      </c>
    </row>
    <row r="1029" spans="1:6" x14ac:dyDescent="0.2">
      <c r="A1029">
        <v>14</v>
      </c>
      <c r="B1029" t="s">
        <v>1126</v>
      </c>
      <c r="C1029" t="s">
        <v>954</v>
      </c>
      <c r="D1029" s="8">
        <v>2.7492674370539999E-4</v>
      </c>
      <c r="E1029" s="6">
        <f t="shared" si="32"/>
        <v>2.0929999999999991</v>
      </c>
      <c r="F1029" s="8">
        <f t="shared" si="33"/>
        <v>5.7542167457540195E-4</v>
      </c>
    </row>
    <row r="1030" spans="1:6" x14ac:dyDescent="0.2">
      <c r="A1030">
        <v>14</v>
      </c>
      <c r="B1030" t="s">
        <v>1126</v>
      </c>
      <c r="C1030" t="s">
        <v>955</v>
      </c>
      <c r="D1030" s="8">
        <v>2.9631868511119998E-4</v>
      </c>
      <c r="E1030" s="6">
        <f t="shared" si="32"/>
        <v>-0.40500000000000003</v>
      </c>
      <c r="F1030" s="8">
        <f t="shared" si="33"/>
        <v>-1.20009067470036E-4</v>
      </c>
    </row>
    <row r="1031" spans="1:6" x14ac:dyDescent="0.2">
      <c r="A1031">
        <v>14</v>
      </c>
      <c r="B1031" t="s">
        <v>1126</v>
      </c>
      <c r="C1031" t="s">
        <v>956</v>
      </c>
      <c r="D1031" s="8">
        <v>4.0130169122450001E-4</v>
      </c>
      <c r="E1031" s="6">
        <f t="shared" si="32"/>
        <v>-0.44700000000000006</v>
      </c>
      <c r="F1031" s="8">
        <f t="shared" si="33"/>
        <v>-1.7938185597735152E-4</v>
      </c>
    </row>
    <row r="1032" spans="1:6" x14ac:dyDescent="0.2">
      <c r="A1032">
        <v>14</v>
      </c>
      <c r="B1032" t="s">
        <v>1126</v>
      </c>
      <c r="C1032" t="s">
        <v>957</v>
      </c>
      <c r="D1032" s="8">
        <v>6.2909888410204997E-3</v>
      </c>
      <c r="E1032" s="6">
        <f t="shared" si="32"/>
        <v>-0.11499999999999988</v>
      </c>
      <c r="F1032" s="8">
        <f t="shared" si="33"/>
        <v>-7.2346371671735672E-4</v>
      </c>
    </row>
    <row r="1033" spans="1:6" x14ac:dyDescent="0.2">
      <c r="A1033">
        <v>14</v>
      </c>
      <c r="B1033" t="s">
        <v>1126</v>
      </c>
      <c r="C1033" t="s">
        <v>1117</v>
      </c>
      <c r="D1033" s="8">
        <v>1.7453563761854359E-5</v>
      </c>
      <c r="E1033" s="6">
        <f t="shared" si="32"/>
        <v>0</v>
      </c>
      <c r="F1033" s="8">
        <f t="shared" si="33"/>
        <v>0</v>
      </c>
    </row>
    <row r="1034" spans="1:6" x14ac:dyDescent="0.2">
      <c r="A1034">
        <v>14</v>
      </c>
      <c r="B1034" t="s">
        <v>1126</v>
      </c>
      <c r="C1034" t="s">
        <v>958</v>
      </c>
      <c r="D1034" s="8">
        <v>1.024831658351331E-5</v>
      </c>
      <c r="E1034" s="6">
        <f t="shared" si="32"/>
        <v>9.6999999999999975E-2</v>
      </c>
      <c r="F1034" s="8">
        <f t="shared" si="33"/>
        <v>9.9408670860079073E-7</v>
      </c>
    </row>
    <row r="1035" spans="1:6" x14ac:dyDescent="0.2">
      <c r="A1035">
        <v>14</v>
      </c>
      <c r="B1035" t="s">
        <v>1126</v>
      </c>
      <c r="C1035" t="s">
        <v>959</v>
      </c>
      <c r="D1035" s="8">
        <v>1.4678581461596601E-2</v>
      </c>
      <c r="E1035" s="6">
        <f t="shared" si="32"/>
        <v>-0.60699999999999998</v>
      </c>
      <c r="F1035" s="8">
        <f t="shared" si="33"/>
        <v>-8.9098989471891356E-3</v>
      </c>
    </row>
    <row r="1036" spans="1:6" x14ac:dyDescent="0.2">
      <c r="A1036">
        <v>14</v>
      </c>
      <c r="B1036" t="s">
        <v>1126</v>
      </c>
      <c r="C1036" t="s">
        <v>960</v>
      </c>
      <c r="D1036" s="8">
        <v>2.0702664815974681E-5</v>
      </c>
      <c r="E1036" s="6">
        <f t="shared" si="32"/>
        <v>0.29999999999999982</v>
      </c>
      <c r="F1036" s="8">
        <f t="shared" si="33"/>
        <v>6.2107994447924002E-6</v>
      </c>
    </row>
    <row r="1037" spans="1:6" x14ac:dyDescent="0.2">
      <c r="A1037">
        <v>14</v>
      </c>
      <c r="B1037" t="s">
        <v>1126</v>
      </c>
      <c r="C1037" t="s">
        <v>961</v>
      </c>
      <c r="D1037" s="8">
        <v>5.1007865274043938E-5</v>
      </c>
      <c r="E1037" s="6">
        <f t="shared" si="32"/>
        <v>6.9999999999996732E-3</v>
      </c>
      <c r="F1037" s="8">
        <f t="shared" si="33"/>
        <v>3.5705505691829087E-7</v>
      </c>
    </row>
    <row r="1038" spans="1:6" x14ac:dyDescent="0.2">
      <c r="A1038">
        <v>14</v>
      </c>
      <c r="B1038" t="s">
        <v>1126</v>
      </c>
      <c r="C1038" t="s">
        <v>1130</v>
      </c>
      <c r="D1038" s="8">
        <v>1.32778617432204E-7</v>
      </c>
      <c r="E1038" s="6">
        <f t="shared" si="32"/>
        <v>0</v>
      </c>
      <c r="F1038" s="8">
        <f t="shared" si="33"/>
        <v>0</v>
      </c>
    </row>
    <row r="1039" spans="1:6" x14ac:dyDescent="0.2">
      <c r="A1039">
        <v>14</v>
      </c>
      <c r="B1039" t="s">
        <v>1126</v>
      </c>
      <c r="C1039" t="s">
        <v>962</v>
      </c>
      <c r="D1039" s="8">
        <v>1.4256238272790001E-4</v>
      </c>
      <c r="E1039" s="6">
        <f t="shared" si="32"/>
        <v>-1.9090000000000007</v>
      </c>
      <c r="F1039" s="8">
        <f t="shared" si="33"/>
        <v>-2.7215158862756123E-4</v>
      </c>
    </row>
    <row r="1040" spans="1:6" x14ac:dyDescent="0.2">
      <c r="A1040">
        <v>14</v>
      </c>
      <c r="B1040" t="s">
        <v>1126</v>
      </c>
      <c r="C1040" t="s">
        <v>963</v>
      </c>
      <c r="D1040" s="8">
        <v>5.5973759560946801E-6</v>
      </c>
      <c r="E1040" s="6">
        <f t="shared" si="32"/>
        <v>7.2000000000000064E-2</v>
      </c>
      <c r="F1040" s="8">
        <f t="shared" si="33"/>
        <v>4.0301106883881733E-7</v>
      </c>
    </row>
    <row r="1041" spans="1:6" x14ac:dyDescent="0.2">
      <c r="A1041">
        <v>14</v>
      </c>
      <c r="B1041" t="s">
        <v>1126</v>
      </c>
      <c r="C1041" t="s">
        <v>1118</v>
      </c>
      <c r="D1041" s="8">
        <v>4.7454491902203693E-12</v>
      </c>
      <c r="E1041" s="6">
        <f t="shared" si="32"/>
        <v>0</v>
      </c>
      <c r="F1041" s="8">
        <f t="shared" si="33"/>
        <v>0</v>
      </c>
    </row>
    <row r="1042" spans="1:6" x14ac:dyDescent="0.2">
      <c r="A1042">
        <v>14</v>
      </c>
      <c r="B1042" t="s">
        <v>1126</v>
      </c>
      <c r="C1042" t="s">
        <v>965</v>
      </c>
      <c r="D1042" s="8">
        <v>8.573109299371E-4</v>
      </c>
      <c r="E1042" s="6">
        <f t="shared" si="32"/>
        <v>4.5000000000000151E-2</v>
      </c>
      <c r="F1042" s="8">
        <f t="shared" si="33"/>
        <v>3.8578991847169631E-5</v>
      </c>
    </row>
    <row r="1043" spans="1:6" x14ac:dyDescent="0.2">
      <c r="A1043">
        <v>14</v>
      </c>
      <c r="B1043" t="s">
        <v>1126</v>
      </c>
      <c r="C1043" t="s">
        <v>966</v>
      </c>
      <c r="D1043" s="8">
        <v>2.6726369839321112E-9</v>
      </c>
      <c r="E1043" s="6">
        <f t="shared" si="32"/>
        <v>-0.21399999999999997</v>
      </c>
      <c r="F1043" s="8">
        <f t="shared" si="33"/>
        <v>-5.7194431456147173E-10</v>
      </c>
    </row>
    <row r="1044" spans="1:6" x14ac:dyDescent="0.2">
      <c r="A1044">
        <v>14</v>
      </c>
      <c r="B1044" t="s">
        <v>1126</v>
      </c>
      <c r="C1044" t="s">
        <v>967</v>
      </c>
      <c r="D1044" s="8">
        <v>6.8197812376549999E-4</v>
      </c>
      <c r="E1044" s="6">
        <f t="shared" si="32"/>
        <v>0.10000000000000009</v>
      </c>
      <c r="F1044" s="8">
        <f t="shared" si="33"/>
        <v>6.8197812376550061E-5</v>
      </c>
    </row>
    <row r="1045" spans="1:6" x14ac:dyDescent="0.2">
      <c r="A1045">
        <v>14</v>
      </c>
      <c r="B1045" t="s">
        <v>1126</v>
      </c>
      <c r="C1045" t="s">
        <v>1105</v>
      </c>
      <c r="D1045" s="8">
        <v>1.5062235772101719E-5</v>
      </c>
      <c r="E1045" s="6">
        <f t="shared" si="32"/>
        <v>0</v>
      </c>
      <c r="F1045" s="8">
        <f t="shared" si="33"/>
        <v>0</v>
      </c>
    </row>
    <row r="1046" spans="1:6" x14ac:dyDescent="0.2">
      <c r="A1046">
        <v>14</v>
      </c>
      <c r="B1046" t="s">
        <v>1126</v>
      </c>
      <c r="C1046" t="s">
        <v>968</v>
      </c>
      <c r="D1046" s="8">
        <v>4.6366554017213111E-5</v>
      </c>
      <c r="E1046" s="6">
        <f t="shared" si="32"/>
        <v>-6.7510000000000012</v>
      </c>
      <c r="F1046" s="8">
        <f t="shared" si="33"/>
        <v>-3.1302060617020578E-4</v>
      </c>
    </row>
    <row r="1047" spans="1:6" x14ac:dyDescent="0.2">
      <c r="A1047">
        <v>14</v>
      </c>
      <c r="B1047" t="s">
        <v>1126</v>
      </c>
      <c r="C1047" t="s">
        <v>969</v>
      </c>
      <c r="D1047" s="8">
        <v>5.3094647164978002E-3</v>
      </c>
      <c r="E1047" s="6">
        <f t="shared" si="32"/>
        <v>0.53699999999999992</v>
      </c>
      <c r="F1047" s="8">
        <f t="shared" si="33"/>
        <v>2.8511825527593182E-3</v>
      </c>
    </row>
    <row r="1048" spans="1:6" x14ac:dyDescent="0.2">
      <c r="A1048">
        <v>14</v>
      </c>
      <c r="B1048" t="s">
        <v>1126</v>
      </c>
      <c r="C1048" t="s">
        <v>970</v>
      </c>
      <c r="D1048" s="8">
        <v>3.9545556015060002E-4</v>
      </c>
      <c r="E1048" s="6">
        <f t="shared" si="32"/>
        <v>-0.10000000000000009</v>
      </c>
      <c r="F1048" s="8">
        <f t="shared" si="33"/>
        <v>-3.9545556015060038E-5</v>
      </c>
    </row>
    <row r="1049" spans="1:6" x14ac:dyDescent="0.2">
      <c r="A1049">
        <v>14</v>
      </c>
      <c r="B1049" t="s">
        <v>1126</v>
      </c>
      <c r="C1049" t="s">
        <v>971</v>
      </c>
      <c r="D1049" s="8">
        <v>3.1432485785490001E-4</v>
      </c>
      <c r="E1049" s="6">
        <f t="shared" si="32"/>
        <v>-0.13700000000000001</v>
      </c>
      <c r="F1049" s="8">
        <f t="shared" si="33"/>
        <v>-4.3062505526121305E-5</v>
      </c>
    </row>
    <row r="1050" spans="1:6" x14ac:dyDescent="0.2">
      <c r="A1050">
        <v>14</v>
      </c>
      <c r="B1050" t="s">
        <v>1126</v>
      </c>
      <c r="C1050" t="s">
        <v>972</v>
      </c>
      <c r="D1050" s="8">
        <v>8.0145311479740749E-5</v>
      </c>
      <c r="E1050" s="6">
        <f t="shared" si="32"/>
        <v>-2.7</v>
      </c>
      <c r="F1050" s="8">
        <f t="shared" si="33"/>
        <v>-2.1639234099530004E-4</v>
      </c>
    </row>
    <row r="1051" spans="1:6" x14ac:dyDescent="0.2">
      <c r="A1051">
        <v>14</v>
      </c>
      <c r="B1051" t="s">
        <v>1126</v>
      </c>
      <c r="C1051" t="s">
        <v>973</v>
      </c>
      <c r="D1051" s="8">
        <v>5.7291536396559997E-4</v>
      </c>
      <c r="E1051" s="6">
        <f t="shared" si="32"/>
        <v>-0.84999999999999987</v>
      </c>
      <c r="F1051" s="8">
        <f t="shared" si="33"/>
        <v>-4.8697805937075988E-4</v>
      </c>
    </row>
    <row r="1052" spans="1:6" x14ac:dyDescent="0.2">
      <c r="A1052">
        <v>14</v>
      </c>
      <c r="B1052" t="s">
        <v>1126</v>
      </c>
      <c r="C1052" t="s">
        <v>975</v>
      </c>
      <c r="D1052" s="8">
        <v>1.72875299042499E-2</v>
      </c>
      <c r="E1052" s="6">
        <f t="shared" si="32"/>
        <v>0.23500000000000032</v>
      </c>
      <c r="F1052" s="8">
        <f t="shared" si="33"/>
        <v>4.0625695274987324E-3</v>
      </c>
    </row>
    <row r="1053" spans="1:6" x14ac:dyDescent="0.2">
      <c r="A1053">
        <v>14</v>
      </c>
      <c r="B1053" t="s">
        <v>1126</v>
      </c>
      <c r="C1053" t="s">
        <v>976</v>
      </c>
      <c r="D1053" s="8">
        <v>7.0928684782148367E-5</v>
      </c>
      <c r="E1053" s="6">
        <f t="shared" si="32"/>
        <v>0.38700000000000001</v>
      </c>
      <c r="F1053" s="8">
        <f t="shared" si="33"/>
        <v>2.744940101069142E-5</v>
      </c>
    </row>
    <row r="1054" spans="1:6" x14ac:dyDescent="0.2">
      <c r="A1054">
        <v>14</v>
      </c>
      <c r="B1054" t="s">
        <v>1126</v>
      </c>
      <c r="C1054" t="s">
        <v>977</v>
      </c>
      <c r="D1054" s="8">
        <v>4.9652421141260002E-4</v>
      </c>
      <c r="E1054" s="6">
        <f t="shared" si="32"/>
        <v>-7.2039999999999997</v>
      </c>
      <c r="F1054" s="8">
        <f t="shared" si="33"/>
        <v>-3.5769604190163703E-3</v>
      </c>
    </row>
    <row r="1055" spans="1:6" x14ac:dyDescent="0.2">
      <c r="A1055">
        <v>14</v>
      </c>
      <c r="B1055" t="s">
        <v>1126</v>
      </c>
      <c r="C1055" t="s">
        <v>978</v>
      </c>
      <c r="D1055" s="8">
        <v>4.3283376360209999E-4</v>
      </c>
      <c r="E1055" s="6">
        <f t="shared" si="32"/>
        <v>-8.2390000000000008</v>
      </c>
      <c r="F1055" s="8">
        <f t="shared" si="33"/>
        <v>-3.566117378317702E-3</v>
      </c>
    </row>
    <row r="1056" spans="1:6" x14ac:dyDescent="0.2">
      <c r="A1056">
        <v>14</v>
      </c>
      <c r="B1056" t="s">
        <v>1126</v>
      </c>
      <c r="C1056" t="s">
        <v>979</v>
      </c>
      <c r="D1056" s="8">
        <v>3.6301262670428748E-8</v>
      </c>
      <c r="E1056" s="6">
        <f t="shared" si="32"/>
        <v>-0.5</v>
      </c>
      <c r="F1056" s="8">
        <f t="shared" si="33"/>
        <v>-1.8150631335214374E-8</v>
      </c>
    </row>
    <row r="1057" spans="1:6" x14ac:dyDescent="0.2">
      <c r="A1057">
        <v>14</v>
      </c>
      <c r="B1057" t="s">
        <v>1126</v>
      </c>
      <c r="C1057" t="s">
        <v>980</v>
      </c>
      <c r="D1057" s="8">
        <v>1.3522541630626001E-3</v>
      </c>
      <c r="E1057" s="6">
        <f t="shared" si="32"/>
        <v>-0.10000000000000009</v>
      </c>
      <c r="F1057" s="8">
        <f t="shared" si="33"/>
        <v>-1.3522541630626013E-4</v>
      </c>
    </row>
    <row r="1058" spans="1:6" x14ac:dyDescent="0.2">
      <c r="A1058">
        <v>14</v>
      </c>
      <c r="B1058" t="s">
        <v>1126</v>
      </c>
      <c r="C1058" t="s">
        <v>981</v>
      </c>
      <c r="D1058" s="8">
        <v>9.4656679551844997E-3</v>
      </c>
      <c r="E1058" s="6">
        <f t="shared" si="32"/>
        <v>-0.33499999999999996</v>
      </c>
      <c r="F1058" s="8">
        <f t="shared" si="33"/>
        <v>-3.1709987649868069E-3</v>
      </c>
    </row>
    <row r="1059" spans="1:6" x14ac:dyDescent="0.2">
      <c r="A1059">
        <v>14</v>
      </c>
      <c r="B1059" t="s">
        <v>1126</v>
      </c>
      <c r="C1059" t="s">
        <v>982</v>
      </c>
      <c r="D1059" s="8">
        <v>2.265290187986158E-5</v>
      </c>
      <c r="E1059" s="6">
        <f t="shared" si="32"/>
        <v>-2.8</v>
      </c>
      <c r="F1059" s="8">
        <f t="shared" si="33"/>
        <v>-6.342812526361242E-5</v>
      </c>
    </row>
    <row r="1060" spans="1:6" x14ac:dyDescent="0.2">
      <c r="A1060">
        <v>14</v>
      </c>
      <c r="B1060" t="s">
        <v>1126</v>
      </c>
      <c r="C1060" t="s">
        <v>983</v>
      </c>
      <c r="D1060" s="8">
        <v>4.8401971656789999E-4</v>
      </c>
      <c r="E1060" s="6">
        <f t="shared" si="32"/>
        <v>-0.19999999999999973</v>
      </c>
      <c r="F1060" s="8">
        <f t="shared" si="33"/>
        <v>-9.6803943313579865E-5</v>
      </c>
    </row>
    <row r="1061" spans="1:6" x14ac:dyDescent="0.2">
      <c r="A1061">
        <v>14</v>
      </c>
      <c r="B1061" t="s">
        <v>1126</v>
      </c>
      <c r="C1061" t="s">
        <v>984</v>
      </c>
      <c r="D1061" s="8">
        <v>0.1021569039744727</v>
      </c>
      <c r="E1061" s="6">
        <f t="shared" si="32"/>
        <v>0.121</v>
      </c>
      <c r="F1061" s="8">
        <f t="shared" si="33"/>
        <v>1.2360985380911196E-2</v>
      </c>
    </row>
    <row r="1062" spans="1:6" x14ac:dyDescent="0.2">
      <c r="A1062">
        <v>14</v>
      </c>
      <c r="B1062" t="s">
        <v>1126</v>
      </c>
      <c r="C1062" t="s">
        <v>985</v>
      </c>
      <c r="D1062" s="8">
        <v>2.102670098048E-4</v>
      </c>
      <c r="E1062" s="6">
        <f t="shared" si="32"/>
        <v>0.34299999999999997</v>
      </c>
      <c r="F1062" s="8">
        <f t="shared" si="33"/>
        <v>7.2121584363046392E-5</v>
      </c>
    </row>
    <row r="1063" spans="1:6" x14ac:dyDescent="0.2">
      <c r="A1063">
        <v>14</v>
      </c>
      <c r="B1063" t="s">
        <v>1126</v>
      </c>
      <c r="C1063" t="s">
        <v>986</v>
      </c>
      <c r="D1063" s="8">
        <v>2.3479993913496002E-3</v>
      </c>
      <c r="E1063" s="6">
        <f t="shared" si="32"/>
        <v>-0.38900000000000023</v>
      </c>
      <c r="F1063" s="8">
        <f t="shared" si="33"/>
        <v>-9.1337176323499501E-4</v>
      </c>
    </row>
    <row r="1064" spans="1:6" x14ac:dyDescent="0.2">
      <c r="A1064">
        <v>14</v>
      </c>
      <c r="B1064" t="s">
        <v>1126</v>
      </c>
      <c r="C1064" t="s">
        <v>987</v>
      </c>
      <c r="D1064" s="8">
        <v>4.3824432071449471E-6</v>
      </c>
      <c r="E1064" s="6">
        <f t="shared" si="32"/>
        <v>0.83399999999999963</v>
      </c>
      <c r="F1064" s="8">
        <f t="shared" si="33"/>
        <v>3.6549576347588843E-6</v>
      </c>
    </row>
    <row r="1065" spans="1:6" x14ac:dyDescent="0.2">
      <c r="A1065">
        <v>14</v>
      </c>
      <c r="B1065" t="s">
        <v>1126</v>
      </c>
      <c r="C1065" t="s">
        <v>988</v>
      </c>
      <c r="D1065" s="8">
        <v>7.1167700093289999E-4</v>
      </c>
      <c r="E1065" s="6">
        <f t="shared" si="32"/>
        <v>0.59299999999999997</v>
      </c>
      <c r="F1065" s="8">
        <f t="shared" si="33"/>
        <v>4.2202446155320967E-4</v>
      </c>
    </row>
    <row r="1066" spans="1:6" x14ac:dyDescent="0.2">
      <c r="A1066">
        <v>14</v>
      </c>
      <c r="B1066" t="s">
        <v>1126</v>
      </c>
      <c r="C1066" t="s">
        <v>989</v>
      </c>
      <c r="D1066" s="8">
        <v>2.431963783677007E-5</v>
      </c>
      <c r="E1066" s="6">
        <f t="shared" si="32"/>
        <v>-0.12199999999999989</v>
      </c>
      <c r="F1066" s="8">
        <f t="shared" si="33"/>
        <v>-2.9669958160859457E-6</v>
      </c>
    </row>
    <row r="1067" spans="1:6" x14ac:dyDescent="0.2">
      <c r="A1067">
        <v>14</v>
      </c>
      <c r="B1067" t="s">
        <v>1126</v>
      </c>
      <c r="C1067" t="s">
        <v>1119</v>
      </c>
      <c r="D1067" s="8">
        <v>2.107087351972429E-5</v>
      </c>
      <c r="E1067" s="6">
        <f t="shared" si="32"/>
        <v>0</v>
      </c>
      <c r="F1067" s="8">
        <f t="shared" si="33"/>
        <v>0</v>
      </c>
    </row>
    <row r="1068" spans="1:6" x14ac:dyDescent="0.2">
      <c r="A1068">
        <v>14</v>
      </c>
      <c r="B1068" t="s">
        <v>1126</v>
      </c>
      <c r="C1068" t="s">
        <v>990</v>
      </c>
      <c r="D1068" s="8">
        <v>4.3191589007103799E-2</v>
      </c>
      <c r="E1068" s="6">
        <f t="shared" si="32"/>
        <v>0.45299999999999985</v>
      </c>
      <c r="F1068" s="8">
        <f t="shared" si="33"/>
        <v>1.9565789820218015E-2</v>
      </c>
    </row>
    <row r="1069" spans="1:6" x14ac:dyDescent="0.2">
      <c r="A1069">
        <v>14</v>
      </c>
      <c r="B1069" t="s">
        <v>1126</v>
      </c>
      <c r="C1069" t="s">
        <v>991</v>
      </c>
      <c r="D1069" s="8">
        <v>7.8331083811020001E-4</v>
      </c>
      <c r="E1069" s="6">
        <f t="shared" si="32"/>
        <v>-3.7290000000000001</v>
      </c>
      <c r="F1069" s="8">
        <f t="shared" si="33"/>
        <v>-2.9209661153129359E-3</v>
      </c>
    </row>
    <row r="1070" spans="1:6" x14ac:dyDescent="0.2">
      <c r="A1070">
        <v>14</v>
      </c>
      <c r="B1070" t="s">
        <v>1126</v>
      </c>
      <c r="C1070" t="s">
        <v>992</v>
      </c>
      <c r="D1070" s="8">
        <v>2.081232388967E-4</v>
      </c>
      <c r="E1070" s="6">
        <f t="shared" si="32"/>
        <v>2.048</v>
      </c>
      <c r="F1070" s="8">
        <f t="shared" si="33"/>
        <v>4.262363932604416E-4</v>
      </c>
    </row>
    <row r="1071" spans="1:6" x14ac:dyDescent="0.2">
      <c r="A1071">
        <v>14</v>
      </c>
      <c r="B1071" t="s">
        <v>1126</v>
      </c>
      <c r="C1071" t="s">
        <v>1092</v>
      </c>
      <c r="D1071" s="8">
        <v>2.0047545248140001E-4</v>
      </c>
      <c r="E1071" s="6">
        <f t="shared" si="32"/>
        <v>0</v>
      </c>
      <c r="F1071" s="8">
        <f t="shared" si="33"/>
        <v>0</v>
      </c>
    </row>
    <row r="1072" spans="1:6" x14ac:dyDescent="0.2">
      <c r="A1072">
        <v>14</v>
      </c>
      <c r="B1072" t="s">
        <v>1126</v>
      </c>
      <c r="C1072" t="s">
        <v>993</v>
      </c>
      <c r="D1072" s="8">
        <v>6.7385378501129241E-8</v>
      </c>
      <c r="E1072" s="6">
        <f t="shared" si="32"/>
        <v>-0.42900000000000027</v>
      </c>
      <c r="F1072" s="8">
        <f t="shared" si="33"/>
        <v>-2.8908327376984462E-8</v>
      </c>
    </row>
    <row r="1073" spans="1:6" x14ac:dyDescent="0.2">
      <c r="A1073">
        <v>14</v>
      </c>
      <c r="B1073" t="s">
        <v>1126</v>
      </c>
      <c r="C1073" t="s">
        <v>994</v>
      </c>
      <c r="D1073" s="8">
        <v>1.167333182971E-4</v>
      </c>
      <c r="E1073" s="6">
        <f t="shared" si="32"/>
        <v>2.415</v>
      </c>
      <c r="F1073" s="8">
        <f t="shared" si="33"/>
        <v>2.8191096368749652E-4</v>
      </c>
    </row>
    <row r="1074" spans="1:6" x14ac:dyDescent="0.2">
      <c r="A1074">
        <v>14</v>
      </c>
      <c r="B1074" t="s">
        <v>1126</v>
      </c>
      <c r="C1074" t="s">
        <v>1120</v>
      </c>
      <c r="D1074" s="8">
        <v>3.3992762984659012E-6</v>
      </c>
      <c r="E1074" s="6">
        <f t="shared" si="32"/>
        <v>0</v>
      </c>
      <c r="F1074" s="8">
        <f t="shared" si="33"/>
        <v>0</v>
      </c>
    </row>
    <row r="1075" spans="1:6" x14ac:dyDescent="0.2">
      <c r="A1075">
        <v>14</v>
      </c>
      <c r="B1075" t="s">
        <v>1126</v>
      </c>
      <c r="C1075" t="s">
        <v>1093</v>
      </c>
      <c r="D1075" s="8">
        <v>1.5541971162844001E-3</v>
      </c>
      <c r="E1075" s="6">
        <f t="shared" si="32"/>
        <v>0</v>
      </c>
      <c r="F1075" s="8">
        <f t="shared" si="33"/>
        <v>0</v>
      </c>
    </row>
    <row r="1076" spans="1:6" x14ac:dyDescent="0.2">
      <c r="A1076">
        <v>14</v>
      </c>
      <c r="B1076" t="s">
        <v>1126</v>
      </c>
      <c r="C1076" t="s">
        <v>996</v>
      </c>
      <c r="D1076" s="8">
        <v>1.067248846447E-4</v>
      </c>
      <c r="E1076" s="6">
        <f t="shared" si="32"/>
        <v>0.44099999999999984</v>
      </c>
      <c r="F1076" s="8">
        <f t="shared" si="33"/>
        <v>4.7065674128312686E-5</v>
      </c>
    </row>
    <row r="1077" spans="1:6" x14ac:dyDescent="0.2">
      <c r="A1077">
        <v>14</v>
      </c>
      <c r="B1077" t="s">
        <v>1126</v>
      </c>
      <c r="C1077" t="s">
        <v>997</v>
      </c>
      <c r="D1077" s="8">
        <v>3.120464359650321E-6</v>
      </c>
      <c r="E1077" s="6">
        <f t="shared" si="32"/>
        <v>-0.61499999999999977</v>
      </c>
      <c r="F1077" s="8">
        <f t="shared" si="33"/>
        <v>-1.9190855811849468E-6</v>
      </c>
    </row>
    <row r="1078" spans="1:6" x14ac:dyDescent="0.2">
      <c r="A1078">
        <v>14</v>
      </c>
      <c r="B1078" t="s">
        <v>1126</v>
      </c>
      <c r="C1078" t="s">
        <v>998</v>
      </c>
      <c r="D1078" s="8">
        <v>8.4147242077384674E-5</v>
      </c>
      <c r="E1078" s="6">
        <f t="shared" si="32"/>
        <v>-0.28200000000000003</v>
      </c>
      <c r="F1078" s="8">
        <f t="shared" si="33"/>
        <v>-2.372952226582248E-5</v>
      </c>
    </row>
    <row r="1079" spans="1:6" x14ac:dyDescent="0.2">
      <c r="A1079">
        <v>14</v>
      </c>
      <c r="B1079" t="s">
        <v>1126</v>
      </c>
      <c r="C1079" t="s">
        <v>999</v>
      </c>
      <c r="D1079" s="8">
        <v>1.382821046760701E-5</v>
      </c>
      <c r="E1079" s="6">
        <f t="shared" si="32"/>
        <v>-0.5219999999999998</v>
      </c>
      <c r="F1079" s="8">
        <f t="shared" si="33"/>
        <v>-7.2183258640908568E-6</v>
      </c>
    </row>
    <row r="1080" spans="1:6" x14ac:dyDescent="0.2">
      <c r="A1080">
        <v>14</v>
      </c>
      <c r="B1080" t="s">
        <v>1126</v>
      </c>
      <c r="C1080" t="s">
        <v>1000</v>
      </c>
      <c r="D1080" s="8">
        <v>1.7103312817301E-3</v>
      </c>
      <c r="E1080" s="6">
        <f t="shared" si="32"/>
        <v>1.1540000000000004</v>
      </c>
      <c r="F1080" s="8">
        <f t="shared" si="33"/>
        <v>1.973722299116536E-3</v>
      </c>
    </row>
    <row r="1081" spans="1:6" x14ac:dyDescent="0.2">
      <c r="A1081">
        <v>14</v>
      </c>
      <c r="B1081" t="s">
        <v>1126</v>
      </c>
      <c r="C1081" t="s">
        <v>1121</v>
      </c>
      <c r="D1081" s="8">
        <v>1.9356307610973659E-8</v>
      </c>
      <c r="E1081" s="6">
        <f t="shared" si="32"/>
        <v>0</v>
      </c>
      <c r="F1081" s="8">
        <f t="shared" si="33"/>
        <v>0</v>
      </c>
    </row>
    <row r="1082" spans="1:6" x14ac:dyDescent="0.2">
      <c r="A1082">
        <v>14</v>
      </c>
      <c r="B1082" t="s">
        <v>1126</v>
      </c>
      <c r="C1082" t="s">
        <v>1001</v>
      </c>
      <c r="D1082" s="8">
        <v>1.4874953582719999E-4</v>
      </c>
      <c r="E1082" s="6">
        <f t="shared" si="32"/>
        <v>-0.60600000000000032</v>
      </c>
      <c r="F1082" s="8">
        <f t="shared" si="33"/>
        <v>-9.0142218711283234E-5</v>
      </c>
    </row>
    <row r="1083" spans="1:6" x14ac:dyDescent="0.2">
      <c r="A1083">
        <v>14</v>
      </c>
      <c r="B1083" t="s">
        <v>1126</v>
      </c>
      <c r="C1083" t="s">
        <v>1002</v>
      </c>
      <c r="D1083" s="8">
        <v>2.1241931217629999E-4</v>
      </c>
      <c r="E1083" s="6">
        <f t="shared" si="32"/>
        <v>-1.3390000000000004</v>
      </c>
      <c r="F1083" s="8">
        <f t="shared" si="33"/>
        <v>-2.8442945900406576E-4</v>
      </c>
    </row>
    <row r="1084" spans="1:6" x14ac:dyDescent="0.2">
      <c r="A1084">
        <v>14</v>
      </c>
      <c r="B1084" t="s">
        <v>1126</v>
      </c>
      <c r="C1084" t="s">
        <v>1003</v>
      </c>
      <c r="D1084" s="8">
        <v>7.8408548871918993E-3</v>
      </c>
      <c r="E1084" s="6">
        <f t="shared" si="32"/>
        <v>0.22999999999999998</v>
      </c>
      <c r="F1084" s="8">
        <f t="shared" si="33"/>
        <v>1.8033966240541368E-3</v>
      </c>
    </row>
    <row r="1085" spans="1:6" x14ac:dyDescent="0.2">
      <c r="A1085">
        <v>14</v>
      </c>
      <c r="B1085" t="s">
        <v>1126</v>
      </c>
      <c r="C1085" t="s">
        <v>1005</v>
      </c>
      <c r="D1085" s="8">
        <v>5.3052263628760821E-6</v>
      </c>
      <c r="E1085" s="6">
        <f t="shared" si="32"/>
        <v>-0.10000000000000009</v>
      </c>
      <c r="F1085" s="8">
        <f t="shared" si="33"/>
        <v>-5.3052263628760866E-7</v>
      </c>
    </row>
    <row r="1086" spans="1:6" x14ac:dyDescent="0.2">
      <c r="A1086">
        <v>14</v>
      </c>
      <c r="B1086" t="s">
        <v>1126</v>
      </c>
      <c r="C1086" t="s">
        <v>1006</v>
      </c>
      <c r="D1086" s="8">
        <v>2.936246686448853E-6</v>
      </c>
      <c r="E1086" s="6">
        <f t="shared" ref="E1086:E1149" si="34">IFERROR(VLOOKUP(C1086,$A$6:$D$185,4,FALSE),0)</f>
        <v>0.40000000000000036</v>
      </c>
      <c r="F1086" s="8">
        <f t="shared" ref="F1086:F1149" si="35">D1086*E1086</f>
        <v>1.1744986745795423E-6</v>
      </c>
    </row>
    <row r="1087" spans="1:6" x14ac:dyDescent="0.2">
      <c r="A1087">
        <v>14</v>
      </c>
      <c r="B1087" t="s">
        <v>1126</v>
      </c>
      <c r="C1087" t="s">
        <v>1007</v>
      </c>
      <c r="D1087" s="8">
        <v>1.9137876577836481E-5</v>
      </c>
      <c r="E1087" s="6">
        <f t="shared" si="34"/>
        <v>-0.19999999999999973</v>
      </c>
      <c r="F1087" s="8">
        <f t="shared" si="35"/>
        <v>-3.8275753155672909E-6</v>
      </c>
    </row>
    <row r="1088" spans="1:6" x14ac:dyDescent="0.2">
      <c r="A1088">
        <v>14</v>
      </c>
      <c r="B1088" t="s">
        <v>1126</v>
      </c>
      <c r="C1088" t="s">
        <v>1008</v>
      </c>
      <c r="D1088" s="8">
        <v>1.9309308900484E-3</v>
      </c>
      <c r="E1088" s="6">
        <f t="shared" si="34"/>
        <v>0.94799999999999995</v>
      </c>
      <c r="F1088" s="8">
        <f t="shared" si="35"/>
        <v>1.830522483765883E-3</v>
      </c>
    </row>
    <row r="1089" spans="1:6" x14ac:dyDescent="0.2">
      <c r="A1089">
        <v>14</v>
      </c>
      <c r="B1089" t="s">
        <v>1126</v>
      </c>
      <c r="C1089" t="s">
        <v>1098</v>
      </c>
      <c r="D1089" s="8">
        <v>3.2288322915390469E-6</v>
      </c>
      <c r="E1089" s="6">
        <f t="shared" si="34"/>
        <v>0</v>
      </c>
      <c r="F1089" s="8">
        <f t="shared" si="35"/>
        <v>0</v>
      </c>
    </row>
    <row r="1090" spans="1:6" x14ac:dyDescent="0.2">
      <c r="A1090">
        <v>14</v>
      </c>
      <c r="B1090" t="s">
        <v>1126</v>
      </c>
      <c r="C1090" t="s">
        <v>1009</v>
      </c>
      <c r="D1090" s="8">
        <v>9.3593101114834079E-6</v>
      </c>
      <c r="E1090" s="6">
        <f t="shared" si="34"/>
        <v>-0.5990000000000002</v>
      </c>
      <c r="F1090" s="8">
        <f t="shared" si="35"/>
        <v>-5.6062267567785629E-6</v>
      </c>
    </row>
    <row r="1091" spans="1:6" x14ac:dyDescent="0.2">
      <c r="A1091">
        <v>14</v>
      </c>
      <c r="B1091" t="s">
        <v>1126</v>
      </c>
      <c r="C1091" t="s">
        <v>1122</v>
      </c>
      <c r="D1091" s="8">
        <v>5.1393214730086589E-7</v>
      </c>
      <c r="E1091" s="6">
        <f t="shared" si="34"/>
        <v>0</v>
      </c>
      <c r="F1091" s="8">
        <f t="shared" si="35"/>
        <v>0</v>
      </c>
    </row>
    <row r="1092" spans="1:6" x14ac:dyDescent="0.2">
      <c r="A1092">
        <v>14</v>
      </c>
      <c r="B1092" t="s">
        <v>1126</v>
      </c>
      <c r="C1092" t="s">
        <v>1010</v>
      </c>
      <c r="D1092" s="8">
        <v>6.8668841041106808E-5</v>
      </c>
      <c r="E1092" s="6">
        <f t="shared" si="34"/>
        <v>-3.024</v>
      </c>
      <c r="F1092" s="8">
        <f t="shared" si="35"/>
        <v>-2.0765457530830698E-4</v>
      </c>
    </row>
    <row r="1093" spans="1:6" x14ac:dyDescent="0.2">
      <c r="A1093">
        <v>14</v>
      </c>
      <c r="B1093" t="s">
        <v>1126</v>
      </c>
      <c r="C1093" t="s">
        <v>1011</v>
      </c>
      <c r="D1093" s="8">
        <v>4.0847497903643678E-7</v>
      </c>
      <c r="E1093" s="6">
        <f t="shared" si="34"/>
        <v>0.68600000000000039</v>
      </c>
      <c r="F1093" s="8">
        <f t="shared" si="35"/>
        <v>2.8021383561899578E-7</v>
      </c>
    </row>
    <row r="1094" spans="1:6" x14ac:dyDescent="0.2">
      <c r="A1094">
        <v>14</v>
      </c>
      <c r="B1094" t="s">
        <v>1126</v>
      </c>
      <c r="C1094" t="s">
        <v>1012</v>
      </c>
      <c r="D1094" s="8">
        <v>2.757921894019E-4</v>
      </c>
      <c r="E1094" s="6">
        <f t="shared" si="34"/>
        <v>0.39999999999999991</v>
      </c>
      <c r="F1094" s="8">
        <f t="shared" si="35"/>
        <v>1.1031687576075998E-4</v>
      </c>
    </row>
    <row r="1095" spans="1:6" x14ac:dyDescent="0.2">
      <c r="A1095">
        <v>14</v>
      </c>
      <c r="B1095" t="s">
        <v>1126</v>
      </c>
      <c r="C1095" t="s">
        <v>1013</v>
      </c>
      <c r="D1095" s="8">
        <v>1.4236347570661101E-8</v>
      </c>
      <c r="E1095" s="6">
        <f t="shared" si="34"/>
        <v>-2.0999999999999996</v>
      </c>
      <c r="F1095" s="8">
        <f t="shared" si="35"/>
        <v>-2.9896329898388304E-8</v>
      </c>
    </row>
    <row r="1096" spans="1:6" x14ac:dyDescent="0.2">
      <c r="A1096">
        <v>14</v>
      </c>
      <c r="B1096" t="s">
        <v>1126</v>
      </c>
      <c r="C1096" t="s">
        <v>1014</v>
      </c>
      <c r="D1096" s="8">
        <v>1.81383146380097E-2</v>
      </c>
      <c r="E1096" s="6">
        <f t="shared" si="34"/>
        <v>0.90000000000000036</v>
      </c>
      <c r="F1096" s="8">
        <f t="shared" si="35"/>
        <v>1.6324483174208735E-2</v>
      </c>
    </row>
    <row r="1097" spans="1:6" x14ac:dyDescent="0.2">
      <c r="A1097">
        <v>14</v>
      </c>
      <c r="B1097" t="s">
        <v>1126</v>
      </c>
      <c r="C1097" t="s">
        <v>1015</v>
      </c>
      <c r="D1097" s="8">
        <v>1.9783553688826932E-5</v>
      </c>
      <c r="E1097" s="6">
        <f t="shared" si="34"/>
        <v>-1.306</v>
      </c>
      <c r="F1097" s="8">
        <f t="shared" si="35"/>
        <v>-2.5837321117607975E-5</v>
      </c>
    </row>
    <row r="1098" spans="1:6" x14ac:dyDescent="0.2">
      <c r="A1098">
        <v>14</v>
      </c>
      <c r="B1098" t="s">
        <v>1126</v>
      </c>
      <c r="C1098" t="s">
        <v>1099</v>
      </c>
      <c r="D1098" s="8">
        <v>7.763484642552507E-5</v>
      </c>
      <c r="E1098" s="6">
        <f t="shared" si="34"/>
        <v>0</v>
      </c>
      <c r="F1098" s="8">
        <f t="shared" si="35"/>
        <v>0</v>
      </c>
    </row>
    <row r="1099" spans="1:6" x14ac:dyDescent="0.2">
      <c r="A1099">
        <v>14</v>
      </c>
      <c r="B1099" t="s">
        <v>1126</v>
      </c>
      <c r="C1099" t="s">
        <v>1016</v>
      </c>
      <c r="D1099" s="8">
        <v>3.3127506252009372E-6</v>
      </c>
      <c r="E1099" s="6">
        <f t="shared" si="34"/>
        <v>0</v>
      </c>
      <c r="F1099" s="8">
        <f t="shared" si="35"/>
        <v>0</v>
      </c>
    </row>
    <row r="1100" spans="1:6" x14ac:dyDescent="0.2">
      <c r="A1100">
        <v>14</v>
      </c>
      <c r="B1100" t="s">
        <v>1126</v>
      </c>
      <c r="C1100" t="s">
        <v>1017</v>
      </c>
      <c r="D1100" s="8">
        <v>1.1698555777999E-3</v>
      </c>
      <c r="E1100" s="6">
        <f t="shared" si="34"/>
        <v>1.3749999999999996</v>
      </c>
      <c r="F1100" s="8">
        <f t="shared" si="35"/>
        <v>1.6085514194748619E-3</v>
      </c>
    </row>
    <row r="1101" spans="1:6" x14ac:dyDescent="0.2">
      <c r="A1101">
        <v>14</v>
      </c>
      <c r="B1101" t="s">
        <v>1126</v>
      </c>
      <c r="C1101" t="s">
        <v>1018</v>
      </c>
      <c r="D1101" s="8">
        <v>2.9341362333389998E-4</v>
      </c>
      <c r="E1101" s="6">
        <f t="shared" si="34"/>
        <v>0.69999999999999973</v>
      </c>
      <c r="F1101" s="8">
        <f t="shared" si="35"/>
        <v>2.0538953633372992E-4</v>
      </c>
    </row>
    <row r="1102" spans="1:6" x14ac:dyDescent="0.2">
      <c r="A1102">
        <v>14</v>
      </c>
      <c r="B1102" t="s">
        <v>1126</v>
      </c>
      <c r="C1102" t="s">
        <v>1019</v>
      </c>
      <c r="D1102" s="8">
        <v>1.7800338036673E-2</v>
      </c>
      <c r="E1102" s="6">
        <f t="shared" si="34"/>
        <v>-0.21599999999999997</v>
      </c>
      <c r="F1102" s="8">
        <f t="shared" si="35"/>
        <v>-3.8448730159213675E-3</v>
      </c>
    </row>
    <row r="1103" spans="1:6" x14ac:dyDescent="0.2">
      <c r="A1103">
        <v>14</v>
      </c>
      <c r="B1103" t="s">
        <v>1126</v>
      </c>
      <c r="C1103" t="s">
        <v>1020</v>
      </c>
      <c r="D1103" s="8">
        <v>4.1891664296789998E-4</v>
      </c>
      <c r="E1103" s="6">
        <f t="shared" si="34"/>
        <v>-0.21999999999999997</v>
      </c>
      <c r="F1103" s="8">
        <f t="shared" si="35"/>
        <v>-9.2161661452937982E-5</v>
      </c>
    </row>
    <row r="1104" spans="1:6" x14ac:dyDescent="0.2">
      <c r="A1104">
        <v>14</v>
      </c>
      <c r="B1104" t="s">
        <v>1126</v>
      </c>
      <c r="C1104" t="s">
        <v>1021</v>
      </c>
      <c r="D1104" s="8">
        <v>7.5491437120723745E-5</v>
      </c>
      <c r="E1104" s="6">
        <f t="shared" si="34"/>
        <v>-2.4829999999999997</v>
      </c>
      <c r="F1104" s="8">
        <f t="shared" si="35"/>
        <v>-1.8744523837075703E-4</v>
      </c>
    </row>
    <row r="1105" spans="1:6" x14ac:dyDescent="0.2">
      <c r="A1105">
        <v>14</v>
      </c>
      <c r="B1105" t="s">
        <v>1126</v>
      </c>
      <c r="C1105" t="s">
        <v>1022</v>
      </c>
      <c r="D1105" s="8">
        <v>3.1160802289614439E-7</v>
      </c>
      <c r="E1105" s="6">
        <f t="shared" si="34"/>
        <v>0.46800000000000019</v>
      </c>
      <c r="F1105" s="8">
        <f t="shared" si="35"/>
        <v>1.4583255471539564E-7</v>
      </c>
    </row>
    <row r="1106" spans="1:6" x14ac:dyDescent="0.2">
      <c r="A1106">
        <v>14</v>
      </c>
      <c r="B1106" t="s">
        <v>1126</v>
      </c>
      <c r="C1106" t="s">
        <v>1023</v>
      </c>
      <c r="D1106" s="8">
        <v>2.9488139389099001E-3</v>
      </c>
      <c r="E1106" s="6">
        <f t="shared" si="34"/>
        <v>-0.62199999999999989</v>
      </c>
      <c r="F1106" s="8">
        <f t="shared" si="35"/>
        <v>-1.8341622700019575E-3</v>
      </c>
    </row>
    <row r="1107" spans="1:6" x14ac:dyDescent="0.2">
      <c r="A1107">
        <v>14</v>
      </c>
      <c r="B1107" t="s">
        <v>1126</v>
      </c>
      <c r="C1107" t="s">
        <v>1024</v>
      </c>
      <c r="D1107" s="8">
        <v>5.0359700921269999E-4</v>
      </c>
      <c r="E1107" s="6">
        <f t="shared" si="34"/>
        <v>-0.14500000000000002</v>
      </c>
      <c r="F1107" s="8">
        <f t="shared" si="35"/>
        <v>-7.3021566335841509E-5</v>
      </c>
    </row>
    <row r="1108" spans="1:6" x14ac:dyDescent="0.2">
      <c r="A1108">
        <v>14</v>
      </c>
      <c r="B1108" t="s">
        <v>1126</v>
      </c>
      <c r="C1108" t="s">
        <v>1025</v>
      </c>
      <c r="D1108" s="8">
        <v>1.0709717195764999E-3</v>
      </c>
      <c r="E1108" s="6">
        <f t="shared" si="34"/>
        <v>4.7000000000000153E-2</v>
      </c>
      <c r="F1108" s="8">
        <f t="shared" si="35"/>
        <v>5.0335670820095657E-5</v>
      </c>
    </row>
    <row r="1109" spans="1:6" x14ac:dyDescent="0.2">
      <c r="A1109">
        <v>14</v>
      </c>
      <c r="B1109" t="s">
        <v>1126</v>
      </c>
      <c r="C1109" t="s">
        <v>1026</v>
      </c>
      <c r="D1109" s="8">
        <v>1.2064816486245999E-3</v>
      </c>
      <c r="E1109" s="6">
        <f t="shared" si="34"/>
        <v>-0.20000000000000018</v>
      </c>
      <c r="F1109" s="8">
        <f t="shared" si="35"/>
        <v>-2.4129632972492019E-4</v>
      </c>
    </row>
    <row r="1110" spans="1:6" x14ac:dyDescent="0.2">
      <c r="A1110">
        <v>14</v>
      </c>
      <c r="B1110" t="s">
        <v>1126</v>
      </c>
      <c r="C1110" t="s">
        <v>1027</v>
      </c>
      <c r="D1110" s="8">
        <v>1.6331252540243001E-3</v>
      </c>
      <c r="E1110" s="6">
        <f t="shared" si="34"/>
        <v>0.18999999999999995</v>
      </c>
      <c r="F1110" s="8">
        <f t="shared" si="35"/>
        <v>3.1029379826461696E-4</v>
      </c>
    </row>
    <row r="1111" spans="1:6" x14ac:dyDescent="0.2">
      <c r="A1111">
        <v>14</v>
      </c>
      <c r="B1111" t="s">
        <v>1126</v>
      </c>
      <c r="C1111" t="s">
        <v>1028</v>
      </c>
      <c r="D1111" s="8">
        <v>8.7058454630665992E-3</v>
      </c>
      <c r="E1111" s="6">
        <f t="shared" si="34"/>
        <v>-1.6600000000000001</v>
      </c>
      <c r="F1111" s="8">
        <f t="shared" si="35"/>
        <v>-1.4451703468690557E-2</v>
      </c>
    </row>
    <row r="1112" spans="1:6" x14ac:dyDescent="0.2">
      <c r="A1112">
        <v>14</v>
      </c>
      <c r="B1112" t="s">
        <v>1126</v>
      </c>
      <c r="C1112" t="s">
        <v>1029</v>
      </c>
      <c r="D1112" s="8">
        <v>9.8348029814356815E-7</v>
      </c>
      <c r="E1112" s="6">
        <f t="shared" si="34"/>
        <v>-0.20500000000000007</v>
      </c>
      <c r="F1112" s="8">
        <f t="shared" si="35"/>
        <v>-2.0161346111943154E-7</v>
      </c>
    </row>
    <row r="1113" spans="1:6" x14ac:dyDescent="0.2">
      <c r="A1113">
        <v>14</v>
      </c>
      <c r="B1113" t="s">
        <v>1126</v>
      </c>
      <c r="C1113" t="s">
        <v>1030</v>
      </c>
      <c r="D1113" s="8">
        <v>3.674058652388E-4</v>
      </c>
      <c r="E1113" s="6">
        <f t="shared" si="34"/>
        <v>0.29999999999999982</v>
      </c>
      <c r="F1113" s="8">
        <f t="shared" si="35"/>
        <v>1.1022175957163993E-4</v>
      </c>
    </row>
    <row r="1114" spans="1:6" x14ac:dyDescent="0.2">
      <c r="A1114">
        <v>14</v>
      </c>
      <c r="B1114" t="s">
        <v>1126</v>
      </c>
      <c r="C1114" t="s">
        <v>1031</v>
      </c>
      <c r="D1114" s="8">
        <v>8.9339682184823004E-3</v>
      </c>
      <c r="E1114" s="6">
        <f t="shared" si="34"/>
        <v>0.19899999999999984</v>
      </c>
      <c r="F1114" s="8">
        <f t="shared" si="35"/>
        <v>1.7778596754779764E-3</v>
      </c>
    </row>
    <row r="1115" spans="1:6" x14ac:dyDescent="0.2">
      <c r="A1115">
        <v>14</v>
      </c>
      <c r="B1115" t="s">
        <v>1126</v>
      </c>
      <c r="C1115" t="s">
        <v>1033</v>
      </c>
      <c r="D1115" s="8">
        <v>1.4282821563546E-3</v>
      </c>
      <c r="E1115" s="6">
        <f t="shared" si="34"/>
        <v>0.23299999999999987</v>
      </c>
      <c r="F1115" s="8">
        <f t="shared" si="35"/>
        <v>3.3278974243062159E-4</v>
      </c>
    </row>
    <row r="1116" spans="1:6" x14ac:dyDescent="0.2">
      <c r="A1116">
        <v>14</v>
      </c>
      <c r="B1116" t="s">
        <v>1126</v>
      </c>
      <c r="C1116" t="s">
        <v>1034</v>
      </c>
      <c r="D1116" s="8">
        <v>2.444552017762E-4</v>
      </c>
      <c r="E1116" s="6">
        <f t="shared" si="34"/>
        <v>0.70000000000000018</v>
      </c>
      <c r="F1116" s="8">
        <f t="shared" si="35"/>
        <v>1.7111864124334005E-4</v>
      </c>
    </row>
    <row r="1117" spans="1:6" x14ac:dyDescent="0.2">
      <c r="A1117">
        <v>14</v>
      </c>
      <c r="B1117" t="s">
        <v>1126</v>
      </c>
      <c r="C1117" t="s">
        <v>1100</v>
      </c>
      <c r="D1117" s="8">
        <v>1.3865268259269999E-4</v>
      </c>
      <c r="E1117" s="6">
        <f t="shared" si="34"/>
        <v>0</v>
      </c>
      <c r="F1117" s="8">
        <f t="shared" si="35"/>
        <v>0</v>
      </c>
    </row>
    <row r="1118" spans="1:6" x14ac:dyDescent="0.2">
      <c r="A1118">
        <v>14</v>
      </c>
      <c r="B1118" t="s">
        <v>1126</v>
      </c>
      <c r="C1118" t="s">
        <v>1035</v>
      </c>
      <c r="D1118" s="8">
        <v>7.440282753638E-4</v>
      </c>
      <c r="E1118" s="6">
        <f t="shared" si="34"/>
        <v>-14.218</v>
      </c>
      <c r="F1118" s="8">
        <f t="shared" si="35"/>
        <v>-1.0578594019122508E-2</v>
      </c>
    </row>
    <row r="1119" spans="1:6" x14ac:dyDescent="0.2">
      <c r="A1119">
        <v>14</v>
      </c>
      <c r="B1119" t="s">
        <v>1126</v>
      </c>
      <c r="C1119" t="s">
        <v>1036</v>
      </c>
      <c r="D1119" s="8">
        <v>3.3603745229950001E-4</v>
      </c>
      <c r="E1119" s="6">
        <f t="shared" si="34"/>
        <v>-2.0590000000000002</v>
      </c>
      <c r="F1119" s="8">
        <f t="shared" si="35"/>
        <v>-6.9190111428467057E-4</v>
      </c>
    </row>
    <row r="1120" spans="1:6" x14ac:dyDescent="0.2">
      <c r="A1120">
        <v>14</v>
      </c>
      <c r="B1120" t="s">
        <v>1126</v>
      </c>
      <c r="C1120" t="s">
        <v>1037</v>
      </c>
      <c r="D1120" s="8">
        <v>8.3352087806089995E-4</v>
      </c>
      <c r="E1120" s="6">
        <f t="shared" si="34"/>
        <v>0.2350000000000001</v>
      </c>
      <c r="F1120" s="8">
        <f t="shared" si="35"/>
        <v>1.9587740634431156E-4</v>
      </c>
    </row>
    <row r="1121" spans="1:6" x14ac:dyDescent="0.2">
      <c r="A1121">
        <v>14</v>
      </c>
      <c r="B1121" t="s">
        <v>1126</v>
      </c>
      <c r="C1121" t="s">
        <v>1038</v>
      </c>
      <c r="D1121" s="8">
        <v>1.1108422700520869E-5</v>
      </c>
      <c r="E1121" s="6">
        <f t="shared" si="34"/>
        <v>-0.2759999999999998</v>
      </c>
      <c r="F1121" s="8">
        <f t="shared" si="35"/>
        <v>-3.0659246653437579E-6</v>
      </c>
    </row>
    <row r="1122" spans="1:6" x14ac:dyDescent="0.2">
      <c r="A1122">
        <v>14</v>
      </c>
      <c r="B1122" t="s">
        <v>1126</v>
      </c>
      <c r="C1122" t="s">
        <v>1094</v>
      </c>
      <c r="D1122" s="8">
        <v>6.2579173569790999E-3</v>
      </c>
      <c r="E1122" s="6">
        <f t="shared" si="34"/>
        <v>0</v>
      </c>
      <c r="F1122" s="8">
        <f t="shared" si="35"/>
        <v>0</v>
      </c>
    </row>
    <row r="1123" spans="1:6" x14ac:dyDescent="0.2">
      <c r="A1123">
        <v>14</v>
      </c>
      <c r="B1123" t="s">
        <v>1126</v>
      </c>
      <c r="C1123" t="s">
        <v>1039</v>
      </c>
      <c r="D1123" s="8">
        <v>8.9465921606489002E-3</v>
      </c>
      <c r="E1123" s="6">
        <f t="shared" si="34"/>
        <v>-0.6419999999999999</v>
      </c>
      <c r="F1123" s="8">
        <f t="shared" si="35"/>
        <v>-5.7437121671365934E-3</v>
      </c>
    </row>
    <row r="1124" spans="1:6" x14ac:dyDescent="0.2">
      <c r="A1124">
        <v>14</v>
      </c>
      <c r="B1124" t="s">
        <v>1126</v>
      </c>
      <c r="C1124" t="s">
        <v>1040</v>
      </c>
      <c r="D1124" s="8">
        <v>1.4834838687260001E-4</v>
      </c>
      <c r="E1124" s="6">
        <f t="shared" si="34"/>
        <v>-8.1180000000000003</v>
      </c>
      <c r="F1124" s="8">
        <f t="shared" si="35"/>
        <v>-1.2042922046317669E-3</v>
      </c>
    </row>
    <row r="1125" spans="1:6" x14ac:dyDescent="0.2">
      <c r="A1125">
        <v>14</v>
      </c>
      <c r="B1125" t="s">
        <v>1126</v>
      </c>
      <c r="C1125" t="s">
        <v>1041</v>
      </c>
      <c r="D1125" s="8">
        <v>3.6191346573700002E-4</v>
      </c>
      <c r="E1125" s="6">
        <f t="shared" si="34"/>
        <v>-1.8890000000000002</v>
      </c>
      <c r="F1125" s="8">
        <f t="shared" si="35"/>
        <v>-6.8365453677719313E-4</v>
      </c>
    </row>
    <row r="1126" spans="1:6" x14ac:dyDescent="0.2">
      <c r="A1126">
        <v>14</v>
      </c>
      <c r="B1126" t="s">
        <v>1126</v>
      </c>
      <c r="C1126" t="s">
        <v>1042</v>
      </c>
      <c r="D1126" s="8">
        <v>1.2961811139463099E-2</v>
      </c>
      <c r="E1126" s="6">
        <f t="shared" si="34"/>
        <v>1.621</v>
      </c>
      <c r="F1126" s="8">
        <f t="shared" si="35"/>
        <v>2.1011095857069683E-2</v>
      </c>
    </row>
    <row r="1127" spans="1:6" x14ac:dyDescent="0.2">
      <c r="A1127">
        <v>14</v>
      </c>
      <c r="B1127" t="s">
        <v>1126</v>
      </c>
      <c r="C1127" t="s">
        <v>1131</v>
      </c>
      <c r="D1127" s="8">
        <v>3.3846821440262972E-7</v>
      </c>
      <c r="E1127" s="6">
        <f t="shared" si="34"/>
        <v>0</v>
      </c>
      <c r="F1127" s="8">
        <f t="shared" si="35"/>
        <v>0</v>
      </c>
    </row>
    <row r="1128" spans="1:6" x14ac:dyDescent="0.2">
      <c r="A1128">
        <v>14</v>
      </c>
      <c r="B1128" t="s">
        <v>1126</v>
      </c>
      <c r="C1128" t="s">
        <v>1043</v>
      </c>
      <c r="D1128" s="8">
        <v>2.0580062149968019E-5</v>
      </c>
      <c r="E1128" s="6">
        <f t="shared" si="34"/>
        <v>-2.8000000000000025E-2</v>
      </c>
      <c r="F1128" s="8">
        <f t="shared" si="35"/>
        <v>-5.7624174019910504E-7</v>
      </c>
    </row>
    <row r="1129" spans="1:6" x14ac:dyDescent="0.2">
      <c r="A1129">
        <v>14</v>
      </c>
      <c r="B1129" t="s">
        <v>1126</v>
      </c>
      <c r="C1129" t="s">
        <v>1044</v>
      </c>
      <c r="D1129" s="8">
        <v>5.234553147358001E-7</v>
      </c>
      <c r="E1129" s="6">
        <f t="shared" si="34"/>
        <v>-0.35099999999999998</v>
      </c>
      <c r="F1129" s="8">
        <f t="shared" si="35"/>
        <v>-1.8373281547226583E-7</v>
      </c>
    </row>
    <row r="1130" spans="1:6" x14ac:dyDescent="0.2">
      <c r="A1130">
        <v>14</v>
      </c>
      <c r="B1130" t="s">
        <v>1126</v>
      </c>
      <c r="C1130" t="s">
        <v>1045</v>
      </c>
      <c r="D1130" s="8">
        <v>7.3956472312890003E-4</v>
      </c>
      <c r="E1130" s="6">
        <f t="shared" si="34"/>
        <v>0.7849999999999997</v>
      </c>
      <c r="F1130" s="8">
        <f t="shared" si="35"/>
        <v>5.8055830765618634E-4</v>
      </c>
    </row>
    <row r="1131" spans="1:6" x14ac:dyDescent="0.2">
      <c r="A1131">
        <v>14</v>
      </c>
      <c r="B1131" t="s">
        <v>1126</v>
      </c>
      <c r="C1131" t="s">
        <v>1047</v>
      </c>
      <c r="D1131" s="8">
        <v>2.8591280538775E-3</v>
      </c>
      <c r="E1131" s="6">
        <f t="shared" si="34"/>
        <v>-1.4999999999999996</v>
      </c>
      <c r="F1131" s="8">
        <f t="shared" si="35"/>
        <v>-4.2886920808162489E-3</v>
      </c>
    </row>
    <row r="1132" spans="1:6" x14ac:dyDescent="0.2">
      <c r="A1132">
        <v>14</v>
      </c>
      <c r="B1132" t="s">
        <v>1126</v>
      </c>
      <c r="C1132" t="s">
        <v>1048</v>
      </c>
      <c r="D1132" s="8">
        <v>1.5596602915059999E-4</v>
      </c>
      <c r="E1132" s="6">
        <f t="shared" si="34"/>
        <v>-1.4340000000000002</v>
      </c>
      <c r="F1132" s="8">
        <f t="shared" si="35"/>
        <v>-2.236552858019604E-4</v>
      </c>
    </row>
    <row r="1133" spans="1:6" x14ac:dyDescent="0.2">
      <c r="A1133">
        <v>14</v>
      </c>
      <c r="B1133" t="s">
        <v>1126</v>
      </c>
      <c r="C1133" t="s">
        <v>1051</v>
      </c>
      <c r="D1133" s="8">
        <v>2.1305052895453121E-5</v>
      </c>
      <c r="E1133" s="6">
        <f t="shared" si="34"/>
        <v>0.18199999999999994</v>
      </c>
      <c r="F1133" s="8">
        <f t="shared" si="35"/>
        <v>3.8775196269724671E-6</v>
      </c>
    </row>
    <row r="1134" spans="1:6" x14ac:dyDescent="0.2">
      <c r="A1134">
        <v>14</v>
      </c>
      <c r="B1134" t="s">
        <v>1126</v>
      </c>
      <c r="C1134" t="s">
        <v>1052</v>
      </c>
      <c r="D1134" s="8">
        <v>2.220428628503288E-5</v>
      </c>
      <c r="E1134" s="6">
        <f t="shared" si="34"/>
        <v>-1.1059999999999999</v>
      </c>
      <c r="F1134" s="8">
        <f t="shared" si="35"/>
        <v>-2.4557940631246364E-5</v>
      </c>
    </row>
    <row r="1135" spans="1:6" x14ac:dyDescent="0.2">
      <c r="A1135">
        <v>14</v>
      </c>
      <c r="B1135" t="s">
        <v>1126</v>
      </c>
      <c r="C1135" t="s">
        <v>1053</v>
      </c>
      <c r="D1135" s="8">
        <v>1.5611871817336001E-3</v>
      </c>
      <c r="E1135" s="6">
        <f t="shared" si="34"/>
        <v>-0.39999999999999991</v>
      </c>
      <c r="F1135" s="8">
        <f t="shared" si="35"/>
        <v>-6.2447487269343994E-4</v>
      </c>
    </row>
    <row r="1136" spans="1:6" x14ac:dyDescent="0.2">
      <c r="A1136">
        <v>14</v>
      </c>
      <c r="B1136" t="s">
        <v>1126</v>
      </c>
      <c r="C1136" t="s">
        <v>1054</v>
      </c>
      <c r="D1136" s="8">
        <v>4.4258183336331998E-3</v>
      </c>
      <c r="E1136" s="6">
        <f t="shared" si="34"/>
        <v>-0.16800000000000015</v>
      </c>
      <c r="F1136" s="8">
        <f t="shared" si="35"/>
        <v>-7.435374800503782E-4</v>
      </c>
    </row>
    <row r="1137" spans="1:6" x14ac:dyDescent="0.2">
      <c r="A1137">
        <v>14</v>
      </c>
      <c r="B1137" t="s">
        <v>1126</v>
      </c>
      <c r="C1137" t="s">
        <v>1055</v>
      </c>
      <c r="D1137" s="8">
        <v>2.134389154980556E-8</v>
      </c>
      <c r="E1137" s="6">
        <f t="shared" si="34"/>
        <v>-0.93100000000000005</v>
      </c>
      <c r="F1137" s="8">
        <f t="shared" si="35"/>
        <v>-1.9871163032868977E-8</v>
      </c>
    </row>
    <row r="1138" spans="1:6" x14ac:dyDescent="0.2">
      <c r="A1138">
        <v>14</v>
      </c>
      <c r="B1138" t="s">
        <v>1126</v>
      </c>
      <c r="C1138" t="s">
        <v>1056</v>
      </c>
      <c r="D1138" s="8">
        <v>3.6165195077071789E-5</v>
      </c>
      <c r="E1138" s="6">
        <f t="shared" si="34"/>
        <v>-1.996</v>
      </c>
      <c r="F1138" s="8">
        <f t="shared" si="35"/>
        <v>-7.2185729373835296E-5</v>
      </c>
    </row>
    <row r="1139" spans="1:6" x14ac:dyDescent="0.2">
      <c r="A1139">
        <v>14</v>
      </c>
      <c r="B1139" t="s">
        <v>1126</v>
      </c>
      <c r="C1139" t="s">
        <v>1095</v>
      </c>
      <c r="D1139" s="8">
        <v>8.0958876034361324E-5</v>
      </c>
      <c r="E1139" s="6">
        <f t="shared" si="34"/>
        <v>0</v>
      </c>
      <c r="F1139" s="8">
        <f t="shared" si="35"/>
        <v>0</v>
      </c>
    </row>
    <row r="1140" spans="1:6" x14ac:dyDescent="0.2">
      <c r="A1140">
        <v>14</v>
      </c>
      <c r="B1140" t="s">
        <v>1126</v>
      </c>
      <c r="C1140" t="s">
        <v>1112</v>
      </c>
      <c r="D1140" s="8">
        <v>6.6757335384420646E-6</v>
      </c>
      <c r="E1140" s="6">
        <f t="shared" si="34"/>
        <v>0</v>
      </c>
      <c r="F1140" s="8">
        <f t="shared" si="35"/>
        <v>0</v>
      </c>
    </row>
    <row r="1141" spans="1:6" x14ac:dyDescent="0.2">
      <c r="A1141">
        <v>14</v>
      </c>
      <c r="B1141" t="s">
        <v>1126</v>
      </c>
      <c r="C1141" t="s">
        <v>1058</v>
      </c>
      <c r="D1141" s="8">
        <v>3.7185334729480002E-4</v>
      </c>
      <c r="E1141" s="6">
        <f t="shared" si="34"/>
        <v>-0.5</v>
      </c>
      <c r="F1141" s="8">
        <f t="shared" si="35"/>
        <v>-1.8592667364740001E-4</v>
      </c>
    </row>
    <row r="1142" spans="1:6" x14ac:dyDescent="0.2">
      <c r="A1142">
        <v>14</v>
      </c>
      <c r="B1142" t="s">
        <v>1126</v>
      </c>
      <c r="C1142" t="s">
        <v>1059</v>
      </c>
      <c r="D1142" s="8">
        <v>1.06111860915511E-2</v>
      </c>
      <c r="E1142" s="6">
        <f t="shared" si="34"/>
        <v>-0.10000000000000009</v>
      </c>
      <c r="F1142" s="8">
        <f t="shared" si="35"/>
        <v>-1.0611186091551109E-3</v>
      </c>
    </row>
    <row r="1143" spans="1:6" x14ac:dyDescent="0.2">
      <c r="A1143">
        <v>14</v>
      </c>
      <c r="B1143" t="s">
        <v>1126</v>
      </c>
      <c r="C1143" t="s">
        <v>1061</v>
      </c>
      <c r="D1143" s="8">
        <v>5.2306950971663523E-6</v>
      </c>
      <c r="E1143" s="6">
        <f t="shared" si="34"/>
        <v>0.25499999999999989</v>
      </c>
      <c r="F1143" s="8">
        <f t="shared" si="35"/>
        <v>1.3338272497774192E-6</v>
      </c>
    </row>
    <row r="1144" spans="1:6" x14ac:dyDescent="0.2">
      <c r="A1144">
        <v>14</v>
      </c>
      <c r="B1144" t="s">
        <v>1126</v>
      </c>
      <c r="C1144" t="s">
        <v>1062</v>
      </c>
      <c r="D1144" s="8">
        <v>1.2926604088636E-3</v>
      </c>
      <c r="E1144" s="6">
        <f t="shared" si="34"/>
        <v>0.89999999999999947</v>
      </c>
      <c r="F1144" s="8">
        <f t="shared" si="35"/>
        <v>1.1633943679772393E-3</v>
      </c>
    </row>
    <row r="1145" spans="1:6" x14ac:dyDescent="0.2">
      <c r="A1145">
        <v>14</v>
      </c>
      <c r="B1145" t="s">
        <v>1126</v>
      </c>
      <c r="C1145" t="s">
        <v>1063</v>
      </c>
      <c r="D1145" s="8">
        <v>8.5874692545049629E-6</v>
      </c>
      <c r="E1145" s="6">
        <f t="shared" si="34"/>
        <v>-4.1000000000000369E-2</v>
      </c>
      <c r="F1145" s="8">
        <f t="shared" si="35"/>
        <v>-3.5208623943470667E-7</v>
      </c>
    </row>
    <row r="1146" spans="1:6" x14ac:dyDescent="0.2">
      <c r="A1146">
        <v>14</v>
      </c>
      <c r="B1146" t="s">
        <v>1126</v>
      </c>
      <c r="C1146" t="s">
        <v>1064</v>
      </c>
      <c r="D1146" s="8">
        <v>1.410352273255379E-5</v>
      </c>
      <c r="E1146" s="6">
        <f t="shared" si="34"/>
        <v>-0.29400000000000004</v>
      </c>
      <c r="F1146" s="8">
        <f t="shared" si="35"/>
        <v>-4.1464356833708147E-6</v>
      </c>
    </row>
    <row r="1147" spans="1:6" x14ac:dyDescent="0.2">
      <c r="A1147">
        <v>14</v>
      </c>
      <c r="B1147" t="s">
        <v>1126</v>
      </c>
      <c r="C1147" t="s">
        <v>1065</v>
      </c>
      <c r="D1147" s="8">
        <v>1.5081124937690001E-4</v>
      </c>
      <c r="E1147" s="6">
        <f t="shared" si="34"/>
        <v>0.68300000000000005</v>
      </c>
      <c r="F1147" s="8">
        <f t="shared" si="35"/>
        <v>1.0300408332442271E-4</v>
      </c>
    </row>
    <row r="1148" spans="1:6" x14ac:dyDescent="0.2">
      <c r="A1148">
        <v>14</v>
      </c>
      <c r="B1148" t="s">
        <v>1126</v>
      </c>
      <c r="C1148" t="s">
        <v>1066</v>
      </c>
      <c r="D1148" s="8">
        <v>7.5012700465759002E-3</v>
      </c>
      <c r="E1148" s="6">
        <f t="shared" si="34"/>
        <v>0.20900000000000007</v>
      </c>
      <c r="F1148" s="8">
        <f t="shared" si="35"/>
        <v>1.5677654397343638E-3</v>
      </c>
    </row>
    <row r="1149" spans="1:6" x14ac:dyDescent="0.2">
      <c r="A1149">
        <v>14</v>
      </c>
      <c r="B1149" t="s">
        <v>1126</v>
      </c>
      <c r="C1149" t="s">
        <v>1067</v>
      </c>
      <c r="D1149" s="8">
        <v>3.7678866570349718E-7</v>
      </c>
      <c r="E1149" s="6">
        <f t="shared" si="34"/>
        <v>0.17700000000000005</v>
      </c>
      <c r="F1149" s="8">
        <f t="shared" si="35"/>
        <v>6.6691593829519024E-8</v>
      </c>
    </row>
    <row r="1150" spans="1:6" x14ac:dyDescent="0.2">
      <c r="A1150">
        <v>14</v>
      </c>
      <c r="B1150" t="s">
        <v>1126</v>
      </c>
      <c r="C1150" t="s">
        <v>1106</v>
      </c>
      <c r="D1150" s="8">
        <v>2.4312556067222998E-3</v>
      </c>
      <c r="E1150" s="6">
        <f t="shared" ref="E1150:E1213" si="36">IFERROR(VLOOKUP(C1150,$A$6:$D$185,4,FALSE),0)</f>
        <v>0</v>
      </c>
      <c r="F1150" s="8">
        <f t="shared" ref="F1150:F1213" si="37">D1150*E1150</f>
        <v>0</v>
      </c>
    </row>
    <row r="1151" spans="1:6" x14ac:dyDescent="0.2">
      <c r="A1151">
        <v>14</v>
      </c>
      <c r="B1151" t="s">
        <v>1126</v>
      </c>
      <c r="C1151" t="s">
        <v>1069</v>
      </c>
      <c r="D1151" s="8">
        <v>1.4521362570840169E-5</v>
      </c>
      <c r="E1151" s="6">
        <f t="shared" si="36"/>
        <v>-0.13199999999999967</v>
      </c>
      <c r="F1151" s="8">
        <f t="shared" si="37"/>
        <v>-1.9168198593508975E-6</v>
      </c>
    </row>
    <row r="1152" spans="1:6" x14ac:dyDescent="0.2">
      <c r="A1152">
        <v>14</v>
      </c>
      <c r="B1152" t="s">
        <v>1126</v>
      </c>
      <c r="C1152" t="s">
        <v>1070</v>
      </c>
      <c r="D1152" s="8">
        <v>7.8233698386084933E-5</v>
      </c>
      <c r="E1152" s="6">
        <f t="shared" si="36"/>
        <v>-2.5</v>
      </c>
      <c r="F1152" s="8">
        <f t="shared" si="37"/>
        <v>-1.9558424596521234E-4</v>
      </c>
    </row>
    <row r="1153" spans="1:6" x14ac:dyDescent="0.2">
      <c r="A1153">
        <v>14</v>
      </c>
      <c r="B1153" t="s">
        <v>1126</v>
      </c>
      <c r="C1153" t="s">
        <v>1071</v>
      </c>
      <c r="D1153" s="8">
        <v>4.9977001333549999E-4</v>
      </c>
      <c r="E1153" s="6">
        <f t="shared" si="36"/>
        <v>-0.8</v>
      </c>
      <c r="F1153" s="8">
        <f t="shared" si="37"/>
        <v>-3.9981601066840002E-4</v>
      </c>
    </row>
    <row r="1154" spans="1:6" x14ac:dyDescent="0.2">
      <c r="A1154">
        <v>14</v>
      </c>
      <c r="B1154" t="s">
        <v>1126</v>
      </c>
      <c r="C1154" t="s">
        <v>1072</v>
      </c>
      <c r="D1154" s="8">
        <v>0.4458637785378104</v>
      </c>
      <c r="E1154" s="6">
        <f t="shared" si="36"/>
        <v>0.55599999999999983</v>
      </c>
      <c r="F1154" s="8">
        <f t="shared" si="37"/>
        <v>0.24790026086702249</v>
      </c>
    </row>
    <row r="1155" spans="1:6" x14ac:dyDescent="0.2">
      <c r="A1155">
        <v>14</v>
      </c>
      <c r="B1155" t="s">
        <v>1126</v>
      </c>
      <c r="C1155" t="s">
        <v>1073</v>
      </c>
      <c r="D1155" s="8">
        <v>3.7409872681181761E-5</v>
      </c>
      <c r="E1155" s="6">
        <f t="shared" si="36"/>
        <v>0.69200000000000017</v>
      </c>
      <c r="F1155" s="8">
        <f t="shared" si="37"/>
        <v>2.5887631895377784E-5</v>
      </c>
    </row>
    <row r="1156" spans="1:6" x14ac:dyDescent="0.2">
      <c r="A1156">
        <v>14</v>
      </c>
      <c r="B1156" t="s">
        <v>1126</v>
      </c>
      <c r="C1156" t="s">
        <v>1132</v>
      </c>
      <c r="D1156" s="8">
        <v>6.9420227113895741E-8</v>
      </c>
      <c r="E1156" s="6">
        <f t="shared" si="36"/>
        <v>0</v>
      </c>
      <c r="F1156" s="8">
        <f t="shared" si="37"/>
        <v>0</v>
      </c>
    </row>
    <row r="1157" spans="1:6" x14ac:dyDescent="0.2">
      <c r="A1157">
        <v>14</v>
      </c>
      <c r="B1157" t="s">
        <v>1126</v>
      </c>
      <c r="C1157" t="s">
        <v>1074</v>
      </c>
      <c r="D1157" s="8">
        <v>2.9297978658639998E-4</v>
      </c>
      <c r="E1157" s="6">
        <f t="shared" si="36"/>
        <v>9.5</v>
      </c>
      <c r="F1157" s="8">
        <f t="shared" si="37"/>
        <v>2.7833079725708E-3</v>
      </c>
    </row>
    <row r="1158" spans="1:6" x14ac:dyDescent="0.2">
      <c r="A1158">
        <v>14</v>
      </c>
      <c r="B1158" t="s">
        <v>1126</v>
      </c>
      <c r="C1158" t="s">
        <v>1107</v>
      </c>
      <c r="D1158" s="8">
        <v>2.2977379560961599E-6</v>
      </c>
      <c r="E1158" s="6">
        <f t="shared" si="36"/>
        <v>0</v>
      </c>
      <c r="F1158" s="8">
        <f t="shared" si="37"/>
        <v>0</v>
      </c>
    </row>
    <row r="1159" spans="1:6" x14ac:dyDescent="0.2">
      <c r="A1159">
        <v>14</v>
      </c>
      <c r="B1159" t="s">
        <v>1126</v>
      </c>
      <c r="C1159" t="s">
        <v>1075</v>
      </c>
      <c r="D1159" s="8">
        <v>1.7080683638586201E-2</v>
      </c>
      <c r="E1159" s="6">
        <f t="shared" si="36"/>
        <v>3.0529999999999999</v>
      </c>
      <c r="F1159" s="8">
        <f t="shared" si="37"/>
        <v>5.2147327148603671E-2</v>
      </c>
    </row>
    <row r="1160" spans="1:6" x14ac:dyDescent="0.2">
      <c r="A1160">
        <v>14</v>
      </c>
      <c r="B1160" t="s">
        <v>1126</v>
      </c>
      <c r="C1160" t="s">
        <v>1076</v>
      </c>
      <c r="D1160" s="8">
        <v>3.7336843065413782E-5</v>
      </c>
      <c r="E1160" s="6">
        <f t="shared" si="36"/>
        <v>1.4060000000000001</v>
      </c>
      <c r="F1160" s="8">
        <f t="shared" si="37"/>
        <v>5.2495601349971783E-5</v>
      </c>
    </row>
    <row r="1161" spans="1:6" x14ac:dyDescent="0.2">
      <c r="A1161">
        <v>14</v>
      </c>
      <c r="B1161" t="s">
        <v>1126</v>
      </c>
      <c r="C1161" t="s">
        <v>1133</v>
      </c>
      <c r="D1161" s="8">
        <v>4.4128634346339354E-6</v>
      </c>
      <c r="E1161" s="6">
        <f t="shared" si="36"/>
        <v>0</v>
      </c>
      <c r="F1161" s="8">
        <f t="shared" si="37"/>
        <v>0</v>
      </c>
    </row>
    <row r="1162" spans="1:6" x14ac:dyDescent="0.2">
      <c r="A1162">
        <v>14</v>
      </c>
      <c r="B1162" t="s">
        <v>1126</v>
      </c>
      <c r="C1162" t="s">
        <v>1077</v>
      </c>
      <c r="D1162" s="8">
        <v>1.435877636340944E-5</v>
      </c>
      <c r="E1162" s="6">
        <f t="shared" si="36"/>
        <v>0.63200000000000012</v>
      </c>
      <c r="F1162" s="8">
        <f t="shared" si="37"/>
        <v>9.0747466616747679E-6</v>
      </c>
    </row>
    <row r="1163" spans="1:6" x14ac:dyDescent="0.2">
      <c r="A1163">
        <v>14</v>
      </c>
      <c r="B1163" t="s">
        <v>1126</v>
      </c>
      <c r="C1163" t="s">
        <v>1078</v>
      </c>
      <c r="D1163" s="8">
        <v>1.0053350458405E-3</v>
      </c>
      <c r="E1163" s="6">
        <f t="shared" si="36"/>
        <v>0.5</v>
      </c>
      <c r="F1163" s="8">
        <f t="shared" si="37"/>
        <v>5.0266752292025001E-4</v>
      </c>
    </row>
    <row r="1164" spans="1:6" x14ac:dyDescent="0.2">
      <c r="A1164">
        <v>14</v>
      </c>
      <c r="B1164" t="s">
        <v>1126</v>
      </c>
      <c r="C1164" t="s">
        <v>1079</v>
      </c>
      <c r="D1164" s="8">
        <v>2.1950320794970001E-3</v>
      </c>
      <c r="E1164" s="6">
        <f t="shared" si="36"/>
        <v>-0.28899999999999992</v>
      </c>
      <c r="F1164" s="8">
        <f t="shared" si="37"/>
        <v>-6.3436427097463281E-4</v>
      </c>
    </row>
    <row r="1165" spans="1:6" x14ac:dyDescent="0.2">
      <c r="A1165">
        <v>14</v>
      </c>
      <c r="B1165" t="s">
        <v>1126</v>
      </c>
      <c r="C1165" t="s">
        <v>1081</v>
      </c>
      <c r="D1165" s="8">
        <v>2.7177790753893111E-5</v>
      </c>
      <c r="E1165" s="6">
        <f t="shared" si="36"/>
        <v>0.36000000000000032</v>
      </c>
      <c r="F1165" s="8">
        <f t="shared" si="37"/>
        <v>9.7840046714015287E-6</v>
      </c>
    </row>
    <row r="1166" spans="1:6" x14ac:dyDescent="0.2">
      <c r="A1166">
        <v>15</v>
      </c>
      <c r="B1166" t="s">
        <v>1134</v>
      </c>
      <c r="C1166" t="s">
        <v>903</v>
      </c>
      <c r="D1166" s="8">
        <v>3.8417951020735271E-6</v>
      </c>
      <c r="E1166" s="6">
        <f t="shared" si="36"/>
        <v>0.22399999999999975</v>
      </c>
      <c r="F1166" s="8">
        <f t="shared" si="37"/>
        <v>8.6056210286446915E-7</v>
      </c>
    </row>
    <row r="1167" spans="1:6" x14ac:dyDescent="0.2">
      <c r="A1167">
        <v>15</v>
      </c>
      <c r="B1167" t="s">
        <v>1134</v>
      </c>
      <c r="C1167" t="s">
        <v>1127</v>
      </c>
      <c r="D1167" s="8">
        <v>1.7456092853041399E-8</v>
      </c>
      <c r="E1167" s="6">
        <f t="shared" si="36"/>
        <v>0</v>
      </c>
      <c r="F1167" s="8">
        <f t="shared" si="37"/>
        <v>0</v>
      </c>
    </row>
    <row r="1168" spans="1:6" x14ac:dyDescent="0.2">
      <c r="A1168">
        <v>15</v>
      </c>
      <c r="B1168" t="s">
        <v>1134</v>
      </c>
      <c r="C1168" t="s">
        <v>904</v>
      </c>
      <c r="D1168" s="8">
        <v>1.193212549400921E-7</v>
      </c>
      <c r="E1168" s="6">
        <f t="shared" si="36"/>
        <v>-6.800000000000006E-2</v>
      </c>
      <c r="F1168" s="8">
        <f t="shared" si="37"/>
        <v>-8.1138453359262699E-9</v>
      </c>
    </row>
    <row r="1169" spans="1:6" x14ac:dyDescent="0.2">
      <c r="A1169">
        <v>15</v>
      </c>
      <c r="B1169" t="s">
        <v>1134</v>
      </c>
      <c r="C1169" t="s">
        <v>905</v>
      </c>
      <c r="D1169" s="8">
        <v>3.6961927736412872E-6</v>
      </c>
      <c r="E1169" s="6">
        <f t="shared" si="36"/>
        <v>0.5</v>
      </c>
      <c r="F1169" s="8">
        <f t="shared" si="37"/>
        <v>1.8480963868206436E-6</v>
      </c>
    </row>
    <row r="1170" spans="1:6" x14ac:dyDescent="0.2">
      <c r="A1170">
        <v>15</v>
      </c>
      <c r="B1170" t="s">
        <v>1134</v>
      </c>
      <c r="C1170" t="s">
        <v>906</v>
      </c>
      <c r="D1170" s="8">
        <v>1.5825305700413801E-2</v>
      </c>
      <c r="E1170" s="6">
        <f t="shared" si="36"/>
        <v>-1.8859999999999997</v>
      </c>
      <c r="F1170" s="8">
        <f t="shared" si="37"/>
        <v>-2.9846526550980423E-2</v>
      </c>
    </row>
    <row r="1171" spans="1:6" x14ac:dyDescent="0.2">
      <c r="A1171">
        <v>15</v>
      </c>
      <c r="B1171" t="s">
        <v>1134</v>
      </c>
      <c r="C1171" t="s">
        <v>907</v>
      </c>
      <c r="D1171" s="8">
        <v>5.5002506122931996E-3</v>
      </c>
      <c r="E1171" s="6">
        <f t="shared" si="36"/>
        <v>-1.0199999999999996</v>
      </c>
      <c r="F1171" s="8">
        <f t="shared" si="37"/>
        <v>-5.6102556245390608E-3</v>
      </c>
    </row>
    <row r="1172" spans="1:6" x14ac:dyDescent="0.2">
      <c r="A1172">
        <v>15</v>
      </c>
      <c r="B1172" t="s">
        <v>1134</v>
      </c>
      <c r="C1172" t="s">
        <v>908</v>
      </c>
      <c r="D1172" s="8">
        <v>3.2660085241785098E-6</v>
      </c>
      <c r="E1172" s="6">
        <f t="shared" si="36"/>
        <v>0.79999999999999982</v>
      </c>
      <c r="F1172" s="8">
        <f t="shared" si="37"/>
        <v>2.6128068193428074E-6</v>
      </c>
    </row>
    <row r="1173" spans="1:6" x14ac:dyDescent="0.2">
      <c r="A1173">
        <v>15</v>
      </c>
      <c r="B1173" t="s">
        <v>1134</v>
      </c>
      <c r="C1173" t="s">
        <v>1114</v>
      </c>
      <c r="D1173" s="8">
        <v>2.3142547343047299E-9</v>
      </c>
      <c r="E1173" s="6">
        <f t="shared" si="36"/>
        <v>0</v>
      </c>
      <c r="F1173" s="8">
        <f t="shared" si="37"/>
        <v>0</v>
      </c>
    </row>
    <row r="1174" spans="1:6" x14ac:dyDescent="0.2">
      <c r="A1174">
        <v>15</v>
      </c>
      <c r="B1174" t="s">
        <v>1134</v>
      </c>
      <c r="C1174" t="s">
        <v>909</v>
      </c>
      <c r="D1174" s="8">
        <v>1.719425146024577E-8</v>
      </c>
      <c r="E1174" s="6">
        <f t="shared" si="36"/>
        <v>5.9000000000000163E-2</v>
      </c>
      <c r="F1174" s="8">
        <f t="shared" si="37"/>
        <v>1.0144608361545031E-9</v>
      </c>
    </row>
    <row r="1175" spans="1:6" x14ac:dyDescent="0.2">
      <c r="A1175">
        <v>15</v>
      </c>
      <c r="B1175" t="s">
        <v>1134</v>
      </c>
      <c r="C1175" t="s">
        <v>910</v>
      </c>
      <c r="D1175" s="8">
        <v>2.27966232930269E-2</v>
      </c>
      <c r="E1175" s="6">
        <f t="shared" si="36"/>
        <v>-7.7999999999999847E-2</v>
      </c>
      <c r="F1175" s="8">
        <f t="shared" si="37"/>
        <v>-1.7781366168560947E-3</v>
      </c>
    </row>
    <row r="1176" spans="1:6" x14ac:dyDescent="0.2">
      <c r="A1176">
        <v>15</v>
      </c>
      <c r="B1176" t="s">
        <v>1134</v>
      </c>
      <c r="C1176" t="s">
        <v>911</v>
      </c>
      <c r="D1176" s="8">
        <v>1.4329522110836999E-3</v>
      </c>
      <c r="E1176" s="6">
        <f t="shared" si="36"/>
        <v>-7.5000000000000067E-2</v>
      </c>
      <c r="F1176" s="8">
        <f t="shared" si="37"/>
        <v>-1.0747141583127759E-4</v>
      </c>
    </row>
    <row r="1177" spans="1:6" x14ac:dyDescent="0.2">
      <c r="A1177">
        <v>15</v>
      </c>
      <c r="B1177" t="s">
        <v>1134</v>
      </c>
      <c r="C1177" t="s">
        <v>912</v>
      </c>
      <c r="D1177" s="8">
        <v>3.9672938302366809E-9</v>
      </c>
      <c r="E1177" s="6">
        <f t="shared" si="36"/>
        <v>-0.29800000000000004</v>
      </c>
      <c r="F1177" s="8">
        <f t="shared" si="37"/>
        <v>-1.182253561410531E-9</v>
      </c>
    </row>
    <row r="1178" spans="1:6" x14ac:dyDescent="0.2">
      <c r="A1178">
        <v>15</v>
      </c>
      <c r="B1178" t="s">
        <v>1134</v>
      </c>
      <c r="C1178" t="s">
        <v>914</v>
      </c>
      <c r="D1178" s="8">
        <v>9.9054450048463194E-2</v>
      </c>
      <c r="E1178" s="6">
        <f t="shared" si="36"/>
        <v>-0.26900000000000002</v>
      </c>
      <c r="F1178" s="8">
        <f t="shared" si="37"/>
        <v>-2.6645647063036602E-2</v>
      </c>
    </row>
    <row r="1179" spans="1:6" x14ac:dyDescent="0.2">
      <c r="A1179">
        <v>15</v>
      </c>
      <c r="B1179" t="s">
        <v>1134</v>
      </c>
      <c r="C1179" t="s">
        <v>916</v>
      </c>
      <c r="D1179" s="8">
        <v>4.8351393556009549E-6</v>
      </c>
      <c r="E1179" s="6">
        <f t="shared" si="36"/>
        <v>0.37200000000000077</v>
      </c>
      <c r="F1179" s="8">
        <f t="shared" si="37"/>
        <v>1.7986718402835591E-6</v>
      </c>
    </row>
    <row r="1180" spans="1:6" x14ac:dyDescent="0.2">
      <c r="A1180">
        <v>15</v>
      </c>
      <c r="B1180" t="s">
        <v>1134</v>
      </c>
      <c r="C1180" t="s">
        <v>917</v>
      </c>
      <c r="D1180" s="8">
        <v>1.042316237632E-4</v>
      </c>
      <c r="E1180" s="6">
        <f t="shared" si="36"/>
        <v>-1.83</v>
      </c>
      <c r="F1180" s="8">
        <f t="shared" si="37"/>
        <v>-1.9074387148665601E-4</v>
      </c>
    </row>
    <row r="1181" spans="1:6" x14ac:dyDescent="0.2">
      <c r="A1181">
        <v>15</v>
      </c>
      <c r="B1181" t="s">
        <v>1134</v>
      </c>
      <c r="C1181" t="s">
        <v>918</v>
      </c>
      <c r="D1181" s="8">
        <v>5.5881401881400482E-5</v>
      </c>
      <c r="E1181" s="6">
        <f t="shared" si="36"/>
        <v>0.1469999999999998</v>
      </c>
      <c r="F1181" s="8">
        <f t="shared" si="37"/>
        <v>8.2145660765658589E-6</v>
      </c>
    </row>
    <row r="1182" spans="1:6" x14ac:dyDescent="0.2">
      <c r="A1182">
        <v>15</v>
      </c>
      <c r="B1182" t="s">
        <v>1134</v>
      </c>
      <c r="C1182" t="s">
        <v>919</v>
      </c>
      <c r="D1182" s="8">
        <v>3.1547735397663341E-6</v>
      </c>
      <c r="E1182" s="6">
        <f t="shared" si="36"/>
        <v>-3.4940000000000002</v>
      </c>
      <c r="F1182" s="8">
        <f t="shared" si="37"/>
        <v>-1.1022778747943573E-5</v>
      </c>
    </row>
    <row r="1183" spans="1:6" x14ac:dyDescent="0.2">
      <c r="A1183">
        <v>15</v>
      </c>
      <c r="B1183" t="s">
        <v>1134</v>
      </c>
      <c r="C1183" t="s">
        <v>920</v>
      </c>
      <c r="D1183" s="8">
        <v>1.0474449170590881E-6</v>
      </c>
      <c r="E1183" s="6">
        <f t="shared" si="36"/>
        <v>0.40000000000000013</v>
      </c>
      <c r="F1183" s="8">
        <f t="shared" si="37"/>
        <v>4.1897796682363535E-7</v>
      </c>
    </row>
    <row r="1184" spans="1:6" x14ac:dyDescent="0.2">
      <c r="A1184">
        <v>15</v>
      </c>
      <c r="B1184" t="s">
        <v>1134</v>
      </c>
      <c r="C1184" t="s">
        <v>922</v>
      </c>
      <c r="D1184" s="8">
        <v>2.546605909628926E-7</v>
      </c>
      <c r="E1184" s="6">
        <f t="shared" si="36"/>
        <v>-0.78400000000000003</v>
      </c>
      <c r="F1184" s="8">
        <f t="shared" si="37"/>
        <v>-1.9965390331490781E-7</v>
      </c>
    </row>
    <row r="1185" spans="1:6" x14ac:dyDescent="0.2">
      <c r="A1185">
        <v>15</v>
      </c>
      <c r="B1185" t="s">
        <v>1134</v>
      </c>
      <c r="C1185" t="s">
        <v>1129</v>
      </c>
      <c r="D1185" s="8">
        <v>1.8334848436438819E-7</v>
      </c>
      <c r="E1185" s="6">
        <f t="shared" si="36"/>
        <v>0</v>
      </c>
      <c r="F1185" s="8">
        <f t="shared" si="37"/>
        <v>0</v>
      </c>
    </row>
    <row r="1186" spans="1:6" x14ac:dyDescent="0.2">
      <c r="A1186">
        <v>15</v>
      </c>
      <c r="B1186" t="s">
        <v>1134</v>
      </c>
      <c r="C1186" t="s">
        <v>1115</v>
      </c>
      <c r="D1186" s="8">
        <v>4.486497012121075E-5</v>
      </c>
      <c r="E1186" s="6">
        <f t="shared" si="36"/>
        <v>0</v>
      </c>
      <c r="F1186" s="8">
        <f t="shared" si="37"/>
        <v>0</v>
      </c>
    </row>
    <row r="1187" spans="1:6" x14ac:dyDescent="0.2">
      <c r="A1187">
        <v>15</v>
      </c>
      <c r="B1187" t="s">
        <v>1134</v>
      </c>
      <c r="C1187" t="s">
        <v>924</v>
      </c>
      <c r="D1187" s="8">
        <v>9.8135949272952997E-3</v>
      </c>
      <c r="E1187" s="6">
        <f t="shared" si="36"/>
        <v>-8.4000000000000075E-2</v>
      </c>
      <c r="F1187" s="8">
        <f t="shared" si="37"/>
        <v>-8.2434197389280595E-4</v>
      </c>
    </row>
    <row r="1188" spans="1:6" x14ac:dyDescent="0.2">
      <c r="A1188">
        <v>15</v>
      </c>
      <c r="B1188" t="s">
        <v>1134</v>
      </c>
      <c r="C1188" t="s">
        <v>925</v>
      </c>
      <c r="D1188" s="8">
        <v>7.3527178987053162E-8</v>
      </c>
      <c r="E1188" s="6">
        <f t="shared" si="36"/>
        <v>0.20000000000000018</v>
      </c>
      <c r="F1188" s="8">
        <f t="shared" si="37"/>
        <v>1.4705435797410645E-8</v>
      </c>
    </row>
    <row r="1189" spans="1:6" x14ac:dyDescent="0.2">
      <c r="A1189">
        <v>15</v>
      </c>
      <c r="B1189" t="s">
        <v>1134</v>
      </c>
      <c r="C1189" t="s">
        <v>926</v>
      </c>
      <c r="D1189" s="8">
        <v>2.9680365368442898E-5</v>
      </c>
      <c r="E1189" s="6">
        <f t="shared" si="36"/>
        <v>-4.8000000000000043E-2</v>
      </c>
      <c r="F1189" s="8">
        <f t="shared" si="37"/>
        <v>-1.4246575376852604E-6</v>
      </c>
    </row>
    <row r="1190" spans="1:6" x14ac:dyDescent="0.2">
      <c r="A1190">
        <v>15</v>
      </c>
      <c r="B1190" t="s">
        <v>1134</v>
      </c>
      <c r="C1190" t="s">
        <v>928</v>
      </c>
      <c r="D1190" s="8">
        <v>7.0895540746329484E-9</v>
      </c>
      <c r="E1190" s="6">
        <f t="shared" si="36"/>
        <v>2.423</v>
      </c>
      <c r="F1190" s="8">
        <f t="shared" si="37"/>
        <v>1.7177989522835633E-8</v>
      </c>
    </row>
    <row r="1191" spans="1:6" x14ac:dyDescent="0.2">
      <c r="A1191">
        <v>15</v>
      </c>
      <c r="B1191" t="s">
        <v>1134</v>
      </c>
      <c r="C1191" t="s">
        <v>929</v>
      </c>
      <c r="D1191" s="8">
        <v>1.45802544527539E-6</v>
      </c>
      <c r="E1191" s="6">
        <f t="shared" si="36"/>
        <v>-0.54599999999999982</v>
      </c>
      <c r="F1191" s="8">
        <f t="shared" si="37"/>
        <v>-7.960818931203627E-7</v>
      </c>
    </row>
    <row r="1192" spans="1:6" x14ac:dyDescent="0.2">
      <c r="A1192">
        <v>15</v>
      </c>
      <c r="B1192" t="s">
        <v>1134</v>
      </c>
      <c r="C1192" t="s">
        <v>930</v>
      </c>
      <c r="D1192" s="8">
        <v>2.0043543911462E-2</v>
      </c>
      <c r="E1192" s="6">
        <f t="shared" si="36"/>
        <v>-5.8000000000000052E-2</v>
      </c>
      <c r="F1192" s="8">
        <f t="shared" si="37"/>
        <v>-1.1625255468647971E-3</v>
      </c>
    </row>
    <row r="1193" spans="1:6" x14ac:dyDescent="0.2">
      <c r="A1193">
        <v>15</v>
      </c>
      <c r="B1193" t="s">
        <v>1134</v>
      </c>
      <c r="C1193" t="s">
        <v>931</v>
      </c>
      <c r="D1193" s="8">
        <v>6.9845142813779995E-4</v>
      </c>
      <c r="E1193" s="6">
        <f t="shared" si="36"/>
        <v>-0.31099999999999994</v>
      </c>
      <c r="F1193" s="8">
        <f t="shared" si="37"/>
        <v>-2.1721839415085573E-4</v>
      </c>
    </row>
    <row r="1194" spans="1:6" x14ac:dyDescent="0.2">
      <c r="A1194">
        <v>15</v>
      </c>
      <c r="B1194" t="s">
        <v>1134</v>
      </c>
      <c r="C1194" t="s">
        <v>932</v>
      </c>
      <c r="D1194" s="8">
        <v>5.7401215923275004E-3</v>
      </c>
      <c r="E1194" s="6">
        <f t="shared" si="36"/>
        <v>0.21799999999999997</v>
      </c>
      <c r="F1194" s="8">
        <f t="shared" si="37"/>
        <v>1.251346507127395E-3</v>
      </c>
    </row>
    <row r="1195" spans="1:6" x14ac:dyDescent="0.2">
      <c r="A1195">
        <v>15</v>
      </c>
      <c r="B1195" t="s">
        <v>1134</v>
      </c>
      <c r="C1195" t="s">
        <v>933</v>
      </c>
      <c r="D1195" s="8">
        <v>9.8243511482998605E-2</v>
      </c>
      <c r="E1195" s="6">
        <f t="shared" si="36"/>
        <v>0.4430000000000005</v>
      </c>
      <c r="F1195" s="8">
        <f t="shared" si="37"/>
        <v>4.3521875586968434E-2</v>
      </c>
    </row>
    <row r="1196" spans="1:6" x14ac:dyDescent="0.2">
      <c r="A1196">
        <v>15</v>
      </c>
      <c r="B1196" t="s">
        <v>1134</v>
      </c>
      <c r="C1196" t="s">
        <v>934</v>
      </c>
      <c r="D1196" s="8">
        <v>1.130017525979081E-8</v>
      </c>
      <c r="E1196" s="6">
        <f t="shared" si="36"/>
        <v>-0.20000000000000018</v>
      </c>
      <c r="F1196" s="8">
        <f t="shared" si="37"/>
        <v>-2.260035051958164E-9</v>
      </c>
    </row>
    <row r="1197" spans="1:6" x14ac:dyDescent="0.2">
      <c r="A1197">
        <v>15</v>
      </c>
      <c r="B1197" t="s">
        <v>1134</v>
      </c>
      <c r="C1197" t="s">
        <v>935</v>
      </c>
      <c r="D1197" s="8">
        <v>1.533226822258803E-7</v>
      </c>
      <c r="E1197" s="6">
        <f t="shared" si="36"/>
        <v>-0.71799999999999997</v>
      </c>
      <c r="F1197" s="8">
        <f t="shared" si="37"/>
        <v>-1.1008568583818205E-7</v>
      </c>
    </row>
    <row r="1198" spans="1:6" x14ac:dyDescent="0.2">
      <c r="A1198">
        <v>15</v>
      </c>
      <c r="B1198" t="s">
        <v>1134</v>
      </c>
      <c r="C1198" t="s">
        <v>936</v>
      </c>
      <c r="D1198" s="8">
        <v>1.4993725815741159E-6</v>
      </c>
      <c r="E1198" s="6">
        <f t="shared" si="36"/>
        <v>0.72900000000000009</v>
      </c>
      <c r="F1198" s="8">
        <f t="shared" si="37"/>
        <v>1.0930426119675306E-6</v>
      </c>
    </row>
    <row r="1199" spans="1:6" x14ac:dyDescent="0.2">
      <c r="A1199">
        <v>15</v>
      </c>
      <c r="B1199" t="s">
        <v>1134</v>
      </c>
      <c r="C1199" t="s">
        <v>937</v>
      </c>
      <c r="D1199" s="8">
        <v>1.031496395861537E-7</v>
      </c>
      <c r="E1199" s="6">
        <f t="shared" si="36"/>
        <v>-0.3660000000000001</v>
      </c>
      <c r="F1199" s="8">
        <f t="shared" si="37"/>
        <v>-3.7752768088532267E-8</v>
      </c>
    </row>
    <row r="1200" spans="1:6" x14ac:dyDescent="0.2">
      <c r="A1200">
        <v>15</v>
      </c>
      <c r="B1200" t="s">
        <v>1134</v>
      </c>
      <c r="C1200" t="s">
        <v>1102</v>
      </c>
      <c r="D1200" s="8">
        <v>9.457605313275688E-7</v>
      </c>
      <c r="E1200" s="6">
        <f t="shared" si="36"/>
        <v>0</v>
      </c>
      <c r="F1200" s="8">
        <f t="shared" si="37"/>
        <v>0</v>
      </c>
    </row>
    <row r="1201" spans="1:6" x14ac:dyDescent="0.2">
      <c r="A1201">
        <v>15</v>
      </c>
      <c r="B1201" t="s">
        <v>1134</v>
      </c>
      <c r="C1201" t="s">
        <v>938</v>
      </c>
      <c r="D1201" s="8">
        <v>2.7603531476715001E-3</v>
      </c>
      <c r="E1201" s="6">
        <f t="shared" si="36"/>
        <v>-0.32500000000000018</v>
      </c>
      <c r="F1201" s="8">
        <f t="shared" si="37"/>
        <v>-8.9711477299323807E-4</v>
      </c>
    </row>
    <row r="1202" spans="1:6" x14ac:dyDescent="0.2">
      <c r="A1202">
        <v>15</v>
      </c>
      <c r="B1202" t="s">
        <v>1134</v>
      </c>
      <c r="C1202" t="s">
        <v>941</v>
      </c>
      <c r="D1202" s="8">
        <v>5.6318497156715527E-5</v>
      </c>
      <c r="E1202" s="6">
        <f t="shared" si="36"/>
        <v>0.16599999999999993</v>
      </c>
      <c r="F1202" s="8">
        <f t="shared" si="37"/>
        <v>9.3488705280147733E-6</v>
      </c>
    </row>
    <row r="1203" spans="1:6" x14ac:dyDescent="0.2">
      <c r="A1203">
        <v>15</v>
      </c>
      <c r="B1203" t="s">
        <v>1134</v>
      </c>
      <c r="C1203" t="s">
        <v>1116</v>
      </c>
      <c r="D1203" s="8">
        <v>6.9704030165981731E-7</v>
      </c>
      <c r="E1203" s="6">
        <f t="shared" si="36"/>
        <v>0</v>
      </c>
      <c r="F1203" s="8">
        <f t="shared" si="37"/>
        <v>0</v>
      </c>
    </row>
    <row r="1204" spans="1:6" x14ac:dyDescent="0.2">
      <c r="A1204">
        <v>15</v>
      </c>
      <c r="B1204" t="s">
        <v>1134</v>
      </c>
      <c r="C1204" t="s">
        <v>1111</v>
      </c>
      <c r="D1204" s="8">
        <v>1.6716684498137201E-5</v>
      </c>
      <c r="E1204" s="6">
        <f t="shared" si="36"/>
        <v>0</v>
      </c>
      <c r="F1204" s="8">
        <f t="shared" si="37"/>
        <v>0</v>
      </c>
    </row>
    <row r="1205" spans="1:6" x14ac:dyDescent="0.2">
      <c r="A1205">
        <v>15</v>
      </c>
      <c r="B1205" t="s">
        <v>1134</v>
      </c>
      <c r="C1205" t="s">
        <v>1103</v>
      </c>
      <c r="D1205" s="8">
        <v>2.9134747944236792E-7</v>
      </c>
      <c r="E1205" s="6">
        <f t="shared" si="36"/>
        <v>0</v>
      </c>
      <c r="F1205" s="8">
        <f t="shared" si="37"/>
        <v>0</v>
      </c>
    </row>
    <row r="1206" spans="1:6" x14ac:dyDescent="0.2">
      <c r="A1206">
        <v>15</v>
      </c>
      <c r="B1206" t="s">
        <v>1134</v>
      </c>
      <c r="C1206" t="s">
        <v>942</v>
      </c>
      <c r="D1206" s="8">
        <v>6.1029966706609083E-6</v>
      </c>
      <c r="E1206" s="6">
        <f t="shared" si="36"/>
        <v>0.33700000000000019</v>
      </c>
      <c r="F1206" s="8">
        <f t="shared" si="37"/>
        <v>2.0567098780127273E-6</v>
      </c>
    </row>
    <row r="1207" spans="1:6" x14ac:dyDescent="0.2">
      <c r="A1207">
        <v>15</v>
      </c>
      <c r="B1207" t="s">
        <v>1134</v>
      </c>
      <c r="C1207" t="s">
        <v>943</v>
      </c>
      <c r="D1207" s="8">
        <v>4.8279293042329999E-4</v>
      </c>
      <c r="E1207" s="6">
        <f t="shared" si="36"/>
        <v>0.40800000000000014</v>
      </c>
      <c r="F1207" s="8">
        <f t="shared" si="37"/>
        <v>1.9697951561270646E-4</v>
      </c>
    </row>
    <row r="1208" spans="1:6" x14ac:dyDescent="0.2">
      <c r="A1208">
        <v>15</v>
      </c>
      <c r="B1208" t="s">
        <v>1134</v>
      </c>
      <c r="C1208" t="s">
        <v>944</v>
      </c>
      <c r="D1208" s="8">
        <v>3.2354226639836302E-2</v>
      </c>
      <c r="E1208" s="6">
        <f t="shared" si="36"/>
        <v>-0.122</v>
      </c>
      <c r="F1208" s="8">
        <f t="shared" si="37"/>
        <v>-3.9472156500600288E-3</v>
      </c>
    </row>
    <row r="1209" spans="1:6" x14ac:dyDescent="0.2">
      <c r="A1209">
        <v>15</v>
      </c>
      <c r="B1209" t="s">
        <v>1134</v>
      </c>
      <c r="C1209" t="s">
        <v>945</v>
      </c>
      <c r="D1209" s="8">
        <v>3.2988312684673352E-6</v>
      </c>
      <c r="E1209" s="6">
        <f t="shared" si="36"/>
        <v>0.49000000000000021</v>
      </c>
      <c r="F1209" s="8">
        <f t="shared" si="37"/>
        <v>1.6164273215489949E-6</v>
      </c>
    </row>
    <row r="1210" spans="1:6" x14ac:dyDescent="0.2">
      <c r="A1210">
        <v>15</v>
      </c>
      <c r="B1210" t="s">
        <v>1134</v>
      </c>
      <c r="C1210" t="s">
        <v>947</v>
      </c>
      <c r="D1210" s="8">
        <v>7.0835455890839996E-3</v>
      </c>
      <c r="E1210" s="6">
        <f t="shared" si="36"/>
        <v>0.15500000000000003</v>
      </c>
      <c r="F1210" s="8">
        <f t="shared" si="37"/>
        <v>1.0979495663080202E-3</v>
      </c>
    </row>
    <row r="1211" spans="1:6" x14ac:dyDescent="0.2">
      <c r="A1211">
        <v>15</v>
      </c>
      <c r="B1211" t="s">
        <v>1134</v>
      </c>
      <c r="C1211" t="s">
        <v>948</v>
      </c>
      <c r="D1211" s="8">
        <v>6.0317973674503097E-6</v>
      </c>
      <c r="E1211" s="6">
        <f t="shared" si="36"/>
        <v>-1.0880000000000001</v>
      </c>
      <c r="F1211" s="8">
        <f t="shared" si="37"/>
        <v>-6.5625955357859374E-6</v>
      </c>
    </row>
    <row r="1212" spans="1:6" x14ac:dyDescent="0.2">
      <c r="A1212">
        <v>15</v>
      </c>
      <c r="B1212" t="s">
        <v>1134</v>
      </c>
      <c r="C1212" t="s">
        <v>949</v>
      </c>
      <c r="D1212" s="8">
        <v>9.9472197301099136E-5</v>
      </c>
      <c r="E1212" s="6">
        <f t="shared" si="36"/>
        <v>0.79599999999999982</v>
      </c>
      <c r="F1212" s="8">
        <f t="shared" si="37"/>
        <v>7.9179869051674897E-5</v>
      </c>
    </row>
    <row r="1213" spans="1:6" x14ac:dyDescent="0.2">
      <c r="A1213">
        <v>15</v>
      </c>
      <c r="B1213" t="s">
        <v>1134</v>
      </c>
      <c r="C1213" t="s">
        <v>950</v>
      </c>
      <c r="D1213" s="8">
        <v>9.6953266704257439E-5</v>
      </c>
      <c r="E1213" s="6">
        <f t="shared" si="36"/>
        <v>0.38300000000000001</v>
      </c>
      <c r="F1213" s="8">
        <f t="shared" si="37"/>
        <v>3.7133101147730598E-5</v>
      </c>
    </row>
    <row r="1214" spans="1:6" x14ac:dyDescent="0.2">
      <c r="A1214">
        <v>15</v>
      </c>
      <c r="B1214" t="s">
        <v>1134</v>
      </c>
      <c r="C1214" t="s">
        <v>951</v>
      </c>
      <c r="D1214" s="8">
        <v>2.0240585635318969E-5</v>
      </c>
      <c r="E1214" s="6">
        <f t="shared" ref="E1214:E1277" si="38">IFERROR(VLOOKUP(C1214,$A$6:$D$185,4,FALSE),0)</f>
        <v>-8.8000000000000078E-2</v>
      </c>
      <c r="F1214" s="8">
        <f t="shared" ref="F1214:F1277" si="39">D1214*E1214</f>
        <v>-1.781171535908071E-6</v>
      </c>
    </row>
    <row r="1215" spans="1:6" x14ac:dyDescent="0.2">
      <c r="A1215">
        <v>15</v>
      </c>
      <c r="B1215" t="s">
        <v>1134</v>
      </c>
      <c r="C1215" t="s">
        <v>952</v>
      </c>
      <c r="D1215" s="8">
        <v>6.8578717441853997E-3</v>
      </c>
      <c r="E1215" s="6">
        <f t="shared" si="38"/>
        <v>0.28300000000000014</v>
      </c>
      <c r="F1215" s="8">
        <f t="shared" si="39"/>
        <v>1.940777703604469E-3</v>
      </c>
    </row>
    <row r="1216" spans="1:6" x14ac:dyDescent="0.2">
      <c r="A1216">
        <v>15</v>
      </c>
      <c r="B1216" t="s">
        <v>1134</v>
      </c>
      <c r="C1216" t="s">
        <v>953</v>
      </c>
      <c r="D1216" s="8">
        <v>2.524920284823469E-6</v>
      </c>
      <c r="E1216" s="6">
        <f t="shared" si="38"/>
        <v>-0.42500000000000004</v>
      </c>
      <c r="F1216" s="8">
        <f t="shared" si="39"/>
        <v>-1.0730911210499743E-6</v>
      </c>
    </row>
    <row r="1217" spans="1:6" x14ac:dyDescent="0.2">
      <c r="A1217">
        <v>15</v>
      </c>
      <c r="B1217" t="s">
        <v>1134</v>
      </c>
      <c r="C1217" t="s">
        <v>954</v>
      </c>
      <c r="D1217" s="8">
        <v>3.5800859524055799E-7</v>
      </c>
      <c r="E1217" s="6">
        <f t="shared" si="38"/>
        <v>2.0929999999999991</v>
      </c>
      <c r="F1217" s="8">
        <f t="shared" si="39"/>
        <v>7.493119898384876E-7</v>
      </c>
    </row>
    <row r="1218" spans="1:6" x14ac:dyDescent="0.2">
      <c r="A1218">
        <v>15</v>
      </c>
      <c r="B1218" t="s">
        <v>1134</v>
      </c>
      <c r="C1218" t="s">
        <v>955</v>
      </c>
      <c r="D1218" s="8">
        <v>2.5053576118438219E-5</v>
      </c>
      <c r="E1218" s="6">
        <f t="shared" si="38"/>
        <v>-0.40500000000000003</v>
      </c>
      <c r="F1218" s="8">
        <f t="shared" si="39"/>
        <v>-1.0146698327967479E-5</v>
      </c>
    </row>
    <row r="1219" spans="1:6" x14ac:dyDescent="0.2">
      <c r="A1219">
        <v>15</v>
      </c>
      <c r="B1219" t="s">
        <v>1134</v>
      </c>
      <c r="C1219" t="s">
        <v>956</v>
      </c>
      <c r="D1219" s="8">
        <v>2.1387722034175528E-5</v>
      </c>
      <c r="E1219" s="6">
        <f t="shared" si="38"/>
        <v>-0.44700000000000006</v>
      </c>
      <c r="F1219" s="8">
        <f t="shared" si="39"/>
        <v>-9.5603117492764622E-6</v>
      </c>
    </row>
    <row r="1220" spans="1:6" x14ac:dyDescent="0.2">
      <c r="A1220">
        <v>15</v>
      </c>
      <c r="B1220" t="s">
        <v>1134</v>
      </c>
      <c r="C1220" t="s">
        <v>957</v>
      </c>
      <c r="D1220" s="8">
        <v>3.8475478775499999E-3</v>
      </c>
      <c r="E1220" s="6">
        <f t="shared" si="38"/>
        <v>-0.11499999999999988</v>
      </c>
      <c r="F1220" s="8">
        <f t="shared" si="39"/>
        <v>-4.4246800591824951E-4</v>
      </c>
    </row>
    <row r="1221" spans="1:6" x14ac:dyDescent="0.2">
      <c r="A1221">
        <v>15</v>
      </c>
      <c r="B1221" t="s">
        <v>1134</v>
      </c>
      <c r="C1221" t="s">
        <v>959</v>
      </c>
      <c r="D1221" s="8">
        <v>3.1594994755109802E-2</v>
      </c>
      <c r="E1221" s="6">
        <f t="shared" si="38"/>
        <v>-0.60699999999999998</v>
      </c>
      <c r="F1221" s="8">
        <f t="shared" si="39"/>
        <v>-1.9178161816351649E-2</v>
      </c>
    </row>
    <row r="1222" spans="1:6" x14ac:dyDescent="0.2">
      <c r="A1222">
        <v>15</v>
      </c>
      <c r="B1222" t="s">
        <v>1134</v>
      </c>
      <c r="C1222" t="s">
        <v>960</v>
      </c>
      <c r="D1222" s="8">
        <v>9.7596492781000117E-6</v>
      </c>
      <c r="E1222" s="6">
        <f t="shared" si="38"/>
        <v>0.29999999999999982</v>
      </c>
      <c r="F1222" s="8">
        <f t="shared" si="39"/>
        <v>2.927894783430002E-6</v>
      </c>
    </row>
    <row r="1223" spans="1:6" x14ac:dyDescent="0.2">
      <c r="A1223">
        <v>15</v>
      </c>
      <c r="B1223" t="s">
        <v>1134</v>
      </c>
      <c r="C1223" t="s">
        <v>961</v>
      </c>
      <c r="D1223" s="8">
        <v>2.443142589343928E-5</v>
      </c>
      <c r="E1223" s="6">
        <f t="shared" si="38"/>
        <v>6.9999999999996732E-3</v>
      </c>
      <c r="F1223" s="8">
        <f t="shared" si="39"/>
        <v>1.7101998125406697E-7</v>
      </c>
    </row>
    <row r="1224" spans="1:6" x14ac:dyDescent="0.2">
      <c r="A1224">
        <v>15</v>
      </c>
      <c r="B1224" t="s">
        <v>1134</v>
      </c>
      <c r="C1224" t="s">
        <v>962</v>
      </c>
      <c r="D1224" s="8">
        <v>6.867385620139694E-6</v>
      </c>
      <c r="E1224" s="6">
        <f t="shared" si="38"/>
        <v>-1.9090000000000007</v>
      </c>
      <c r="F1224" s="8">
        <f t="shared" si="39"/>
        <v>-1.310983914884668E-5</v>
      </c>
    </row>
    <row r="1225" spans="1:6" x14ac:dyDescent="0.2">
      <c r="A1225">
        <v>15</v>
      </c>
      <c r="B1225" t="s">
        <v>1134</v>
      </c>
      <c r="C1225" t="s">
        <v>963</v>
      </c>
      <c r="D1225" s="8">
        <v>1.323645268657613E-5</v>
      </c>
      <c r="E1225" s="6">
        <f t="shared" si="38"/>
        <v>7.2000000000000064E-2</v>
      </c>
      <c r="F1225" s="8">
        <f t="shared" si="39"/>
        <v>9.5302459343348222E-7</v>
      </c>
    </row>
    <row r="1226" spans="1:6" x14ac:dyDescent="0.2">
      <c r="A1226">
        <v>15</v>
      </c>
      <c r="B1226" t="s">
        <v>1134</v>
      </c>
      <c r="C1226" t="s">
        <v>965</v>
      </c>
      <c r="D1226" s="8">
        <v>1.8826943582268001E-3</v>
      </c>
      <c r="E1226" s="6">
        <f t="shared" si="38"/>
        <v>4.5000000000000151E-2</v>
      </c>
      <c r="F1226" s="8">
        <f t="shared" si="39"/>
        <v>8.4721246120206291E-5</v>
      </c>
    </row>
    <row r="1227" spans="1:6" x14ac:dyDescent="0.2">
      <c r="A1227">
        <v>15</v>
      </c>
      <c r="B1227" t="s">
        <v>1134</v>
      </c>
      <c r="C1227" t="s">
        <v>966</v>
      </c>
      <c r="D1227" s="8">
        <v>3.3854240684686338E-10</v>
      </c>
      <c r="E1227" s="6">
        <f t="shared" si="38"/>
        <v>-0.21399999999999997</v>
      </c>
      <c r="F1227" s="8">
        <f t="shared" si="39"/>
        <v>-7.2448075065228748E-11</v>
      </c>
    </row>
    <row r="1228" spans="1:6" x14ac:dyDescent="0.2">
      <c r="A1228">
        <v>15</v>
      </c>
      <c r="B1228" t="s">
        <v>1134</v>
      </c>
      <c r="C1228" t="s">
        <v>967</v>
      </c>
      <c r="D1228" s="8">
        <v>1.9727368570851899E-7</v>
      </c>
      <c r="E1228" s="6">
        <f t="shared" si="38"/>
        <v>0.10000000000000009</v>
      </c>
      <c r="F1228" s="8">
        <f t="shared" si="39"/>
        <v>1.9727368570851916E-8</v>
      </c>
    </row>
    <row r="1229" spans="1:6" x14ac:dyDescent="0.2">
      <c r="A1229">
        <v>15</v>
      </c>
      <c r="B1229" t="s">
        <v>1134</v>
      </c>
      <c r="C1229" t="s">
        <v>1105</v>
      </c>
      <c r="D1229" s="8">
        <v>5.3768336551814706E-7</v>
      </c>
      <c r="E1229" s="6">
        <f t="shared" si="38"/>
        <v>0</v>
      </c>
      <c r="F1229" s="8">
        <f t="shared" si="39"/>
        <v>0</v>
      </c>
    </row>
    <row r="1230" spans="1:6" x14ac:dyDescent="0.2">
      <c r="A1230">
        <v>15</v>
      </c>
      <c r="B1230" t="s">
        <v>1134</v>
      </c>
      <c r="C1230" t="s">
        <v>969</v>
      </c>
      <c r="D1230" s="8">
        <v>5.0519968967288002E-3</v>
      </c>
      <c r="E1230" s="6">
        <f t="shared" si="38"/>
        <v>0.53699999999999992</v>
      </c>
      <c r="F1230" s="8">
        <f t="shared" si="39"/>
        <v>2.7129223335433652E-3</v>
      </c>
    </row>
    <row r="1231" spans="1:6" x14ac:dyDescent="0.2">
      <c r="A1231">
        <v>15</v>
      </c>
      <c r="B1231" t="s">
        <v>1134</v>
      </c>
      <c r="C1231" t="s">
        <v>970</v>
      </c>
      <c r="D1231" s="8">
        <v>1.8431385919641239E-7</v>
      </c>
      <c r="E1231" s="6">
        <f t="shared" si="38"/>
        <v>-0.10000000000000009</v>
      </c>
      <c r="F1231" s="8">
        <f t="shared" si="39"/>
        <v>-1.8431385919641255E-8</v>
      </c>
    </row>
    <row r="1232" spans="1:6" x14ac:dyDescent="0.2">
      <c r="A1232">
        <v>15</v>
      </c>
      <c r="B1232" t="s">
        <v>1134</v>
      </c>
      <c r="C1232" t="s">
        <v>971</v>
      </c>
      <c r="D1232" s="8">
        <v>1.5574411697350001E-4</v>
      </c>
      <c r="E1232" s="6">
        <f t="shared" si="38"/>
        <v>-0.13700000000000001</v>
      </c>
      <c r="F1232" s="8">
        <f t="shared" si="39"/>
        <v>-2.1336944025369503E-5</v>
      </c>
    </row>
    <row r="1233" spans="1:6" x14ac:dyDescent="0.2">
      <c r="A1233">
        <v>15</v>
      </c>
      <c r="B1233" t="s">
        <v>1134</v>
      </c>
      <c r="C1233" t="s">
        <v>973</v>
      </c>
      <c r="D1233" s="8">
        <v>8.2804935365852117E-5</v>
      </c>
      <c r="E1233" s="6">
        <f t="shared" si="38"/>
        <v>-0.84999999999999987</v>
      </c>
      <c r="F1233" s="8">
        <f t="shared" si="39"/>
        <v>-7.0384195060974286E-5</v>
      </c>
    </row>
    <row r="1234" spans="1:6" x14ac:dyDescent="0.2">
      <c r="A1234">
        <v>15</v>
      </c>
      <c r="B1234" t="s">
        <v>1134</v>
      </c>
      <c r="C1234" t="s">
        <v>975</v>
      </c>
      <c r="D1234" s="8">
        <v>8.0950523326286002E-3</v>
      </c>
      <c r="E1234" s="6">
        <f t="shared" si="38"/>
        <v>0.23500000000000032</v>
      </c>
      <c r="F1234" s="8">
        <f t="shared" si="39"/>
        <v>1.9023372981677236E-3</v>
      </c>
    </row>
    <row r="1235" spans="1:6" x14ac:dyDescent="0.2">
      <c r="A1235">
        <v>15</v>
      </c>
      <c r="B1235" t="s">
        <v>1134</v>
      </c>
      <c r="C1235" t="s">
        <v>976</v>
      </c>
      <c r="D1235" s="8">
        <v>5.6154888604019121E-5</v>
      </c>
      <c r="E1235" s="6">
        <f t="shared" si="38"/>
        <v>0.38700000000000001</v>
      </c>
      <c r="F1235" s="8">
        <f t="shared" si="39"/>
        <v>2.1731941889755402E-5</v>
      </c>
    </row>
    <row r="1236" spans="1:6" x14ac:dyDescent="0.2">
      <c r="A1236">
        <v>15</v>
      </c>
      <c r="B1236" t="s">
        <v>1134</v>
      </c>
      <c r="C1236" t="s">
        <v>977</v>
      </c>
      <c r="D1236" s="8">
        <v>1.771081956556813E-6</v>
      </c>
      <c r="E1236" s="6">
        <f t="shared" si="38"/>
        <v>-7.2039999999999997</v>
      </c>
      <c r="F1236" s="8">
        <f t="shared" si="39"/>
        <v>-1.2758874415035281E-5</v>
      </c>
    </row>
    <row r="1237" spans="1:6" x14ac:dyDescent="0.2">
      <c r="A1237">
        <v>15</v>
      </c>
      <c r="B1237" t="s">
        <v>1134</v>
      </c>
      <c r="C1237" t="s">
        <v>978</v>
      </c>
      <c r="D1237" s="8">
        <v>2.8456472942393991E-5</v>
      </c>
      <c r="E1237" s="6">
        <f t="shared" si="38"/>
        <v>-8.2390000000000008</v>
      </c>
      <c r="F1237" s="8">
        <f t="shared" si="39"/>
        <v>-2.3445288057238412E-4</v>
      </c>
    </row>
    <row r="1238" spans="1:6" x14ac:dyDescent="0.2">
      <c r="A1238">
        <v>15</v>
      </c>
      <c r="B1238" t="s">
        <v>1134</v>
      </c>
      <c r="C1238" t="s">
        <v>979</v>
      </c>
      <c r="D1238" s="8">
        <v>1.8888775225329239E-6</v>
      </c>
      <c r="E1238" s="6">
        <f t="shared" si="38"/>
        <v>-0.5</v>
      </c>
      <c r="F1238" s="8">
        <f t="shared" si="39"/>
        <v>-9.4443876126646196E-7</v>
      </c>
    </row>
    <row r="1239" spans="1:6" x14ac:dyDescent="0.2">
      <c r="A1239">
        <v>15</v>
      </c>
      <c r="B1239" t="s">
        <v>1134</v>
      </c>
      <c r="C1239" t="s">
        <v>980</v>
      </c>
      <c r="D1239" s="8">
        <v>2.4292346455956999E-3</v>
      </c>
      <c r="E1239" s="6">
        <f t="shared" si="38"/>
        <v>-0.10000000000000009</v>
      </c>
      <c r="F1239" s="8">
        <f t="shared" si="39"/>
        <v>-2.4292346455957021E-4</v>
      </c>
    </row>
    <row r="1240" spans="1:6" x14ac:dyDescent="0.2">
      <c r="A1240">
        <v>15</v>
      </c>
      <c r="B1240" t="s">
        <v>1134</v>
      </c>
      <c r="C1240" t="s">
        <v>981</v>
      </c>
      <c r="D1240" s="8">
        <v>1.64653328258163E-2</v>
      </c>
      <c r="E1240" s="6">
        <f t="shared" si="38"/>
        <v>-0.33499999999999996</v>
      </c>
      <c r="F1240" s="8">
        <f t="shared" si="39"/>
        <v>-5.5158864966484596E-3</v>
      </c>
    </row>
    <row r="1241" spans="1:6" x14ac:dyDescent="0.2">
      <c r="A1241">
        <v>15</v>
      </c>
      <c r="B1241" t="s">
        <v>1134</v>
      </c>
      <c r="C1241" t="s">
        <v>982</v>
      </c>
      <c r="D1241" s="8">
        <v>2.5009793857186498E-6</v>
      </c>
      <c r="E1241" s="6">
        <f t="shared" si="38"/>
        <v>-2.8</v>
      </c>
      <c r="F1241" s="8">
        <f t="shared" si="39"/>
        <v>-7.0027422800122192E-6</v>
      </c>
    </row>
    <row r="1242" spans="1:6" x14ac:dyDescent="0.2">
      <c r="A1242">
        <v>15</v>
      </c>
      <c r="B1242" t="s">
        <v>1134</v>
      </c>
      <c r="C1242" t="s">
        <v>983</v>
      </c>
      <c r="D1242" s="8">
        <v>1.6176832477568321E-5</v>
      </c>
      <c r="E1242" s="6">
        <f t="shared" si="38"/>
        <v>-0.19999999999999973</v>
      </c>
      <c r="F1242" s="8">
        <f t="shared" si="39"/>
        <v>-3.2353664955136599E-6</v>
      </c>
    </row>
    <row r="1243" spans="1:6" x14ac:dyDescent="0.2">
      <c r="A1243">
        <v>15</v>
      </c>
      <c r="B1243" t="s">
        <v>1134</v>
      </c>
      <c r="C1243" t="s">
        <v>984</v>
      </c>
      <c r="D1243" s="8">
        <v>5.1251063845011303E-2</v>
      </c>
      <c r="E1243" s="6">
        <f t="shared" si="38"/>
        <v>0.121</v>
      </c>
      <c r="F1243" s="8">
        <f t="shared" si="39"/>
        <v>6.2013787252463677E-3</v>
      </c>
    </row>
    <row r="1244" spans="1:6" x14ac:dyDescent="0.2">
      <c r="A1244">
        <v>15</v>
      </c>
      <c r="B1244" t="s">
        <v>1134</v>
      </c>
      <c r="C1244" t="s">
        <v>985</v>
      </c>
      <c r="D1244" s="8">
        <v>4.0681385739339999E-4</v>
      </c>
      <c r="E1244" s="6">
        <f t="shared" si="38"/>
        <v>0.34299999999999997</v>
      </c>
      <c r="F1244" s="8">
        <f t="shared" si="39"/>
        <v>1.395371530859362E-4</v>
      </c>
    </row>
    <row r="1245" spans="1:6" x14ac:dyDescent="0.2">
      <c r="A1245">
        <v>15</v>
      </c>
      <c r="B1245" t="s">
        <v>1134</v>
      </c>
      <c r="C1245" t="s">
        <v>986</v>
      </c>
      <c r="D1245" s="8">
        <v>3.5280158820993623E-5</v>
      </c>
      <c r="E1245" s="6">
        <f t="shared" si="38"/>
        <v>-0.38900000000000023</v>
      </c>
      <c r="F1245" s="8">
        <f t="shared" si="39"/>
        <v>-1.3723981781366527E-5</v>
      </c>
    </row>
    <row r="1246" spans="1:6" x14ac:dyDescent="0.2">
      <c r="A1246">
        <v>15</v>
      </c>
      <c r="B1246" t="s">
        <v>1134</v>
      </c>
      <c r="C1246" t="s">
        <v>987</v>
      </c>
      <c r="D1246" s="8">
        <v>8.1726252902875626E-7</v>
      </c>
      <c r="E1246" s="6">
        <f t="shared" si="38"/>
        <v>0.83399999999999963</v>
      </c>
      <c r="F1246" s="8">
        <f t="shared" si="39"/>
        <v>6.8159694920998244E-7</v>
      </c>
    </row>
    <row r="1247" spans="1:6" x14ac:dyDescent="0.2">
      <c r="A1247">
        <v>15</v>
      </c>
      <c r="B1247" t="s">
        <v>1134</v>
      </c>
      <c r="C1247" t="s">
        <v>988</v>
      </c>
      <c r="D1247" s="8">
        <v>2.400631589213E-4</v>
      </c>
      <c r="E1247" s="6">
        <f t="shared" si="38"/>
        <v>0.59299999999999997</v>
      </c>
      <c r="F1247" s="8">
        <f t="shared" si="39"/>
        <v>1.4235745324033089E-4</v>
      </c>
    </row>
    <row r="1248" spans="1:6" x14ac:dyDescent="0.2">
      <c r="A1248">
        <v>15</v>
      </c>
      <c r="B1248" t="s">
        <v>1134</v>
      </c>
      <c r="C1248" t="s">
        <v>1119</v>
      </c>
      <c r="D1248" s="8">
        <v>7.582396440419207E-6</v>
      </c>
      <c r="E1248" s="6">
        <f t="shared" si="38"/>
        <v>0</v>
      </c>
      <c r="F1248" s="8">
        <f t="shared" si="39"/>
        <v>0</v>
      </c>
    </row>
    <row r="1249" spans="1:6" x14ac:dyDescent="0.2">
      <c r="A1249">
        <v>15</v>
      </c>
      <c r="B1249" t="s">
        <v>1134</v>
      </c>
      <c r="C1249" t="s">
        <v>990</v>
      </c>
      <c r="D1249" s="8">
        <v>3.4222346019978998E-2</v>
      </c>
      <c r="E1249" s="6">
        <f t="shared" si="38"/>
        <v>0.45299999999999985</v>
      </c>
      <c r="F1249" s="8">
        <f t="shared" si="39"/>
        <v>1.5502722747050481E-2</v>
      </c>
    </row>
    <row r="1250" spans="1:6" x14ac:dyDescent="0.2">
      <c r="A1250">
        <v>15</v>
      </c>
      <c r="B1250" t="s">
        <v>1134</v>
      </c>
      <c r="C1250" t="s">
        <v>991</v>
      </c>
      <c r="D1250" s="8">
        <v>6.9141476099928085E-5</v>
      </c>
      <c r="E1250" s="6">
        <f t="shared" si="38"/>
        <v>-3.7290000000000001</v>
      </c>
      <c r="F1250" s="8">
        <f t="shared" si="39"/>
        <v>-2.5782856437663184E-4</v>
      </c>
    </row>
    <row r="1251" spans="1:6" x14ac:dyDescent="0.2">
      <c r="A1251">
        <v>15</v>
      </c>
      <c r="B1251" t="s">
        <v>1134</v>
      </c>
      <c r="C1251" t="s">
        <v>992</v>
      </c>
      <c r="D1251" s="8">
        <v>1.226297267325669E-5</v>
      </c>
      <c r="E1251" s="6">
        <f t="shared" si="38"/>
        <v>2.048</v>
      </c>
      <c r="F1251" s="8">
        <f t="shared" si="39"/>
        <v>2.5114568034829701E-5</v>
      </c>
    </row>
    <row r="1252" spans="1:6" x14ac:dyDescent="0.2">
      <c r="A1252">
        <v>15</v>
      </c>
      <c r="B1252" t="s">
        <v>1134</v>
      </c>
      <c r="C1252" t="s">
        <v>1092</v>
      </c>
      <c r="D1252" s="8">
        <v>2.5468728027091989E-5</v>
      </c>
      <c r="E1252" s="6">
        <f t="shared" si="38"/>
        <v>0</v>
      </c>
      <c r="F1252" s="8">
        <f t="shared" si="39"/>
        <v>0</v>
      </c>
    </row>
    <row r="1253" spans="1:6" x14ac:dyDescent="0.2">
      <c r="A1253">
        <v>15</v>
      </c>
      <c r="B1253" t="s">
        <v>1134</v>
      </c>
      <c r="C1253" t="s">
        <v>993</v>
      </c>
      <c r="D1253" s="8">
        <v>2.962907275548428E-7</v>
      </c>
      <c r="E1253" s="6">
        <f t="shared" si="38"/>
        <v>-0.42900000000000027</v>
      </c>
      <c r="F1253" s="8">
        <f t="shared" si="39"/>
        <v>-1.2710872212102764E-7</v>
      </c>
    </row>
    <row r="1254" spans="1:6" x14ac:dyDescent="0.2">
      <c r="A1254">
        <v>15</v>
      </c>
      <c r="B1254" t="s">
        <v>1134</v>
      </c>
      <c r="C1254" t="s">
        <v>994</v>
      </c>
      <c r="D1254" s="8">
        <v>3.9867243129859044E-6</v>
      </c>
      <c r="E1254" s="6">
        <f t="shared" si="38"/>
        <v>2.415</v>
      </c>
      <c r="F1254" s="8">
        <f t="shared" si="39"/>
        <v>9.6279392158609593E-6</v>
      </c>
    </row>
    <row r="1255" spans="1:6" x14ac:dyDescent="0.2">
      <c r="A1255">
        <v>15</v>
      </c>
      <c r="B1255" t="s">
        <v>1134</v>
      </c>
      <c r="C1255" t="s">
        <v>1120</v>
      </c>
      <c r="D1255" s="8">
        <v>3.3976962307168333E-7</v>
      </c>
      <c r="E1255" s="6">
        <f t="shared" si="38"/>
        <v>0</v>
      </c>
      <c r="F1255" s="8">
        <f t="shared" si="39"/>
        <v>0</v>
      </c>
    </row>
    <row r="1256" spans="1:6" x14ac:dyDescent="0.2">
      <c r="A1256">
        <v>15</v>
      </c>
      <c r="B1256" t="s">
        <v>1134</v>
      </c>
      <c r="C1256" t="s">
        <v>1093</v>
      </c>
      <c r="D1256" s="8">
        <v>3.8805793665579208E-6</v>
      </c>
      <c r="E1256" s="6">
        <f t="shared" si="38"/>
        <v>0</v>
      </c>
      <c r="F1256" s="8">
        <f t="shared" si="39"/>
        <v>0</v>
      </c>
    </row>
    <row r="1257" spans="1:6" x14ac:dyDescent="0.2">
      <c r="A1257">
        <v>15</v>
      </c>
      <c r="B1257" t="s">
        <v>1134</v>
      </c>
      <c r="C1257" t="s">
        <v>996</v>
      </c>
      <c r="D1257" s="8">
        <v>2.4429681606585252E-6</v>
      </c>
      <c r="E1257" s="6">
        <f t="shared" si="38"/>
        <v>0.44099999999999984</v>
      </c>
      <c r="F1257" s="8">
        <f t="shared" si="39"/>
        <v>1.0773489588504092E-6</v>
      </c>
    </row>
    <row r="1258" spans="1:6" x14ac:dyDescent="0.2">
      <c r="A1258">
        <v>15</v>
      </c>
      <c r="B1258" t="s">
        <v>1134</v>
      </c>
      <c r="C1258" t="s">
        <v>997</v>
      </c>
      <c r="D1258" s="8">
        <v>1.0976585094090001E-3</v>
      </c>
      <c r="E1258" s="6">
        <f t="shared" si="38"/>
        <v>-0.61499999999999977</v>
      </c>
      <c r="F1258" s="8">
        <f t="shared" si="39"/>
        <v>-6.7505998328653476E-4</v>
      </c>
    </row>
    <row r="1259" spans="1:6" x14ac:dyDescent="0.2">
      <c r="A1259">
        <v>15</v>
      </c>
      <c r="B1259" t="s">
        <v>1134</v>
      </c>
      <c r="C1259" t="s">
        <v>998</v>
      </c>
      <c r="D1259" s="8">
        <v>1.167981052585E-4</v>
      </c>
      <c r="E1259" s="6">
        <f t="shared" si="38"/>
        <v>-0.28200000000000003</v>
      </c>
      <c r="F1259" s="8">
        <f t="shared" si="39"/>
        <v>-3.2937065682897001E-5</v>
      </c>
    </row>
    <row r="1260" spans="1:6" x14ac:dyDescent="0.2">
      <c r="A1260">
        <v>15</v>
      </c>
      <c r="B1260" t="s">
        <v>1134</v>
      </c>
      <c r="C1260" t="s">
        <v>999</v>
      </c>
      <c r="D1260" s="8">
        <v>9.9091547624455664E-6</v>
      </c>
      <c r="E1260" s="6">
        <f t="shared" si="38"/>
        <v>-0.5219999999999998</v>
      </c>
      <c r="F1260" s="8">
        <f t="shared" si="39"/>
        <v>-5.1725787859965832E-6</v>
      </c>
    </row>
    <row r="1261" spans="1:6" x14ac:dyDescent="0.2">
      <c r="A1261">
        <v>15</v>
      </c>
      <c r="B1261" t="s">
        <v>1134</v>
      </c>
      <c r="C1261" t="s">
        <v>1000</v>
      </c>
      <c r="D1261" s="8">
        <v>6.9555899494409996E-4</v>
      </c>
      <c r="E1261" s="6">
        <f t="shared" si="38"/>
        <v>1.1540000000000004</v>
      </c>
      <c r="F1261" s="8">
        <f t="shared" si="39"/>
        <v>8.0267508016549163E-4</v>
      </c>
    </row>
    <row r="1262" spans="1:6" x14ac:dyDescent="0.2">
      <c r="A1262">
        <v>15</v>
      </c>
      <c r="B1262" t="s">
        <v>1134</v>
      </c>
      <c r="C1262" t="s">
        <v>1001</v>
      </c>
      <c r="D1262" s="8">
        <v>1.152182267636103E-5</v>
      </c>
      <c r="E1262" s="6">
        <f t="shared" si="38"/>
        <v>-0.60600000000000032</v>
      </c>
      <c r="F1262" s="8">
        <f t="shared" si="39"/>
        <v>-6.9822245418747875E-6</v>
      </c>
    </row>
    <row r="1263" spans="1:6" x14ac:dyDescent="0.2">
      <c r="A1263">
        <v>15</v>
      </c>
      <c r="B1263" t="s">
        <v>1134</v>
      </c>
      <c r="C1263" t="s">
        <v>1002</v>
      </c>
      <c r="D1263" s="8">
        <v>2.252354212411071E-5</v>
      </c>
      <c r="E1263" s="6">
        <f t="shared" si="38"/>
        <v>-1.3390000000000004</v>
      </c>
      <c r="F1263" s="8">
        <f t="shared" si="39"/>
        <v>-3.015902290418425E-5</v>
      </c>
    </row>
    <row r="1264" spans="1:6" x14ac:dyDescent="0.2">
      <c r="A1264">
        <v>15</v>
      </c>
      <c r="B1264" t="s">
        <v>1134</v>
      </c>
      <c r="C1264" t="s">
        <v>1003</v>
      </c>
      <c r="D1264" s="8">
        <v>2.7537142097533999E-2</v>
      </c>
      <c r="E1264" s="6">
        <f t="shared" si="38"/>
        <v>0.22999999999999998</v>
      </c>
      <c r="F1264" s="8">
        <f t="shared" si="39"/>
        <v>6.3335426824328196E-3</v>
      </c>
    </row>
    <row r="1265" spans="1:6" x14ac:dyDescent="0.2">
      <c r="A1265">
        <v>15</v>
      </c>
      <c r="B1265" t="s">
        <v>1134</v>
      </c>
      <c r="C1265" t="s">
        <v>1005</v>
      </c>
      <c r="D1265" s="8">
        <v>4.753016373315057E-7</v>
      </c>
      <c r="E1265" s="6">
        <f t="shared" si="38"/>
        <v>-0.10000000000000009</v>
      </c>
      <c r="F1265" s="8">
        <f t="shared" si="39"/>
        <v>-4.753016373315061E-8</v>
      </c>
    </row>
    <row r="1266" spans="1:6" x14ac:dyDescent="0.2">
      <c r="A1266">
        <v>15</v>
      </c>
      <c r="B1266" t="s">
        <v>1134</v>
      </c>
      <c r="C1266" t="s">
        <v>1007</v>
      </c>
      <c r="D1266" s="8">
        <v>3.6006678403610002E-4</v>
      </c>
      <c r="E1266" s="6">
        <f t="shared" si="38"/>
        <v>-0.19999999999999973</v>
      </c>
      <c r="F1266" s="8">
        <f t="shared" si="39"/>
        <v>-7.2013356807219909E-5</v>
      </c>
    </row>
    <row r="1267" spans="1:6" x14ac:dyDescent="0.2">
      <c r="A1267">
        <v>15</v>
      </c>
      <c r="B1267" t="s">
        <v>1134</v>
      </c>
      <c r="C1267" t="s">
        <v>1008</v>
      </c>
      <c r="D1267" s="8">
        <v>6.7589076404532772E-5</v>
      </c>
      <c r="E1267" s="6">
        <f t="shared" si="38"/>
        <v>0.94799999999999995</v>
      </c>
      <c r="F1267" s="8">
        <f t="shared" si="39"/>
        <v>6.4074444431497067E-5</v>
      </c>
    </row>
    <row r="1268" spans="1:6" x14ac:dyDescent="0.2">
      <c r="A1268">
        <v>15</v>
      </c>
      <c r="B1268" t="s">
        <v>1134</v>
      </c>
      <c r="C1268" t="s">
        <v>1009</v>
      </c>
      <c r="D1268" s="8">
        <v>1.63256480495168E-5</v>
      </c>
      <c r="E1268" s="6">
        <f t="shared" si="38"/>
        <v>-0.5990000000000002</v>
      </c>
      <c r="F1268" s="8">
        <f t="shared" si="39"/>
        <v>-9.7790631816605674E-6</v>
      </c>
    </row>
    <row r="1269" spans="1:6" x14ac:dyDescent="0.2">
      <c r="A1269">
        <v>15</v>
      </c>
      <c r="B1269" t="s">
        <v>1134</v>
      </c>
      <c r="C1269" t="s">
        <v>1122</v>
      </c>
      <c r="D1269" s="8">
        <v>7.3659422114727721E-8</v>
      </c>
      <c r="E1269" s="6">
        <f t="shared" si="38"/>
        <v>0</v>
      </c>
      <c r="F1269" s="8">
        <f t="shared" si="39"/>
        <v>0</v>
      </c>
    </row>
    <row r="1270" spans="1:6" x14ac:dyDescent="0.2">
      <c r="A1270">
        <v>15</v>
      </c>
      <c r="B1270" t="s">
        <v>1134</v>
      </c>
      <c r="C1270" t="s">
        <v>1010</v>
      </c>
      <c r="D1270" s="8">
        <v>1.613678251410896E-5</v>
      </c>
      <c r="E1270" s="6">
        <f t="shared" si="38"/>
        <v>-3.024</v>
      </c>
      <c r="F1270" s="8">
        <f t="shared" si="39"/>
        <v>-4.8797630322665496E-5</v>
      </c>
    </row>
    <row r="1271" spans="1:6" x14ac:dyDescent="0.2">
      <c r="A1271">
        <v>15</v>
      </c>
      <c r="B1271" t="s">
        <v>1134</v>
      </c>
      <c r="C1271" t="s">
        <v>1011</v>
      </c>
      <c r="D1271" s="8">
        <v>1.322219687741281E-7</v>
      </c>
      <c r="E1271" s="6">
        <f t="shared" si="38"/>
        <v>0.68600000000000039</v>
      </c>
      <c r="F1271" s="8">
        <f t="shared" si="39"/>
        <v>9.0704270579051922E-8</v>
      </c>
    </row>
    <row r="1272" spans="1:6" x14ac:dyDescent="0.2">
      <c r="A1272">
        <v>15</v>
      </c>
      <c r="B1272" t="s">
        <v>1134</v>
      </c>
      <c r="C1272" t="s">
        <v>1012</v>
      </c>
      <c r="D1272" s="8">
        <v>4.85345459238156E-5</v>
      </c>
      <c r="E1272" s="6">
        <f t="shared" si="38"/>
        <v>0.39999999999999991</v>
      </c>
      <c r="F1272" s="8">
        <f t="shared" si="39"/>
        <v>1.9413818369526237E-5</v>
      </c>
    </row>
    <row r="1273" spans="1:6" x14ac:dyDescent="0.2">
      <c r="A1273">
        <v>15</v>
      </c>
      <c r="B1273" t="s">
        <v>1134</v>
      </c>
      <c r="C1273" t="s">
        <v>1014</v>
      </c>
      <c r="D1273" s="8">
        <v>6.9984267572305E-3</v>
      </c>
      <c r="E1273" s="6">
        <f t="shared" si="38"/>
        <v>0.90000000000000036</v>
      </c>
      <c r="F1273" s="8">
        <f t="shared" si="39"/>
        <v>6.2985840815074521E-3</v>
      </c>
    </row>
    <row r="1274" spans="1:6" x14ac:dyDescent="0.2">
      <c r="A1274">
        <v>15</v>
      </c>
      <c r="B1274" t="s">
        <v>1134</v>
      </c>
      <c r="C1274" t="s">
        <v>1015</v>
      </c>
      <c r="D1274" s="8">
        <v>1.6376195472450971E-7</v>
      </c>
      <c r="E1274" s="6">
        <f t="shared" si="38"/>
        <v>-1.306</v>
      </c>
      <c r="F1274" s="8">
        <f t="shared" si="39"/>
        <v>-2.1387311287020968E-7</v>
      </c>
    </row>
    <row r="1275" spans="1:6" x14ac:dyDescent="0.2">
      <c r="A1275">
        <v>15</v>
      </c>
      <c r="B1275" t="s">
        <v>1134</v>
      </c>
      <c r="C1275" t="s">
        <v>1099</v>
      </c>
      <c r="D1275" s="8">
        <v>1.9146434561455281E-5</v>
      </c>
      <c r="E1275" s="6">
        <f t="shared" si="38"/>
        <v>0</v>
      </c>
      <c r="F1275" s="8">
        <f t="shared" si="39"/>
        <v>0</v>
      </c>
    </row>
    <row r="1276" spans="1:6" x14ac:dyDescent="0.2">
      <c r="A1276">
        <v>15</v>
      </c>
      <c r="B1276" t="s">
        <v>1134</v>
      </c>
      <c r="C1276" t="s">
        <v>1135</v>
      </c>
      <c r="D1276" s="8">
        <v>2.189946194290648E-6</v>
      </c>
      <c r="E1276" s="6">
        <f t="shared" si="38"/>
        <v>0</v>
      </c>
      <c r="F1276" s="8">
        <f t="shared" si="39"/>
        <v>0</v>
      </c>
    </row>
    <row r="1277" spans="1:6" x14ac:dyDescent="0.2">
      <c r="A1277">
        <v>15</v>
      </c>
      <c r="B1277" t="s">
        <v>1134</v>
      </c>
      <c r="C1277" t="s">
        <v>1017</v>
      </c>
      <c r="D1277" s="8">
        <v>2.0094211007021112E-6</v>
      </c>
      <c r="E1277" s="6">
        <f t="shared" si="38"/>
        <v>1.3749999999999996</v>
      </c>
      <c r="F1277" s="8">
        <f t="shared" si="39"/>
        <v>2.7629540134654018E-6</v>
      </c>
    </row>
    <row r="1278" spans="1:6" x14ac:dyDescent="0.2">
      <c r="A1278">
        <v>15</v>
      </c>
      <c r="B1278" t="s">
        <v>1134</v>
      </c>
      <c r="C1278" t="s">
        <v>1019</v>
      </c>
      <c r="D1278" s="8">
        <v>6.1023116823234601E-2</v>
      </c>
      <c r="E1278" s="6">
        <f t="shared" ref="E1278:E1341" si="40">IFERROR(VLOOKUP(C1278,$A$6:$D$185,4,FALSE),0)</f>
        <v>-0.21599999999999997</v>
      </c>
      <c r="F1278" s="8">
        <f t="shared" ref="F1278:F1341" si="41">D1278*E1278</f>
        <v>-1.3180993233818671E-2</v>
      </c>
    </row>
    <row r="1279" spans="1:6" x14ac:dyDescent="0.2">
      <c r="A1279">
        <v>15</v>
      </c>
      <c r="B1279" t="s">
        <v>1134</v>
      </c>
      <c r="C1279" t="s">
        <v>1020</v>
      </c>
      <c r="D1279" s="8">
        <v>8.1034499284730852E-5</v>
      </c>
      <c r="E1279" s="6">
        <f t="shared" si="40"/>
        <v>-0.21999999999999997</v>
      </c>
      <c r="F1279" s="8">
        <f t="shared" si="41"/>
        <v>-1.7827589842640785E-5</v>
      </c>
    </row>
    <row r="1280" spans="1:6" x14ac:dyDescent="0.2">
      <c r="A1280">
        <v>15</v>
      </c>
      <c r="B1280" t="s">
        <v>1134</v>
      </c>
      <c r="C1280" t="s">
        <v>1021</v>
      </c>
      <c r="D1280" s="8">
        <v>8.1522598486256805E-8</v>
      </c>
      <c r="E1280" s="6">
        <f t="shared" si="40"/>
        <v>-2.4829999999999997</v>
      </c>
      <c r="F1280" s="8">
        <f t="shared" si="41"/>
        <v>-2.0242061204137561E-7</v>
      </c>
    </row>
    <row r="1281" spans="1:6" x14ac:dyDescent="0.2">
      <c r="A1281">
        <v>15</v>
      </c>
      <c r="B1281" t="s">
        <v>1134</v>
      </c>
      <c r="C1281" t="s">
        <v>1023</v>
      </c>
      <c r="D1281" s="8">
        <v>2.5401675166154001E-3</v>
      </c>
      <c r="E1281" s="6">
        <f t="shared" si="40"/>
        <v>-0.62199999999999989</v>
      </c>
      <c r="F1281" s="8">
        <f t="shared" si="41"/>
        <v>-1.5799841953347785E-3</v>
      </c>
    </row>
    <row r="1282" spans="1:6" x14ac:dyDescent="0.2">
      <c r="A1282">
        <v>15</v>
      </c>
      <c r="B1282" t="s">
        <v>1134</v>
      </c>
      <c r="C1282" t="s">
        <v>1024</v>
      </c>
      <c r="D1282" s="8">
        <v>6.4253880920817479E-6</v>
      </c>
      <c r="E1282" s="6">
        <f t="shared" si="40"/>
        <v>-0.14500000000000002</v>
      </c>
      <c r="F1282" s="8">
        <f t="shared" si="41"/>
        <v>-9.3168127335185352E-7</v>
      </c>
    </row>
    <row r="1283" spans="1:6" x14ac:dyDescent="0.2">
      <c r="A1283">
        <v>15</v>
      </c>
      <c r="B1283" t="s">
        <v>1134</v>
      </c>
      <c r="C1283" t="s">
        <v>1025</v>
      </c>
      <c r="D1283" s="8">
        <v>1.300511978333503E-6</v>
      </c>
      <c r="E1283" s="6">
        <f t="shared" si="40"/>
        <v>4.7000000000000153E-2</v>
      </c>
      <c r="F1283" s="8">
        <f t="shared" si="41"/>
        <v>6.1124062981674841E-8</v>
      </c>
    </row>
    <row r="1284" spans="1:6" x14ac:dyDescent="0.2">
      <c r="A1284">
        <v>15</v>
      </c>
      <c r="B1284" t="s">
        <v>1134</v>
      </c>
      <c r="C1284" t="s">
        <v>1026</v>
      </c>
      <c r="D1284" s="8">
        <v>5.8842437767257002E-3</v>
      </c>
      <c r="E1284" s="6">
        <f t="shared" si="40"/>
        <v>-0.20000000000000018</v>
      </c>
      <c r="F1284" s="8">
        <f t="shared" si="41"/>
        <v>-1.1768487553451411E-3</v>
      </c>
    </row>
    <row r="1285" spans="1:6" x14ac:dyDescent="0.2">
      <c r="A1285">
        <v>15</v>
      </c>
      <c r="B1285" t="s">
        <v>1134</v>
      </c>
      <c r="C1285" t="s">
        <v>1027</v>
      </c>
      <c r="D1285" s="8">
        <v>7.4777055016256996E-3</v>
      </c>
      <c r="E1285" s="6">
        <f t="shared" si="40"/>
        <v>0.18999999999999995</v>
      </c>
      <c r="F1285" s="8">
        <f t="shared" si="41"/>
        <v>1.4207640453088824E-3</v>
      </c>
    </row>
    <row r="1286" spans="1:6" x14ac:dyDescent="0.2">
      <c r="A1286">
        <v>15</v>
      </c>
      <c r="B1286" t="s">
        <v>1134</v>
      </c>
      <c r="C1286" t="s">
        <v>1028</v>
      </c>
      <c r="D1286" s="8">
        <v>6.5889123224604001E-3</v>
      </c>
      <c r="E1286" s="6">
        <f t="shared" si="40"/>
        <v>-1.6600000000000001</v>
      </c>
      <c r="F1286" s="8">
        <f t="shared" si="41"/>
        <v>-1.0937594455284265E-2</v>
      </c>
    </row>
    <row r="1287" spans="1:6" x14ac:dyDescent="0.2">
      <c r="A1287">
        <v>15</v>
      </c>
      <c r="B1287" t="s">
        <v>1134</v>
      </c>
      <c r="C1287" t="s">
        <v>1030</v>
      </c>
      <c r="D1287" s="8">
        <v>2.3905650783530001E-4</v>
      </c>
      <c r="E1287" s="6">
        <f t="shared" si="40"/>
        <v>0.29999999999999982</v>
      </c>
      <c r="F1287" s="8">
        <f t="shared" si="41"/>
        <v>7.1716952350589966E-5</v>
      </c>
    </row>
    <row r="1288" spans="1:6" x14ac:dyDescent="0.2">
      <c r="A1288">
        <v>15</v>
      </c>
      <c r="B1288" t="s">
        <v>1134</v>
      </c>
      <c r="C1288" t="s">
        <v>1031</v>
      </c>
      <c r="D1288" s="8">
        <v>3.9503148712495004E-3</v>
      </c>
      <c r="E1288" s="6">
        <f t="shared" si="40"/>
        <v>0.19899999999999984</v>
      </c>
      <c r="F1288" s="8">
        <f t="shared" si="41"/>
        <v>7.8611265937864993E-4</v>
      </c>
    </row>
    <row r="1289" spans="1:6" x14ac:dyDescent="0.2">
      <c r="A1289">
        <v>15</v>
      </c>
      <c r="B1289" t="s">
        <v>1134</v>
      </c>
      <c r="C1289" t="s">
        <v>1033</v>
      </c>
      <c r="D1289" s="8">
        <v>3.3006738386783E-3</v>
      </c>
      <c r="E1289" s="6">
        <f t="shared" si="40"/>
        <v>0.23299999999999987</v>
      </c>
      <c r="F1289" s="8">
        <f t="shared" si="41"/>
        <v>7.690570044120435E-4</v>
      </c>
    </row>
    <row r="1290" spans="1:6" x14ac:dyDescent="0.2">
      <c r="A1290">
        <v>15</v>
      </c>
      <c r="B1290" t="s">
        <v>1134</v>
      </c>
      <c r="C1290" t="s">
        <v>1034</v>
      </c>
      <c r="D1290" s="8">
        <v>2.244071256679E-4</v>
      </c>
      <c r="E1290" s="6">
        <f t="shared" si="40"/>
        <v>0.70000000000000018</v>
      </c>
      <c r="F1290" s="8">
        <f t="shared" si="41"/>
        <v>1.5708498796753004E-4</v>
      </c>
    </row>
    <row r="1291" spans="1:6" x14ac:dyDescent="0.2">
      <c r="A1291">
        <v>15</v>
      </c>
      <c r="B1291" t="s">
        <v>1134</v>
      </c>
      <c r="C1291" t="s">
        <v>1100</v>
      </c>
      <c r="D1291" s="8">
        <v>2.8565392481883709E-5</v>
      </c>
      <c r="E1291" s="6">
        <f t="shared" si="40"/>
        <v>0</v>
      </c>
      <c r="F1291" s="8">
        <f t="shared" si="41"/>
        <v>0</v>
      </c>
    </row>
    <row r="1292" spans="1:6" x14ac:dyDescent="0.2">
      <c r="A1292">
        <v>15</v>
      </c>
      <c r="B1292" t="s">
        <v>1134</v>
      </c>
      <c r="C1292" t="s">
        <v>1035</v>
      </c>
      <c r="D1292" s="8">
        <v>3.8757973492667061E-5</v>
      </c>
      <c r="E1292" s="6">
        <f t="shared" si="40"/>
        <v>-14.218</v>
      </c>
      <c r="F1292" s="8">
        <f t="shared" si="41"/>
        <v>-5.5106086711874023E-4</v>
      </c>
    </row>
    <row r="1293" spans="1:6" x14ac:dyDescent="0.2">
      <c r="A1293">
        <v>15</v>
      </c>
      <c r="B1293" t="s">
        <v>1134</v>
      </c>
      <c r="C1293" t="s">
        <v>1036</v>
      </c>
      <c r="D1293" s="8">
        <v>1.6605723746290001E-4</v>
      </c>
      <c r="E1293" s="6">
        <f t="shared" si="40"/>
        <v>-2.0590000000000002</v>
      </c>
      <c r="F1293" s="8">
        <f t="shared" si="41"/>
        <v>-3.4191185193611115E-4</v>
      </c>
    </row>
    <row r="1294" spans="1:6" x14ac:dyDescent="0.2">
      <c r="A1294">
        <v>15</v>
      </c>
      <c r="B1294" t="s">
        <v>1134</v>
      </c>
      <c r="C1294" t="s">
        <v>1037</v>
      </c>
      <c r="D1294" s="8">
        <v>4.1219942324749997E-3</v>
      </c>
      <c r="E1294" s="6">
        <f t="shared" si="40"/>
        <v>0.2350000000000001</v>
      </c>
      <c r="F1294" s="8">
        <f t="shared" si="41"/>
        <v>9.6866864463162532E-4</v>
      </c>
    </row>
    <row r="1295" spans="1:6" x14ac:dyDescent="0.2">
      <c r="A1295">
        <v>15</v>
      </c>
      <c r="B1295" t="s">
        <v>1134</v>
      </c>
      <c r="C1295" t="s">
        <v>1094</v>
      </c>
      <c r="D1295" s="8">
        <v>8.9390058497013994E-3</v>
      </c>
      <c r="E1295" s="6">
        <f t="shared" si="40"/>
        <v>0</v>
      </c>
      <c r="F1295" s="8">
        <f t="shared" si="41"/>
        <v>0</v>
      </c>
    </row>
    <row r="1296" spans="1:6" x14ac:dyDescent="0.2">
      <c r="A1296">
        <v>15</v>
      </c>
      <c r="B1296" t="s">
        <v>1134</v>
      </c>
      <c r="C1296" t="s">
        <v>1039</v>
      </c>
      <c r="D1296" s="8">
        <v>9.6913367074780003E-4</v>
      </c>
      <c r="E1296" s="6">
        <f t="shared" si="40"/>
        <v>-0.6419999999999999</v>
      </c>
      <c r="F1296" s="8">
        <f t="shared" si="41"/>
        <v>-6.2218381662008753E-4</v>
      </c>
    </row>
    <row r="1297" spans="1:6" x14ac:dyDescent="0.2">
      <c r="A1297">
        <v>15</v>
      </c>
      <c r="B1297" t="s">
        <v>1134</v>
      </c>
      <c r="C1297" t="s">
        <v>1040</v>
      </c>
      <c r="D1297" s="8">
        <v>1.0281585793190309E-5</v>
      </c>
      <c r="E1297" s="6">
        <f t="shared" si="40"/>
        <v>-8.1180000000000003</v>
      </c>
      <c r="F1297" s="8">
        <f t="shared" si="41"/>
        <v>-8.3465913469118937E-5</v>
      </c>
    </row>
    <row r="1298" spans="1:6" x14ac:dyDescent="0.2">
      <c r="A1298">
        <v>15</v>
      </c>
      <c r="B1298" t="s">
        <v>1134</v>
      </c>
      <c r="C1298" t="s">
        <v>1041</v>
      </c>
      <c r="D1298" s="8">
        <v>1.4318865331454919E-5</v>
      </c>
      <c r="E1298" s="6">
        <f t="shared" si="40"/>
        <v>-1.8890000000000002</v>
      </c>
      <c r="F1298" s="8">
        <f t="shared" si="41"/>
        <v>-2.7048336611118346E-5</v>
      </c>
    </row>
    <row r="1299" spans="1:6" x14ac:dyDescent="0.2">
      <c r="A1299">
        <v>15</v>
      </c>
      <c r="B1299" t="s">
        <v>1134</v>
      </c>
      <c r="C1299" t="s">
        <v>1042</v>
      </c>
      <c r="D1299" s="8">
        <v>1.20930531357334E-2</v>
      </c>
      <c r="E1299" s="6">
        <f t="shared" si="40"/>
        <v>1.621</v>
      </c>
      <c r="F1299" s="8">
        <f t="shared" si="41"/>
        <v>1.9602839133023842E-2</v>
      </c>
    </row>
    <row r="1300" spans="1:6" x14ac:dyDescent="0.2">
      <c r="A1300">
        <v>15</v>
      </c>
      <c r="B1300" t="s">
        <v>1134</v>
      </c>
      <c r="C1300" t="s">
        <v>1043</v>
      </c>
      <c r="D1300" s="8">
        <v>7.5949225094725403E-6</v>
      </c>
      <c r="E1300" s="6">
        <f t="shared" si="40"/>
        <v>-2.8000000000000025E-2</v>
      </c>
      <c r="F1300" s="8">
        <f t="shared" si="41"/>
        <v>-2.1265783026523131E-7</v>
      </c>
    </row>
    <row r="1301" spans="1:6" x14ac:dyDescent="0.2">
      <c r="A1301">
        <v>15</v>
      </c>
      <c r="B1301" t="s">
        <v>1134</v>
      </c>
      <c r="C1301" t="s">
        <v>1045</v>
      </c>
      <c r="D1301" s="8">
        <v>4.8381691778991062E-5</v>
      </c>
      <c r="E1301" s="6">
        <f t="shared" si="40"/>
        <v>0.7849999999999997</v>
      </c>
      <c r="F1301" s="8">
        <f t="shared" si="41"/>
        <v>3.7979628046507972E-5</v>
      </c>
    </row>
    <row r="1302" spans="1:6" x14ac:dyDescent="0.2">
      <c r="A1302">
        <v>15</v>
      </c>
      <c r="B1302" t="s">
        <v>1134</v>
      </c>
      <c r="C1302" t="s">
        <v>1047</v>
      </c>
      <c r="D1302" s="8">
        <v>4.5153357999455763E-5</v>
      </c>
      <c r="E1302" s="6">
        <f t="shared" si="40"/>
        <v>-1.4999999999999996</v>
      </c>
      <c r="F1302" s="8">
        <f t="shared" si="41"/>
        <v>-6.7730036999183628E-5</v>
      </c>
    </row>
    <row r="1303" spans="1:6" x14ac:dyDescent="0.2">
      <c r="A1303">
        <v>15</v>
      </c>
      <c r="B1303" t="s">
        <v>1134</v>
      </c>
      <c r="C1303" t="s">
        <v>1048</v>
      </c>
      <c r="D1303" s="8">
        <v>2.7288422821859998E-4</v>
      </c>
      <c r="E1303" s="6">
        <f t="shared" si="40"/>
        <v>-1.4340000000000002</v>
      </c>
      <c r="F1303" s="8">
        <f t="shared" si="41"/>
        <v>-3.913159832654724E-4</v>
      </c>
    </row>
    <row r="1304" spans="1:6" x14ac:dyDescent="0.2">
      <c r="A1304">
        <v>15</v>
      </c>
      <c r="B1304" t="s">
        <v>1134</v>
      </c>
      <c r="C1304" t="s">
        <v>1051</v>
      </c>
      <c r="D1304" s="8">
        <v>1.9704226023508848E-9</v>
      </c>
      <c r="E1304" s="6">
        <f t="shared" si="40"/>
        <v>0.18199999999999994</v>
      </c>
      <c r="F1304" s="8">
        <f t="shared" si="41"/>
        <v>3.5861691362786092E-10</v>
      </c>
    </row>
    <row r="1305" spans="1:6" x14ac:dyDescent="0.2">
      <c r="A1305">
        <v>15</v>
      </c>
      <c r="B1305" t="s">
        <v>1134</v>
      </c>
      <c r="C1305" t="s">
        <v>1052</v>
      </c>
      <c r="D1305" s="8">
        <v>1.0832273783902E-3</v>
      </c>
      <c r="E1305" s="6">
        <f t="shared" si="40"/>
        <v>-1.1059999999999999</v>
      </c>
      <c r="F1305" s="8">
        <f t="shared" si="41"/>
        <v>-1.198049480499561E-3</v>
      </c>
    </row>
    <row r="1306" spans="1:6" x14ac:dyDescent="0.2">
      <c r="A1306">
        <v>15</v>
      </c>
      <c r="B1306" t="s">
        <v>1134</v>
      </c>
      <c r="C1306" t="s">
        <v>1053</v>
      </c>
      <c r="D1306" s="8">
        <v>4.510364306023E-4</v>
      </c>
      <c r="E1306" s="6">
        <f t="shared" si="40"/>
        <v>-0.39999999999999991</v>
      </c>
      <c r="F1306" s="8">
        <f t="shared" si="41"/>
        <v>-1.8041457224091996E-4</v>
      </c>
    </row>
    <row r="1307" spans="1:6" x14ac:dyDescent="0.2">
      <c r="A1307">
        <v>15</v>
      </c>
      <c r="B1307" t="s">
        <v>1134</v>
      </c>
      <c r="C1307" t="s">
        <v>1054</v>
      </c>
      <c r="D1307" s="8">
        <v>1.9999473775964001E-3</v>
      </c>
      <c r="E1307" s="6">
        <f t="shared" si="40"/>
        <v>-0.16800000000000015</v>
      </c>
      <c r="F1307" s="8">
        <f t="shared" si="41"/>
        <v>-3.3599115943619553E-4</v>
      </c>
    </row>
    <row r="1308" spans="1:6" x14ac:dyDescent="0.2">
      <c r="A1308">
        <v>15</v>
      </c>
      <c r="B1308" t="s">
        <v>1134</v>
      </c>
      <c r="C1308" t="s">
        <v>1055</v>
      </c>
      <c r="D1308" s="8">
        <v>4.7000530006813971E-8</v>
      </c>
      <c r="E1308" s="6">
        <f t="shared" si="40"/>
        <v>-0.93100000000000005</v>
      </c>
      <c r="F1308" s="8">
        <f t="shared" si="41"/>
        <v>-4.3757493436343809E-8</v>
      </c>
    </row>
    <row r="1309" spans="1:6" x14ac:dyDescent="0.2">
      <c r="A1309">
        <v>15</v>
      </c>
      <c r="B1309" t="s">
        <v>1134</v>
      </c>
      <c r="C1309" t="s">
        <v>1056</v>
      </c>
      <c r="D1309" s="8">
        <v>3.3049254285199612E-6</v>
      </c>
      <c r="E1309" s="6">
        <f t="shared" si="40"/>
        <v>-1.996</v>
      </c>
      <c r="F1309" s="8">
        <f t="shared" si="41"/>
        <v>-6.5966311553258427E-6</v>
      </c>
    </row>
    <row r="1310" spans="1:6" x14ac:dyDescent="0.2">
      <c r="A1310">
        <v>15</v>
      </c>
      <c r="B1310" t="s">
        <v>1134</v>
      </c>
      <c r="C1310" t="s">
        <v>1112</v>
      </c>
      <c r="D1310" s="8">
        <v>1.127769392808614E-7</v>
      </c>
      <c r="E1310" s="6">
        <f t="shared" si="40"/>
        <v>0</v>
      </c>
      <c r="F1310" s="8">
        <f t="shared" si="41"/>
        <v>0</v>
      </c>
    </row>
    <row r="1311" spans="1:6" x14ac:dyDescent="0.2">
      <c r="A1311">
        <v>15</v>
      </c>
      <c r="B1311" t="s">
        <v>1134</v>
      </c>
      <c r="C1311" t="s">
        <v>1058</v>
      </c>
      <c r="D1311" s="8">
        <v>4.6757202651892768E-7</v>
      </c>
      <c r="E1311" s="6">
        <f t="shared" si="40"/>
        <v>-0.5</v>
      </c>
      <c r="F1311" s="8">
        <f t="shared" si="41"/>
        <v>-2.3378601325946384E-7</v>
      </c>
    </row>
    <row r="1312" spans="1:6" x14ac:dyDescent="0.2">
      <c r="A1312">
        <v>15</v>
      </c>
      <c r="B1312" t="s">
        <v>1134</v>
      </c>
      <c r="C1312" t="s">
        <v>1059</v>
      </c>
      <c r="D1312" s="8">
        <v>5.3995928293006003E-3</v>
      </c>
      <c r="E1312" s="6">
        <f t="shared" si="40"/>
        <v>-0.10000000000000009</v>
      </c>
      <c r="F1312" s="8">
        <f t="shared" si="41"/>
        <v>-5.3995928293006047E-4</v>
      </c>
    </row>
    <row r="1313" spans="1:6" x14ac:dyDescent="0.2">
      <c r="A1313">
        <v>15</v>
      </c>
      <c r="B1313" t="s">
        <v>1134</v>
      </c>
      <c r="C1313" t="s">
        <v>1062</v>
      </c>
      <c r="D1313" s="8">
        <v>2.13760853266E-4</v>
      </c>
      <c r="E1313" s="6">
        <f t="shared" si="40"/>
        <v>0.89999999999999947</v>
      </c>
      <c r="F1313" s="8">
        <f t="shared" si="41"/>
        <v>1.9238476793939988E-4</v>
      </c>
    </row>
    <row r="1314" spans="1:6" x14ac:dyDescent="0.2">
      <c r="A1314">
        <v>15</v>
      </c>
      <c r="B1314" t="s">
        <v>1134</v>
      </c>
      <c r="C1314" t="s">
        <v>1064</v>
      </c>
      <c r="D1314" s="8">
        <v>1.2503587721629271E-7</v>
      </c>
      <c r="E1314" s="6">
        <f t="shared" si="40"/>
        <v>-0.29400000000000004</v>
      </c>
      <c r="F1314" s="8">
        <f t="shared" si="41"/>
        <v>-3.676054790159006E-8</v>
      </c>
    </row>
    <row r="1315" spans="1:6" x14ac:dyDescent="0.2">
      <c r="A1315">
        <v>15</v>
      </c>
      <c r="B1315" t="s">
        <v>1134</v>
      </c>
      <c r="C1315" t="s">
        <v>1066</v>
      </c>
      <c r="D1315" s="8">
        <v>6.6891563685457997E-3</v>
      </c>
      <c r="E1315" s="6">
        <f t="shared" si="40"/>
        <v>0.20900000000000007</v>
      </c>
      <c r="F1315" s="8">
        <f t="shared" si="41"/>
        <v>1.3980336810260727E-3</v>
      </c>
    </row>
    <row r="1316" spans="1:6" x14ac:dyDescent="0.2">
      <c r="A1316">
        <v>15</v>
      </c>
      <c r="B1316" t="s">
        <v>1134</v>
      </c>
      <c r="C1316" t="s">
        <v>1067</v>
      </c>
      <c r="D1316" s="8">
        <v>1.4546744044201159E-8</v>
      </c>
      <c r="E1316" s="6">
        <f t="shared" si="40"/>
        <v>0.17700000000000005</v>
      </c>
      <c r="F1316" s="8">
        <f t="shared" si="41"/>
        <v>2.5747736958236058E-9</v>
      </c>
    </row>
    <row r="1317" spans="1:6" x14ac:dyDescent="0.2">
      <c r="A1317">
        <v>15</v>
      </c>
      <c r="B1317" t="s">
        <v>1134</v>
      </c>
      <c r="C1317" t="s">
        <v>1106</v>
      </c>
      <c r="D1317" s="8">
        <v>2.7736466373480321E-5</v>
      </c>
      <c r="E1317" s="6">
        <f t="shared" si="40"/>
        <v>0</v>
      </c>
      <c r="F1317" s="8">
        <f t="shared" si="41"/>
        <v>0</v>
      </c>
    </row>
    <row r="1318" spans="1:6" x14ac:dyDescent="0.2">
      <c r="A1318">
        <v>15</v>
      </c>
      <c r="B1318" t="s">
        <v>1134</v>
      </c>
      <c r="C1318" t="s">
        <v>1069</v>
      </c>
      <c r="D1318" s="8">
        <v>2.724208430095854E-6</v>
      </c>
      <c r="E1318" s="6">
        <f t="shared" si="40"/>
        <v>-0.13199999999999967</v>
      </c>
      <c r="F1318" s="8">
        <f t="shared" si="41"/>
        <v>-3.5959551277265185E-7</v>
      </c>
    </row>
    <row r="1319" spans="1:6" x14ac:dyDescent="0.2">
      <c r="A1319">
        <v>15</v>
      </c>
      <c r="B1319" t="s">
        <v>1134</v>
      </c>
      <c r="C1319" t="s">
        <v>1070</v>
      </c>
      <c r="D1319" s="8">
        <v>3.7913449571840002E-4</v>
      </c>
      <c r="E1319" s="6">
        <f t="shared" si="40"/>
        <v>-2.5</v>
      </c>
      <c r="F1319" s="8">
        <f t="shared" si="41"/>
        <v>-9.4783623929600009E-4</v>
      </c>
    </row>
    <row r="1320" spans="1:6" x14ac:dyDescent="0.2">
      <c r="A1320">
        <v>15</v>
      </c>
      <c r="B1320" t="s">
        <v>1134</v>
      </c>
      <c r="C1320" t="s">
        <v>1071</v>
      </c>
      <c r="D1320" s="8">
        <v>1.3332802922765999E-3</v>
      </c>
      <c r="E1320" s="6">
        <f t="shared" si="40"/>
        <v>-0.8</v>
      </c>
      <c r="F1320" s="8">
        <f t="shared" si="41"/>
        <v>-1.06662423382128E-3</v>
      </c>
    </row>
    <row r="1321" spans="1:6" x14ac:dyDescent="0.2">
      <c r="A1321">
        <v>15</v>
      </c>
      <c r="B1321" t="s">
        <v>1134</v>
      </c>
      <c r="C1321" t="s">
        <v>1072</v>
      </c>
      <c r="D1321" s="8">
        <v>0.3282545411364598</v>
      </c>
      <c r="E1321" s="6">
        <f t="shared" si="40"/>
        <v>0.55599999999999983</v>
      </c>
      <c r="F1321" s="8">
        <f t="shared" si="41"/>
        <v>0.18250952487187158</v>
      </c>
    </row>
    <row r="1322" spans="1:6" x14ac:dyDescent="0.2">
      <c r="A1322">
        <v>15</v>
      </c>
      <c r="B1322" t="s">
        <v>1134</v>
      </c>
      <c r="C1322" t="s">
        <v>1073</v>
      </c>
      <c r="D1322" s="8">
        <v>4.1643360904717691E-9</v>
      </c>
      <c r="E1322" s="6">
        <f t="shared" si="40"/>
        <v>0.69200000000000017</v>
      </c>
      <c r="F1322" s="8">
        <f t="shared" si="41"/>
        <v>2.8817205746064647E-9</v>
      </c>
    </row>
    <row r="1323" spans="1:6" x14ac:dyDescent="0.2">
      <c r="A1323">
        <v>15</v>
      </c>
      <c r="B1323" t="s">
        <v>1134</v>
      </c>
      <c r="C1323" t="s">
        <v>1107</v>
      </c>
      <c r="D1323" s="8">
        <v>1.0564797675418141E-6</v>
      </c>
      <c r="E1323" s="6">
        <f t="shared" si="40"/>
        <v>0</v>
      </c>
      <c r="F1323" s="8">
        <f t="shared" si="41"/>
        <v>0</v>
      </c>
    </row>
    <row r="1324" spans="1:6" x14ac:dyDescent="0.2">
      <c r="A1324">
        <v>15</v>
      </c>
      <c r="B1324" t="s">
        <v>1134</v>
      </c>
      <c r="C1324" t="s">
        <v>1075</v>
      </c>
      <c r="D1324" s="8">
        <v>7.1642366627520998E-3</v>
      </c>
      <c r="E1324" s="6">
        <f t="shared" si="40"/>
        <v>3.0529999999999999</v>
      </c>
      <c r="F1324" s="8">
        <f t="shared" si="41"/>
        <v>2.187241453138216E-2</v>
      </c>
    </row>
    <row r="1325" spans="1:6" x14ac:dyDescent="0.2">
      <c r="A1325">
        <v>15</v>
      </c>
      <c r="B1325" t="s">
        <v>1134</v>
      </c>
      <c r="C1325" t="s">
        <v>1076</v>
      </c>
      <c r="D1325" s="8">
        <v>2.7740111919780921E-7</v>
      </c>
      <c r="E1325" s="6">
        <f t="shared" si="40"/>
        <v>1.4060000000000001</v>
      </c>
      <c r="F1325" s="8">
        <f t="shared" si="41"/>
        <v>3.9002597359211977E-7</v>
      </c>
    </row>
    <row r="1326" spans="1:6" x14ac:dyDescent="0.2">
      <c r="A1326">
        <v>15</v>
      </c>
      <c r="B1326" t="s">
        <v>1134</v>
      </c>
      <c r="C1326" t="s">
        <v>1133</v>
      </c>
      <c r="D1326" s="8">
        <v>9.4143882591516447E-9</v>
      </c>
      <c r="E1326" s="6">
        <f t="shared" si="40"/>
        <v>0</v>
      </c>
      <c r="F1326" s="8">
        <f t="shared" si="41"/>
        <v>0</v>
      </c>
    </row>
    <row r="1327" spans="1:6" x14ac:dyDescent="0.2">
      <c r="A1327">
        <v>15</v>
      </c>
      <c r="B1327" t="s">
        <v>1134</v>
      </c>
      <c r="C1327" t="s">
        <v>1078</v>
      </c>
      <c r="D1327" s="8">
        <v>1.080217408959397E-5</v>
      </c>
      <c r="E1327" s="6">
        <f t="shared" si="40"/>
        <v>0.5</v>
      </c>
      <c r="F1327" s="8">
        <f t="shared" si="41"/>
        <v>5.401087044796985E-6</v>
      </c>
    </row>
    <row r="1328" spans="1:6" x14ac:dyDescent="0.2">
      <c r="A1328">
        <v>15</v>
      </c>
      <c r="B1328" t="s">
        <v>1134</v>
      </c>
      <c r="C1328" t="s">
        <v>1079</v>
      </c>
      <c r="D1328" s="8">
        <v>6.5386522577593996E-3</v>
      </c>
      <c r="E1328" s="6">
        <f t="shared" si="40"/>
        <v>-0.28899999999999992</v>
      </c>
      <c r="F1328" s="8">
        <f t="shared" si="41"/>
        <v>-1.889670502492466E-3</v>
      </c>
    </row>
    <row r="1329" spans="1:6" x14ac:dyDescent="0.2">
      <c r="A1329">
        <v>16</v>
      </c>
      <c r="B1329" t="s">
        <v>1136</v>
      </c>
      <c r="C1329" t="s">
        <v>902</v>
      </c>
      <c r="D1329" s="8">
        <v>1.4509337666738399E-5</v>
      </c>
      <c r="E1329" s="6">
        <f t="shared" si="40"/>
        <v>-0.28000000000000025</v>
      </c>
      <c r="F1329" s="8">
        <f t="shared" si="41"/>
        <v>-4.0626145466867556E-6</v>
      </c>
    </row>
    <row r="1330" spans="1:6" x14ac:dyDescent="0.2">
      <c r="A1330">
        <v>16</v>
      </c>
      <c r="B1330" t="s">
        <v>1136</v>
      </c>
      <c r="C1330" t="s">
        <v>903</v>
      </c>
      <c r="D1330" s="8">
        <v>2.429925128277046E-7</v>
      </c>
      <c r="E1330" s="6">
        <f t="shared" si="40"/>
        <v>0.22399999999999975</v>
      </c>
      <c r="F1330" s="8">
        <f t="shared" si="41"/>
        <v>5.443032287340577E-8</v>
      </c>
    </row>
    <row r="1331" spans="1:6" x14ac:dyDescent="0.2">
      <c r="A1331">
        <v>16</v>
      </c>
      <c r="B1331" t="s">
        <v>1136</v>
      </c>
      <c r="C1331" t="s">
        <v>1127</v>
      </c>
      <c r="D1331" s="8">
        <v>5.449920860134141E-7</v>
      </c>
      <c r="E1331" s="6">
        <f t="shared" si="40"/>
        <v>0</v>
      </c>
      <c r="F1331" s="8">
        <f t="shared" si="41"/>
        <v>0</v>
      </c>
    </row>
    <row r="1332" spans="1:6" x14ac:dyDescent="0.2">
      <c r="A1332">
        <v>16</v>
      </c>
      <c r="B1332" t="s">
        <v>1136</v>
      </c>
      <c r="C1332" t="s">
        <v>904</v>
      </c>
      <c r="D1332" s="8">
        <v>8.6108235596610969E-5</v>
      </c>
      <c r="E1332" s="6">
        <f t="shared" si="40"/>
        <v>-6.800000000000006E-2</v>
      </c>
      <c r="F1332" s="8">
        <f t="shared" si="41"/>
        <v>-5.855360020569551E-6</v>
      </c>
    </row>
    <row r="1333" spans="1:6" x14ac:dyDescent="0.2">
      <c r="A1333">
        <v>16</v>
      </c>
      <c r="B1333" t="s">
        <v>1136</v>
      </c>
      <c r="C1333" t="s">
        <v>906</v>
      </c>
      <c r="D1333" s="8">
        <v>7.8987512358772004E-3</v>
      </c>
      <c r="E1333" s="6">
        <f t="shared" si="40"/>
        <v>-1.8859999999999997</v>
      </c>
      <c r="F1333" s="8">
        <f t="shared" si="41"/>
        <v>-1.4897044830864398E-2</v>
      </c>
    </row>
    <row r="1334" spans="1:6" x14ac:dyDescent="0.2">
      <c r="A1334">
        <v>16</v>
      </c>
      <c r="B1334" t="s">
        <v>1136</v>
      </c>
      <c r="C1334" t="s">
        <v>907</v>
      </c>
      <c r="D1334" s="8">
        <v>1.120661575568E-4</v>
      </c>
      <c r="E1334" s="6">
        <f t="shared" si="40"/>
        <v>-1.0199999999999996</v>
      </c>
      <c r="F1334" s="8">
        <f t="shared" si="41"/>
        <v>-1.1430748070793596E-4</v>
      </c>
    </row>
    <row r="1335" spans="1:6" x14ac:dyDescent="0.2">
      <c r="A1335">
        <v>16</v>
      </c>
      <c r="B1335" t="s">
        <v>1136</v>
      </c>
      <c r="C1335" t="s">
        <v>908</v>
      </c>
      <c r="D1335" s="8">
        <v>1.826692808745173E-5</v>
      </c>
      <c r="E1335" s="6">
        <f t="shared" si="40"/>
        <v>0.79999999999999982</v>
      </c>
      <c r="F1335" s="8">
        <f t="shared" si="41"/>
        <v>1.461354246996138E-5</v>
      </c>
    </row>
    <row r="1336" spans="1:6" x14ac:dyDescent="0.2">
      <c r="A1336">
        <v>16</v>
      </c>
      <c r="B1336" t="s">
        <v>1136</v>
      </c>
      <c r="C1336" t="s">
        <v>909</v>
      </c>
      <c r="D1336" s="8">
        <v>2.1540094274129999E-4</v>
      </c>
      <c r="E1336" s="6">
        <f t="shared" si="40"/>
        <v>5.9000000000000163E-2</v>
      </c>
      <c r="F1336" s="8">
        <f t="shared" si="41"/>
        <v>1.2708655621736735E-5</v>
      </c>
    </row>
    <row r="1337" spans="1:6" x14ac:dyDescent="0.2">
      <c r="A1337">
        <v>16</v>
      </c>
      <c r="B1337" t="s">
        <v>1136</v>
      </c>
      <c r="C1337" t="s">
        <v>910</v>
      </c>
      <c r="D1337" s="8">
        <v>4.8108832620879803E-2</v>
      </c>
      <c r="E1337" s="6">
        <f t="shared" si="40"/>
        <v>-7.7999999999999847E-2</v>
      </c>
      <c r="F1337" s="8">
        <f t="shared" si="41"/>
        <v>-3.7524889444286173E-3</v>
      </c>
    </row>
    <row r="1338" spans="1:6" x14ac:dyDescent="0.2">
      <c r="A1338">
        <v>16</v>
      </c>
      <c r="B1338" t="s">
        <v>1136</v>
      </c>
      <c r="C1338" t="s">
        <v>911</v>
      </c>
      <c r="D1338" s="8">
        <v>9.7926379708733095E-5</v>
      </c>
      <c r="E1338" s="6">
        <f t="shared" si="40"/>
        <v>-7.5000000000000067E-2</v>
      </c>
      <c r="F1338" s="8">
        <f t="shared" si="41"/>
        <v>-7.344478478154989E-6</v>
      </c>
    </row>
    <row r="1339" spans="1:6" x14ac:dyDescent="0.2">
      <c r="A1339">
        <v>16</v>
      </c>
      <c r="B1339" t="s">
        <v>1136</v>
      </c>
      <c r="C1339" t="s">
        <v>914</v>
      </c>
      <c r="D1339" s="8">
        <v>8.6733856754232994E-3</v>
      </c>
      <c r="E1339" s="6">
        <f t="shared" si="40"/>
        <v>-0.26900000000000002</v>
      </c>
      <c r="F1339" s="8">
        <f t="shared" si="41"/>
        <v>-2.3331407466888675E-3</v>
      </c>
    </row>
    <row r="1340" spans="1:6" x14ac:dyDescent="0.2">
      <c r="A1340">
        <v>16</v>
      </c>
      <c r="B1340" t="s">
        <v>1136</v>
      </c>
      <c r="C1340" t="s">
        <v>915</v>
      </c>
      <c r="D1340" s="8">
        <v>3.7849301063505372E-10</v>
      </c>
      <c r="E1340" s="6">
        <f t="shared" si="40"/>
        <v>0.81400000000000006</v>
      </c>
      <c r="F1340" s="8">
        <f t="shared" si="41"/>
        <v>3.0809331065693374E-10</v>
      </c>
    </row>
    <row r="1341" spans="1:6" x14ac:dyDescent="0.2">
      <c r="A1341">
        <v>16</v>
      </c>
      <c r="B1341" t="s">
        <v>1136</v>
      </c>
      <c r="C1341" t="s">
        <v>917</v>
      </c>
      <c r="D1341" s="8">
        <v>1.0425920141179999E-3</v>
      </c>
      <c r="E1341" s="6">
        <f t="shared" si="40"/>
        <v>-1.83</v>
      </c>
      <c r="F1341" s="8">
        <f t="shared" si="41"/>
        <v>-1.9079433858359399E-3</v>
      </c>
    </row>
    <row r="1342" spans="1:6" x14ac:dyDescent="0.2">
      <c r="A1342">
        <v>16</v>
      </c>
      <c r="B1342" t="s">
        <v>1136</v>
      </c>
      <c r="C1342" t="s">
        <v>918</v>
      </c>
      <c r="D1342" s="8">
        <v>5.522869407744479E-5</v>
      </c>
      <c r="E1342" s="6">
        <f t="shared" ref="E1342:E1405" si="42">IFERROR(VLOOKUP(C1342,$A$6:$D$185,4,FALSE),0)</f>
        <v>0.1469999999999998</v>
      </c>
      <c r="F1342" s="8">
        <f t="shared" ref="F1342:F1405" si="43">D1342*E1342</f>
        <v>8.1186180293843723E-6</v>
      </c>
    </row>
    <row r="1343" spans="1:6" x14ac:dyDescent="0.2">
      <c r="A1343">
        <v>16</v>
      </c>
      <c r="B1343" t="s">
        <v>1136</v>
      </c>
      <c r="C1343" t="s">
        <v>919</v>
      </c>
      <c r="D1343" s="8">
        <v>2.8812527222760002E-4</v>
      </c>
      <c r="E1343" s="6">
        <f t="shared" si="42"/>
        <v>-3.4940000000000002</v>
      </c>
      <c r="F1343" s="8">
        <f t="shared" si="43"/>
        <v>-1.0067097011632346E-3</v>
      </c>
    </row>
    <row r="1344" spans="1:6" x14ac:dyDescent="0.2">
      <c r="A1344">
        <v>16</v>
      </c>
      <c r="B1344" t="s">
        <v>1136</v>
      </c>
      <c r="C1344" t="s">
        <v>920</v>
      </c>
      <c r="D1344" s="8">
        <v>9.9257468091957565E-6</v>
      </c>
      <c r="E1344" s="6">
        <f t="shared" si="42"/>
        <v>0.40000000000000013</v>
      </c>
      <c r="F1344" s="8">
        <f t="shared" si="43"/>
        <v>3.9702987236783036E-6</v>
      </c>
    </row>
    <row r="1345" spans="1:6" x14ac:dyDescent="0.2">
      <c r="A1345">
        <v>16</v>
      </c>
      <c r="B1345" t="s">
        <v>1136</v>
      </c>
      <c r="C1345" t="s">
        <v>923</v>
      </c>
      <c r="D1345" s="8">
        <v>5.9499101271830461E-7</v>
      </c>
      <c r="E1345" s="6">
        <f t="shared" si="42"/>
        <v>-0.29999999999999982</v>
      </c>
      <c r="F1345" s="8">
        <f t="shared" si="43"/>
        <v>-1.7849730381549127E-7</v>
      </c>
    </row>
    <row r="1346" spans="1:6" x14ac:dyDescent="0.2">
      <c r="A1346">
        <v>16</v>
      </c>
      <c r="B1346" t="s">
        <v>1136</v>
      </c>
      <c r="C1346" t="s">
        <v>1129</v>
      </c>
      <c r="D1346" s="8">
        <v>7.0778192988755081E-8</v>
      </c>
      <c r="E1346" s="6">
        <f t="shared" si="42"/>
        <v>0</v>
      </c>
      <c r="F1346" s="8">
        <f t="shared" si="43"/>
        <v>0</v>
      </c>
    </row>
    <row r="1347" spans="1:6" x14ac:dyDescent="0.2">
      <c r="A1347">
        <v>16</v>
      </c>
      <c r="B1347" t="s">
        <v>1136</v>
      </c>
      <c r="C1347" t="s">
        <v>924</v>
      </c>
      <c r="D1347" s="8">
        <v>2.5538991399800002E-4</v>
      </c>
      <c r="E1347" s="6">
        <f t="shared" si="42"/>
        <v>-8.4000000000000075E-2</v>
      </c>
      <c r="F1347" s="8">
        <f t="shared" si="43"/>
        <v>-2.1452752775832019E-5</v>
      </c>
    </row>
    <row r="1348" spans="1:6" x14ac:dyDescent="0.2">
      <c r="A1348">
        <v>16</v>
      </c>
      <c r="B1348" t="s">
        <v>1136</v>
      </c>
      <c r="C1348" t="s">
        <v>925</v>
      </c>
      <c r="D1348" s="8">
        <v>2.455810265274377E-6</v>
      </c>
      <c r="E1348" s="6">
        <f t="shared" si="42"/>
        <v>0.20000000000000018</v>
      </c>
      <c r="F1348" s="8">
        <f t="shared" si="43"/>
        <v>4.9116205305487582E-7</v>
      </c>
    </row>
    <row r="1349" spans="1:6" x14ac:dyDescent="0.2">
      <c r="A1349">
        <v>16</v>
      </c>
      <c r="B1349" t="s">
        <v>1136</v>
      </c>
      <c r="C1349" t="s">
        <v>926</v>
      </c>
      <c r="D1349" s="8">
        <v>3.2224628428529999E-4</v>
      </c>
      <c r="E1349" s="6">
        <f t="shared" si="42"/>
        <v>-4.8000000000000043E-2</v>
      </c>
      <c r="F1349" s="8">
        <f t="shared" si="43"/>
        <v>-1.5467821645694414E-5</v>
      </c>
    </row>
    <row r="1350" spans="1:6" x14ac:dyDescent="0.2">
      <c r="A1350">
        <v>16</v>
      </c>
      <c r="B1350" t="s">
        <v>1136</v>
      </c>
      <c r="C1350" t="s">
        <v>927</v>
      </c>
      <c r="D1350" s="8">
        <v>1.400424139349699E-6</v>
      </c>
      <c r="E1350" s="6">
        <f t="shared" si="42"/>
        <v>0.5</v>
      </c>
      <c r="F1350" s="8">
        <f t="shared" si="43"/>
        <v>7.002120696748495E-7</v>
      </c>
    </row>
    <row r="1351" spans="1:6" x14ac:dyDescent="0.2">
      <c r="A1351">
        <v>16</v>
      </c>
      <c r="B1351" t="s">
        <v>1136</v>
      </c>
      <c r="C1351" t="s">
        <v>928</v>
      </c>
      <c r="D1351" s="8">
        <v>7.3421890969438785E-5</v>
      </c>
      <c r="E1351" s="6">
        <f t="shared" si="42"/>
        <v>2.423</v>
      </c>
      <c r="F1351" s="8">
        <f t="shared" si="43"/>
        <v>1.7790124181895018E-4</v>
      </c>
    </row>
    <row r="1352" spans="1:6" x14ac:dyDescent="0.2">
      <c r="A1352">
        <v>16</v>
      </c>
      <c r="B1352" t="s">
        <v>1136</v>
      </c>
      <c r="C1352" t="s">
        <v>930</v>
      </c>
      <c r="D1352" s="8">
        <v>3.5079758808464001E-3</v>
      </c>
      <c r="E1352" s="6">
        <f t="shared" si="42"/>
        <v>-5.8000000000000052E-2</v>
      </c>
      <c r="F1352" s="8">
        <f t="shared" si="43"/>
        <v>-2.0346260108909138E-4</v>
      </c>
    </row>
    <row r="1353" spans="1:6" x14ac:dyDescent="0.2">
      <c r="A1353">
        <v>16</v>
      </c>
      <c r="B1353" t="s">
        <v>1136</v>
      </c>
      <c r="C1353" t="s">
        <v>931</v>
      </c>
      <c r="D1353" s="8">
        <v>1.677844565671273E-5</v>
      </c>
      <c r="E1353" s="6">
        <f t="shared" si="42"/>
        <v>-0.31099999999999994</v>
      </c>
      <c r="F1353" s="8">
        <f t="shared" si="43"/>
        <v>-5.2180965992376581E-6</v>
      </c>
    </row>
    <row r="1354" spans="1:6" x14ac:dyDescent="0.2">
      <c r="A1354">
        <v>16</v>
      </c>
      <c r="B1354" t="s">
        <v>1136</v>
      </c>
      <c r="C1354" t="s">
        <v>932</v>
      </c>
      <c r="D1354" s="8">
        <v>7.5316952106174007E-5</v>
      </c>
      <c r="E1354" s="6">
        <f t="shared" si="42"/>
        <v>0.21799999999999997</v>
      </c>
      <c r="F1354" s="8">
        <f t="shared" si="43"/>
        <v>1.641909555914593E-5</v>
      </c>
    </row>
    <row r="1355" spans="1:6" x14ac:dyDescent="0.2">
      <c r="A1355">
        <v>16</v>
      </c>
      <c r="B1355" t="s">
        <v>1136</v>
      </c>
      <c r="C1355" t="s">
        <v>933</v>
      </c>
      <c r="D1355" s="8">
        <v>0.125957611207622</v>
      </c>
      <c r="E1355" s="6">
        <f t="shared" si="42"/>
        <v>0.4430000000000005</v>
      </c>
      <c r="F1355" s="8">
        <f t="shared" si="43"/>
        <v>5.5799221764976613E-2</v>
      </c>
    </row>
    <row r="1356" spans="1:6" x14ac:dyDescent="0.2">
      <c r="A1356">
        <v>16</v>
      </c>
      <c r="B1356" t="s">
        <v>1136</v>
      </c>
      <c r="C1356" t="s">
        <v>934</v>
      </c>
      <c r="D1356" s="8">
        <v>2.6679018517278141E-5</v>
      </c>
      <c r="E1356" s="6">
        <f t="shared" si="42"/>
        <v>-0.20000000000000018</v>
      </c>
      <c r="F1356" s="8">
        <f t="shared" si="43"/>
        <v>-5.3358037034556328E-6</v>
      </c>
    </row>
    <row r="1357" spans="1:6" x14ac:dyDescent="0.2">
      <c r="A1357">
        <v>16</v>
      </c>
      <c r="B1357" t="s">
        <v>1136</v>
      </c>
      <c r="C1357" t="s">
        <v>1102</v>
      </c>
      <c r="D1357" s="8">
        <v>2.078166971448199E-6</v>
      </c>
      <c r="E1357" s="6">
        <f t="shared" si="42"/>
        <v>0</v>
      </c>
      <c r="F1357" s="8">
        <f t="shared" si="43"/>
        <v>0</v>
      </c>
    </row>
    <row r="1358" spans="1:6" x14ac:dyDescent="0.2">
      <c r="A1358">
        <v>16</v>
      </c>
      <c r="B1358" t="s">
        <v>1136</v>
      </c>
      <c r="C1358" t="s">
        <v>938</v>
      </c>
      <c r="D1358" s="8">
        <v>7.9404213724080575E-5</v>
      </c>
      <c r="E1358" s="6">
        <f t="shared" si="42"/>
        <v>-0.32500000000000018</v>
      </c>
      <c r="F1358" s="8">
        <f t="shared" si="43"/>
        <v>-2.5806369460326201E-5</v>
      </c>
    </row>
    <row r="1359" spans="1:6" x14ac:dyDescent="0.2">
      <c r="A1359">
        <v>16</v>
      </c>
      <c r="B1359" t="s">
        <v>1136</v>
      </c>
      <c r="C1359" t="s">
        <v>941</v>
      </c>
      <c r="D1359" s="8">
        <v>1.493775617643E-4</v>
      </c>
      <c r="E1359" s="6">
        <f t="shared" si="42"/>
        <v>0.16599999999999993</v>
      </c>
      <c r="F1359" s="8">
        <f t="shared" si="43"/>
        <v>2.479667525287379E-5</v>
      </c>
    </row>
    <row r="1360" spans="1:6" x14ac:dyDescent="0.2">
      <c r="A1360">
        <v>16</v>
      </c>
      <c r="B1360" t="s">
        <v>1136</v>
      </c>
      <c r="C1360" t="s">
        <v>1111</v>
      </c>
      <c r="D1360" s="8">
        <v>1.190952447451E-4</v>
      </c>
      <c r="E1360" s="6">
        <f t="shared" si="42"/>
        <v>0</v>
      </c>
      <c r="F1360" s="8">
        <f t="shared" si="43"/>
        <v>0</v>
      </c>
    </row>
    <row r="1361" spans="1:6" x14ac:dyDescent="0.2">
      <c r="A1361">
        <v>16</v>
      </c>
      <c r="B1361" t="s">
        <v>1136</v>
      </c>
      <c r="C1361" t="s">
        <v>1091</v>
      </c>
      <c r="D1361" s="8">
        <v>3.550264439756804E-9</v>
      </c>
      <c r="E1361" s="6">
        <f t="shared" si="42"/>
        <v>0</v>
      </c>
      <c r="F1361" s="8">
        <f t="shared" si="43"/>
        <v>0</v>
      </c>
    </row>
    <row r="1362" spans="1:6" x14ac:dyDescent="0.2">
      <c r="A1362">
        <v>16</v>
      </c>
      <c r="B1362" t="s">
        <v>1136</v>
      </c>
      <c r="C1362" t="s">
        <v>1103</v>
      </c>
      <c r="D1362" s="8">
        <v>2.9200849318397602E-6</v>
      </c>
      <c r="E1362" s="6">
        <f t="shared" si="42"/>
        <v>0</v>
      </c>
      <c r="F1362" s="8">
        <f t="shared" si="43"/>
        <v>0</v>
      </c>
    </row>
    <row r="1363" spans="1:6" x14ac:dyDescent="0.2">
      <c r="A1363">
        <v>16</v>
      </c>
      <c r="B1363" t="s">
        <v>1136</v>
      </c>
      <c r="C1363" t="s">
        <v>942</v>
      </c>
      <c r="D1363" s="8">
        <v>1.0464241722029999E-4</v>
      </c>
      <c r="E1363" s="6">
        <f t="shared" si="42"/>
        <v>0.33700000000000019</v>
      </c>
      <c r="F1363" s="8">
        <f t="shared" si="43"/>
        <v>3.5264494603241115E-5</v>
      </c>
    </row>
    <row r="1364" spans="1:6" x14ac:dyDescent="0.2">
      <c r="A1364">
        <v>16</v>
      </c>
      <c r="B1364" t="s">
        <v>1136</v>
      </c>
      <c r="C1364" t="s">
        <v>943</v>
      </c>
      <c r="D1364" s="8">
        <v>2.1159637111869999E-4</v>
      </c>
      <c r="E1364" s="6">
        <f t="shared" si="42"/>
        <v>0.40800000000000014</v>
      </c>
      <c r="F1364" s="8">
        <f t="shared" si="43"/>
        <v>8.6331319416429623E-5</v>
      </c>
    </row>
    <row r="1365" spans="1:6" x14ac:dyDescent="0.2">
      <c r="A1365">
        <v>16</v>
      </c>
      <c r="B1365" t="s">
        <v>1136</v>
      </c>
      <c r="C1365" t="s">
        <v>944</v>
      </c>
      <c r="D1365" s="8">
        <v>1.73774022023978E-2</v>
      </c>
      <c r="E1365" s="6">
        <f t="shared" si="42"/>
        <v>-0.122</v>
      </c>
      <c r="F1365" s="8">
        <f t="shared" si="43"/>
        <v>-2.1200430686925315E-3</v>
      </c>
    </row>
    <row r="1366" spans="1:6" x14ac:dyDescent="0.2">
      <c r="A1366">
        <v>16</v>
      </c>
      <c r="B1366" t="s">
        <v>1136</v>
      </c>
      <c r="C1366" t="s">
        <v>945</v>
      </c>
      <c r="D1366" s="8">
        <v>1.3752853905693401E-5</v>
      </c>
      <c r="E1366" s="6">
        <f t="shared" si="42"/>
        <v>0.49000000000000021</v>
      </c>
      <c r="F1366" s="8">
        <f t="shared" si="43"/>
        <v>6.7388984137897693E-6</v>
      </c>
    </row>
    <row r="1367" spans="1:6" x14ac:dyDescent="0.2">
      <c r="A1367">
        <v>16</v>
      </c>
      <c r="B1367" t="s">
        <v>1136</v>
      </c>
      <c r="C1367" t="s">
        <v>946</v>
      </c>
      <c r="D1367" s="8">
        <v>1.1591717859870001E-4</v>
      </c>
      <c r="E1367" s="6">
        <f t="shared" si="42"/>
        <v>-0.1639999999999997</v>
      </c>
      <c r="F1367" s="8">
        <f t="shared" si="43"/>
        <v>-1.9010417290186766E-5</v>
      </c>
    </row>
    <row r="1368" spans="1:6" x14ac:dyDescent="0.2">
      <c r="A1368">
        <v>16</v>
      </c>
      <c r="B1368" t="s">
        <v>1136</v>
      </c>
      <c r="C1368" t="s">
        <v>947</v>
      </c>
      <c r="D1368" s="8">
        <v>2.0851491088494001E-3</v>
      </c>
      <c r="E1368" s="6">
        <f t="shared" si="42"/>
        <v>0.15500000000000003</v>
      </c>
      <c r="F1368" s="8">
        <f t="shared" si="43"/>
        <v>3.2319811187165708E-4</v>
      </c>
    </row>
    <row r="1369" spans="1:6" x14ac:dyDescent="0.2">
      <c r="A1369">
        <v>16</v>
      </c>
      <c r="B1369" t="s">
        <v>1136</v>
      </c>
      <c r="C1369" t="s">
        <v>948</v>
      </c>
      <c r="D1369" s="8">
        <v>8.5665322318579813E-5</v>
      </c>
      <c r="E1369" s="6">
        <f t="shared" si="42"/>
        <v>-1.0880000000000001</v>
      </c>
      <c r="F1369" s="8">
        <f t="shared" si="43"/>
        <v>-9.3203870682614842E-5</v>
      </c>
    </row>
    <row r="1370" spans="1:6" x14ac:dyDescent="0.2">
      <c r="A1370">
        <v>16</v>
      </c>
      <c r="B1370" t="s">
        <v>1136</v>
      </c>
      <c r="C1370" t="s">
        <v>949</v>
      </c>
      <c r="D1370" s="8">
        <v>8.1635344103859998E-4</v>
      </c>
      <c r="E1370" s="6">
        <f t="shared" si="42"/>
        <v>0.79599999999999982</v>
      </c>
      <c r="F1370" s="8">
        <f t="shared" si="43"/>
        <v>6.4981733906672545E-4</v>
      </c>
    </row>
    <row r="1371" spans="1:6" x14ac:dyDescent="0.2">
      <c r="A1371">
        <v>16</v>
      </c>
      <c r="B1371" t="s">
        <v>1136</v>
      </c>
      <c r="C1371" t="s">
        <v>950</v>
      </c>
      <c r="D1371" s="8">
        <v>6.130829786266602E-6</v>
      </c>
      <c r="E1371" s="6">
        <f t="shared" si="42"/>
        <v>0.38300000000000001</v>
      </c>
      <c r="F1371" s="8">
        <f t="shared" si="43"/>
        <v>2.3481078081401085E-6</v>
      </c>
    </row>
    <row r="1372" spans="1:6" x14ac:dyDescent="0.2">
      <c r="A1372">
        <v>16</v>
      </c>
      <c r="B1372" t="s">
        <v>1136</v>
      </c>
      <c r="C1372" t="s">
        <v>951</v>
      </c>
      <c r="D1372" s="8">
        <v>1.4632641038409999E-2</v>
      </c>
      <c r="E1372" s="6">
        <f t="shared" si="42"/>
        <v>-8.8000000000000078E-2</v>
      </c>
      <c r="F1372" s="8">
        <f t="shared" si="43"/>
        <v>-1.2876724113800812E-3</v>
      </c>
    </row>
    <row r="1373" spans="1:6" x14ac:dyDescent="0.2">
      <c r="A1373">
        <v>16</v>
      </c>
      <c r="B1373" t="s">
        <v>1136</v>
      </c>
      <c r="C1373" t="s">
        <v>952</v>
      </c>
      <c r="D1373" s="8">
        <v>2.5189090905600999E-3</v>
      </c>
      <c r="E1373" s="6">
        <f t="shared" si="42"/>
        <v>0.28300000000000014</v>
      </c>
      <c r="F1373" s="8">
        <f t="shared" si="43"/>
        <v>7.1285127262850866E-4</v>
      </c>
    </row>
    <row r="1374" spans="1:6" x14ac:dyDescent="0.2">
      <c r="A1374">
        <v>16</v>
      </c>
      <c r="B1374" t="s">
        <v>1136</v>
      </c>
      <c r="C1374" t="s">
        <v>953</v>
      </c>
      <c r="D1374" s="8">
        <v>1.686284157403E-4</v>
      </c>
      <c r="E1374" s="6">
        <f t="shared" si="42"/>
        <v>-0.42500000000000004</v>
      </c>
      <c r="F1374" s="8">
        <f t="shared" si="43"/>
        <v>-7.1667076689627512E-5</v>
      </c>
    </row>
    <row r="1375" spans="1:6" x14ac:dyDescent="0.2">
      <c r="A1375">
        <v>16</v>
      </c>
      <c r="B1375" t="s">
        <v>1136</v>
      </c>
      <c r="C1375" t="s">
        <v>954</v>
      </c>
      <c r="D1375" s="8">
        <v>4.789674624438267E-5</v>
      </c>
      <c r="E1375" s="6">
        <f t="shared" si="42"/>
        <v>2.0929999999999991</v>
      </c>
      <c r="F1375" s="8">
        <f t="shared" si="43"/>
        <v>1.0024788988949288E-4</v>
      </c>
    </row>
    <row r="1376" spans="1:6" x14ac:dyDescent="0.2">
      <c r="A1376">
        <v>16</v>
      </c>
      <c r="B1376" t="s">
        <v>1136</v>
      </c>
      <c r="C1376" t="s">
        <v>955</v>
      </c>
      <c r="D1376" s="8">
        <v>6.4107747231198115E-5</v>
      </c>
      <c r="E1376" s="6">
        <f t="shared" si="42"/>
        <v>-0.40500000000000003</v>
      </c>
      <c r="F1376" s="8">
        <f t="shared" si="43"/>
        <v>-2.5963637628635237E-5</v>
      </c>
    </row>
    <row r="1377" spans="1:6" x14ac:dyDescent="0.2">
      <c r="A1377">
        <v>16</v>
      </c>
      <c r="B1377" t="s">
        <v>1136</v>
      </c>
      <c r="C1377" t="s">
        <v>956</v>
      </c>
      <c r="D1377" s="8">
        <v>8.084955627845342E-5</v>
      </c>
      <c r="E1377" s="6">
        <f t="shared" si="42"/>
        <v>-0.44700000000000006</v>
      </c>
      <c r="F1377" s="8">
        <f t="shared" si="43"/>
        <v>-3.6139751656468683E-5</v>
      </c>
    </row>
    <row r="1378" spans="1:6" x14ac:dyDescent="0.2">
      <c r="A1378">
        <v>16</v>
      </c>
      <c r="B1378" t="s">
        <v>1136</v>
      </c>
      <c r="C1378" t="s">
        <v>957</v>
      </c>
      <c r="D1378" s="8">
        <v>5.4020130100403E-3</v>
      </c>
      <c r="E1378" s="6">
        <f t="shared" si="42"/>
        <v>-0.11499999999999988</v>
      </c>
      <c r="F1378" s="8">
        <f t="shared" si="43"/>
        <v>-6.2123149615463385E-4</v>
      </c>
    </row>
    <row r="1379" spans="1:6" x14ac:dyDescent="0.2">
      <c r="A1379">
        <v>16</v>
      </c>
      <c r="B1379" t="s">
        <v>1136</v>
      </c>
      <c r="C1379" t="s">
        <v>959</v>
      </c>
      <c r="D1379" s="8">
        <v>2.0594362784485599E-2</v>
      </c>
      <c r="E1379" s="6">
        <f t="shared" si="42"/>
        <v>-0.60699999999999998</v>
      </c>
      <c r="F1379" s="8">
        <f t="shared" si="43"/>
        <v>-1.2500778210182759E-2</v>
      </c>
    </row>
    <row r="1380" spans="1:6" x14ac:dyDescent="0.2">
      <c r="A1380">
        <v>16</v>
      </c>
      <c r="B1380" t="s">
        <v>1136</v>
      </c>
      <c r="C1380" t="s">
        <v>960</v>
      </c>
      <c r="D1380" s="8">
        <v>7.6688111544434423E-5</v>
      </c>
      <c r="E1380" s="6">
        <f t="shared" si="42"/>
        <v>0.29999999999999982</v>
      </c>
      <c r="F1380" s="8">
        <f t="shared" si="43"/>
        <v>2.3006433463330313E-5</v>
      </c>
    </row>
    <row r="1381" spans="1:6" x14ac:dyDescent="0.2">
      <c r="A1381">
        <v>16</v>
      </c>
      <c r="B1381" t="s">
        <v>1136</v>
      </c>
      <c r="C1381" t="s">
        <v>961</v>
      </c>
      <c r="D1381" s="8">
        <v>1.9665891243780379E-6</v>
      </c>
      <c r="E1381" s="6">
        <f t="shared" si="42"/>
        <v>6.9999999999996732E-3</v>
      </c>
      <c r="F1381" s="8">
        <f t="shared" si="43"/>
        <v>1.3766123870645622E-8</v>
      </c>
    </row>
    <row r="1382" spans="1:6" x14ac:dyDescent="0.2">
      <c r="A1382">
        <v>16</v>
      </c>
      <c r="B1382" t="s">
        <v>1136</v>
      </c>
      <c r="C1382" t="s">
        <v>1118</v>
      </c>
      <c r="D1382" s="8">
        <v>1.1632638253228701E-5</v>
      </c>
      <c r="E1382" s="6">
        <f t="shared" si="42"/>
        <v>0</v>
      </c>
      <c r="F1382" s="8">
        <f t="shared" si="43"/>
        <v>0</v>
      </c>
    </row>
    <row r="1383" spans="1:6" x14ac:dyDescent="0.2">
      <c r="A1383">
        <v>16</v>
      </c>
      <c r="B1383" t="s">
        <v>1136</v>
      </c>
      <c r="C1383" t="s">
        <v>965</v>
      </c>
      <c r="D1383" s="8">
        <v>9.286885284773E-4</v>
      </c>
      <c r="E1383" s="6">
        <f t="shared" si="42"/>
        <v>4.5000000000000151E-2</v>
      </c>
      <c r="F1383" s="8">
        <f t="shared" si="43"/>
        <v>4.1790983781478642E-5</v>
      </c>
    </row>
    <row r="1384" spans="1:6" x14ac:dyDescent="0.2">
      <c r="A1384">
        <v>16</v>
      </c>
      <c r="B1384" t="s">
        <v>1136</v>
      </c>
      <c r="C1384" t="s">
        <v>966</v>
      </c>
      <c r="D1384" s="8">
        <v>7.6546426470833287E-7</v>
      </c>
      <c r="E1384" s="6">
        <f t="shared" si="42"/>
        <v>-0.21399999999999997</v>
      </c>
      <c r="F1384" s="8">
        <f t="shared" si="43"/>
        <v>-1.638093526475832E-7</v>
      </c>
    </row>
    <row r="1385" spans="1:6" x14ac:dyDescent="0.2">
      <c r="A1385">
        <v>16</v>
      </c>
      <c r="B1385" t="s">
        <v>1136</v>
      </c>
      <c r="C1385" t="s">
        <v>967</v>
      </c>
      <c r="D1385" s="8">
        <v>1.0599382613635859E-5</v>
      </c>
      <c r="E1385" s="6">
        <f t="shared" si="42"/>
        <v>0.10000000000000009</v>
      </c>
      <c r="F1385" s="8">
        <f t="shared" si="43"/>
        <v>1.0599382613635868E-6</v>
      </c>
    </row>
    <row r="1386" spans="1:6" x14ac:dyDescent="0.2">
      <c r="A1386">
        <v>16</v>
      </c>
      <c r="B1386" t="s">
        <v>1136</v>
      </c>
      <c r="C1386" t="s">
        <v>1105</v>
      </c>
      <c r="D1386" s="8">
        <v>1.2693444399065679E-6</v>
      </c>
      <c r="E1386" s="6">
        <f t="shared" si="42"/>
        <v>0</v>
      </c>
      <c r="F1386" s="8">
        <f t="shared" si="43"/>
        <v>0</v>
      </c>
    </row>
    <row r="1387" spans="1:6" x14ac:dyDescent="0.2">
      <c r="A1387">
        <v>16</v>
      </c>
      <c r="B1387" t="s">
        <v>1136</v>
      </c>
      <c r="C1387" t="s">
        <v>968</v>
      </c>
      <c r="D1387" s="8">
        <v>1.2671435030497249E-6</v>
      </c>
      <c r="E1387" s="6">
        <f t="shared" si="42"/>
        <v>-6.7510000000000012</v>
      </c>
      <c r="F1387" s="8">
        <f t="shared" si="43"/>
        <v>-8.5544857890886937E-6</v>
      </c>
    </row>
    <row r="1388" spans="1:6" x14ac:dyDescent="0.2">
      <c r="A1388">
        <v>16</v>
      </c>
      <c r="B1388" t="s">
        <v>1136</v>
      </c>
      <c r="C1388" t="s">
        <v>969</v>
      </c>
      <c r="D1388" s="8">
        <v>1.8067088228914E-3</v>
      </c>
      <c r="E1388" s="6">
        <f t="shared" si="42"/>
        <v>0.53699999999999992</v>
      </c>
      <c r="F1388" s="8">
        <f t="shared" si="43"/>
        <v>9.7020263789268158E-4</v>
      </c>
    </row>
    <row r="1389" spans="1:6" x14ac:dyDescent="0.2">
      <c r="A1389">
        <v>16</v>
      </c>
      <c r="B1389" t="s">
        <v>1136</v>
      </c>
      <c r="C1389" t="s">
        <v>971</v>
      </c>
      <c r="D1389" s="8">
        <v>1.2331163265999999E-4</v>
      </c>
      <c r="E1389" s="6">
        <f t="shared" si="42"/>
        <v>-0.13700000000000001</v>
      </c>
      <c r="F1389" s="8">
        <f t="shared" si="43"/>
        <v>-1.6893693674420001E-5</v>
      </c>
    </row>
    <row r="1390" spans="1:6" x14ac:dyDescent="0.2">
      <c r="A1390">
        <v>16</v>
      </c>
      <c r="B1390" t="s">
        <v>1136</v>
      </c>
      <c r="C1390" t="s">
        <v>973</v>
      </c>
      <c r="D1390" s="8">
        <v>1.7194071481142161E-5</v>
      </c>
      <c r="E1390" s="6">
        <f t="shared" si="42"/>
        <v>-0.84999999999999987</v>
      </c>
      <c r="F1390" s="8">
        <f t="shared" si="43"/>
        <v>-1.4614960758970834E-5</v>
      </c>
    </row>
    <row r="1391" spans="1:6" x14ac:dyDescent="0.2">
      <c r="A1391">
        <v>16</v>
      </c>
      <c r="B1391" t="s">
        <v>1136</v>
      </c>
      <c r="C1391" t="s">
        <v>975</v>
      </c>
      <c r="D1391" s="8">
        <v>7.4162157821221E-2</v>
      </c>
      <c r="E1391" s="6">
        <f t="shared" si="42"/>
        <v>0.23500000000000032</v>
      </c>
      <c r="F1391" s="8">
        <f t="shared" si="43"/>
        <v>1.742810708798696E-2</v>
      </c>
    </row>
    <row r="1392" spans="1:6" x14ac:dyDescent="0.2">
      <c r="A1392">
        <v>16</v>
      </c>
      <c r="B1392" t="s">
        <v>1136</v>
      </c>
      <c r="C1392" t="s">
        <v>976</v>
      </c>
      <c r="D1392" s="8">
        <v>3.4815433827750002E-4</v>
      </c>
      <c r="E1392" s="6">
        <f t="shared" si="42"/>
        <v>0.38700000000000001</v>
      </c>
      <c r="F1392" s="8">
        <f t="shared" si="43"/>
        <v>1.3473572891339251E-4</v>
      </c>
    </row>
    <row r="1393" spans="1:6" x14ac:dyDescent="0.2">
      <c r="A1393">
        <v>16</v>
      </c>
      <c r="B1393" t="s">
        <v>1136</v>
      </c>
      <c r="C1393" t="s">
        <v>977</v>
      </c>
      <c r="D1393" s="8">
        <v>6.9036143215416004E-3</v>
      </c>
      <c r="E1393" s="6">
        <f t="shared" si="42"/>
        <v>-7.2039999999999997</v>
      </c>
      <c r="F1393" s="8">
        <f t="shared" si="43"/>
        <v>-4.9733637572385685E-2</v>
      </c>
    </row>
    <row r="1394" spans="1:6" x14ac:dyDescent="0.2">
      <c r="A1394">
        <v>16</v>
      </c>
      <c r="B1394" t="s">
        <v>1136</v>
      </c>
      <c r="C1394" t="s">
        <v>978</v>
      </c>
      <c r="D1394" s="8">
        <v>4.5722673799503E-3</v>
      </c>
      <c r="E1394" s="6">
        <f t="shared" si="42"/>
        <v>-8.2390000000000008</v>
      </c>
      <c r="F1394" s="8">
        <f t="shared" si="43"/>
        <v>-3.7670910943410525E-2</v>
      </c>
    </row>
    <row r="1395" spans="1:6" x14ac:dyDescent="0.2">
      <c r="A1395">
        <v>16</v>
      </c>
      <c r="B1395" t="s">
        <v>1136</v>
      </c>
      <c r="C1395" t="s">
        <v>979</v>
      </c>
      <c r="D1395" s="8">
        <v>2.332871950490005E-6</v>
      </c>
      <c r="E1395" s="6">
        <f t="shared" si="42"/>
        <v>-0.5</v>
      </c>
      <c r="F1395" s="8">
        <f t="shared" si="43"/>
        <v>-1.1664359752450025E-6</v>
      </c>
    </row>
    <row r="1396" spans="1:6" x14ac:dyDescent="0.2">
      <c r="A1396">
        <v>16</v>
      </c>
      <c r="B1396" t="s">
        <v>1136</v>
      </c>
      <c r="C1396" t="s">
        <v>980</v>
      </c>
      <c r="D1396" s="8">
        <v>1.8861240613590001E-4</v>
      </c>
      <c r="E1396" s="6">
        <f t="shared" si="42"/>
        <v>-0.10000000000000009</v>
      </c>
      <c r="F1396" s="8">
        <f t="shared" si="43"/>
        <v>-1.8861240613590018E-5</v>
      </c>
    </row>
    <row r="1397" spans="1:6" x14ac:dyDescent="0.2">
      <c r="A1397">
        <v>16</v>
      </c>
      <c r="B1397" t="s">
        <v>1136</v>
      </c>
      <c r="C1397" t="s">
        <v>981</v>
      </c>
      <c r="D1397" s="8">
        <v>6.3445484233343999E-3</v>
      </c>
      <c r="E1397" s="6">
        <f t="shared" si="42"/>
        <v>-0.33499999999999996</v>
      </c>
      <c r="F1397" s="8">
        <f t="shared" si="43"/>
        <v>-2.1254237218170237E-3</v>
      </c>
    </row>
    <row r="1398" spans="1:6" x14ac:dyDescent="0.2">
      <c r="A1398">
        <v>16</v>
      </c>
      <c r="B1398" t="s">
        <v>1136</v>
      </c>
      <c r="C1398" t="s">
        <v>982</v>
      </c>
      <c r="D1398" s="8">
        <v>2.2802120665231451E-5</v>
      </c>
      <c r="E1398" s="6">
        <f t="shared" si="42"/>
        <v>-2.8</v>
      </c>
      <c r="F1398" s="8">
        <f t="shared" si="43"/>
        <v>-6.3845937862648067E-5</v>
      </c>
    </row>
    <row r="1399" spans="1:6" x14ac:dyDescent="0.2">
      <c r="A1399">
        <v>16</v>
      </c>
      <c r="B1399" t="s">
        <v>1136</v>
      </c>
      <c r="C1399" t="s">
        <v>983</v>
      </c>
      <c r="D1399" s="8">
        <v>2.9710777929237999E-3</v>
      </c>
      <c r="E1399" s="6">
        <f t="shared" si="42"/>
        <v>-0.19999999999999973</v>
      </c>
      <c r="F1399" s="8">
        <f t="shared" si="43"/>
        <v>-5.9421555858475922E-4</v>
      </c>
    </row>
    <row r="1400" spans="1:6" x14ac:dyDescent="0.2">
      <c r="A1400">
        <v>16</v>
      </c>
      <c r="B1400" t="s">
        <v>1136</v>
      </c>
      <c r="C1400" t="s">
        <v>984</v>
      </c>
      <c r="D1400" s="8">
        <v>0.21473390052249641</v>
      </c>
      <c r="E1400" s="6">
        <f t="shared" si="42"/>
        <v>0.121</v>
      </c>
      <c r="F1400" s="8">
        <f t="shared" si="43"/>
        <v>2.5982801963222064E-2</v>
      </c>
    </row>
    <row r="1401" spans="1:6" x14ac:dyDescent="0.2">
      <c r="A1401">
        <v>16</v>
      </c>
      <c r="B1401" t="s">
        <v>1136</v>
      </c>
      <c r="C1401" t="s">
        <v>985</v>
      </c>
      <c r="D1401" s="8">
        <v>2.8401427039268091E-5</v>
      </c>
      <c r="E1401" s="6">
        <f t="shared" si="42"/>
        <v>0.34299999999999997</v>
      </c>
      <c r="F1401" s="8">
        <f t="shared" si="43"/>
        <v>9.7416894744689547E-6</v>
      </c>
    </row>
    <row r="1402" spans="1:6" x14ac:dyDescent="0.2">
      <c r="A1402">
        <v>16</v>
      </c>
      <c r="B1402" t="s">
        <v>1136</v>
      </c>
      <c r="C1402" t="s">
        <v>986</v>
      </c>
      <c r="D1402" s="8">
        <v>9.8459415579033555E-6</v>
      </c>
      <c r="E1402" s="6">
        <f t="shared" si="42"/>
        <v>-0.38900000000000023</v>
      </c>
      <c r="F1402" s="8">
        <f t="shared" si="43"/>
        <v>-3.8300712660244078E-6</v>
      </c>
    </row>
    <row r="1403" spans="1:6" x14ac:dyDescent="0.2">
      <c r="A1403">
        <v>16</v>
      </c>
      <c r="B1403" t="s">
        <v>1136</v>
      </c>
      <c r="C1403" t="s">
        <v>987</v>
      </c>
      <c r="D1403" s="8">
        <v>8.3268462339711841E-9</v>
      </c>
      <c r="E1403" s="6">
        <f t="shared" si="42"/>
        <v>0.83399999999999963</v>
      </c>
      <c r="F1403" s="8">
        <f t="shared" si="43"/>
        <v>6.9445897591319642E-9</v>
      </c>
    </row>
    <row r="1404" spans="1:6" x14ac:dyDescent="0.2">
      <c r="A1404">
        <v>16</v>
      </c>
      <c r="B1404" t="s">
        <v>1136</v>
      </c>
      <c r="C1404" t="s">
        <v>988</v>
      </c>
      <c r="D1404" s="8">
        <v>6.9005910064259997E-4</v>
      </c>
      <c r="E1404" s="6">
        <f t="shared" si="42"/>
        <v>0.59299999999999997</v>
      </c>
      <c r="F1404" s="8">
        <f t="shared" si="43"/>
        <v>4.0920504668106174E-4</v>
      </c>
    </row>
    <row r="1405" spans="1:6" x14ac:dyDescent="0.2">
      <c r="A1405">
        <v>16</v>
      </c>
      <c r="B1405" t="s">
        <v>1136</v>
      </c>
      <c r="C1405" t="s">
        <v>989</v>
      </c>
      <c r="D1405" s="8">
        <v>1.1255814396770551E-7</v>
      </c>
      <c r="E1405" s="6">
        <f t="shared" si="42"/>
        <v>-0.12199999999999989</v>
      </c>
      <c r="F1405" s="8">
        <f t="shared" si="43"/>
        <v>-1.373209356406006E-8</v>
      </c>
    </row>
    <row r="1406" spans="1:6" x14ac:dyDescent="0.2">
      <c r="A1406">
        <v>16</v>
      </c>
      <c r="B1406" t="s">
        <v>1136</v>
      </c>
      <c r="C1406" t="s">
        <v>1119</v>
      </c>
      <c r="D1406" s="8">
        <v>6.2633023399888721E-8</v>
      </c>
      <c r="E1406" s="6">
        <f t="shared" ref="E1406:E1469" si="44">IFERROR(VLOOKUP(C1406,$A$6:$D$185,4,FALSE),0)</f>
        <v>0</v>
      </c>
      <c r="F1406" s="8">
        <f t="shared" ref="F1406:F1469" si="45">D1406*E1406</f>
        <v>0</v>
      </c>
    </row>
    <row r="1407" spans="1:6" x14ac:dyDescent="0.2">
      <c r="A1407">
        <v>16</v>
      </c>
      <c r="B1407" t="s">
        <v>1136</v>
      </c>
      <c r="C1407" t="s">
        <v>990</v>
      </c>
      <c r="D1407" s="8">
        <v>0.12400411384081871</v>
      </c>
      <c r="E1407" s="6">
        <f t="shared" si="44"/>
        <v>0.45299999999999985</v>
      </c>
      <c r="F1407" s="8">
        <f t="shared" si="45"/>
        <v>5.6173863569890854E-2</v>
      </c>
    </row>
    <row r="1408" spans="1:6" x14ac:dyDescent="0.2">
      <c r="A1408">
        <v>16</v>
      </c>
      <c r="B1408" t="s">
        <v>1136</v>
      </c>
      <c r="C1408" t="s">
        <v>991</v>
      </c>
      <c r="D1408" s="8">
        <v>1.458326791167E-3</v>
      </c>
      <c r="E1408" s="6">
        <f t="shared" si="44"/>
        <v>-3.7290000000000001</v>
      </c>
      <c r="F1408" s="8">
        <f t="shared" si="45"/>
        <v>-5.4381006042617435E-3</v>
      </c>
    </row>
    <row r="1409" spans="1:6" x14ac:dyDescent="0.2">
      <c r="A1409">
        <v>16</v>
      </c>
      <c r="B1409" t="s">
        <v>1136</v>
      </c>
      <c r="C1409" t="s">
        <v>992</v>
      </c>
      <c r="D1409" s="8">
        <v>3.692577811755586E-7</v>
      </c>
      <c r="E1409" s="6">
        <f t="shared" si="44"/>
        <v>2.048</v>
      </c>
      <c r="F1409" s="8">
        <f t="shared" si="45"/>
        <v>7.56239935847544E-7</v>
      </c>
    </row>
    <row r="1410" spans="1:6" x14ac:dyDescent="0.2">
      <c r="A1410">
        <v>16</v>
      </c>
      <c r="B1410" t="s">
        <v>1136</v>
      </c>
      <c r="C1410" t="s">
        <v>1092</v>
      </c>
      <c r="D1410" s="8">
        <v>2.2682662862409E-3</v>
      </c>
      <c r="E1410" s="6">
        <f t="shared" si="44"/>
        <v>0</v>
      </c>
      <c r="F1410" s="8">
        <f t="shared" si="45"/>
        <v>0</v>
      </c>
    </row>
    <row r="1411" spans="1:6" x14ac:dyDescent="0.2">
      <c r="A1411">
        <v>16</v>
      </c>
      <c r="B1411" t="s">
        <v>1136</v>
      </c>
      <c r="C1411" t="s">
        <v>994</v>
      </c>
      <c r="D1411" s="8">
        <v>6.2406078990711933E-5</v>
      </c>
      <c r="E1411" s="6">
        <f t="shared" si="44"/>
        <v>2.415</v>
      </c>
      <c r="F1411" s="8">
        <f t="shared" si="45"/>
        <v>1.5071068076256931E-4</v>
      </c>
    </row>
    <row r="1412" spans="1:6" x14ac:dyDescent="0.2">
      <c r="A1412">
        <v>16</v>
      </c>
      <c r="B1412" t="s">
        <v>1136</v>
      </c>
      <c r="C1412" t="s">
        <v>1120</v>
      </c>
      <c r="D1412" s="8">
        <v>2.9935769197147682E-6</v>
      </c>
      <c r="E1412" s="6">
        <f t="shared" si="44"/>
        <v>0</v>
      </c>
      <c r="F1412" s="8">
        <f t="shared" si="45"/>
        <v>0</v>
      </c>
    </row>
    <row r="1413" spans="1:6" x14ac:dyDescent="0.2">
      <c r="A1413">
        <v>16</v>
      </c>
      <c r="B1413" t="s">
        <v>1136</v>
      </c>
      <c r="C1413" t="s">
        <v>1093</v>
      </c>
      <c r="D1413" s="8">
        <v>1.269737334576E-4</v>
      </c>
      <c r="E1413" s="6">
        <f t="shared" si="44"/>
        <v>0</v>
      </c>
      <c r="F1413" s="8">
        <f t="shared" si="45"/>
        <v>0</v>
      </c>
    </row>
    <row r="1414" spans="1:6" x14ac:dyDescent="0.2">
      <c r="A1414">
        <v>16</v>
      </c>
      <c r="B1414" t="s">
        <v>1136</v>
      </c>
      <c r="C1414" t="s">
        <v>996</v>
      </c>
      <c r="D1414" s="8">
        <v>2.088080914574365E-5</v>
      </c>
      <c r="E1414" s="6">
        <f t="shared" si="44"/>
        <v>0.44099999999999984</v>
      </c>
      <c r="F1414" s="8">
        <f t="shared" si="45"/>
        <v>9.2084368332729461E-6</v>
      </c>
    </row>
    <row r="1415" spans="1:6" x14ac:dyDescent="0.2">
      <c r="A1415">
        <v>16</v>
      </c>
      <c r="B1415" t="s">
        <v>1136</v>
      </c>
      <c r="C1415" t="s">
        <v>997</v>
      </c>
      <c r="D1415" s="8">
        <v>4.0498752137950762E-9</v>
      </c>
      <c r="E1415" s="6">
        <f t="shared" si="44"/>
        <v>-0.61499999999999977</v>
      </c>
      <c r="F1415" s="8">
        <f t="shared" si="45"/>
        <v>-2.4906732564839709E-9</v>
      </c>
    </row>
    <row r="1416" spans="1:6" x14ac:dyDescent="0.2">
      <c r="A1416">
        <v>16</v>
      </c>
      <c r="B1416" t="s">
        <v>1136</v>
      </c>
      <c r="C1416" t="s">
        <v>998</v>
      </c>
      <c r="D1416" s="8">
        <v>2.8582092729541519E-5</v>
      </c>
      <c r="E1416" s="6">
        <f t="shared" si="44"/>
        <v>-0.28200000000000003</v>
      </c>
      <c r="F1416" s="8">
        <f t="shared" si="45"/>
        <v>-8.0601501497307097E-6</v>
      </c>
    </row>
    <row r="1417" spans="1:6" x14ac:dyDescent="0.2">
      <c r="A1417">
        <v>16</v>
      </c>
      <c r="B1417" t="s">
        <v>1136</v>
      </c>
      <c r="C1417" t="s">
        <v>999</v>
      </c>
      <c r="D1417" s="8">
        <v>1.911026804608E-4</v>
      </c>
      <c r="E1417" s="6">
        <f t="shared" si="44"/>
        <v>-0.5219999999999998</v>
      </c>
      <c r="F1417" s="8">
        <f t="shared" si="45"/>
        <v>-9.9755599200537559E-5</v>
      </c>
    </row>
    <row r="1418" spans="1:6" x14ac:dyDescent="0.2">
      <c r="A1418">
        <v>16</v>
      </c>
      <c r="B1418" t="s">
        <v>1136</v>
      </c>
      <c r="C1418" t="s">
        <v>1000</v>
      </c>
      <c r="D1418" s="8">
        <v>2.8695249649450001E-4</v>
      </c>
      <c r="E1418" s="6">
        <f t="shared" si="44"/>
        <v>1.1540000000000004</v>
      </c>
      <c r="F1418" s="8">
        <f t="shared" si="45"/>
        <v>3.3114318095465311E-4</v>
      </c>
    </row>
    <row r="1419" spans="1:6" x14ac:dyDescent="0.2">
      <c r="A1419">
        <v>16</v>
      </c>
      <c r="B1419" t="s">
        <v>1136</v>
      </c>
      <c r="C1419" t="s">
        <v>1001</v>
      </c>
      <c r="D1419" s="8">
        <v>6.0576103133592509E-7</v>
      </c>
      <c r="E1419" s="6">
        <f t="shared" si="44"/>
        <v>-0.60600000000000032</v>
      </c>
      <c r="F1419" s="8">
        <f t="shared" si="45"/>
        <v>-3.670911849895708E-7</v>
      </c>
    </row>
    <row r="1420" spans="1:6" x14ac:dyDescent="0.2">
      <c r="A1420">
        <v>16</v>
      </c>
      <c r="B1420" t="s">
        <v>1136</v>
      </c>
      <c r="C1420" t="s">
        <v>1002</v>
      </c>
      <c r="D1420" s="8">
        <v>7.3412402679550002E-4</v>
      </c>
      <c r="E1420" s="6">
        <f t="shared" si="44"/>
        <v>-1.3390000000000004</v>
      </c>
      <c r="F1420" s="8">
        <f t="shared" si="45"/>
        <v>-9.8299207187917473E-4</v>
      </c>
    </row>
    <row r="1421" spans="1:6" x14ac:dyDescent="0.2">
      <c r="A1421">
        <v>16</v>
      </c>
      <c r="B1421" t="s">
        <v>1136</v>
      </c>
      <c r="C1421" t="s">
        <v>1003</v>
      </c>
      <c r="D1421" s="8">
        <v>2.3182017165798998E-3</v>
      </c>
      <c r="E1421" s="6">
        <f t="shared" si="44"/>
        <v>0.22999999999999998</v>
      </c>
      <c r="F1421" s="8">
        <f t="shared" si="45"/>
        <v>5.3318639481337692E-4</v>
      </c>
    </row>
    <row r="1422" spans="1:6" x14ac:dyDescent="0.2">
      <c r="A1422">
        <v>16</v>
      </c>
      <c r="B1422" t="s">
        <v>1136</v>
      </c>
      <c r="C1422" t="s">
        <v>1005</v>
      </c>
      <c r="D1422" s="8">
        <v>1.1528480761632039E-7</v>
      </c>
      <c r="E1422" s="6">
        <f t="shared" si="44"/>
        <v>-0.10000000000000009</v>
      </c>
      <c r="F1422" s="8">
        <f t="shared" si="45"/>
        <v>-1.152848076163205E-8</v>
      </c>
    </row>
    <row r="1423" spans="1:6" x14ac:dyDescent="0.2">
      <c r="A1423">
        <v>16</v>
      </c>
      <c r="B1423" t="s">
        <v>1136</v>
      </c>
      <c r="C1423" t="s">
        <v>1007</v>
      </c>
      <c r="D1423" s="8">
        <v>4.0423715520099349E-5</v>
      </c>
      <c r="E1423" s="6">
        <f t="shared" si="44"/>
        <v>-0.19999999999999973</v>
      </c>
      <c r="F1423" s="8">
        <f t="shared" si="45"/>
        <v>-8.0847431040198591E-6</v>
      </c>
    </row>
    <row r="1424" spans="1:6" x14ac:dyDescent="0.2">
      <c r="A1424">
        <v>16</v>
      </c>
      <c r="B1424" t="s">
        <v>1136</v>
      </c>
      <c r="C1424" t="s">
        <v>1008</v>
      </c>
      <c r="D1424" s="8">
        <v>1.078022278918E-4</v>
      </c>
      <c r="E1424" s="6">
        <f t="shared" si="44"/>
        <v>0.94799999999999995</v>
      </c>
      <c r="F1424" s="8">
        <f t="shared" si="45"/>
        <v>1.021965120414264E-4</v>
      </c>
    </row>
    <row r="1425" spans="1:6" x14ac:dyDescent="0.2">
      <c r="A1425">
        <v>16</v>
      </c>
      <c r="B1425" t="s">
        <v>1136</v>
      </c>
      <c r="C1425" t="s">
        <v>1098</v>
      </c>
      <c r="D1425" s="8">
        <v>2.556981447017127E-6</v>
      </c>
      <c r="E1425" s="6">
        <f t="shared" si="44"/>
        <v>0</v>
      </c>
      <c r="F1425" s="8">
        <f t="shared" si="45"/>
        <v>0</v>
      </c>
    </row>
    <row r="1426" spans="1:6" x14ac:dyDescent="0.2">
      <c r="A1426">
        <v>16</v>
      </c>
      <c r="B1426" t="s">
        <v>1136</v>
      </c>
      <c r="C1426" t="s">
        <v>1122</v>
      </c>
      <c r="D1426" s="8">
        <v>9.120773173079274E-7</v>
      </c>
      <c r="E1426" s="6">
        <f t="shared" si="44"/>
        <v>0</v>
      </c>
      <c r="F1426" s="8">
        <f t="shared" si="45"/>
        <v>0</v>
      </c>
    </row>
    <row r="1427" spans="1:6" x14ac:dyDescent="0.2">
      <c r="A1427">
        <v>16</v>
      </c>
      <c r="B1427" t="s">
        <v>1136</v>
      </c>
      <c r="C1427" t="s">
        <v>1010</v>
      </c>
      <c r="D1427" s="8">
        <v>5.9248917391800695E-7</v>
      </c>
      <c r="E1427" s="6">
        <f t="shared" si="44"/>
        <v>-3.024</v>
      </c>
      <c r="F1427" s="8">
        <f t="shared" si="45"/>
        <v>-1.7916872619280531E-6</v>
      </c>
    </row>
    <row r="1428" spans="1:6" x14ac:dyDescent="0.2">
      <c r="A1428">
        <v>16</v>
      </c>
      <c r="B1428" t="s">
        <v>1136</v>
      </c>
      <c r="C1428" t="s">
        <v>1011</v>
      </c>
      <c r="D1428" s="8">
        <v>5.6773951595258084E-6</v>
      </c>
      <c r="E1428" s="6">
        <f t="shared" si="44"/>
        <v>0.68600000000000039</v>
      </c>
      <c r="F1428" s="8">
        <f t="shared" si="45"/>
        <v>3.8946930794347068E-6</v>
      </c>
    </row>
    <row r="1429" spans="1:6" x14ac:dyDescent="0.2">
      <c r="A1429">
        <v>16</v>
      </c>
      <c r="B1429" t="s">
        <v>1136</v>
      </c>
      <c r="C1429" t="s">
        <v>1012</v>
      </c>
      <c r="D1429" s="8">
        <v>3.0471370114580002E-4</v>
      </c>
      <c r="E1429" s="6">
        <f t="shared" si="44"/>
        <v>0.39999999999999991</v>
      </c>
      <c r="F1429" s="8">
        <f t="shared" si="45"/>
        <v>1.2188548045831998E-4</v>
      </c>
    </row>
    <row r="1430" spans="1:6" x14ac:dyDescent="0.2">
      <c r="A1430">
        <v>16</v>
      </c>
      <c r="B1430" t="s">
        <v>1136</v>
      </c>
      <c r="C1430" t="s">
        <v>1014</v>
      </c>
      <c r="D1430" s="8">
        <v>4.4787870606297901E-2</v>
      </c>
      <c r="E1430" s="6">
        <f t="shared" si="44"/>
        <v>0.90000000000000036</v>
      </c>
      <c r="F1430" s="8">
        <f t="shared" si="45"/>
        <v>4.0309083545668124E-2</v>
      </c>
    </row>
    <row r="1431" spans="1:6" x14ac:dyDescent="0.2">
      <c r="A1431">
        <v>16</v>
      </c>
      <c r="B1431" t="s">
        <v>1136</v>
      </c>
      <c r="C1431" t="s">
        <v>1015</v>
      </c>
      <c r="D1431" s="8">
        <v>3.8142784543951812E-5</v>
      </c>
      <c r="E1431" s="6">
        <f t="shared" si="44"/>
        <v>-1.306</v>
      </c>
      <c r="F1431" s="8">
        <f t="shared" si="45"/>
        <v>-4.9814476614401071E-5</v>
      </c>
    </row>
    <row r="1432" spans="1:6" x14ac:dyDescent="0.2">
      <c r="A1432">
        <v>16</v>
      </c>
      <c r="B1432" t="s">
        <v>1136</v>
      </c>
      <c r="C1432" t="s">
        <v>1099</v>
      </c>
      <c r="D1432" s="8">
        <v>3.837207178701E-4</v>
      </c>
      <c r="E1432" s="6">
        <f t="shared" si="44"/>
        <v>0</v>
      </c>
      <c r="F1432" s="8">
        <f t="shared" si="45"/>
        <v>0</v>
      </c>
    </row>
    <row r="1433" spans="1:6" x14ac:dyDescent="0.2">
      <c r="A1433">
        <v>16</v>
      </c>
      <c r="B1433" t="s">
        <v>1136</v>
      </c>
      <c r="C1433" t="s">
        <v>1017</v>
      </c>
      <c r="D1433" s="8">
        <v>4.0408408127270237E-5</v>
      </c>
      <c r="E1433" s="6">
        <f t="shared" si="44"/>
        <v>1.3749999999999996</v>
      </c>
      <c r="F1433" s="8">
        <f t="shared" si="45"/>
        <v>5.556156117499656E-5</v>
      </c>
    </row>
    <row r="1434" spans="1:6" x14ac:dyDescent="0.2">
      <c r="A1434">
        <v>16</v>
      </c>
      <c r="B1434" t="s">
        <v>1136</v>
      </c>
      <c r="C1434" t="s">
        <v>1018</v>
      </c>
      <c r="D1434" s="8">
        <v>3.7849301063505392E-8</v>
      </c>
      <c r="E1434" s="6">
        <f t="shared" si="44"/>
        <v>0.69999999999999973</v>
      </c>
      <c r="F1434" s="8">
        <f t="shared" si="45"/>
        <v>2.6494510744453766E-8</v>
      </c>
    </row>
    <row r="1435" spans="1:6" x14ac:dyDescent="0.2">
      <c r="A1435">
        <v>16</v>
      </c>
      <c r="B1435" t="s">
        <v>1136</v>
      </c>
      <c r="C1435" t="s">
        <v>1019</v>
      </c>
      <c r="D1435" s="8">
        <v>2.97051534754104E-2</v>
      </c>
      <c r="E1435" s="6">
        <f t="shared" si="44"/>
        <v>-0.21599999999999997</v>
      </c>
      <c r="F1435" s="8">
        <f t="shared" si="45"/>
        <v>-6.4163131506886455E-3</v>
      </c>
    </row>
    <row r="1436" spans="1:6" x14ac:dyDescent="0.2">
      <c r="A1436">
        <v>16</v>
      </c>
      <c r="B1436" t="s">
        <v>1136</v>
      </c>
      <c r="C1436" t="s">
        <v>1020</v>
      </c>
      <c r="D1436" s="8">
        <v>7.8312477507907528E-5</v>
      </c>
      <c r="E1436" s="6">
        <f t="shared" si="44"/>
        <v>-0.21999999999999997</v>
      </c>
      <c r="F1436" s="8">
        <f t="shared" si="45"/>
        <v>-1.7228745051739655E-5</v>
      </c>
    </row>
    <row r="1437" spans="1:6" x14ac:dyDescent="0.2">
      <c r="A1437">
        <v>16</v>
      </c>
      <c r="B1437" t="s">
        <v>1136</v>
      </c>
      <c r="C1437" t="s">
        <v>1021</v>
      </c>
      <c r="D1437" s="8">
        <v>1.0982259330320001E-4</v>
      </c>
      <c r="E1437" s="6">
        <f t="shared" si="44"/>
        <v>-2.4829999999999997</v>
      </c>
      <c r="F1437" s="8">
        <f t="shared" si="45"/>
        <v>-2.7268949917184557E-4</v>
      </c>
    </row>
    <row r="1438" spans="1:6" x14ac:dyDescent="0.2">
      <c r="A1438">
        <v>16</v>
      </c>
      <c r="B1438" t="s">
        <v>1136</v>
      </c>
      <c r="C1438" t="s">
        <v>1022</v>
      </c>
      <c r="D1438" s="8">
        <v>5.6700902444205522E-7</v>
      </c>
      <c r="E1438" s="6">
        <f t="shared" si="44"/>
        <v>0.46800000000000019</v>
      </c>
      <c r="F1438" s="8">
        <f t="shared" si="45"/>
        <v>2.6536022343888197E-7</v>
      </c>
    </row>
    <row r="1439" spans="1:6" x14ac:dyDescent="0.2">
      <c r="A1439">
        <v>16</v>
      </c>
      <c r="B1439" t="s">
        <v>1136</v>
      </c>
      <c r="C1439" t="s">
        <v>1023</v>
      </c>
      <c r="D1439" s="8">
        <v>1.04479218342893E-2</v>
      </c>
      <c r="E1439" s="6">
        <f t="shared" si="44"/>
        <v>-0.62199999999999989</v>
      </c>
      <c r="F1439" s="8">
        <f t="shared" si="45"/>
        <v>-6.4986073809279428E-3</v>
      </c>
    </row>
    <row r="1440" spans="1:6" x14ac:dyDescent="0.2">
      <c r="A1440">
        <v>16</v>
      </c>
      <c r="B1440" t="s">
        <v>1136</v>
      </c>
      <c r="C1440" t="s">
        <v>1024</v>
      </c>
      <c r="D1440" s="8">
        <v>7.894257639681E-4</v>
      </c>
      <c r="E1440" s="6">
        <f t="shared" si="44"/>
        <v>-0.14500000000000002</v>
      </c>
      <c r="F1440" s="8">
        <f t="shared" si="45"/>
        <v>-1.1446673577537452E-4</v>
      </c>
    </row>
    <row r="1441" spans="1:6" x14ac:dyDescent="0.2">
      <c r="A1441">
        <v>16</v>
      </c>
      <c r="B1441" t="s">
        <v>1136</v>
      </c>
      <c r="C1441" t="s">
        <v>1025</v>
      </c>
      <c r="D1441" s="8">
        <v>2.2015606133243649E-5</v>
      </c>
      <c r="E1441" s="6">
        <f t="shared" si="44"/>
        <v>4.7000000000000153E-2</v>
      </c>
      <c r="F1441" s="8">
        <f t="shared" si="45"/>
        <v>1.0347334882624548E-6</v>
      </c>
    </row>
    <row r="1442" spans="1:6" x14ac:dyDescent="0.2">
      <c r="A1442">
        <v>16</v>
      </c>
      <c r="B1442" t="s">
        <v>1136</v>
      </c>
      <c r="C1442" t="s">
        <v>1026</v>
      </c>
      <c r="D1442" s="8">
        <v>1.273185386978492E-5</v>
      </c>
      <c r="E1442" s="6">
        <f t="shared" si="44"/>
        <v>-0.20000000000000018</v>
      </c>
      <c r="F1442" s="8">
        <f t="shared" si="45"/>
        <v>-2.5463707739569863E-6</v>
      </c>
    </row>
    <row r="1443" spans="1:6" x14ac:dyDescent="0.2">
      <c r="A1443">
        <v>16</v>
      </c>
      <c r="B1443" t="s">
        <v>1136</v>
      </c>
      <c r="C1443" t="s">
        <v>1027</v>
      </c>
      <c r="D1443" s="8">
        <v>4.7044099521111647E-5</v>
      </c>
      <c r="E1443" s="6">
        <f t="shared" si="44"/>
        <v>0.18999999999999995</v>
      </c>
      <c r="F1443" s="8">
        <f t="shared" si="45"/>
        <v>8.9383789090112108E-6</v>
      </c>
    </row>
    <row r="1444" spans="1:6" x14ac:dyDescent="0.2">
      <c r="A1444">
        <v>16</v>
      </c>
      <c r="B1444" t="s">
        <v>1136</v>
      </c>
      <c r="C1444" t="s">
        <v>1028</v>
      </c>
      <c r="D1444" s="8">
        <v>6.2450616592561996E-3</v>
      </c>
      <c r="E1444" s="6">
        <f t="shared" si="44"/>
        <v>-1.6600000000000001</v>
      </c>
      <c r="F1444" s="8">
        <f t="shared" si="45"/>
        <v>-1.0366802354365292E-2</v>
      </c>
    </row>
    <row r="1445" spans="1:6" x14ac:dyDescent="0.2">
      <c r="A1445">
        <v>16</v>
      </c>
      <c r="B1445" t="s">
        <v>1136</v>
      </c>
      <c r="C1445" t="s">
        <v>1030</v>
      </c>
      <c r="D1445" s="8">
        <v>4.7160969116810002E-4</v>
      </c>
      <c r="E1445" s="6">
        <f t="shared" si="44"/>
        <v>0.29999999999999982</v>
      </c>
      <c r="F1445" s="8">
        <f t="shared" si="45"/>
        <v>1.4148290735042994E-4</v>
      </c>
    </row>
    <row r="1446" spans="1:6" x14ac:dyDescent="0.2">
      <c r="A1446">
        <v>16</v>
      </c>
      <c r="B1446" t="s">
        <v>1136</v>
      </c>
      <c r="C1446" t="s">
        <v>1031</v>
      </c>
      <c r="D1446" s="8">
        <v>1.1230651799145001E-3</v>
      </c>
      <c r="E1446" s="6">
        <f t="shared" si="44"/>
        <v>0.19899999999999984</v>
      </c>
      <c r="F1446" s="8">
        <f t="shared" si="45"/>
        <v>2.2348997080298534E-4</v>
      </c>
    </row>
    <row r="1447" spans="1:6" x14ac:dyDescent="0.2">
      <c r="A1447">
        <v>16</v>
      </c>
      <c r="B1447" t="s">
        <v>1136</v>
      </c>
      <c r="C1447" t="s">
        <v>1033</v>
      </c>
      <c r="D1447" s="8">
        <v>2.9451988704030002E-4</v>
      </c>
      <c r="E1447" s="6">
        <f t="shared" si="44"/>
        <v>0.23299999999999987</v>
      </c>
      <c r="F1447" s="8">
        <f t="shared" si="45"/>
        <v>6.8623133680389875E-5</v>
      </c>
    </row>
    <row r="1448" spans="1:6" x14ac:dyDescent="0.2">
      <c r="A1448">
        <v>16</v>
      </c>
      <c r="B1448" t="s">
        <v>1136</v>
      </c>
      <c r="C1448" t="s">
        <v>1034</v>
      </c>
      <c r="D1448" s="8">
        <v>8.4051488680113647E-6</v>
      </c>
      <c r="E1448" s="6">
        <f t="shared" si="44"/>
        <v>0.70000000000000018</v>
      </c>
      <c r="F1448" s="8">
        <f t="shared" si="45"/>
        <v>5.8836042076079566E-6</v>
      </c>
    </row>
    <row r="1449" spans="1:6" x14ac:dyDescent="0.2">
      <c r="A1449">
        <v>16</v>
      </c>
      <c r="B1449" t="s">
        <v>1136</v>
      </c>
      <c r="C1449" t="s">
        <v>1100</v>
      </c>
      <c r="D1449" s="8">
        <v>4.9461264173870001E-4</v>
      </c>
      <c r="E1449" s="6">
        <f t="shared" si="44"/>
        <v>0</v>
      </c>
      <c r="F1449" s="8">
        <f t="shared" si="45"/>
        <v>0</v>
      </c>
    </row>
    <row r="1450" spans="1:6" x14ac:dyDescent="0.2">
      <c r="A1450">
        <v>16</v>
      </c>
      <c r="B1450" t="s">
        <v>1136</v>
      </c>
      <c r="C1450" t="s">
        <v>1035</v>
      </c>
      <c r="D1450" s="8">
        <v>8.0902896692849999E-4</v>
      </c>
      <c r="E1450" s="6">
        <f t="shared" si="44"/>
        <v>-14.218</v>
      </c>
      <c r="F1450" s="8">
        <f t="shared" si="45"/>
        <v>-1.1502773851789412E-2</v>
      </c>
    </row>
    <row r="1451" spans="1:6" x14ac:dyDescent="0.2">
      <c r="A1451">
        <v>16</v>
      </c>
      <c r="B1451" t="s">
        <v>1136</v>
      </c>
      <c r="C1451" t="s">
        <v>1036</v>
      </c>
      <c r="D1451" s="8">
        <v>4.0592255429790003E-4</v>
      </c>
      <c r="E1451" s="6">
        <f t="shared" si="44"/>
        <v>-2.0590000000000002</v>
      </c>
      <c r="F1451" s="8">
        <f t="shared" si="45"/>
        <v>-8.3579453929937626E-4</v>
      </c>
    </row>
    <row r="1452" spans="1:6" x14ac:dyDescent="0.2">
      <c r="A1452">
        <v>16</v>
      </c>
      <c r="B1452" t="s">
        <v>1136</v>
      </c>
      <c r="C1452" t="s">
        <v>1037</v>
      </c>
      <c r="D1452" s="8">
        <v>2.5496997146080001E-4</v>
      </c>
      <c r="E1452" s="6">
        <f t="shared" si="44"/>
        <v>0.2350000000000001</v>
      </c>
      <c r="F1452" s="8">
        <f t="shared" si="45"/>
        <v>5.9917943293288026E-5</v>
      </c>
    </row>
    <row r="1453" spans="1:6" x14ac:dyDescent="0.2">
      <c r="A1453">
        <v>16</v>
      </c>
      <c r="B1453" t="s">
        <v>1136</v>
      </c>
      <c r="C1453" t="s">
        <v>1038</v>
      </c>
      <c r="D1453" s="8">
        <v>1.4458433006259059E-9</v>
      </c>
      <c r="E1453" s="6">
        <f t="shared" si="44"/>
        <v>-0.2759999999999998</v>
      </c>
      <c r="F1453" s="8">
        <f t="shared" si="45"/>
        <v>-3.9905275097274975E-10</v>
      </c>
    </row>
    <row r="1454" spans="1:6" x14ac:dyDescent="0.2">
      <c r="A1454">
        <v>16</v>
      </c>
      <c r="B1454" t="s">
        <v>1136</v>
      </c>
      <c r="C1454" t="s">
        <v>1094</v>
      </c>
      <c r="D1454" s="8">
        <v>4.6716951547952301E-2</v>
      </c>
      <c r="E1454" s="6">
        <f t="shared" si="44"/>
        <v>0</v>
      </c>
      <c r="F1454" s="8">
        <f t="shared" si="45"/>
        <v>0</v>
      </c>
    </row>
    <row r="1455" spans="1:6" x14ac:dyDescent="0.2">
      <c r="A1455">
        <v>16</v>
      </c>
      <c r="B1455" t="s">
        <v>1136</v>
      </c>
      <c r="C1455" t="s">
        <v>1039</v>
      </c>
      <c r="D1455" s="8">
        <v>2.53479705343976E-2</v>
      </c>
      <c r="E1455" s="6">
        <f t="shared" si="44"/>
        <v>-0.6419999999999999</v>
      </c>
      <c r="F1455" s="8">
        <f t="shared" si="45"/>
        <v>-1.6273397083083257E-2</v>
      </c>
    </row>
    <row r="1456" spans="1:6" x14ac:dyDescent="0.2">
      <c r="A1456">
        <v>16</v>
      </c>
      <c r="B1456" t="s">
        <v>1136</v>
      </c>
      <c r="C1456" t="s">
        <v>1041</v>
      </c>
      <c r="D1456" s="8">
        <v>2.130384624181432E-5</v>
      </c>
      <c r="E1456" s="6">
        <f t="shared" si="44"/>
        <v>-1.8890000000000002</v>
      </c>
      <c r="F1456" s="8">
        <f t="shared" si="45"/>
        <v>-4.0242965550787258E-5</v>
      </c>
    </row>
    <row r="1457" spans="1:6" x14ac:dyDescent="0.2">
      <c r="A1457">
        <v>16</v>
      </c>
      <c r="B1457" t="s">
        <v>1136</v>
      </c>
      <c r="C1457" t="s">
        <v>1042</v>
      </c>
      <c r="D1457" s="8">
        <v>1.2238985053973601E-2</v>
      </c>
      <c r="E1457" s="6">
        <f t="shared" si="44"/>
        <v>1.621</v>
      </c>
      <c r="F1457" s="8">
        <f t="shared" si="45"/>
        <v>1.9839394772491206E-2</v>
      </c>
    </row>
    <row r="1458" spans="1:6" x14ac:dyDescent="0.2">
      <c r="A1458">
        <v>16</v>
      </c>
      <c r="B1458" t="s">
        <v>1136</v>
      </c>
      <c r="C1458" t="s">
        <v>1045</v>
      </c>
      <c r="D1458" s="8">
        <v>2.030875405248381E-5</v>
      </c>
      <c r="E1458" s="6">
        <f t="shared" si="44"/>
        <v>0.7849999999999997</v>
      </c>
      <c r="F1458" s="8">
        <f t="shared" si="45"/>
        <v>1.5942371931199785E-5</v>
      </c>
    </row>
    <row r="1459" spans="1:6" x14ac:dyDescent="0.2">
      <c r="A1459">
        <v>16</v>
      </c>
      <c r="B1459" t="s">
        <v>1136</v>
      </c>
      <c r="C1459" t="s">
        <v>1047</v>
      </c>
      <c r="D1459" s="8">
        <v>1.3561881850739999E-4</v>
      </c>
      <c r="E1459" s="6">
        <f t="shared" si="44"/>
        <v>-1.4999999999999996</v>
      </c>
      <c r="F1459" s="8">
        <f t="shared" si="45"/>
        <v>-2.0342822776109993E-4</v>
      </c>
    </row>
    <row r="1460" spans="1:6" x14ac:dyDescent="0.2">
      <c r="A1460">
        <v>16</v>
      </c>
      <c r="B1460" t="s">
        <v>1136</v>
      </c>
      <c r="C1460" t="s">
        <v>1048</v>
      </c>
      <c r="D1460" s="8">
        <v>6.7930850628629263E-6</v>
      </c>
      <c r="E1460" s="6">
        <f t="shared" si="44"/>
        <v>-1.4340000000000002</v>
      </c>
      <c r="F1460" s="8">
        <f t="shared" si="45"/>
        <v>-9.7412839801454382E-6</v>
      </c>
    </row>
    <row r="1461" spans="1:6" x14ac:dyDescent="0.2">
      <c r="A1461">
        <v>16</v>
      </c>
      <c r="B1461" t="s">
        <v>1136</v>
      </c>
      <c r="C1461" t="s">
        <v>1052</v>
      </c>
      <c r="D1461" s="8">
        <v>1.9025244511654229E-5</v>
      </c>
      <c r="E1461" s="6">
        <f t="shared" si="44"/>
        <v>-1.1059999999999999</v>
      </c>
      <c r="F1461" s="8">
        <f t="shared" si="45"/>
        <v>-2.1041920429889574E-5</v>
      </c>
    </row>
    <row r="1462" spans="1:6" x14ac:dyDescent="0.2">
      <c r="A1462">
        <v>16</v>
      </c>
      <c r="B1462" t="s">
        <v>1136</v>
      </c>
      <c r="C1462" t="s">
        <v>1053</v>
      </c>
      <c r="D1462" s="8">
        <v>8.8204331024986933E-5</v>
      </c>
      <c r="E1462" s="6">
        <f t="shared" si="44"/>
        <v>-0.39999999999999991</v>
      </c>
      <c r="F1462" s="8">
        <f t="shared" si="45"/>
        <v>-3.5281732409994764E-5</v>
      </c>
    </row>
    <row r="1463" spans="1:6" x14ac:dyDescent="0.2">
      <c r="A1463">
        <v>16</v>
      </c>
      <c r="B1463" t="s">
        <v>1136</v>
      </c>
      <c r="C1463" t="s">
        <v>1054</v>
      </c>
      <c r="D1463" s="8">
        <v>1.0086722566348999E-3</v>
      </c>
      <c r="E1463" s="6">
        <f t="shared" si="44"/>
        <v>-0.16800000000000015</v>
      </c>
      <c r="F1463" s="8">
        <f t="shared" si="45"/>
        <v>-1.6945693911466332E-4</v>
      </c>
    </row>
    <row r="1464" spans="1:6" x14ac:dyDescent="0.2">
      <c r="A1464">
        <v>16</v>
      </c>
      <c r="B1464" t="s">
        <v>1136</v>
      </c>
      <c r="C1464" t="s">
        <v>1056</v>
      </c>
      <c r="D1464" s="8">
        <v>1.3155068100580001E-4</v>
      </c>
      <c r="E1464" s="6">
        <f t="shared" si="44"/>
        <v>-1.996</v>
      </c>
      <c r="F1464" s="8">
        <f t="shared" si="45"/>
        <v>-2.6257515928757681E-4</v>
      </c>
    </row>
    <row r="1465" spans="1:6" x14ac:dyDescent="0.2">
      <c r="A1465">
        <v>16</v>
      </c>
      <c r="B1465" t="s">
        <v>1136</v>
      </c>
      <c r="C1465" t="s">
        <v>1095</v>
      </c>
      <c r="D1465" s="8">
        <v>1.5580691201603999E-3</v>
      </c>
      <c r="E1465" s="6">
        <f t="shared" si="44"/>
        <v>0</v>
      </c>
      <c r="F1465" s="8">
        <f t="shared" si="45"/>
        <v>0</v>
      </c>
    </row>
    <row r="1466" spans="1:6" x14ac:dyDescent="0.2">
      <c r="A1466">
        <v>16</v>
      </c>
      <c r="B1466" t="s">
        <v>1136</v>
      </c>
      <c r="C1466" t="s">
        <v>1112</v>
      </c>
      <c r="D1466" s="8">
        <v>4.3962708816492463E-5</v>
      </c>
      <c r="E1466" s="6">
        <f t="shared" si="44"/>
        <v>0</v>
      </c>
      <c r="F1466" s="8">
        <f t="shared" si="45"/>
        <v>0</v>
      </c>
    </row>
    <row r="1467" spans="1:6" x14ac:dyDescent="0.2">
      <c r="A1467">
        <v>16</v>
      </c>
      <c r="B1467" t="s">
        <v>1136</v>
      </c>
      <c r="C1467" t="s">
        <v>1058</v>
      </c>
      <c r="D1467" s="8">
        <v>1.111823218740471E-5</v>
      </c>
      <c r="E1467" s="6">
        <f t="shared" si="44"/>
        <v>-0.5</v>
      </c>
      <c r="F1467" s="8">
        <f t="shared" si="45"/>
        <v>-5.5591160937023552E-6</v>
      </c>
    </row>
    <row r="1468" spans="1:6" x14ac:dyDescent="0.2">
      <c r="A1468">
        <v>16</v>
      </c>
      <c r="B1468" t="s">
        <v>1136</v>
      </c>
      <c r="C1468" t="s">
        <v>1059</v>
      </c>
      <c r="D1468" s="8">
        <v>3.9675343246549999E-3</v>
      </c>
      <c r="E1468" s="6">
        <f t="shared" si="44"/>
        <v>-0.10000000000000009</v>
      </c>
      <c r="F1468" s="8">
        <f t="shared" si="45"/>
        <v>-3.9675343246550033E-4</v>
      </c>
    </row>
    <row r="1469" spans="1:6" x14ac:dyDescent="0.2">
      <c r="A1469">
        <v>16</v>
      </c>
      <c r="B1469" t="s">
        <v>1136</v>
      </c>
      <c r="C1469" t="s">
        <v>1062</v>
      </c>
      <c r="D1469" s="8">
        <v>4.2163441989789997E-4</v>
      </c>
      <c r="E1469" s="6">
        <f t="shared" si="44"/>
        <v>0.89999999999999947</v>
      </c>
      <c r="F1469" s="8">
        <f t="shared" si="45"/>
        <v>3.7947097790810977E-4</v>
      </c>
    </row>
    <row r="1470" spans="1:6" x14ac:dyDescent="0.2">
      <c r="A1470">
        <v>16</v>
      </c>
      <c r="B1470" t="s">
        <v>1136</v>
      </c>
      <c r="C1470" t="s">
        <v>1064</v>
      </c>
      <c r="D1470" s="8">
        <v>5.2970482901246637E-6</v>
      </c>
      <c r="E1470" s="6">
        <f t="shared" ref="E1470:E1533" si="46">IFERROR(VLOOKUP(C1470,$A$6:$D$185,4,FALSE),0)</f>
        <v>-0.29400000000000004</v>
      </c>
      <c r="F1470" s="8">
        <f t="shared" ref="F1470:F1533" si="47">D1470*E1470</f>
        <v>-1.5573321972966514E-6</v>
      </c>
    </row>
    <row r="1471" spans="1:6" x14ac:dyDescent="0.2">
      <c r="A1471">
        <v>16</v>
      </c>
      <c r="B1471" t="s">
        <v>1136</v>
      </c>
      <c r="C1471" t="s">
        <v>1065</v>
      </c>
      <c r="D1471" s="8">
        <v>3.3085820426361118E-5</v>
      </c>
      <c r="E1471" s="6">
        <f t="shared" si="46"/>
        <v>0.68300000000000005</v>
      </c>
      <c r="F1471" s="8">
        <f t="shared" si="47"/>
        <v>2.2597615351204644E-5</v>
      </c>
    </row>
    <row r="1472" spans="1:6" x14ac:dyDescent="0.2">
      <c r="A1472">
        <v>16</v>
      </c>
      <c r="B1472" t="s">
        <v>1136</v>
      </c>
      <c r="C1472" t="s">
        <v>1066</v>
      </c>
      <c r="D1472" s="8">
        <v>8.7302894622329999E-4</v>
      </c>
      <c r="E1472" s="6">
        <f t="shared" si="46"/>
        <v>0.20900000000000007</v>
      </c>
      <c r="F1472" s="8">
        <f t="shared" si="47"/>
        <v>1.8246304976066976E-4</v>
      </c>
    </row>
    <row r="1473" spans="1:6" x14ac:dyDescent="0.2">
      <c r="A1473">
        <v>16</v>
      </c>
      <c r="B1473" t="s">
        <v>1136</v>
      </c>
      <c r="C1473" t="s">
        <v>1106</v>
      </c>
      <c r="D1473" s="8">
        <v>3.4244032126978039E-5</v>
      </c>
      <c r="E1473" s="6">
        <f t="shared" si="46"/>
        <v>0</v>
      </c>
      <c r="F1473" s="8">
        <f t="shared" si="47"/>
        <v>0</v>
      </c>
    </row>
    <row r="1474" spans="1:6" x14ac:dyDescent="0.2">
      <c r="A1474">
        <v>16</v>
      </c>
      <c r="B1474" t="s">
        <v>1136</v>
      </c>
      <c r="C1474" t="s">
        <v>1070</v>
      </c>
      <c r="D1474" s="8">
        <v>1.3824230117638961E-5</v>
      </c>
      <c r="E1474" s="6">
        <f t="shared" si="46"/>
        <v>-2.5</v>
      </c>
      <c r="F1474" s="8">
        <f t="shared" si="47"/>
        <v>-3.4560575294097402E-5</v>
      </c>
    </row>
    <row r="1475" spans="1:6" x14ac:dyDescent="0.2">
      <c r="A1475">
        <v>16</v>
      </c>
      <c r="B1475" t="s">
        <v>1136</v>
      </c>
      <c r="C1475" t="s">
        <v>1071</v>
      </c>
      <c r="D1475" s="8">
        <v>1.4177068569209999E-4</v>
      </c>
      <c r="E1475" s="6">
        <f t="shared" si="46"/>
        <v>-0.8</v>
      </c>
      <c r="F1475" s="8">
        <f t="shared" si="47"/>
        <v>-1.1341654855367999E-4</v>
      </c>
    </row>
    <row r="1476" spans="1:6" x14ac:dyDescent="0.2">
      <c r="A1476">
        <v>16</v>
      </c>
      <c r="B1476" t="s">
        <v>1136</v>
      </c>
      <c r="C1476" t="s">
        <v>1072</v>
      </c>
      <c r="D1476" s="8">
        <v>9.4079633509969895E-2</v>
      </c>
      <c r="E1476" s="6">
        <f t="shared" si="46"/>
        <v>0.55599999999999983</v>
      </c>
      <c r="F1476" s="8">
        <f t="shared" si="47"/>
        <v>5.2308276231543244E-2</v>
      </c>
    </row>
    <row r="1477" spans="1:6" x14ac:dyDescent="0.2">
      <c r="A1477">
        <v>16</v>
      </c>
      <c r="B1477" t="s">
        <v>1136</v>
      </c>
      <c r="C1477" t="s">
        <v>1073</v>
      </c>
      <c r="D1477" s="8">
        <v>5.8287923637798286E-7</v>
      </c>
      <c r="E1477" s="6">
        <f t="shared" si="46"/>
        <v>0.69200000000000017</v>
      </c>
      <c r="F1477" s="8">
        <f t="shared" si="47"/>
        <v>4.0335243157356423E-7</v>
      </c>
    </row>
    <row r="1478" spans="1:6" x14ac:dyDescent="0.2">
      <c r="A1478">
        <v>16</v>
      </c>
      <c r="B1478" t="s">
        <v>1136</v>
      </c>
      <c r="C1478" t="s">
        <v>1124</v>
      </c>
      <c r="D1478" s="8">
        <v>9.8270059310742955E-5</v>
      </c>
      <c r="E1478" s="6">
        <f t="shared" si="46"/>
        <v>0</v>
      </c>
      <c r="F1478" s="8">
        <f t="shared" si="47"/>
        <v>0</v>
      </c>
    </row>
    <row r="1479" spans="1:6" x14ac:dyDescent="0.2">
      <c r="A1479">
        <v>16</v>
      </c>
      <c r="B1479" t="s">
        <v>1136</v>
      </c>
      <c r="C1479" t="s">
        <v>1074</v>
      </c>
      <c r="D1479" s="8">
        <v>3.7707282916054899E-5</v>
      </c>
      <c r="E1479" s="6">
        <f t="shared" si="46"/>
        <v>9.5</v>
      </c>
      <c r="F1479" s="8">
        <f t="shared" si="47"/>
        <v>3.5821918770252156E-4</v>
      </c>
    </row>
    <row r="1480" spans="1:6" x14ac:dyDescent="0.2">
      <c r="A1480">
        <v>16</v>
      </c>
      <c r="B1480" t="s">
        <v>1136</v>
      </c>
      <c r="C1480" t="s">
        <v>1107</v>
      </c>
      <c r="D1480" s="8">
        <v>1.7972746287400689E-5</v>
      </c>
      <c r="E1480" s="6">
        <f t="shared" si="46"/>
        <v>0</v>
      </c>
      <c r="F1480" s="8">
        <f t="shared" si="47"/>
        <v>0</v>
      </c>
    </row>
    <row r="1481" spans="1:6" x14ac:dyDescent="0.2">
      <c r="A1481">
        <v>16</v>
      </c>
      <c r="B1481" t="s">
        <v>1136</v>
      </c>
      <c r="C1481" t="s">
        <v>1075</v>
      </c>
      <c r="D1481" s="8">
        <v>7.2617596936447003E-3</v>
      </c>
      <c r="E1481" s="6">
        <f t="shared" si="46"/>
        <v>3.0529999999999999</v>
      </c>
      <c r="F1481" s="8">
        <f t="shared" si="47"/>
        <v>2.2170152344697269E-2</v>
      </c>
    </row>
    <row r="1482" spans="1:6" x14ac:dyDescent="0.2">
      <c r="A1482">
        <v>16</v>
      </c>
      <c r="B1482" t="s">
        <v>1136</v>
      </c>
      <c r="C1482" t="s">
        <v>1076</v>
      </c>
      <c r="D1482" s="8">
        <v>1.9113783489167029E-6</v>
      </c>
      <c r="E1482" s="6">
        <f t="shared" si="46"/>
        <v>1.4060000000000001</v>
      </c>
      <c r="F1482" s="8">
        <f t="shared" si="47"/>
        <v>2.6873979585768848E-6</v>
      </c>
    </row>
    <row r="1483" spans="1:6" x14ac:dyDescent="0.2">
      <c r="A1483">
        <v>16</v>
      </c>
      <c r="B1483" t="s">
        <v>1136</v>
      </c>
      <c r="C1483" t="s">
        <v>1133</v>
      </c>
      <c r="D1483" s="8">
        <v>1.3446683339530499E-6</v>
      </c>
      <c r="E1483" s="6">
        <f t="shared" si="46"/>
        <v>0</v>
      </c>
      <c r="F1483" s="8">
        <f t="shared" si="47"/>
        <v>0</v>
      </c>
    </row>
    <row r="1484" spans="1:6" x14ac:dyDescent="0.2">
      <c r="A1484">
        <v>16</v>
      </c>
      <c r="B1484" t="s">
        <v>1136</v>
      </c>
      <c r="C1484" t="s">
        <v>1078</v>
      </c>
      <c r="D1484" s="8">
        <v>3.019509368338428E-5</v>
      </c>
      <c r="E1484" s="6">
        <f t="shared" si="46"/>
        <v>0.5</v>
      </c>
      <c r="F1484" s="8">
        <f t="shared" si="47"/>
        <v>1.509754684169214E-5</v>
      </c>
    </row>
    <row r="1485" spans="1:6" x14ac:dyDescent="0.2">
      <c r="A1485">
        <v>16</v>
      </c>
      <c r="B1485" t="s">
        <v>1136</v>
      </c>
      <c r="C1485" t="s">
        <v>1079</v>
      </c>
      <c r="D1485" s="8">
        <v>1.5925987377541E-3</v>
      </c>
      <c r="E1485" s="6">
        <f t="shared" si="46"/>
        <v>-0.28899999999999992</v>
      </c>
      <c r="F1485" s="8">
        <f t="shared" si="47"/>
        <v>-4.6026103521093476E-4</v>
      </c>
    </row>
    <row r="1486" spans="1:6" x14ac:dyDescent="0.2">
      <c r="A1486">
        <v>16</v>
      </c>
      <c r="B1486" t="s">
        <v>1136</v>
      </c>
      <c r="C1486" t="s">
        <v>1081</v>
      </c>
      <c r="D1486" s="8">
        <v>3.205078814057636E-6</v>
      </c>
      <c r="E1486" s="6">
        <f t="shared" si="46"/>
        <v>0.36000000000000032</v>
      </c>
      <c r="F1486" s="8">
        <f t="shared" si="47"/>
        <v>1.15382837306075E-6</v>
      </c>
    </row>
    <row r="1487" spans="1:6" x14ac:dyDescent="0.2">
      <c r="A1487">
        <v>17</v>
      </c>
      <c r="B1487" t="s">
        <v>1137</v>
      </c>
      <c r="C1487" t="s">
        <v>902</v>
      </c>
      <c r="D1487" s="8">
        <v>2.333811290069201E-6</v>
      </c>
      <c r="E1487" s="6">
        <f t="shared" si="46"/>
        <v>-0.28000000000000025</v>
      </c>
      <c r="F1487" s="8">
        <f t="shared" si="47"/>
        <v>-6.5346716121937683E-7</v>
      </c>
    </row>
    <row r="1488" spans="1:6" x14ac:dyDescent="0.2">
      <c r="A1488">
        <v>17</v>
      </c>
      <c r="B1488" t="s">
        <v>1137</v>
      </c>
      <c r="C1488" t="s">
        <v>903</v>
      </c>
      <c r="D1488" s="8">
        <v>9.6175331942269997E-4</v>
      </c>
      <c r="E1488" s="6">
        <f t="shared" si="46"/>
        <v>0.22399999999999975</v>
      </c>
      <c r="F1488" s="8">
        <f t="shared" si="47"/>
        <v>2.1543274355068456E-4</v>
      </c>
    </row>
    <row r="1489" spans="1:6" x14ac:dyDescent="0.2">
      <c r="A1489">
        <v>17</v>
      </c>
      <c r="B1489" t="s">
        <v>1137</v>
      </c>
      <c r="C1489" t="s">
        <v>904</v>
      </c>
      <c r="D1489" s="8">
        <v>2.1660944624429999E-4</v>
      </c>
      <c r="E1489" s="6">
        <f t="shared" si="46"/>
        <v>-6.800000000000006E-2</v>
      </c>
      <c r="F1489" s="8">
        <f t="shared" si="47"/>
        <v>-1.4729442344612412E-5</v>
      </c>
    </row>
    <row r="1490" spans="1:6" x14ac:dyDescent="0.2">
      <c r="A1490">
        <v>17</v>
      </c>
      <c r="B1490" t="s">
        <v>1137</v>
      </c>
      <c r="C1490" t="s">
        <v>906</v>
      </c>
      <c r="D1490" s="8">
        <v>2.64190898136001E-2</v>
      </c>
      <c r="E1490" s="6">
        <f t="shared" si="46"/>
        <v>-1.8859999999999997</v>
      </c>
      <c r="F1490" s="8">
        <f t="shared" si="47"/>
        <v>-4.9826403388449778E-2</v>
      </c>
    </row>
    <row r="1491" spans="1:6" x14ac:dyDescent="0.2">
      <c r="A1491">
        <v>17</v>
      </c>
      <c r="B1491" t="s">
        <v>1137</v>
      </c>
      <c r="C1491" t="s">
        <v>907</v>
      </c>
      <c r="D1491" s="8">
        <v>2.776363452053E-4</v>
      </c>
      <c r="E1491" s="6">
        <f t="shared" si="46"/>
        <v>-1.0199999999999996</v>
      </c>
      <c r="F1491" s="8">
        <f t="shared" si="47"/>
        <v>-2.8318907210940589E-4</v>
      </c>
    </row>
    <row r="1492" spans="1:6" x14ac:dyDescent="0.2">
      <c r="A1492">
        <v>17</v>
      </c>
      <c r="B1492" t="s">
        <v>1137</v>
      </c>
      <c r="C1492" t="s">
        <v>908</v>
      </c>
      <c r="D1492" s="8">
        <v>2.2108683451162159E-7</v>
      </c>
      <c r="E1492" s="6">
        <f t="shared" si="46"/>
        <v>0.79999999999999982</v>
      </c>
      <c r="F1492" s="8">
        <f t="shared" si="47"/>
        <v>1.7686946760929724E-7</v>
      </c>
    </row>
    <row r="1493" spans="1:6" x14ac:dyDescent="0.2">
      <c r="A1493">
        <v>17</v>
      </c>
      <c r="B1493" t="s">
        <v>1137</v>
      </c>
      <c r="C1493" t="s">
        <v>1097</v>
      </c>
      <c r="D1493" s="8">
        <v>2.091150385652419E-6</v>
      </c>
      <c r="E1493" s="6">
        <f t="shared" si="46"/>
        <v>0</v>
      </c>
      <c r="F1493" s="8">
        <f t="shared" si="47"/>
        <v>0</v>
      </c>
    </row>
    <row r="1494" spans="1:6" x14ac:dyDescent="0.2">
      <c r="A1494">
        <v>17</v>
      </c>
      <c r="B1494" t="s">
        <v>1137</v>
      </c>
      <c r="C1494" t="s">
        <v>910</v>
      </c>
      <c r="D1494" s="8">
        <v>1.7522247365465999E-2</v>
      </c>
      <c r="E1494" s="6">
        <f t="shared" si="46"/>
        <v>-7.7999999999999847E-2</v>
      </c>
      <c r="F1494" s="8">
        <f t="shared" si="47"/>
        <v>-1.3667352945063453E-3</v>
      </c>
    </row>
    <row r="1495" spans="1:6" x14ac:dyDescent="0.2">
      <c r="A1495">
        <v>17</v>
      </c>
      <c r="B1495" t="s">
        <v>1137</v>
      </c>
      <c r="C1495" t="s">
        <v>911</v>
      </c>
      <c r="D1495" s="8">
        <v>3.0263462383763439E-6</v>
      </c>
      <c r="E1495" s="6">
        <f t="shared" si="46"/>
        <v>-7.5000000000000067E-2</v>
      </c>
      <c r="F1495" s="8">
        <f t="shared" si="47"/>
        <v>-2.2697596787822599E-7</v>
      </c>
    </row>
    <row r="1496" spans="1:6" x14ac:dyDescent="0.2">
      <c r="A1496">
        <v>17</v>
      </c>
      <c r="B1496" t="s">
        <v>1137</v>
      </c>
      <c r="C1496" t="s">
        <v>912</v>
      </c>
      <c r="D1496" s="8">
        <v>1.283210294296873E-5</v>
      </c>
      <c r="E1496" s="6">
        <f t="shared" si="46"/>
        <v>-0.29800000000000004</v>
      </c>
      <c r="F1496" s="8">
        <f t="shared" si="47"/>
        <v>-3.8239666770046818E-6</v>
      </c>
    </row>
    <row r="1497" spans="1:6" x14ac:dyDescent="0.2">
      <c r="A1497">
        <v>17</v>
      </c>
      <c r="B1497" t="s">
        <v>1137</v>
      </c>
      <c r="C1497" t="s">
        <v>914</v>
      </c>
      <c r="D1497" s="8">
        <v>5.0695751682742997E-3</v>
      </c>
      <c r="E1497" s="6">
        <f t="shared" si="46"/>
        <v>-0.26900000000000002</v>
      </c>
      <c r="F1497" s="8">
        <f t="shared" si="47"/>
        <v>-1.3637157202657866E-3</v>
      </c>
    </row>
    <row r="1498" spans="1:6" x14ac:dyDescent="0.2">
      <c r="A1498">
        <v>17</v>
      </c>
      <c r="B1498" t="s">
        <v>1137</v>
      </c>
      <c r="C1498" t="s">
        <v>915</v>
      </c>
      <c r="D1498" s="8">
        <v>9.8927164046420002E-4</v>
      </c>
      <c r="E1498" s="6">
        <f t="shared" si="46"/>
        <v>0.81400000000000006</v>
      </c>
      <c r="F1498" s="8">
        <f t="shared" si="47"/>
        <v>8.0526711533785887E-4</v>
      </c>
    </row>
    <row r="1499" spans="1:6" x14ac:dyDescent="0.2">
      <c r="A1499">
        <v>17</v>
      </c>
      <c r="B1499" t="s">
        <v>1137</v>
      </c>
      <c r="C1499" t="s">
        <v>917</v>
      </c>
      <c r="D1499" s="8">
        <v>1.83775635583843E-2</v>
      </c>
      <c r="E1499" s="6">
        <f t="shared" si="46"/>
        <v>-1.83</v>
      </c>
      <c r="F1499" s="8">
        <f t="shared" si="47"/>
        <v>-3.3630941311843271E-2</v>
      </c>
    </row>
    <row r="1500" spans="1:6" x14ac:dyDescent="0.2">
      <c r="A1500">
        <v>17</v>
      </c>
      <c r="B1500" t="s">
        <v>1137</v>
      </c>
      <c r="C1500" t="s">
        <v>918</v>
      </c>
      <c r="D1500" s="8">
        <v>4.6343320585290001E-4</v>
      </c>
      <c r="E1500" s="6">
        <f t="shared" si="46"/>
        <v>0.1469999999999998</v>
      </c>
      <c r="F1500" s="8">
        <f t="shared" si="47"/>
        <v>6.812468126037621E-5</v>
      </c>
    </row>
    <row r="1501" spans="1:6" x14ac:dyDescent="0.2">
      <c r="A1501">
        <v>17</v>
      </c>
      <c r="B1501" t="s">
        <v>1137</v>
      </c>
      <c r="C1501" t="s">
        <v>919</v>
      </c>
      <c r="D1501" s="8">
        <v>8.9437073614580004E-4</v>
      </c>
      <c r="E1501" s="6">
        <f t="shared" si="46"/>
        <v>-3.4940000000000002</v>
      </c>
      <c r="F1501" s="8">
        <f t="shared" si="47"/>
        <v>-3.1249313520934257E-3</v>
      </c>
    </row>
    <row r="1502" spans="1:6" x14ac:dyDescent="0.2">
      <c r="A1502">
        <v>17</v>
      </c>
      <c r="B1502" t="s">
        <v>1137</v>
      </c>
      <c r="C1502" t="s">
        <v>920</v>
      </c>
      <c r="D1502" s="8">
        <v>2.3880042831683209E-6</v>
      </c>
      <c r="E1502" s="6">
        <f t="shared" si="46"/>
        <v>0.40000000000000013</v>
      </c>
      <c r="F1502" s="8">
        <f t="shared" si="47"/>
        <v>9.5520171326732862E-7</v>
      </c>
    </row>
    <row r="1503" spans="1:6" x14ac:dyDescent="0.2">
      <c r="A1503">
        <v>17</v>
      </c>
      <c r="B1503" t="s">
        <v>1137</v>
      </c>
      <c r="C1503" t="s">
        <v>921</v>
      </c>
      <c r="D1503" s="8">
        <v>1.2033527944736181E-10</v>
      </c>
      <c r="E1503" s="6">
        <f t="shared" si="46"/>
        <v>-0.79999999999999982</v>
      </c>
      <c r="F1503" s="8">
        <f t="shared" si="47"/>
        <v>-9.6268223557889427E-11</v>
      </c>
    </row>
    <row r="1504" spans="1:6" x14ac:dyDescent="0.2">
      <c r="A1504">
        <v>17</v>
      </c>
      <c r="B1504" t="s">
        <v>1137</v>
      </c>
      <c r="C1504" t="s">
        <v>923</v>
      </c>
      <c r="D1504" s="8">
        <v>4.7064270977017938E-6</v>
      </c>
      <c r="E1504" s="6">
        <f t="shared" si="46"/>
        <v>-0.29999999999999982</v>
      </c>
      <c r="F1504" s="8">
        <f t="shared" si="47"/>
        <v>-1.4119281293105374E-6</v>
      </c>
    </row>
    <row r="1505" spans="1:6" x14ac:dyDescent="0.2">
      <c r="A1505">
        <v>17</v>
      </c>
      <c r="B1505" t="s">
        <v>1137</v>
      </c>
      <c r="C1505" t="s">
        <v>1129</v>
      </c>
      <c r="D1505" s="8">
        <v>4.2610722452310804E-9</v>
      </c>
      <c r="E1505" s="6">
        <f t="shared" si="46"/>
        <v>0</v>
      </c>
      <c r="F1505" s="8">
        <f t="shared" si="47"/>
        <v>0</v>
      </c>
    </row>
    <row r="1506" spans="1:6" x14ac:dyDescent="0.2">
      <c r="A1506">
        <v>17</v>
      </c>
      <c r="B1506" t="s">
        <v>1137</v>
      </c>
      <c r="C1506" t="s">
        <v>1115</v>
      </c>
      <c r="D1506" s="8">
        <v>7.316384990399594E-10</v>
      </c>
      <c r="E1506" s="6">
        <f t="shared" si="46"/>
        <v>0</v>
      </c>
      <c r="F1506" s="8">
        <f t="shared" si="47"/>
        <v>0</v>
      </c>
    </row>
    <row r="1507" spans="1:6" x14ac:dyDescent="0.2">
      <c r="A1507">
        <v>17</v>
      </c>
      <c r="B1507" t="s">
        <v>1137</v>
      </c>
      <c r="C1507" t="s">
        <v>924</v>
      </c>
      <c r="D1507" s="8">
        <v>4.8057511899530001E-4</v>
      </c>
      <c r="E1507" s="6">
        <f t="shared" si="46"/>
        <v>-8.4000000000000075E-2</v>
      </c>
      <c r="F1507" s="8">
        <f t="shared" si="47"/>
        <v>-4.0368309995605239E-5</v>
      </c>
    </row>
    <row r="1508" spans="1:6" x14ac:dyDescent="0.2">
      <c r="A1508">
        <v>17</v>
      </c>
      <c r="B1508" t="s">
        <v>1137</v>
      </c>
      <c r="C1508" t="s">
        <v>925</v>
      </c>
      <c r="D1508" s="8">
        <v>1.648148809906578E-5</v>
      </c>
      <c r="E1508" s="6">
        <f t="shared" si="46"/>
        <v>0.20000000000000018</v>
      </c>
      <c r="F1508" s="8">
        <f t="shared" si="47"/>
        <v>3.2962976198131589E-6</v>
      </c>
    </row>
    <row r="1509" spans="1:6" x14ac:dyDescent="0.2">
      <c r="A1509">
        <v>17</v>
      </c>
      <c r="B1509" t="s">
        <v>1137</v>
      </c>
      <c r="C1509" t="s">
        <v>926</v>
      </c>
      <c r="D1509" s="8">
        <v>2.1284984179399999E-4</v>
      </c>
      <c r="E1509" s="6">
        <f t="shared" si="46"/>
        <v>-4.8000000000000043E-2</v>
      </c>
      <c r="F1509" s="8">
        <f t="shared" si="47"/>
        <v>-1.0216792406112008E-5</v>
      </c>
    </row>
    <row r="1510" spans="1:6" x14ac:dyDescent="0.2">
      <c r="A1510">
        <v>17</v>
      </c>
      <c r="B1510" t="s">
        <v>1137</v>
      </c>
      <c r="C1510" t="s">
        <v>929</v>
      </c>
      <c r="D1510" s="8">
        <v>7.316384990399594E-10</v>
      </c>
      <c r="E1510" s="6">
        <f t="shared" si="46"/>
        <v>-0.54599999999999982</v>
      </c>
      <c r="F1510" s="8">
        <f t="shared" si="47"/>
        <v>-3.9947462047581768E-10</v>
      </c>
    </row>
    <row r="1511" spans="1:6" x14ac:dyDescent="0.2">
      <c r="A1511">
        <v>17</v>
      </c>
      <c r="B1511" t="s">
        <v>1137</v>
      </c>
      <c r="C1511" t="s">
        <v>930</v>
      </c>
      <c r="D1511" s="8">
        <v>4.3647709000963998E-3</v>
      </c>
      <c r="E1511" s="6">
        <f t="shared" si="46"/>
        <v>-5.8000000000000052E-2</v>
      </c>
      <c r="F1511" s="8">
        <f t="shared" si="47"/>
        <v>-2.5315671220559142E-4</v>
      </c>
    </row>
    <row r="1512" spans="1:6" x14ac:dyDescent="0.2">
      <c r="A1512">
        <v>17</v>
      </c>
      <c r="B1512" t="s">
        <v>1137</v>
      </c>
      <c r="C1512" t="s">
        <v>931</v>
      </c>
      <c r="D1512" s="8">
        <v>3.4592487239286769E-5</v>
      </c>
      <c r="E1512" s="6">
        <f t="shared" si="46"/>
        <v>-0.31099999999999994</v>
      </c>
      <c r="F1512" s="8">
        <f t="shared" si="47"/>
        <v>-1.0758263531418183E-5</v>
      </c>
    </row>
    <row r="1513" spans="1:6" x14ac:dyDescent="0.2">
      <c r="A1513">
        <v>17</v>
      </c>
      <c r="B1513" t="s">
        <v>1137</v>
      </c>
      <c r="C1513" t="s">
        <v>932</v>
      </c>
      <c r="D1513" s="8">
        <v>2.4133049313859001E-3</v>
      </c>
      <c r="E1513" s="6">
        <f t="shared" si="46"/>
        <v>0.21799999999999997</v>
      </c>
      <c r="F1513" s="8">
        <f t="shared" si="47"/>
        <v>5.2610047504212613E-4</v>
      </c>
    </row>
    <row r="1514" spans="1:6" x14ac:dyDescent="0.2">
      <c r="A1514">
        <v>17</v>
      </c>
      <c r="B1514" t="s">
        <v>1137</v>
      </c>
      <c r="C1514" t="s">
        <v>933</v>
      </c>
      <c r="D1514" s="8">
        <v>0.3853353177760544</v>
      </c>
      <c r="E1514" s="6">
        <f t="shared" si="46"/>
        <v>0.4430000000000005</v>
      </c>
      <c r="F1514" s="8">
        <f t="shared" si="47"/>
        <v>0.1707035457747923</v>
      </c>
    </row>
    <row r="1515" spans="1:6" x14ac:dyDescent="0.2">
      <c r="A1515">
        <v>17</v>
      </c>
      <c r="B1515" t="s">
        <v>1137</v>
      </c>
      <c r="C1515" t="s">
        <v>934</v>
      </c>
      <c r="D1515" s="8">
        <v>2.7103337880949999E-3</v>
      </c>
      <c r="E1515" s="6">
        <f t="shared" si="46"/>
        <v>-0.20000000000000018</v>
      </c>
      <c r="F1515" s="8">
        <f t="shared" si="47"/>
        <v>-5.4206675761900042E-4</v>
      </c>
    </row>
    <row r="1516" spans="1:6" x14ac:dyDescent="0.2">
      <c r="A1516">
        <v>17</v>
      </c>
      <c r="B1516" t="s">
        <v>1137</v>
      </c>
      <c r="C1516" t="s">
        <v>935</v>
      </c>
      <c r="D1516" s="8">
        <v>9.8871577221810005E-4</v>
      </c>
      <c r="E1516" s="6">
        <f t="shared" si="46"/>
        <v>-0.71799999999999997</v>
      </c>
      <c r="F1516" s="8">
        <f t="shared" si="47"/>
        <v>-7.0989792445259577E-4</v>
      </c>
    </row>
    <row r="1517" spans="1:6" x14ac:dyDescent="0.2">
      <c r="A1517">
        <v>17</v>
      </c>
      <c r="B1517" t="s">
        <v>1137</v>
      </c>
      <c r="C1517" t="s">
        <v>936</v>
      </c>
      <c r="D1517" s="8">
        <v>2.608786958227E-4</v>
      </c>
      <c r="E1517" s="6">
        <f t="shared" si="46"/>
        <v>0.72900000000000009</v>
      </c>
      <c r="F1517" s="8">
        <f t="shared" si="47"/>
        <v>1.9018056925474832E-4</v>
      </c>
    </row>
    <row r="1518" spans="1:6" x14ac:dyDescent="0.2">
      <c r="A1518">
        <v>17</v>
      </c>
      <c r="B1518" t="s">
        <v>1137</v>
      </c>
      <c r="C1518" t="s">
        <v>937</v>
      </c>
      <c r="D1518" s="8">
        <v>1.4455544787663E-3</v>
      </c>
      <c r="E1518" s="6">
        <f t="shared" si="46"/>
        <v>-0.3660000000000001</v>
      </c>
      <c r="F1518" s="8">
        <f t="shared" si="47"/>
        <v>-5.2907293922846595E-4</v>
      </c>
    </row>
    <row r="1519" spans="1:6" x14ac:dyDescent="0.2">
      <c r="A1519">
        <v>17</v>
      </c>
      <c r="B1519" t="s">
        <v>1137</v>
      </c>
      <c r="C1519" t="s">
        <v>938</v>
      </c>
      <c r="D1519" s="8">
        <v>1.1261104791854999E-3</v>
      </c>
      <c r="E1519" s="6">
        <f t="shared" si="46"/>
        <v>-0.32500000000000018</v>
      </c>
      <c r="F1519" s="8">
        <f t="shared" si="47"/>
        <v>-3.6598590573528765E-4</v>
      </c>
    </row>
    <row r="1520" spans="1:6" x14ac:dyDescent="0.2">
      <c r="A1520">
        <v>17</v>
      </c>
      <c r="B1520" t="s">
        <v>1137</v>
      </c>
      <c r="C1520" t="s">
        <v>939</v>
      </c>
      <c r="D1520" s="8">
        <v>1.1563749843948831E-5</v>
      </c>
      <c r="E1520" s="6">
        <f t="shared" si="46"/>
        <v>-0.2240000000000002</v>
      </c>
      <c r="F1520" s="8">
        <f t="shared" si="47"/>
        <v>-2.5902799650445404E-6</v>
      </c>
    </row>
    <row r="1521" spans="1:6" x14ac:dyDescent="0.2">
      <c r="A1521">
        <v>17</v>
      </c>
      <c r="B1521" t="s">
        <v>1137</v>
      </c>
      <c r="C1521" t="s">
        <v>940</v>
      </c>
      <c r="D1521" s="8">
        <v>6.5138954855266191E-6</v>
      </c>
      <c r="E1521" s="6">
        <f t="shared" si="46"/>
        <v>-0.11399999999999988</v>
      </c>
      <c r="F1521" s="8">
        <f t="shared" si="47"/>
        <v>-7.4258408535003379E-7</v>
      </c>
    </row>
    <row r="1522" spans="1:6" x14ac:dyDescent="0.2">
      <c r="A1522">
        <v>17</v>
      </c>
      <c r="B1522" t="s">
        <v>1137</v>
      </c>
      <c r="C1522" t="s">
        <v>941</v>
      </c>
      <c r="D1522" s="8">
        <v>7.3032164203879998E-4</v>
      </c>
      <c r="E1522" s="6">
        <f t="shared" si="46"/>
        <v>0.16599999999999993</v>
      </c>
      <c r="F1522" s="8">
        <f t="shared" si="47"/>
        <v>1.2123339257844074E-4</v>
      </c>
    </row>
    <row r="1523" spans="1:6" x14ac:dyDescent="0.2">
      <c r="A1523">
        <v>17</v>
      </c>
      <c r="B1523" t="s">
        <v>1137</v>
      </c>
      <c r="C1523" t="s">
        <v>1111</v>
      </c>
      <c r="D1523" s="8">
        <v>3.1600788054904178E-6</v>
      </c>
      <c r="E1523" s="6">
        <f t="shared" si="46"/>
        <v>0</v>
      </c>
      <c r="F1523" s="8">
        <f t="shared" si="47"/>
        <v>0</v>
      </c>
    </row>
    <row r="1524" spans="1:6" x14ac:dyDescent="0.2">
      <c r="A1524">
        <v>17</v>
      </c>
      <c r="B1524" t="s">
        <v>1137</v>
      </c>
      <c r="C1524" t="s">
        <v>942</v>
      </c>
      <c r="D1524" s="8">
        <v>1.0446266860865E-3</v>
      </c>
      <c r="E1524" s="6">
        <f t="shared" si="46"/>
        <v>0.33700000000000019</v>
      </c>
      <c r="F1524" s="8">
        <f t="shared" si="47"/>
        <v>3.520391932111507E-4</v>
      </c>
    </row>
    <row r="1525" spans="1:6" x14ac:dyDescent="0.2">
      <c r="A1525">
        <v>17</v>
      </c>
      <c r="B1525" t="s">
        <v>1137</v>
      </c>
      <c r="C1525" t="s">
        <v>943</v>
      </c>
      <c r="D1525" s="8">
        <v>1.4919048091945579E-5</v>
      </c>
      <c r="E1525" s="6">
        <f t="shared" si="46"/>
        <v>0.40800000000000014</v>
      </c>
      <c r="F1525" s="8">
        <f t="shared" si="47"/>
        <v>6.0869716215137981E-6</v>
      </c>
    </row>
    <row r="1526" spans="1:6" x14ac:dyDescent="0.2">
      <c r="A1526">
        <v>17</v>
      </c>
      <c r="B1526" t="s">
        <v>1137</v>
      </c>
      <c r="C1526" t="s">
        <v>944</v>
      </c>
      <c r="D1526" s="8">
        <v>1.8942266051011E-3</v>
      </c>
      <c r="E1526" s="6">
        <f t="shared" si="46"/>
        <v>-0.122</v>
      </c>
      <c r="F1526" s="8">
        <f t="shared" si="47"/>
        <v>-2.3109564582233421E-4</v>
      </c>
    </row>
    <row r="1527" spans="1:6" x14ac:dyDescent="0.2">
      <c r="A1527">
        <v>17</v>
      </c>
      <c r="B1527" t="s">
        <v>1137</v>
      </c>
      <c r="C1527" t="s">
        <v>945</v>
      </c>
      <c r="D1527" s="8">
        <v>2.7474443068206999E-3</v>
      </c>
      <c r="E1527" s="6">
        <f t="shared" si="46"/>
        <v>0.49000000000000021</v>
      </c>
      <c r="F1527" s="8">
        <f t="shared" si="47"/>
        <v>1.3462477103421435E-3</v>
      </c>
    </row>
    <row r="1528" spans="1:6" x14ac:dyDescent="0.2">
      <c r="A1528">
        <v>17</v>
      </c>
      <c r="B1528" t="s">
        <v>1137</v>
      </c>
      <c r="C1528" t="s">
        <v>947</v>
      </c>
      <c r="D1528" s="8">
        <v>1.33097304659E-4</v>
      </c>
      <c r="E1528" s="6">
        <f t="shared" si="46"/>
        <v>0.15500000000000003</v>
      </c>
      <c r="F1528" s="8">
        <f t="shared" si="47"/>
        <v>2.0630082222145004E-5</v>
      </c>
    </row>
    <row r="1529" spans="1:6" x14ac:dyDescent="0.2">
      <c r="A1529">
        <v>17</v>
      </c>
      <c r="B1529" t="s">
        <v>1137</v>
      </c>
      <c r="C1529" t="s">
        <v>948</v>
      </c>
      <c r="D1529" s="8">
        <v>2.7668970993198999E-3</v>
      </c>
      <c r="E1529" s="6">
        <f t="shared" si="46"/>
        <v>-1.0880000000000001</v>
      </c>
      <c r="F1529" s="8">
        <f t="shared" si="47"/>
        <v>-3.0103840440600512E-3</v>
      </c>
    </row>
    <row r="1530" spans="1:6" x14ac:dyDescent="0.2">
      <c r="A1530">
        <v>17</v>
      </c>
      <c r="B1530" t="s">
        <v>1137</v>
      </c>
      <c r="C1530" t="s">
        <v>949</v>
      </c>
      <c r="D1530" s="8">
        <v>1.0630310729860001E-4</v>
      </c>
      <c r="E1530" s="6">
        <f t="shared" si="46"/>
        <v>0.79599999999999982</v>
      </c>
      <c r="F1530" s="8">
        <f t="shared" si="47"/>
        <v>8.4617273409685591E-5</v>
      </c>
    </row>
    <row r="1531" spans="1:6" x14ac:dyDescent="0.2">
      <c r="A1531">
        <v>17</v>
      </c>
      <c r="B1531" t="s">
        <v>1137</v>
      </c>
      <c r="C1531" t="s">
        <v>950</v>
      </c>
      <c r="D1531" s="8">
        <v>2.5952167381747999E-3</v>
      </c>
      <c r="E1531" s="6">
        <f t="shared" si="46"/>
        <v>0.38300000000000001</v>
      </c>
      <c r="F1531" s="8">
        <f t="shared" si="47"/>
        <v>9.9396801072094846E-4</v>
      </c>
    </row>
    <row r="1532" spans="1:6" x14ac:dyDescent="0.2">
      <c r="A1532">
        <v>17</v>
      </c>
      <c r="B1532" t="s">
        <v>1137</v>
      </c>
      <c r="C1532" t="s">
        <v>951</v>
      </c>
      <c r="D1532" s="8">
        <v>3.7859598423939998E-3</v>
      </c>
      <c r="E1532" s="6">
        <f t="shared" si="46"/>
        <v>-8.8000000000000078E-2</v>
      </c>
      <c r="F1532" s="8">
        <f t="shared" si="47"/>
        <v>-3.3316446613067225E-4</v>
      </c>
    </row>
    <row r="1533" spans="1:6" x14ac:dyDescent="0.2">
      <c r="A1533">
        <v>17</v>
      </c>
      <c r="B1533" t="s">
        <v>1137</v>
      </c>
      <c r="C1533" t="s">
        <v>1138</v>
      </c>
      <c r="D1533" s="8">
        <v>2.639062063049662E-5</v>
      </c>
      <c r="E1533" s="6">
        <f t="shared" si="46"/>
        <v>0</v>
      </c>
      <c r="F1533" s="8">
        <f t="shared" si="47"/>
        <v>0</v>
      </c>
    </row>
    <row r="1534" spans="1:6" x14ac:dyDescent="0.2">
      <c r="A1534">
        <v>17</v>
      </c>
      <c r="B1534" t="s">
        <v>1137</v>
      </c>
      <c r="C1534" t="s">
        <v>952</v>
      </c>
      <c r="D1534" s="8">
        <v>3.6610642037449002E-3</v>
      </c>
      <c r="E1534" s="6">
        <f t="shared" ref="E1534:E1597" si="48">IFERROR(VLOOKUP(C1534,$A$6:$D$185,4,FALSE),0)</f>
        <v>0.28300000000000014</v>
      </c>
      <c r="F1534" s="8">
        <f t="shared" ref="F1534:F1597" si="49">D1534*E1534</f>
        <v>1.0360811696598074E-3</v>
      </c>
    </row>
    <row r="1535" spans="1:6" x14ac:dyDescent="0.2">
      <c r="A1535">
        <v>17</v>
      </c>
      <c r="B1535" t="s">
        <v>1137</v>
      </c>
      <c r="C1535" t="s">
        <v>953</v>
      </c>
      <c r="D1535" s="8">
        <v>3.5855215386004191E-6</v>
      </c>
      <c r="E1535" s="6">
        <f t="shared" si="48"/>
        <v>-0.42500000000000004</v>
      </c>
      <c r="F1535" s="8">
        <f t="shared" si="49"/>
        <v>-1.5238466539051782E-6</v>
      </c>
    </row>
    <row r="1536" spans="1:6" x14ac:dyDescent="0.2">
      <c r="A1536">
        <v>17</v>
      </c>
      <c r="B1536" t="s">
        <v>1137</v>
      </c>
      <c r="C1536" t="s">
        <v>954</v>
      </c>
      <c r="D1536" s="8">
        <v>1.7535670233043E-3</v>
      </c>
      <c r="E1536" s="6">
        <f t="shared" si="48"/>
        <v>2.0929999999999991</v>
      </c>
      <c r="F1536" s="8">
        <f t="shared" si="49"/>
        <v>3.6702157797758985E-3</v>
      </c>
    </row>
    <row r="1537" spans="1:6" x14ac:dyDescent="0.2">
      <c r="A1537">
        <v>17</v>
      </c>
      <c r="B1537" t="s">
        <v>1137</v>
      </c>
      <c r="C1537" t="s">
        <v>955</v>
      </c>
      <c r="D1537" s="8">
        <v>3.8167102189834471E-5</v>
      </c>
      <c r="E1537" s="6">
        <f t="shared" si="48"/>
        <v>-0.40500000000000003</v>
      </c>
      <c r="F1537" s="8">
        <f t="shared" si="49"/>
        <v>-1.5457676386882963E-5</v>
      </c>
    </row>
    <row r="1538" spans="1:6" x14ac:dyDescent="0.2">
      <c r="A1538">
        <v>17</v>
      </c>
      <c r="B1538" t="s">
        <v>1137</v>
      </c>
      <c r="C1538" t="s">
        <v>956</v>
      </c>
      <c r="D1538" s="8">
        <v>4.03357087848E-4</v>
      </c>
      <c r="E1538" s="6">
        <f t="shared" si="48"/>
        <v>-0.44700000000000006</v>
      </c>
      <c r="F1538" s="8">
        <f t="shared" si="49"/>
        <v>-1.8030061826805602E-4</v>
      </c>
    </row>
    <row r="1539" spans="1:6" x14ac:dyDescent="0.2">
      <c r="A1539">
        <v>17</v>
      </c>
      <c r="B1539" t="s">
        <v>1137</v>
      </c>
      <c r="C1539" t="s">
        <v>957</v>
      </c>
      <c r="D1539" s="8">
        <v>8.7827757372389999E-4</v>
      </c>
      <c r="E1539" s="6">
        <f t="shared" si="48"/>
        <v>-0.11499999999999988</v>
      </c>
      <c r="F1539" s="8">
        <f t="shared" si="49"/>
        <v>-1.0100192097824839E-4</v>
      </c>
    </row>
    <row r="1540" spans="1:6" x14ac:dyDescent="0.2">
      <c r="A1540">
        <v>17</v>
      </c>
      <c r="B1540" t="s">
        <v>1137</v>
      </c>
      <c r="C1540" t="s">
        <v>1117</v>
      </c>
      <c r="D1540" s="8">
        <v>4.5557733445976694E-6</v>
      </c>
      <c r="E1540" s="6">
        <f t="shared" si="48"/>
        <v>0</v>
      </c>
      <c r="F1540" s="8">
        <f t="shared" si="49"/>
        <v>0</v>
      </c>
    </row>
    <row r="1541" spans="1:6" x14ac:dyDescent="0.2">
      <c r="A1541">
        <v>17</v>
      </c>
      <c r="B1541" t="s">
        <v>1137</v>
      </c>
      <c r="C1541" t="s">
        <v>958</v>
      </c>
      <c r="D1541" s="8">
        <v>7.8433141661254395E-5</v>
      </c>
      <c r="E1541" s="6">
        <f t="shared" si="48"/>
        <v>9.6999999999999975E-2</v>
      </c>
      <c r="F1541" s="8">
        <f t="shared" si="49"/>
        <v>7.6080147411416746E-6</v>
      </c>
    </row>
    <row r="1542" spans="1:6" x14ac:dyDescent="0.2">
      <c r="A1542">
        <v>17</v>
      </c>
      <c r="B1542" t="s">
        <v>1137</v>
      </c>
      <c r="C1542" t="s">
        <v>959</v>
      </c>
      <c r="D1542" s="8">
        <v>1.0697786188877101E-2</v>
      </c>
      <c r="E1542" s="6">
        <f t="shared" si="48"/>
        <v>-0.60699999999999998</v>
      </c>
      <c r="F1542" s="8">
        <f t="shared" si="49"/>
        <v>-6.4935562166483999E-3</v>
      </c>
    </row>
    <row r="1543" spans="1:6" x14ac:dyDescent="0.2">
      <c r="A1543">
        <v>17</v>
      </c>
      <c r="B1543" t="s">
        <v>1137</v>
      </c>
      <c r="C1543" t="s">
        <v>960</v>
      </c>
      <c r="D1543" s="8">
        <v>1.9803343849209999E-4</v>
      </c>
      <c r="E1543" s="6">
        <f t="shared" si="48"/>
        <v>0.29999999999999982</v>
      </c>
      <c r="F1543" s="8">
        <f t="shared" si="49"/>
        <v>5.9410031547629962E-5</v>
      </c>
    </row>
    <row r="1544" spans="1:6" x14ac:dyDescent="0.2">
      <c r="A1544">
        <v>17</v>
      </c>
      <c r="B1544" t="s">
        <v>1137</v>
      </c>
      <c r="C1544" t="s">
        <v>961</v>
      </c>
      <c r="D1544" s="8">
        <v>2.6543733687739999E-3</v>
      </c>
      <c r="E1544" s="6">
        <f t="shared" si="48"/>
        <v>6.9999999999996732E-3</v>
      </c>
      <c r="F1544" s="8">
        <f t="shared" si="49"/>
        <v>1.8580613581417132E-5</v>
      </c>
    </row>
    <row r="1545" spans="1:6" x14ac:dyDescent="0.2">
      <c r="A1545">
        <v>17</v>
      </c>
      <c r="B1545" t="s">
        <v>1137</v>
      </c>
      <c r="C1545" t="s">
        <v>962</v>
      </c>
      <c r="D1545" s="8">
        <v>3.4642369100659998E-4</v>
      </c>
      <c r="E1545" s="6">
        <f t="shared" si="48"/>
        <v>-1.9090000000000007</v>
      </c>
      <c r="F1545" s="8">
        <f t="shared" si="49"/>
        <v>-6.6132282613159965E-4</v>
      </c>
    </row>
    <row r="1546" spans="1:6" x14ac:dyDescent="0.2">
      <c r="A1546">
        <v>17</v>
      </c>
      <c r="B1546" t="s">
        <v>1137</v>
      </c>
      <c r="C1546" t="s">
        <v>963</v>
      </c>
      <c r="D1546" s="8">
        <v>1.009866938103E-4</v>
      </c>
      <c r="E1546" s="6">
        <f t="shared" si="48"/>
        <v>7.2000000000000064E-2</v>
      </c>
      <c r="F1546" s="8">
        <f t="shared" si="49"/>
        <v>7.2710419543416066E-6</v>
      </c>
    </row>
    <row r="1547" spans="1:6" x14ac:dyDescent="0.2">
      <c r="A1547">
        <v>17</v>
      </c>
      <c r="B1547" t="s">
        <v>1137</v>
      </c>
      <c r="C1547" t="s">
        <v>964</v>
      </c>
      <c r="D1547" s="8">
        <v>1.7870378640802521E-6</v>
      </c>
      <c r="E1547" s="6">
        <f t="shared" si="48"/>
        <v>-9.9999999999999645E-2</v>
      </c>
      <c r="F1547" s="8">
        <f t="shared" si="49"/>
        <v>-1.7870378640802456E-7</v>
      </c>
    </row>
    <row r="1548" spans="1:6" x14ac:dyDescent="0.2">
      <c r="A1548">
        <v>17</v>
      </c>
      <c r="B1548" t="s">
        <v>1137</v>
      </c>
      <c r="C1548" t="s">
        <v>1118</v>
      </c>
      <c r="D1548" s="8">
        <v>2.7182048555476949E-5</v>
      </c>
      <c r="E1548" s="6">
        <f t="shared" si="48"/>
        <v>0</v>
      </c>
      <c r="F1548" s="8">
        <f t="shared" si="49"/>
        <v>0</v>
      </c>
    </row>
    <row r="1549" spans="1:6" x14ac:dyDescent="0.2">
      <c r="A1549">
        <v>17</v>
      </c>
      <c r="B1549" t="s">
        <v>1137</v>
      </c>
      <c r="C1549" t="s">
        <v>965</v>
      </c>
      <c r="D1549" s="8">
        <v>5.0897460753922003E-3</v>
      </c>
      <c r="E1549" s="6">
        <f t="shared" si="48"/>
        <v>4.5000000000000151E-2</v>
      </c>
      <c r="F1549" s="8">
        <f t="shared" si="49"/>
        <v>2.2903857339264978E-4</v>
      </c>
    </row>
    <row r="1550" spans="1:6" x14ac:dyDescent="0.2">
      <c r="A1550">
        <v>17</v>
      </c>
      <c r="B1550" t="s">
        <v>1137</v>
      </c>
      <c r="C1550" t="s">
        <v>966</v>
      </c>
      <c r="D1550" s="8">
        <v>4.6208747307786922E-10</v>
      </c>
      <c r="E1550" s="6">
        <f t="shared" si="48"/>
        <v>-0.21399999999999997</v>
      </c>
      <c r="F1550" s="8">
        <f t="shared" si="49"/>
        <v>-9.8886719238663999E-11</v>
      </c>
    </row>
    <row r="1551" spans="1:6" x14ac:dyDescent="0.2">
      <c r="A1551">
        <v>17</v>
      </c>
      <c r="B1551" t="s">
        <v>1137</v>
      </c>
      <c r="C1551" t="s">
        <v>967</v>
      </c>
      <c r="D1551" s="8">
        <v>2.8638356375558002E-3</v>
      </c>
      <c r="E1551" s="6">
        <f t="shared" si="48"/>
        <v>0.10000000000000009</v>
      </c>
      <c r="F1551" s="8">
        <f t="shared" si="49"/>
        <v>2.8638356375558028E-4</v>
      </c>
    </row>
    <row r="1552" spans="1:6" x14ac:dyDescent="0.2">
      <c r="A1552">
        <v>17</v>
      </c>
      <c r="B1552" t="s">
        <v>1137</v>
      </c>
      <c r="C1552" t="s">
        <v>1105</v>
      </c>
      <c r="D1552" s="8">
        <v>2.0738187360241749E-5</v>
      </c>
      <c r="E1552" s="6">
        <f t="shared" si="48"/>
        <v>0</v>
      </c>
      <c r="F1552" s="8">
        <f t="shared" si="49"/>
        <v>0</v>
      </c>
    </row>
    <row r="1553" spans="1:6" x14ac:dyDescent="0.2">
      <c r="A1553">
        <v>17</v>
      </c>
      <c r="B1553" t="s">
        <v>1137</v>
      </c>
      <c r="C1553" t="s">
        <v>968</v>
      </c>
      <c r="D1553" s="8">
        <v>6.7818036942536941E-5</v>
      </c>
      <c r="E1553" s="6">
        <f t="shared" si="48"/>
        <v>-6.7510000000000012</v>
      </c>
      <c r="F1553" s="8">
        <f t="shared" si="49"/>
        <v>-4.5783956739906695E-4</v>
      </c>
    </row>
    <row r="1554" spans="1:6" x14ac:dyDescent="0.2">
      <c r="A1554">
        <v>17</v>
      </c>
      <c r="B1554" t="s">
        <v>1137</v>
      </c>
      <c r="C1554" t="s">
        <v>969</v>
      </c>
      <c r="D1554" s="8">
        <v>1.9974095353289E-3</v>
      </c>
      <c r="E1554" s="6">
        <f t="shared" si="48"/>
        <v>0.53699999999999992</v>
      </c>
      <c r="F1554" s="8">
        <f t="shared" si="49"/>
        <v>1.0726089204716191E-3</v>
      </c>
    </row>
    <row r="1555" spans="1:6" x14ac:dyDescent="0.2">
      <c r="A1555">
        <v>17</v>
      </c>
      <c r="B1555" t="s">
        <v>1137</v>
      </c>
      <c r="C1555" t="s">
        <v>970</v>
      </c>
      <c r="D1555" s="8">
        <v>8.8992116590549996E-4</v>
      </c>
      <c r="E1555" s="6">
        <f t="shared" si="48"/>
        <v>-0.10000000000000009</v>
      </c>
      <c r="F1555" s="8">
        <f t="shared" si="49"/>
        <v>-8.8992116590550072E-5</v>
      </c>
    </row>
    <row r="1556" spans="1:6" x14ac:dyDescent="0.2">
      <c r="A1556">
        <v>17</v>
      </c>
      <c r="B1556" t="s">
        <v>1137</v>
      </c>
      <c r="C1556" t="s">
        <v>971</v>
      </c>
      <c r="D1556" s="8">
        <v>1.186754389339E-3</v>
      </c>
      <c r="E1556" s="6">
        <f t="shared" si="48"/>
        <v>-0.13700000000000001</v>
      </c>
      <c r="F1556" s="8">
        <f t="shared" si="49"/>
        <v>-1.62585351339443E-4</v>
      </c>
    </row>
    <row r="1557" spans="1:6" x14ac:dyDescent="0.2">
      <c r="A1557">
        <v>17</v>
      </c>
      <c r="B1557" t="s">
        <v>1137</v>
      </c>
      <c r="C1557" t="s">
        <v>972</v>
      </c>
      <c r="D1557" s="8">
        <v>3.7704165751359999E-4</v>
      </c>
      <c r="E1557" s="6">
        <f t="shared" si="48"/>
        <v>-2.7</v>
      </c>
      <c r="F1557" s="8">
        <f t="shared" si="49"/>
        <v>-1.0180124752867201E-3</v>
      </c>
    </row>
    <row r="1558" spans="1:6" x14ac:dyDescent="0.2">
      <c r="A1558">
        <v>17</v>
      </c>
      <c r="B1558" t="s">
        <v>1137</v>
      </c>
      <c r="C1558" t="s">
        <v>973</v>
      </c>
      <c r="D1558" s="8">
        <v>2.3123693591310001E-4</v>
      </c>
      <c r="E1558" s="6">
        <f t="shared" si="48"/>
        <v>-0.84999999999999987</v>
      </c>
      <c r="F1558" s="8">
        <f t="shared" si="49"/>
        <v>-1.9655139552613498E-4</v>
      </c>
    </row>
    <row r="1559" spans="1:6" x14ac:dyDescent="0.2">
      <c r="A1559">
        <v>17</v>
      </c>
      <c r="B1559" t="s">
        <v>1137</v>
      </c>
      <c r="C1559" t="s">
        <v>975</v>
      </c>
      <c r="D1559" s="8">
        <v>6.4140194971997994E-2</v>
      </c>
      <c r="E1559" s="6">
        <f t="shared" si="48"/>
        <v>0.23500000000000032</v>
      </c>
      <c r="F1559" s="8">
        <f t="shared" si="49"/>
        <v>1.5072945818419548E-2</v>
      </c>
    </row>
    <row r="1560" spans="1:6" x14ac:dyDescent="0.2">
      <c r="A1560">
        <v>17</v>
      </c>
      <c r="B1560" t="s">
        <v>1137</v>
      </c>
      <c r="C1560" t="s">
        <v>976</v>
      </c>
      <c r="D1560" s="8">
        <v>1.1834187614568001E-3</v>
      </c>
      <c r="E1560" s="6">
        <f t="shared" si="48"/>
        <v>0.38700000000000001</v>
      </c>
      <c r="F1560" s="8">
        <f t="shared" si="49"/>
        <v>4.5798306068378164E-4</v>
      </c>
    </row>
    <row r="1561" spans="1:6" x14ac:dyDescent="0.2">
      <c r="A1561">
        <v>17</v>
      </c>
      <c r="B1561" t="s">
        <v>1137</v>
      </c>
      <c r="C1561" t="s">
        <v>977</v>
      </c>
      <c r="D1561" s="8">
        <v>7.3217399103350039E-6</v>
      </c>
      <c r="E1561" s="6">
        <f t="shared" si="48"/>
        <v>-7.2039999999999997</v>
      </c>
      <c r="F1561" s="8">
        <f t="shared" si="49"/>
        <v>-5.2745814314053366E-5</v>
      </c>
    </row>
    <row r="1562" spans="1:6" x14ac:dyDescent="0.2">
      <c r="A1562">
        <v>17</v>
      </c>
      <c r="B1562" t="s">
        <v>1137</v>
      </c>
      <c r="C1562" t="s">
        <v>978</v>
      </c>
      <c r="D1562" s="8">
        <v>3.3010730820573E-3</v>
      </c>
      <c r="E1562" s="6">
        <f t="shared" si="48"/>
        <v>-8.2390000000000008</v>
      </c>
      <c r="F1562" s="8">
        <f t="shared" si="49"/>
        <v>-2.7197541123070098E-2</v>
      </c>
    </row>
    <row r="1563" spans="1:6" x14ac:dyDescent="0.2">
      <c r="A1563">
        <v>17</v>
      </c>
      <c r="B1563" t="s">
        <v>1137</v>
      </c>
      <c r="C1563" t="s">
        <v>979</v>
      </c>
      <c r="D1563" s="8">
        <v>3.6570955187923559E-5</v>
      </c>
      <c r="E1563" s="6">
        <f t="shared" si="48"/>
        <v>-0.5</v>
      </c>
      <c r="F1563" s="8">
        <f t="shared" si="49"/>
        <v>-1.828547759396178E-5</v>
      </c>
    </row>
    <row r="1564" spans="1:6" x14ac:dyDescent="0.2">
      <c r="A1564">
        <v>17</v>
      </c>
      <c r="B1564" t="s">
        <v>1137</v>
      </c>
      <c r="C1564" t="s">
        <v>980</v>
      </c>
      <c r="D1564" s="8">
        <v>6.9450670070479996E-4</v>
      </c>
      <c r="E1564" s="6">
        <f t="shared" si="48"/>
        <v>-0.10000000000000009</v>
      </c>
      <c r="F1564" s="8">
        <f t="shared" si="49"/>
        <v>-6.9450670070480053E-5</v>
      </c>
    </row>
    <row r="1565" spans="1:6" x14ac:dyDescent="0.2">
      <c r="A1565">
        <v>17</v>
      </c>
      <c r="B1565" t="s">
        <v>1137</v>
      </c>
      <c r="C1565" t="s">
        <v>981</v>
      </c>
      <c r="D1565" s="8">
        <v>4.7411893977552999E-3</v>
      </c>
      <c r="E1565" s="6">
        <f t="shared" si="48"/>
        <v>-0.33499999999999996</v>
      </c>
      <c r="F1565" s="8">
        <f t="shared" si="49"/>
        <v>-1.5882984482480252E-3</v>
      </c>
    </row>
    <row r="1566" spans="1:6" x14ac:dyDescent="0.2">
      <c r="A1566">
        <v>17</v>
      </c>
      <c r="B1566" t="s">
        <v>1137</v>
      </c>
      <c r="C1566" t="s">
        <v>982</v>
      </c>
      <c r="D1566" s="8">
        <v>2.427504848868E-4</v>
      </c>
      <c r="E1566" s="6">
        <f t="shared" si="48"/>
        <v>-2.8</v>
      </c>
      <c r="F1566" s="8">
        <f t="shared" si="49"/>
        <v>-6.7970135768303998E-4</v>
      </c>
    </row>
    <row r="1567" spans="1:6" x14ac:dyDescent="0.2">
      <c r="A1567">
        <v>17</v>
      </c>
      <c r="B1567" t="s">
        <v>1137</v>
      </c>
      <c r="C1567" t="s">
        <v>983</v>
      </c>
      <c r="D1567" s="8">
        <v>1.9098578179540999E-3</v>
      </c>
      <c r="E1567" s="6">
        <f t="shared" si="48"/>
        <v>-0.19999999999999973</v>
      </c>
      <c r="F1567" s="8">
        <f t="shared" si="49"/>
        <v>-3.8197156359081946E-4</v>
      </c>
    </row>
    <row r="1568" spans="1:6" x14ac:dyDescent="0.2">
      <c r="A1568">
        <v>17</v>
      </c>
      <c r="B1568" t="s">
        <v>1137</v>
      </c>
      <c r="C1568" t="s">
        <v>984</v>
      </c>
      <c r="D1568" s="8">
        <v>4.65796318634372E-2</v>
      </c>
      <c r="E1568" s="6">
        <f t="shared" si="48"/>
        <v>0.121</v>
      </c>
      <c r="F1568" s="8">
        <f t="shared" si="49"/>
        <v>5.6361354554759014E-3</v>
      </c>
    </row>
    <row r="1569" spans="1:6" x14ac:dyDescent="0.2">
      <c r="A1569">
        <v>17</v>
      </c>
      <c r="B1569" t="s">
        <v>1137</v>
      </c>
      <c r="C1569" t="s">
        <v>985</v>
      </c>
      <c r="D1569" s="8">
        <v>3.2419302488605882E-5</v>
      </c>
      <c r="E1569" s="6">
        <f t="shared" si="48"/>
        <v>0.34299999999999997</v>
      </c>
      <c r="F1569" s="8">
        <f t="shared" si="49"/>
        <v>1.1119820753591816E-5</v>
      </c>
    </row>
    <row r="1570" spans="1:6" x14ac:dyDescent="0.2">
      <c r="A1570">
        <v>17</v>
      </c>
      <c r="B1570" t="s">
        <v>1137</v>
      </c>
      <c r="C1570" t="s">
        <v>986</v>
      </c>
      <c r="D1570" s="8">
        <v>6.2112510300558997E-3</v>
      </c>
      <c r="E1570" s="6">
        <f t="shared" si="48"/>
        <v>-0.38900000000000023</v>
      </c>
      <c r="F1570" s="8">
        <f t="shared" si="49"/>
        <v>-2.4161766506917465E-3</v>
      </c>
    </row>
    <row r="1571" spans="1:6" x14ac:dyDescent="0.2">
      <c r="A1571">
        <v>17</v>
      </c>
      <c r="B1571" t="s">
        <v>1137</v>
      </c>
      <c r="C1571" t="s">
        <v>987</v>
      </c>
      <c r="D1571" s="8">
        <v>4.7985810580553788E-6</v>
      </c>
      <c r="E1571" s="6">
        <f t="shared" si="48"/>
        <v>0.83399999999999963</v>
      </c>
      <c r="F1571" s="8">
        <f t="shared" si="49"/>
        <v>4.0020166024181842E-6</v>
      </c>
    </row>
    <row r="1572" spans="1:6" x14ac:dyDescent="0.2">
      <c r="A1572">
        <v>17</v>
      </c>
      <c r="B1572" t="s">
        <v>1137</v>
      </c>
      <c r="C1572" t="s">
        <v>988</v>
      </c>
      <c r="D1572" s="8">
        <v>2.5400795291310998E-3</v>
      </c>
      <c r="E1572" s="6">
        <f t="shared" si="48"/>
        <v>0.59299999999999997</v>
      </c>
      <c r="F1572" s="8">
        <f t="shared" si="49"/>
        <v>1.5062671607747422E-3</v>
      </c>
    </row>
    <row r="1573" spans="1:6" x14ac:dyDescent="0.2">
      <c r="A1573">
        <v>17</v>
      </c>
      <c r="B1573" t="s">
        <v>1137</v>
      </c>
      <c r="C1573" t="s">
        <v>989</v>
      </c>
      <c r="D1573" s="8">
        <v>1.5041909930920221E-7</v>
      </c>
      <c r="E1573" s="6">
        <f t="shared" si="48"/>
        <v>-0.12199999999999989</v>
      </c>
      <c r="F1573" s="8">
        <f t="shared" si="49"/>
        <v>-1.8351130115722652E-8</v>
      </c>
    </row>
    <row r="1574" spans="1:6" x14ac:dyDescent="0.2">
      <c r="A1574">
        <v>17</v>
      </c>
      <c r="B1574" t="s">
        <v>1137</v>
      </c>
      <c r="C1574" t="s">
        <v>1119</v>
      </c>
      <c r="D1574" s="8">
        <v>2.4569576016444542E-7</v>
      </c>
      <c r="E1574" s="6">
        <f t="shared" si="48"/>
        <v>0</v>
      </c>
      <c r="F1574" s="8">
        <f t="shared" si="49"/>
        <v>0</v>
      </c>
    </row>
    <row r="1575" spans="1:6" x14ac:dyDescent="0.2">
      <c r="A1575">
        <v>17</v>
      </c>
      <c r="B1575" t="s">
        <v>1137</v>
      </c>
      <c r="C1575" t="s">
        <v>990</v>
      </c>
      <c r="D1575" s="8">
        <v>4.0848257703548198E-2</v>
      </c>
      <c r="E1575" s="6">
        <f t="shared" si="48"/>
        <v>0.45299999999999985</v>
      </c>
      <c r="F1575" s="8">
        <f t="shared" si="49"/>
        <v>1.8504260739707328E-2</v>
      </c>
    </row>
    <row r="1576" spans="1:6" x14ac:dyDescent="0.2">
      <c r="A1576">
        <v>17</v>
      </c>
      <c r="B1576" t="s">
        <v>1137</v>
      </c>
      <c r="C1576" t="s">
        <v>991</v>
      </c>
      <c r="D1576" s="8">
        <v>2.2440308000239999E-3</v>
      </c>
      <c r="E1576" s="6">
        <f t="shared" si="48"/>
        <v>-3.7290000000000001</v>
      </c>
      <c r="F1576" s="8">
        <f t="shared" si="49"/>
        <v>-8.3679908532894951E-3</v>
      </c>
    </row>
    <row r="1577" spans="1:6" x14ac:dyDescent="0.2">
      <c r="A1577">
        <v>17</v>
      </c>
      <c r="B1577" t="s">
        <v>1137</v>
      </c>
      <c r="C1577" t="s">
        <v>992</v>
      </c>
      <c r="D1577" s="8">
        <v>3.4140322132011012E-7</v>
      </c>
      <c r="E1577" s="6">
        <f t="shared" si="48"/>
        <v>2.048</v>
      </c>
      <c r="F1577" s="8">
        <f t="shared" si="49"/>
        <v>6.991937972635855E-7</v>
      </c>
    </row>
    <row r="1578" spans="1:6" x14ac:dyDescent="0.2">
      <c r="A1578">
        <v>17</v>
      </c>
      <c r="B1578" t="s">
        <v>1137</v>
      </c>
      <c r="C1578" t="s">
        <v>1092</v>
      </c>
      <c r="D1578" s="8">
        <v>1.2786181243435999E-3</v>
      </c>
      <c r="E1578" s="6">
        <f t="shared" si="48"/>
        <v>0</v>
      </c>
      <c r="F1578" s="8">
        <f t="shared" si="49"/>
        <v>0</v>
      </c>
    </row>
    <row r="1579" spans="1:6" x14ac:dyDescent="0.2">
      <c r="A1579">
        <v>17</v>
      </c>
      <c r="B1579" t="s">
        <v>1137</v>
      </c>
      <c r="C1579" t="s">
        <v>993</v>
      </c>
      <c r="D1579" s="8">
        <v>1.474173333566E-4</v>
      </c>
      <c r="E1579" s="6">
        <f t="shared" si="48"/>
        <v>-0.42900000000000027</v>
      </c>
      <c r="F1579" s="8">
        <f t="shared" si="49"/>
        <v>-6.3242036009981443E-5</v>
      </c>
    </row>
    <row r="1580" spans="1:6" x14ac:dyDescent="0.2">
      <c r="A1580">
        <v>17</v>
      </c>
      <c r="B1580" t="s">
        <v>1137</v>
      </c>
      <c r="C1580" t="s">
        <v>994</v>
      </c>
      <c r="D1580" s="8">
        <v>1.2509499792608E-3</v>
      </c>
      <c r="E1580" s="6">
        <f t="shared" si="48"/>
        <v>2.415</v>
      </c>
      <c r="F1580" s="8">
        <f t="shared" si="49"/>
        <v>3.0210441999148317E-3</v>
      </c>
    </row>
    <row r="1581" spans="1:6" x14ac:dyDescent="0.2">
      <c r="A1581">
        <v>17</v>
      </c>
      <c r="B1581" t="s">
        <v>1137</v>
      </c>
      <c r="C1581" t="s">
        <v>1120</v>
      </c>
      <c r="D1581" s="8">
        <v>2.778872524458064E-6</v>
      </c>
      <c r="E1581" s="6">
        <f t="shared" si="48"/>
        <v>0</v>
      </c>
      <c r="F1581" s="8">
        <f t="shared" si="49"/>
        <v>0</v>
      </c>
    </row>
    <row r="1582" spans="1:6" x14ac:dyDescent="0.2">
      <c r="A1582">
        <v>17</v>
      </c>
      <c r="B1582" t="s">
        <v>1137</v>
      </c>
      <c r="C1582" t="s">
        <v>1093</v>
      </c>
      <c r="D1582" s="8">
        <v>4.5724739183554998E-3</v>
      </c>
      <c r="E1582" s="6">
        <f t="shared" si="48"/>
        <v>0</v>
      </c>
      <c r="F1582" s="8">
        <f t="shared" si="49"/>
        <v>0</v>
      </c>
    </row>
    <row r="1583" spans="1:6" x14ac:dyDescent="0.2">
      <c r="A1583">
        <v>17</v>
      </c>
      <c r="B1583" t="s">
        <v>1137</v>
      </c>
      <c r="C1583" t="s">
        <v>996</v>
      </c>
      <c r="D1583" s="8">
        <v>4.2893476159719997E-4</v>
      </c>
      <c r="E1583" s="6">
        <f t="shared" si="48"/>
        <v>0.44099999999999984</v>
      </c>
      <c r="F1583" s="8">
        <f t="shared" si="49"/>
        <v>1.8916022986436513E-4</v>
      </c>
    </row>
    <row r="1584" spans="1:6" x14ac:dyDescent="0.2">
      <c r="A1584">
        <v>17</v>
      </c>
      <c r="B1584" t="s">
        <v>1137</v>
      </c>
      <c r="C1584" t="s">
        <v>997</v>
      </c>
      <c r="D1584" s="8">
        <v>1.203352794473618E-11</v>
      </c>
      <c r="E1584" s="6">
        <f t="shared" si="48"/>
        <v>-0.61499999999999977</v>
      </c>
      <c r="F1584" s="8">
        <f t="shared" si="49"/>
        <v>-7.4006196860127481E-12</v>
      </c>
    </row>
    <row r="1585" spans="1:6" x14ac:dyDescent="0.2">
      <c r="A1585">
        <v>17</v>
      </c>
      <c r="B1585" t="s">
        <v>1137</v>
      </c>
      <c r="C1585" t="s">
        <v>998</v>
      </c>
      <c r="D1585" s="8">
        <v>2.5945825818416451E-5</v>
      </c>
      <c r="E1585" s="6">
        <f t="shared" si="48"/>
        <v>-0.28200000000000003</v>
      </c>
      <c r="F1585" s="8">
        <f t="shared" si="49"/>
        <v>-7.3167228807934401E-6</v>
      </c>
    </row>
    <row r="1586" spans="1:6" x14ac:dyDescent="0.2">
      <c r="A1586">
        <v>17</v>
      </c>
      <c r="B1586" t="s">
        <v>1137</v>
      </c>
      <c r="C1586" t="s">
        <v>999</v>
      </c>
      <c r="D1586" s="8">
        <v>6.8057301985367724E-7</v>
      </c>
      <c r="E1586" s="6">
        <f t="shared" si="48"/>
        <v>-0.5219999999999998</v>
      </c>
      <c r="F1586" s="8">
        <f t="shared" si="49"/>
        <v>-3.5525911636361937E-7</v>
      </c>
    </row>
    <row r="1587" spans="1:6" x14ac:dyDescent="0.2">
      <c r="A1587">
        <v>17</v>
      </c>
      <c r="B1587" t="s">
        <v>1137</v>
      </c>
      <c r="C1587" t="s">
        <v>1000</v>
      </c>
      <c r="D1587" s="8">
        <v>1.3589189910800001E-4</v>
      </c>
      <c r="E1587" s="6">
        <f t="shared" si="48"/>
        <v>1.1540000000000004</v>
      </c>
      <c r="F1587" s="8">
        <f t="shared" si="49"/>
        <v>1.5681925157063207E-4</v>
      </c>
    </row>
    <row r="1588" spans="1:6" x14ac:dyDescent="0.2">
      <c r="A1588">
        <v>17</v>
      </c>
      <c r="B1588" t="s">
        <v>1137</v>
      </c>
      <c r="C1588" t="s">
        <v>1001</v>
      </c>
      <c r="D1588" s="8">
        <v>1.1706818503383E-3</v>
      </c>
      <c r="E1588" s="6">
        <f t="shared" si="48"/>
        <v>-0.60600000000000032</v>
      </c>
      <c r="F1588" s="8">
        <f t="shared" si="49"/>
        <v>-7.0943320130501019E-4</v>
      </c>
    </row>
    <row r="1589" spans="1:6" x14ac:dyDescent="0.2">
      <c r="A1589">
        <v>17</v>
      </c>
      <c r="B1589" t="s">
        <v>1137</v>
      </c>
      <c r="C1589" t="s">
        <v>1002</v>
      </c>
      <c r="D1589" s="8">
        <v>5.9463169922358163E-5</v>
      </c>
      <c r="E1589" s="6">
        <f t="shared" si="48"/>
        <v>-1.3390000000000004</v>
      </c>
      <c r="F1589" s="8">
        <f t="shared" si="49"/>
        <v>-7.96211845260376E-5</v>
      </c>
    </row>
    <row r="1590" spans="1:6" x14ac:dyDescent="0.2">
      <c r="A1590">
        <v>17</v>
      </c>
      <c r="B1590" t="s">
        <v>1137</v>
      </c>
      <c r="C1590" t="s">
        <v>1003</v>
      </c>
      <c r="D1590" s="8">
        <v>1.1779431660782101E-2</v>
      </c>
      <c r="E1590" s="6">
        <f t="shared" si="48"/>
        <v>0.22999999999999998</v>
      </c>
      <c r="F1590" s="8">
        <f t="shared" si="49"/>
        <v>2.7092692819798828E-3</v>
      </c>
    </row>
    <row r="1591" spans="1:6" x14ac:dyDescent="0.2">
      <c r="A1591">
        <v>17</v>
      </c>
      <c r="B1591" t="s">
        <v>1137</v>
      </c>
      <c r="C1591" t="s">
        <v>1004</v>
      </c>
      <c r="D1591" s="8">
        <v>2.375779422129263E-6</v>
      </c>
      <c r="E1591" s="6">
        <f t="shared" si="48"/>
        <v>-0.37000000000000011</v>
      </c>
      <c r="F1591" s="8">
        <f t="shared" si="49"/>
        <v>-8.7903838618782753E-7</v>
      </c>
    </row>
    <row r="1592" spans="1:6" x14ac:dyDescent="0.2">
      <c r="A1592">
        <v>17</v>
      </c>
      <c r="B1592" t="s">
        <v>1137</v>
      </c>
      <c r="C1592" t="s">
        <v>1005</v>
      </c>
      <c r="D1592" s="8">
        <v>1.6617291275333301E-6</v>
      </c>
      <c r="E1592" s="6">
        <f t="shared" si="48"/>
        <v>-0.10000000000000009</v>
      </c>
      <c r="F1592" s="8">
        <f t="shared" si="49"/>
        <v>-1.6617291275333314E-7</v>
      </c>
    </row>
    <row r="1593" spans="1:6" x14ac:dyDescent="0.2">
      <c r="A1593">
        <v>17</v>
      </c>
      <c r="B1593" t="s">
        <v>1137</v>
      </c>
      <c r="C1593" t="s">
        <v>1006</v>
      </c>
      <c r="D1593" s="8">
        <v>1.211727889252595E-5</v>
      </c>
      <c r="E1593" s="6">
        <f t="shared" si="48"/>
        <v>0.40000000000000036</v>
      </c>
      <c r="F1593" s="8">
        <f t="shared" si="49"/>
        <v>4.8469115570103842E-6</v>
      </c>
    </row>
    <row r="1594" spans="1:6" x14ac:dyDescent="0.2">
      <c r="A1594">
        <v>17</v>
      </c>
      <c r="B1594" t="s">
        <v>1137</v>
      </c>
      <c r="C1594" t="s">
        <v>1007</v>
      </c>
      <c r="D1594" s="8">
        <v>8.0195240760680869E-5</v>
      </c>
      <c r="E1594" s="6">
        <f t="shared" si="48"/>
        <v>-0.19999999999999973</v>
      </c>
      <c r="F1594" s="8">
        <f t="shared" si="49"/>
        <v>-1.6039048152136151E-5</v>
      </c>
    </row>
    <row r="1595" spans="1:6" x14ac:dyDescent="0.2">
      <c r="A1595">
        <v>17</v>
      </c>
      <c r="B1595" t="s">
        <v>1137</v>
      </c>
      <c r="C1595" t="s">
        <v>1008</v>
      </c>
      <c r="D1595" s="8">
        <v>5.5807955845659004E-3</v>
      </c>
      <c r="E1595" s="6">
        <f t="shared" si="48"/>
        <v>0.94799999999999995</v>
      </c>
      <c r="F1595" s="8">
        <f t="shared" si="49"/>
        <v>5.2905942141684729E-3</v>
      </c>
    </row>
    <row r="1596" spans="1:6" x14ac:dyDescent="0.2">
      <c r="A1596">
        <v>17</v>
      </c>
      <c r="B1596" t="s">
        <v>1137</v>
      </c>
      <c r="C1596" t="s">
        <v>1098</v>
      </c>
      <c r="D1596" s="8">
        <v>3.2578884036427491E-6</v>
      </c>
      <c r="E1596" s="6">
        <f t="shared" si="48"/>
        <v>0</v>
      </c>
      <c r="F1596" s="8">
        <f t="shared" si="49"/>
        <v>0</v>
      </c>
    </row>
    <row r="1597" spans="1:6" x14ac:dyDescent="0.2">
      <c r="A1597">
        <v>17</v>
      </c>
      <c r="B1597" t="s">
        <v>1137</v>
      </c>
      <c r="C1597" t="s">
        <v>1009</v>
      </c>
      <c r="D1597" s="8">
        <v>2.295034449620084E-6</v>
      </c>
      <c r="E1597" s="6">
        <f t="shared" si="48"/>
        <v>-0.5990000000000002</v>
      </c>
      <c r="F1597" s="8">
        <f t="shared" si="49"/>
        <v>-1.3747256353224308E-6</v>
      </c>
    </row>
    <row r="1598" spans="1:6" x14ac:dyDescent="0.2">
      <c r="A1598">
        <v>17</v>
      </c>
      <c r="B1598" t="s">
        <v>1137</v>
      </c>
      <c r="C1598" t="s">
        <v>1122</v>
      </c>
      <c r="D1598" s="8">
        <v>2.4961026680486799E-6</v>
      </c>
      <c r="E1598" s="6">
        <f t="shared" ref="E1598:E1661" si="50">IFERROR(VLOOKUP(C1598,$A$6:$D$185,4,FALSE),0)</f>
        <v>0</v>
      </c>
      <c r="F1598" s="8">
        <f t="shared" ref="F1598:F1661" si="51">D1598*E1598</f>
        <v>0</v>
      </c>
    </row>
    <row r="1599" spans="1:6" x14ac:dyDescent="0.2">
      <c r="A1599">
        <v>17</v>
      </c>
      <c r="B1599" t="s">
        <v>1137</v>
      </c>
      <c r="C1599" t="s">
        <v>1010</v>
      </c>
      <c r="D1599" s="8">
        <v>7.9340705405090003E-4</v>
      </c>
      <c r="E1599" s="6">
        <f t="shared" si="50"/>
        <v>-3.024</v>
      </c>
      <c r="F1599" s="8">
        <f t="shared" si="51"/>
        <v>-2.3992629314499216E-3</v>
      </c>
    </row>
    <row r="1600" spans="1:6" x14ac:dyDescent="0.2">
      <c r="A1600">
        <v>17</v>
      </c>
      <c r="B1600" t="s">
        <v>1137</v>
      </c>
      <c r="C1600" t="s">
        <v>1011</v>
      </c>
      <c r="D1600" s="8">
        <v>1.0648333862109999E-4</v>
      </c>
      <c r="E1600" s="6">
        <f t="shared" si="50"/>
        <v>0.68600000000000039</v>
      </c>
      <c r="F1600" s="8">
        <f t="shared" si="51"/>
        <v>7.304757029407464E-5</v>
      </c>
    </row>
    <row r="1601" spans="1:6" x14ac:dyDescent="0.2">
      <c r="A1601">
        <v>17</v>
      </c>
      <c r="B1601" t="s">
        <v>1137</v>
      </c>
      <c r="C1601" t="s">
        <v>1012</v>
      </c>
      <c r="D1601" s="8">
        <v>9.1138496525360003E-4</v>
      </c>
      <c r="E1601" s="6">
        <f t="shared" si="50"/>
        <v>0.39999999999999991</v>
      </c>
      <c r="F1601" s="8">
        <f t="shared" si="51"/>
        <v>3.6455398610143992E-4</v>
      </c>
    </row>
    <row r="1602" spans="1:6" x14ac:dyDescent="0.2">
      <c r="A1602">
        <v>17</v>
      </c>
      <c r="B1602" t="s">
        <v>1137</v>
      </c>
      <c r="C1602" t="s">
        <v>1013</v>
      </c>
      <c r="D1602" s="8">
        <v>2.1143061424706359E-5</v>
      </c>
      <c r="E1602" s="6">
        <f t="shared" si="50"/>
        <v>-2.0999999999999996</v>
      </c>
      <c r="F1602" s="8">
        <f t="shared" si="51"/>
        <v>-4.4400428991883346E-5</v>
      </c>
    </row>
    <row r="1603" spans="1:6" x14ac:dyDescent="0.2">
      <c r="A1603">
        <v>17</v>
      </c>
      <c r="B1603" t="s">
        <v>1137</v>
      </c>
      <c r="C1603" t="s">
        <v>1014</v>
      </c>
      <c r="D1603" s="8">
        <v>3.0037910972239401E-2</v>
      </c>
      <c r="E1603" s="6">
        <f t="shared" si="50"/>
        <v>0.90000000000000036</v>
      </c>
      <c r="F1603" s="8">
        <f t="shared" si="51"/>
        <v>2.7034119875015472E-2</v>
      </c>
    </row>
    <row r="1604" spans="1:6" x14ac:dyDescent="0.2">
      <c r="A1604">
        <v>17</v>
      </c>
      <c r="B1604" t="s">
        <v>1137</v>
      </c>
      <c r="C1604" t="s">
        <v>1015</v>
      </c>
      <c r="D1604" s="8">
        <v>4.1290881497273761E-5</v>
      </c>
      <c r="E1604" s="6">
        <f t="shared" si="50"/>
        <v>-1.306</v>
      </c>
      <c r="F1604" s="8">
        <f t="shared" si="51"/>
        <v>-5.3925891235439537E-5</v>
      </c>
    </row>
    <row r="1605" spans="1:6" x14ac:dyDescent="0.2">
      <c r="A1605">
        <v>17</v>
      </c>
      <c r="B1605" t="s">
        <v>1137</v>
      </c>
      <c r="C1605" t="s">
        <v>1099</v>
      </c>
      <c r="D1605" s="8">
        <v>1.77614445274E-4</v>
      </c>
      <c r="E1605" s="6">
        <f t="shared" si="50"/>
        <v>0</v>
      </c>
      <c r="F1605" s="8">
        <f t="shared" si="51"/>
        <v>0</v>
      </c>
    </row>
    <row r="1606" spans="1:6" x14ac:dyDescent="0.2">
      <c r="A1606">
        <v>17</v>
      </c>
      <c r="B1606" t="s">
        <v>1137</v>
      </c>
      <c r="C1606" t="s">
        <v>1017</v>
      </c>
      <c r="D1606" s="8">
        <v>1.07236969287788E-2</v>
      </c>
      <c r="E1606" s="6">
        <f t="shared" si="50"/>
        <v>1.3749999999999996</v>
      </c>
      <c r="F1606" s="8">
        <f t="shared" si="51"/>
        <v>1.4745083277070845E-2</v>
      </c>
    </row>
    <row r="1607" spans="1:6" x14ac:dyDescent="0.2">
      <c r="A1607">
        <v>17</v>
      </c>
      <c r="B1607" t="s">
        <v>1137</v>
      </c>
      <c r="C1607" t="s">
        <v>1018</v>
      </c>
      <c r="D1607" s="8">
        <v>3.1442741985240002E-4</v>
      </c>
      <c r="E1607" s="6">
        <f t="shared" si="50"/>
        <v>0.69999999999999973</v>
      </c>
      <c r="F1607" s="8">
        <f t="shared" si="51"/>
        <v>2.2009919389667993E-4</v>
      </c>
    </row>
    <row r="1608" spans="1:6" x14ac:dyDescent="0.2">
      <c r="A1608">
        <v>17</v>
      </c>
      <c r="B1608" t="s">
        <v>1137</v>
      </c>
      <c r="C1608" t="s">
        <v>1019</v>
      </c>
      <c r="D1608" s="8">
        <v>1.6178022628714E-3</v>
      </c>
      <c r="E1608" s="6">
        <f t="shared" si="50"/>
        <v>-0.21599999999999997</v>
      </c>
      <c r="F1608" s="8">
        <f t="shared" si="51"/>
        <v>-3.4944528878022232E-4</v>
      </c>
    </row>
    <row r="1609" spans="1:6" x14ac:dyDescent="0.2">
      <c r="A1609">
        <v>17</v>
      </c>
      <c r="B1609" t="s">
        <v>1137</v>
      </c>
      <c r="C1609" t="s">
        <v>1020</v>
      </c>
      <c r="D1609" s="8">
        <v>5.2692940075281708E-5</v>
      </c>
      <c r="E1609" s="6">
        <f t="shared" si="50"/>
        <v>-0.21999999999999997</v>
      </c>
      <c r="F1609" s="8">
        <f t="shared" si="51"/>
        <v>-1.1592446816561974E-5</v>
      </c>
    </row>
    <row r="1610" spans="1:6" x14ac:dyDescent="0.2">
      <c r="A1610">
        <v>17</v>
      </c>
      <c r="B1610" t="s">
        <v>1137</v>
      </c>
      <c r="C1610" t="s">
        <v>1021</v>
      </c>
      <c r="D1610" s="8">
        <v>7.7626259316999999E-4</v>
      </c>
      <c r="E1610" s="6">
        <f t="shared" si="50"/>
        <v>-2.4829999999999997</v>
      </c>
      <c r="F1610" s="8">
        <f t="shared" si="51"/>
        <v>-1.9274600188411096E-3</v>
      </c>
    </row>
    <row r="1611" spans="1:6" x14ac:dyDescent="0.2">
      <c r="A1611">
        <v>17</v>
      </c>
      <c r="B1611" t="s">
        <v>1137</v>
      </c>
      <c r="C1611" t="s">
        <v>1023</v>
      </c>
      <c r="D1611" s="8">
        <v>5.7355853820413001E-3</v>
      </c>
      <c r="E1611" s="6">
        <f t="shared" si="50"/>
        <v>-0.62199999999999989</v>
      </c>
      <c r="F1611" s="8">
        <f t="shared" si="51"/>
        <v>-3.567534107629688E-3</v>
      </c>
    </row>
    <row r="1612" spans="1:6" x14ac:dyDescent="0.2">
      <c r="A1612">
        <v>17</v>
      </c>
      <c r="B1612" t="s">
        <v>1137</v>
      </c>
      <c r="C1612" t="s">
        <v>1024</v>
      </c>
      <c r="D1612" s="8">
        <v>1.5243324204732001E-3</v>
      </c>
      <c r="E1612" s="6">
        <f t="shared" si="50"/>
        <v>-0.14500000000000002</v>
      </c>
      <c r="F1612" s="8">
        <f t="shared" si="51"/>
        <v>-2.2102820096861405E-4</v>
      </c>
    </row>
    <row r="1613" spans="1:6" x14ac:dyDescent="0.2">
      <c r="A1613">
        <v>17</v>
      </c>
      <c r="B1613" t="s">
        <v>1137</v>
      </c>
      <c r="C1613" t="s">
        <v>1025</v>
      </c>
      <c r="D1613" s="8">
        <v>6.9581340227477997E-3</v>
      </c>
      <c r="E1613" s="6">
        <f t="shared" si="50"/>
        <v>4.7000000000000153E-2</v>
      </c>
      <c r="F1613" s="8">
        <f t="shared" si="51"/>
        <v>3.2703229906914764E-4</v>
      </c>
    </row>
    <row r="1614" spans="1:6" x14ac:dyDescent="0.2">
      <c r="A1614">
        <v>17</v>
      </c>
      <c r="B1614" t="s">
        <v>1137</v>
      </c>
      <c r="C1614" t="s">
        <v>1026</v>
      </c>
      <c r="D1614" s="8">
        <v>5.7517693154099999E-4</v>
      </c>
      <c r="E1614" s="6">
        <f t="shared" si="50"/>
        <v>-0.20000000000000018</v>
      </c>
      <c r="F1614" s="8">
        <f t="shared" si="51"/>
        <v>-1.150353863082001E-4</v>
      </c>
    </row>
    <row r="1615" spans="1:6" x14ac:dyDescent="0.2">
      <c r="A1615">
        <v>17</v>
      </c>
      <c r="B1615" t="s">
        <v>1137</v>
      </c>
      <c r="C1615" t="s">
        <v>1027</v>
      </c>
      <c r="D1615" s="8">
        <v>3.9759625147995003E-3</v>
      </c>
      <c r="E1615" s="6">
        <f t="shared" si="50"/>
        <v>0.18999999999999995</v>
      </c>
      <c r="F1615" s="8">
        <f t="shared" si="51"/>
        <v>7.5543287781190487E-4</v>
      </c>
    </row>
    <row r="1616" spans="1:6" x14ac:dyDescent="0.2">
      <c r="A1616">
        <v>17</v>
      </c>
      <c r="B1616" t="s">
        <v>1137</v>
      </c>
      <c r="C1616" t="s">
        <v>1028</v>
      </c>
      <c r="D1616" s="8">
        <v>3.1363719689158603E-2</v>
      </c>
      <c r="E1616" s="6">
        <f t="shared" si="50"/>
        <v>-1.6600000000000001</v>
      </c>
      <c r="F1616" s="8">
        <f t="shared" si="51"/>
        <v>-5.2063774684003285E-2</v>
      </c>
    </row>
    <row r="1617" spans="1:6" x14ac:dyDescent="0.2">
      <c r="A1617">
        <v>17</v>
      </c>
      <c r="B1617" t="s">
        <v>1137</v>
      </c>
      <c r="C1617" t="s">
        <v>1029</v>
      </c>
      <c r="D1617" s="8">
        <v>3.9980602383541596E-6</v>
      </c>
      <c r="E1617" s="6">
        <f t="shared" si="50"/>
        <v>-0.20500000000000007</v>
      </c>
      <c r="F1617" s="8">
        <f t="shared" si="51"/>
        <v>-8.19602348862603E-7</v>
      </c>
    </row>
    <row r="1618" spans="1:6" x14ac:dyDescent="0.2">
      <c r="A1618">
        <v>17</v>
      </c>
      <c r="B1618" t="s">
        <v>1137</v>
      </c>
      <c r="C1618" t="s">
        <v>1030</v>
      </c>
      <c r="D1618" s="8">
        <v>2.5729279462629998E-4</v>
      </c>
      <c r="E1618" s="6">
        <f t="shared" si="50"/>
        <v>0.29999999999999982</v>
      </c>
      <c r="F1618" s="8">
        <f t="shared" si="51"/>
        <v>7.7187838387889946E-5</v>
      </c>
    </row>
    <row r="1619" spans="1:6" x14ac:dyDescent="0.2">
      <c r="A1619">
        <v>17</v>
      </c>
      <c r="B1619" t="s">
        <v>1137</v>
      </c>
      <c r="C1619" t="s">
        <v>1031</v>
      </c>
      <c r="D1619" s="8">
        <v>1.9823270893761001E-3</v>
      </c>
      <c r="E1619" s="6">
        <f t="shared" si="50"/>
        <v>0.19899999999999984</v>
      </c>
      <c r="F1619" s="8">
        <f t="shared" si="51"/>
        <v>3.9448309078584363E-4</v>
      </c>
    </row>
    <row r="1620" spans="1:6" x14ac:dyDescent="0.2">
      <c r="A1620">
        <v>17</v>
      </c>
      <c r="B1620" t="s">
        <v>1137</v>
      </c>
      <c r="C1620" t="s">
        <v>1033</v>
      </c>
      <c r="D1620" s="8">
        <v>6.3378996400119999E-4</v>
      </c>
      <c r="E1620" s="6">
        <f t="shared" si="50"/>
        <v>0.23299999999999987</v>
      </c>
      <c r="F1620" s="8">
        <f t="shared" si="51"/>
        <v>1.4767306161227951E-4</v>
      </c>
    </row>
    <row r="1621" spans="1:6" x14ac:dyDescent="0.2">
      <c r="A1621">
        <v>17</v>
      </c>
      <c r="B1621" t="s">
        <v>1137</v>
      </c>
      <c r="C1621" t="s">
        <v>1034</v>
      </c>
      <c r="D1621" s="8">
        <v>3.1052858206879748E-5</v>
      </c>
      <c r="E1621" s="6">
        <f t="shared" si="50"/>
        <v>0.70000000000000018</v>
      </c>
      <c r="F1621" s="8">
        <f t="shared" si="51"/>
        <v>2.1737000744815829E-5</v>
      </c>
    </row>
    <row r="1622" spans="1:6" x14ac:dyDescent="0.2">
      <c r="A1622">
        <v>17</v>
      </c>
      <c r="B1622" t="s">
        <v>1137</v>
      </c>
      <c r="C1622" t="s">
        <v>1123</v>
      </c>
      <c r="D1622" s="8">
        <v>1.0348834032473111E-7</v>
      </c>
      <c r="E1622" s="6">
        <f t="shared" si="50"/>
        <v>0</v>
      </c>
      <c r="F1622" s="8">
        <f t="shared" si="51"/>
        <v>0</v>
      </c>
    </row>
    <row r="1623" spans="1:6" x14ac:dyDescent="0.2">
      <c r="A1623">
        <v>17</v>
      </c>
      <c r="B1623" t="s">
        <v>1137</v>
      </c>
      <c r="C1623" t="s">
        <v>1100</v>
      </c>
      <c r="D1623" s="8">
        <v>2.9217718059699999E-4</v>
      </c>
      <c r="E1623" s="6">
        <f t="shared" si="50"/>
        <v>0</v>
      </c>
      <c r="F1623" s="8">
        <f t="shared" si="51"/>
        <v>0</v>
      </c>
    </row>
    <row r="1624" spans="1:6" x14ac:dyDescent="0.2">
      <c r="A1624">
        <v>17</v>
      </c>
      <c r="B1624" t="s">
        <v>1137</v>
      </c>
      <c r="C1624" t="s">
        <v>1035</v>
      </c>
      <c r="D1624" s="8">
        <v>1.8668449520854999E-3</v>
      </c>
      <c r="E1624" s="6">
        <f t="shared" si="50"/>
        <v>-14.218</v>
      </c>
      <c r="F1624" s="8">
        <f t="shared" si="51"/>
        <v>-2.6542801528751638E-2</v>
      </c>
    </row>
    <row r="1625" spans="1:6" x14ac:dyDescent="0.2">
      <c r="A1625">
        <v>17</v>
      </c>
      <c r="B1625" t="s">
        <v>1137</v>
      </c>
      <c r="C1625" t="s">
        <v>1036</v>
      </c>
      <c r="D1625" s="8">
        <v>8.820363715668E-4</v>
      </c>
      <c r="E1625" s="6">
        <f t="shared" si="50"/>
        <v>-2.0590000000000002</v>
      </c>
      <c r="F1625" s="8">
        <f t="shared" si="51"/>
        <v>-1.8161128890560414E-3</v>
      </c>
    </row>
    <row r="1626" spans="1:6" x14ac:dyDescent="0.2">
      <c r="A1626">
        <v>17</v>
      </c>
      <c r="B1626" t="s">
        <v>1137</v>
      </c>
      <c r="C1626" t="s">
        <v>1037</v>
      </c>
      <c r="D1626" s="8">
        <v>1.8191145324379638E-5</v>
      </c>
      <c r="E1626" s="6">
        <f t="shared" si="50"/>
        <v>0.2350000000000001</v>
      </c>
      <c r="F1626" s="8">
        <f t="shared" si="51"/>
        <v>4.2749191512292165E-6</v>
      </c>
    </row>
    <row r="1627" spans="1:6" x14ac:dyDescent="0.2">
      <c r="A1627">
        <v>17</v>
      </c>
      <c r="B1627" t="s">
        <v>1137</v>
      </c>
      <c r="C1627" t="s">
        <v>1094</v>
      </c>
      <c r="D1627" s="8">
        <v>2.14841911364511E-2</v>
      </c>
      <c r="E1627" s="6">
        <f t="shared" si="50"/>
        <v>0</v>
      </c>
      <c r="F1627" s="8">
        <f t="shared" si="51"/>
        <v>0</v>
      </c>
    </row>
    <row r="1628" spans="1:6" x14ac:dyDescent="0.2">
      <c r="A1628">
        <v>17</v>
      </c>
      <c r="B1628" t="s">
        <v>1137</v>
      </c>
      <c r="C1628" t="s">
        <v>1039</v>
      </c>
      <c r="D1628" s="8">
        <v>1.5658809751221699E-2</v>
      </c>
      <c r="E1628" s="6">
        <f t="shared" si="50"/>
        <v>-0.6419999999999999</v>
      </c>
      <c r="F1628" s="8">
        <f t="shared" si="51"/>
        <v>-1.0052955860284329E-2</v>
      </c>
    </row>
    <row r="1629" spans="1:6" x14ac:dyDescent="0.2">
      <c r="A1629">
        <v>17</v>
      </c>
      <c r="B1629" t="s">
        <v>1137</v>
      </c>
      <c r="C1629" t="s">
        <v>1040</v>
      </c>
      <c r="D1629" s="8">
        <v>1.660775987885412E-5</v>
      </c>
      <c r="E1629" s="6">
        <f t="shared" si="50"/>
        <v>-8.1180000000000003</v>
      </c>
      <c r="F1629" s="8">
        <f t="shared" si="51"/>
        <v>-1.3482179469653774E-4</v>
      </c>
    </row>
    <row r="1630" spans="1:6" x14ac:dyDescent="0.2">
      <c r="A1630">
        <v>17</v>
      </c>
      <c r="B1630" t="s">
        <v>1137</v>
      </c>
      <c r="C1630" t="s">
        <v>1041</v>
      </c>
      <c r="D1630" s="8">
        <v>6.9412906549349998E-4</v>
      </c>
      <c r="E1630" s="6">
        <f t="shared" si="50"/>
        <v>-1.8890000000000002</v>
      </c>
      <c r="F1630" s="8">
        <f t="shared" si="51"/>
        <v>-1.3112098047172217E-3</v>
      </c>
    </row>
    <row r="1631" spans="1:6" x14ac:dyDescent="0.2">
      <c r="A1631">
        <v>17</v>
      </c>
      <c r="B1631" t="s">
        <v>1137</v>
      </c>
      <c r="C1631" t="s">
        <v>1042</v>
      </c>
      <c r="D1631" s="8">
        <v>6.7233091230915996E-3</v>
      </c>
      <c r="E1631" s="6">
        <f t="shared" si="50"/>
        <v>1.621</v>
      </c>
      <c r="F1631" s="8">
        <f t="shared" si="51"/>
        <v>1.0898484088531482E-2</v>
      </c>
    </row>
    <row r="1632" spans="1:6" x14ac:dyDescent="0.2">
      <c r="A1632">
        <v>17</v>
      </c>
      <c r="B1632" t="s">
        <v>1137</v>
      </c>
      <c r="C1632" t="s">
        <v>1043</v>
      </c>
      <c r="D1632" s="8">
        <v>9.8824120826295496E-6</v>
      </c>
      <c r="E1632" s="6">
        <f t="shared" si="50"/>
        <v>-2.8000000000000025E-2</v>
      </c>
      <c r="F1632" s="8">
        <f t="shared" si="51"/>
        <v>-2.7670753831362762E-7</v>
      </c>
    </row>
    <row r="1633" spans="1:6" x14ac:dyDescent="0.2">
      <c r="A1633">
        <v>17</v>
      </c>
      <c r="B1633" t="s">
        <v>1137</v>
      </c>
      <c r="C1633" t="s">
        <v>1044</v>
      </c>
      <c r="D1633" s="8">
        <v>3.3991248381120003E-4</v>
      </c>
      <c r="E1633" s="6">
        <f t="shared" si="50"/>
        <v>-0.35099999999999998</v>
      </c>
      <c r="F1633" s="8">
        <f t="shared" si="51"/>
        <v>-1.193092818177312E-4</v>
      </c>
    </row>
    <row r="1634" spans="1:6" x14ac:dyDescent="0.2">
      <c r="A1634">
        <v>17</v>
      </c>
      <c r="B1634" t="s">
        <v>1137</v>
      </c>
      <c r="C1634" t="s">
        <v>1045</v>
      </c>
      <c r="D1634" s="8">
        <v>1.1973229600442E-3</v>
      </c>
      <c r="E1634" s="6">
        <f t="shared" si="50"/>
        <v>0.7849999999999997</v>
      </c>
      <c r="F1634" s="8">
        <f t="shared" si="51"/>
        <v>9.3989852363469658E-4</v>
      </c>
    </row>
    <row r="1635" spans="1:6" x14ac:dyDescent="0.2">
      <c r="A1635">
        <v>17</v>
      </c>
      <c r="B1635" t="s">
        <v>1137</v>
      </c>
      <c r="C1635" t="s">
        <v>1047</v>
      </c>
      <c r="D1635" s="8">
        <v>5.0107838746199995E-4</v>
      </c>
      <c r="E1635" s="6">
        <f t="shared" si="50"/>
        <v>-1.4999999999999996</v>
      </c>
      <c r="F1635" s="8">
        <f t="shared" si="51"/>
        <v>-7.5161758119299965E-4</v>
      </c>
    </row>
    <row r="1636" spans="1:6" x14ac:dyDescent="0.2">
      <c r="A1636">
        <v>17</v>
      </c>
      <c r="B1636" t="s">
        <v>1137</v>
      </c>
      <c r="C1636" t="s">
        <v>1050</v>
      </c>
      <c r="D1636" s="8">
        <v>2.2744113894283949E-6</v>
      </c>
      <c r="E1636" s="6">
        <f t="shared" si="50"/>
        <v>-1.4300000000000002</v>
      </c>
      <c r="F1636" s="8">
        <f t="shared" si="51"/>
        <v>-3.2524082868826051E-6</v>
      </c>
    </row>
    <row r="1637" spans="1:6" x14ac:dyDescent="0.2">
      <c r="A1637">
        <v>17</v>
      </c>
      <c r="B1637" t="s">
        <v>1137</v>
      </c>
      <c r="C1637" t="s">
        <v>1051</v>
      </c>
      <c r="D1637" s="8">
        <v>1.056894193948E-4</v>
      </c>
      <c r="E1637" s="6">
        <f t="shared" si="50"/>
        <v>0.18199999999999994</v>
      </c>
      <c r="F1637" s="8">
        <f t="shared" si="51"/>
        <v>1.9235474329853594E-5</v>
      </c>
    </row>
    <row r="1638" spans="1:6" x14ac:dyDescent="0.2">
      <c r="A1638">
        <v>17</v>
      </c>
      <c r="B1638" t="s">
        <v>1137</v>
      </c>
      <c r="C1638" t="s">
        <v>1053</v>
      </c>
      <c r="D1638" s="8">
        <v>1.3054228967682999E-3</v>
      </c>
      <c r="E1638" s="6">
        <f t="shared" si="50"/>
        <v>-0.39999999999999991</v>
      </c>
      <c r="F1638" s="8">
        <f t="shared" si="51"/>
        <v>-5.2216915870731981E-4</v>
      </c>
    </row>
    <row r="1639" spans="1:6" x14ac:dyDescent="0.2">
      <c r="A1639">
        <v>17</v>
      </c>
      <c r="B1639" t="s">
        <v>1137</v>
      </c>
      <c r="C1639" t="s">
        <v>1054</v>
      </c>
      <c r="D1639" s="8">
        <v>3.2661432955110868E-5</v>
      </c>
      <c r="E1639" s="6">
        <f t="shared" si="50"/>
        <v>-0.16800000000000015</v>
      </c>
      <c r="F1639" s="8">
        <f t="shared" si="51"/>
        <v>-5.4871207364586304E-6</v>
      </c>
    </row>
    <row r="1640" spans="1:6" x14ac:dyDescent="0.2">
      <c r="A1640">
        <v>17</v>
      </c>
      <c r="B1640" t="s">
        <v>1137</v>
      </c>
      <c r="C1640" t="s">
        <v>1055</v>
      </c>
      <c r="D1640" s="8">
        <v>4.4509918813599974E-6</v>
      </c>
      <c r="E1640" s="6">
        <f t="shared" si="50"/>
        <v>-0.93100000000000005</v>
      </c>
      <c r="F1640" s="8">
        <f t="shared" si="51"/>
        <v>-4.1438734415461575E-6</v>
      </c>
    </row>
    <row r="1641" spans="1:6" x14ac:dyDescent="0.2">
      <c r="A1641">
        <v>17</v>
      </c>
      <c r="B1641" t="s">
        <v>1137</v>
      </c>
      <c r="C1641" t="s">
        <v>1056</v>
      </c>
      <c r="D1641" s="8">
        <v>5.8962891039965687E-6</v>
      </c>
      <c r="E1641" s="6">
        <f t="shared" si="50"/>
        <v>-1.996</v>
      </c>
      <c r="F1641" s="8">
        <f t="shared" si="51"/>
        <v>-1.1768993051577152E-5</v>
      </c>
    </row>
    <row r="1642" spans="1:6" x14ac:dyDescent="0.2">
      <c r="A1642">
        <v>17</v>
      </c>
      <c r="B1642" t="s">
        <v>1137</v>
      </c>
      <c r="C1642" t="s">
        <v>1058</v>
      </c>
      <c r="D1642" s="8">
        <v>1.0555126001772E-3</v>
      </c>
      <c r="E1642" s="6">
        <f t="shared" si="50"/>
        <v>-0.5</v>
      </c>
      <c r="F1642" s="8">
        <f t="shared" si="51"/>
        <v>-5.2775630008860001E-4</v>
      </c>
    </row>
    <row r="1643" spans="1:6" x14ac:dyDescent="0.2">
      <c r="A1643">
        <v>17</v>
      </c>
      <c r="B1643" t="s">
        <v>1137</v>
      </c>
      <c r="C1643" t="s">
        <v>1059</v>
      </c>
      <c r="D1643" s="8">
        <v>1.9628393255794602E-2</v>
      </c>
      <c r="E1643" s="6">
        <f t="shared" si="50"/>
        <v>-0.10000000000000009</v>
      </c>
      <c r="F1643" s="8">
        <f t="shared" si="51"/>
        <v>-1.9628393255794619E-3</v>
      </c>
    </row>
    <row r="1644" spans="1:6" x14ac:dyDescent="0.2">
      <c r="A1644">
        <v>17</v>
      </c>
      <c r="B1644" t="s">
        <v>1137</v>
      </c>
      <c r="C1644" t="s">
        <v>1060</v>
      </c>
      <c r="D1644" s="8">
        <v>5.8812023090064141E-5</v>
      </c>
      <c r="E1644" s="6">
        <f t="shared" si="50"/>
        <v>1.04</v>
      </c>
      <c r="F1644" s="8">
        <f t="shared" si="51"/>
        <v>6.1164504013666712E-5</v>
      </c>
    </row>
    <row r="1645" spans="1:6" x14ac:dyDescent="0.2">
      <c r="A1645">
        <v>17</v>
      </c>
      <c r="B1645" t="s">
        <v>1137</v>
      </c>
      <c r="C1645" t="s">
        <v>1062</v>
      </c>
      <c r="D1645" s="8">
        <v>5.446625196791E-4</v>
      </c>
      <c r="E1645" s="6">
        <f t="shared" si="50"/>
        <v>0.89999999999999947</v>
      </c>
      <c r="F1645" s="8">
        <f t="shared" si="51"/>
        <v>4.9019626771118973E-4</v>
      </c>
    </row>
    <row r="1646" spans="1:6" x14ac:dyDescent="0.2">
      <c r="A1646">
        <v>17</v>
      </c>
      <c r="B1646" t="s">
        <v>1137</v>
      </c>
      <c r="C1646" t="s">
        <v>1063</v>
      </c>
      <c r="D1646" s="8">
        <v>9.9964634537841698E-6</v>
      </c>
      <c r="E1646" s="6">
        <f t="shared" si="50"/>
        <v>-4.1000000000000369E-2</v>
      </c>
      <c r="F1646" s="8">
        <f t="shared" si="51"/>
        <v>-4.0985500160515466E-7</v>
      </c>
    </row>
    <row r="1647" spans="1:6" x14ac:dyDescent="0.2">
      <c r="A1647">
        <v>17</v>
      </c>
      <c r="B1647" t="s">
        <v>1137</v>
      </c>
      <c r="C1647" t="s">
        <v>1064</v>
      </c>
      <c r="D1647" s="8">
        <v>1.3511415584342001E-3</v>
      </c>
      <c r="E1647" s="6">
        <f t="shared" si="50"/>
        <v>-0.29400000000000004</v>
      </c>
      <c r="F1647" s="8">
        <f t="shared" si="51"/>
        <v>-3.9723561817965489E-4</v>
      </c>
    </row>
    <row r="1648" spans="1:6" x14ac:dyDescent="0.2">
      <c r="A1648">
        <v>17</v>
      </c>
      <c r="B1648" t="s">
        <v>1137</v>
      </c>
      <c r="C1648" t="s">
        <v>1065</v>
      </c>
      <c r="D1648" s="8">
        <v>2.320095053744314E-5</v>
      </c>
      <c r="E1648" s="6">
        <f t="shared" si="50"/>
        <v>0.68300000000000005</v>
      </c>
      <c r="F1648" s="8">
        <f t="shared" si="51"/>
        <v>1.5846249217073665E-5</v>
      </c>
    </row>
    <row r="1649" spans="1:6" x14ac:dyDescent="0.2">
      <c r="A1649">
        <v>17</v>
      </c>
      <c r="B1649" t="s">
        <v>1137</v>
      </c>
      <c r="C1649" t="s">
        <v>1066</v>
      </c>
      <c r="D1649" s="8">
        <v>8.1360463124539005E-3</v>
      </c>
      <c r="E1649" s="6">
        <f t="shared" si="50"/>
        <v>0.20900000000000007</v>
      </c>
      <c r="F1649" s="8">
        <f t="shared" si="51"/>
        <v>1.7004336793028658E-3</v>
      </c>
    </row>
    <row r="1650" spans="1:6" x14ac:dyDescent="0.2">
      <c r="A1650">
        <v>17</v>
      </c>
      <c r="B1650" t="s">
        <v>1137</v>
      </c>
      <c r="C1650" t="s">
        <v>1106</v>
      </c>
      <c r="D1650" s="8">
        <v>2.5143937521835999E-3</v>
      </c>
      <c r="E1650" s="6">
        <f t="shared" si="50"/>
        <v>0</v>
      </c>
      <c r="F1650" s="8">
        <f t="shared" si="51"/>
        <v>0</v>
      </c>
    </row>
    <row r="1651" spans="1:6" x14ac:dyDescent="0.2">
      <c r="A1651">
        <v>17</v>
      </c>
      <c r="B1651" t="s">
        <v>1137</v>
      </c>
      <c r="C1651" t="s">
        <v>1069</v>
      </c>
      <c r="D1651" s="8">
        <v>1.6061268879766031E-5</v>
      </c>
      <c r="E1651" s="6">
        <f t="shared" si="50"/>
        <v>-0.13199999999999967</v>
      </c>
      <c r="F1651" s="8">
        <f t="shared" si="51"/>
        <v>-2.1200874921291109E-6</v>
      </c>
    </row>
    <row r="1652" spans="1:6" x14ac:dyDescent="0.2">
      <c r="A1652">
        <v>17</v>
      </c>
      <c r="B1652" t="s">
        <v>1137</v>
      </c>
      <c r="C1652" t="s">
        <v>1070</v>
      </c>
      <c r="D1652" s="8">
        <v>3.0687839186968091E-5</v>
      </c>
      <c r="E1652" s="6">
        <f t="shared" si="50"/>
        <v>-2.5</v>
      </c>
      <c r="F1652" s="8">
        <f t="shared" si="51"/>
        <v>-7.6719597967420231E-5</v>
      </c>
    </row>
    <row r="1653" spans="1:6" x14ac:dyDescent="0.2">
      <c r="A1653">
        <v>17</v>
      </c>
      <c r="B1653" t="s">
        <v>1137</v>
      </c>
      <c r="C1653" t="s">
        <v>1071</v>
      </c>
      <c r="D1653" s="8">
        <v>3.4367245588581669E-5</v>
      </c>
      <c r="E1653" s="6">
        <f t="shared" si="50"/>
        <v>-0.8</v>
      </c>
      <c r="F1653" s="8">
        <f t="shared" si="51"/>
        <v>-2.7493796470865338E-5</v>
      </c>
    </row>
    <row r="1654" spans="1:6" x14ac:dyDescent="0.2">
      <c r="A1654">
        <v>17</v>
      </c>
      <c r="B1654" t="s">
        <v>1137</v>
      </c>
      <c r="C1654" t="s">
        <v>1072</v>
      </c>
      <c r="D1654" s="8">
        <v>3.8893803414307003E-2</v>
      </c>
      <c r="E1654" s="6">
        <f t="shared" si="50"/>
        <v>0.55599999999999983</v>
      </c>
      <c r="F1654" s="8">
        <f t="shared" si="51"/>
        <v>2.1624954698354688E-2</v>
      </c>
    </row>
    <row r="1655" spans="1:6" x14ac:dyDescent="0.2">
      <c r="A1655">
        <v>17</v>
      </c>
      <c r="B1655" t="s">
        <v>1137</v>
      </c>
      <c r="C1655" t="s">
        <v>1073</v>
      </c>
      <c r="D1655" s="8">
        <v>1.507885286171056E-5</v>
      </c>
      <c r="E1655" s="6">
        <f t="shared" si="50"/>
        <v>0.69200000000000017</v>
      </c>
      <c r="F1655" s="8">
        <f t="shared" si="51"/>
        <v>1.0434566180303711E-5</v>
      </c>
    </row>
    <row r="1656" spans="1:6" x14ac:dyDescent="0.2">
      <c r="A1656">
        <v>17</v>
      </c>
      <c r="B1656" t="s">
        <v>1137</v>
      </c>
      <c r="C1656" t="s">
        <v>1074</v>
      </c>
      <c r="D1656" s="8">
        <v>1.087987493232E-4</v>
      </c>
      <c r="E1656" s="6">
        <f t="shared" si="50"/>
        <v>9.5</v>
      </c>
      <c r="F1656" s="8">
        <f t="shared" si="51"/>
        <v>1.0335881185704E-3</v>
      </c>
    </row>
    <row r="1657" spans="1:6" x14ac:dyDescent="0.2">
      <c r="A1657">
        <v>17</v>
      </c>
      <c r="B1657" t="s">
        <v>1137</v>
      </c>
      <c r="C1657" t="s">
        <v>1107</v>
      </c>
      <c r="D1657" s="8">
        <v>9.792788773202744E-7</v>
      </c>
      <c r="E1657" s="6">
        <f t="shared" si="50"/>
        <v>0</v>
      </c>
      <c r="F1657" s="8">
        <f t="shared" si="51"/>
        <v>0</v>
      </c>
    </row>
    <row r="1658" spans="1:6" x14ac:dyDescent="0.2">
      <c r="A1658">
        <v>17</v>
      </c>
      <c r="B1658" t="s">
        <v>1137</v>
      </c>
      <c r="C1658" t="s">
        <v>1075</v>
      </c>
      <c r="D1658" s="8">
        <v>4.6755638384254901E-2</v>
      </c>
      <c r="E1658" s="6">
        <f t="shared" si="50"/>
        <v>3.0529999999999999</v>
      </c>
      <c r="F1658" s="8">
        <f t="shared" si="51"/>
        <v>0.14274496398713021</v>
      </c>
    </row>
    <row r="1659" spans="1:6" x14ac:dyDescent="0.2">
      <c r="A1659">
        <v>17</v>
      </c>
      <c r="B1659" t="s">
        <v>1137</v>
      </c>
      <c r="C1659" t="s">
        <v>1076</v>
      </c>
      <c r="D1659" s="8">
        <v>1.4730580902639599E-5</v>
      </c>
      <c r="E1659" s="6">
        <f t="shared" si="50"/>
        <v>1.4060000000000001</v>
      </c>
      <c r="F1659" s="8">
        <f t="shared" si="51"/>
        <v>2.0711196749111278E-5</v>
      </c>
    </row>
    <row r="1660" spans="1:6" x14ac:dyDescent="0.2">
      <c r="A1660">
        <v>17</v>
      </c>
      <c r="B1660" t="s">
        <v>1137</v>
      </c>
      <c r="C1660" t="s">
        <v>1133</v>
      </c>
      <c r="D1660" s="8">
        <v>3.0685496259077252E-7</v>
      </c>
      <c r="E1660" s="6">
        <f t="shared" si="50"/>
        <v>0</v>
      </c>
      <c r="F1660" s="8">
        <f t="shared" si="51"/>
        <v>0</v>
      </c>
    </row>
    <row r="1661" spans="1:6" x14ac:dyDescent="0.2">
      <c r="A1661">
        <v>17</v>
      </c>
      <c r="B1661" t="s">
        <v>1137</v>
      </c>
      <c r="C1661" t="s">
        <v>1077</v>
      </c>
      <c r="D1661" s="8">
        <v>2.9117970401706489E-5</v>
      </c>
      <c r="E1661" s="6">
        <f t="shared" si="50"/>
        <v>0.63200000000000012</v>
      </c>
      <c r="F1661" s="8">
        <f t="shared" si="51"/>
        <v>1.8402557293878506E-5</v>
      </c>
    </row>
    <row r="1662" spans="1:6" x14ac:dyDescent="0.2">
      <c r="A1662">
        <v>17</v>
      </c>
      <c r="B1662" t="s">
        <v>1137</v>
      </c>
      <c r="C1662" t="s">
        <v>1078</v>
      </c>
      <c r="D1662" s="8">
        <v>1.7456690375716999E-3</v>
      </c>
      <c r="E1662" s="6">
        <f t="shared" ref="E1662:E1725" si="52">IFERROR(VLOOKUP(C1662,$A$6:$D$185,4,FALSE),0)</f>
        <v>0.5</v>
      </c>
      <c r="F1662" s="8">
        <f t="shared" ref="F1662:F1725" si="53">D1662*E1662</f>
        <v>8.7283451878584996E-4</v>
      </c>
    </row>
    <row r="1663" spans="1:6" x14ac:dyDescent="0.2">
      <c r="A1663">
        <v>17</v>
      </c>
      <c r="B1663" t="s">
        <v>1137</v>
      </c>
      <c r="C1663" t="s">
        <v>1079</v>
      </c>
      <c r="D1663" s="8">
        <v>7.9011850762364007E-3</v>
      </c>
      <c r="E1663" s="6">
        <f t="shared" si="52"/>
        <v>-0.28899999999999992</v>
      </c>
      <c r="F1663" s="8">
        <f t="shared" si="53"/>
        <v>-2.2834424870323191E-3</v>
      </c>
    </row>
    <row r="1664" spans="1:6" x14ac:dyDescent="0.2">
      <c r="A1664">
        <v>17</v>
      </c>
      <c r="B1664" t="s">
        <v>1137</v>
      </c>
      <c r="C1664" t="s">
        <v>1080</v>
      </c>
      <c r="D1664" s="8">
        <v>1.116524271911976E-5</v>
      </c>
      <c r="E1664" s="6">
        <f t="shared" si="52"/>
        <v>-2.5170000000000003</v>
      </c>
      <c r="F1664" s="8">
        <f t="shared" si="53"/>
        <v>-2.810291592402444E-5</v>
      </c>
    </row>
    <row r="1665" spans="1:6" x14ac:dyDescent="0.2">
      <c r="A1665">
        <v>17</v>
      </c>
      <c r="B1665" t="s">
        <v>1137</v>
      </c>
      <c r="C1665" t="s">
        <v>1081</v>
      </c>
      <c r="D1665" s="8">
        <v>5.9853826975232472E-5</v>
      </c>
      <c r="E1665" s="6">
        <f t="shared" si="52"/>
        <v>0.36000000000000032</v>
      </c>
      <c r="F1665" s="8">
        <f t="shared" si="53"/>
        <v>2.1547377711083709E-5</v>
      </c>
    </row>
    <row r="1666" spans="1:6" x14ac:dyDescent="0.2">
      <c r="A1666">
        <v>18</v>
      </c>
      <c r="B1666" t="s">
        <v>1139</v>
      </c>
      <c r="C1666" t="s">
        <v>902</v>
      </c>
      <c r="D1666" s="8">
        <v>1.202842435673063E-5</v>
      </c>
      <c r="E1666" s="6">
        <f t="shared" si="52"/>
        <v>-0.28000000000000025</v>
      </c>
      <c r="F1666" s="8">
        <f t="shared" si="53"/>
        <v>-3.3679588198845794E-6</v>
      </c>
    </row>
    <row r="1667" spans="1:6" x14ac:dyDescent="0.2">
      <c r="A1667">
        <v>18</v>
      </c>
      <c r="B1667" t="s">
        <v>1139</v>
      </c>
      <c r="C1667" t="s">
        <v>1090</v>
      </c>
      <c r="D1667" s="8">
        <v>7.4281179579569997E-4</v>
      </c>
      <c r="E1667" s="6">
        <f t="shared" si="52"/>
        <v>0</v>
      </c>
      <c r="F1667" s="8">
        <f t="shared" si="53"/>
        <v>0</v>
      </c>
    </row>
    <row r="1668" spans="1:6" x14ac:dyDescent="0.2">
      <c r="A1668">
        <v>18</v>
      </c>
      <c r="B1668" t="s">
        <v>1139</v>
      </c>
      <c r="C1668" t="s">
        <v>903</v>
      </c>
      <c r="D1668" s="8">
        <v>8.290328089456448E-6</v>
      </c>
      <c r="E1668" s="6">
        <f t="shared" si="52"/>
        <v>0.22399999999999975</v>
      </c>
      <c r="F1668" s="8">
        <f t="shared" si="53"/>
        <v>1.8570334920382424E-6</v>
      </c>
    </row>
    <row r="1669" spans="1:6" x14ac:dyDescent="0.2">
      <c r="A1669">
        <v>18</v>
      </c>
      <c r="B1669" t="s">
        <v>1139</v>
      </c>
      <c r="C1669" t="s">
        <v>1127</v>
      </c>
      <c r="D1669" s="8">
        <v>5.6915678732132617E-5</v>
      </c>
      <c r="E1669" s="6">
        <f t="shared" si="52"/>
        <v>0</v>
      </c>
      <c r="F1669" s="8">
        <f t="shared" si="53"/>
        <v>0</v>
      </c>
    </row>
    <row r="1670" spans="1:6" x14ac:dyDescent="0.2">
      <c r="A1670">
        <v>18</v>
      </c>
      <c r="B1670" t="s">
        <v>1139</v>
      </c>
      <c r="C1670" t="s">
        <v>904</v>
      </c>
      <c r="D1670" s="8">
        <v>6.191678204108511E-5</v>
      </c>
      <c r="E1670" s="6">
        <f t="shared" si="52"/>
        <v>-6.800000000000006E-2</v>
      </c>
      <c r="F1670" s="8">
        <f t="shared" si="53"/>
        <v>-4.2103411787937912E-6</v>
      </c>
    </row>
    <row r="1671" spans="1:6" x14ac:dyDescent="0.2">
      <c r="A1671">
        <v>18</v>
      </c>
      <c r="B1671" t="s">
        <v>1139</v>
      </c>
      <c r="C1671" t="s">
        <v>906</v>
      </c>
      <c r="D1671" s="8">
        <v>9.5817918241397002E-3</v>
      </c>
      <c r="E1671" s="6">
        <f t="shared" si="52"/>
        <v>-1.8859999999999997</v>
      </c>
      <c r="F1671" s="8">
        <f t="shared" si="53"/>
        <v>-1.807125938032747E-2</v>
      </c>
    </row>
    <row r="1672" spans="1:6" x14ac:dyDescent="0.2">
      <c r="A1672">
        <v>18</v>
      </c>
      <c r="B1672" t="s">
        <v>1139</v>
      </c>
      <c r="C1672" t="s">
        <v>907</v>
      </c>
      <c r="D1672" s="8">
        <v>1.5131880270578999E-3</v>
      </c>
      <c r="E1672" s="6">
        <f t="shared" si="52"/>
        <v>-1.0199999999999996</v>
      </c>
      <c r="F1672" s="8">
        <f t="shared" si="53"/>
        <v>-1.5434517875990573E-3</v>
      </c>
    </row>
    <row r="1673" spans="1:6" x14ac:dyDescent="0.2">
      <c r="A1673">
        <v>18</v>
      </c>
      <c r="B1673" t="s">
        <v>1139</v>
      </c>
      <c r="C1673" t="s">
        <v>908</v>
      </c>
      <c r="D1673" s="8">
        <v>1.3123697395571541E-7</v>
      </c>
      <c r="E1673" s="6">
        <f t="shared" si="52"/>
        <v>0.79999999999999982</v>
      </c>
      <c r="F1673" s="8">
        <f t="shared" si="53"/>
        <v>1.049895791645723E-7</v>
      </c>
    </row>
    <row r="1674" spans="1:6" x14ac:dyDescent="0.2">
      <c r="A1674">
        <v>18</v>
      </c>
      <c r="B1674" t="s">
        <v>1139</v>
      </c>
      <c r="C1674" t="s">
        <v>909</v>
      </c>
      <c r="D1674" s="8">
        <v>4.9576154203009849E-6</v>
      </c>
      <c r="E1674" s="6">
        <f t="shared" si="52"/>
        <v>5.9000000000000163E-2</v>
      </c>
      <c r="F1674" s="8">
        <f t="shared" si="53"/>
        <v>2.9249930979775891E-7</v>
      </c>
    </row>
    <row r="1675" spans="1:6" x14ac:dyDescent="0.2">
      <c r="A1675">
        <v>18</v>
      </c>
      <c r="B1675" t="s">
        <v>1139</v>
      </c>
      <c r="C1675" t="s">
        <v>910</v>
      </c>
      <c r="D1675" s="8">
        <v>8.5799827220418096E-2</v>
      </c>
      <c r="E1675" s="6">
        <f t="shared" si="52"/>
        <v>-7.7999999999999847E-2</v>
      </c>
      <c r="F1675" s="8">
        <f t="shared" si="53"/>
        <v>-6.6923865231925984E-3</v>
      </c>
    </row>
    <row r="1676" spans="1:6" x14ac:dyDescent="0.2">
      <c r="A1676">
        <v>18</v>
      </c>
      <c r="B1676" t="s">
        <v>1139</v>
      </c>
      <c r="C1676" t="s">
        <v>911</v>
      </c>
      <c r="D1676" s="8">
        <v>1.954402528877633E-5</v>
      </c>
      <c r="E1676" s="6">
        <f t="shared" si="52"/>
        <v>-7.5000000000000067E-2</v>
      </c>
      <c r="F1676" s="8">
        <f t="shared" si="53"/>
        <v>-1.465801896658226E-6</v>
      </c>
    </row>
    <row r="1677" spans="1:6" x14ac:dyDescent="0.2">
      <c r="A1677">
        <v>18</v>
      </c>
      <c r="B1677" t="s">
        <v>1139</v>
      </c>
      <c r="C1677" t="s">
        <v>912</v>
      </c>
      <c r="D1677" s="8">
        <v>2.6721040112935279E-5</v>
      </c>
      <c r="E1677" s="6">
        <f t="shared" si="52"/>
        <v>-0.29800000000000004</v>
      </c>
      <c r="F1677" s="8">
        <f t="shared" si="53"/>
        <v>-7.9628699536547135E-6</v>
      </c>
    </row>
    <row r="1678" spans="1:6" x14ac:dyDescent="0.2">
      <c r="A1678">
        <v>18</v>
      </c>
      <c r="B1678" t="s">
        <v>1139</v>
      </c>
      <c r="C1678" t="s">
        <v>914</v>
      </c>
      <c r="D1678" s="8">
        <v>2.9291193793175001E-3</v>
      </c>
      <c r="E1678" s="6">
        <f t="shared" si="52"/>
        <v>-0.26900000000000002</v>
      </c>
      <c r="F1678" s="8">
        <f t="shared" si="53"/>
        <v>-7.8793311303640759E-4</v>
      </c>
    </row>
    <row r="1679" spans="1:6" x14ac:dyDescent="0.2">
      <c r="A1679">
        <v>18</v>
      </c>
      <c r="B1679" t="s">
        <v>1139</v>
      </c>
      <c r="C1679" t="s">
        <v>915</v>
      </c>
      <c r="D1679" s="8">
        <v>4.377391934867331E-5</v>
      </c>
      <c r="E1679" s="6">
        <f t="shared" si="52"/>
        <v>0.81400000000000006</v>
      </c>
      <c r="F1679" s="8">
        <f t="shared" si="53"/>
        <v>3.5631970349820079E-5</v>
      </c>
    </row>
    <row r="1680" spans="1:6" x14ac:dyDescent="0.2">
      <c r="A1680">
        <v>18</v>
      </c>
      <c r="B1680" t="s">
        <v>1139</v>
      </c>
      <c r="C1680" t="s">
        <v>917</v>
      </c>
      <c r="D1680" s="8">
        <v>0.16460028447009009</v>
      </c>
      <c r="E1680" s="6">
        <f t="shared" si="52"/>
        <v>-1.83</v>
      </c>
      <c r="F1680" s="8">
        <f t="shared" si="53"/>
        <v>-0.30121852058026488</v>
      </c>
    </row>
    <row r="1681" spans="1:6" x14ac:dyDescent="0.2">
      <c r="A1681">
        <v>18</v>
      </c>
      <c r="B1681" t="s">
        <v>1139</v>
      </c>
      <c r="C1681" t="s">
        <v>918</v>
      </c>
      <c r="D1681" s="8">
        <v>6.042513696822011E-5</v>
      </c>
      <c r="E1681" s="6">
        <f t="shared" si="52"/>
        <v>0.1469999999999998</v>
      </c>
      <c r="F1681" s="8">
        <f t="shared" si="53"/>
        <v>8.8824951343283443E-6</v>
      </c>
    </row>
    <row r="1682" spans="1:6" x14ac:dyDescent="0.2">
      <c r="A1682">
        <v>18</v>
      </c>
      <c r="B1682" t="s">
        <v>1139</v>
      </c>
      <c r="C1682" t="s">
        <v>919</v>
      </c>
      <c r="D1682" s="8">
        <v>3.7725510635579999E-4</v>
      </c>
      <c r="E1682" s="6">
        <f t="shared" si="52"/>
        <v>-3.4940000000000002</v>
      </c>
      <c r="F1682" s="8">
        <f t="shared" si="53"/>
        <v>-1.3181293416071652E-3</v>
      </c>
    </row>
    <row r="1683" spans="1:6" x14ac:dyDescent="0.2">
      <c r="A1683">
        <v>18</v>
      </c>
      <c r="B1683" t="s">
        <v>1139</v>
      </c>
      <c r="C1683" t="s">
        <v>920</v>
      </c>
      <c r="D1683" s="8">
        <v>5.1892408296737149E-5</v>
      </c>
      <c r="E1683" s="6">
        <f t="shared" si="52"/>
        <v>0.40000000000000013</v>
      </c>
      <c r="F1683" s="8">
        <f t="shared" si="53"/>
        <v>2.0756963318694866E-5</v>
      </c>
    </row>
    <row r="1684" spans="1:6" x14ac:dyDescent="0.2">
      <c r="A1684">
        <v>18</v>
      </c>
      <c r="B1684" t="s">
        <v>1139</v>
      </c>
      <c r="C1684" t="s">
        <v>921</v>
      </c>
      <c r="D1684" s="8">
        <v>8.790063812857639E-6</v>
      </c>
      <c r="E1684" s="6">
        <f t="shared" si="52"/>
        <v>-0.79999999999999982</v>
      </c>
      <c r="F1684" s="8">
        <f t="shared" si="53"/>
        <v>-7.03205105028611E-6</v>
      </c>
    </row>
    <row r="1685" spans="1:6" x14ac:dyDescent="0.2">
      <c r="A1685">
        <v>18</v>
      </c>
      <c r="B1685" t="s">
        <v>1139</v>
      </c>
      <c r="C1685" t="s">
        <v>922</v>
      </c>
      <c r="D1685" s="8">
        <v>2.2616344558280929E-7</v>
      </c>
      <c r="E1685" s="6">
        <f t="shared" si="52"/>
        <v>-0.78400000000000003</v>
      </c>
      <c r="F1685" s="8">
        <f t="shared" si="53"/>
        <v>-1.773121413369225E-7</v>
      </c>
    </row>
    <row r="1686" spans="1:6" x14ac:dyDescent="0.2">
      <c r="A1686">
        <v>18</v>
      </c>
      <c r="B1686" t="s">
        <v>1139</v>
      </c>
      <c r="C1686" t="s">
        <v>923</v>
      </c>
      <c r="D1686" s="8">
        <v>2.531202630307496E-5</v>
      </c>
      <c r="E1686" s="6">
        <f t="shared" si="52"/>
        <v>-0.29999999999999982</v>
      </c>
      <c r="F1686" s="8">
        <f t="shared" si="53"/>
        <v>-7.5936078909224833E-6</v>
      </c>
    </row>
    <row r="1687" spans="1:6" x14ac:dyDescent="0.2">
      <c r="A1687">
        <v>18</v>
      </c>
      <c r="B1687" t="s">
        <v>1139</v>
      </c>
      <c r="C1687" t="s">
        <v>1129</v>
      </c>
      <c r="D1687" s="8">
        <v>2.2756705789457058E-6</v>
      </c>
      <c r="E1687" s="6">
        <f t="shared" si="52"/>
        <v>0</v>
      </c>
      <c r="F1687" s="8">
        <f t="shared" si="53"/>
        <v>0</v>
      </c>
    </row>
    <row r="1688" spans="1:6" x14ac:dyDescent="0.2">
      <c r="A1688">
        <v>18</v>
      </c>
      <c r="B1688" t="s">
        <v>1139</v>
      </c>
      <c r="C1688" t="s">
        <v>1115</v>
      </c>
      <c r="D1688" s="8">
        <v>6.386279025331996E-6</v>
      </c>
      <c r="E1688" s="6">
        <f t="shared" si="52"/>
        <v>0</v>
      </c>
      <c r="F1688" s="8">
        <f t="shared" si="53"/>
        <v>0</v>
      </c>
    </row>
    <row r="1689" spans="1:6" x14ac:dyDescent="0.2">
      <c r="A1689">
        <v>18</v>
      </c>
      <c r="B1689" t="s">
        <v>1139</v>
      </c>
      <c r="C1689" t="s">
        <v>924</v>
      </c>
      <c r="D1689" s="8">
        <v>1.1002868120436901E-2</v>
      </c>
      <c r="E1689" s="6">
        <f t="shared" si="52"/>
        <v>-8.4000000000000075E-2</v>
      </c>
      <c r="F1689" s="8">
        <f t="shared" si="53"/>
        <v>-9.2424092211670049E-4</v>
      </c>
    </row>
    <row r="1690" spans="1:6" x14ac:dyDescent="0.2">
      <c r="A1690">
        <v>18</v>
      </c>
      <c r="B1690" t="s">
        <v>1139</v>
      </c>
      <c r="C1690" t="s">
        <v>925</v>
      </c>
      <c r="D1690" s="8">
        <v>1.6537661808433032E-5</v>
      </c>
      <c r="E1690" s="6">
        <f t="shared" si="52"/>
        <v>0.20000000000000018</v>
      </c>
      <c r="F1690" s="8">
        <f t="shared" si="53"/>
        <v>3.3075323616866092E-6</v>
      </c>
    </row>
    <row r="1691" spans="1:6" x14ac:dyDescent="0.2">
      <c r="A1691">
        <v>18</v>
      </c>
      <c r="B1691" t="s">
        <v>1139</v>
      </c>
      <c r="C1691" t="s">
        <v>926</v>
      </c>
      <c r="D1691" s="8">
        <v>4.7642673215113002E-3</v>
      </c>
      <c r="E1691" s="6">
        <f t="shared" si="52"/>
        <v>-4.8000000000000043E-2</v>
      </c>
      <c r="F1691" s="8">
        <f t="shared" si="53"/>
        <v>-2.286848314325426E-4</v>
      </c>
    </row>
    <row r="1692" spans="1:6" x14ac:dyDescent="0.2">
      <c r="A1692">
        <v>18</v>
      </c>
      <c r="B1692" t="s">
        <v>1139</v>
      </c>
      <c r="C1692" t="s">
        <v>927</v>
      </c>
      <c r="D1692" s="8">
        <v>8.8211515717006361E-6</v>
      </c>
      <c r="E1692" s="6">
        <f t="shared" si="52"/>
        <v>0.5</v>
      </c>
      <c r="F1692" s="8">
        <f t="shared" si="53"/>
        <v>4.4105757858503181E-6</v>
      </c>
    </row>
    <row r="1693" spans="1:6" x14ac:dyDescent="0.2">
      <c r="A1693">
        <v>18</v>
      </c>
      <c r="B1693" t="s">
        <v>1139</v>
      </c>
      <c r="C1693" t="s">
        <v>928</v>
      </c>
      <c r="D1693" s="8">
        <v>1.504725247398203E-7</v>
      </c>
      <c r="E1693" s="6">
        <f t="shared" si="52"/>
        <v>2.423</v>
      </c>
      <c r="F1693" s="8">
        <f t="shared" si="53"/>
        <v>3.6459492744458461E-7</v>
      </c>
    </row>
    <row r="1694" spans="1:6" x14ac:dyDescent="0.2">
      <c r="A1694">
        <v>18</v>
      </c>
      <c r="B1694" t="s">
        <v>1139</v>
      </c>
      <c r="C1694" t="s">
        <v>929</v>
      </c>
      <c r="D1694" s="8">
        <v>9.9480828297593072E-10</v>
      </c>
      <c r="E1694" s="6">
        <f t="shared" si="52"/>
        <v>-0.54599999999999982</v>
      </c>
      <c r="F1694" s="8">
        <f t="shared" si="53"/>
        <v>-5.4316532250485803E-10</v>
      </c>
    </row>
    <row r="1695" spans="1:6" x14ac:dyDescent="0.2">
      <c r="A1695">
        <v>18</v>
      </c>
      <c r="B1695" t="s">
        <v>1139</v>
      </c>
      <c r="C1695" t="s">
        <v>930</v>
      </c>
      <c r="D1695" s="8">
        <v>1.9945406337944002E-3</v>
      </c>
      <c r="E1695" s="6">
        <f t="shared" si="52"/>
        <v>-5.8000000000000052E-2</v>
      </c>
      <c r="F1695" s="8">
        <f t="shared" si="53"/>
        <v>-1.1568335676007531E-4</v>
      </c>
    </row>
    <row r="1696" spans="1:6" x14ac:dyDescent="0.2">
      <c r="A1696">
        <v>18</v>
      </c>
      <c r="B1696" t="s">
        <v>1139</v>
      </c>
      <c r="C1696" t="s">
        <v>931</v>
      </c>
      <c r="D1696" s="8">
        <v>2.7140289628690002E-4</v>
      </c>
      <c r="E1696" s="6">
        <f t="shared" si="52"/>
        <v>-0.31099999999999994</v>
      </c>
      <c r="F1696" s="8">
        <f t="shared" si="53"/>
        <v>-8.4406300745225887E-5</v>
      </c>
    </row>
    <row r="1697" spans="1:6" x14ac:dyDescent="0.2">
      <c r="A1697">
        <v>18</v>
      </c>
      <c r="B1697" t="s">
        <v>1139</v>
      </c>
      <c r="C1697" t="s">
        <v>932</v>
      </c>
      <c r="D1697" s="8">
        <v>8.774669100275E-4</v>
      </c>
      <c r="E1697" s="6">
        <f t="shared" si="52"/>
        <v>0.21799999999999997</v>
      </c>
      <c r="F1697" s="8">
        <f t="shared" si="53"/>
        <v>1.9128778638599498E-4</v>
      </c>
    </row>
    <row r="1698" spans="1:6" x14ac:dyDescent="0.2">
      <c r="A1698">
        <v>18</v>
      </c>
      <c r="B1698" t="s">
        <v>1139</v>
      </c>
      <c r="C1698" t="s">
        <v>933</v>
      </c>
      <c r="D1698" s="8">
        <v>2.8157486652640101E-2</v>
      </c>
      <c r="E1698" s="6">
        <f t="shared" si="52"/>
        <v>0.4430000000000005</v>
      </c>
      <c r="F1698" s="8">
        <f t="shared" si="53"/>
        <v>1.2473766587119579E-2</v>
      </c>
    </row>
    <row r="1699" spans="1:6" x14ac:dyDescent="0.2">
      <c r="A1699">
        <v>18</v>
      </c>
      <c r="B1699" t="s">
        <v>1139</v>
      </c>
      <c r="C1699" t="s">
        <v>934</v>
      </c>
      <c r="D1699" s="8">
        <v>2.496350921062E-4</v>
      </c>
      <c r="E1699" s="6">
        <f t="shared" si="52"/>
        <v>-0.20000000000000018</v>
      </c>
      <c r="F1699" s="8">
        <f t="shared" si="53"/>
        <v>-4.9927018421240043E-5</v>
      </c>
    </row>
    <row r="1700" spans="1:6" x14ac:dyDescent="0.2">
      <c r="A1700">
        <v>18</v>
      </c>
      <c r="B1700" t="s">
        <v>1139</v>
      </c>
      <c r="C1700" t="s">
        <v>935</v>
      </c>
      <c r="D1700" s="8">
        <v>2.1654479196150001E-4</v>
      </c>
      <c r="E1700" s="6">
        <f t="shared" si="52"/>
        <v>-0.71799999999999997</v>
      </c>
      <c r="F1700" s="8">
        <f t="shared" si="53"/>
        <v>-1.55479160628357E-4</v>
      </c>
    </row>
    <row r="1701" spans="1:6" x14ac:dyDescent="0.2">
      <c r="A1701">
        <v>18</v>
      </c>
      <c r="B1701" t="s">
        <v>1139</v>
      </c>
      <c r="C1701" t="s">
        <v>936</v>
      </c>
      <c r="D1701" s="8">
        <v>2.391568075494316E-5</v>
      </c>
      <c r="E1701" s="6">
        <f t="shared" si="52"/>
        <v>0.72900000000000009</v>
      </c>
      <c r="F1701" s="8">
        <f t="shared" si="53"/>
        <v>1.7434531270353566E-5</v>
      </c>
    </row>
    <row r="1702" spans="1:6" x14ac:dyDescent="0.2">
      <c r="A1702">
        <v>18</v>
      </c>
      <c r="B1702" t="s">
        <v>1139</v>
      </c>
      <c r="C1702" t="s">
        <v>937</v>
      </c>
      <c r="D1702" s="8">
        <v>3.4440511458697472E-5</v>
      </c>
      <c r="E1702" s="6">
        <f t="shared" si="52"/>
        <v>-0.3660000000000001</v>
      </c>
      <c r="F1702" s="8">
        <f t="shared" si="53"/>
        <v>-1.2605227193883278E-5</v>
      </c>
    </row>
    <row r="1703" spans="1:6" x14ac:dyDescent="0.2">
      <c r="A1703">
        <v>18</v>
      </c>
      <c r="B1703" t="s">
        <v>1139</v>
      </c>
      <c r="C1703" t="s">
        <v>1102</v>
      </c>
      <c r="D1703" s="8">
        <v>3.9473992668484926E-6</v>
      </c>
      <c r="E1703" s="6">
        <f t="shared" si="52"/>
        <v>0</v>
      </c>
      <c r="F1703" s="8">
        <f t="shared" si="53"/>
        <v>0</v>
      </c>
    </row>
    <row r="1704" spans="1:6" x14ac:dyDescent="0.2">
      <c r="A1704">
        <v>18</v>
      </c>
      <c r="B1704" t="s">
        <v>1139</v>
      </c>
      <c r="C1704" t="s">
        <v>938</v>
      </c>
      <c r="D1704" s="8">
        <v>1.9706154223097E-3</v>
      </c>
      <c r="E1704" s="6">
        <f t="shared" si="52"/>
        <v>-0.32500000000000018</v>
      </c>
      <c r="F1704" s="8">
        <f t="shared" si="53"/>
        <v>-6.4045001225065284E-4</v>
      </c>
    </row>
    <row r="1705" spans="1:6" x14ac:dyDescent="0.2">
      <c r="A1705">
        <v>18</v>
      </c>
      <c r="B1705" t="s">
        <v>1139</v>
      </c>
      <c r="C1705" t="s">
        <v>941</v>
      </c>
      <c r="D1705" s="8">
        <v>8.4909009779599997E-4</v>
      </c>
      <c r="E1705" s="6">
        <f t="shared" si="52"/>
        <v>0.16599999999999993</v>
      </c>
      <c r="F1705" s="8">
        <f t="shared" si="53"/>
        <v>1.4094895623413593E-4</v>
      </c>
    </row>
    <row r="1706" spans="1:6" x14ac:dyDescent="0.2">
      <c r="A1706">
        <v>18</v>
      </c>
      <c r="B1706" t="s">
        <v>1139</v>
      </c>
      <c r="C1706" t="s">
        <v>1116</v>
      </c>
      <c r="D1706" s="8">
        <v>1.7767651007759999E-4</v>
      </c>
      <c r="E1706" s="6">
        <f t="shared" si="52"/>
        <v>0</v>
      </c>
      <c r="F1706" s="8">
        <f t="shared" si="53"/>
        <v>0</v>
      </c>
    </row>
    <row r="1707" spans="1:6" x14ac:dyDescent="0.2">
      <c r="A1707">
        <v>18</v>
      </c>
      <c r="B1707" t="s">
        <v>1139</v>
      </c>
      <c r="C1707" t="s">
        <v>1111</v>
      </c>
      <c r="D1707" s="8">
        <v>1.000208615283E-4</v>
      </c>
      <c r="E1707" s="6">
        <f t="shared" si="52"/>
        <v>0</v>
      </c>
      <c r="F1707" s="8">
        <f t="shared" si="53"/>
        <v>0</v>
      </c>
    </row>
    <row r="1708" spans="1:6" x14ac:dyDescent="0.2">
      <c r="A1708">
        <v>18</v>
      </c>
      <c r="B1708" t="s">
        <v>1139</v>
      </c>
      <c r="C1708" t="s">
        <v>1103</v>
      </c>
      <c r="D1708" s="8">
        <v>4.3039214571997031E-6</v>
      </c>
      <c r="E1708" s="6">
        <f t="shared" si="52"/>
        <v>0</v>
      </c>
      <c r="F1708" s="8">
        <f t="shared" si="53"/>
        <v>0</v>
      </c>
    </row>
    <row r="1709" spans="1:6" x14ac:dyDescent="0.2">
      <c r="A1709">
        <v>18</v>
      </c>
      <c r="B1709" t="s">
        <v>1139</v>
      </c>
      <c r="C1709" t="s">
        <v>942</v>
      </c>
      <c r="D1709" s="8">
        <v>7.0203566903227437E-5</v>
      </c>
      <c r="E1709" s="6">
        <f t="shared" si="52"/>
        <v>0.33700000000000019</v>
      </c>
      <c r="F1709" s="8">
        <f t="shared" si="53"/>
        <v>2.3658602046387661E-5</v>
      </c>
    </row>
    <row r="1710" spans="1:6" x14ac:dyDescent="0.2">
      <c r="A1710">
        <v>18</v>
      </c>
      <c r="B1710" t="s">
        <v>1139</v>
      </c>
      <c r="C1710" t="s">
        <v>943</v>
      </c>
      <c r="D1710" s="8">
        <v>1.8053027229889999E-4</v>
      </c>
      <c r="E1710" s="6">
        <f t="shared" si="52"/>
        <v>0.40800000000000014</v>
      </c>
      <c r="F1710" s="8">
        <f t="shared" si="53"/>
        <v>7.3656351097951223E-5</v>
      </c>
    </row>
    <row r="1711" spans="1:6" x14ac:dyDescent="0.2">
      <c r="A1711">
        <v>18</v>
      </c>
      <c r="B1711" t="s">
        <v>1139</v>
      </c>
      <c r="C1711" t="s">
        <v>944</v>
      </c>
      <c r="D1711" s="8">
        <v>1.08743578833427E-2</v>
      </c>
      <c r="E1711" s="6">
        <f t="shared" si="52"/>
        <v>-0.122</v>
      </c>
      <c r="F1711" s="8">
        <f t="shared" si="53"/>
        <v>-1.3266716617678094E-3</v>
      </c>
    </row>
    <row r="1712" spans="1:6" x14ac:dyDescent="0.2">
      <c r="A1712">
        <v>18</v>
      </c>
      <c r="B1712" t="s">
        <v>1139</v>
      </c>
      <c r="C1712" t="s">
        <v>945</v>
      </c>
      <c r="D1712" s="8">
        <v>1.8563348723769999E-4</v>
      </c>
      <c r="E1712" s="6">
        <f t="shared" si="52"/>
        <v>0.49000000000000021</v>
      </c>
      <c r="F1712" s="8">
        <f t="shared" si="53"/>
        <v>9.0960408746473039E-5</v>
      </c>
    </row>
    <row r="1713" spans="1:6" x14ac:dyDescent="0.2">
      <c r="A1713">
        <v>18</v>
      </c>
      <c r="B1713" t="s">
        <v>1139</v>
      </c>
      <c r="C1713" t="s">
        <v>946</v>
      </c>
      <c r="D1713" s="8">
        <v>3.6128421325078027E-5</v>
      </c>
      <c r="E1713" s="6">
        <f t="shared" si="52"/>
        <v>-0.1639999999999997</v>
      </c>
      <c r="F1713" s="8">
        <f t="shared" si="53"/>
        <v>-5.9250610973127856E-6</v>
      </c>
    </row>
    <row r="1714" spans="1:6" x14ac:dyDescent="0.2">
      <c r="A1714">
        <v>18</v>
      </c>
      <c r="B1714" t="s">
        <v>1139</v>
      </c>
      <c r="C1714" t="s">
        <v>947</v>
      </c>
      <c r="D1714" s="8">
        <v>1.5584658493827E-3</v>
      </c>
      <c r="E1714" s="6">
        <f t="shared" si="52"/>
        <v>0.15500000000000003</v>
      </c>
      <c r="F1714" s="8">
        <f t="shared" si="53"/>
        <v>2.4156220665431854E-4</v>
      </c>
    </row>
    <row r="1715" spans="1:6" x14ac:dyDescent="0.2">
      <c r="A1715">
        <v>18</v>
      </c>
      <c r="B1715" t="s">
        <v>1139</v>
      </c>
      <c r="C1715" t="s">
        <v>948</v>
      </c>
      <c r="D1715" s="8">
        <v>4.4998237985340001E-4</v>
      </c>
      <c r="E1715" s="6">
        <f t="shared" si="52"/>
        <v>-1.0880000000000001</v>
      </c>
      <c r="F1715" s="8">
        <f t="shared" si="53"/>
        <v>-4.8958082928049929E-4</v>
      </c>
    </row>
    <row r="1716" spans="1:6" x14ac:dyDescent="0.2">
      <c r="A1716">
        <v>18</v>
      </c>
      <c r="B1716" t="s">
        <v>1139</v>
      </c>
      <c r="C1716" t="s">
        <v>949</v>
      </c>
      <c r="D1716" s="8">
        <v>9.6572630089310002E-4</v>
      </c>
      <c r="E1716" s="6">
        <f t="shared" si="52"/>
        <v>0.79599999999999982</v>
      </c>
      <c r="F1716" s="8">
        <f t="shared" si="53"/>
        <v>7.6871813551090745E-4</v>
      </c>
    </row>
    <row r="1717" spans="1:6" x14ac:dyDescent="0.2">
      <c r="A1717">
        <v>18</v>
      </c>
      <c r="B1717" t="s">
        <v>1139</v>
      </c>
      <c r="C1717" t="s">
        <v>950</v>
      </c>
      <c r="D1717" s="8">
        <v>1.5596908298778E-3</v>
      </c>
      <c r="E1717" s="6">
        <f t="shared" si="52"/>
        <v>0.38300000000000001</v>
      </c>
      <c r="F1717" s="8">
        <f t="shared" si="53"/>
        <v>5.9736158784319743E-4</v>
      </c>
    </row>
    <row r="1718" spans="1:6" x14ac:dyDescent="0.2">
      <c r="A1718">
        <v>18</v>
      </c>
      <c r="B1718" t="s">
        <v>1139</v>
      </c>
      <c r="C1718" t="s">
        <v>951</v>
      </c>
      <c r="D1718" s="8">
        <v>1.1652527311347E-3</v>
      </c>
      <c r="E1718" s="6">
        <f t="shared" si="52"/>
        <v>-8.8000000000000078E-2</v>
      </c>
      <c r="F1718" s="8">
        <f t="shared" si="53"/>
        <v>-1.0254224033985369E-4</v>
      </c>
    </row>
    <row r="1719" spans="1:6" x14ac:dyDescent="0.2">
      <c r="A1719">
        <v>18</v>
      </c>
      <c r="B1719" t="s">
        <v>1139</v>
      </c>
      <c r="C1719" t="s">
        <v>952</v>
      </c>
      <c r="D1719" s="8">
        <v>5.4722912452204999E-3</v>
      </c>
      <c r="E1719" s="6">
        <f t="shared" si="52"/>
        <v>0.28300000000000014</v>
      </c>
      <c r="F1719" s="8">
        <f t="shared" si="53"/>
        <v>1.5486584223974023E-3</v>
      </c>
    </row>
    <row r="1720" spans="1:6" x14ac:dyDescent="0.2">
      <c r="A1720">
        <v>18</v>
      </c>
      <c r="B1720" t="s">
        <v>1139</v>
      </c>
      <c r="C1720" t="s">
        <v>953</v>
      </c>
      <c r="D1720" s="8">
        <v>5.6283997233874108E-5</v>
      </c>
      <c r="E1720" s="6">
        <f t="shared" si="52"/>
        <v>-0.42500000000000004</v>
      </c>
      <c r="F1720" s="8">
        <f t="shared" si="53"/>
        <v>-2.3920698824396497E-5</v>
      </c>
    </row>
    <row r="1721" spans="1:6" x14ac:dyDescent="0.2">
      <c r="A1721">
        <v>18</v>
      </c>
      <c r="B1721" t="s">
        <v>1139</v>
      </c>
      <c r="C1721" t="s">
        <v>954</v>
      </c>
      <c r="D1721" s="8">
        <v>4.1502935249373202E-7</v>
      </c>
      <c r="E1721" s="6">
        <f t="shared" si="52"/>
        <v>2.0929999999999991</v>
      </c>
      <c r="F1721" s="8">
        <f t="shared" si="53"/>
        <v>8.6865643476938076E-7</v>
      </c>
    </row>
    <row r="1722" spans="1:6" x14ac:dyDescent="0.2">
      <c r="A1722">
        <v>18</v>
      </c>
      <c r="B1722" t="s">
        <v>1139</v>
      </c>
      <c r="C1722" t="s">
        <v>955</v>
      </c>
      <c r="D1722" s="8">
        <v>1.2178473380703E-3</v>
      </c>
      <c r="E1722" s="6">
        <f t="shared" si="52"/>
        <v>-0.40500000000000003</v>
      </c>
      <c r="F1722" s="8">
        <f t="shared" si="53"/>
        <v>-4.932281719184715E-4</v>
      </c>
    </row>
    <row r="1723" spans="1:6" x14ac:dyDescent="0.2">
      <c r="A1723">
        <v>18</v>
      </c>
      <c r="B1723" t="s">
        <v>1139</v>
      </c>
      <c r="C1723" t="s">
        <v>956</v>
      </c>
      <c r="D1723" s="8">
        <v>3.2610194366924001E-3</v>
      </c>
      <c r="E1723" s="6">
        <f t="shared" si="52"/>
        <v>-0.44700000000000006</v>
      </c>
      <c r="F1723" s="8">
        <f t="shared" si="53"/>
        <v>-1.457675688201503E-3</v>
      </c>
    </row>
    <row r="1724" spans="1:6" x14ac:dyDescent="0.2">
      <c r="A1724">
        <v>18</v>
      </c>
      <c r="B1724" t="s">
        <v>1139</v>
      </c>
      <c r="C1724" t="s">
        <v>957</v>
      </c>
      <c r="D1724" s="8">
        <v>6.4978121308464001E-3</v>
      </c>
      <c r="E1724" s="6">
        <f t="shared" si="52"/>
        <v>-0.11499999999999988</v>
      </c>
      <c r="F1724" s="8">
        <f t="shared" si="53"/>
        <v>-7.4724839504733517E-4</v>
      </c>
    </row>
    <row r="1725" spans="1:6" x14ac:dyDescent="0.2">
      <c r="A1725">
        <v>18</v>
      </c>
      <c r="B1725" t="s">
        <v>1139</v>
      </c>
      <c r="C1725" t="s">
        <v>958</v>
      </c>
      <c r="D1725" s="8">
        <v>3.6564131809142069E-5</v>
      </c>
      <c r="E1725" s="6">
        <f t="shared" si="52"/>
        <v>9.6999999999999975E-2</v>
      </c>
      <c r="F1725" s="8">
        <f t="shared" si="53"/>
        <v>3.5467207854867799E-6</v>
      </c>
    </row>
    <row r="1726" spans="1:6" x14ac:dyDescent="0.2">
      <c r="A1726">
        <v>18</v>
      </c>
      <c r="B1726" t="s">
        <v>1139</v>
      </c>
      <c r="C1726" t="s">
        <v>959</v>
      </c>
      <c r="D1726" s="8">
        <v>6.7573374911001002E-3</v>
      </c>
      <c r="E1726" s="6">
        <f t="shared" ref="E1726:E1789" si="54">IFERROR(VLOOKUP(C1726,$A$6:$D$185,4,FALSE),0)</f>
        <v>-0.60699999999999998</v>
      </c>
      <c r="F1726" s="8">
        <f t="shared" ref="F1726:F1789" si="55">D1726*E1726</f>
        <v>-4.1017038570977608E-3</v>
      </c>
    </row>
    <row r="1727" spans="1:6" x14ac:dyDescent="0.2">
      <c r="A1727">
        <v>18</v>
      </c>
      <c r="B1727" t="s">
        <v>1139</v>
      </c>
      <c r="C1727" t="s">
        <v>960</v>
      </c>
      <c r="D1727" s="8">
        <v>2.7232192815771561E-5</v>
      </c>
      <c r="E1727" s="6">
        <f t="shared" si="54"/>
        <v>0.29999999999999982</v>
      </c>
      <c r="F1727" s="8">
        <f t="shared" si="55"/>
        <v>8.1696578447314636E-6</v>
      </c>
    </row>
    <row r="1728" spans="1:6" x14ac:dyDescent="0.2">
      <c r="A1728">
        <v>18</v>
      </c>
      <c r="B1728" t="s">
        <v>1139</v>
      </c>
      <c r="C1728" t="s">
        <v>961</v>
      </c>
      <c r="D1728" s="8">
        <v>9.6012951881939998E-4</v>
      </c>
      <c r="E1728" s="6">
        <f t="shared" si="54"/>
        <v>6.9999999999996732E-3</v>
      </c>
      <c r="F1728" s="8">
        <f t="shared" si="55"/>
        <v>6.7209066317354858E-6</v>
      </c>
    </row>
    <row r="1729" spans="1:6" x14ac:dyDescent="0.2">
      <c r="A1729">
        <v>18</v>
      </c>
      <c r="B1729" t="s">
        <v>1139</v>
      </c>
      <c r="C1729" t="s">
        <v>1130</v>
      </c>
      <c r="D1729" s="8">
        <v>1.4830889444374471E-5</v>
      </c>
      <c r="E1729" s="6">
        <f t="shared" si="54"/>
        <v>0</v>
      </c>
      <c r="F1729" s="8">
        <f t="shared" si="55"/>
        <v>0</v>
      </c>
    </row>
    <row r="1730" spans="1:6" x14ac:dyDescent="0.2">
      <c r="A1730">
        <v>18</v>
      </c>
      <c r="B1730" t="s">
        <v>1139</v>
      </c>
      <c r="C1730" t="s">
        <v>962</v>
      </c>
      <c r="D1730" s="8">
        <v>1.15024707719092E-5</v>
      </c>
      <c r="E1730" s="6">
        <f t="shared" si="54"/>
        <v>-1.9090000000000007</v>
      </c>
      <c r="F1730" s="8">
        <f t="shared" si="55"/>
        <v>-2.1958216703574673E-5</v>
      </c>
    </row>
    <row r="1731" spans="1:6" x14ac:dyDescent="0.2">
      <c r="A1731">
        <v>18</v>
      </c>
      <c r="B1731" t="s">
        <v>1139</v>
      </c>
      <c r="C1731" t="s">
        <v>963</v>
      </c>
      <c r="D1731" s="8">
        <v>8.3702236296829521E-5</v>
      </c>
      <c r="E1731" s="6">
        <f t="shared" si="54"/>
        <v>7.2000000000000064E-2</v>
      </c>
      <c r="F1731" s="8">
        <f t="shared" si="55"/>
        <v>6.0265610133717305E-6</v>
      </c>
    </row>
    <row r="1732" spans="1:6" x14ac:dyDescent="0.2">
      <c r="A1732">
        <v>18</v>
      </c>
      <c r="B1732" t="s">
        <v>1139</v>
      </c>
      <c r="C1732" t="s">
        <v>964</v>
      </c>
      <c r="D1732" s="8">
        <v>1.46912976352297E-5</v>
      </c>
      <c r="E1732" s="6">
        <f t="shared" si="54"/>
        <v>-9.9999999999999645E-2</v>
      </c>
      <c r="F1732" s="8">
        <f t="shared" si="55"/>
        <v>-1.4691297635229648E-6</v>
      </c>
    </row>
    <row r="1733" spans="1:6" x14ac:dyDescent="0.2">
      <c r="A1733">
        <v>18</v>
      </c>
      <c r="B1733" t="s">
        <v>1139</v>
      </c>
      <c r="C1733" t="s">
        <v>1118</v>
      </c>
      <c r="D1733" s="8">
        <v>5.3719647280700263E-6</v>
      </c>
      <c r="E1733" s="6">
        <f t="shared" si="54"/>
        <v>0</v>
      </c>
      <c r="F1733" s="8">
        <f t="shared" si="55"/>
        <v>0</v>
      </c>
    </row>
    <row r="1734" spans="1:6" x14ac:dyDescent="0.2">
      <c r="A1734">
        <v>18</v>
      </c>
      <c r="B1734" t="s">
        <v>1139</v>
      </c>
      <c r="C1734" t="s">
        <v>965</v>
      </c>
      <c r="D1734" s="8">
        <v>1.0063090493614001E-3</v>
      </c>
      <c r="E1734" s="6">
        <f t="shared" si="54"/>
        <v>4.5000000000000151E-2</v>
      </c>
      <c r="F1734" s="8">
        <f t="shared" si="55"/>
        <v>4.5283907221263154E-5</v>
      </c>
    </row>
    <row r="1735" spans="1:6" x14ac:dyDescent="0.2">
      <c r="A1735">
        <v>18</v>
      </c>
      <c r="B1735" t="s">
        <v>1139</v>
      </c>
      <c r="C1735" t="s">
        <v>966</v>
      </c>
      <c r="D1735" s="8">
        <v>2.3537319414004741E-7</v>
      </c>
      <c r="E1735" s="6">
        <f t="shared" si="54"/>
        <v>-0.21399999999999997</v>
      </c>
      <c r="F1735" s="8">
        <f t="shared" si="55"/>
        <v>-5.0369863545970141E-8</v>
      </c>
    </row>
    <row r="1736" spans="1:6" x14ac:dyDescent="0.2">
      <c r="A1736">
        <v>18</v>
      </c>
      <c r="B1736" t="s">
        <v>1139</v>
      </c>
      <c r="C1736" t="s">
        <v>967</v>
      </c>
      <c r="D1736" s="8">
        <v>1.1007495050703001E-3</v>
      </c>
      <c r="E1736" s="6">
        <f t="shared" si="54"/>
        <v>0.10000000000000009</v>
      </c>
      <c r="F1736" s="8">
        <f t="shared" si="55"/>
        <v>1.100749505070301E-4</v>
      </c>
    </row>
    <row r="1737" spans="1:6" x14ac:dyDescent="0.2">
      <c r="A1737">
        <v>18</v>
      </c>
      <c r="B1737" t="s">
        <v>1139</v>
      </c>
      <c r="C1737" t="s">
        <v>1105</v>
      </c>
      <c r="D1737" s="8">
        <v>6.0758856287459982E-5</v>
      </c>
      <c r="E1737" s="6">
        <f t="shared" si="54"/>
        <v>0</v>
      </c>
      <c r="F1737" s="8">
        <f t="shared" si="55"/>
        <v>0</v>
      </c>
    </row>
    <row r="1738" spans="1:6" x14ac:dyDescent="0.2">
      <c r="A1738">
        <v>18</v>
      </c>
      <c r="B1738" t="s">
        <v>1139</v>
      </c>
      <c r="C1738" t="s">
        <v>968</v>
      </c>
      <c r="D1738" s="8">
        <v>9.2307309291916022E-5</v>
      </c>
      <c r="E1738" s="6">
        <f t="shared" si="54"/>
        <v>-6.7510000000000012</v>
      </c>
      <c r="F1738" s="8">
        <f t="shared" si="55"/>
        <v>-6.2316664502972514E-4</v>
      </c>
    </row>
    <row r="1739" spans="1:6" x14ac:dyDescent="0.2">
      <c r="A1739">
        <v>18</v>
      </c>
      <c r="B1739" t="s">
        <v>1139</v>
      </c>
      <c r="C1739" t="s">
        <v>969</v>
      </c>
      <c r="D1739" s="8">
        <v>4.7692137608823003E-3</v>
      </c>
      <c r="E1739" s="6">
        <f t="shared" si="54"/>
        <v>0.53699999999999992</v>
      </c>
      <c r="F1739" s="8">
        <f t="shared" si="55"/>
        <v>2.5610677895937951E-3</v>
      </c>
    </row>
    <row r="1740" spans="1:6" x14ac:dyDescent="0.2">
      <c r="A1740">
        <v>18</v>
      </c>
      <c r="B1740" t="s">
        <v>1139</v>
      </c>
      <c r="C1740" t="s">
        <v>970</v>
      </c>
      <c r="D1740" s="8">
        <v>5.3493849116283861E-5</v>
      </c>
      <c r="E1740" s="6">
        <f t="shared" si="54"/>
        <v>-0.10000000000000009</v>
      </c>
      <c r="F1740" s="8">
        <f t="shared" si="55"/>
        <v>-5.3493849116283909E-6</v>
      </c>
    </row>
    <row r="1741" spans="1:6" x14ac:dyDescent="0.2">
      <c r="A1741">
        <v>18</v>
      </c>
      <c r="B1741" t="s">
        <v>1139</v>
      </c>
      <c r="C1741" t="s">
        <v>971</v>
      </c>
      <c r="D1741" s="8">
        <v>3.7723099779882427E-5</v>
      </c>
      <c r="E1741" s="6">
        <f t="shared" si="54"/>
        <v>-0.13700000000000001</v>
      </c>
      <c r="F1741" s="8">
        <f t="shared" si="55"/>
        <v>-5.1680646698438932E-6</v>
      </c>
    </row>
    <row r="1742" spans="1:6" x14ac:dyDescent="0.2">
      <c r="A1742">
        <v>18</v>
      </c>
      <c r="B1742" t="s">
        <v>1139</v>
      </c>
      <c r="C1742" t="s">
        <v>972</v>
      </c>
      <c r="D1742" s="8">
        <v>8.8663935871448508E-5</v>
      </c>
      <c r="E1742" s="6">
        <f t="shared" si="54"/>
        <v>-2.7</v>
      </c>
      <c r="F1742" s="8">
        <f t="shared" si="55"/>
        <v>-2.39392626852911E-4</v>
      </c>
    </row>
    <row r="1743" spans="1:6" x14ac:dyDescent="0.2">
      <c r="A1743">
        <v>18</v>
      </c>
      <c r="B1743" t="s">
        <v>1139</v>
      </c>
      <c r="C1743" t="s">
        <v>973</v>
      </c>
      <c r="D1743" s="8">
        <v>3.113518446262E-4</v>
      </c>
      <c r="E1743" s="6">
        <f t="shared" si="54"/>
        <v>-0.84999999999999987</v>
      </c>
      <c r="F1743" s="8">
        <f t="shared" si="55"/>
        <v>-2.6464906793226994E-4</v>
      </c>
    </row>
    <row r="1744" spans="1:6" x14ac:dyDescent="0.2">
      <c r="A1744">
        <v>18</v>
      </c>
      <c r="B1744" t="s">
        <v>1139</v>
      </c>
      <c r="C1744" t="s">
        <v>975</v>
      </c>
      <c r="D1744" s="8">
        <v>6.4837744908016706E-2</v>
      </c>
      <c r="E1744" s="6">
        <f t="shared" si="54"/>
        <v>0.23500000000000032</v>
      </c>
      <c r="F1744" s="8">
        <f t="shared" si="55"/>
        <v>1.5236870053383946E-2</v>
      </c>
    </row>
    <row r="1745" spans="1:6" x14ac:dyDescent="0.2">
      <c r="A1745">
        <v>18</v>
      </c>
      <c r="B1745" t="s">
        <v>1139</v>
      </c>
      <c r="C1745" t="s">
        <v>976</v>
      </c>
      <c r="D1745" s="8">
        <v>1.2548929026848E-3</v>
      </c>
      <c r="E1745" s="6">
        <f t="shared" si="54"/>
        <v>0.38700000000000001</v>
      </c>
      <c r="F1745" s="8">
        <f t="shared" si="55"/>
        <v>4.8564355333901763E-4</v>
      </c>
    </row>
    <row r="1746" spans="1:6" x14ac:dyDescent="0.2">
      <c r="A1746">
        <v>18</v>
      </c>
      <c r="B1746" t="s">
        <v>1139</v>
      </c>
      <c r="C1746" t="s">
        <v>977</v>
      </c>
      <c r="D1746" s="8">
        <v>8.4629879476825167E-5</v>
      </c>
      <c r="E1746" s="6">
        <f t="shared" si="54"/>
        <v>-7.2039999999999997</v>
      </c>
      <c r="F1746" s="8">
        <f t="shared" si="55"/>
        <v>-6.0967365175104845E-4</v>
      </c>
    </row>
    <row r="1747" spans="1:6" x14ac:dyDescent="0.2">
      <c r="A1747">
        <v>18</v>
      </c>
      <c r="B1747" t="s">
        <v>1139</v>
      </c>
      <c r="C1747" t="s">
        <v>978</v>
      </c>
      <c r="D1747" s="8">
        <v>1.4788876700967E-3</v>
      </c>
      <c r="E1747" s="6">
        <f t="shared" si="54"/>
        <v>-8.2390000000000008</v>
      </c>
      <c r="F1747" s="8">
        <f t="shared" si="55"/>
        <v>-1.2184555513926713E-2</v>
      </c>
    </row>
    <row r="1748" spans="1:6" x14ac:dyDescent="0.2">
      <c r="A1748">
        <v>18</v>
      </c>
      <c r="B1748" t="s">
        <v>1139</v>
      </c>
      <c r="C1748" t="s">
        <v>979</v>
      </c>
      <c r="D1748" s="8">
        <v>4.4838496334432643E-6</v>
      </c>
      <c r="E1748" s="6">
        <f t="shared" si="54"/>
        <v>-0.5</v>
      </c>
      <c r="F1748" s="8">
        <f t="shared" si="55"/>
        <v>-2.2419248167216322E-6</v>
      </c>
    </row>
    <row r="1749" spans="1:6" x14ac:dyDescent="0.2">
      <c r="A1749">
        <v>18</v>
      </c>
      <c r="B1749" t="s">
        <v>1139</v>
      </c>
      <c r="C1749" t="s">
        <v>980</v>
      </c>
      <c r="D1749" s="8">
        <v>3.5503271364949998E-4</v>
      </c>
      <c r="E1749" s="6">
        <f t="shared" si="54"/>
        <v>-0.10000000000000009</v>
      </c>
      <c r="F1749" s="8">
        <f t="shared" si="55"/>
        <v>-3.5503271364950031E-5</v>
      </c>
    </row>
    <row r="1750" spans="1:6" x14ac:dyDescent="0.2">
      <c r="A1750">
        <v>18</v>
      </c>
      <c r="B1750" t="s">
        <v>1139</v>
      </c>
      <c r="C1750" t="s">
        <v>981</v>
      </c>
      <c r="D1750" s="8">
        <v>1.4210857158881E-3</v>
      </c>
      <c r="E1750" s="6">
        <f t="shared" si="54"/>
        <v>-0.33499999999999996</v>
      </c>
      <c r="F1750" s="8">
        <f t="shared" si="55"/>
        <v>-4.7606371482251345E-4</v>
      </c>
    </row>
    <row r="1751" spans="1:6" x14ac:dyDescent="0.2">
      <c r="A1751">
        <v>18</v>
      </c>
      <c r="B1751" t="s">
        <v>1139</v>
      </c>
      <c r="C1751" t="s">
        <v>982</v>
      </c>
      <c r="D1751" s="8">
        <v>2.6740602396059998E-4</v>
      </c>
      <c r="E1751" s="6">
        <f t="shared" si="54"/>
        <v>-2.8</v>
      </c>
      <c r="F1751" s="8">
        <f t="shared" si="55"/>
        <v>-7.4873686708967985E-4</v>
      </c>
    </row>
    <row r="1752" spans="1:6" x14ac:dyDescent="0.2">
      <c r="A1752">
        <v>18</v>
      </c>
      <c r="B1752" t="s">
        <v>1139</v>
      </c>
      <c r="C1752" t="s">
        <v>983</v>
      </c>
      <c r="D1752" s="8">
        <v>1.600262741153E-4</v>
      </c>
      <c r="E1752" s="6">
        <f t="shared" si="54"/>
        <v>-0.19999999999999973</v>
      </c>
      <c r="F1752" s="8">
        <f t="shared" si="55"/>
        <v>-3.2005254823059961E-5</v>
      </c>
    </row>
    <row r="1753" spans="1:6" x14ac:dyDescent="0.2">
      <c r="A1753">
        <v>18</v>
      </c>
      <c r="B1753" t="s">
        <v>1139</v>
      </c>
      <c r="C1753" t="s">
        <v>984</v>
      </c>
      <c r="D1753" s="8">
        <v>7.34718122285868E-2</v>
      </c>
      <c r="E1753" s="6">
        <f t="shared" si="54"/>
        <v>0.121</v>
      </c>
      <c r="F1753" s="8">
        <f t="shared" si="55"/>
        <v>8.8900892796590029E-3</v>
      </c>
    </row>
    <row r="1754" spans="1:6" x14ac:dyDescent="0.2">
      <c r="A1754">
        <v>18</v>
      </c>
      <c r="B1754" t="s">
        <v>1139</v>
      </c>
      <c r="C1754" t="s">
        <v>985</v>
      </c>
      <c r="D1754" s="8">
        <v>2.1364689211744151E-5</v>
      </c>
      <c r="E1754" s="6">
        <f t="shared" si="54"/>
        <v>0.34299999999999997</v>
      </c>
      <c r="F1754" s="8">
        <f t="shared" si="55"/>
        <v>7.3280883996282436E-6</v>
      </c>
    </row>
    <row r="1755" spans="1:6" x14ac:dyDescent="0.2">
      <c r="A1755">
        <v>18</v>
      </c>
      <c r="B1755" t="s">
        <v>1139</v>
      </c>
      <c r="C1755" t="s">
        <v>986</v>
      </c>
      <c r="D1755" s="8">
        <v>1.5334168022036001E-3</v>
      </c>
      <c r="E1755" s="6">
        <f t="shared" si="54"/>
        <v>-0.38900000000000023</v>
      </c>
      <c r="F1755" s="8">
        <f t="shared" si="55"/>
        <v>-5.9649913605720078E-4</v>
      </c>
    </row>
    <row r="1756" spans="1:6" x14ac:dyDescent="0.2">
      <c r="A1756">
        <v>18</v>
      </c>
      <c r="B1756" t="s">
        <v>1139</v>
      </c>
      <c r="C1756" t="s">
        <v>987</v>
      </c>
      <c r="D1756" s="8">
        <v>7.7719397107494609E-9</v>
      </c>
      <c r="E1756" s="6">
        <f t="shared" si="54"/>
        <v>0.83399999999999963</v>
      </c>
      <c r="F1756" s="8">
        <f t="shared" si="55"/>
        <v>6.4817977187650477E-9</v>
      </c>
    </row>
    <row r="1757" spans="1:6" x14ac:dyDescent="0.2">
      <c r="A1757">
        <v>18</v>
      </c>
      <c r="B1757" t="s">
        <v>1139</v>
      </c>
      <c r="C1757" t="s">
        <v>988</v>
      </c>
      <c r="D1757" s="8">
        <v>8.1701687798190002E-4</v>
      </c>
      <c r="E1757" s="6">
        <f t="shared" si="54"/>
        <v>0.59299999999999997</v>
      </c>
      <c r="F1757" s="8">
        <f t="shared" si="55"/>
        <v>4.8449100864326669E-4</v>
      </c>
    </row>
    <row r="1758" spans="1:6" x14ac:dyDescent="0.2">
      <c r="A1758">
        <v>18</v>
      </c>
      <c r="B1758" t="s">
        <v>1139</v>
      </c>
      <c r="C1758" t="s">
        <v>990</v>
      </c>
      <c r="D1758" s="8">
        <v>6.07008659600854E-2</v>
      </c>
      <c r="E1758" s="6">
        <f t="shared" si="54"/>
        <v>0.45299999999999985</v>
      </c>
      <c r="F1758" s="8">
        <f t="shared" si="55"/>
        <v>2.7497492279918677E-2</v>
      </c>
    </row>
    <row r="1759" spans="1:6" x14ac:dyDescent="0.2">
      <c r="A1759">
        <v>18</v>
      </c>
      <c r="B1759" t="s">
        <v>1139</v>
      </c>
      <c r="C1759" t="s">
        <v>991</v>
      </c>
      <c r="D1759" s="8">
        <v>7.9279804727819996E-4</v>
      </c>
      <c r="E1759" s="6">
        <f t="shared" si="54"/>
        <v>-3.7290000000000001</v>
      </c>
      <c r="F1759" s="8">
        <f t="shared" si="55"/>
        <v>-2.9563439183004077E-3</v>
      </c>
    </row>
    <row r="1760" spans="1:6" x14ac:dyDescent="0.2">
      <c r="A1760">
        <v>18</v>
      </c>
      <c r="B1760" t="s">
        <v>1139</v>
      </c>
      <c r="C1760" t="s">
        <v>992</v>
      </c>
      <c r="D1760" s="8">
        <v>1.4280939218502129E-6</v>
      </c>
      <c r="E1760" s="6">
        <f t="shared" si="54"/>
        <v>2.048</v>
      </c>
      <c r="F1760" s="8">
        <f t="shared" si="55"/>
        <v>2.9247363519492363E-6</v>
      </c>
    </row>
    <row r="1761" spans="1:6" x14ac:dyDescent="0.2">
      <c r="A1761">
        <v>18</v>
      </c>
      <c r="B1761" t="s">
        <v>1139</v>
      </c>
      <c r="C1761" t="s">
        <v>1092</v>
      </c>
      <c r="D1761" s="8">
        <v>1.0568449876011E-3</v>
      </c>
      <c r="E1761" s="6">
        <f t="shared" si="54"/>
        <v>0</v>
      </c>
      <c r="F1761" s="8">
        <f t="shared" si="55"/>
        <v>0</v>
      </c>
    </row>
    <row r="1762" spans="1:6" x14ac:dyDescent="0.2">
      <c r="A1762">
        <v>18</v>
      </c>
      <c r="B1762" t="s">
        <v>1139</v>
      </c>
      <c r="C1762" t="s">
        <v>993</v>
      </c>
      <c r="D1762" s="8">
        <v>4.665851363201653E-5</v>
      </c>
      <c r="E1762" s="6">
        <f t="shared" si="54"/>
        <v>-0.42900000000000027</v>
      </c>
      <c r="F1762" s="8">
        <f t="shared" si="55"/>
        <v>-2.0016502348135104E-5</v>
      </c>
    </row>
    <row r="1763" spans="1:6" x14ac:dyDescent="0.2">
      <c r="A1763">
        <v>18</v>
      </c>
      <c r="B1763" t="s">
        <v>1139</v>
      </c>
      <c r="C1763" t="s">
        <v>994</v>
      </c>
      <c r="D1763" s="8">
        <v>6.7926753071950277E-7</v>
      </c>
      <c r="E1763" s="6">
        <f t="shared" si="54"/>
        <v>2.415</v>
      </c>
      <c r="F1763" s="8">
        <f t="shared" si="55"/>
        <v>1.6404310866875992E-6</v>
      </c>
    </row>
    <row r="1764" spans="1:6" x14ac:dyDescent="0.2">
      <c r="A1764">
        <v>18</v>
      </c>
      <c r="B1764" t="s">
        <v>1139</v>
      </c>
      <c r="C1764" t="s">
        <v>1120</v>
      </c>
      <c r="D1764" s="8">
        <v>1.363258846395199E-5</v>
      </c>
      <c r="E1764" s="6">
        <f t="shared" si="54"/>
        <v>0</v>
      </c>
      <c r="F1764" s="8">
        <f t="shared" si="55"/>
        <v>0</v>
      </c>
    </row>
    <row r="1765" spans="1:6" x14ac:dyDescent="0.2">
      <c r="A1765">
        <v>18</v>
      </c>
      <c r="B1765" t="s">
        <v>1139</v>
      </c>
      <c r="C1765" t="s">
        <v>1093</v>
      </c>
      <c r="D1765" s="8">
        <v>5.0818113324195002E-3</v>
      </c>
      <c r="E1765" s="6">
        <f t="shared" si="54"/>
        <v>0</v>
      </c>
      <c r="F1765" s="8">
        <f t="shared" si="55"/>
        <v>0</v>
      </c>
    </row>
    <row r="1766" spans="1:6" x14ac:dyDescent="0.2">
      <c r="A1766">
        <v>18</v>
      </c>
      <c r="B1766" t="s">
        <v>1139</v>
      </c>
      <c r="C1766" t="s">
        <v>996</v>
      </c>
      <c r="D1766" s="8">
        <v>2.1539185579323869E-5</v>
      </c>
      <c r="E1766" s="6">
        <f t="shared" si="54"/>
        <v>0.44099999999999984</v>
      </c>
      <c r="F1766" s="8">
        <f t="shared" si="55"/>
        <v>9.4987808404818232E-6</v>
      </c>
    </row>
    <row r="1767" spans="1:6" x14ac:dyDescent="0.2">
      <c r="A1767">
        <v>18</v>
      </c>
      <c r="B1767" t="s">
        <v>1139</v>
      </c>
      <c r="C1767" t="s">
        <v>998</v>
      </c>
      <c r="D1767" s="8">
        <v>4.1432791939095728E-5</v>
      </c>
      <c r="E1767" s="6">
        <f t="shared" si="54"/>
        <v>-0.28200000000000003</v>
      </c>
      <c r="F1767" s="8">
        <f t="shared" si="55"/>
        <v>-1.1684047326824997E-5</v>
      </c>
    </row>
    <row r="1768" spans="1:6" x14ac:dyDescent="0.2">
      <c r="A1768">
        <v>18</v>
      </c>
      <c r="B1768" t="s">
        <v>1139</v>
      </c>
      <c r="C1768" t="s">
        <v>999</v>
      </c>
      <c r="D1768" s="8">
        <v>4.0642062124660001E-4</v>
      </c>
      <c r="E1768" s="6">
        <f t="shared" si="54"/>
        <v>-0.5219999999999998</v>
      </c>
      <c r="F1768" s="8">
        <f t="shared" si="55"/>
        <v>-2.1215156429072512E-4</v>
      </c>
    </row>
    <row r="1769" spans="1:6" x14ac:dyDescent="0.2">
      <c r="A1769">
        <v>18</v>
      </c>
      <c r="B1769" t="s">
        <v>1139</v>
      </c>
      <c r="C1769" t="s">
        <v>1000</v>
      </c>
      <c r="D1769" s="8">
        <v>5.9693879746279999E-4</v>
      </c>
      <c r="E1769" s="6">
        <f t="shared" si="54"/>
        <v>1.1540000000000004</v>
      </c>
      <c r="F1769" s="8">
        <f t="shared" si="55"/>
        <v>6.8886737227207137E-4</v>
      </c>
    </row>
    <row r="1770" spans="1:6" x14ac:dyDescent="0.2">
      <c r="A1770">
        <v>18</v>
      </c>
      <c r="B1770" t="s">
        <v>1139</v>
      </c>
      <c r="C1770" t="s">
        <v>1001</v>
      </c>
      <c r="D1770" s="8">
        <v>2.3167884674316001E-3</v>
      </c>
      <c r="E1770" s="6">
        <f t="shared" si="54"/>
        <v>-0.60600000000000032</v>
      </c>
      <c r="F1770" s="8">
        <f t="shared" si="55"/>
        <v>-1.4039738112635505E-3</v>
      </c>
    </row>
    <row r="1771" spans="1:6" x14ac:dyDescent="0.2">
      <c r="A1771">
        <v>18</v>
      </c>
      <c r="B1771" t="s">
        <v>1139</v>
      </c>
      <c r="C1771" t="s">
        <v>1002</v>
      </c>
      <c r="D1771" s="8">
        <v>2.9935522895347001E-3</v>
      </c>
      <c r="E1771" s="6">
        <f t="shared" si="54"/>
        <v>-1.3390000000000004</v>
      </c>
      <c r="F1771" s="8">
        <f t="shared" si="55"/>
        <v>-4.0083665156869647E-3</v>
      </c>
    </row>
    <row r="1772" spans="1:6" x14ac:dyDescent="0.2">
      <c r="A1772">
        <v>18</v>
      </c>
      <c r="B1772" t="s">
        <v>1139</v>
      </c>
      <c r="C1772" t="s">
        <v>1003</v>
      </c>
      <c r="D1772" s="8">
        <v>7.4533628471362004E-3</v>
      </c>
      <c r="E1772" s="6">
        <f t="shared" si="54"/>
        <v>0.22999999999999998</v>
      </c>
      <c r="F1772" s="8">
        <f t="shared" si="55"/>
        <v>1.7142734548413259E-3</v>
      </c>
    </row>
    <row r="1773" spans="1:6" x14ac:dyDescent="0.2">
      <c r="A1773">
        <v>18</v>
      </c>
      <c r="B1773" t="s">
        <v>1139</v>
      </c>
      <c r="C1773" t="s">
        <v>1004</v>
      </c>
      <c r="D1773" s="8">
        <v>3.7969811456866489E-6</v>
      </c>
      <c r="E1773" s="6">
        <f t="shared" si="54"/>
        <v>-0.37000000000000011</v>
      </c>
      <c r="F1773" s="8">
        <f t="shared" si="55"/>
        <v>-1.4048830239040605E-6</v>
      </c>
    </row>
    <row r="1774" spans="1:6" x14ac:dyDescent="0.2">
      <c r="A1774">
        <v>18</v>
      </c>
      <c r="B1774" t="s">
        <v>1139</v>
      </c>
      <c r="C1774" t="s">
        <v>1006</v>
      </c>
      <c r="D1774" s="8">
        <v>6.7763542338024531E-7</v>
      </c>
      <c r="E1774" s="6">
        <f t="shared" si="54"/>
        <v>0.40000000000000036</v>
      </c>
      <c r="F1774" s="8">
        <f t="shared" si="55"/>
        <v>2.7105416935209838E-7</v>
      </c>
    </row>
    <row r="1775" spans="1:6" x14ac:dyDescent="0.2">
      <c r="A1775">
        <v>18</v>
      </c>
      <c r="B1775" t="s">
        <v>1139</v>
      </c>
      <c r="C1775" t="s">
        <v>1007</v>
      </c>
      <c r="D1775" s="8">
        <v>9.1128022361995894E-5</v>
      </c>
      <c r="E1775" s="6">
        <f t="shared" si="54"/>
        <v>-0.19999999999999973</v>
      </c>
      <c r="F1775" s="8">
        <f t="shared" si="55"/>
        <v>-1.8225604472399153E-5</v>
      </c>
    </row>
    <row r="1776" spans="1:6" x14ac:dyDescent="0.2">
      <c r="A1776">
        <v>18</v>
      </c>
      <c r="B1776" t="s">
        <v>1139</v>
      </c>
      <c r="C1776" t="s">
        <v>1008</v>
      </c>
      <c r="D1776" s="8">
        <v>3.4880030364202001E-3</v>
      </c>
      <c r="E1776" s="6">
        <f t="shared" si="54"/>
        <v>0.94799999999999995</v>
      </c>
      <c r="F1776" s="8">
        <f t="shared" si="55"/>
        <v>3.3066268785263498E-3</v>
      </c>
    </row>
    <row r="1777" spans="1:6" x14ac:dyDescent="0.2">
      <c r="A1777">
        <v>18</v>
      </c>
      <c r="B1777" t="s">
        <v>1139</v>
      </c>
      <c r="C1777" t="s">
        <v>1098</v>
      </c>
      <c r="D1777" s="8">
        <v>1.6400626967453098E-5</v>
      </c>
      <c r="E1777" s="6">
        <f t="shared" si="54"/>
        <v>0</v>
      </c>
      <c r="F1777" s="8">
        <f t="shared" si="55"/>
        <v>0</v>
      </c>
    </row>
    <row r="1778" spans="1:6" x14ac:dyDescent="0.2">
      <c r="A1778">
        <v>18</v>
      </c>
      <c r="B1778" t="s">
        <v>1139</v>
      </c>
      <c r="C1778" t="s">
        <v>1009</v>
      </c>
      <c r="D1778" s="8">
        <v>3.060589858093137E-8</v>
      </c>
      <c r="E1778" s="6">
        <f t="shared" si="54"/>
        <v>-0.5990000000000002</v>
      </c>
      <c r="F1778" s="8">
        <f t="shared" si="55"/>
        <v>-1.8332933249977897E-8</v>
      </c>
    </row>
    <row r="1779" spans="1:6" x14ac:dyDescent="0.2">
      <c r="A1779">
        <v>18</v>
      </c>
      <c r="B1779" t="s">
        <v>1139</v>
      </c>
      <c r="C1779" t="s">
        <v>1122</v>
      </c>
      <c r="D1779" s="8">
        <v>2.8848896170522238E-6</v>
      </c>
      <c r="E1779" s="6">
        <f t="shared" si="54"/>
        <v>0</v>
      </c>
      <c r="F1779" s="8">
        <f t="shared" si="55"/>
        <v>0</v>
      </c>
    </row>
    <row r="1780" spans="1:6" x14ac:dyDescent="0.2">
      <c r="A1780">
        <v>18</v>
      </c>
      <c r="B1780" t="s">
        <v>1139</v>
      </c>
      <c r="C1780" t="s">
        <v>1010</v>
      </c>
      <c r="D1780" s="8">
        <v>4.5076053443631411E-5</v>
      </c>
      <c r="E1780" s="6">
        <f t="shared" si="54"/>
        <v>-3.024</v>
      </c>
      <c r="F1780" s="8">
        <f t="shared" si="55"/>
        <v>-1.363099856135414E-4</v>
      </c>
    </row>
    <row r="1781" spans="1:6" x14ac:dyDescent="0.2">
      <c r="A1781">
        <v>18</v>
      </c>
      <c r="B1781" t="s">
        <v>1139</v>
      </c>
      <c r="C1781" t="s">
        <v>1012</v>
      </c>
      <c r="D1781" s="8">
        <v>9.9916022499474001E-3</v>
      </c>
      <c r="E1781" s="6">
        <f t="shared" si="54"/>
        <v>0.39999999999999991</v>
      </c>
      <c r="F1781" s="8">
        <f t="shared" si="55"/>
        <v>3.9966408999789595E-3</v>
      </c>
    </row>
    <row r="1782" spans="1:6" x14ac:dyDescent="0.2">
      <c r="A1782">
        <v>18</v>
      </c>
      <c r="B1782" t="s">
        <v>1139</v>
      </c>
      <c r="C1782" t="s">
        <v>1014</v>
      </c>
      <c r="D1782" s="8">
        <v>6.8370037873173597E-2</v>
      </c>
      <c r="E1782" s="6">
        <f t="shared" si="54"/>
        <v>0.90000000000000036</v>
      </c>
      <c r="F1782" s="8">
        <f t="shared" si="55"/>
        <v>6.153303408585626E-2</v>
      </c>
    </row>
    <row r="1783" spans="1:6" x14ac:dyDescent="0.2">
      <c r="A1783">
        <v>18</v>
      </c>
      <c r="B1783" t="s">
        <v>1139</v>
      </c>
      <c r="C1783" t="s">
        <v>1015</v>
      </c>
      <c r="D1783" s="8">
        <v>4.2183173495362559E-5</v>
      </c>
      <c r="E1783" s="6">
        <f t="shared" si="54"/>
        <v>-1.306</v>
      </c>
      <c r="F1783" s="8">
        <f t="shared" si="55"/>
        <v>-5.5091224584943502E-5</v>
      </c>
    </row>
    <row r="1784" spans="1:6" x14ac:dyDescent="0.2">
      <c r="A1784">
        <v>18</v>
      </c>
      <c r="B1784" t="s">
        <v>1139</v>
      </c>
      <c r="C1784" t="s">
        <v>1099</v>
      </c>
      <c r="D1784" s="8">
        <v>6.6754642751159037E-5</v>
      </c>
      <c r="E1784" s="6">
        <f t="shared" si="54"/>
        <v>0</v>
      </c>
      <c r="F1784" s="8">
        <f t="shared" si="55"/>
        <v>0</v>
      </c>
    </row>
    <row r="1785" spans="1:6" x14ac:dyDescent="0.2">
      <c r="A1785">
        <v>18</v>
      </c>
      <c r="B1785" t="s">
        <v>1139</v>
      </c>
      <c r="C1785" t="s">
        <v>1017</v>
      </c>
      <c r="D1785" s="8">
        <v>1.563109309787E-4</v>
      </c>
      <c r="E1785" s="6">
        <f t="shared" si="54"/>
        <v>1.3749999999999996</v>
      </c>
      <c r="F1785" s="8">
        <f t="shared" si="55"/>
        <v>2.1492753009571243E-4</v>
      </c>
    </row>
    <row r="1786" spans="1:6" x14ac:dyDescent="0.2">
      <c r="A1786">
        <v>18</v>
      </c>
      <c r="B1786" t="s">
        <v>1139</v>
      </c>
      <c r="C1786" t="s">
        <v>1018</v>
      </c>
      <c r="D1786" s="8">
        <v>7.3967306685577235E-5</v>
      </c>
      <c r="E1786" s="6">
        <f t="shared" si="54"/>
        <v>0.69999999999999973</v>
      </c>
      <c r="F1786" s="8">
        <f t="shared" si="55"/>
        <v>5.1777114679904044E-5</v>
      </c>
    </row>
    <row r="1787" spans="1:6" x14ac:dyDescent="0.2">
      <c r="A1787">
        <v>18</v>
      </c>
      <c r="B1787" t="s">
        <v>1139</v>
      </c>
      <c r="C1787" t="s">
        <v>1019</v>
      </c>
      <c r="D1787" s="8">
        <v>1.33167006782664E-2</v>
      </c>
      <c r="E1787" s="6">
        <f t="shared" si="54"/>
        <v>-0.21599999999999997</v>
      </c>
      <c r="F1787" s="8">
        <f t="shared" si="55"/>
        <v>-2.8764073465055422E-3</v>
      </c>
    </row>
    <row r="1788" spans="1:6" x14ac:dyDescent="0.2">
      <c r="A1788">
        <v>18</v>
      </c>
      <c r="B1788" t="s">
        <v>1139</v>
      </c>
      <c r="C1788" t="s">
        <v>1020</v>
      </c>
      <c r="D1788" s="8">
        <v>5.4607502015346713E-5</v>
      </c>
      <c r="E1788" s="6">
        <f t="shared" si="54"/>
        <v>-0.21999999999999997</v>
      </c>
      <c r="F1788" s="8">
        <f t="shared" si="55"/>
        <v>-1.2013650443376276E-5</v>
      </c>
    </row>
    <row r="1789" spans="1:6" x14ac:dyDescent="0.2">
      <c r="A1789">
        <v>18</v>
      </c>
      <c r="B1789" t="s">
        <v>1139</v>
      </c>
      <c r="C1789" t="s">
        <v>1021</v>
      </c>
      <c r="D1789" s="8">
        <v>2.5180190889759999E-4</v>
      </c>
      <c r="E1789" s="6">
        <f t="shared" si="54"/>
        <v>-2.4829999999999997</v>
      </c>
      <c r="F1789" s="8">
        <f t="shared" si="55"/>
        <v>-6.2522413979274071E-4</v>
      </c>
    </row>
    <row r="1790" spans="1:6" x14ac:dyDescent="0.2">
      <c r="A1790">
        <v>18</v>
      </c>
      <c r="B1790" t="s">
        <v>1139</v>
      </c>
      <c r="C1790" t="s">
        <v>1023</v>
      </c>
      <c r="D1790" s="8">
        <v>8.7068852179934993E-3</v>
      </c>
      <c r="E1790" s="6">
        <f t="shared" ref="E1790:E1853" si="56">IFERROR(VLOOKUP(C1790,$A$6:$D$185,4,FALSE),0)</f>
        <v>-0.62199999999999989</v>
      </c>
      <c r="F1790" s="8">
        <f t="shared" ref="F1790:F1853" si="57">D1790*E1790</f>
        <v>-5.4156826055919557E-3</v>
      </c>
    </row>
    <row r="1791" spans="1:6" x14ac:dyDescent="0.2">
      <c r="A1791">
        <v>18</v>
      </c>
      <c r="B1791" t="s">
        <v>1139</v>
      </c>
      <c r="C1791" t="s">
        <v>1024</v>
      </c>
      <c r="D1791" s="8">
        <v>9.0809307394119996E-4</v>
      </c>
      <c r="E1791" s="6">
        <f t="shared" si="56"/>
        <v>-0.14500000000000002</v>
      </c>
      <c r="F1791" s="8">
        <f t="shared" si="57"/>
        <v>-1.31673495721474E-4</v>
      </c>
    </row>
    <row r="1792" spans="1:6" x14ac:dyDescent="0.2">
      <c r="A1792">
        <v>18</v>
      </c>
      <c r="B1792" t="s">
        <v>1139</v>
      </c>
      <c r="C1792" t="s">
        <v>1025</v>
      </c>
      <c r="D1792" s="8">
        <v>1.6971555461694E-3</v>
      </c>
      <c r="E1792" s="6">
        <f t="shared" si="56"/>
        <v>4.7000000000000153E-2</v>
      </c>
      <c r="F1792" s="8">
        <f t="shared" si="57"/>
        <v>7.9766310669962054E-5</v>
      </c>
    </row>
    <row r="1793" spans="1:6" x14ac:dyDescent="0.2">
      <c r="A1793">
        <v>18</v>
      </c>
      <c r="B1793" t="s">
        <v>1139</v>
      </c>
      <c r="C1793" t="s">
        <v>1026</v>
      </c>
      <c r="D1793" s="8">
        <v>9.213812131459E-4</v>
      </c>
      <c r="E1793" s="6">
        <f t="shared" si="56"/>
        <v>-0.20000000000000018</v>
      </c>
      <c r="F1793" s="8">
        <f t="shared" si="57"/>
        <v>-1.8427624262918016E-4</v>
      </c>
    </row>
    <row r="1794" spans="1:6" x14ac:dyDescent="0.2">
      <c r="A1794">
        <v>18</v>
      </c>
      <c r="B1794" t="s">
        <v>1139</v>
      </c>
      <c r="C1794" t="s">
        <v>1027</v>
      </c>
      <c r="D1794" s="8">
        <v>1.1120455368023999E-3</v>
      </c>
      <c r="E1794" s="6">
        <f t="shared" si="56"/>
        <v>0.18999999999999995</v>
      </c>
      <c r="F1794" s="8">
        <f t="shared" si="57"/>
        <v>2.1128865199245592E-4</v>
      </c>
    </row>
    <row r="1795" spans="1:6" x14ac:dyDescent="0.2">
      <c r="A1795">
        <v>18</v>
      </c>
      <c r="B1795" t="s">
        <v>1139</v>
      </c>
      <c r="C1795" t="s">
        <v>1028</v>
      </c>
      <c r="D1795" s="8">
        <v>4.9527334785478203E-2</v>
      </c>
      <c r="E1795" s="6">
        <f t="shared" si="56"/>
        <v>-1.6600000000000001</v>
      </c>
      <c r="F1795" s="8">
        <f t="shared" si="57"/>
        <v>-8.2215375743893829E-2</v>
      </c>
    </row>
    <row r="1796" spans="1:6" x14ac:dyDescent="0.2">
      <c r="A1796">
        <v>18</v>
      </c>
      <c r="B1796" t="s">
        <v>1139</v>
      </c>
      <c r="C1796" t="s">
        <v>1029</v>
      </c>
      <c r="D1796" s="8">
        <v>7.7697713395701608E-6</v>
      </c>
      <c r="E1796" s="6">
        <f t="shared" si="56"/>
        <v>-0.20500000000000007</v>
      </c>
      <c r="F1796" s="8">
        <f t="shared" si="57"/>
        <v>-1.5928031246118836E-6</v>
      </c>
    </row>
    <row r="1797" spans="1:6" x14ac:dyDescent="0.2">
      <c r="A1797">
        <v>18</v>
      </c>
      <c r="B1797" t="s">
        <v>1139</v>
      </c>
      <c r="C1797" t="s">
        <v>1030</v>
      </c>
      <c r="D1797" s="8">
        <v>6.2062680149778003E-3</v>
      </c>
      <c r="E1797" s="6">
        <f t="shared" si="56"/>
        <v>0.29999999999999982</v>
      </c>
      <c r="F1797" s="8">
        <f t="shared" si="57"/>
        <v>1.861880404493339E-3</v>
      </c>
    </row>
    <row r="1798" spans="1:6" x14ac:dyDescent="0.2">
      <c r="A1798">
        <v>18</v>
      </c>
      <c r="B1798" t="s">
        <v>1139</v>
      </c>
      <c r="C1798" t="s">
        <v>1031</v>
      </c>
      <c r="D1798" s="8">
        <v>1.2329813626968001E-3</v>
      </c>
      <c r="E1798" s="6">
        <f t="shared" si="56"/>
        <v>0.19899999999999984</v>
      </c>
      <c r="F1798" s="8">
        <f t="shared" si="57"/>
        <v>2.4536329117666304E-4</v>
      </c>
    </row>
    <row r="1799" spans="1:6" x14ac:dyDescent="0.2">
      <c r="A1799">
        <v>18</v>
      </c>
      <c r="B1799" t="s">
        <v>1139</v>
      </c>
      <c r="C1799" t="s">
        <v>1033</v>
      </c>
      <c r="D1799" s="8">
        <v>6.0645776429929998E-4</v>
      </c>
      <c r="E1799" s="6">
        <f t="shared" si="56"/>
        <v>0.23299999999999987</v>
      </c>
      <c r="F1799" s="8">
        <f t="shared" si="57"/>
        <v>1.4130465908173681E-4</v>
      </c>
    </row>
    <row r="1800" spans="1:6" x14ac:dyDescent="0.2">
      <c r="A1800">
        <v>18</v>
      </c>
      <c r="B1800" t="s">
        <v>1139</v>
      </c>
      <c r="C1800" t="s">
        <v>1034</v>
      </c>
      <c r="D1800" s="8">
        <v>2.8424945330710001E-4</v>
      </c>
      <c r="E1800" s="6">
        <f t="shared" si="56"/>
        <v>0.70000000000000018</v>
      </c>
      <c r="F1800" s="8">
        <f t="shared" si="57"/>
        <v>1.9897461731497007E-4</v>
      </c>
    </row>
    <row r="1801" spans="1:6" x14ac:dyDescent="0.2">
      <c r="A1801">
        <v>18</v>
      </c>
      <c r="B1801" t="s">
        <v>1139</v>
      </c>
      <c r="C1801" t="s">
        <v>1123</v>
      </c>
      <c r="D1801" s="8">
        <v>1.470140115685368E-5</v>
      </c>
      <c r="E1801" s="6">
        <f t="shared" si="56"/>
        <v>0</v>
      </c>
      <c r="F1801" s="8">
        <f t="shared" si="57"/>
        <v>0</v>
      </c>
    </row>
    <row r="1802" spans="1:6" x14ac:dyDescent="0.2">
      <c r="A1802">
        <v>18</v>
      </c>
      <c r="B1802" t="s">
        <v>1139</v>
      </c>
      <c r="C1802" t="s">
        <v>1100</v>
      </c>
      <c r="D1802" s="8">
        <v>2.6735143704261E-3</v>
      </c>
      <c r="E1802" s="6">
        <f t="shared" si="56"/>
        <v>0</v>
      </c>
      <c r="F1802" s="8">
        <f t="shared" si="57"/>
        <v>0</v>
      </c>
    </row>
    <row r="1803" spans="1:6" x14ac:dyDescent="0.2">
      <c r="A1803">
        <v>18</v>
      </c>
      <c r="B1803" t="s">
        <v>1139</v>
      </c>
      <c r="C1803" t="s">
        <v>1035</v>
      </c>
      <c r="D1803" s="8">
        <v>2.3280055098315999E-3</v>
      </c>
      <c r="E1803" s="6">
        <f t="shared" si="56"/>
        <v>-14.218</v>
      </c>
      <c r="F1803" s="8">
        <f t="shared" si="57"/>
        <v>-3.3099582338785689E-2</v>
      </c>
    </row>
    <row r="1804" spans="1:6" x14ac:dyDescent="0.2">
      <c r="A1804">
        <v>18</v>
      </c>
      <c r="B1804" t="s">
        <v>1139</v>
      </c>
      <c r="C1804" t="s">
        <v>1036</v>
      </c>
      <c r="D1804" s="8">
        <v>5.6856923567389999E-4</v>
      </c>
      <c r="E1804" s="6">
        <f t="shared" si="56"/>
        <v>-2.0590000000000002</v>
      </c>
      <c r="F1804" s="8">
        <f t="shared" si="57"/>
        <v>-1.1706840562525601E-3</v>
      </c>
    </row>
    <row r="1805" spans="1:6" x14ac:dyDescent="0.2">
      <c r="A1805">
        <v>18</v>
      </c>
      <c r="B1805" t="s">
        <v>1139</v>
      </c>
      <c r="C1805" t="s">
        <v>1037</v>
      </c>
      <c r="D1805" s="8">
        <v>1.6955368982753999E-3</v>
      </c>
      <c r="E1805" s="6">
        <f t="shared" si="56"/>
        <v>0.2350000000000001</v>
      </c>
      <c r="F1805" s="8">
        <f t="shared" si="57"/>
        <v>3.9845117109471915E-4</v>
      </c>
    </row>
    <row r="1806" spans="1:6" x14ac:dyDescent="0.2">
      <c r="A1806">
        <v>18</v>
      </c>
      <c r="B1806" t="s">
        <v>1139</v>
      </c>
      <c r="C1806" t="s">
        <v>1038</v>
      </c>
      <c r="D1806" s="8">
        <v>1.7359373450171148E-5</v>
      </c>
      <c r="E1806" s="6">
        <f t="shared" si="56"/>
        <v>-0.2759999999999998</v>
      </c>
      <c r="F1806" s="8">
        <f t="shared" si="57"/>
        <v>-4.7911870722472333E-6</v>
      </c>
    </row>
    <row r="1807" spans="1:6" x14ac:dyDescent="0.2">
      <c r="A1807">
        <v>18</v>
      </c>
      <c r="B1807" t="s">
        <v>1139</v>
      </c>
      <c r="C1807" t="s">
        <v>1094</v>
      </c>
      <c r="D1807" s="8">
        <v>3.5331485943207001E-2</v>
      </c>
      <c r="E1807" s="6">
        <f t="shared" si="56"/>
        <v>0</v>
      </c>
      <c r="F1807" s="8">
        <f t="shared" si="57"/>
        <v>0</v>
      </c>
    </row>
    <row r="1808" spans="1:6" x14ac:dyDescent="0.2">
      <c r="A1808">
        <v>18</v>
      </c>
      <c r="B1808" t="s">
        <v>1139</v>
      </c>
      <c r="C1808" t="s">
        <v>1039</v>
      </c>
      <c r="D1808" s="8">
        <v>5.0900537690392001E-3</v>
      </c>
      <c r="E1808" s="6">
        <f t="shared" si="56"/>
        <v>-0.6419999999999999</v>
      </c>
      <c r="F1808" s="8">
        <f t="shared" si="57"/>
        <v>-3.2678145197231659E-3</v>
      </c>
    </row>
    <row r="1809" spans="1:6" x14ac:dyDescent="0.2">
      <c r="A1809">
        <v>18</v>
      </c>
      <c r="B1809" t="s">
        <v>1139</v>
      </c>
      <c r="C1809" t="s">
        <v>1040</v>
      </c>
      <c r="D1809" s="8">
        <v>1.734696943439279E-5</v>
      </c>
      <c r="E1809" s="6">
        <f t="shared" si="56"/>
        <v>-8.1180000000000003</v>
      </c>
      <c r="F1809" s="8">
        <f t="shared" si="57"/>
        <v>-1.4082269786840068E-4</v>
      </c>
    </row>
    <row r="1810" spans="1:6" x14ac:dyDescent="0.2">
      <c r="A1810">
        <v>18</v>
      </c>
      <c r="B1810" t="s">
        <v>1139</v>
      </c>
      <c r="C1810" t="s">
        <v>1041</v>
      </c>
      <c r="D1810" s="8">
        <v>1.9549752897460001E-4</v>
      </c>
      <c r="E1810" s="6">
        <f t="shared" si="56"/>
        <v>-1.8890000000000002</v>
      </c>
      <c r="F1810" s="8">
        <f t="shared" si="57"/>
        <v>-3.6929483223301947E-4</v>
      </c>
    </row>
    <row r="1811" spans="1:6" x14ac:dyDescent="0.2">
      <c r="A1811">
        <v>18</v>
      </c>
      <c r="B1811" t="s">
        <v>1139</v>
      </c>
      <c r="C1811" t="s">
        <v>1042</v>
      </c>
      <c r="D1811" s="8">
        <v>1.1163696701214899E-2</v>
      </c>
      <c r="E1811" s="6">
        <f t="shared" si="56"/>
        <v>1.621</v>
      </c>
      <c r="F1811" s="8">
        <f t="shared" si="57"/>
        <v>1.8096352352669352E-2</v>
      </c>
    </row>
    <row r="1812" spans="1:6" x14ac:dyDescent="0.2">
      <c r="A1812">
        <v>18</v>
      </c>
      <c r="B1812" t="s">
        <v>1139</v>
      </c>
      <c r="C1812" t="s">
        <v>1043</v>
      </c>
      <c r="D1812" s="8">
        <v>1.9331223361944241E-5</v>
      </c>
      <c r="E1812" s="6">
        <f t="shared" si="56"/>
        <v>-2.8000000000000025E-2</v>
      </c>
      <c r="F1812" s="8">
        <f t="shared" si="57"/>
        <v>-5.4127425413443927E-7</v>
      </c>
    </row>
    <row r="1813" spans="1:6" x14ac:dyDescent="0.2">
      <c r="A1813">
        <v>18</v>
      </c>
      <c r="B1813" t="s">
        <v>1139</v>
      </c>
      <c r="C1813" t="s">
        <v>1044</v>
      </c>
      <c r="D1813" s="8">
        <v>2.5331238538039929E-5</v>
      </c>
      <c r="E1813" s="6">
        <f t="shared" si="56"/>
        <v>-0.35099999999999998</v>
      </c>
      <c r="F1813" s="8">
        <f t="shared" si="57"/>
        <v>-8.8912647268520152E-6</v>
      </c>
    </row>
    <row r="1814" spans="1:6" x14ac:dyDescent="0.2">
      <c r="A1814">
        <v>18</v>
      </c>
      <c r="B1814" t="s">
        <v>1139</v>
      </c>
      <c r="C1814" t="s">
        <v>1045</v>
      </c>
      <c r="D1814" s="8">
        <v>4.3889596899328101E-5</v>
      </c>
      <c r="E1814" s="6">
        <f t="shared" si="56"/>
        <v>0.7849999999999997</v>
      </c>
      <c r="F1814" s="8">
        <f t="shared" si="57"/>
        <v>3.4453333565972543E-5</v>
      </c>
    </row>
    <row r="1815" spans="1:6" x14ac:dyDescent="0.2">
      <c r="A1815">
        <v>18</v>
      </c>
      <c r="B1815" t="s">
        <v>1139</v>
      </c>
      <c r="C1815" t="s">
        <v>1047</v>
      </c>
      <c r="D1815" s="8">
        <v>8.0871223320240005E-4</v>
      </c>
      <c r="E1815" s="6">
        <f t="shared" si="56"/>
        <v>-1.4999999999999996</v>
      </c>
      <c r="F1815" s="8">
        <f t="shared" si="57"/>
        <v>-1.2130683498035998E-3</v>
      </c>
    </row>
    <row r="1816" spans="1:6" x14ac:dyDescent="0.2">
      <c r="A1816">
        <v>18</v>
      </c>
      <c r="B1816" t="s">
        <v>1139</v>
      </c>
      <c r="C1816" t="s">
        <v>1048</v>
      </c>
      <c r="D1816" s="8">
        <v>3.9536867660744894E-6</v>
      </c>
      <c r="E1816" s="6">
        <f t="shared" si="56"/>
        <v>-1.4340000000000002</v>
      </c>
      <c r="F1816" s="8">
        <f t="shared" si="57"/>
        <v>-5.6695868225508185E-6</v>
      </c>
    </row>
    <row r="1817" spans="1:6" x14ac:dyDescent="0.2">
      <c r="A1817">
        <v>18</v>
      </c>
      <c r="B1817" t="s">
        <v>1139</v>
      </c>
      <c r="C1817" t="s">
        <v>1051</v>
      </c>
      <c r="D1817" s="8">
        <v>1.039819471810736E-5</v>
      </c>
      <c r="E1817" s="6">
        <f t="shared" si="56"/>
        <v>0.18199999999999994</v>
      </c>
      <c r="F1817" s="8">
        <f t="shared" si="57"/>
        <v>1.8924714386955388E-6</v>
      </c>
    </row>
    <row r="1818" spans="1:6" x14ac:dyDescent="0.2">
      <c r="A1818">
        <v>18</v>
      </c>
      <c r="B1818" t="s">
        <v>1139</v>
      </c>
      <c r="C1818" t="s">
        <v>1052</v>
      </c>
      <c r="D1818" s="8">
        <v>4.6540862008675201E-6</v>
      </c>
      <c r="E1818" s="6">
        <f t="shared" si="56"/>
        <v>-1.1059999999999999</v>
      </c>
      <c r="F1818" s="8">
        <f t="shared" si="57"/>
        <v>-5.1474193381594765E-6</v>
      </c>
    </row>
    <row r="1819" spans="1:6" x14ac:dyDescent="0.2">
      <c r="A1819">
        <v>18</v>
      </c>
      <c r="B1819" t="s">
        <v>1139</v>
      </c>
      <c r="C1819" t="s">
        <v>1053</v>
      </c>
      <c r="D1819" s="8">
        <v>5.2544983100520083E-5</v>
      </c>
      <c r="E1819" s="6">
        <f t="shared" si="56"/>
        <v>-0.39999999999999991</v>
      </c>
      <c r="F1819" s="8">
        <f t="shared" si="57"/>
        <v>-2.1017993240208029E-5</v>
      </c>
    </row>
    <row r="1820" spans="1:6" x14ac:dyDescent="0.2">
      <c r="A1820">
        <v>18</v>
      </c>
      <c r="B1820" t="s">
        <v>1139</v>
      </c>
      <c r="C1820" t="s">
        <v>1054</v>
      </c>
      <c r="D1820" s="8">
        <v>8.371822364313E-4</v>
      </c>
      <c r="E1820" s="6">
        <f t="shared" si="56"/>
        <v>-0.16800000000000015</v>
      </c>
      <c r="F1820" s="8">
        <f t="shared" si="57"/>
        <v>-1.4064661572045853E-4</v>
      </c>
    </row>
    <row r="1821" spans="1:6" x14ac:dyDescent="0.2">
      <c r="A1821">
        <v>18</v>
      </c>
      <c r="B1821" t="s">
        <v>1139</v>
      </c>
      <c r="C1821" t="s">
        <v>1056</v>
      </c>
      <c r="D1821" s="8">
        <v>3.3697187445439999E-4</v>
      </c>
      <c r="E1821" s="6">
        <f t="shared" si="56"/>
        <v>-1.996</v>
      </c>
      <c r="F1821" s="8">
        <f t="shared" si="57"/>
        <v>-6.7259586141098237E-4</v>
      </c>
    </row>
    <row r="1822" spans="1:6" x14ac:dyDescent="0.2">
      <c r="A1822">
        <v>18</v>
      </c>
      <c r="B1822" t="s">
        <v>1139</v>
      </c>
      <c r="C1822" t="s">
        <v>1095</v>
      </c>
      <c r="D1822" s="8">
        <v>9.3353431029638202E-6</v>
      </c>
      <c r="E1822" s="6">
        <f t="shared" si="56"/>
        <v>0</v>
      </c>
      <c r="F1822" s="8">
        <f t="shared" si="57"/>
        <v>0</v>
      </c>
    </row>
    <row r="1823" spans="1:6" x14ac:dyDescent="0.2">
      <c r="A1823">
        <v>18</v>
      </c>
      <c r="B1823" t="s">
        <v>1139</v>
      </c>
      <c r="C1823" t="s">
        <v>1112</v>
      </c>
      <c r="D1823" s="8">
        <v>1.9116663422349579E-5</v>
      </c>
      <c r="E1823" s="6">
        <f t="shared" si="56"/>
        <v>0</v>
      </c>
      <c r="F1823" s="8">
        <f t="shared" si="57"/>
        <v>0</v>
      </c>
    </row>
    <row r="1824" spans="1:6" x14ac:dyDescent="0.2">
      <c r="A1824">
        <v>18</v>
      </c>
      <c r="B1824" t="s">
        <v>1139</v>
      </c>
      <c r="C1824" t="s">
        <v>1058</v>
      </c>
      <c r="D1824" s="8">
        <v>3.4172014257510202E-5</v>
      </c>
      <c r="E1824" s="6">
        <f t="shared" si="56"/>
        <v>-0.5</v>
      </c>
      <c r="F1824" s="8">
        <f t="shared" si="57"/>
        <v>-1.7086007128755101E-5</v>
      </c>
    </row>
    <row r="1825" spans="1:6" x14ac:dyDescent="0.2">
      <c r="A1825">
        <v>18</v>
      </c>
      <c r="B1825" t="s">
        <v>1139</v>
      </c>
      <c r="C1825" t="s">
        <v>1059</v>
      </c>
      <c r="D1825" s="8">
        <v>3.0822890701649602E-2</v>
      </c>
      <c r="E1825" s="6">
        <f t="shared" si="56"/>
        <v>-0.10000000000000009</v>
      </c>
      <c r="F1825" s="8">
        <f t="shared" si="57"/>
        <v>-3.082289070164963E-3</v>
      </c>
    </row>
    <row r="1826" spans="1:6" x14ac:dyDescent="0.2">
      <c r="A1826">
        <v>18</v>
      </c>
      <c r="B1826" t="s">
        <v>1139</v>
      </c>
      <c r="C1826" t="s">
        <v>1062</v>
      </c>
      <c r="D1826" s="8">
        <v>1.7809666350103798E-2</v>
      </c>
      <c r="E1826" s="6">
        <f t="shared" si="56"/>
        <v>0.89999999999999947</v>
      </c>
      <c r="F1826" s="8">
        <f t="shared" si="57"/>
        <v>1.6028699715093409E-2</v>
      </c>
    </row>
    <row r="1827" spans="1:6" x14ac:dyDescent="0.2">
      <c r="A1827">
        <v>18</v>
      </c>
      <c r="B1827" t="s">
        <v>1139</v>
      </c>
      <c r="C1827" t="s">
        <v>1063</v>
      </c>
      <c r="D1827" s="8">
        <v>4.0024806356849999E-4</v>
      </c>
      <c r="E1827" s="6">
        <f t="shared" si="56"/>
        <v>-4.1000000000000369E-2</v>
      </c>
      <c r="F1827" s="8">
        <f t="shared" si="57"/>
        <v>-1.6410170606308649E-5</v>
      </c>
    </row>
    <row r="1828" spans="1:6" x14ac:dyDescent="0.2">
      <c r="A1828">
        <v>18</v>
      </c>
      <c r="B1828" t="s">
        <v>1139</v>
      </c>
      <c r="C1828" t="s">
        <v>1064</v>
      </c>
      <c r="D1828" s="8">
        <v>1.5399160619160001E-4</v>
      </c>
      <c r="E1828" s="6">
        <f t="shared" si="56"/>
        <v>-0.29400000000000004</v>
      </c>
      <c r="F1828" s="8">
        <f t="shared" si="57"/>
        <v>-4.5273532220330407E-5</v>
      </c>
    </row>
    <row r="1829" spans="1:6" x14ac:dyDescent="0.2">
      <c r="A1829">
        <v>18</v>
      </c>
      <c r="B1829" t="s">
        <v>1139</v>
      </c>
      <c r="C1829" t="s">
        <v>1065</v>
      </c>
      <c r="D1829" s="8">
        <v>6.1214209571948947E-5</v>
      </c>
      <c r="E1829" s="6">
        <f t="shared" si="56"/>
        <v>0.68300000000000005</v>
      </c>
      <c r="F1829" s="8">
        <f t="shared" si="57"/>
        <v>4.1809305137641133E-5</v>
      </c>
    </row>
    <row r="1830" spans="1:6" x14ac:dyDescent="0.2">
      <c r="A1830">
        <v>18</v>
      </c>
      <c r="B1830" t="s">
        <v>1139</v>
      </c>
      <c r="C1830" t="s">
        <v>1066</v>
      </c>
      <c r="D1830" s="8">
        <v>2.7274521410807998E-3</v>
      </c>
      <c r="E1830" s="6">
        <f t="shared" si="56"/>
        <v>0.20900000000000007</v>
      </c>
      <c r="F1830" s="8">
        <f t="shared" si="57"/>
        <v>5.7003749748588736E-4</v>
      </c>
    </row>
    <row r="1831" spans="1:6" x14ac:dyDescent="0.2">
      <c r="A1831">
        <v>18</v>
      </c>
      <c r="B1831" t="s">
        <v>1139</v>
      </c>
      <c r="C1831" t="s">
        <v>1106</v>
      </c>
      <c r="D1831" s="8">
        <v>1.1664598120755001E-3</v>
      </c>
      <c r="E1831" s="6">
        <f t="shared" si="56"/>
        <v>0</v>
      </c>
      <c r="F1831" s="8">
        <f t="shared" si="57"/>
        <v>0</v>
      </c>
    </row>
    <row r="1832" spans="1:6" x14ac:dyDescent="0.2">
      <c r="A1832">
        <v>18</v>
      </c>
      <c r="B1832" t="s">
        <v>1139</v>
      </c>
      <c r="C1832" t="s">
        <v>1069</v>
      </c>
      <c r="D1832" s="8">
        <v>1.1399938524642001E-3</v>
      </c>
      <c r="E1832" s="6">
        <f t="shared" si="56"/>
        <v>-0.13199999999999967</v>
      </c>
      <c r="F1832" s="8">
        <f t="shared" si="57"/>
        <v>-1.5047918852527405E-4</v>
      </c>
    </row>
    <row r="1833" spans="1:6" x14ac:dyDescent="0.2">
      <c r="A1833">
        <v>18</v>
      </c>
      <c r="B1833" t="s">
        <v>1139</v>
      </c>
      <c r="C1833" t="s">
        <v>1070</v>
      </c>
      <c r="D1833" s="8">
        <v>9.8957901106094996E-5</v>
      </c>
      <c r="E1833" s="6">
        <f t="shared" si="56"/>
        <v>-2.5</v>
      </c>
      <c r="F1833" s="8">
        <f t="shared" si="57"/>
        <v>-2.4739475276523747E-4</v>
      </c>
    </row>
    <row r="1834" spans="1:6" x14ac:dyDescent="0.2">
      <c r="A1834">
        <v>18</v>
      </c>
      <c r="B1834" t="s">
        <v>1139</v>
      </c>
      <c r="C1834" t="s">
        <v>1071</v>
      </c>
      <c r="D1834" s="8">
        <v>5.9769202898930004E-4</v>
      </c>
      <c r="E1834" s="6">
        <f t="shared" si="56"/>
        <v>-0.8</v>
      </c>
      <c r="F1834" s="8">
        <f t="shared" si="57"/>
        <v>-4.7815362319144006E-4</v>
      </c>
    </row>
    <row r="1835" spans="1:6" x14ac:dyDescent="0.2">
      <c r="A1835">
        <v>18</v>
      </c>
      <c r="B1835" t="s">
        <v>1139</v>
      </c>
      <c r="C1835" t="s">
        <v>1072</v>
      </c>
      <c r="D1835" s="8">
        <v>8.6512282191202397E-2</v>
      </c>
      <c r="E1835" s="6">
        <f t="shared" si="56"/>
        <v>0.55599999999999983</v>
      </c>
      <c r="F1835" s="8">
        <f t="shared" si="57"/>
        <v>4.8100828898308516E-2</v>
      </c>
    </row>
    <row r="1836" spans="1:6" x14ac:dyDescent="0.2">
      <c r="A1836">
        <v>18</v>
      </c>
      <c r="B1836" t="s">
        <v>1139</v>
      </c>
      <c r="C1836" t="s">
        <v>1073</v>
      </c>
      <c r="D1836" s="8">
        <v>6.7703698402251768E-7</v>
      </c>
      <c r="E1836" s="6">
        <f t="shared" si="56"/>
        <v>0.69200000000000017</v>
      </c>
      <c r="F1836" s="8">
        <f t="shared" si="57"/>
        <v>4.6850959294358238E-7</v>
      </c>
    </row>
    <row r="1837" spans="1:6" x14ac:dyDescent="0.2">
      <c r="A1837">
        <v>18</v>
      </c>
      <c r="B1837" t="s">
        <v>1139</v>
      </c>
      <c r="C1837" t="s">
        <v>1124</v>
      </c>
      <c r="D1837" s="8">
        <v>5.760651868108144E-5</v>
      </c>
      <c r="E1837" s="6">
        <f t="shared" si="56"/>
        <v>0</v>
      </c>
      <c r="F1837" s="8">
        <f t="shared" si="57"/>
        <v>0</v>
      </c>
    </row>
    <row r="1838" spans="1:6" x14ac:dyDescent="0.2">
      <c r="A1838">
        <v>18</v>
      </c>
      <c r="B1838" t="s">
        <v>1139</v>
      </c>
      <c r="C1838" t="s">
        <v>1074</v>
      </c>
      <c r="D1838" s="8">
        <v>7.5447729077499922E-5</v>
      </c>
      <c r="E1838" s="6">
        <f t="shared" si="56"/>
        <v>9.5</v>
      </c>
      <c r="F1838" s="8">
        <f t="shared" si="57"/>
        <v>7.167534262362493E-4</v>
      </c>
    </row>
    <row r="1839" spans="1:6" x14ac:dyDescent="0.2">
      <c r="A1839">
        <v>18</v>
      </c>
      <c r="B1839" t="s">
        <v>1139</v>
      </c>
      <c r="C1839" t="s">
        <v>1107</v>
      </c>
      <c r="D1839" s="8">
        <v>8.4000251325038213E-6</v>
      </c>
      <c r="E1839" s="6">
        <f t="shared" si="56"/>
        <v>0</v>
      </c>
      <c r="F1839" s="8">
        <f t="shared" si="57"/>
        <v>0</v>
      </c>
    </row>
    <row r="1840" spans="1:6" x14ac:dyDescent="0.2">
      <c r="A1840">
        <v>18</v>
      </c>
      <c r="B1840" t="s">
        <v>1139</v>
      </c>
      <c r="C1840" t="s">
        <v>1075</v>
      </c>
      <c r="D1840" s="8">
        <v>2.8380822348683801E-2</v>
      </c>
      <c r="E1840" s="6">
        <f t="shared" si="56"/>
        <v>3.0529999999999999</v>
      </c>
      <c r="F1840" s="8">
        <f t="shared" si="57"/>
        <v>8.6646650630531646E-2</v>
      </c>
    </row>
    <row r="1841" spans="1:6" x14ac:dyDescent="0.2">
      <c r="A1841">
        <v>18</v>
      </c>
      <c r="B1841" t="s">
        <v>1139</v>
      </c>
      <c r="C1841" t="s">
        <v>1076</v>
      </c>
      <c r="D1841" s="8">
        <v>5.3909438048436766E-6</v>
      </c>
      <c r="E1841" s="6">
        <f t="shared" si="56"/>
        <v>1.4060000000000001</v>
      </c>
      <c r="F1841" s="8">
        <f t="shared" si="57"/>
        <v>7.5796669896102102E-6</v>
      </c>
    </row>
    <row r="1842" spans="1:6" x14ac:dyDescent="0.2">
      <c r="A1842">
        <v>18</v>
      </c>
      <c r="B1842" t="s">
        <v>1139</v>
      </c>
      <c r="C1842" t="s">
        <v>1133</v>
      </c>
      <c r="D1842" s="8">
        <v>4.1217316465003141E-6</v>
      </c>
      <c r="E1842" s="6">
        <f t="shared" si="56"/>
        <v>0</v>
      </c>
      <c r="F1842" s="8">
        <f t="shared" si="57"/>
        <v>0</v>
      </c>
    </row>
    <row r="1843" spans="1:6" x14ac:dyDescent="0.2">
      <c r="A1843">
        <v>18</v>
      </c>
      <c r="B1843" t="s">
        <v>1139</v>
      </c>
      <c r="C1843" t="s">
        <v>1078</v>
      </c>
      <c r="D1843" s="8">
        <v>2.2859978834701001E-3</v>
      </c>
      <c r="E1843" s="6">
        <f t="shared" si="56"/>
        <v>0.5</v>
      </c>
      <c r="F1843" s="8">
        <f t="shared" si="57"/>
        <v>1.1429989417350501E-3</v>
      </c>
    </row>
    <row r="1844" spans="1:6" x14ac:dyDescent="0.2">
      <c r="A1844">
        <v>18</v>
      </c>
      <c r="B1844" t="s">
        <v>1139</v>
      </c>
      <c r="C1844" t="s">
        <v>1079</v>
      </c>
      <c r="D1844" s="8">
        <v>6.3307699930767996E-3</v>
      </c>
      <c r="E1844" s="6">
        <f t="shared" si="56"/>
        <v>-0.28899999999999992</v>
      </c>
      <c r="F1844" s="8">
        <f t="shared" si="57"/>
        <v>-1.8295925279991946E-3</v>
      </c>
    </row>
    <row r="1845" spans="1:6" x14ac:dyDescent="0.2">
      <c r="A1845">
        <v>18</v>
      </c>
      <c r="B1845" t="s">
        <v>1139</v>
      </c>
      <c r="C1845" t="s">
        <v>1081</v>
      </c>
      <c r="D1845" s="8">
        <v>2.0004972815469109E-6</v>
      </c>
      <c r="E1845" s="6">
        <f t="shared" si="56"/>
        <v>0.36000000000000032</v>
      </c>
      <c r="F1845" s="8">
        <f t="shared" si="57"/>
        <v>7.2017902135688857E-7</v>
      </c>
    </row>
    <row r="1846" spans="1:6" x14ac:dyDescent="0.2">
      <c r="A1846">
        <v>19</v>
      </c>
      <c r="B1846" t="s">
        <v>1140</v>
      </c>
      <c r="C1846" t="s">
        <v>906</v>
      </c>
      <c r="D1846" s="8">
        <v>1.987041883408E-4</v>
      </c>
      <c r="E1846" s="6">
        <f t="shared" si="56"/>
        <v>-1.8859999999999997</v>
      </c>
      <c r="F1846" s="8">
        <f t="shared" si="57"/>
        <v>-3.7475609921074873E-4</v>
      </c>
    </row>
    <row r="1847" spans="1:6" x14ac:dyDescent="0.2">
      <c r="A1847">
        <v>19</v>
      </c>
      <c r="B1847" t="s">
        <v>1140</v>
      </c>
      <c r="C1847" t="s">
        <v>910</v>
      </c>
      <c r="D1847" s="8">
        <v>1.1162089720549301E-2</v>
      </c>
      <c r="E1847" s="6">
        <f t="shared" si="56"/>
        <v>-7.7999999999999847E-2</v>
      </c>
      <c r="F1847" s="8">
        <f t="shared" si="57"/>
        <v>-8.7064299820284376E-4</v>
      </c>
    </row>
    <row r="1848" spans="1:6" x14ac:dyDescent="0.2">
      <c r="A1848">
        <v>19</v>
      </c>
      <c r="B1848" t="s">
        <v>1140</v>
      </c>
      <c r="C1848" t="s">
        <v>914</v>
      </c>
      <c r="D1848" s="8">
        <v>2.9645386265268999E-3</v>
      </c>
      <c r="E1848" s="6">
        <f t="shared" si="56"/>
        <v>-0.26900000000000002</v>
      </c>
      <c r="F1848" s="8">
        <f t="shared" si="57"/>
        <v>-7.9746089053573613E-4</v>
      </c>
    </row>
    <row r="1849" spans="1:6" x14ac:dyDescent="0.2">
      <c r="A1849">
        <v>19</v>
      </c>
      <c r="B1849" t="s">
        <v>1140</v>
      </c>
      <c r="C1849" t="s">
        <v>917</v>
      </c>
      <c r="D1849" s="8">
        <v>3.0117283118891499E-2</v>
      </c>
      <c r="E1849" s="6">
        <f t="shared" si="56"/>
        <v>-1.83</v>
      </c>
      <c r="F1849" s="8">
        <f t="shared" si="57"/>
        <v>-5.5114628107571444E-2</v>
      </c>
    </row>
    <row r="1850" spans="1:6" x14ac:dyDescent="0.2">
      <c r="A1850">
        <v>19</v>
      </c>
      <c r="B1850" t="s">
        <v>1140</v>
      </c>
      <c r="C1850" t="s">
        <v>923</v>
      </c>
      <c r="D1850" s="8">
        <v>8.4938080393756581E-8</v>
      </c>
      <c r="E1850" s="6">
        <f t="shared" si="56"/>
        <v>-0.29999999999999982</v>
      </c>
      <c r="F1850" s="8">
        <f t="shared" si="57"/>
        <v>-2.5481424118126958E-8</v>
      </c>
    </row>
    <row r="1851" spans="1:6" x14ac:dyDescent="0.2">
      <c r="A1851">
        <v>19</v>
      </c>
      <c r="B1851" t="s">
        <v>1140</v>
      </c>
      <c r="C1851" t="s">
        <v>924</v>
      </c>
      <c r="D1851" s="8">
        <v>2.9884986350265391E-5</v>
      </c>
      <c r="E1851" s="6">
        <f t="shared" si="56"/>
        <v>-8.4000000000000075E-2</v>
      </c>
      <c r="F1851" s="8">
        <f t="shared" si="57"/>
        <v>-2.5103388534222952E-6</v>
      </c>
    </row>
    <row r="1852" spans="1:6" x14ac:dyDescent="0.2">
      <c r="A1852">
        <v>19</v>
      </c>
      <c r="B1852" t="s">
        <v>1140</v>
      </c>
      <c r="C1852" t="s">
        <v>926</v>
      </c>
      <c r="D1852" s="8">
        <v>3.4990481667769039E-7</v>
      </c>
      <c r="E1852" s="6">
        <f t="shared" si="56"/>
        <v>-4.8000000000000043E-2</v>
      </c>
      <c r="F1852" s="8">
        <f t="shared" si="57"/>
        <v>-1.6795431200529155E-8</v>
      </c>
    </row>
    <row r="1853" spans="1:6" x14ac:dyDescent="0.2">
      <c r="A1853">
        <v>19</v>
      </c>
      <c r="B1853" t="s">
        <v>1140</v>
      </c>
      <c r="C1853" t="s">
        <v>933</v>
      </c>
      <c r="D1853" s="8">
        <v>0.21148609981481911</v>
      </c>
      <c r="E1853" s="6">
        <f t="shared" si="56"/>
        <v>0.4430000000000005</v>
      </c>
      <c r="F1853" s="8">
        <f t="shared" si="57"/>
        <v>9.3688342217964973E-2</v>
      </c>
    </row>
    <row r="1854" spans="1:6" x14ac:dyDescent="0.2">
      <c r="A1854">
        <v>19</v>
      </c>
      <c r="B1854" t="s">
        <v>1140</v>
      </c>
      <c r="C1854" t="s">
        <v>936</v>
      </c>
      <c r="D1854" s="8">
        <v>3.3193562368319049E-6</v>
      </c>
      <c r="E1854" s="6">
        <f t="shared" ref="E1854:E1917" si="58">IFERROR(VLOOKUP(C1854,$A$6:$D$185,4,FALSE),0)</f>
        <v>0.72900000000000009</v>
      </c>
      <c r="F1854" s="8">
        <f t="shared" ref="F1854:F1917" si="59">D1854*E1854</f>
        <v>2.419810696650459E-6</v>
      </c>
    </row>
    <row r="1855" spans="1:6" x14ac:dyDescent="0.2">
      <c r="A1855">
        <v>19</v>
      </c>
      <c r="B1855" t="s">
        <v>1140</v>
      </c>
      <c r="C1855" t="s">
        <v>937</v>
      </c>
      <c r="D1855" s="8">
        <v>7.2233950906514981E-9</v>
      </c>
      <c r="E1855" s="6">
        <f t="shared" si="58"/>
        <v>-0.3660000000000001</v>
      </c>
      <c r="F1855" s="8">
        <f t="shared" si="59"/>
        <v>-2.6437626031784489E-9</v>
      </c>
    </row>
    <row r="1856" spans="1:6" x14ac:dyDescent="0.2">
      <c r="A1856">
        <v>19</v>
      </c>
      <c r="B1856" t="s">
        <v>1140</v>
      </c>
      <c r="C1856" t="s">
        <v>938</v>
      </c>
      <c r="D1856" s="8">
        <v>6.7976737252950076E-6</v>
      </c>
      <c r="E1856" s="6">
        <f t="shared" si="58"/>
        <v>-0.32500000000000018</v>
      </c>
      <c r="F1856" s="8">
        <f t="shared" si="59"/>
        <v>-2.2092439607208786E-6</v>
      </c>
    </row>
    <row r="1857" spans="1:6" x14ac:dyDescent="0.2">
      <c r="A1857">
        <v>19</v>
      </c>
      <c r="B1857" t="s">
        <v>1140</v>
      </c>
      <c r="C1857" t="s">
        <v>941</v>
      </c>
      <c r="D1857" s="8">
        <v>4.0124170508238148E-5</v>
      </c>
      <c r="E1857" s="6">
        <f t="shared" si="58"/>
        <v>0.16599999999999993</v>
      </c>
      <c r="F1857" s="8">
        <f t="shared" si="59"/>
        <v>6.6606123043675293E-6</v>
      </c>
    </row>
    <row r="1858" spans="1:6" x14ac:dyDescent="0.2">
      <c r="A1858">
        <v>19</v>
      </c>
      <c r="B1858" t="s">
        <v>1140</v>
      </c>
      <c r="C1858" t="s">
        <v>944</v>
      </c>
      <c r="D1858" s="8">
        <v>2.5977866246191889E-8</v>
      </c>
      <c r="E1858" s="6">
        <f t="shared" si="58"/>
        <v>-0.122</v>
      </c>
      <c r="F1858" s="8">
        <f t="shared" si="59"/>
        <v>-3.1692996820354103E-9</v>
      </c>
    </row>
    <row r="1859" spans="1:6" x14ac:dyDescent="0.2">
      <c r="A1859">
        <v>19</v>
      </c>
      <c r="B1859" t="s">
        <v>1140</v>
      </c>
      <c r="C1859" t="s">
        <v>948</v>
      </c>
      <c r="D1859" s="8">
        <v>9.9467264503867527E-6</v>
      </c>
      <c r="E1859" s="6">
        <f t="shared" si="58"/>
        <v>-1.0880000000000001</v>
      </c>
      <c r="F1859" s="8">
        <f t="shared" si="59"/>
        <v>-1.0822038378020787E-5</v>
      </c>
    </row>
    <row r="1860" spans="1:6" x14ac:dyDescent="0.2">
      <c r="A1860">
        <v>19</v>
      </c>
      <c r="B1860" t="s">
        <v>1140</v>
      </c>
      <c r="C1860" t="s">
        <v>950</v>
      </c>
      <c r="D1860" s="8">
        <v>2.9113272009149888E-5</v>
      </c>
      <c r="E1860" s="6">
        <f t="shared" si="58"/>
        <v>0.38300000000000001</v>
      </c>
      <c r="F1860" s="8">
        <f t="shared" si="59"/>
        <v>1.1150383179504407E-5</v>
      </c>
    </row>
    <row r="1861" spans="1:6" x14ac:dyDescent="0.2">
      <c r="A1861">
        <v>19</v>
      </c>
      <c r="B1861" t="s">
        <v>1140</v>
      </c>
      <c r="C1861" t="s">
        <v>952</v>
      </c>
      <c r="D1861" s="8">
        <v>1.1848007513023749E-5</v>
      </c>
      <c r="E1861" s="6">
        <f t="shared" si="58"/>
        <v>0.28300000000000014</v>
      </c>
      <c r="F1861" s="8">
        <f t="shared" si="59"/>
        <v>3.3529861261857228E-6</v>
      </c>
    </row>
    <row r="1862" spans="1:6" x14ac:dyDescent="0.2">
      <c r="A1862">
        <v>19</v>
      </c>
      <c r="B1862" t="s">
        <v>1140</v>
      </c>
      <c r="C1862" t="s">
        <v>956</v>
      </c>
      <c r="D1862" s="8">
        <v>5.3768086976590005E-4</v>
      </c>
      <c r="E1862" s="6">
        <f t="shared" si="58"/>
        <v>-0.44700000000000006</v>
      </c>
      <c r="F1862" s="8">
        <f t="shared" si="59"/>
        <v>-2.4034334878535735E-4</v>
      </c>
    </row>
    <row r="1863" spans="1:6" x14ac:dyDescent="0.2">
      <c r="A1863">
        <v>19</v>
      </c>
      <c r="B1863" t="s">
        <v>1140</v>
      </c>
      <c r="C1863" t="s">
        <v>957</v>
      </c>
      <c r="D1863" s="8">
        <v>1.1404644914933999E-3</v>
      </c>
      <c r="E1863" s="6">
        <f t="shared" si="58"/>
        <v>-0.11499999999999988</v>
      </c>
      <c r="F1863" s="8">
        <f t="shared" si="59"/>
        <v>-1.3115341652174085E-4</v>
      </c>
    </row>
    <row r="1864" spans="1:6" x14ac:dyDescent="0.2">
      <c r="A1864">
        <v>19</v>
      </c>
      <c r="B1864" t="s">
        <v>1140</v>
      </c>
      <c r="C1864" t="s">
        <v>959</v>
      </c>
      <c r="D1864" s="8">
        <v>5.5101982493620721E-5</v>
      </c>
      <c r="E1864" s="6">
        <f t="shared" si="58"/>
        <v>-0.60699999999999998</v>
      </c>
      <c r="F1864" s="8">
        <f t="shared" si="59"/>
        <v>-3.3446903373627779E-5</v>
      </c>
    </row>
    <row r="1865" spans="1:6" x14ac:dyDescent="0.2">
      <c r="A1865">
        <v>19</v>
      </c>
      <c r="B1865" t="s">
        <v>1140</v>
      </c>
      <c r="C1865" t="s">
        <v>965</v>
      </c>
      <c r="D1865" s="8">
        <v>6.0036880807387539E-7</v>
      </c>
      <c r="E1865" s="6">
        <f t="shared" si="58"/>
        <v>4.5000000000000151E-2</v>
      </c>
      <c r="F1865" s="8">
        <f t="shared" si="59"/>
        <v>2.7016596363324483E-8</v>
      </c>
    </row>
    <row r="1866" spans="1:6" x14ac:dyDescent="0.2">
      <c r="A1866">
        <v>19</v>
      </c>
      <c r="B1866" t="s">
        <v>1140</v>
      </c>
      <c r="C1866" t="s">
        <v>967</v>
      </c>
      <c r="D1866" s="8">
        <v>1.182697120395E-4</v>
      </c>
      <c r="E1866" s="6">
        <f t="shared" si="58"/>
        <v>0.10000000000000009</v>
      </c>
      <c r="F1866" s="8">
        <f t="shared" si="59"/>
        <v>1.182697120395001E-5</v>
      </c>
    </row>
    <row r="1867" spans="1:6" x14ac:dyDescent="0.2">
      <c r="A1867">
        <v>19</v>
      </c>
      <c r="B1867" t="s">
        <v>1140</v>
      </c>
      <c r="C1867" t="s">
        <v>1105</v>
      </c>
      <c r="D1867" s="8">
        <v>9.857340261828288E-7</v>
      </c>
      <c r="E1867" s="6">
        <f t="shared" si="58"/>
        <v>0</v>
      </c>
      <c r="F1867" s="8">
        <f t="shared" si="59"/>
        <v>0</v>
      </c>
    </row>
    <row r="1868" spans="1:6" x14ac:dyDescent="0.2">
      <c r="A1868">
        <v>19</v>
      </c>
      <c r="B1868" t="s">
        <v>1140</v>
      </c>
      <c r="C1868" t="s">
        <v>969</v>
      </c>
      <c r="D1868" s="8">
        <v>9.3533104411080005E-4</v>
      </c>
      <c r="E1868" s="6">
        <f t="shared" si="58"/>
        <v>0.53699999999999992</v>
      </c>
      <c r="F1868" s="8">
        <f t="shared" si="59"/>
        <v>5.022727706874995E-4</v>
      </c>
    </row>
    <row r="1869" spans="1:6" x14ac:dyDescent="0.2">
      <c r="A1869">
        <v>19</v>
      </c>
      <c r="B1869" t="s">
        <v>1140</v>
      </c>
      <c r="C1869" t="s">
        <v>970</v>
      </c>
      <c r="D1869" s="8">
        <v>1.5841191442996611E-5</v>
      </c>
      <c r="E1869" s="6">
        <f t="shared" si="58"/>
        <v>-0.10000000000000009</v>
      </c>
      <c r="F1869" s="8">
        <f t="shared" si="59"/>
        <v>-1.5841191442996625E-6</v>
      </c>
    </row>
    <row r="1870" spans="1:6" x14ac:dyDescent="0.2">
      <c r="A1870">
        <v>19</v>
      </c>
      <c r="B1870" t="s">
        <v>1140</v>
      </c>
      <c r="C1870" t="s">
        <v>971</v>
      </c>
      <c r="D1870" s="8">
        <v>3.4258682786938001E-3</v>
      </c>
      <c r="E1870" s="6">
        <f t="shared" si="58"/>
        <v>-0.13700000000000001</v>
      </c>
      <c r="F1870" s="8">
        <f t="shared" si="59"/>
        <v>-4.6934395418105063E-4</v>
      </c>
    </row>
    <row r="1871" spans="1:6" x14ac:dyDescent="0.2">
      <c r="A1871">
        <v>19</v>
      </c>
      <c r="B1871" t="s">
        <v>1140</v>
      </c>
      <c r="C1871" t="s">
        <v>975</v>
      </c>
      <c r="D1871" s="8">
        <v>8.0053553703980001E-4</v>
      </c>
      <c r="E1871" s="6">
        <f t="shared" si="58"/>
        <v>0.23500000000000032</v>
      </c>
      <c r="F1871" s="8">
        <f t="shared" si="59"/>
        <v>1.8812585120435326E-4</v>
      </c>
    </row>
    <row r="1872" spans="1:6" x14ac:dyDescent="0.2">
      <c r="A1872">
        <v>19</v>
      </c>
      <c r="B1872" t="s">
        <v>1140</v>
      </c>
      <c r="C1872" t="s">
        <v>976</v>
      </c>
      <c r="D1872" s="8">
        <v>1.7359760604830461E-8</v>
      </c>
      <c r="E1872" s="6">
        <f t="shared" si="58"/>
        <v>0.38700000000000001</v>
      </c>
      <c r="F1872" s="8">
        <f t="shared" si="59"/>
        <v>6.7182273540693885E-9</v>
      </c>
    </row>
    <row r="1873" spans="1:6" x14ac:dyDescent="0.2">
      <c r="A1873">
        <v>19</v>
      </c>
      <c r="B1873" t="s">
        <v>1140</v>
      </c>
      <c r="C1873" t="s">
        <v>978</v>
      </c>
      <c r="D1873" s="8">
        <v>4.9600570480073996E-3</v>
      </c>
      <c r="E1873" s="6">
        <f t="shared" si="58"/>
        <v>-8.2390000000000008</v>
      </c>
      <c r="F1873" s="8">
        <f t="shared" si="59"/>
        <v>-4.0865910018532972E-2</v>
      </c>
    </row>
    <row r="1874" spans="1:6" x14ac:dyDescent="0.2">
      <c r="A1874">
        <v>19</v>
      </c>
      <c r="B1874" t="s">
        <v>1140</v>
      </c>
      <c r="C1874" t="s">
        <v>980</v>
      </c>
      <c r="D1874" s="8">
        <v>2.5421561727872952E-7</v>
      </c>
      <c r="E1874" s="6">
        <f t="shared" si="58"/>
        <v>-0.10000000000000009</v>
      </c>
      <c r="F1874" s="8">
        <f t="shared" si="59"/>
        <v>-2.5421561727872974E-8</v>
      </c>
    </row>
    <row r="1875" spans="1:6" x14ac:dyDescent="0.2">
      <c r="A1875">
        <v>19</v>
      </c>
      <c r="B1875" t="s">
        <v>1140</v>
      </c>
      <c r="C1875" t="s">
        <v>983</v>
      </c>
      <c r="D1875" s="8">
        <v>1.93475245300986E-7</v>
      </c>
      <c r="E1875" s="6">
        <f t="shared" si="58"/>
        <v>-0.19999999999999973</v>
      </c>
      <c r="F1875" s="8">
        <f t="shared" si="59"/>
        <v>-3.8695049060197152E-8</v>
      </c>
    </row>
    <row r="1876" spans="1:6" x14ac:dyDescent="0.2">
      <c r="A1876">
        <v>19</v>
      </c>
      <c r="B1876" t="s">
        <v>1140</v>
      </c>
      <c r="C1876" t="s">
        <v>984</v>
      </c>
      <c r="D1876" s="8">
        <v>0.1453011923341278</v>
      </c>
      <c r="E1876" s="6">
        <f t="shared" si="58"/>
        <v>0.121</v>
      </c>
      <c r="F1876" s="8">
        <f t="shared" si="59"/>
        <v>1.7581444272429463E-2</v>
      </c>
    </row>
    <row r="1877" spans="1:6" x14ac:dyDescent="0.2">
      <c r="A1877">
        <v>19</v>
      </c>
      <c r="B1877" t="s">
        <v>1140</v>
      </c>
      <c r="C1877" t="s">
        <v>988</v>
      </c>
      <c r="D1877" s="8">
        <v>5.6655424798520001E-4</v>
      </c>
      <c r="E1877" s="6">
        <f t="shared" si="58"/>
        <v>0.59299999999999997</v>
      </c>
      <c r="F1877" s="8">
        <f t="shared" si="59"/>
        <v>3.3596666905522359E-4</v>
      </c>
    </row>
    <row r="1878" spans="1:6" x14ac:dyDescent="0.2">
      <c r="A1878">
        <v>19</v>
      </c>
      <c r="B1878" t="s">
        <v>1140</v>
      </c>
      <c r="C1878" t="s">
        <v>990</v>
      </c>
      <c r="D1878" s="8">
        <v>0.13701878226677949</v>
      </c>
      <c r="E1878" s="6">
        <f t="shared" si="58"/>
        <v>0.45299999999999985</v>
      </c>
      <c r="F1878" s="8">
        <f t="shared" si="59"/>
        <v>6.2069508366851087E-2</v>
      </c>
    </row>
    <row r="1879" spans="1:6" x14ac:dyDescent="0.2">
      <c r="A1879">
        <v>19</v>
      </c>
      <c r="B1879" t="s">
        <v>1140</v>
      </c>
      <c r="C1879" t="s">
        <v>1092</v>
      </c>
      <c r="D1879" s="8">
        <v>1.8372698761695389E-6</v>
      </c>
      <c r="E1879" s="6">
        <f t="shared" si="58"/>
        <v>0</v>
      </c>
      <c r="F1879" s="8">
        <f t="shared" si="59"/>
        <v>0</v>
      </c>
    </row>
    <row r="1880" spans="1:6" x14ac:dyDescent="0.2">
      <c r="A1880">
        <v>19</v>
      </c>
      <c r="B1880" t="s">
        <v>1140</v>
      </c>
      <c r="C1880" t="s">
        <v>993</v>
      </c>
      <c r="D1880" s="8">
        <v>1.7848667803948779E-5</v>
      </c>
      <c r="E1880" s="6">
        <f t="shared" si="58"/>
        <v>-0.42900000000000027</v>
      </c>
      <c r="F1880" s="8">
        <f t="shared" si="59"/>
        <v>-7.6570784878940318E-6</v>
      </c>
    </row>
    <row r="1881" spans="1:6" x14ac:dyDescent="0.2">
      <c r="A1881">
        <v>19</v>
      </c>
      <c r="B1881" t="s">
        <v>1140</v>
      </c>
      <c r="C1881" t="s">
        <v>994</v>
      </c>
      <c r="D1881" s="8">
        <v>4.389226852516756E-6</v>
      </c>
      <c r="E1881" s="6">
        <f t="shared" si="58"/>
        <v>2.415</v>
      </c>
      <c r="F1881" s="8">
        <f t="shared" si="59"/>
        <v>1.0599982848827965E-5</v>
      </c>
    </row>
    <row r="1882" spans="1:6" x14ac:dyDescent="0.2">
      <c r="A1882">
        <v>19</v>
      </c>
      <c r="B1882" t="s">
        <v>1140</v>
      </c>
      <c r="C1882" t="s">
        <v>1093</v>
      </c>
      <c r="D1882" s="8">
        <v>5.6159474664478001E-3</v>
      </c>
      <c r="E1882" s="6">
        <f t="shared" si="58"/>
        <v>0</v>
      </c>
      <c r="F1882" s="8">
        <f t="shared" si="59"/>
        <v>0</v>
      </c>
    </row>
    <row r="1883" spans="1:6" x14ac:dyDescent="0.2">
      <c r="A1883">
        <v>19</v>
      </c>
      <c r="B1883" t="s">
        <v>1140</v>
      </c>
      <c r="C1883" t="s">
        <v>996</v>
      </c>
      <c r="D1883" s="8">
        <v>6.912606188894375E-6</v>
      </c>
      <c r="E1883" s="6">
        <f t="shared" si="58"/>
        <v>0.44099999999999984</v>
      </c>
      <c r="F1883" s="8">
        <f t="shared" si="59"/>
        <v>3.0484593293024182E-6</v>
      </c>
    </row>
    <row r="1884" spans="1:6" x14ac:dyDescent="0.2">
      <c r="A1884">
        <v>19</v>
      </c>
      <c r="B1884" t="s">
        <v>1140</v>
      </c>
      <c r="C1884" t="s">
        <v>1000</v>
      </c>
      <c r="D1884" s="8">
        <v>2.362901570859986E-6</v>
      </c>
      <c r="E1884" s="6">
        <f t="shared" si="58"/>
        <v>1.1540000000000004</v>
      </c>
      <c r="F1884" s="8">
        <f t="shared" si="59"/>
        <v>2.7267884127724248E-6</v>
      </c>
    </row>
    <row r="1885" spans="1:6" x14ac:dyDescent="0.2">
      <c r="A1885">
        <v>19</v>
      </c>
      <c r="B1885" t="s">
        <v>1140</v>
      </c>
      <c r="C1885" t="s">
        <v>1002</v>
      </c>
      <c r="D1885" s="8">
        <v>8.6098280030646379E-7</v>
      </c>
      <c r="E1885" s="6">
        <f t="shared" si="58"/>
        <v>-1.3390000000000004</v>
      </c>
      <c r="F1885" s="8">
        <f t="shared" si="59"/>
        <v>-1.1528559696103553E-6</v>
      </c>
    </row>
    <row r="1886" spans="1:6" x14ac:dyDescent="0.2">
      <c r="A1886">
        <v>19</v>
      </c>
      <c r="B1886" t="s">
        <v>1140</v>
      </c>
      <c r="C1886" t="s">
        <v>1003</v>
      </c>
      <c r="D1886" s="8">
        <v>6.3359192741424004E-3</v>
      </c>
      <c r="E1886" s="6">
        <f t="shared" si="58"/>
        <v>0.22999999999999998</v>
      </c>
      <c r="F1886" s="8">
        <f t="shared" si="59"/>
        <v>1.4572614330527519E-3</v>
      </c>
    </row>
    <row r="1887" spans="1:6" x14ac:dyDescent="0.2">
      <c r="A1887">
        <v>19</v>
      </c>
      <c r="B1887" t="s">
        <v>1140</v>
      </c>
      <c r="C1887" t="s">
        <v>1004</v>
      </c>
      <c r="D1887" s="8">
        <v>3.7857943845860001E-3</v>
      </c>
      <c r="E1887" s="6">
        <f t="shared" si="58"/>
        <v>-0.37000000000000011</v>
      </c>
      <c r="F1887" s="8">
        <f t="shared" si="59"/>
        <v>-1.4007439222968204E-3</v>
      </c>
    </row>
    <row r="1888" spans="1:6" x14ac:dyDescent="0.2">
      <c r="A1888">
        <v>19</v>
      </c>
      <c r="B1888" t="s">
        <v>1140</v>
      </c>
      <c r="C1888" t="s">
        <v>1008</v>
      </c>
      <c r="D1888" s="8">
        <v>5.8164444886462004E-3</v>
      </c>
      <c r="E1888" s="6">
        <f t="shared" si="58"/>
        <v>0.94799999999999995</v>
      </c>
      <c r="F1888" s="8">
        <f t="shared" si="59"/>
        <v>5.5139893752365974E-3</v>
      </c>
    </row>
    <row r="1889" spans="1:6" x14ac:dyDescent="0.2">
      <c r="A1889">
        <v>19</v>
      </c>
      <c r="B1889" t="s">
        <v>1140</v>
      </c>
      <c r="C1889" t="s">
        <v>1010</v>
      </c>
      <c r="D1889" s="8">
        <v>7.6954349804670356E-6</v>
      </c>
      <c r="E1889" s="6">
        <f t="shared" si="58"/>
        <v>-3.024</v>
      </c>
      <c r="F1889" s="8">
        <f t="shared" si="59"/>
        <v>-2.3270995380932317E-5</v>
      </c>
    </row>
    <row r="1890" spans="1:6" x14ac:dyDescent="0.2">
      <c r="A1890">
        <v>19</v>
      </c>
      <c r="B1890" t="s">
        <v>1140</v>
      </c>
      <c r="C1890" t="s">
        <v>1012</v>
      </c>
      <c r="D1890" s="8">
        <v>2.606923953353795E-6</v>
      </c>
      <c r="E1890" s="6">
        <f t="shared" si="58"/>
        <v>0.39999999999999991</v>
      </c>
      <c r="F1890" s="8">
        <f t="shared" si="59"/>
        <v>1.0427695813415178E-6</v>
      </c>
    </row>
    <row r="1891" spans="1:6" x14ac:dyDescent="0.2">
      <c r="A1891">
        <v>19</v>
      </c>
      <c r="B1891" t="s">
        <v>1140</v>
      </c>
      <c r="C1891" t="s">
        <v>1013</v>
      </c>
      <c r="D1891" s="8">
        <v>5.6597894572165497E-6</v>
      </c>
      <c r="E1891" s="6">
        <f t="shared" si="58"/>
        <v>-2.0999999999999996</v>
      </c>
      <c r="F1891" s="8">
        <f t="shared" si="59"/>
        <v>-1.1885557860154752E-5</v>
      </c>
    </row>
    <row r="1892" spans="1:6" x14ac:dyDescent="0.2">
      <c r="A1892">
        <v>19</v>
      </c>
      <c r="B1892" t="s">
        <v>1140</v>
      </c>
      <c r="C1892" t="s">
        <v>1014</v>
      </c>
      <c r="D1892" s="8">
        <v>0.17873231889798069</v>
      </c>
      <c r="E1892" s="6">
        <f t="shared" si="58"/>
        <v>0.90000000000000036</v>
      </c>
      <c r="F1892" s="8">
        <f t="shared" si="59"/>
        <v>0.16085908700818269</v>
      </c>
    </row>
    <row r="1893" spans="1:6" x14ac:dyDescent="0.2">
      <c r="A1893">
        <v>19</v>
      </c>
      <c r="B1893" t="s">
        <v>1140</v>
      </c>
      <c r="C1893" t="s">
        <v>1015</v>
      </c>
      <c r="D1893" s="8">
        <v>4.3649659560221412E-7</v>
      </c>
      <c r="E1893" s="6">
        <f t="shared" si="58"/>
        <v>-1.306</v>
      </c>
      <c r="F1893" s="8">
        <f t="shared" si="59"/>
        <v>-5.7006455385649167E-7</v>
      </c>
    </row>
    <row r="1894" spans="1:6" x14ac:dyDescent="0.2">
      <c r="A1894">
        <v>19</v>
      </c>
      <c r="B1894" t="s">
        <v>1140</v>
      </c>
      <c r="C1894" t="s">
        <v>1099</v>
      </c>
      <c r="D1894" s="8">
        <v>5.4281057360029998E-4</v>
      </c>
      <c r="E1894" s="6">
        <f t="shared" si="58"/>
        <v>0</v>
      </c>
      <c r="F1894" s="8">
        <f t="shared" si="59"/>
        <v>0</v>
      </c>
    </row>
    <row r="1895" spans="1:6" x14ac:dyDescent="0.2">
      <c r="A1895">
        <v>19</v>
      </c>
      <c r="B1895" t="s">
        <v>1140</v>
      </c>
      <c r="C1895" t="s">
        <v>1017</v>
      </c>
      <c r="D1895" s="8">
        <v>8.1028351287174497E-6</v>
      </c>
      <c r="E1895" s="6">
        <f t="shared" si="58"/>
        <v>1.3749999999999996</v>
      </c>
      <c r="F1895" s="8">
        <f t="shared" si="59"/>
        <v>1.114139830198649E-5</v>
      </c>
    </row>
    <row r="1896" spans="1:6" x14ac:dyDescent="0.2">
      <c r="A1896">
        <v>19</v>
      </c>
      <c r="B1896" t="s">
        <v>1140</v>
      </c>
      <c r="C1896" t="s">
        <v>1018</v>
      </c>
      <c r="D1896" s="8">
        <v>8.0966875938071971E-6</v>
      </c>
      <c r="E1896" s="6">
        <f t="shared" si="58"/>
        <v>0.69999999999999973</v>
      </c>
      <c r="F1896" s="8">
        <f t="shared" si="59"/>
        <v>5.6676813156650361E-6</v>
      </c>
    </row>
    <row r="1897" spans="1:6" x14ac:dyDescent="0.2">
      <c r="A1897">
        <v>19</v>
      </c>
      <c r="B1897" t="s">
        <v>1140</v>
      </c>
      <c r="C1897" t="s">
        <v>1019</v>
      </c>
      <c r="D1897" s="8">
        <v>8.3764345903687004E-3</v>
      </c>
      <c r="E1897" s="6">
        <f t="shared" si="58"/>
        <v>-0.21599999999999997</v>
      </c>
      <c r="F1897" s="8">
        <f t="shared" si="59"/>
        <v>-1.8093098715196391E-3</v>
      </c>
    </row>
    <row r="1898" spans="1:6" x14ac:dyDescent="0.2">
      <c r="A1898">
        <v>19</v>
      </c>
      <c r="B1898" t="s">
        <v>1140</v>
      </c>
      <c r="C1898" t="s">
        <v>1021</v>
      </c>
      <c r="D1898" s="8">
        <v>7.8831950303429367E-6</v>
      </c>
      <c r="E1898" s="6">
        <f t="shared" si="58"/>
        <v>-2.4829999999999997</v>
      </c>
      <c r="F1898" s="8">
        <f t="shared" si="59"/>
        <v>-1.9573973260341508E-5</v>
      </c>
    </row>
    <row r="1899" spans="1:6" x14ac:dyDescent="0.2">
      <c r="A1899">
        <v>19</v>
      </c>
      <c r="B1899" t="s">
        <v>1140</v>
      </c>
      <c r="C1899" t="s">
        <v>1023</v>
      </c>
      <c r="D1899" s="8">
        <v>1.6394002284135E-3</v>
      </c>
      <c r="E1899" s="6">
        <f t="shared" si="58"/>
        <v>-0.62199999999999989</v>
      </c>
      <c r="F1899" s="8">
        <f t="shared" si="59"/>
        <v>-1.0197069420731968E-3</v>
      </c>
    </row>
    <row r="1900" spans="1:6" x14ac:dyDescent="0.2">
      <c r="A1900">
        <v>19</v>
      </c>
      <c r="B1900" t="s">
        <v>1140</v>
      </c>
      <c r="C1900" t="s">
        <v>1024</v>
      </c>
      <c r="D1900" s="8">
        <v>2.4132585335530999E-3</v>
      </c>
      <c r="E1900" s="6">
        <f t="shared" si="58"/>
        <v>-0.14500000000000002</v>
      </c>
      <c r="F1900" s="8">
        <f t="shared" si="59"/>
        <v>-3.4992248736519954E-4</v>
      </c>
    </row>
    <row r="1901" spans="1:6" x14ac:dyDescent="0.2">
      <c r="A1901">
        <v>19</v>
      </c>
      <c r="B1901" t="s">
        <v>1140</v>
      </c>
      <c r="C1901" t="s">
        <v>1025</v>
      </c>
      <c r="D1901" s="8">
        <v>1.31502384391834E-2</v>
      </c>
      <c r="E1901" s="6">
        <f t="shared" si="58"/>
        <v>4.7000000000000153E-2</v>
      </c>
      <c r="F1901" s="8">
        <f t="shared" si="59"/>
        <v>6.1806120664162183E-4</v>
      </c>
    </row>
    <row r="1902" spans="1:6" x14ac:dyDescent="0.2">
      <c r="A1902">
        <v>19</v>
      </c>
      <c r="B1902" t="s">
        <v>1140</v>
      </c>
      <c r="C1902" t="s">
        <v>1026</v>
      </c>
      <c r="D1902" s="8">
        <v>4.9579777095899995E-4</v>
      </c>
      <c r="E1902" s="6">
        <f t="shared" si="58"/>
        <v>-0.20000000000000018</v>
      </c>
      <c r="F1902" s="8">
        <f t="shared" si="59"/>
        <v>-9.915955419180008E-5</v>
      </c>
    </row>
    <row r="1903" spans="1:6" x14ac:dyDescent="0.2">
      <c r="A1903">
        <v>19</v>
      </c>
      <c r="B1903" t="s">
        <v>1140</v>
      </c>
      <c r="C1903" t="s">
        <v>1027</v>
      </c>
      <c r="D1903" s="8">
        <v>8.3073140790536289E-5</v>
      </c>
      <c r="E1903" s="6">
        <f t="shared" si="58"/>
        <v>0.18999999999999995</v>
      </c>
      <c r="F1903" s="8">
        <f t="shared" si="59"/>
        <v>1.5783896750201891E-5</v>
      </c>
    </row>
    <row r="1904" spans="1:6" x14ac:dyDescent="0.2">
      <c r="A1904">
        <v>19</v>
      </c>
      <c r="B1904" t="s">
        <v>1140</v>
      </c>
      <c r="C1904" t="s">
        <v>1028</v>
      </c>
      <c r="D1904" s="8">
        <v>7.3831664092930001E-4</v>
      </c>
      <c r="E1904" s="6">
        <f t="shared" si="58"/>
        <v>-1.6600000000000001</v>
      </c>
      <c r="F1904" s="8">
        <f t="shared" si="59"/>
        <v>-1.2256056239426381E-3</v>
      </c>
    </row>
    <row r="1905" spans="1:6" x14ac:dyDescent="0.2">
      <c r="A1905">
        <v>19</v>
      </c>
      <c r="B1905" t="s">
        <v>1140</v>
      </c>
      <c r="C1905" t="s">
        <v>1030</v>
      </c>
      <c r="D1905" s="8">
        <v>1.330647782816207E-5</v>
      </c>
      <c r="E1905" s="6">
        <f t="shared" si="58"/>
        <v>0.29999999999999982</v>
      </c>
      <c r="F1905" s="8">
        <f t="shared" si="59"/>
        <v>3.9919433484486191E-6</v>
      </c>
    </row>
    <row r="1906" spans="1:6" x14ac:dyDescent="0.2">
      <c r="A1906">
        <v>19</v>
      </c>
      <c r="B1906" t="s">
        <v>1140</v>
      </c>
      <c r="C1906" t="s">
        <v>1031</v>
      </c>
      <c r="D1906" s="8">
        <v>1.0357588640206861E-5</v>
      </c>
      <c r="E1906" s="6">
        <f t="shared" si="58"/>
        <v>0.19899999999999984</v>
      </c>
      <c r="F1906" s="8">
        <f t="shared" si="59"/>
        <v>2.0611601394011635E-6</v>
      </c>
    </row>
    <row r="1907" spans="1:6" x14ac:dyDescent="0.2">
      <c r="A1907">
        <v>19</v>
      </c>
      <c r="B1907" t="s">
        <v>1140</v>
      </c>
      <c r="C1907" t="s">
        <v>1035</v>
      </c>
      <c r="D1907" s="8">
        <v>1.8154508663440001E-4</v>
      </c>
      <c r="E1907" s="6">
        <f t="shared" si="58"/>
        <v>-14.218</v>
      </c>
      <c r="F1907" s="8">
        <f t="shared" si="59"/>
        <v>-2.5812080417678992E-3</v>
      </c>
    </row>
    <row r="1908" spans="1:6" x14ac:dyDescent="0.2">
      <c r="A1908">
        <v>19</v>
      </c>
      <c r="B1908" t="s">
        <v>1140</v>
      </c>
      <c r="C1908" t="s">
        <v>1037</v>
      </c>
      <c r="D1908" s="8">
        <v>5.6511637939484192E-5</v>
      </c>
      <c r="E1908" s="6">
        <f t="shared" si="58"/>
        <v>0.2350000000000001</v>
      </c>
      <c r="F1908" s="8">
        <f t="shared" si="59"/>
        <v>1.328023491577879E-5</v>
      </c>
    </row>
    <row r="1909" spans="1:6" x14ac:dyDescent="0.2">
      <c r="A1909">
        <v>19</v>
      </c>
      <c r="B1909" t="s">
        <v>1140</v>
      </c>
      <c r="C1909" t="s">
        <v>1094</v>
      </c>
      <c r="D1909" s="8">
        <v>2.4763020197390701E-2</v>
      </c>
      <c r="E1909" s="6">
        <f t="shared" si="58"/>
        <v>0</v>
      </c>
      <c r="F1909" s="8">
        <f t="shared" si="59"/>
        <v>0</v>
      </c>
    </row>
    <row r="1910" spans="1:6" x14ac:dyDescent="0.2">
      <c r="A1910">
        <v>19</v>
      </c>
      <c r="B1910" t="s">
        <v>1140</v>
      </c>
      <c r="C1910" t="s">
        <v>1039</v>
      </c>
      <c r="D1910" s="8">
        <v>1.3372680144397241E-5</v>
      </c>
      <c r="E1910" s="6">
        <f t="shared" si="58"/>
        <v>-0.6419999999999999</v>
      </c>
      <c r="F1910" s="8">
        <f t="shared" si="59"/>
        <v>-8.5852606527030278E-6</v>
      </c>
    </row>
    <row r="1911" spans="1:6" x14ac:dyDescent="0.2">
      <c r="A1911">
        <v>19</v>
      </c>
      <c r="B1911" t="s">
        <v>1140</v>
      </c>
      <c r="C1911" t="s">
        <v>1041</v>
      </c>
      <c r="D1911" s="8">
        <v>6.7428331244456352E-8</v>
      </c>
      <c r="E1911" s="6">
        <f t="shared" si="58"/>
        <v>-1.8890000000000002</v>
      </c>
      <c r="F1911" s="8">
        <f t="shared" si="59"/>
        <v>-1.2737211772077807E-7</v>
      </c>
    </row>
    <row r="1912" spans="1:6" x14ac:dyDescent="0.2">
      <c r="A1912">
        <v>19</v>
      </c>
      <c r="B1912" t="s">
        <v>1140</v>
      </c>
      <c r="C1912" t="s">
        <v>1042</v>
      </c>
      <c r="D1912" s="8">
        <v>0.16595856872038631</v>
      </c>
      <c r="E1912" s="6">
        <f t="shared" si="58"/>
        <v>1.621</v>
      </c>
      <c r="F1912" s="8">
        <f t="shared" si="59"/>
        <v>0.26901883989574621</v>
      </c>
    </row>
    <row r="1913" spans="1:6" x14ac:dyDescent="0.2">
      <c r="A1913">
        <v>19</v>
      </c>
      <c r="B1913" t="s">
        <v>1140</v>
      </c>
      <c r="C1913" t="s">
        <v>1045</v>
      </c>
      <c r="D1913" s="8">
        <v>8.0049385036778718E-6</v>
      </c>
      <c r="E1913" s="6">
        <f t="shared" si="58"/>
        <v>0.7849999999999997</v>
      </c>
      <c r="F1913" s="8">
        <f t="shared" si="59"/>
        <v>6.2838767253871274E-6</v>
      </c>
    </row>
    <row r="1914" spans="1:6" x14ac:dyDescent="0.2">
      <c r="A1914">
        <v>19</v>
      </c>
      <c r="B1914" t="s">
        <v>1140</v>
      </c>
      <c r="C1914" t="s">
        <v>1051</v>
      </c>
      <c r="D1914" s="8">
        <v>3.9110094965958398E-7</v>
      </c>
      <c r="E1914" s="6">
        <f t="shared" si="58"/>
        <v>0.18199999999999994</v>
      </c>
      <c r="F1914" s="8">
        <f t="shared" si="59"/>
        <v>7.1180372838044266E-8</v>
      </c>
    </row>
    <row r="1915" spans="1:6" x14ac:dyDescent="0.2">
      <c r="A1915">
        <v>19</v>
      </c>
      <c r="B1915" t="s">
        <v>1140</v>
      </c>
      <c r="C1915" t="s">
        <v>1059</v>
      </c>
      <c r="D1915" s="8">
        <v>2.41725981200074E-2</v>
      </c>
      <c r="E1915" s="6">
        <f t="shared" si="58"/>
        <v>-0.10000000000000009</v>
      </c>
      <c r="F1915" s="8">
        <f t="shared" si="59"/>
        <v>-2.417259812000742E-3</v>
      </c>
    </row>
    <row r="1916" spans="1:6" x14ac:dyDescent="0.2">
      <c r="A1916">
        <v>19</v>
      </c>
      <c r="B1916" t="s">
        <v>1140</v>
      </c>
      <c r="C1916" t="s">
        <v>1062</v>
      </c>
      <c r="D1916" s="8">
        <v>4.1994761611630001E-4</v>
      </c>
      <c r="E1916" s="6">
        <f t="shared" si="58"/>
        <v>0.89999999999999947</v>
      </c>
      <c r="F1916" s="8">
        <f t="shared" si="59"/>
        <v>3.779528545046698E-4</v>
      </c>
    </row>
    <row r="1917" spans="1:6" x14ac:dyDescent="0.2">
      <c r="A1917">
        <v>19</v>
      </c>
      <c r="B1917" t="s">
        <v>1140</v>
      </c>
      <c r="C1917" t="s">
        <v>1066</v>
      </c>
      <c r="D1917" s="8">
        <v>1.7249688634750881E-6</v>
      </c>
      <c r="E1917" s="6">
        <f t="shared" si="58"/>
        <v>0.20900000000000007</v>
      </c>
      <c r="F1917" s="8">
        <f t="shared" si="59"/>
        <v>3.6051849246629353E-7</v>
      </c>
    </row>
    <row r="1918" spans="1:6" x14ac:dyDescent="0.2">
      <c r="A1918">
        <v>19</v>
      </c>
      <c r="B1918" t="s">
        <v>1140</v>
      </c>
      <c r="C1918" t="s">
        <v>1106</v>
      </c>
      <c r="D1918" s="8">
        <v>3.2443752673504001E-6</v>
      </c>
      <c r="E1918" s="6">
        <f t="shared" ref="E1918:E1981" si="60">IFERROR(VLOOKUP(C1918,$A$6:$D$185,4,FALSE),0)</f>
        <v>0</v>
      </c>
      <c r="F1918" s="8">
        <f t="shared" ref="F1918:F1981" si="61">D1918*E1918</f>
        <v>0</v>
      </c>
    </row>
    <row r="1919" spans="1:6" x14ac:dyDescent="0.2">
      <c r="A1919">
        <v>19</v>
      </c>
      <c r="B1919" t="s">
        <v>1140</v>
      </c>
      <c r="C1919" t="s">
        <v>1071</v>
      </c>
      <c r="D1919" s="8">
        <v>2.6126654383450002E-4</v>
      </c>
      <c r="E1919" s="6">
        <f t="shared" si="60"/>
        <v>-0.8</v>
      </c>
      <c r="F1919" s="8">
        <f t="shared" si="61"/>
        <v>-2.0901323506760001E-4</v>
      </c>
    </row>
    <row r="1920" spans="1:6" x14ac:dyDescent="0.2">
      <c r="A1920">
        <v>19</v>
      </c>
      <c r="B1920" t="s">
        <v>1140</v>
      </c>
      <c r="C1920" t="s">
        <v>1072</v>
      </c>
      <c r="D1920" s="8">
        <v>1.3880560418817001E-3</v>
      </c>
      <c r="E1920" s="6">
        <f t="shared" si="60"/>
        <v>0.55599999999999983</v>
      </c>
      <c r="F1920" s="8">
        <f t="shared" si="61"/>
        <v>7.7175915928622495E-4</v>
      </c>
    </row>
    <row r="1921" spans="1:6" x14ac:dyDescent="0.2">
      <c r="A1921">
        <v>19</v>
      </c>
      <c r="B1921" t="s">
        <v>1140</v>
      </c>
      <c r="C1921" t="s">
        <v>1075</v>
      </c>
      <c r="D1921" s="8">
        <v>3.7005281921125002E-3</v>
      </c>
      <c r="E1921" s="6">
        <f t="shared" si="60"/>
        <v>3.0529999999999999</v>
      </c>
      <c r="F1921" s="8">
        <f t="shared" si="61"/>
        <v>1.1297712570519463E-2</v>
      </c>
    </row>
    <row r="1922" spans="1:6" x14ac:dyDescent="0.2">
      <c r="A1922">
        <v>19</v>
      </c>
      <c r="B1922" t="s">
        <v>1140</v>
      </c>
      <c r="C1922" t="s">
        <v>1076</v>
      </c>
      <c r="D1922" s="8">
        <v>1.3590522957640001E-4</v>
      </c>
      <c r="E1922" s="6">
        <f t="shared" si="60"/>
        <v>1.4060000000000001</v>
      </c>
      <c r="F1922" s="8">
        <f t="shared" si="61"/>
        <v>1.9108275278441843E-4</v>
      </c>
    </row>
    <row r="1923" spans="1:6" x14ac:dyDescent="0.2">
      <c r="A1923">
        <v>19</v>
      </c>
      <c r="B1923" t="s">
        <v>1140</v>
      </c>
      <c r="C1923" t="s">
        <v>1078</v>
      </c>
      <c r="D1923" s="8">
        <v>1.033457404542045E-6</v>
      </c>
      <c r="E1923" s="6">
        <f t="shared" si="60"/>
        <v>0.5</v>
      </c>
      <c r="F1923" s="8">
        <f t="shared" si="61"/>
        <v>5.1672870227102248E-7</v>
      </c>
    </row>
    <row r="1924" spans="1:6" x14ac:dyDescent="0.2">
      <c r="A1924">
        <v>19</v>
      </c>
      <c r="B1924" t="s">
        <v>1140</v>
      </c>
      <c r="C1924" t="s">
        <v>1079</v>
      </c>
      <c r="D1924" s="8">
        <v>1.7215428723669999E-4</v>
      </c>
      <c r="E1924" s="6">
        <f t="shared" si="60"/>
        <v>-0.28899999999999992</v>
      </c>
      <c r="F1924" s="8">
        <f t="shared" si="61"/>
        <v>-4.9752589011406287E-5</v>
      </c>
    </row>
    <row r="1925" spans="1:6" x14ac:dyDescent="0.2">
      <c r="A1925">
        <v>20</v>
      </c>
      <c r="B1925" t="s">
        <v>1141</v>
      </c>
      <c r="C1925" t="s">
        <v>902</v>
      </c>
      <c r="D1925" s="8">
        <v>1.48147824466575E-8</v>
      </c>
      <c r="E1925" s="6">
        <f t="shared" si="60"/>
        <v>-0.28000000000000025</v>
      </c>
      <c r="F1925" s="8">
        <f t="shared" si="61"/>
        <v>-4.1481390850641041E-9</v>
      </c>
    </row>
    <row r="1926" spans="1:6" x14ac:dyDescent="0.2">
      <c r="A1926">
        <v>20</v>
      </c>
      <c r="B1926" t="s">
        <v>1141</v>
      </c>
      <c r="C1926" t="s">
        <v>1090</v>
      </c>
      <c r="D1926" s="8">
        <v>1.3155484396000001E-4</v>
      </c>
      <c r="E1926" s="6">
        <f t="shared" si="60"/>
        <v>0</v>
      </c>
      <c r="F1926" s="8">
        <f t="shared" si="61"/>
        <v>0</v>
      </c>
    </row>
    <row r="1927" spans="1:6" x14ac:dyDescent="0.2">
      <c r="A1927">
        <v>20</v>
      </c>
      <c r="B1927" t="s">
        <v>1141</v>
      </c>
      <c r="C1927" t="s">
        <v>903</v>
      </c>
      <c r="D1927" s="8">
        <v>2.5942390674617002E-3</v>
      </c>
      <c r="E1927" s="6">
        <f t="shared" si="60"/>
        <v>0.22399999999999975</v>
      </c>
      <c r="F1927" s="8">
        <f t="shared" si="61"/>
        <v>5.8110955111142018E-4</v>
      </c>
    </row>
    <row r="1928" spans="1:6" x14ac:dyDescent="0.2">
      <c r="A1928">
        <v>20</v>
      </c>
      <c r="B1928" t="s">
        <v>1141</v>
      </c>
      <c r="C1928" t="s">
        <v>904</v>
      </c>
      <c r="D1928" s="8">
        <v>3.5666071464404518E-6</v>
      </c>
      <c r="E1928" s="6">
        <f t="shared" si="60"/>
        <v>-6.800000000000006E-2</v>
      </c>
      <c r="F1928" s="8">
        <f t="shared" si="61"/>
        <v>-2.4252928595795095E-7</v>
      </c>
    </row>
    <row r="1929" spans="1:6" x14ac:dyDescent="0.2">
      <c r="A1929">
        <v>20</v>
      </c>
      <c r="B1929" t="s">
        <v>1141</v>
      </c>
      <c r="C1929" t="s">
        <v>905</v>
      </c>
      <c r="D1929" s="8">
        <v>1.058572761314639E-6</v>
      </c>
      <c r="E1929" s="6">
        <f t="shared" si="60"/>
        <v>0.5</v>
      </c>
      <c r="F1929" s="8">
        <f t="shared" si="61"/>
        <v>5.2928638065731948E-7</v>
      </c>
    </row>
    <row r="1930" spans="1:6" x14ac:dyDescent="0.2">
      <c r="A1930">
        <v>20</v>
      </c>
      <c r="B1930" t="s">
        <v>1141</v>
      </c>
      <c r="C1930" t="s">
        <v>906</v>
      </c>
      <c r="D1930" s="8">
        <v>8.8143631865998003E-3</v>
      </c>
      <c r="E1930" s="6">
        <f t="shared" si="60"/>
        <v>-1.8859999999999997</v>
      </c>
      <c r="F1930" s="8">
        <f t="shared" si="61"/>
        <v>-1.6623888969927222E-2</v>
      </c>
    </row>
    <row r="1931" spans="1:6" x14ac:dyDescent="0.2">
      <c r="A1931">
        <v>20</v>
      </c>
      <c r="B1931" t="s">
        <v>1141</v>
      </c>
      <c r="C1931" t="s">
        <v>907</v>
      </c>
      <c r="D1931" s="8">
        <v>7.9210140114060004E-4</v>
      </c>
      <c r="E1931" s="6">
        <f t="shared" si="60"/>
        <v>-1.0199999999999996</v>
      </c>
      <c r="F1931" s="8">
        <f t="shared" si="61"/>
        <v>-8.0794342916341172E-4</v>
      </c>
    </row>
    <row r="1932" spans="1:6" x14ac:dyDescent="0.2">
      <c r="A1932">
        <v>20</v>
      </c>
      <c r="B1932" t="s">
        <v>1141</v>
      </c>
      <c r="C1932" t="s">
        <v>908</v>
      </c>
      <c r="D1932" s="8">
        <v>2.160144256188607E-6</v>
      </c>
      <c r="E1932" s="6">
        <f t="shared" si="60"/>
        <v>0.79999999999999982</v>
      </c>
      <c r="F1932" s="8">
        <f t="shared" si="61"/>
        <v>1.7281154049508853E-6</v>
      </c>
    </row>
    <row r="1933" spans="1:6" x14ac:dyDescent="0.2">
      <c r="A1933">
        <v>20</v>
      </c>
      <c r="B1933" t="s">
        <v>1141</v>
      </c>
      <c r="C1933" t="s">
        <v>1097</v>
      </c>
      <c r="D1933" s="8">
        <v>1.506401748158024E-6</v>
      </c>
      <c r="E1933" s="6">
        <f t="shared" si="60"/>
        <v>0</v>
      </c>
      <c r="F1933" s="8">
        <f t="shared" si="61"/>
        <v>0</v>
      </c>
    </row>
    <row r="1934" spans="1:6" x14ac:dyDescent="0.2">
      <c r="A1934">
        <v>20</v>
      </c>
      <c r="B1934" t="s">
        <v>1141</v>
      </c>
      <c r="C1934" t="s">
        <v>1114</v>
      </c>
      <c r="D1934" s="8">
        <v>4.6880176673301231E-6</v>
      </c>
      <c r="E1934" s="6">
        <f t="shared" si="60"/>
        <v>0</v>
      </c>
      <c r="F1934" s="8">
        <f t="shared" si="61"/>
        <v>0</v>
      </c>
    </row>
    <row r="1935" spans="1:6" x14ac:dyDescent="0.2">
      <c r="A1935">
        <v>20</v>
      </c>
      <c r="B1935" t="s">
        <v>1141</v>
      </c>
      <c r="C1935" t="s">
        <v>910</v>
      </c>
      <c r="D1935" s="8">
        <v>2.0284379079672898E-2</v>
      </c>
      <c r="E1935" s="6">
        <f t="shared" si="60"/>
        <v>-7.7999999999999847E-2</v>
      </c>
      <c r="F1935" s="8">
        <f t="shared" si="61"/>
        <v>-1.5821815682144831E-3</v>
      </c>
    </row>
    <row r="1936" spans="1:6" x14ac:dyDescent="0.2">
      <c r="A1936">
        <v>20</v>
      </c>
      <c r="B1936" t="s">
        <v>1141</v>
      </c>
      <c r="C1936" t="s">
        <v>911</v>
      </c>
      <c r="D1936" s="8">
        <v>5.0361695378845768E-5</v>
      </c>
      <c r="E1936" s="6">
        <f t="shared" si="60"/>
        <v>-7.5000000000000067E-2</v>
      </c>
      <c r="F1936" s="8">
        <f t="shared" si="61"/>
        <v>-3.7771271534134359E-6</v>
      </c>
    </row>
    <row r="1937" spans="1:6" x14ac:dyDescent="0.2">
      <c r="A1937">
        <v>20</v>
      </c>
      <c r="B1937" t="s">
        <v>1141</v>
      </c>
      <c r="C1937" t="s">
        <v>912</v>
      </c>
      <c r="D1937" s="8">
        <v>1.5061409203940001E-4</v>
      </c>
      <c r="E1937" s="6">
        <f t="shared" si="60"/>
        <v>-0.29800000000000004</v>
      </c>
      <c r="F1937" s="8">
        <f t="shared" si="61"/>
        <v>-4.4882999427741211E-5</v>
      </c>
    </row>
    <row r="1938" spans="1:6" x14ac:dyDescent="0.2">
      <c r="A1938">
        <v>20</v>
      </c>
      <c r="B1938" t="s">
        <v>1141</v>
      </c>
      <c r="C1938" t="s">
        <v>913</v>
      </c>
      <c r="D1938" s="8">
        <v>7.2997357581472432E-6</v>
      </c>
      <c r="E1938" s="6">
        <f t="shared" si="60"/>
        <v>1.2109999999999999</v>
      </c>
      <c r="F1938" s="8">
        <f t="shared" si="61"/>
        <v>8.8399800031163108E-6</v>
      </c>
    </row>
    <row r="1939" spans="1:6" x14ac:dyDescent="0.2">
      <c r="A1939">
        <v>20</v>
      </c>
      <c r="B1939" t="s">
        <v>1141</v>
      </c>
      <c r="C1939" t="s">
        <v>914</v>
      </c>
      <c r="D1939" s="8">
        <v>2.3395347912066999E-3</v>
      </c>
      <c r="E1939" s="6">
        <f t="shared" si="60"/>
        <v>-0.26900000000000002</v>
      </c>
      <c r="F1939" s="8">
        <f t="shared" si="61"/>
        <v>-6.2933485883460234E-4</v>
      </c>
    </row>
    <row r="1940" spans="1:6" x14ac:dyDescent="0.2">
      <c r="A1940">
        <v>20</v>
      </c>
      <c r="B1940" t="s">
        <v>1141</v>
      </c>
      <c r="C1940" t="s">
        <v>915</v>
      </c>
      <c r="D1940" s="8">
        <v>1.3271782087740001E-4</v>
      </c>
      <c r="E1940" s="6">
        <f t="shared" si="60"/>
        <v>0.81400000000000006</v>
      </c>
      <c r="F1940" s="8">
        <f t="shared" si="61"/>
        <v>1.0803230619420362E-4</v>
      </c>
    </row>
    <row r="1941" spans="1:6" x14ac:dyDescent="0.2">
      <c r="A1941">
        <v>20</v>
      </c>
      <c r="B1941" t="s">
        <v>1141</v>
      </c>
      <c r="C1941" t="s">
        <v>916</v>
      </c>
      <c r="D1941" s="8">
        <v>2.7986226126828409E-5</v>
      </c>
      <c r="E1941" s="6">
        <f t="shared" si="60"/>
        <v>0.37200000000000077</v>
      </c>
      <c r="F1941" s="8">
        <f t="shared" si="61"/>
        <v>1.041087611918019E-5</v>
      </c>
    </row>
    <row r="1942" spans="1:6" x14ac:dyDescent="0.2">
      <c r="A1942">
        <v>20</v>
      </c>
      <c r="B1942" t="s">
        <v>1141</v>
      </c>
      <c r="C1942" t="s">
        <v>917</v>
      </c>
      <c r="D1942" s="8">
        <v>1.63083654349752E-2</v>
      </c>
      <c r="E1942" s="6">
        <f t="shared" si="60"/>
        <v>-1.83</v>
      </c>
      <c r="F1942" s="8">
        <f t="shared" si="61"/>
        <v>-2.9844308746004616E-2</v>
      </c>
    </row>
    <row r="1943" spans="1:6" x14ac:dyDescent="0.2">
      <c r="A1943">
        <v>20</v>
      </c>
      <c r="B1943" t="s">
        <v>1141</v>
      </c>
      <c r="C1943" t="s">
        <v>918</v>
      </c>
      <c r="D1943" s="8">
        <v>3.3314785736729999E-4</v>
      </c>
      <c r="E1943" s="6">
        <f t="shared" si="60"/>
        <v>0.1469999999999998</v>
      </c>
      <c r="F1943" s="8">
        <f t="shared" si="61"/>
        <v>4.8972735032993033E-5</v>
      </c>
    </row>
    <row r="1944" spans="1:6" x14ac:dyDescent="0.2">
      <c r="A1944">
        <v>20</v>
      </c>
      <c r="B1944" t="s">
        <v>1141</v>
      </c>
      <c r="C1944" t="s">
        <v>919</v>
      </c>
      <c r="D1944" s="8">
        <v>1.084942964866E-4</v>
      </c>
      <c r="E1944" s="6">
        <f t="shared" si="60"/>
        <v>-3.4940000000000002</v>
      </c>
      <c r="F1944" s="8">
        <f t="shared" si="61"/>
        <v>-3.7907907192418042E-4</v>
      </c>
    </row>
    <row r="1945" spans="1:6" x14ac:dyDescent="0.2">
      <c r="A1945">
        <v>20</v>
      </c>
      <c r="B1945" t="s">
        <v>1141</v>
      </c>
      <c r="C1945" t="s">
        <v>920</v>
      </c>
      <c r="D1945" s="8">
        <v>9.514764139312426E-6</v>
      </c>
      <c r="E1945" s="6">
        <f t="shared" si="60"/>
        <v>0.40000000000000013</v>
      </c>
      <c r="F1945" s="8">
        <f t="shared" si="61"/>
        <v>3.8059056557249718E-6</v>
      </c>
    </row>
    <row r="1946" spans="1:6" x14ac:dyDescent="0.2">
      <c r="A1946">
        <v>20</v>
      </c>
      <c r="B1946" t="s">
        <v>1141</v>
      </c>
      <c r="C1946" t="s">
        <v>921</v>
      </c>
      <c r="D1946" s="8">
        <v>1.2890286111136551E-6</v>
      </c>
      <c r="E1946" s="6">
        <f t="shared" si="60"/>
        <v>-0.79999999999999982</v>
      </c>
      <c r="F1946" s="8">
        <f t="shared" si="61"/>
        <v>-1.0312228888909239E-6</v>
      </c>
    </row>
    <row r="1947" spans="1:6" x14ac:dyDescent="0.2">
      <c r="A1947">
        <v>20</v>
      </c>
      <c r="B1947" t="s">
        <v>1141</v>
      </c>
      <c r="C1947" t="s">
        <v>923</v>
      </c>
      <c r="D1947" s="8">
        <v>4.386700993433674E-7</v>
      </c>
      <c r="E1947" s="6">
        <f t="shared" si="60"/>
        <v>-0.29999999999999982</v>
      </c>
      <c r="F1947" s="8">
        <f t="shared" si="61"/>
        <v>-1.3160102980301014E-7</v>
      </c>
    </row>
    <row r="1948" spans="1:6" x14ac:dyDescent="0.2">
      <c r="A1948">
        <v>20</v>
      </c>
      <c r="B1948" t="s">
        <v>1141</v>
      </c>
      <c r="C1948" t="s">
        <v>1115</v>
      </c>
      <c r="D1948" s="8">
        <v>1.2130306048705649E-5</v>
      </c>
      <c r="E1948" s="6">
        <f t="shared" si="60"/>
        <v>0</v>
      </c>
      <c r="F1948" s="8">
        <f t="shared" si="61"/>
        <v>0</v>
      </c>
    </row>
    <row r="1949" spans="1:6" x14ac:dyDescent="0.2">
      <c r="A1949">
        <v>20</v>
      </c>
      <c r="B1949" t="s">
        <v>1141</v>
      </c>
      <c r="C1949" t="s">
        <v>924</v>
      </c>
      <c r="D1949" s="8">
        <v>6.6427796186686004E-3</v>
      </c>
      <c r="E1949" s="6">
        <f t="shared" si="60"/>
        <v>-8.4000000000000075E-2</v>
      </c>
      <c r="F1949" s="8">
        <f t="shared" si="61"/>
        <v>-5.5799348796816296E-4</v>
      </c>
    </row>
    <row r="1950" spans="1:6" x14ac:dyDescent="0.2">
      <c r="A1950">
        <v>20</v>
      </c>
      <c r="B1950" t="s">
        <v>1141</v>
      </c>
      <c r="C1950" t="s">
        <v>925</v>
      </c>
      <c r="D1950" s="8">
        <v>5.4343686586810446E-6</v>
      </c>
      <c r="E1950" s="6">
        <f t="shared" si="60"/>
        <v>0.20000000000000018</v>
      </c>
      <c r="F1950" s="8">
        <f t="shared" si="61"/>
        <v>1.0868737317362099E-6</v>
      </c>
    </row>
    <row r="1951" spans="1:6" x14ac:dyDescent="0.2">
      <c r="A1951">
        <v>20</v>
      </c>
      <c r="B1951" t="s">
        <v>1141</v>
      </c>
      <c r="C1951" t="s">
        <v>926</v>
      </c>
      <c r="D1951" s="8">
        <v>2.9625060810909999E-4</v>
      </c>
      <c r="E1951" s="6">
        <f t="shared" si="60"/>
        <v>-4.8000000000000043E-2</v>
      </c>
      <c r="F1951" s="8">
        <f t="shared" si="61"/>
        <v>-1.4220029189236812E-5</v>
      </c>
    </row>
    <row r="1952" spans="1:6" x14ac:dyDescent="0.2">
      <c r="A1952">
        <v>20</v>
      </c>
      <c r="B1952" t="s">
        <v>1141</v>
      </c>
      <c r="C1952" t="s">
        <v>929</v>
      </c>
      <c r="D1952" s="8">
        <v>3.900742391298081E-6</v>
      </c>
      <c r="E1952" s="6">
        <f t="shared" si="60"/>
        <v>-0.54599999999999982</v>
      </c>
      <c r="F1952" s="8">
        <f t="shared" si="61"/>
        <v>-2.1298053456487516E-6</v>
      </c>
    </row>
    <row r="1953" spans="1:6" x14ac:dyDescent="0.2">
      <c r="A1953">
        <v>20</v>
      </c>
      <c r="B1953" t="s">
        <v>1141</v>
      </c>
      <c r="C1953" t="s">
        <v>930</v>
      </c>
      <c r="D1953" s="8">
        <v>2.1387683925416E-3</v>
      </c>
      <c r="E1953" s="6">
        <f t="shared" si="60"/>
        <v>-5.8000000000000052E-2</v>
      </c>
      <c r="F1953" s="8">
        <f t="shared" si="61"/>
        <v>-1.240485667674129E-4</v>
      </c>
    </row>
    <row r="1954" spans="1:6" x14ac:dyDescent="0.2">
      <c r="A1954">
        <v>20</v>
      </c>
      <c r="B1954" t="s">
        <v>1141</v>
      </c>
      <c r="C1954" t="s">
        <v>931</v>
      </c>
      <c r="D1954" s="8">
        <v>7.4521972045889999E-4</v>
      </c>
      <c r="E1954" s="6">
        <f t="shared" si="60"/>
        <v>-0.31099999999999994</v>
      </c>
      <c r="F1954" s="8">
        <f t="shared" si="61"/>
        <v>-2.3176333306271785E-4</v>
      </c>
    </row>
    <row r="1955" spans="1:6" x14ac:dyDescent="0.2">
      <c r="A1955">
        <v>20</v>
      </c>
      <c r="B1955" t="s">
        <v>1141</v>
      </c>
      <c r="C1955" t="s">
        <v>932</v>
      </c>
      <c r="D1955" s="8">
        <v>2.0247277308364999E-3</v>
      </c>
      <c r="E1955" s="6">
        <f t="shared" si="60"/>
        <v>0.21799999999999997</v>
      </c>
      <c r="F1955" s="8">
        <f t="shared" si="61"/>
        <v>4.4139064532235691E-4</v>
      </c>
    </row>
    <row r="1956" spans="1:6" x14ac:dyDescent="0.2">
      <c r="A1956">
        <v>20</v>
      </c>
      <c r="B1956" t="s">
        <v>1141</v>
      </c>
      <c r="C1956" t="s">
        <v>933</v>
      </c>
      <c r="D1956" s="8">
        <v>0.22921162711329729</v>
      </c>
      <c r="E1956" s="6">
        <f t="shared" si="60"/>
        <v>0.4430000000000005</v>
      </c>
      <c r="F1956" s="8">
        <f t="shared" si="61"/>
        <v>0.10154075081119081</v>
      </c>
    </row>
    <row r="1957" spans="1:6" x14ac:dyDescent="0.2">
      <c r="A1957">
        <v>20</v>
      </c>
      <c r="B1957" t="s">
        <v>1141</v>
      </c>
      <c r="C1957" t="s">
        <v>934</v>
      </c>
      <c r="D1957" s="8">
        <v>1.0600885435168E-3</v>
      </c>
      <c r="E1957" s="6">
        <f t="shared" si="60"/>
        <v>-0.20000000000000018</v>
      </c>
      <c r="F1957" s="8">
        <f t="shared" si="61"/>
        <v>-2.1201770870336018E-4</v>
      </c>
    </row>
    <row r="1958" spans="1:6" x14ac:dyDescent="0.2">
      <c r="A1958">
        <v>20</v>
      </c>
      <c r="B1958" t="s">
        <v>1141</v>
      </c>
      <c r="C1958" t="s">
        <v>935</v>
      </c>
      <c r="D1958" s="8">
        <v>1.350152997072E-4</v>
      </c>
      <c r="E1958" s="6">
        <f t="shared" si="60"/>
        <v>-0.71799999999999997</v>
      </c>
      <c r="F1958" s="8">
        <f t="shared" si="61"/>
        <v>-9.6940985189769598E-5</v>
      </c>
    </row>
    <row r="1959" spans="1:6" x14ac:dyDescent="0.2">
      <c r="A1959">
        <v>20</v>
      </c>
      <c r="B1959" t="s">
        <v>1141</v>
      </c>
      <c r="C1959" t="s">
        <v>936</v>
      </c>
      <c r="D1959" s="8">
        <v>3.72721005669E-4</v>
      </c>
      <c r="E1959" s="6">
        <f t="shared" si="60"/>
        <v>0.72900000000000009</v>
      </c>
      <c r="F1959" s="8">
        <f t="shared" si="61"/>
        <v>2.7171361313270106E-4</v>
      </c>
    </row>
    <row r="1960" spans="1:6" x14ac:dyDescent="0.2">
      <c r="A1960">
        <v>20</v>
      </c>
      <c r="B1960" t="s">
        <v>1141</v>
      </c>
      <c r="C1960" t="s">
        <v>937</v>
      </c>
      <c r="D1960" s="8">
        <v>2.6507704746289999E-4</v>
      </c>
      <c r="E1960" s="6">
        <f t="shared" si="60"/>
        <v>-0.3660000000000001</v>
      </c>
      <c r="F1960" s="8">
        <f t="shared" si="61"/>
        <v>-9.7018199371421429E-5</v>
      </c>
    </row>
    <row r="1961" spans="1:6" x14ac:dyDescent="0.2">
      <c r="A1961">
        <v>20</v>
      </c>
      <c r="B1961" t="s">
        <v>1141</v>
      </c>
      <c r="C1961" t="s">
        <v>1102</v>
      </c>
      <c r="D1961" s="8">
        <v>5.850563119151951E-7</v>
      </c>
      <c r="E1961" s="6">
        <f t="shared" si="60"/>
        <v>0</v>
      </c>
      <c r="F1961" s="8">
        <f t="shared" si="61"/>
        <v>0</v>
      </c>
    </row>
    <row r="1962" spans="1:6" x14ac:dyDescent="0.2">
      <c r="A1962">
        <v>20</v>
      </c>
      <c r="B1962" t="s">
        <v>1141</v>
      </c>
      <c r="C1962" t="s">
        <v>938</v>
      </c>
      <c r="D1962" s="8">
        <v>8.0861235450260002E-4</v>
      </c>
      <c r="E1962" s="6">
        <f t="shared" si="60"/>
        <v>-0.32500000000000018</v>
      </c>
      <c r="F1962" s="8">
        <f t="shared" si="61"/>
        <v>-2.6279901521334515E-4</v>
      </c>
    </row>
    <row r="1963" spans="1:6" x14ac:dyDescent="0.2">
      <c r="A1963">
        <v>20</v>
      </c>
      <c r="B1963" t="s">
        <v>1141</v>
      </c>
      <c r="C1963" t="s">
        <v>939</v>
      </c>
      <c r="D1963" s="8">
        <v>3.7907480342912928E-5</v>
      </c>
      <c r="E1963" s="6">
        <f t="shared" si="60"/>
        <v>-0.2240000000000002</v>
      </c>
      <c r="F1963" s="8">
        <f t="shared" si="61"/>
        <v>-8.491275596812504E-6</v>
      </c>
    </row>
    <row r="1964" spans="1:6" x14ac:dyDescent="0.2">
      <c r="A1964">
        <v>20</v>
      </c>
      <c r="B1964" t="s">
        <v>1141</v>
      </c>
      <c r="C1964" t="s">
        <v>940</v>
      </c>
      <c r="D1964" s="8">
        <v>1.1631408938847839E-5</v>
      </c>
      <c r="E1964" s="6">
        <f t="shared" si="60"/>
        <v>-0.11399999999999988</v>
      </c>
      <c r="F1964" s="8">
        <f t="shared" si="61"/>
        <v>-1.3259806190286524E-6</v>
      </c>
    </row>
    <row r="1965" spans="1:6" x14ac:dyDescent="0.2">
      <c r="A1965">
        <v>20</v>
      </c>
      <c r="B1965" t="s">
        <v>1141</v>
      </c>
      <c r="C1965" t="s">
        <v>941</v>
      </c>
      <c r="D1965" s="8">
        <v>2.1258357863050001E-4</v>
      </c>
      <c r="E1965" s="6">
        <f t="shared" si="60"/>
        <v>0.16599999999999993</v>
      </c>
      <c r="F1965" s="8">
        <f t="shared" si="61"/>
        <v>3.5288874052662988E-5</v>
      </c>
    </row>
    <row r="1966" spans="1:6" x14ac:dyDescent="0.2">
      <c r="A1966">
        <v>20</v>
      </c>
      <c r="B1966" t="s">
        <v>1141</v>
      </c>
      <c r="C1966" t="s">
        <v>1116</v>
      </c>
      <c r="D1966" s="8">
        <v>4.0195677995430001E-4</v>
      </c>
      <c r="E1966" s="6">
        <f t="shared" si="60"/>
        <v>0</v>
      </c>
      <c r="F1966" s="8">
        <f t="shared" si="61"/>
        <v>0</v>
      </c>
    </row>
    <row r="1967" spans="1:6" x14ac:dyDescent="0.2">
      <c r="A1967">
        <v>20</v>
      </c>
      <c r="B1967" t="s">
        <v>1141</v>
      </c>
      <c r="C1967" t="s">
        <v>1111</v>
      </c>
      <c r="D1967" s="8">
        <v>1.8112809185815761E-5</v>
      </c>
      <c r="E1967" s="6">
        <f t="shared" si="60"/>
        <v>0</v>
      </c>
      <c r="F1967" s="8">
        <f t="shared" si="61"/>
        <v>0</v>
      </c>
    </row>
    <row r="1968" spans="1:6" x14ac:dyDescent="0.2">
      <c r="A1968">
        <v>20</v>
      </c>
      <c r="B1968" t="s">
        <v>1141</v>
      </c>
      <c r="C1968" t="s">
        <v>942</v>
      </c>
      <c r="D1968" s="8">
        <v>1.371922135316302E-5</v>
      </c>
      <c r="E1968" s="6">
        <f t="shared" si="60"/>
        <v>0.33700000000000019</v>
      </c>
      <c r="F1968" s="8">
        <f t="shared" si="61"/>
        <v>4.6233775960159404E-6</v>
      </c>
    </row>
    <row r="1969" spans="1:6" x14ac:dyDescent="0.2">
      <c r="A1969">
        <v>20</v>
      </c>
      <c r="B1969" t="s">
        <v>1141</v>
      </c>
      <c r="C1969" t="s">
        <v>943</v>
      </c>
      <c r="D1969" s="8">
        <v>1.1379777542740001E-4</v>
      </c>
      <c r="E1969" s="6">
        <f t="shared" si="60"/>
        <v>0.40800000000000014</v>
      </c>
      <c r="F1969" s="8">
        <f t="shared" si="61"/>
        <v>4.6429492374379216E-5</v>
      </c>
    </row>
    <row r="1970" spans="1:6" x14ac:dyDescent="0.2">
      <c r="A1970">
        <v>20</v>
      </c>
      <c r="B1970" t="s">
        <v>1141</v>
      </c>
      <c r="C1970" t="s">
        <v>944</v>
      </c>
      <c r="D1970" s="8">
        <v>6.7428512869382E-3</v>
      </c>
      <c r="E1970" s="6">
        <f t="shared" si="60"/>
        <v>-0.122</v>
      </c>
      <c r="F1970" s="8">
        <f t="shared" si="61"/>
        <v>-8.2262785700646041E-4</v>
      </c>
    </row>
    <row r="1971" spans="1:6" x14ac:dyDescent="0.2">
      <c r="A1971">
        <v>20</v>
      </c>
      <c r="B1971" t="s">
        <v>1141</v>
      </c>
      <c r="C1971" t="s">
        <v>945</v>
      </c>
      <c r="D1971" s="8">
        <v>2.8749538421557999E-3</v>
      </c>
      <c r="E1971" s="6">
        <f t="shared" si="60"/>
        <v>0.49000000000000021</v>
      </c>
      <c r="F1971" s="8">
        <f t="shared" si="61"/>
        <v>1.4087273826563426E-3</v>
      </c>
    </row>
    <row r="1972" spans="1:6" x14ac:dyDescent="0.2">
      <c r="A1972">
        <v>20</v>
      </c>
      <c r="B1972" t="s">
        <v>1141</v>
      </c>
      <c r="C1972" t="s">
        <v>947</v>
      </c>
      <c r="D1972" s="8">
        <v>5.0234806261400004E-4</v>
      </c>
      <c r="E1972" s="6">
        <f t="shared" si="60"/>
        <v>0.15500000000000003</v>
      </c>
      <c r="F1972" s="8">
        <f t="shared" si="61"/>
        <v>7.7863949705170025E-5</v>
      </c>
    </row>
    <row r="1973" spans="1:6" x14ac:dyDescent="0.2">
      <c r="A1973">
        <v>20</v>
      </c>
      <c r="B1973" t="s">
        <v>1141</v>
      </c>
      <c r="C1973" t="s">
        <v>948</v>
      </c>
      <c r="D1973" s="8">
        <v>1.029890065401E-4</v>
      </c>
      <c r="E1973" s="6">
        <f t="shared" si="60"/>
        <v>-1.0880000000000001</v>
      </c>
      <c r="F1973" s="8">
        <f t="shared" si="61"/>
        <v>-1.1205203911562882E-4</v>
      </c>
    </row>
    <row r="1974" spans="1:6" x14ac:dyDescent="0.2">
      <c r="A1974">
        <v>20</v>
      </c>
      <c r="B1974" t="s">
        <v>1141</v>
      </c>
      <c r="C1974" t="s">
        <v>949</v>
      </c>
      <c r="D1974" s="8">
        <v>1.2566738285959E-3</v>
      </c>
      <c r="E1974" s="6">
        <f t="shared" si="60"/>
        <v>0.79599999999999982</v>
      </c>
      <c r="F1974" s="8">
        <f t="shared" si="61"/>
        <v>1.0003123675623362E-3</v>
      </c>
    </row>
    <row r="1975" spans="1:6" x14ac:dyDescent="0.2">
      <c r="A1975">
        <v>20</v>
      </c>
      <c r="B1975" t="s">
        <v>1141</v>
      </c>
      <c r="C1975" t="s">
        <v>950</v>
      </c>
      <c r="D1975" s="8">
        <v>1.2687431656300001E-4</v>
      </c>
      <c r="E1975" s="6">
        <f t="shared" si="60"/>
        <v>0.38300000000000001</v>
      </c>
      <c r="F1975" s="8">
        <f t="shared" si="61"/>
        <v>4.8592863243629002E-5</v>
      </c>
    </row>
    <row r="1976" spans="1:6" x14ac:dyDescent="0.2">
      <c r="A1976">
        <v>20</v>
      </c>
      <c r="B1976" t="s">
        <v>1141</v>
      </c>
      <c r="C1976" t="s">
        <v>951</v>
      </c>
      <c r="D1976" s="8">
        <v>1.4523443487931E-3</v>
      </c>
      <c r="E1976" s="6">
        <f t="shared" si="60"/>
        <v>-8.8000000000000078E-2</v>
      </c>
      <c r="F1976" s="8">
        <f t="shared" si="61"/>
        <v>-1.2780630269379291E-4</v>
      </c>
    </row>
    <row r="1977" spans="1:6" x14ac:dyDescent="0.2">
      <c r="A1977">
        <v>20</v>
      </c>
      <c r="B1977" t="s">
        <v>1141</v>
      </c>
      <c r="C1977" t="s">
        <v>952</v>
      </c>
      <c r="D1977" s="8">
        <v>1.1855631040397999E-2</v>
      </c>
      <c r="E1977" s="6">
        <f t="shared" si="60"/>
        <v>0.28300000000000014</v>
      </c>
      <c r="F1977" s="8">
        <f t="shared" si="61"/>
        <v>3.3551435844326356E-3</v>
      </c>
    </row>
    <row r="1978" spans="1:6" x14ac:dyDescent="0.2">
      <c r="A1978">
        <v>20</v>
      </c>
      <c r="B1978" t="s">
        <v>1141</v>
      </c>
      <c r="C1978" t="s">
        <v>953</v>
      </c>
      <c r="D1978" s="8">
        <v>1.6263848860160001E-4</v>
      </c>
      <c r="E1978" s="6">
        <f t="shared" si="60"/>
        <v>-0.42500000000000004</v>
      </c>
      <c r="F1978" s="8">
        <f t="shared" si="61"/>
        <v>-6.9121357655680006E-5</v>
      </c>
    </row>
    <row r="1979" spans="1:6" x14ac:dyDescent="0.2">
      <c r="A1979">
        <v>20</v>
      </c>
      <c r="B1979" t="s">
        <v>1141</v>
      </c>
      <c r="C1979" t="s">
        <v>954</v>
      </c>
      <c r="D1979" s="8">
        <v>8.8865908962889998E-4</v>
      </c>
      <c r="E1979" s="6">
        <f t="shared" si="60"/>
        <v>2.0929999999999991</v>
      </c>
      <c r="F1979" s="8">
        <f t="shared" si="61"/>
        <v>1.8599634745932868E-3</v>
      </c>
    </row>
    <row r="1980" spans="1:6" x14ac:dyDescent="0.2">
      <c r="A1980">
        <v>20</v>
      </c>
      <c r="B1980" t="s">
        <v>1141</v>
      </c>
      <c r="C1980" t="s">
        <v>955</v>
      </c>
      <c r="D1980" s="8">
        <v>8.7672462884284827E-5</v>
      </c>
      <c r="E1980" s="6">
        <f t="shared" si="60"/>
        <v>-0.40500000000000003</v>
      </c>
      <c r="F1980" s="8">
        <f t="shared" si="61"/>
        <v>-3.5507347468135357E-5</v>
      </c>
    </row>
    <row r="1981" spans="1:6" x14ac:dyDescent="0.2">
      <c r="A1981">
        <v>20</v>
      </c>
      <c r="B1981" t="s">
        <v>1141</v>
      </c>
      <c r="C1981" t="s">
        <v>956</v>
      </c>
      <c r="D1981" s="8">
        <v>1.4857756465920001E-4</v>
      </c>
      <c r="E1981" s="6">
        <f t="shared" si="60"/>
        <v>-0.44700000000000006</v>
      </c>
      <c r="F1981" s="8">
        <f t="shared" si="61"/>
        <v>-6.6414171402662413E-5</v>
      </c>
    </row>
    <row r="1982" spans="1:6" x14ac:dyDescent="0.2">
      <c r="A1982">
        <v>20</v>
      </c>
      <c r="B1982" t="s">
        <v>1141</v>
      </c>
      <c r="C1982" t="s">
        <v>957</v>
      </c>
      <c r="D1982" s="8">
        <v>3.6440451814360002E-3</v>
      </c>
      <c r="E1982" s="6">
        <f t="shared" ref="E1982:E2045" si="62">IFERROR(VLOOKUP(C1982,$A$6:$D$185,4,FALSE),0)</f>
        <v>-0.11499999999999988</v>
      </c>
      <c r="F1982" s="8">
        <f t="shared" ref="F1982:F2045" si="63">D1982*E1982</f>
        <v>-4.1906519586513958E-4</v>
      </c>
    </row>
    <row r="1983" spans="1:6" x14ac:dyDescent="0.2">
      <c r="A1983">
        <v>20</v>
      </c>
      <c r="B1983" t="s">
        <v>1141</v>
      </c>
      <c r="C1983" t="s">
        <v>1117</v>
      </c>
      <c r="D1983" s="8">
        <v>6.5960022105249921E-6</v>
      </c>
      <c r="E1983" s="6">
        <f t="shared" si="62"/>
        <v>0</v>
      </c>
      <c r="F1983" s="8">
        <f t="shared" si="63"/>
        <v>0</v>
      </c>
    </row>
    <row r="1984" spans="1:6" x14ac:dyDescent="0.2">
      <c r="A1984">
        <v>20</v>
      </c>
      <c r="B1984" t="s">
        <v>1141</v>
      </c>
      <c r="C1984" t="s">
        <v>958</v>
      </c>
      <c r="D1984" s="8">
        <v>2.610101212725745E-5</v>
      </c>
      <c r="E1984" s="6">
        <f t="shared" si="62"/>
        <v>9.6999999999999975E-2</v>
      </c>
      <c r="F1984" s="8">
        <f t="shared" si="63"/>
        <v>2.5317981763439718E-6</v>
      </c>
    </row>
    <row r="1985" spans="1:6" x14ac:dyDescent="0.2">
      <c r="A1985">
        <v>20</v>
      </c>
      <c r="B1985" t="s">
        <v>1141</v>
      </c>
      <c r="C1985" t="s">
        <v>959</v>
      </c>
      <c r="D1985" s="8">
        <v>3.9728587753347002E-3</v>
      </c>
      <c r="E1985" s="6">
        <f t="shared" si="62"/>
        <v>-0.60699999999999998</v>
      </c>
      <c r="F1985" s="8">
        <f t="shared" si="63"/>
        <v>-2.411525276628163E-3</v>
      </c>
    </row>
    <row r="1986" spans="1:6" x14ac:dyDescent="0.2">
      <c r="A1986">
        <v>20</v>
      </c>
      <c r="B1986" t="s">
        <v>1141</v>
      </c>
      <c r="C1986" t="s">
        <v>960</v>
      </c>
      <c r="D1986" s="8">
        <v>1.438687170951E-4</v>
      </c>
      <c r="E1986" s="6">
        <f t="shared" si="62"/>
        <v>0.29999999999999982</v>
      </c>
      <c r="F1986" s="8">
        <f t="shared" si="63"/>
        <v>4.3160615128529975E-5</v>
      </c>
    </row>
    <row r="1987" spans="1:6" x14ac:dyDescent="0.2">
      <c r="A1987">
        <v>20</v>
      </c>
      <c r="B1987" t="s">
        <v>1141</v>
      </c>
      <c r="C1987" t="s">
        <v>961</v>
      </c>
      <c r="D1987" s="8">
        <v>2.3425034984249E-3</v>
      </c>
      <c r="E1987" s="6">
        <f t="shared" si="62"/>
        <v>6.9999999999996732E-3</v>
      </c>
      <c r="F1987" s="8">
        <f t="shared" si="63"/>
        <v>1.6397524488973536E-5</v>
      </c>
    </row>
    <row r="1988" spans="1:6" x14ac:dyDescent="0.2">
      <c r="A1988">
        <v>20</v>
      </c>
      <c r="B1988" t="s">
        <v>1141</v>
      </c>
      <c r="C1988" t="s">
        <v>962</v>
      </c>
      <c r="D1988" s="8">
        <v>1.622267296098E-4</v>
      </c>
      <c r="E1988" s="6">
        <f t="shared" si="62"/>
        <v>-1.9090000000000007</v>
      </c>
      <c r="F1988" s="8">
        <f t="shared" si="63"/>
        <v>-3.0969082682510832E-4</v>
      </c>
    </row>
    <row r="1989" spans="1:6" x14ac:dyDescent="0.2">
      <c r="A1989">
        <v>20</v>
      </c>
      <c r="B1989" t="s">
        <v>1141</v>
      </c>
      <c r="C1989" t="s">
        <v>963</v>
      </c>
      <c r="D1989" s="8">
        <v>3.1692669048390002E-4</v>
      </c>
      <c r="E1989" s="6">
        <f t="shared" si="62"/>
        <v>7.2000000000000064E-2</v>
      </c>
      <c r="F1989" s="8">
        <f t="shared" si="63"/>
        <v>2.2818721714840821E-5</v>
      </c>
    </row>
    <row r="1990" spans="1:6" x14ac:dyDescent="0.2">
      <c r="A1990">
        <v>20</v>
      </c>
      <c r="B1990" t="s">
        <v>1141</v>
      </c>
      <c r="C1990" t="s">
        <v>964</v>
      </c>
      <c r="D1990" s="8">
        <v>5.6592859776929342E-5</v>
      </c>
      <c r="E1990" s="6">
        <f t="shared" si="62"/>
        <v>-9.9999999999999645E-2</v>
      </c>
      <c r="F1990" s="8">
        <f t="shared" si="63"/>
        <v>-5.6592859776929141E-6</v>
      </c>
    </row>
    <row r="1991" spans="1:6" x14ac:dyDescent="0.2">
      <c r="A1991">
        <v>20</v>
      </c>
      <c r="B1991" t="s">
        <v>1141</v>
      </c>
      <c r="C1991" t="s">
        <v>1118</v>
      </c>
      <c r="D1991" s="8">
        <v>1.23687762383E-4</v>
      </c>
      <c r="E1991" s="6">
        <f t="shared" si="62"/>
        <v>0</v>
      </c>
      <c r="F1991" s="8">
        <f t="shared" si="63"/>
        <v>0</v>
      </c>
    </row>
    <row r="1992" spans="1:6" x14ac:dyDescent="0.2">
      <c r="A1992">
        <v>20</v>
      </c>
      <c r="B1992" t="s">
        <v>1141</v>
      </c>
      <c r="C1992" t="s">
        <v>965</v>
      </c>
      <c r="D1992" s="8">
        <v>9.1060649632900004E-4</v>
      </c>
      <c r="E1992" s="6">
        <f t="shared" si="62"/>
        <v>4.5000000000000151E-2</v>
      </c>
      <c r="F1992" s="8">
        <f t="shared" si="63"/>
        <v>4.0977292334805137E-5</v>
      </c>
    </row>
    <row r="1993" spans="1:6" x14ac:dyDescent="0.2">
      <c r="A1993">
        <v>20</v>
      </c>
      <c r="B1993" t="s">
        <v>1141</v>
      </c>
      <c r="C1993" t="s">
        <v>966</v>
      </c>
      <c r="D1993" s="8">
        <v>1.8376399604690061E-6</v>
      </c>
      <c r="E1993" s="6">
        <f t="shared" si="62"/>
        <v>-0.21399999999999997</v>
      </c>
      <c r="F1993" s="8">
        <f t="shared" si="63"/>
        <v>-3.9325495154036723E-7</v>
      </c>
    </row>
    <row r="1994" spans="1:6" x14ac:dyDescent="0.2">
      <c r="A1994">
        <v>20</v>
      </c>
      <c r="B1994" t="s">
        <v>1141</v>
      </c>
      <c r="C1994" t="s">
        <v>967</v>
      </c>
      <c r="D1994" s="8">
        <v>1.5738884492270001E-4</v>
      </c>
      <c r="E1994" s="6">
        <f t="shared" si="62"/>
        <v>0.10000000000000009</v>
      </c>
      <c r="F1994" s="8">
        <f t="shared" si="63"/>
        <v>1.5738884492270015E-5</v>
      </c>
    </row>
    <row r="1995" spans="1:6" x14ac:dyDescent="0.2">
      <c r="A1995">
        <v>20</v>
      </c>
      <c r="B1995" t="s">
        <v>1141</v>
      </c>
      <c r="C1995" t="s">
        <v>1105</v>
      </c>
      <c r="D1995" s="8">
        <v>3.7390905040996841E-6</v>
      </c>
      <c r="E1995" s="6">
        <f t="shared" si="62"/>
        <v>0</v>
      </c>
      <c r="F1995" s="8">
        <f t="shared" si="63"/>
        <v>0</v>
      </c>
    </row>
    <row r="1996" spans="1:6" x14ac:dyDescent="0.2">
      <c r="A1996">
        <v>20</v>
      </c>
      <c r="B1996" t="s">
        <v>1141</v>
      </c>
      <c r="C1996" t="s">
        <v>968</v>
      </c>
      <c r="D1996" s="8">
        <v>1.2680370943405801E-5</v>
      </c>
      <c r="E1996" s="6">
        <f t="shared" si="62"/>
        <v>-6.7510000000000012</v>
      </c>
      <c r="F1996" s="8">
        <f t="shared" si="63"/>
        <v>-8.5605184238932573E-5</v>
      </c>
    </row>
    <row r="1997" spans="1:6" x14ac:dyDescent="0.2">
      <c r="A1997">
        <v>20</v>
      </c>
      <c r="B1997" t="s">
        <v>1141</v>
      </c>
      <c r="C1997" t="s">
        <v>969</v>
      </c>
      <c r="D1997" s="8">
        <v>2.0143456780317998E-3</v>
      </c>
      <c r="E1997" s="6">
        <f t="shared" si="62"/>
        <v>0.53699999999999992</v>
      </c>
      <c r="F1997" s="8">
        <f t="shared" si="63"/>
        <v>1.0817036291030763E-3</v>
      </c>
    </row>
    <row r="1998" spans="1:6" x14ac:dyDescent="0.2">
      <c r="A1998">
        <v>20</v>
      </c>
      <c r="B1998" t="s">
        <v>1141</v>
      </c>
      <c r="C1998" t="s">
        <v>970</v>
      </c>
      <c r="D1998" s="8">
        <v>4.9079471819880179E-5</v>
      </c>
      <c r="E1998" s="6">
        <f t="shared" si="62"/>
        <v>-0.10000000000000009</v>
      </c>
      <c r="F1998" s="8">
        <f t="shared" si="63"/>
        <v>-4.9079471819880224E-6</v>
      </c>
    </row>
    <row r="1999" spans="1:6" x14ac:dyDescent="0.2">
      <c r="A1999">
        <v>20</v>
      </c>
      <c r="B1999" t="s">
        <v>1141</v>
      </c>
      <c r="C1999" t="s">
        <v>971</v>
      </c>
      <c r="D1999" s="8">
        <v>7.1941348341919998E-4</v>
      </c>
      <c r="E1999" s="6">
        <f t="shared" si="62"/>
        <v>-0.13700000000000001</v>
      </c>
      <c r="F1999" s="8">
        <f t="shared" si="63"/>
        <v>-9.8559647228430399E-5</v>
      </c>
    </row>
    <row r="2000" spans="1:6" x14ac:dyDescent="0.2">
      <c r="A2000">
        <v>20</v>
      </c>
      <c r="B2000" t="s">
        <v>1141</v>
      </c>
      <c r="C2000" t="s">
        <v>972</v>
      </c>
      <c r="D2000" s="8">
        <v>4.5228443495650002E-4</v>
      </c>
      <c r="E2000" s="6">
        <f t="shared" si="62"/>
        <v>-2.7</v>
      </c>
      <c r="F2000" s="8">
        <f t="shared" si="63"/>
        <v>-1.2211679743825501E-3</v>
      </c>
    </row>
    <row r="2001" spans="1:6" x14ac:dyDescent="0.2">
      <c r="A2001">
        <v>20</v>
      </c>
      <c r="B2001" t="s">
        <v>1141</v>
      </c>
      <c r="C2001" t="s">
        <v>973</v>
      </c>
      <c r="D2001" s="8">
        <v>9.2080205397830837E-5</v>
      </c>
      <c r="E2001" s="6">
        <f t="shared" si="62"/>
        <v>-0.84999999999999987</v>
      </c>
      <c r="F2001" s="8">
        <f t="shared" si="63"/>
        <v>-7.8268174588156205E-5</v>
      </c>
    </row>
    <row r="2002" spans="1:6" x14ac:dyDescent="0.2">
      <c r="A2002">
        <v>20</v>
      </c>
      <c r="B2002" t="s">
        <v>1141</v>
      </c>
      <c r="C2002" t="s">
        <v>975</v>
      </c>
      <c r="D2002" s="8">
        <v>9.5703578917474594E-2</v>
      </c>
      <c r="E2002" s="6">
        <f t="shared" si="62"/>
        <v>0.23500000000000032</v>
      </c>
      <c r="F2002" s="8">
        <f t="shared" si="63"/>
        <v>2.2490341045606561E-2</v>
      </c>
    </row>
    <row r="2003" spans="1:6" x14ac:dyDescent="0.2">
      <c r="A2003">
        <v>20</v>
      </c>
      <c r="B2003" t="s">
        <v>1141</v>
      </c>
      <c r="C2003" t="s">
        <v>976</v>
      </c>
      <c r="D2003" s="8">
        <v>4.2970661351309999E-4</v>
      </c>
      <c r="E2003" s="6">
        <f t="shared" si="62"/>
        <v>0.38700000000000001</v>
      </c>
      <c r="F2003" s="8">
        <f t="shared" si="63"/>
        <v>1.6629645942956971E-4</v>
      </c>
    </row>
    <row r="2004" spans="1:6" x14ac:dyDescent="0.2">
      <c r="A2004">
        <v>20</v>
      </c>
      <c r="B2004" t="s">
        <v>1141</v>
      </c>
      <c r="C2004" t="s">
        <v>977</v>
      </c>
      <c r="D2004" s="8">
        <v>1.5886403714418999E-3</v>
      </c>
      <c r="E2004" s="6">
        <f t="shared" si="62"/>
        <v>-7.2039999999999997</v>
      </c>
      <c r="F2004" s="8">
        <f t="shared" si="63"/>
        <v>-1.1444565235867447E-2</v>
      </c>
    </row>
    <row r="2005" spans="1:6" x14ac:dyDescent="0.2">
      <c r="A2005">
        <v>20</v>
      </c>
      <c r="B2005" t="s">
        <v>1141</v>
      </c>
      <c r="C2005" t="s">
        <v>978</v>
      </c>
      <c r="D2005" s="8">
        <v>2.0580467502755002E-3</v>
      </c>
      <c r="E2005" s="6">
        <f t="shared" si="62"/>
        <v>-8.2390000000000008</v>
      </c>
      <c r="F2005" s="8">
        <f t="shared" si="63"/>
        <v>-1.6956247175519846E-2</v>
      </c>
    </row>
    <row r="2006" spans="1:6" x14ac:dyDescent="0.2">
      <c r="A2006">
        <v>20</v>
      </c>
      <c r="B2006" t="s">
        <v>1141</v>
      </c>
      <c r="C2006" t="s">
        <v>979</v>
      </c>
      <c r="D2006" s="8">
        <v>1.3006063957817759E-6</v>
      </c>
      <c r="E2006" s="6">
        <f t="shared" si="62"/>
        <v>-0.5</v>
      </c>
      <c r="F2006" s="8">
        <f t="shared" si="63"/>
        <v>-6.5030319789088797E-7</v>
      </c>
    </row>
    <row r="2007" spans="1:6" x14ac:dyDescent="0.2">
      <c r="A2007">
        <v>20</v>
      </c>
      <c r="B2007" t="s">
        <v>1141</v>
      </c>
      <c r="C2007" t="s">
        <v>980</v>
      </c>
      <c r="D2007" s="8">
        <v>1.5620649747038E-3</v>
      </c>
      <c r="E2007" s="6">
        <f t="shared" si="62"/>
        <v>-0.10000000000000009</v>
      </c>
      <c r="F2007" s="8">
        <f t="shared" si="63"/>
        <v>-1.5620649747038014E-4</v>
      </c>
    </row>
    <row r="2008" spans="1:6" x14ac:dyDescent="0.2">
      <c r="A2008">
        <v>20</v>
      </c>
      <c r="B2008" t="s">
        <v>1141</v>
      </c>
      <c r="C2008" t="s">
        <v>981</v>
      </c>
      <c r="D2008" s="8">
        <v>1.6795057519254201E-2</v>
      </c>
      <c r="E2008" s="6">
        <f t="shared" si="62"/>
        <v>-0.33499999999999996</v>
      </c>
      <c r="F2008" s="8">
        <f t="shared" si="63"/>
        <v>-5.6263442689501566E-3</v>
      </c>
    </row>
    <row r="2009" spans="1:6" x14ac:dyDescent="0.2">
      <c r="A2009">
        <v>20</v>
      </c>
      <c r="B2009" t="s">
        <v>1141</v>
      </c>
      <c r="C2009" t="s">
        <v>982</v>
      </c>
      <c r="D2009" s="8">
        <v>7.9494235528720423E-5</v>
      </c>
      <c r="E2009" s="6">
        <f t="shared" si="62"/>
        <v>-2.8</v>
      </c>
      <c r="F2009" s="8">
        <f t="shared" si="63"/>
        <v>-2.2258385948041717E-4</v>
      </c>
    </row>
    <row r="2010" spans="1:6" x14ac:dyDescent="0.2">
      <c r="A2010">
        <v>20</v>
      </c>
      <c r="B2010" t="s">
        <v>1141</v>
      </c>
      <c r="C2010" t="s">
        <v>983</v>
      </c>
      <c r="D2010" s="8">
        <v>1.2221750472105001E-3</v>
      </c>
      <c r="E2010" s="6">
        <f t="shared" si="62"/>
        <v>-0.19999999999999973</v>
      </c>
      <c r="F2010" s="8">
        <f t="shared" si="63"/>
        <v>-2.444350094420997E-4</v>
      </c>
    </row>
    <row r="2011" spans="1:6" x14ac:dyDescent="0.2">
      <c r="A2011">
        <v>20</v>
      </c>
      <c r="B2011" t="s">
        <v>1141</v>
      </c>
      <c r="C2011" t="s">
        <v>984</v>
      </c>
      <c r="D2011" s="8">
        <v>4.9478275024006299E-2</v>
      </c>
      <c r="E2011" s="6">
        <f t="shared" si="62"/>
        <v>0.121</v>
      </c>
      <c r="F2011" s="8">
        <f t="shared" si="63"/>
        <v>5.9868712779047621E-3</v>
      </c>
    </row>
    <row r="2012" spans="1:6" x14ac:dyDescent="0.2">
      <c r="A2012">
        <v>20</v>
      </c>
      <c r="B2012" t="s">
        <v>1141</v>
      </c>
      <c r="C2012" t="s">
        <v>985</v>
      </c>
      <c r="D2012" s="8">
        <v>2.012360249121502E-5</v>
      </c>
      <c r="E2012" s="6">
        <f t="shared" si="62"/>
        <v>0.34299999999999997</v>
      </c>
      <c r="F2012" s="8">
        <f t="shared" si="63"/>
        <v>6.9023956544867516E-6</v>
      </c>
    </row>
    <row r="2013" spans="1:6" x14ac:dyDescent="0.2">
      <c r="A2013">
        <v>20</v>
      </c>
      <c r="B2013" t="s">
        <v>1141</v>
      </c>
      <c r="C2013" t="s">
        <v>986</v>
      </c>
      <c r="D2013" s="8">
        <v>1.4499704641712E-3</v>
      </c>
      <c r="E2013" s="6">
        <f t="shared" si="62"/>
        <v>-0.38900000000000023</v>
      </c>
      <c r="F2013" s="8">
        <f t="shared" si="63"/>
        <v>-5.6403851056259719E-4</v>
      </c>
    </row>
    <row r="2014" spans="1:6" x14ac:dyDescent="0.2">
      <c r="A2014">
        <v>20</v>
      </c>
      <c r="B2014" t="s">
        <v>1141</v>
      </c>
      <c r="C2014" t="s">
        <v>987</v>
      </c>
      <c r="D2014" s="8">
        <v>8.5478581892370962E-6</v>
      </c>
      <c r="E2014" s="6">
        <f t="shared" si="62"/>
        <v>0.83399999999999963</v>
      </c>
      <c r="F2014" s="8">
        <f t="shared" si="63"/>
        <v>7.1289137298237351E-6</v>
      </c>
    </row>
    <row r="2015" spans="1:6" x14ac:dyDescent="0.2">
      <c r="A2015">
        <v>20</v>
      </c>
      <c r="B2015" t="s">
        <v>1141</v>
      </c>
      <c r="C2015" t="s">
        <v>988</v>
      </c>
      <c r="D2015" s="8">
        <v>1.7644574900083001E-3</v>
      </c>
      <c r="E2015" s="6">
        <f t="shared" si="62"/>
        <v>0.59299999999999997</v>
      </c>
      <c r="F2015" s="8">
        <f t="shared" si="63"/>
        <v>1.0463232915749218E-3</v>
      </c>
    </row>
    <row r="2016" spans="1:6" x14ac:dyDescent="0.2">
      <c r="A2016">
        <v>20</v>
      </c>
      <c r="B2016" t="s">
        <v>1141</v>
      </c>
      <c r="C2016" t="s">
        <v>989</v>
      </c>
      <c r="D2016" s="8">
        <v>6.2912295184765205E-5</v>
      </c>
      <c r="E2016" s="6">
        <f t="shared" si="62"/>
        <v>-0.12199999999999989</v>
      </c>
      <c r="F2016" s="8">
        <f t="shared" si="63"/>
        <v>-7.6753000125413486E-6</v>
      </c>
    </row>
    <row r="2017" spans="1:6" x14ac:dyDescent="0.2">
      <c r="A2017">
        <v>20</v>
      </c>
      <c r="B2017" t="s">
        <v>1141</v>
      </c>
      <c r="C2017" t="s">
        <v>1119</v>
      </c>
      <c r="D2017" s="8">
        <v>8.5141892741329232E-7</v>
      </c>
      <c r="E2017" s="6">
        <f t="shared" si="62"/>
        <v>0</v>
      </c>
      <c r="F2017" s="8">
        <f t="shared" si="63"/>
        <v>0</v>
      </c>
    </row>
    <row r="2018" spans="1:6" x14ac:dyDescent="0.2">
      <c r="A2018">
        <v>20</v>
      </c>
      <c r="B2018" t="s">
        <v>1141</v>
      </c>
      <c r="C2018" t="s">
        <v>990</v>
      </c>
      <c r="D2018" s="8">
        <v>4.9141948215035598E-2</v>
      </c>
      <c r="E2018" s="6">
        <f t="shared" si="62"/>
        <v>0.45299999999999985</v>
      </c>
      <c r="F2018" s="8">
        <f t="shared" si="63"/>
        <v>2.2261302541411118E-2</v>
      </c>
    </row>
    <row r="2019" spans="1:6" x14ac:dyDescent="0.2">
      <c r="A2019">
        <v>20</v>
      </c>
      <c r="B2019" t="s">
        <v>1141</v>
      </c>
      <c r="C2019" t="s">
        <v>991</v>
      </c>
      <c r="D2019" s="8">
        <v>2.202121949148E-4</v>
      </c>
      <c r="E2019" s="6">
        <f t="shared" si="62"/>
        <v>-3.7290000000000001</v>
      </c>
      <c r="F2019" s="8">
        <f t="shared" si="63"/>
        <v>-8.211712748372892E-4</v>
      </c>
    </row>
    <row r="2020" spans="1:6" x14ac:dyDescent="0.2">
      <c r="A2020">
        <v>20</v>
      </c>
      <c r="B2020" t="s">
        <v>1141</v>
      </c>
      <c r="C2020" t="s">
        <v>992</v>
      </c>
      <c r="D2020" s="8">
        <v>5.6365256646372868E-5</v>
      </c>
      <c r="E2020" s="6">
        <f t="shared" si="62"/>
        <v>2.048</v>
      </c>
      <c r="F2020" s="8">
        <f t="shared" si="63"/>
        <v>1.1543604561177164E-4</v>
      </c>
    </row>
    <row r="2021" spans="1:6" x14ac:dyDescent="0.2">
      <c r="A2021">
        <v>20</v>
      </c>
      <c r="B2021" t="s">
        <v>1141</v>
      </c>
      <c r="C2021" t="s">
        <v>1092</v>
      </c>
      <c r="D2021" s="8">
        <v>4.5426092844259999E-4</v>
      </c>
      <c r="E2021" s="6">
        <f t="shared" si="62"/>
        <v>0</v>
      </c>
      <c r="F2021" s="8">
        <f t="shared" si="63"/>
        <v>0</v>
      </c>
    </row>
    <row r="2022" spans="1:6" x14ac:dyDescent="0.2">
      <c r="A2022">
        <v>20</v>
      </c>
      <c r="B2022" t="s">
        <v>1141</v>
      </c>
      <c r="C2022" t="s">
        <v>993</v>
      </c>
      <c r="D2022" s="8">
        <v>1.8380847476429999E-4</v>
      </c>
      <c r="E2022" s="6">
        <f t="shared" si="62"/>
        <v>-0.42900000000000027</v>
      </c>
      <c r="F2022" s="8">
        <f t="shared" si="63"/>
        <v>-7.8853835673884745E-5</v>
      </c>
    </row>
    <row r="2023" spans="1:6" x14ac:dyDescent="0.2">
      <c r="A2023">
        <v>20</v>
      </c>
      <c r="B2023" t="s">
        <v>1141</v>
      </c>
      <c r="C2023" t="s">
        <v>994</v>
      </c>
      <c r="D2023" s="8">
        <v>4.5809890233179998E-4</v>
      </c>
      <c r="E2023" s="6">
        <f t="shared" si="62"/>
        <v>2.415</v>
      </c>
      <c r="F2023" s="8">
        <f t="shared" si="63"/>
        <v>1.106308849131297E-3</v>
      </c>
    </row>
    <row r="2024" spans="1:6" x14ac:dyDescent="0.2">
      <c r="A2024">
        <v>20</v>
      </c>
      <c r="B2024" t="s">
        <v>1141</v>
      </c>
      <c r="C2024" t="s">
        <v>1120</v>
      </c>
      <c r="D2024" s="8">
        <v>5.7210717129899423E-7</v>
      </c>
      <c r="E2024" s="6">
        <f t="shared" si="62"/>
        <v>0</v>
      </c>
      <c r="F2024" s="8">
        <f t="shared" si="63"/>
        <v>0</v>
      </c>
    </row>
    <row r="2025" spans="1:6" x14ac:dyDescent="0.2">
      <c r="A2025">
        <v>20</v>
      </c>
      <c r="B2025" t="s">
        <v>1141</v>
      </c>
      <c r="C2025" t="s">
        <v>1093</v>
      </c>
      <c r="D2025" s="8">
        <v>1.8620376772396001E-3</v>
      </c>
      <c r="E2025" s="6">
        <f t="shared" si="62"/>
        <v>0</v>
      </c>
      <c r="F2025" s="8">
        <f t="shared" si="63"/>
        <v>0</v>
      </c>
    </row>
    <row r="2026" spans="1:6" x14ac:dyDescent="0.2">
      <c r="A2026">
        <v>20</v>
      </c>
      <c r="B2026" t="s">
        <v>1141</v>
      </c>
      <c r="C2026" t="s">
        <v>996</v>
      </c>
      <c r="D2026" s="8">
        <v>2.7500015461879998E-4</v>
      </c>
      <c r="E2026" s="6">
        <f t="shared" si="62"/>
        <v>0.44099999999999984</v>
      </c>
      <c r="F2026" s="8">
        <f t="shared" si="63"/>
        <v>1.2127506818689075E-4</v>
      </c>
    </row>
    <row r="2027" spans="1:6" x14ac:dyDescent="0.2">
      <c r="A2027">
        <v>20</v>
      </c>
      <c r="B2027" t="s">
        <v>1141</v>
      </c>
      <c r="C2027" t="s">
        <v>997</v>
      </c>
      <c r="D2027" s="8">
        <v>5.2283169673471923E-7</v>
      </c>
      <c r="E2027" s="6">
        <f t="shared" si="62"/>
        <v>-0.61499999999999977</v>
      </c>
      <c r="F2027" s="8">
        <f t="shared" si="63"/>
        <v>-3.215414934918522E-7</v>
      </c>
    </row>
    <row r="2028" spans="1:6" x14ac:dyDescent="0.2">
      <c r="A2028">
        <v>20</v>
      </c>
      <c r="B2028" t="s">
        <v>1141</v>
      </c>
      <c r="C2028" t="s">
        <v>998</v>
      </c>
      <c r="D2028" s="8">
        <v>1.4603204070149999E-4</v>
      </c>
      <c r="E2028" s="6">
        <f t="shared" si="62"/>
        <v>-0.28200000000000003</v>
      </c>
      <c r="F2028" s="8">
        <f t="shared" si="63"/>
        <v>-4.1181035477823002E-5</v>
      </c>
    </row>
    <row r="2029" spans="1:6" x14ac:dyDescent="0.2">
      <c r="A2029">
        <v>20</v>
      </c>
      <c r="B2029" t="s">
        <v>1141</v>
      </c>
      <c r="C2029" t="s">
        <v>999</v>
      </c>
      <c r="D2029" s="8">
        <v>1.057449036846118E-5</v>
      </c>
      <c r="E2029" s="6">
        <f t="shared" si="62"/>
        <v>-0.5219999999999998</v>
      </c>
      <c r="F2029" s="8">
        <f t="shared" si="63"/>
        <v>-5.5198839723367339E-6</v>
      </c>
    </row>
    <row r="2030" spans="1:6" x14ac:dyDescent="0.2">
      <c r="A2030">
        <v>20</v>
      </c>
      <c r="B2030" t="s">
        <v>1141</v>
      </c>
      <c r="C2030" t="s">
        <v>1000</v>
      </c>
      <c r="D2030" s="8">
        <v>1.2694608791347E-3</v>
      </c>
      <c r="E2030" s="6">
        <f t="shared" si="62"/>
        <v>1.1540000000000004</v>
      </c>
      <c r="F2030" s="8">
        <f t="shared" si="63"/>
        <v>1.4649578545214443E-3</v>
      </c>
    </row>
    <row r="2031" spans="1:6" x14ac:dyDescent="0.2">
      <c r="A2031">
        <v>20</v>
      </c>
      <c r="B2031" t="s">
        <v>1141</v>
      </c>
      <c r="C2031" t="s">
        <v>1001</v>
      </c>
      <c r="D2031" s="8">
        <v>6.6149548756239997E-4</v>
      </c>
      <c r="E2031" s="6">
        <f t="shared" si="62"/>
        <v>-0.60600000000000032</v>
      </c>
      <c r="F2031" s="8">
        <f t="shared" si="63"/>
        <v>-4.0086626546281459E-4</v>
      </c>
    </row>
    <row r="2032" spans="1:6" x14ac:dyDescent="0.2">
      <c r="A2032">
        <v>20</v>
      </c>
      <c r="B2032" t="s">
        <v>1141</v>
      </c>
      <c r="C2032" t="s">
        <v>1002</v>
      </c>
      <c r="D2032" s="8">
        <v>2.575291963423E-4</v>
      </c>
      <c r="E2032" s="6">
        <f t="shared" si="62"/>
        <v>-1.3390000000000004</v>
      </c>
      <c r="F2032" s="8">
        <f t="shared" si="63"/>
        <v>-3.4483159390233977E-4</v>
      </c>
    </row>
    <row r="2033" spans="1:6" x14ac:dyDescent="0.2">
      <c r="A2033">
        <v>20</v>
      </c>
      <c r="B2033" t="s">
        <v>1141</v>
      </c>
      <c r="C2033" t="s">
        <v>1003</v>
      </c>
      <c r="D2033" s="8">
        <v>7.0750927183140001E-3</v>
      </c>
      <c r="E2033" s="6">
        <f t="shared" si="62"/>
        <v>0.22999999999999998</v>
      </c>
      <c r="F2033" s="8">
        <f t="shared" si="63"/>
        <v>1.62727132521222E-3</v>
      </c>
    </row>
    <row r="2034" spans="1:6" x14ac:dyDescent="0.2">
      <c r="A2034">
        <v>20</v>
      </c>
      <c r="B2034" t="s">
        <v>1141</v>
      </c>
      <c r="C2034" t="s">
        <v>1004</v>
      </c>
      <c r="D2034" s="8">
        <v>6.8291097316576476E-6</v>
      </c>
      <c r="E2034" s="6">
        <f t="shared" si="62"/>
        <v>-0.37000000000000011</v>
      </c>
      <c r="F2034" s="8">
        <f t="shared" si="63"/>
        <v>-2.5267706007133302E-6</v>
      </c>
    </row>
    <row r="2035" spans="1:6" x14ac:dyDescent="0.2">
      <c r="A2035">
        <v>20</v>
      </c>
      <c r="B2035" t="s">
        <v>1141</v>
      </c>
      <c r="C2035" t="s">
        <v>1005</v>
      </c>
      <c r="D2035" s="8">
        <v>3.0126149779795148E-7</v>
      </c>
      <c r="E2035" s="6">
        <f t="shared" si="62"/>
        <v>-0.10000000000000009</v>
      </c>
      <c r="F2035" s="8">
        <f t="shared" si="63"/>
        <v>-3.0126149779795173E-8</v>
      </c>
    </row>
    <row r="2036" spans="1:6" x14ac:dyDescent="0.2">
      <c r="A2036">
        <v>20</v>
      </c>
      <c r="B2036" t="s">
        <v>1141</v>
      </c>
      <c r="C2036" t="s">
        <v>1006</v>
      </c>
      <c r="D2036" s="8">
        <v>1.3038472443921871E-5</v>
      </c>
      <c r="E2036" s="6">
        <f t="shared" si="62"/>
        <v>0.40000000000000036</v>
      </c>
      <c r="F2036" s="8">
        <f t="shared" si="63"/>
        <v>5.2153889775687532E-6</v>
      </c>
    </row>
    <row r="2037" spans="1:6" x14ac:dyDescent="0.2">
      <c r="A2037">
        <v>20</v>
      </c>
      <c r="B2037" t="s">
        <v>1141</v>
      </c>
      <c r="C2037" t="s">
        <v>1007</v>
      </c>
      <c r="D2037" s="8">
        <v>6.4201022453915911E-6</v>
      </c>
      <c r="E2037" s="6">
        <f t="shared" si="62"/>
        <v>-0.19999999999999973</v>
      </c>
      <c r="F2037" s="8">
        <f t="shared" si="63"/>
        <v>-1.2840204490783165E-6</v>
      </c>
    </row>
    <row r="2038" spans="1:6" x14ac:dyDescent="0.2">
      <c r="A2038">
        <v>20</v>
      </c>
      <c r="B2038" t="s">
        <v>1141</v>
      </c>
      <c r="C2038" t="s">
        <v>1008</v>
      </c>
      <c r="D2038" s="8">
        <v>2.9146554045504001E-3</v>
      </c>
      <c r="E2038" s="6">
        <f t="shared" si="62"/>
        <v>0.94799999999999995</v>
      </c>
      <c r="F2038" s="8">
        <f t="shared" si="63"/>
        <v>2.763093323513779E-3</v>
      </c>
    </row>
    <row r="2039" spans="1:6" x14ac:dyDescent="0.2">
      <c r="A2039">
        <v>20</v>
      </c>
      <c r="B2039" t="s">
        <v>1141</v>
      </c>
      <c r="C2039" t="s">
        <v>1098</v>
      </c>
      <c r="D2039" s="8">
        <v>4.4034957931649653E-6</v>
      </c>
      <c r="E2039" s="6">
        <f t="shared" si="62"/>
        <v>0</v>
      </c>
      <c r="F2039" s="8">
        <f t="shared" si="63"/>
        <v>0</v>
      </c>
    </row>
    <row r="2040" spans="1:6" x14ac:dyDescent="0.2">
      <c r="A2040">
        <v>20</v>
      </c>
      <c r="B2040" t="s">
        <v>1141</v>
      </c>
      <c r="C2040" t="s">
        <v>1009</v>
      </c>
      <c r="D2040" s="8">
        <v>3.9615044375420001E-4</v>
      </c>
      <c r="E2040" s="6">
        <f t="shared" si="62"/>
        <v>-0.5990000000000002</v>
      </c>
      <c r="F2040" s="8">
        <f t="shared" si="63"/>
        <v>-2.3729411580876588E-4</v>
      </c>
    </row>
    <row r="2041" spans="1:6" x14ac:dyDescent="0.2">
      <c r="A2041">
        <v>20</v>
      </c>
      <c r="B2041" t="s">
        <v>1141</v>
      </c>
      <c r="C2041" t="s">
        <v>1122</v>
      </c>
      <c r="D2041" s="8">
        <v>6.4172883218433067E-6</v>
      </c>
      <c r="E2041" s="6">
        <f t="shared" si="62"/>
        <v>0</v>
      </c>
      <c r="F2041" s="8">
        <f t="shared" si="63"/>
        <v>0</v>
      </c>
    </row>
    <row r="2042" spans="1:6" x14ac:dyDescent="0.2">
      <c r="A2042">
        <v>20</v>
      </c>
      <c r="B2042" t="s">
        <v>1141</v>
      </c>
      <c r="C2042" t="s">
        <v>1010</v>
      </c>
      <c r="D2042" s="8">
        <v>1.8983733331319999E-3</v>
      </c>
      <c r="E2042" s="6">
        <f t="shared" si="62"/>
        <v>-3.024</v>
      </c>
      <c r="F2042" s="8">
        <f t="shared" si="63"/>
        <v>-5.7406809593911678E-3</v>
      </c>
    </row>
    <row r="2043" spans="1:6" x14ac:dyDescent="0.2">
      <c r="A2043">
        <v>20</v>
      </c>
      <c r="B2043" t="s">
        <v>1141</v>
      </c>
      <c r="C2043" t="s">
        <v>1011</v>
      </c>
      <c r="D2043" s="8">
        <v>9.8933877861760006E-4</v>
      </c>
      <c r="E2043" s="6">
        <f t="shared" si="62"/>
        <v>0.68600000000000039</v>
      </c>
      <c r="F2043" s="8">
        <f t="shared" si="63"/>
        <v>6.7868640213167406E-4</v>
      </c>
    </row>
    <row r="2044" spans="1:6" x14ac:dyDescent="0.2">
      <c r="A2044">
        <v>20</v>
      </c>
      <c r="B2044" t="s">
        <v>1141</v>
      </c>
      <c r="C2044" t="s">
        <v>1012</v>
      </c>
      <c r="D2044" s="8">
        <v>2.1287271224939999E-4</v>
      </c>
      <c r="E2044" s="6">
        <f t="shared" si="62"/>
        <v>0.39999999999999991</v>
      </c>
      <c r="F2044" s="8">
        <f t="shared" si="63"/>
        <v>8.5149084899759973E-5</v>
      </c>
    </row>
    <row r="2045" spans="1:6" x14ac:dyDescent="0.2">
      <c r="A2045">
        <v>20</v>
      </c>
      <c r="B2045" t="s">
        <v>1141</v>
      </c>
      <c r="C2045" t="s">
        <v>1013</v>
      </c>
      <c r="D2045" s="8">
        <v>1.3459082371669999E-4</v>
      </c>
      <c r="E2045" s="6">
        <f t="shared" si="62"/>
        <v>-2.0999999999999996</v>
      </c>
      <c r="F2045" s="8">
        <f t="shared" si="63"/>
        <v>-2.8264072980506991E-4</v>
      </c>
    </row>
    <row r="2046" spans="1:6" x14ac:dyDescent="0.2">
      <c r="A2046">
        <v>20</v>
      </c>
      <c r="B2046" t="s">
        <v>1141</v>
      </c>
      <c r="C2046" t="s">
        <v>1014</v>
      </c>
      <c r="D2046" s="8">
        <v>6.5031489098900302E-2</v>
      </c>
      <c r="E2046" s="6">
        <f t="shared" ref="E2046:E2109" si="64">IFERROR(VLOOKUP(C2046,$A$6:$D$185,4,FALSE),0)</f>
        <v>0.90000000000000036</v>
      </c>
      <c r="F2046" s="8">
        <f t="shared" ref="F2046:F2109" si="65">D2046*E2046</f>
        <v>5.8528340189010299E-2</v>
      </c>
    </row>
    <row r="2047" spans="1:6" x14ac:dyDescent="0.2">
      <c r="A2047">
        <v>20</v>
      </c>
      <c r="B2047" t="s">
        <v>1141</v>
      </c>
      <c r="C2047" t="s">
        <v>1015</v>
      </c>
      <c r="D2047" s="8">
        <v>1.9552196516167771E-7</v>
      </c>
      <c r="E2047" s="6">
        <f t="shared" si="64"/>
        <v>-1.306</v>
      </c>
      <c r="F2047" s="8">
        <f t="shared" si="65"/>
        <v>-2.5535168650115111E-7</v>
      </c>
    </row>
    <row r="2048" spans="1:6" x14ac:dyDescent="0.2">
      <c r="A2048">
        <v>20</v>
      </c>
      <c r="B2048" t="s">
        <v>1141</v>
      </c>
      <c r="C2048" t="s">
        <v>1099</v>
      </c>
      <c r="D2048" s="8">
        <v>4.293329930452014E-6</v>
      </c>
      <c r="E2048" s="6">
        <f t="shared" si="64"/>
        <v>0</v>
      </c>
      <c r="F2048" s="8">
        <f t="shared" si="65"/>
        <v>0</v>
      </c>
    </row>
    <row r="2049" spans="1:6" x14ac:dyDescent="0.2">
      <c r="A2049">
        <v>20</v>
      </c>
      <c r="B2049" t="s">
        <v>1141</v>
      </c>
      <c r="C2049" t="s">
        <v>1016</v>
      </c>
      <c r="D2049" s="8">
        <v>4.9188727391918122E-6</v>
      </c>
      <c r="E2049" s="6">
        <f t="shared" si="64"/>
        <v>0</v>
      </c>
      <c r="F2049" s="8">
        <f t="shared" si="65"/>
        <v>0</v>
      </c>
    </row>
    <row r="2050" spans="1:6" x14ac:dyDescent="0.2">
      <c r="A2050">
        <v>20</v>
      </c>
      <c r="B2050" t="s">
        <v>1141</v>
      </c>
      <c r="C2050" t="s">
        <v>1017</v>
      </c>
      <c r="D2050" s="8">
        <v>5.1055706214532997E-3</v>
      </c>
      <c r="E2050" s="6">
        <f t="shared" si="64"/>
        <v>1.3749999999999996</v>
      </c>
      <c r="F2050" s="8">
        <f t="shared" si="65"/>
        <v>7.0201596044982845E-3</v>
      </c>
    </row>
    <row r="2051" spans="1:6" x14ac:dyDescent="0.2">
      <c r="A2051">
        <v>20</v>
      </c>
      <c r="B2051" t="s">
        <v>1141</v>
      </c>
      <c r="C2051" t="s">
        <v>1018</v>
      </c>
      <c r="D2051" s="8">
        <v>2.2373171110039831E-5</v>
      </c>
      <c r="E2051" s="6">
        <f t="shared" si="64"/>
        <v>0.69999999999999973</v>
      </c>
      <c r="F2051" s="8">
        <f t="shared" si="65"/>
        <v>1.5661219777027877E-5</v>
      </c>
    </row>
    <row r="2052" spans="1:6" x14ac:dyDescent="0.2">
      <c r="A2052">
        <v>20</v>
      </c>
      <c r="B2052" t="s">
        <v>1141</v>
      </c>
      <c r="C2052" t="s">
        <v>1019</v>
      </c>
      <c r="D2052" s="8">
        <v>5.4993676374921002E-2</v>
      </c>
      <c r="E2052" s="6">
        <f t="shared" si="64"/>
        <v>-0.21599999999999997</v>
      </c>
      <c r="F2052" s="8">
        <f t="shared" si="65"/>
        <v>-1.1878634096982935E-2</v>
      </c>
    </row>
    <row r="2053" spans="1:6" x14ac:dyDescent="0.2">
      <c r="A2053">
        <v>20</v>
      </c>
      <c r="B2053" t="s">
        <v>1141</v>
      </c>
      <c r="C2053" t="s">
        <v>1020</v>
      </c>
      <c r="D2053" s="8">
        <v>4.9603469732420003E-4</v>
      </c>
      <c r="E2053" s="6">
        <f t="shared" si="64"/>
        <v>-0.21999999999999997</v>
      </c>
      <c r="F2053" s="8">
        <f t="shared" si="65"/>
        <v>-1.0912763341132399E-4</v>
      </c>
    </row>
    <row r="2054" spans="1:6" x14ac:dyDescent="0.2">
      <c r="A2054">
        <v>20</v>
      </c>
      <c r="B2054" t="s">
        <v>1141</v>
      </c>
      <c r="C2054" t="s">
        <v>1021</v>
      </c>
      <c r="D2054" s="8">
        <v>5.3386234658886987E-5</v>
      </c>
      <c r="E2054" s="6">
        <f t="shared" si="64"/>
        <v>-2.4829999999999997</v>
      </c>
      <c r="F2054" s="8">
        <f t="shared" si="65"/>
        <v>-1.3255802065801638E-4</v>
      </c>
    </row>
    <row r="2055" spans="1:6" x14ac:dyDescent="0.2">
      <c r="A2055">
        <v>20</v>
      </c>
      <c r="B2055" t="s">
        <v>1141</v>
      </c>
      <c r="C2055" t="s">
        <v>1022</v>
      </c>
      <c r="D2055" s="8">
        <v>5.4260227565073297E-6</v>
      </c>
      <c r="E2055" s="6">
        <f t="shared" si="64"/>
        <v>0.46800000000000019</v>
      </c>
      <c r="F2055" s="8">
        <f t="shared" si="65"/>
        <v>2.5393786500454315E-6</v>
      </c>
    </row>
    <row r="2056" spans="1:6" x14ac:dyDescent="0.2">
      <c r="A2056">
        <v>20</v>
      </c>
      <c r="B2056" t="s">
        <v>1141</v>
      </c>
      <c r="C2056" t="s">
        <v>1023</v>
      </c>
      <c r="D2056" s="8">
        <v>1.6133535078397001E-3</v>
      </c>
      <c r="E2056" s="6">
        <f t="shared" si="64"/>
        <v>-0.62199999999999989</v>
      </c>
      <c r="F2056" s="8">
        <f t="shared" si="65"/>
        <v>-1.0035058818762934E-3</v>
      </c>
    </row>
    <row r="2057" spans="1:6" x14ac:dyDescent="0.2">
      <c r="A2057">
        <v>20</v>
      </c>
      <c r="B2057" t="s">
        <v>1141</v>
      </c>
      <c r="C2057" t="s">
        <v>1024</v>
      </c>
      <c r="D2057" s="8">
        <v>7.6469306147910001E-4</v>
      </c>
      <c r="E2057" s="6">
        <f t="shared" si="64"/>
        <v>-0.14500000000000002</v>
      </c>
      <c r="F2057" s="8">
        <f t="shared" si="65"/>
        <v>-1.1088049391446951E-4</v>
      </c>
    </row>
    <row r="2058" spans="1:6" x14ac:dyDescent="0.2">
      <c r="A2058">
        <v>20</v>
      </c>
      <c r="B2058" t="s">
        <v>1141</v>
      </c>
      <c r="C2058" t="s">
        <v>1025</v>
      </c>
      <c r="D2058" s="8">
        <v>1.5263897000328999E-2</v>
      </c>
      <c r="E2058" s="6">
        <f t="shared" si="64"/>
        <v>4.7000000000000153E-2</v>
      </c>
      <c r="F2058" s="8">
        <f t="shared" si="65"/>
        <v>7.1740315901546532E-4</v>
      </c>
    </row>
    <row r="2059" spans="1:6" x14ac:dyDescent="0.2">
      <c r="A2059">
        <v>20</v>
      </c>
      <c r="B2059" t="s">
        <v>1141</v>
      </c>
      <c r="C2059" t="s">
        <v>1026</v>
      </c>
      <c r="D2059" s="8">
        <v>1.570527547772E-4</v>
      </c>
      <c r="E2059" s="6">
        <f t="shared" si="64"/>
        <v>-0.20000000000000018</v>
      </c>
      <c r="F2059" s="8">
        <f t="shared" si="65"/>
        <v>-3.1410550955440029E-5</v>
      </c>
    </row>
    <row r="2060" spans="1:6" x14ac:dyDescent="0.2">
      <c r="A2060">
        <v>20</v>
      </c>
      <c r="B2060" t="s">
        <v>1141</v>
      </c>
      <c r="C2060" t="s">
        <v>1027</v>
      </c>
      <c r="D2060" s="8">
        <v>2.2659641671811002E-3</v>
      </c>
      <c r="E2060" s="6">
        <f t="shared" si="64"/>
        <v>0.18999999999999995</v>
      </c>
      <c r="F2060" s="8">
        <f t="shared" si="65"/>
        <v>4.3053319176440891E-4</v>
      </c>
    </row>
    <row r="2061" spans="1:6" x14ac:dyDescent="0.2">
      <c r="A2061">
        <v>20</v>
      </c>
      <c r="B2061" t="s">
        <v>1141</v>
      </c>
      <c r="C2061" t="s">
        <v>1028</v>
      </c>
      <c r="D2061" s="8">
        <v>3.5163985009720497E-2</v>
      </c>
      <c r="E2061" s="6">
        <f t="shared" si="64"/>
        <v>-1.6600000000000001</v>
      </c>
      <c r="F2061" s="8">
        <f t="shared" si="65"/>
        <v>-5.8372215116136029E-2</v>
      </c>
    </row>
    <row r="2062" spans="1:6" x14ac:dyDescent="0.2">
      <c r="A2062">
        <v>20</v>
      </c>
      <c r="B2062" t="s">
        <v>1141</v>
      </c>
      <c r="C2062" t="s">
        <v>1029</v>
      </c>
      <c r="D2062" s="8">
        <v>6.9531942250174884E-7</v>
      </c>
      <c r="E2062" s="6">
        <f t="shared" si="64"/>
        <v>-0.20500000000000007</v>
      </c>
      <c r="F2062" s="8">
        <f t="shared" si="65"/>
        <v>-1.4254048161285857E-7</v>
      </c>
    </row>
    <row r="2063" spans="1:6" x14ac:dyDescent="0.2">
      <c r="A2063">
        <v>20</v>
      </c>
      <c r="B2063" t="s">
        <v>1141</v>
      </c>
      <c r="C2063" t="s">
        <v>1030</v>
      </c>
      <c r="D2063" s="8">
        <v>1.6767425645756E-3</v>
      </c>
      <c r="E2063" s="6">
        <f t="shared" si="64"/>
        <v>0.29999999999999982</v>
      </c>
      <c r="F2063" s="8">
        <f t="shared" si="65"/>
        <v>5.0302276937267971E-4</v>
      </c>
    </row>
    <row r="2064" spans="1:6" x14ac:dyDescent="0.2">
      <c r="A2064">
        <v>20</v>
      </c>
      <c r="B2064" t="s">
        <v>1141</v>
      </c>
      <c r="C2064" t="s">
        <v>1031</v>
      </c>
      <c r="D2064" s="8">
        <v>2.6616001201403999E-3</v>
      </c>
      <c r="E2064" s="6">
        <f t="shared" si="64"/>
        <v>0.19899999999999984</v>
      </c>
      <c r="F2064" s="8">
        <f t="shared" si="65"/>
        <v>5.2965842390793915E-4</v>
      </c>
    </row>
    <row r="2065" spans="1:6" x14ac:dyDescent="0.2">
      <c r="A2065">
        <v>20</v>
      </c>
      <c r="B2065" t="s">
        <v>1141</v>
      </c>
      <c r="C2065" t="s">
        <v>1142</v>
      </c>
      <c r="D2065" s="8">
        <v>1.0386180379173989E-6</v>
      </c>
      <c r="E2065" s="6">
        <f t="shared" si="64"/>
        <v>0</v>
      </c>
      <c r="F2065" s="8">
        <f t="shared" si="65"/>
        <v>0</v>
      </c>
    </row>
    <row r="2066" spans="1:6" x14ac:dyDescent="0.2">
      <c r="A2066">
        <v>20</v>
      </c>
      <c r="B2066" t="s">
        <v>1141</v>
      </c>
      <c r="C2066" t="s">
        <v>1033</v>
      </c>
      <c r="D2066" s="8">
        <v>6.0936527316089999E-4</v>
      </c>
      <c r="E2066" s="6">
        <f t="shared" si="64"/>
        <v>0.23299999999999987</v>
      </c>
      <c r="F2066" s="8">
        <f t="shared" si="65"/>
        <v>1.4198210864648962E-4</v>
      </c>
    </row>
    <row r="2067" spans="1:6" x14ac:dyDescent="0.2">
      <c r="A2067">
        <v>20</v>
      </c>
      <c r="B2067" t="s">
        <v>1141</v>
      </c>
      <c r="C2067" t="s">
        <v>1034</v>
      </c>
      <c r="D2067" s="8">
        <v>2.18915015874359E-5</v>
      </c>
      <c r="E2067" s="6">
        <f t="shared" si="64"/>
        <v>0.70000000000000018</v>
      </c>
      <c r="F2067" s="8">
        <f t="shared" si="65"/>
        <v>1.5324051111205133E-5</v>
      </c>
    </row>
    <row r="2068" spans="1:6" x14ac:dyDescent="0.2">
      <c r="A2068">
        <v>20</v>
      </c>
      <c r="B2068" t="s">
        <v>1141</v>
      </c>
      <c r="C2068" t="s">
        <v>1123</v>
      </c>
      <c r="D2068" s="8">
        <v>3.2858401207282741E-6</v>
      </c>
      <c r="E2068" s="6">
        <f t="shared" si="64"/>
        <v>0</v>
      </c>
      <c r="F2068" s="8">
        <f t="shared" si="65"/>
        <v>0</v>
      </c>
    </row>
    <row r="2069" spans="1:6" x14ac:dyDescent="0.2">
      <c r="A2069">
        <v>20</v>
      </c>
      <c r="B2069" t="s">
        <v>1141</v>
      </c>
      <c r="C2069" t="s">
        <v>1100</v>
      </c>
      <c r="D2069" s="8">
        <v>9.6562320924044065E-6</v>
      </c>
      <c r="E2069" s="6">
        <f t="shared" si="64"/>
        <v>0</v>
      </c>
      <c r="F2069" s="8">
        <f t="shared" si="65"/>
        <v>0</v>
      </c>
    </row>
    <row r="2070" spans="1:6" x14ac:dyDescent="0.2">
      <c r="A2070">
        <v>20</v>
      </c>
      <c r="B2070" t="s">
        <v>1141</v>
      </c>
      <c r="C2070" t="s">
        <v>1035</v>
      </c>
      <c r="D2070" s="8">
        <v>6.8890994320710002E-4</v>
      </c>
      <c r="E2070" s="6">
        <f t="shared" si="64"/>
        <v>-14.218</v>
      </c>
      <c r="F2070" s="8">
        <f t="shared" si="65"/>
        <v>-9.794921572518548E-3</v>
      </c>
    </row>
    <row r="2071" spans="1:6" x14ac:dyDescent="0.2">
      <c r="A2071">
        <v>20</v>
      </c>
      <c r="B2071" t="s">
        <v>1141</v>
      </c>
      <c r="C2071" t="s">
        <v>1036</v>
      </c>
      <c r="D2071" s="8">
        <v>3.1875270443809997E-4</v>
      </c>
      <c r="E2071" s="6">
        <f t="shared" si="64"/>
        <v>-2.0590000000000002</v>
      </c>
      <c r="F2071" s="8">
        <f t="shared" si="65"/>
        <v>-6.5631181843804794E-4</v>
      </c>
    </row>
    <row r="2072" spans="1:6" x14ac:dyDescent="0.2">
      <c r="A2072">
        <v>20</v>
      </c>
      <c r="B2072" t="s">
        <v>1141</v>
      </c>
      <c r="C2072" t="s">
        <v>1037</v>
      </c>
      <c r="D2072" s="8">
        <v>1.4911315827142999E-3</v>
      </c>
      <c r="E2072" s="6">
        <f t="shared" si="64"/>
        <v>0.2350000000000001</v>
      </c>
      <c r="F2072" s="8">
        <f t="shared" si="65"/>
        <v>3.5041592193786061E-4</v>
      </c>
    </row>
    <row r="2073" spans="1:6" x14ac:dyDescent="0.2">
      <c r="A2073">
        <v>20</v>
      </c>
      <c r="B2073" t="s">
        <v>1141</v>
      </c>
      <c r="C2073" t="s">
        <v>1038</v>
      </c>
      <c r="D2073" s="8">
        <v>2.9361534925090421E-5</v>
      </c>
      <c r="E2073" s="6">
        <f t="shared" si="64"/>
        <v>-0.2759999999999998</v>
      </c>
      <c r="F2073" s="8">
        <f t="shared" si="65"/>
        <v>-8.1037836393249497E-6</v>
      </c>
    </row>
    <row r="2074" spans="1:6" x14ac:dyDescent="0.2">
      <c r="A2074">
        <v>20</v>
      </c>
      <c r="B2074" t="s">
        <v>1141</v>
      </c>
      <c r="C2074" t="s">
        <v>1094</v>
      </c>
      <c r="D2074" s="8">
        <v>2.4708484781885399E-2</v>
      </c>
      <c r="E2074" s="6">
        <f t="shared" si="64"/>
        <v>0</v>
      </c>
      <c r="F2074" s="8">
        <f t="shared" si="65"/>
        <v>0</v>
      </c>
    </row>
    <row r="2075" spans="1:6" x14ac:dyDescent="0.2">
      <c r="A2075">
        <v>20</v>
      </c>
      <c r="B2075" t="s">
        <v>1141</v>
      </c>
      <c r="C2075" t="s">
        <v>1039</v>
      </c>
      <c r="D2075" s="8">
        <v>5.5761129971842001E-3</v>
      </c>
      <c r="E2075" s="6">
        <f t="shared" si="64"/>
        <v>-0.6419999999999999</v>
      </c>
      <c r="F2075" s="8">
        <f t="shared" si="65"/>
        <v>-3.5798645441922558E-3</v>
      </c>
    </row>
    <row r="2076" spans="1:6" x14ac:dyDescent="0.2">
      <c r="A2076">
        <v>20</v>
      </c>
      <c r="B2076" t="s">
        <v>1141</v>
      </c>
      <c r="C2076" t="s">
        <v>1040</v>
      </c>
      <c r="D2076" s="8">
        <v>7.1234616588330003E-4</v>
      </c>
      <c r="E2076" s="6">
        <f t="shared" si="64"/>
        <v>-8.1180000000000003</v>
      </c>
      <c r="F2076" s="8">
        <f t="shared" si="65"/>
        <v>-5.7828261746406297E-3</v>
      </c>
    </row>
    <row r="2077" spans="1:6" x14ac:dyDescent="0.2">
      <c r="A2077">
        <v>20</v>
      </c>
      <c r="B2077" t="s">
        <v>1141</v>
      </c>
      <c r="C2077" t="s">
        <v>1041</v>
      </c>
      <c r="D2077" s="8">
        <v>5.3930294784759996E-4</v>
      </c>
      <c r="E2077" s="6">
        <f t="shared" si="64"/>
        <v>-1.8890000000000002</v>
      </c>
      <c r="F2077" s="8">
        <f t="shared" si="65"/>
        <v>-1.0187432684841164E-3</v>
      </c>
    </row>
    <row r="2078" spans="1:6" x14ac:dyDescent="0.2">
      <c r="A2078">
        <v>20</v>
      </c>
      <c r="B2078" t="s">
        <v>1141</v>
      </c>
      <c r="C2078" t="s">
        <v>1042</v>
      </c>
      <c r="D2078" s="8">
        <v>4.6561005253659499E-2</v>
      </c>
      <c r="E2078" s="6">
        <f t="shared" si="64"/>
        <v>1.621</v>
      </c>
      <c r="F2078" s="8">
        <f t="shared" si="65"/>
        <v>7.5475389516182045E-2</v>
      </c>
    </row>
    <row r="2079" spans="1:6" x14ac:dyDescent="0.2">
      <c r="A2079">
        <v>20</v>
      </c>
      <c r="B2079" t="s">
        <v>1141</v>
      </c>
      <c r="C2079" t="s">
        <v>1043</v>
      </c>
      <c r="D2079" s="8">
        <v>5.2343250122474717E-5</v>
      </c>
      <c r="E2079" s="6">
        <f t="shared" si="64"/>
        <v>-2.8000000000000025E-2</v>
      </c>
      <c r="F2079" s="8">
        <f t="shared" si="65"/>
        <v>-1.4656110034292934E-6</v>
      </c>
    </row>
    <row r="2080" spans="1:6" x14ac:dyDescent="0.2">
      <c r="A2080">
        <v>20</v>
      </c>
      <c r="B2080" t="s">
        <v>1141</v>
      </c>
      <c r="C2080" t="s">
        <v>1044</v>
      </c>
      <c r="D2080" s="8">
        <v>2.1627455793323678E-5</v>
      </c>
      <c r="E2080" s="6">
        <f t="shared" si="64"/>
        <v>-0.35099999999999998</v>
      </c>
      <c r="F2080" s="8">
        <f t="shared" si="65"/>
        <v>-7.5912369834566103E-6</v>
      </c>
    </row>
    <row r="2081" spans="1:6" x14ac:dyDescent="0.2">
      <c r="A2081">
        <v>20</v>
      </c>
      <c r="B2081" t="s">
        <v>1141</v>
      </c>
      <c r="C2081" t="s">
        <v>1045</v>
      </c>
      <c r="D2081" s="8">
        <v>2.2064045293950001E-4</v>
      </c>
      <c r="E2081" s="6">
        <f t="shared" si="64"/>
        <v>0.7849999999999997</v>
      </c>
      <c r="F2081" s="8">
        <f t="shared" si="65"/>
        <v>1.7320275555750744E-4</v>
      </c>
    </row>
    <row r="2082" spans="1:6" x14ac:dyDescent="0.2">
      <c r="A2082">
        <v>20</v>
      </c>
      <c r="B2082" t="s">
        <v>1141</v>
      </c>
      <c r="C2082" t="s">
        <v>1047</v>
      </c>
      <c r="D2082" s="8">
        <v>5.0340601734559997E-4</v>
      </c>
      <c r="E2082" s="6">
        <f t="shared" si="64"/>
        <v>-1.4999999999999996</v>
      </c>
      <c r="F2082" s="8">
        <f t="shared" si="65"/>
        <v>-7.5510902601839968E-4</v>
      </c>
    </row>
    <row r="2083" spans="1:6" x14ac:dyDescent="0.2">
      <c r="A2083">
        <v>20</v>
      </c>
      <c r="B2083" t="s">
        <v>1141</v>
      </c>
      <c r="C2083" t="s">
        <v>1048</v>
      </c>
      <c r="D2083" s="8">
        <v>1.154158110099138E-6</v>
      </c>
      <c r="E2083" s="6">
        <f t="shared" si="64"/>
        <v>-1.4340000000000002</v>
      </c>
      <c r="F2083" s="8">
        <f t="shared" si="65"/>
        <v>-1.6550627298821641E-6</v>
      </c>
    </row>
    <row r="2084" spans="1:6" x14ac:dyDescent="0.2">
      <c r="A2084">
        <v>20</v>
      </c>
      <c r="B2084" t="s">
        <v>1141</v>
      </c>
      <c r="C2084" t="s">
        <v>1050</v>
      </c>
      <c r="D2084" s="8">
        <v>7.2437111547097393E-6</v>
      </c>
      <c r="E2084" s="6">
        <f t="shared" si="64"/>
        <v>-1.4300000000000002</v>
      </c>
      <c r="F2084" s="8">
        <f t="shared" si="65"/>
        <v>-1.0358506951234929E-5</v>
      </c>
    </row>
    <row r="2085" spans="1:6" x14ac:dyDescent="0.2">
      <c r="A2085">
        <v>20</v>
      </c>
      <c r="B2085" t="s">
        <v>1141</v>
      </c>
      <c r="C2085" t="s">
        <v>1051</v>
      </c>
      <c r="D2085" s="8">
        <v>4.6765886742076181E-5</v>
      </c>
      <c r="E2085" s="6">
        <f t="shared" si="64"/>
        <v>0.18199999999999994</v>
      </c>
      <c r="F2085" s="8">
        <f t="shared" si="65"/>
        <v>8.5113913870578614E-6</v>
      </c>
    </row>
    <row r="2086" spans="1:6" x14ac:dyDescent="0.2">
      <c r="A2086">
        <v>20</v>
      </c>
      <c r="B2086" t="s">
        <v>1141</v>
      </c>
      <c r="C2086" t="s">
        <v>1052</v>
      </c>
      <c r="D2086" s="8">
        <v>5.9141426524011632E-6</v>
      </c>
      <c r="E2086" s="6">
        <f t="shared" si="64"/>
        <v>-1.1059999999999999</v>
      </c>
      <c r="F2086" s="8">
        <f t="shared" si="65"/>
        <v>-6.5410417735556862E-6</v>
      </c>
    </row>
    <row r="2087" spans="1:6" x14ac:dyDescent="0.2">
      <c r="A2087">
        <v>20</v>
      </c>
      <c r="B2087" t="s">
        <v>1141</v>
      </c>
      <c r="C2087" t="s">
        <v>1053</v>
      </c>
      <c r="D2087" s="8">
        <v>1.1713370954865999E-3</v>
      </c>
      <c r="E2087" s="6">
        <f t="shared" si="64"/>
        <v>-0.39999999999999991</v>
      </c>
      <c r="F2087" s="8">
        <f t="shared" si="65"/>
        <v>-4.6853483819463983E-4</v>
      </c>
    </row>
    <row r="2088" spans="1:6" x14ac:dyDescent="0.2">
      <c r="A2088">
        <v>20</v>
      </c>
      <c r="B2088" t="s">
        <v>1141</v>
      </c>
      <c r="C2088" t="s">
        <v>1054</v>
      </c>
      <c r="D2088" s="8">
        <v>3.332679642387E-4</v>
      </c>
      <c r="E2088" s="6">
        <f t="shared" si="64"/>
        <v>-0.16800000000000015</v>
      </c>
      <c r="F2088" s="8">
        <f t="shared" si="65"/>
        <v>-5.5989017992101653E-5</v>
      </c>
    </row>
    <row r="2089" spans="1:6" x14ac:dyDescent="0.2">
      <c r="A2089">
        <v>20</v>
      </c>
      <c r="B2089" t="s">
        <v>1141</v>
      </c>
      <c r="C2089" t="s">
        <v>1055</v>
      </c>
      <c r="D2089" s="8">
        <v>3.4916812347812149E-5</v>
      </c>
      <c r="E2089" s="6">
        <f t="shared" si="64"/>
        <v>-0.93100000000000005</v>
      </c>
      <c r="F2089" s="8">
        <f t="shared" si="65"/>
        <v>-3.2507552295813113E-5</v>
      </c>
    </row>
    <row r="2090" spans="1:6" x14ac:dyDescent="0.2">
      <c r="A2090">
        <v>20</v>
      </c>
      <c r="B2090" t="s">
        <v>1141</v>
      </c>
      <c r="C2090" t="s">
        <v>1056</v>
      </c>
      <c r="D2090" s="8">
        <v>1.3828029309101901E-5</v>
      </c>
      <c r="E2090" s="6">
        <f t="shared" si="64"/>
        <v>-1.996</v>
      </c>
      <c r="F2090" s="8">
        <f t="shared" si="65"/>
        <v>-2.7600746500967395E-5</v>
      </c>
    </row>
    <row r="2091" spans="1:6" x14ac:dyDescent="0.2">
      <c r="A2091">
        <v>20</v>
      </c>
      <c r="B2091" t="s">
        <v>1141</v>
      </c>
      <c r="C2091" t="s">
        <v>1095</v>
      </c>
      <c r="D2091" s="8">
        <v>2.5715592020773479E-5</v>
      </c>
      <c r="E2091" s="6">
        <f t="shared" si="64"/>
        <v>0</v>
      </c>
      <c r="F2091" s="8">
        <f t="shared" si="65"/>
        <v>0</v>
      </c>
    </row>
    <row r="2092" spans="1:6" x14ac:dyDescent="0.2">
      <c r="A2092">
        <v>20</v>
      </c>
      <c r="B2092" t="s">
        <v>1141</v>
      </c>
      <c r="C2092" t="s">
        <v>1057</v>
      </c>
      <c r="D2092" s="8">
        <v>7.0565057219443465E-8</v>
      </c>
      <c r="E2092" s="6">
        <f t="shared" si="64"/>
        <v>2.0270000000000001</v>
      </c>
      <c r="F2092" s="8">
        <f t="shared" si="65"/>
        <v>1.4303537098381191E-7</v>
      </c>
    </row>
    <row r="2093" spans="1:6" x14ac:dyDescent="0.2">
      <c r="A2093">
        <v>20</v>
      </c>
      <c r="B2093" t="s">
        <v>1141</v>
      </c>
      <c r="C2093" t="s">
        <v>1058</v>
      </c>
      <c r="D2093" s="8">
        <v>4.8520692917959998E-4</v>
      </c>
      <c r="E2093" s="6">
        <f t="shared" si="64"/>
        <v>-0.5</v>
      </c>
      <c r="F2093" s="8">
        <f t="shared" si="65"/>
        <v>-2.4260346458979999E-4</v>
      </c>
    </row>
    <row r="2094" spans="1:6" x14ac:dyDescent="0.2">
      <c r="A2094">
        <v>20</v>
      </c>
      <c r="B2094" t="s">
        <v>1141</v>
      </c>
      <c r="C2094" t="s">
        <v>1059</v>
      </c>
      <c r="D2094" s="8">
        <v>3.8621074243500302E-2</v>
      </c>
      <c r="E2094" s="6">
        <f t="shared" si="64"/>
        <v>-0.10000000000000009</v>
      </c>
      <c r="F2094" s="8">
        <f t="shared" si="65"/>
        <v>-3.8621074243500335E-3</v>
      </c>
    </row>
    <row r="2095" spans="1:6" x14ac:dyDescent="0.2">
      <c r="A2095">
        <v>20</v>
      </c>
      <c r="B2095" t="s">
        <v>1141</v>
      </c>
      <c r="C2095" t="s">
        <v>1060</v>
      </c>
      <c r="D2095" s="8">
        <v>6.9889420145827716E-6</v>
      </c>
      <c r="E2095" s="6">
        <f t="shared" si="64"/>
        <v>1.04</v>
      </c>
      <c r="F2095" s="8">
        <f t="shared" si="65"/>
        <v>7.2684996951660831E-6</v>
      </c>
    </row>
    <row r="2096" spans="1:6" x14ac:dyDescent="0.2">
      <c r="A2096">
        <v>20</v>
      </c>
      <c r="B2096" t="s">
        <v>1141</v>
      </c>
      <c r="C2096" t="s">
        <v>1061</v>
      </c>
      <c r="D2096" s="8">
        <v>1.4646297631880001E-4</v>
      </c>
      <c r="E2096" s="6">
        <f t="shared" si="64"/>
        <v>0.25499999999999989</v>
      </c>
      <c r="F2096" s="8">
        <f t="shared" si="65"/>
        <v>3.7348058961293986E-5</v>
      </c>
    </row>
    <row r="2097" spans="1:6" x14ac:dyDescent="0.2">
      <c r="A2097">
        <v>20</v>
      </c>
      <c r="B2097" t="s">
        <v>1141</v>
      </c>
      <c r="C2097" t="s">
        <v>1062</v>
      </c>
      <c r="D2097" s="8">
        <v>1.2553378481136E-3</v>
      </c>
      <c r="E2097" s="6">
        <f t="shared" si="64"/>
        <v>0.89999999999999947</v>
      </c>
      <c r="F2097" s="8">
        <f t="shared" si="65"/>
        <v>1.1298040633022394E-3</v>
      </c>
    </row>
    <row r="2098" spans="1:6" x14ac:dyDescent="0.2">
      <c r="A2098">
        <v>20</v>
      </c>
      <c r="B2098" t="s">
        <v>1141</v>
      </c>
      <c r="C2098" t="s">
        <v>1063</v>
      </c>
      <c r="D2098" s="8">
        <v>8.4116755316301795E-6</v>
      </c>
      <c r="E2098" s="6">
        <f t="shared" si="64"/>
        <v>-4.1000000000000369E-2</v>
      </c>
      <c r="F2098" s="8">
        <f t="shared" si="65"/>
        <v>-3.4487869679684046E-7</v>
      </c>
    </row>
    <row r="2099" spans="1:6" x14ac:dyDescent="0.2">
      <c r="A2099">
        <v>20</v>
      </c>
      <c r="B2099" t="s">
        <v>1141</v>
      </c>
      <c r="C2099" t="s">
        <v>1064</v>
      </c>
      <c r="D2099" s="8">
        <v>3.1454474693308723E-5</v>
      </c>
      <c r="E2099" s="6">
        <f t="shared" si="64"/>
        <v>-0.29400000000000004</v>
      </c>
      <c r="F2099" s="8">
        <f t="shared" si="65"/>
        <v>-9.2476155598327659E-6</v>
      </c>
    </row>
    <row r="2100" spans="1:6" x14ac:dyDescent="0.2">
      <c r="A2100">
        <v>20</v>
      </c>
      <c r="B2100" t="s">
        <v>1141</v>
      </c>
      <c r="C2100" t="s">
        <v>1065</v>
      </c>
      <c r="D2100" s="8">
        <v>1.7206897251490001E-4</v>
      </c>
      <c r="E2100" s="6">
        <f t="shared" si="64"/>
        <v>0.68300000000000005</v>
      </c>
      <c r="F2100" s="8">
        <f t="shared" si="65"/>
        <v>1.1752310822767672E-4</v>
      </c>
    </row>
    <row r="2101" spans="1:6" x14ac:dyDescent="0.2">
      <c r="A2101">
        <v>20</v>
      </c>
      <c r="B2101" t="s">
        <v>1141</v>
      </c>
      <c r="C2101" t="s">
        <v>1066</v>
      </c>
      <c r="D2101" s="8">
        <v>1.14811719976269E-2</v>
      </c>
      <c r="E2101" s="6">
        <f t="shared" si="64"/>
        <v>0.20900000000000007</v>
      </c>
      <c r="F2101" s="8">
        <f t="shared" si="65"/>
        <v>2.399564947504023E-3</v>
      </c>
    </row>
    <row r="2102" spans="1:6" x14ac:dyDescent="0.2">
      <c r="A2102">
        <v>20</v>
      </c>
      <c r="B2102" t="s">
        <v>1141</v>
      </c>
      <c r="C2102" t="s">
        <v>1067</v>
      </c>
      <c r="D2102" s="8">
        <v>1.191487039736999E-6</v>
      </c>
      <c r="E2102" s="6">
        <f t="shared" si="64"/>
        <v>0.17700000000000005</v>
      </c>
      <c r="F2102" s="8">
        <f t="shared" si="65"/>
        <v>2.1089320603344887E-7</v>
      </c>
    </row>
    <row r="2103" spans="1:6" x14ac:dyDescent="0.2">
      <c r="A2103">
        <v>20</v>
      </c>
      <c r="B2103" t="s">
        <v>1141</v>
      </c>
      <c r="C2103" t="s">
        <v>1106</v>
      </c>
      <c r="D2103" s="8">
        <v>1.0087526980834E-3</v>
      </c>
      <c r="E2103" s="6">
        <f t="shared" si="64"/>
        <v>0</v>
      </c>
      <c r="F2103" s="8">
        <f t="shared" si="65"/>
        <v>0</v>
      </c>
    </row>
    <row r="2104" spans="1:6" x14ac:dyDescent="0.2">
      <c r="A2104">
        <v>20</v>
      </c>
      <c r="B2104" t="s">
        <v>1141</v>
      </c>
      <c r="C2104" t="s">
        <v>1069</v>
      </c>
      <c r="D2104" s="8">
        <v>1.412760323443E-4</v>
      </c>
      <c r="E2104" s="6">
        <f t="shared" si="64"/>
        <v>-0.13199999999999967</v>
      </c>
      <c r="F2104" s="8">
        <f t="shared" si="65"/>
        <v>-1.8648436269447555E-5</v>
      </c>
    </row>
    <row r="2105" spans="1:6" x14ac:dyDescent="0.2">
      <c r="A2105">
        <v>20</v>
      </c>
      <c r="B2105" t="s">
        <v>1141</v>
      </c>
      <c r="C2105" t="s">
        <v>1070</v>
      </c>
      <c r="D2105" s="8">
        <v>6.9152304253962863E-5</v>
      </c>
      <c r="E2105" s="6">
        <f t="shared" si="64"/>
        <v>-2.5</v>
      </c>
      <c r="F2105" s="8">
        <f t="shared" si="65"/>
        <v>-1.7288076063490715E-4</v>
      </c>
    </row>
    <row r="2106" spans="1:6" x14ac:dyDescent="0.2">
      <c r="A2106">
        <v>20</v>
      </c>
      <c r="B2106" t="s">
        <v>1141</v>
      </c>
      <c r="C2106" t="s">
        <v>1071</v>
      </c>
      <c r="D2106" s="8">
        <v>7.894921252244E-4</v>
      </c>
      <c r="E2106" s="6">
        <f t="shared" si="64"/>
        <v>-0.8</v>
      </c>
      <c r="F2106" s="8">
        <f t="shared" si="65"/>
        <v>-6.3159370017952E-4</v>
      </c>
    </row>
    <row r="2107" spans="1:6" x14ac:dyDescent="0.2">
      <c r="A2107">
        <v>20</v>
      </c>
      <c r="B2107" t="s">
        <v>1141</v>
      </c>
      <c r="C2107" t="s">
        <v>1072</v>
      </c>
      <c r="D2107" s="8">
        <v>5.8536944730709001E-2</v>
      </c>
      <c r="E2107" s="6">
        <f t="shared" si="64"/>
        <v>0.55599999999999983</v>
      </c>
      <c r="F2107" s="8">
        <f t="shared" si="65"/>
        <v>3.2546541270274197E-2</v>
      </c>
    </row>
    <row r="2108" spans="1:6" x14ac:dyDescent="0.2">
      <c r="A2108">
        <v>20</v>
      </c>
      <c r="B2108" t="s">
        <v>1141</v>
      </c>
      <c r="C2108" t="s">
        <v>1073</v>
      </c>
      <c r="D2108" s="8">
        <v>3.5085950654499952E-5</v>
      </c>
      <c r="E2108" s="6">
        <f t="shared" si="64"/>
        <v>0.69200000000000017</v>
      </c>
      <c r="F2108" s="8">
        <f t="shared" si="65"/>
        <v>2.4279477852913972E-5</v>
      </c>
    </row>
    <row r="2109" spans="1:6" x14ac:dyDescent="0.2">
      <c r="A2109">
        <v>20</v>
      </c>
      <c r="B2109" t="s">
        <v>1141</v>
      </c>
      <c r="C2109" t="s">
        <v>1074</v>
      </c>
      <c r="D2109" s="8">
        <v>1.0149210100083E-3</v>
      </c>
      <c r="E2109" s="6">
        <f t="shared" si="64"/>
        <v>9.5</v>
      </c>
      <c r="F2109" s="8">
        <f t="shared" si="65"/>
        <v>9.6417495950788489E-3</v>
      </c>
    </row>
    <row r="2110" spans="1:6" x14ac:dyDescent="0.2">
      <c r="A2110">
        <v>20</v>
      </c>
      <c r="B2110" t="s">
        <v>1141</v>
      </c>
      <c r="C2110" t="s">
        <v>1075</v>
      </c>
      <c r="D2110" s="8">
        <v>3.4539545106472697E-2</v>
      </c>
      <c r="E2110" s="6">
        <f t="shared" ref="E2110:E2173" si="66">IFERROR(VLOOKUP(C2110,$A$6:$D$185,4,FALSE),0)</f>
        <v>3.0529999999999999</v>
      </c>
      <c r="F2110" s="8">
        <f t="shared" ref="F2110:F2173" si="67">D2110*E2110</f>
        <v>0.10544923121006114</v>
      </c>
    </row>
    <row r="2111" spans="1:6" x14ac:dyDescent="0.2">
      <c r="A2111">
        <v>20</v>
      </c>
      <c r="B2111" t="s">
        <v>1141</v>
      </c>
      <c r="C2111" t="s">
        <v>1076</v>
      </c>
      <c r="D2111" s="8">
        <v>3.8063703821620788E-5</v>
      </c>
      <c r="E2111" s="6">
        <f t="shared" si="66"/>
        <v>1.4060000000000001</v>
      </c>
      <c r="F2111" s="8">
        <f t="shared" si="67"/>
        <v>5.3517567573198831E-5</v>
      </c>
    </row>
    <row r="2112" spans="1:6" x14ac:dyDescent="0.2">
      <c r="A2112">
        <v>20</v>
      </c>
      <c r="B2112" t="s">
        <v>1141</v>
      </c>
      <c r="C2112" t="s">
        <v>1077</v>
      </c>
      <c r="D2112" s="8">
        <v>6.4168529479410972E-5</v>
      </c>
      <c r="E2112" s="6">
        <f t="shared" si="66"/>
        <v>0.63200000000000012</v>
      </c>
      <c r="F2112" s="8">
        <f t="shared" si="67"/>
        <v>4.0554510630987741E-5</v>
      </c>
    </row>
    <row r="2113" spans="1:6" x14ac:dyDescent="0.2">
      <c r="A2113">
        <v>20</v>
      </c>
      <c r="B2113" t="s">
        <v>1141</v>
      </c>
      <c r="C2113" t="s">
        <v>1078</v>
      </c>
      <c r="D2113" s="8">
        <v>7.4767843706769995E-4</v>
      </c>
      <c r="E2113" s="6">
        <f t="shared" si="66"/>
        <v>0.5</v>
      </c>
      <c r="F2113" s="8">
        <f t="shared" si="67"/>
        <v>3.7383921853384998E-4</v>
      </c>
    </row>
    <row r="2114" spans="1:6" x14ac:dyDescent="0.2">
      <c r="A2114">
        <v>20</v>
      </c>
      <c r="B2114" t="s">
        <v>1141</v>
      </c>
      <c r="C2114" t="s">
        <v>1079</v>
      </c>
      <c r="D2114" s="8">
        <v>2.8789582084787001E-3</v>
      </c>
      <c r="E2114" s="6">
        <f t="shared" si="66"/>
        <v>-0.28899999999999992</v>
      </c>
      <c r="F2114" s="8">
        <f t="shared" si="67"/>
        <v>-8.3201892225034414E-4</v>
      </c>
    </row>
    <row r="2115" spans="1:6" x14ac:dyDescent="0.2">
      <c r="A2115">
        <v>20</v>
      </c>
      <c r="B2115" t="s">
        <v>1141</v>
      </c>
      <c r="C2115" t="s">
        <v>1080</v>
      </c>
      <c r="D2115" s="8">
        <v>7.6418896419443719E-6</v>
      </c>
      <c r="E2115" s="6">
        <f t="shared" si="66"/>
        <v>-2.5170000000000003</v>
      </c>
      <c r="F2115" s="8">
        <f t="shared" si="67"/>
        <v>-1.9234636228773986E-5</v>
      </c>
    </row>
    <row r="2116" spans="1:6" x14ac:dyDescent="0.2">
      <c r="A2116">
        <v>21</v>
      </c>
      <c r="B2116" t="s">
        <v>1143</v>
      </c>
      <c r="C2116" t="s">
        <v>902</v>
      </c>
      <c r="D2116" s="8">
        <v>1.428090126870517E-5</v>
      </c>
      <c r="E2116" s="6">
        <f t="shared" si="66"/>
        <v>-0.28000000000000025</v>
      </c>
      <c r="F2116" s="8">
        <f t="shared" si="67"/>
        <v>-3.9986523552374509E-6</v>
      </c>
    </row>
    <row r="2117" spans="1:6" x14ac:dyDescent="0.2">
      <c r="A2117">
        <v>21</v>
      </c>
      <c r="B2117" t="s">
        <v>1143</v>
      </c>
      <c r="C2117" t="s">
        <v>1090</v>
      </c>
      <c r="D2117" s="8">
        <v>1.8580096691137259E-5</v>
      </c>
      <c r="E2117" s="6">
        <f t="shared" si="66"/>
        <v>0</v>
      </c>
      <c r="F2117" s="8">
        <f t="shared" si="67"/>
        <v>0</v>
      </c>
    </row>
    <row r="2118" spans="1:6" x14ac:dyDescent="0.2">
      <c r="A2118">
        <v>21</v>
      </c>
      <c r="B2118" t="s">
        <v>1143</v>
      </c>
      <c r="C2118" t="s">
        <v>903</v>
      </c>
      <c r="D2118" s="8">
        <v>1.3685760082680001E-4</v>
      </c>
      <c r="E2118" s="6">
        <f t="shared" si="66"/>
        <v>0.22399999999999975</v>
      </c>
      <c r="F2118" s="8">
        <f t="shared" si="67"/>
        <v>3.0656102585203169E-5</v>
      </c>
    </row>
    <row r="2119" spans="1:6" x14ac:dyDescent="0.2">
      <c r="A2119">
        <v>21</v>
      </c>
      <c r="B2119" t="s">
        <v>1143</v>
      </c>
      <c r="C2119" t="s">
        <v>904</v>
      </c>
      <c r="D2119" s="8">
        <v>2.157179472636422E-9</v>
      </c>
      <c r="E2119" s="6">
        <f t="shared" si="66"/>
        <v>-6.800000000000006E-2</v>
      </c>
      <c r="F2119" s="8">
        <f t="shared" si="67"/>
        <v>-1.4668820413927683E-10</v>
      </c>
    </row>
    <row r="2120" spans="1:6" x14ac:dyDescent="0.2">
      <c r="A2120">
        <v>21</v>
      </c>
      <c r="B2120" t="s">
        <v>1143</v>
      </c>
      <c r="C2120" t="s">
        <v>906</v>
      </c>
      <c r="D2120" s="8">
        <v>4.9158269587048003E-3</v>
      </c>
      <c r="E2120" s="6">
        <f t="shared" si="66"/>
        <v>-1.8859999999999997</v>
      </c>
      <c r="F2120" s="8">
        <f t="shared" si="67"/>
        <v>-9.2712496441172514E-3</v>
      </c>
    </row>
    <row r="2121" spans="1:6" x14ac:dyDescent="0.2">
      <c r="A2121">
        <v>21</v>
      </c>
      <c r="B2121" t="s">
        <v>1143</v>
      </c>
      <c r="C2121" t="s">
        <v>907</v>
      </c>
      <c r="D2121" s="8">
        <v>5.7553637033480997E-3</v>
      </c>
      <c r="E2121" s="6">
        <f t="shared" si="66"/>
        <v>-1.0199999999999996</v>
      </c>
      <c r="F2121" s="8">
        <f t="shared" si="67"/>
        <v>-5.8704709774150595E-3</v>
      </c>
    </row>
    <row r="2122" spans="1:6" x14ac:dyDescent="0.2">
      <c r="A2122">
        <v>21</v>
      </c>
      <c r="B2122" t="s">
        <v>1143</v>
      </c>
      <c r="C2122" t="s">
        <v>908</v>
      </c>
      <c r="D2122" s="8">
        <v>1.577022135726E-4</v>
      </c>
      <c r="E2122" s="6">
        <f t="shared" si="66"/>
        <v>0.79999999999999982</v>
      </c>
      <c r="F2122" s="8">
        <f t="shared" si="67"/>
        <v>1.2616177085807996E-4</v>
      </c>
    </row>
    <row r="2123" spans="1:6" x14ac:dyDescent="0.2">
      <c r="A2123">
        <v>21</v>
      </c>
      <c r="B2123" t="s">
        <v>1143</v>
      </c>
      <c r="C2123" t="s">
        <v>1097</v>
      </c>
      <c r="D2123" s="8">
        <v>1.2036723391871489E-7</v>
      </c>
      <c r="E2123" s="6">
        <f t="shared" si="66"/>
        <v>0</v>
      </c>
      <c r="F2123" s="8">
        <f t="shared" si="67"/>
        <v>0</v>
      </c>
    </row>
    <row r="2124" spans="1:6" x14ac:dyDescent="0.2">
      <c r="A2124">
        <v>21</v>
      </c>
      <c r="B2124" t="s">
        <v>1143</v>
      </c>
      <c r="C2124" t="s">
        <v>909</v>
      </c>
      <c r="D2124" s="8">
        <v>4.4131674241321568E-7</v>
      </c>
      <c r="E2124" s="6">
        <f t="shared" si="66"/>
        <v>5.9000000000000163E-2</v>
      </c>
      <c r="F2124" s="8">
        <f t="shared" si="67"/>
        <v>2.6037687802379796E-8</v>
      </c>
    </row>
    <row r="2125" spans="1:6" x14ac:dyDescent="0.2">
      <c r="A2125">
        <v>21</v>
      </c>
      <c r="B2125" t="s">
        <v>1143</v>
      </c>
      <c r="C2125" t="s">
        <v>910</v>
      </c>
      <c r="D2125" s="8">
        <v>1.81005455929748E-2</v>
      </c>
      <c r="E2125" s="6">
        <f t="shared" si="66"/>
        <v>-7.7999999999999847E-2</v>
      </c>
      <c r="F2125" s="8">
        <f t="shared" si="67"/>
        <v>-1.4118425562520316E-3</v>
      </c>
    </row>
    <row r="2126" spans="1:6" x14ac:dyDescent="0.2">
      <c r="A2126">
        <v>21</v>
      </c>
      <c r="B2126" t="s">
        <v>1143</v>
      </c>
      <c r="C2126" t="s">
        <v>911</v>
      </c>
      <c r="D2126" s="8">
        <v>6.6638995205312929E-5</v>
      </c>
      <c r="E2126" s="6">
        <f t="shared" si="66"/>
        <v>-7.5000000000000067E-2</v>
      </c>
      <c r="F2126" s="8">
        <f t="shared" si="67"/>
        <v>-4.9979246403984744E-6</v>
      </c>
    </row>
    <row r="2127" spans="1:6" x14ac:dyDescent="0.2">
      <c r="A2127">
        <v>21</v>
      </c>
      <c r="B2127" t="s">
        <v>1143</v>
      </c>
      <c r="C2127" t="s">
        <v>912</v>
      </c>
      <c r="D2127" s="8">
        <v>1.01772169782692E-5</v>
      </c>
      <c r="E2127" s="6">
        <f t="shared" si="66"/>
        <v>-0.29800000000000004</v>
      </c>
      <c r="F2127" s="8">
        <f t="shared" si="67"/>
        <v>-3.0328106595242221E-6</v>
      </c>
    </row>
    <row r="2128" spans="1:6" x14ac:dyDescent="0.2">
      <c r="A2128">
        <v>21</v>
      </c>
      <c r="B2128" t="s">
        <v>1143</v>
      </c>
      <c r="C2128" t="s">
        <v>913</v>
      </c>
      <c r="D2128" s="8">
        <v>2.0885974247444001E-5</v>
      </c>
      <c r="E2128" s="6">
        <f t="shared" si="66"/>
        <v>1.2109999999999999</v>
      </c>
      <c r="F2128" s="8">
        <f t="shared" si="67"/>
        <v>2.5292914813654684E-5</v>
      </c>
    </row>
    <row r="2129" spans="1:6" x14ac:dyDescent="0.2">
      <c r="A2129">
        <v>21</v>
      </c>
      <c r="B2129" t="s">
        <v>1143</v>
      </c>
      <c r="C2129" t="s">
        <v>914</v>
      </c>
      <c r="D2129" s="8">
        <v>6.9501476313059999E-3</v>
      </c>
      <c r="E2129" s="6">
        <f t="shared" si="66"/>
        <v>-0.26900000000000002</v>
      </c>
      <c r="F2129" s="8">
        <f t="shared" si="67"/>
        <v>-1.8695897128213142E-3</v>
      </c>
    </row>
    <row r="2130" spans="1:6" x14ac:dyDescent="0.2">
      <c r="A2130">
        <v>21</v>
      </c>
      <c r="B2130" t="s">
        <v>1143</v>
      </c>
      <c r="C2130" t="s">
        <v>915</v>
      </c>
      <c r="D2130" s="8">
        <v>2.1522788116285119E-5</v>
      </c>
      <c r="E2130" s="6">
        <f t="shared" si="66"/>
        <v>0.81400000000000006</v>
      </c>
      <c r="F2130" s="8">
        <f t="shared" si="67"/>
        <v>1.7519549526656089E-5</v>
      </c>
    </row>
    <row r="2131" spans="1:6" x14ac:dyDescent="0.2">
      <c r="A2131">
        <v>21</v>
      </c>
      <c r="B2131" t="s">
        <v>1143</v>
      </c>
      <c r="C2131" t="s">
        <v>916</v>
      </c>
      <c r="D2131" s="8">
        <v>3.1558618078477281E-6</v>
      </c>
      <c r="E2131" s="6">
        <f t="shared" si="66"/>
        <v>0.37200000000000077</v>
      </c>
      <c r="F2131" s="8">
        <f t="shared" si="67"/>
        <v>1.1739805925193572E-6</v>
      </c>
    </row>
    <row r="2132" spans="1:6" x14ac:dyDescent="0.2">
      <c r="A2132">
        <v>21</v>
      </c>
      <c r="B2132" t="s">
        <v>1143</v>
      </c>
      <c r="C2132" t="s">
        <v>917</v>
      </c>
      <c r="D2132" s="8">
        <v>1.8065897373591999E-3</v>
      </c>
      <c r="E2132" s="6">
        <f t="shared" si="66"/>
        <v>-1.83</v>
      </c>
      <c r="F2132" s="8">
        <f t="shared" si="67"/>
        <v>-3.306059219367336E-3</v>
      </c>
    </row>
    <row r="2133" spans="1:6" x14ac:dyDescent="0.2">
      <c r="A2133">
        <v>21</v>
      </c>
      <c r="B2133" t="s">
        <v>1143</v>
      </c>
      <c r="C2133" t="s">
        <v>918</v>
      </c>
      <c r="D2133" s="8">
        <v>6.9917698982679998E-4</v>
      </c>
      <c r="E2133" s="6">
        <f t="shared" si="66"/>
        <v>0.1469999999999998</v>
      </c>
      <c r="F2133" s="8">
        <f t="shared" si="67"/>
        <v>1.0277901750453946E-4</v>
      </c>
    </row>
    <row r="2134" spans="1:6" x14ac:dyDescent="0.2">
      <c r="A2134">
        <v>21</v>
      </c>
      <c r="B2134" t="s">
        <v>1143</v>
      </c>
      <c r="C2134" t="s">
        <v>919</v>
      </c>
      <c r="D2134" s="8">
        <v>2.0283307708629999E-4</v>
      </c>
      <c r="E2134" s="6">
        <f t="shared" si="66"/>
        <v>-3.4940000000000002</v>
      </c>
      <c r="F2134" s="8">
        <f t="shared" si="67"/>
        <v>-7.0869877133953219E-4</v>
      </c>
    </row>
    <row r="2135" spans="1:6" x14ac:dyDescent="0.2">
      <c r="A2135">
        <v>21</v>
      </c>
      <c r="B2135" t="s">
        <v>1143</v>
      </c>
      <c r="C2135" t="s">
        <v>920</v>
      </c>
      <c r="D2135" s="8">
        <v>5.6921163118359239E-5</v>
      </c>
      <c r="E2135" s="6">
        <f t="shared" si="66"/>
        <v>0.40000000000000013</v>
      </c>
      <c r="F2135" s="8">
        <f t="shared" si="67"/>
        <v>2.2768465247343702E-5</v>
      </c>
    </row>
    <row r="2136" spans="1:6" x14ac:dyDescent="0.2">
      <c r="A2136">
        <v>21</v>
      </c>
      <c r="B2136" t="s">
        <v>1143</v>
      </c>
      <c r="C2136" t="s">
        <v>923</v>
      </c>
      <c r="D2136" s="8">
        <v>3.8502140281723512E-5</v>
      </c>
      <c r="E2136" s="6">
        <f t="shared" si="66"/>
        <v>-0.29999999999999982</v>
      </c>
      <c r="F2136" s="8">
        <f t="shared" si="67"/>
        <v>-1.1550642084517046E-5</v>
      </c>
    </row>
    <row r="2137" spans="1:6" x14ac:dyDescent="0.2">
      <c r="A2137">
        <v>21</v>
      </c>
      <c r="B2137" t="s">
        <v>1143</v>
      </c>
      <c r="C2137" t="s">
        <v>1129</v>
      </c>
      <c r="D2137" s="8">
        <v>2.8408765786279811E-7</v>
      </c>
      <c r="E2137" s="6">
        <f t="shared" si="66"/>
        <v>0</v>
      </c>
      <c r="F2137" s="8">
        <f t="shared" si="67"/>
        <v>0</v>
      </c>
    </row>
    <row r="2138" spans="1:6" x14ac:dyDescent="0.2">
      <c r="A2138">
        <v>21</v>
      </c>
      <c r="B2138" t="s">
        <v>1143</v>
      </c>
      <c r="C2138" t="s">
        <v>1115</v>
      </c>
      <c r="D2138" s="8">
        <v>7.9284269712312511E-5</v>
      </c>
      <c r="E2138" s="6">
        <f t="shared" si="66"/>
        <v>0</v>
      </c>
      <c r="F2138" s="8">
        <f t="shared" si="67"/>
        <v>0</v>
      </c>
    </row>
    <row r="2139" spans="1:6" x14ac:dyDescent="0.2">
      <c r="A2139">
        <v>21</v>
      </c>
      <c r="B2139" t="s">
        <v>1143</v>
      </c>
      <c r="C2139" t="s">
        <v>924</v>
      </c>
      <c r="D2139" s="8">
        <v>1.6044298341422601E-2</v>
      </c>
      <c r="E2139" s="6">
        <f t="shared" si="66"/>
        <v>-8.4000000000000075E-2</v>
      </c>
      <c r="F2139" s="8">
        <f t="shared" si="67"/>
        <v>-1.3477210606794997E-3</v>
      </c>
    </row>
    <row r="2140" spans="1:6" x14ac:dyDescent="0.2">
      <c r="A2140">
        <v>21</v>
      </c>
      <c r="B2140" t="s">
        <v>1143</v>
      </c>
      <c r="C2140" t="s">
        <v>925</v>
      </c>
      <c r="D2140" s="8">
        <v>6.1815362246864187E-6</v>
      </c>
      <c r="E2140" s="6">
        <f t="shared" si="66"/>
        <v>0.20000000000000018</v>
      </c>
      <c r="F2140" s="8">
        <f t="shared" si="67"/>
        <v>1.2363072449372849E-6</v>
      </c>
    </row>
    <row r="2141" spans="1:6" x14ac:dyDescent="0.2">
      <c r="A2141">
        <v>21</v>
      </c>
      <c r="B2141" t="s">
        <v>1143</v>
      </c>
      <c r="C2141" t="s">
        <v>926</v>
      </c>
      <c r="D2141" s="8">
        <v>1.3629097288490001E-4</v>
      </c>
      <c r="E2141" s="6">
        <f t="shared" si="66"/>
        <v>-4.8000000000000043E-2</v>
      </c>
      <c r="F2141" s="8">
        <f t="shared" si="67"/>
        <v>-6.5419666984752061E-6</v>
      </c>
    </row>
    <row r="2142" spans="1:6" x14ac:dyDescent="0.2">
      <c r="A2142">
        <v>21</v>
      </c>
      <c r="B2142" t="s">
        <v>1143</v>
      </c>
      <c r="C2142" t="s">
        <v>928</v>
      </c>
      <c r="D2142" s="8">
        <v>1.162785739003553E-5</v>
      </c>
      <c r="E2142" s="6">
        <f t="shared" si="66"/>
        <v>2.423</v>
      </c>
      <c r="F2142" s="8">
        <f t="shared" si="67"/>
        <v>2.8174298456056088E-5</v>
      </c>
    </row>
    <row r="2143" spans="1:6" x14ac:dyDescent="0.2">
      <c r="A2143">
        <v>21</v>
      </c>
      <c r="B2143" t="s">
        <v>1143</v>
      </c>
      <c r="C2143" t="s">
        <v>929</v>
      </c>
      <c r="D2143" s="8">
        <v>1.6896877720759049E-5</v>
      </c>
      <c r="E2143" s="6">
        <f t="shared" si="66"/>
        <v>-0.54599999999999982</v>
      </c>
      <c r="F2143" s="8">
        <f t="shared" si="67"/>
        <v>-9.2256952355344382E-6</v>
      </c>
    </row>
    <row r="2144" spans="1:6" x14ac:dyDescent="0.2">
      <c r="A2144">
        <v>21</v>
      </c>
      <c r="B2144" t="s">
        <v>1143</v>
      </c>
      <c r="C2144" t="s">
        <v>930</v>
      </c>
      <c r="D2144" s="8">
        <v>2.1901521278478001E-2</v>
      </c>
      <c r="E2144" s="6">
        <f t="shared" si="66"/>
        <v>-5.8000000000000052E-2</v>
      </c>
      <c r="F2144" s="8">
        <f t="shared" si="67"/>
        <v>-1.2702882341517252E-3</v>
      </c>
    </row>
    <row r="2145" spans="1:6" x14ac:dyDescent="0.2">
      <c r="A2145">
        <v>21</v>
      </c>
      <c r="B2145" t="s">
        <v>1143</v>
      </c>
      <c r="C2145" t="s">
        <v>931</v>
      </c>
      <c r="D2145" s="8">
        <v>4.7649044379250002E-4</v>
      </c>
      <c r="E2145" s="6">
        <f t="shared" si="66"/>
        <v>-0.31099999999999994</v>
      </c>
      <c r="F2145" s="8">
        <f t="shared" si="67"/>
        <v>-1.4818852801946748E-4</v>
      </c>
    </row>
    <row r="2146" spans="1:6" x14ac:dyDescent="0.2">
      <c r="A2146">
        <v>21</v>
      </c>
      <c r="B2146" t="s">
        <v>1143</v>
      </c>
      <c r="C2146" t="s">
        <v>932</v>
      </c>
      <c r="D2146" s="8">
        <v>1.0889720733750999E-3</v>
      </c>
      <c r="E2146" s="6">
        <f t="shared" si="66"/>
        <v>0.21799999999999997</v>
      </c>
      <c r="F2146" s="8">
        <f t="shared" si="67"/>
        <v>2.3739591199577176E-4</v>
      </c>
    </row>
    <row r="2147" spans="1:6" x14ac:dyDescent="0.2">
      <c r="A2147">
        <v>21</v>
      </c>
      <c r="B2147" t="s">
        <v>1143</v>
      </c>
      <c r="C2147" t="s">
        <v>933</v>
      </c>
      <c r="D2147" s="8">
        <v>5.9923092874762503E-2</v>
      </c>
      <c r="E2147" s="6">
        <f t="shared" si="66"/>
        <v>0.4430000000000005</v>
      </c>
      <c r="F2147" s="8">
        <f t="shared" si="67"/>
        <v>2.654593014351982E-2</v>
      </c>
    </row>
    <row r="2148" spans="1:6" x14ac:dyDescent="0.2">
      <c r="A2148">
        <v>21</v>
      </c>
      <c r="B2148" t="s">
        <v>1143</v>
      </c>
      <c r="C2148" t="s">
        <v>934</v>
      </c>
      <c r="D2148" s="8">
        <v>3.4608512582000003E-4</v>
      </c>
      <c r="E2148" s="6">
        <f t="shared" si="66"/>
        <v>-0.20000000000000018</v>
      </c>
      <c r="F2148" s="8">
        <f t="shared" si="67"/>
        <v>-6.9217025164000073E-5</v>
      </c>
    </row>
    <row r="2149" spans="1:6" x14ac:dyDescent="0.2">
      <c r="A2149">
        <v>21</v>
      </c>
      <c r="B2149" t="s">
        <v>1143</v>
      </c>
      <c r="C2149" t="s">
        <v>935</v>
      </c>
      <c r="D2149" s="8">
        <v>1.7897985916969999E-4</v>
      </c>
      <c r="E2149" s="6">
        <f t="shared" si="66"/>
        <v>-0.71799999999999997</v>
      </c>
      <c r="F2149" s="8">
        <f t="shared" si="67"/>
        <v>-1.2850753888384459E-4</v>
      </c>
    </row>
    <row r="2150" spans="1:6" x14ac:dyDescent="0.2">
      <c r="A2150">
        <v>21</v>
      </c>
      <c r="B2150" t="s">
        <v>1143</v>
      </c>
      <c r="C2150" t="s">
        <v>936</v>
      </c>
      <c r="D2150" s="8">
        <v>4.9392127027900782E-5</v>
      </c>
      <c r="E2150" s="6">
        <f t="shared" si="66"/>
        <v>0.72900000000000009</v>
      </c>
      <c r="F2150" s="8">
        <f t="shared" si="67"/>
        <v>3.6006860603339677E-5</v>
      </c>
    </row>
    <row r="2151" spans="1:6" x14ac:dyDescent="0.2">
      <c r="A2151">
        <v>21</v>
      </c>
      <c r="B2151" t="s">
        <v>1143</v>
      </c>
      <c r="C2151" t="s">
        <v>937</v>
      </c>
      <c r="D2151" s="8">
        <v>3.7260627794915458E-5</v>
      </c>
      <c r="E2151" s="6">
        <f t="shared" si="66"/>
        <v>-0.3660000000000001</v>
      </c>
      <c r="F2151" s="8">
        <f t="shared" si="67"/>
        <v>-1.3637389772939061E-5</v>
      </c>
    </row>
    <row r="2152" spans="1:6" x14ac:dyDescent="0.2">
      <c r="A2152">
        <v>21</v>
      </c>
      <c r="B2152" t="s">
        <v>1143</v>
      </c>
      <c r="C2152" t="s">
        <v>1102</v>
      </c>
      <c r="D2152" s="8">
        <v>1.9688448259918439E-7</v>
      </c>
      <c r="E2152" s="6">
        <f t="shared" si="66"/>
        <v>0</v>
      </c>
      <c r="F2152" s="8">
        <f t="shared" si="67"/>
        <v>0</v>
      </c>
    </row>
    <row r="2153" spans="1:6" x14ac:dyDescent="0.2">
      <c r="A2153">
        <v>21</v>
      </c>
      <c r="B2153" t="s">
        <v>1143</v>
      </c>
      <c r="C2153" t="s">
        <v>938</v>
      </c>
      <c r="D2153" s="8">
        <v>2.4602225601592E-3</v>
      </c>
      <c r="E2153" s="6">
        <f t="shared" si="66"/>
        <v>-0.32500000000000018</v>
      </c>
      <c r="F2153" s="8">
        <f t="shared" si="67"/>
        <v>-7.995723320517404E-4</v>
      </c>
    </row>
    <row r="2154" spans="1:6" x14ac:dyDescent="0.2">
      <c r="A2154">
        <v>21</v>
      </c>
      <c r="B2154" t="s">
        <v>1143</v>
      </c>
      <c r="C2154" t="s">
        <v>941</v>
      </c>
      <c r="D2154" s="8">
        <v>3.740164190871E-4</v>
      </c>
      <c r="E2154" s="6">
        <f t="shared" si="66"/>
        <v>0.16599999999999993</v>
      </c>
      <c r="F2154" s="8">
        <f t="shared" si="67"/>
        <v>6.2086725568458574E-5</v>
      </c>
    </row>
    <row r="2155" spans="1:6" x14ac:dyDescent="0.2">
      <c r="A2155">
        <v>21</v>
      </c>
      <c r="B2155" t="s">
        <v>1143</v>
      </c>
      <c r="C2155" t="s">
        <v>1111</v>
      </c>
      <c r="D2155" s="8">
        <v>4.4525119629599036E-6</v>
      </c>
      <c r="E2155" s="6">
        <f t="shared" si="66"/>
        <v>0</v>
      </c>
      <c r="F2155" s="8">
        <f t="shared" si="67"/>
        <v>0</v>
      </c>
    </row>
    <row r="2156" spans="1:6" x14ac:dyDescent="0.2">
      <c r="A2156">
        <v>21</v>
      </c>
      <c r="B2156" t="s">
        <v>1143</v>
      </c>
      <c r="C2156" t="s">
        <v>1103</v>
      </c>
      <c r="D2156" s="8">
        <v>6.5579495541426297E-6</v>
      </c>
      <c r="E2156" s="6">
        <f t="shared" si="66"/>
        <v>0</v>
      </c>
      <c r="F2156" s="8">
        <f t="shared" si="67"/>
        <v>0</v>
      </c>
    </row>
    <row r="2157" spans="1:6" x14ac:dyDescent="0.2">
      <c r="A2157">
        <v>21</v>
      </c>
      <c r="B2157" t="s">
        <v>1143</v>
      </c>
      <c r="C2157" t="s">
        <v>942</v>
      </c>
      <c r="D2157" s="8">
        <v>1.8373423604220001E-4</v>
      </c>
      <c r="E2157" s="6">
        <f t="shared" si="66"/>
        <v>0.33700000000000019</v>
      </c>
      <c r="F2157" s="8">
        <f t="shared" si="67"/>
        <v>6.1918437546221435E-5</v>
      </c>
    </row>
    <row r="2158" spans="1:6" x14ac:dyDescent="0.2">
      <c r="A2158">
        <v>21</v>
      </c>
      <c r="B2158" t="s">
        <v>1143</v>
      </c>
      <c r="C2158" t="s">
        <v>943</v>
      </c>
      <c r="D2158" s="8">
        <v>6.4823074055610002E-4</v>
      </c>
      <c r="E2158" s="6">
        <f t="shared" si="66"/>
        <v>0.40800000000000014</v>
      </c>
      <c r="F2158" s="8">
        <f t="shared" si="67"/>
        <v>2.6447814214688889E-4</v>
      </c>
    </row>
    <row r="2159" spans="1:6" x14ac:dyDescent="0.2">
      <c r="A2159">
        <v>21</v>
      </c>
      <c r="B2159" t="s">
        <v>1143</v>
      </c>
      <c r="C2159" t="s">
        <v>944</v>
      </c>
      <c r="D2159" s="8">
        <v>1.74710988581093E-2</v>
      </c>
      <c r="E2159" s="6">
        <f t="shared" si="66"/>
        <v>-0.122</v>
      </c>
      <c r="F2159" s="8">
        <f t="shared" si="67"/>
        <v>-2.1314740606893346E-3</v>
      </c>
    </row>
    <row r="2160" spans="1:6" x14ac:dyDescent="0.2">
      <c r="A2160">
        <v>21</v>
      </c>
      <c r="B2160" t="s">
        <v>1143</v>
      </c>
      <c r="C2160" t="s">
        <v>945</v>
      </c>
      <c r="D2160" s="8">
        <v>1.0529930310564099E-5</v>
      </c>
      <c r="E2160" s="6">
        <f t="shared" si="66"/>
        <v>0.49000000000000021</v>
      </c>
      <c r="F2160" s="8">
        <f t="shared" si="67"/>
        <v>5.1596658521764108E-6</v>
      </c>
    </row>
    <row r="2161" spans="1:6" x14ac:dyDescent="0.2">
      <c r="A2161">
        <v>21</v>
      </c>
      <c r="B2161" t="s">
        <v>1143</v>
      </c>
      <c r="C2161" t="s">
        <v>946</v>
      </c>
      <c r="D2161" s="8">
        <v>1.4250408088007569E-6</v>
      </c>
      <c r="E2161" s="6">
        <f t="shared" si="66"/>
        <v>-0.1639999999999997</v>
      </c>
      <c r="F2161" s="8">
        <f t="shared" si="67"/>
        <v>-2.337066926433237E-7</v>
      </c>
    </row>
    <row r="2162" spans="1:6" x14ac:dyDescent="0.2">
      <c r="A2162">
        <v>21</v>
      </c>
      <c r="B2162" t="s">
        <v>1143</v>
      </c>
      <c r="C2162" t="s">
        <v>947</v>
      </c>
      <c r="D2162" s="8">
        <v>4.0521540411670001E-4</v>
      </c>
      <c r="E2162" s="6">
        <f t="shared" si="66"/>
        <v>0.15500000000000003</v>
      </c>
      <c r="F2162" s="8">
        <f t="shared" si="67"/>
        <v>6.2808387638088511E-5</v>
      </c>
    </row>
    <row r="2163" spans="1:6" x14ac:dyDescent="0.2">
      <c r="A2163">
        <v>21</v>
      </c>
      <c r="B2163" t="s">
        <v>1143</v>
      </c>
      <c r="C2163" t="s">
        <v>948</v>
      </c>
      <c r="D2163" s="8">
        <v>1.913092960396E-4</v>
      </c>
      <c r="E2163" s="6">
        <f t="shared" si="66"/>
        <v>-1.0880000000000001</v>
      </c>
      <c r="F2163" s="8">
        <f t="shared" si="67"/>
        <v>-2.0814451409108481E-4</v>
      </c>
    </row>
    <row r="2164" spans="1:6" x14ac:dyDescent="0.2">
      <c r="A2164">
        <v>21</v>
      </c>
      <c r="B2164" t="s">
        <v>1143</v>
      </c>
      <c r="C2164" t="s">
        <v>949</v>
      </c>
      <c r="D2164" s="8">
        <v>3.0794245180829999E-4</v>
      </c>
      <c r="E2164" s="6">
        <f t="shared" si="66"/>
        <v>0.79599999999999982</v>
      </c>
      <c r="F2164" s="8">
        <f t="shared" si="67"/>
        <v>2.4512219163940672E-4</v>
      </c>
    </row>
    <row r="2165" spans="1:6" x14ac:dyDescent="0.2">
      <c r="A2165">
        <v>21</v>
      </c>
      <c r="B2165" t="s">
        <v>1143</v>
      </c>
      <c r="C2165" t="s">
        <v>950</v>
      </c>
      <c r="D2165" s="8">
        <v>5.8699885961820001E-4</v>
      </c>
      <c r="E2165" s="6">
        <f t="shared" si="66"/>
        <v>0.38300000000000001</v>
      </c>
      <c r="F2165" s="8">
        <f t="shared" si="67"/>
        <v>2.2482056323377061E-4</v>
      </c>
    </row>
    <row r="2166" spans="1:6" x14ac:dyDescent="0.2">
      <c r="A2166">
        <v>21</v>
      </c>
      <c r="B2166" t="s">
        <v>1143</v>
      </c>
      <c r="C2166" t="s">
        <v>951</v>
      </c>
      <c r="D2166" s="8">
        <v>3.2413982041023001E-3</v>
      </c>
      <c r="E2166" s="6">
        <f t="shared" si="66"/>
        <v>-8.8000000000000078E-2</v>
      </c>
      <c r="F2166" s="8">
        <f t="shared" si="67"/>
        <v>-2.8524304196100267E-4</v>
      </c>
    </row>
    <row r="2167" spans="1:6" x14ac:dyDescent="0.2">
      <c r="A2167">
        <v>21</v>
      </c>
      <c r="B2167" t="s">
        <v>1143</v>
      </c>
      <c r="C2167" t="s">
        <v>952</v>
      </c>
      <c r="D2167" s="8">
        <v>5.9274568050435997E-3</v>
      </c>
      <c r="E2167" s="6">
        <f t="shared" si="66"/>
        <v>0.28300000000000014</v>
      </c>
      <c r="F2167" s="8">
        <f t="shared" si="67"/>
        <v>1.6774702758273396E-3</v>
      </c>
    </row>
    <row r="2168" spans="1:6" x14ac:dyDescent="0.2">
      <c r="A2168">
        <v>21</v>
      </c>
      <c r="B2168" t="s">
        <v>1143</v>
      </c>
      <c r="C2168" t="s">
        <v>953</v>
      </c>
      <c r="D2168" s="8">
        <v>2.170407147447E-4</v>
      </c>
      <c r="E2168" s="6">
        <f t="shared" si="66"/>
        <v>-0.42500000000000004</v>
      </c>
      <c r="F2168" s="8">
        <f t="shared" si="67"/>
        <v>-9.2242303766497513E-5</v>
      </c>
    </row>
    <row r="2169" spans="1:6" x14ac:dyDescent="0.2">
      <c r="A2169">
        <v>21</v>
      </c>
      <c r="B2169" t="s">
        <v>1143</v>
      </c>
      <c r="C2169" t="s">
        <v>954</v>
      </c>
      <c r="D2169" s="8">
        <v>3.6079901727942537E-5</v>
      </c>
      <c r="E2169" s="6">
        <f t="shared" si="66"/>
        <v>2.0929999999999991</v>
      </c>
      <c r="F2169" s="8">
        <f t="shared" si="67"/>
        <v>7.5515234316583698E-5</v>
      </c>
    </row>
    <row r="2170" spans="1:6" x14ac:dyDescent="0.2">
      <c r="A2170">
        <v>21</v>
      </c>
      <c r="B2170" t="s">
        <v>1143</v>
      </c>
      <c r="C2170" t="s">
        <v>955</v>
      </c>
      <c r="D2170" s="8">
        <v>1.6012788284673E-3</v>
      </c>
      <c r="E2170" s="6">
        <f t="shared" si="66"/>
        <v>-0.40500000000000003</v>
      </c>
      <c r="F2170" s="8">
        <f t="shared" si="67"/>
        <v>-6.4851792552925657E-4</v>
      </c>
    </row>
    <row r="2171" spans="1:6" x14ac:dyDescent="0.2">
      <c r="A2171">
        <v>21</v>
      </c>
      <c r="B2171" t="s">
        <v>1143</v>
      </c>
      <c r="C2171" t="s">
        <v>956</v>
      </c>
      <c r="D2171" s="8">
        <v>1.532843368969E-4</v>
      </c>
      <c r="E2171" s="6">
        <f t="shared" si="66"/>
        <v>-0.44700000000000006</v>
      </c>
      <c r="F2171" s="8">
        <f t="shared" si="67"/>
        <v>-6.8518098592914306E-5</v>
      </c>
    </row>
    <row r="2172" spans="1:6" x14ac:dyDescent="0.2">
      <c r="A2172">
        <v>21</v>
      </c>
      <c r="B2172" t="s">
        <v>1143</v>
      </c>
      <c r="C2172" t="s">
        <v>957</v>
      </c>
      <c r="D2172" s="8">
        <v>7.0312381482806E-3</v>
      </c>
      <c r="E2172" s="6">
        <f t="shared" si="66"/>
        <v>-0.11499999999999988</v>
      </c>
      <c r="F2172" s="8">
        <f t="shared" si="67"/>
        <v>-8.0859238705226818E-4</v>
      </c>
    </row>
    <row r="2173" spans="1:6" x14ac:dyDescent="0.2">
      <c r="A2173">
        <v>21</v>
      </c>
      <c r="B2173" t="s">
        <v>1143</v>
      </c>
      <c r="C2173" t="s">
        <v>1117</v>
      </c>
      <c r="D2173" s="8">
        <v>8.5247225219394846E-9</v>
      </c>
      <c r="E2173" s="6">
        <f t="shared" si="66"/>
        <v>0</v>
      </c>
      <c r="F2173" s="8">
        <f t="shared" si="67"/>
        <v>0</v>
      </c>
    </row>
    <row r="2174" spans="1:6" x14ac:dyDescent="0.2">
      <c r="A2174">
        <v>21</v>
      </c>
      <c r="B2174" t="s">
        <v>1143</v>
      </c>
      <c r="C2174" t="s">
        <v>958</v>
      </c>
      <c r="D2174" s="8">
        <v>2.0026581683010001E-4</v>
      </c>
      <c r="E2174" s="6">
        <f t="shared" ref="E2174:E2237" si="68">IFERROR(VLOOKUP(C2174,$A$6:$D$185,4,FALSE),0)</f>
        <v>9.6999999999999975E-2</v>
      </c>
      <c r="F2174" s="8">
        <f t="shared" ref="F2174:F2237" si="69">D2174*E2174</f>
        <v>1.9425784232519698E-5</v>
      </c>
    </row>
    <row r="2175" spans="1:6" x14ac:dyDescent="0.2">
      <c r="A2175">
        <v>21</v>
      </c>
      <c r="B2175" t="s">
        <v>1143</v>
      </c>
      <c r="C2175" t="s">
        <v>959</v>
      </c>
      <c r="D2175" s="8">
        <v>1.20621110593591E-2</v>
      </c>
      <c r="E2175" s="6">
        <f t="shared" si="68"/>
        <v>-0.60699999999999998</v>
      </c>
      <c r="F2175" s="8">
        <f t="shared" si="69"/>
        <v>-7.321701413030973E-3</v>
      </c>
    </row>
    <row r="2176" spans="1:6" x14ac:dyDescent="0.2">
      <c r="A2176">
        <v>21</v>
      </c>
      <c r="B2176" t="s">
        <v>1143</v>
      </c>
      <c r="C2176" t="s">
        <v>960</v>
      </c>
      <c r="D2176" s="8">
        <v>1.935731324218E-4</v>
      </c>
      <c r="E2176" s="6">
        <f t="shared" si="68"/>
        <v>0.29999999999999982</v>
      </c>
      <c r="F2176" s="8">
        <f t="shared" si="69"/>
        <v>5.8071939726539965E-5</v>
      </c>
    </row>
    <row r="2177" spans="1:6" x14ac:dyDescent="0.2">
      <c r="A2177">
        <v>21</v>
      </c>
      <c r="B2177" t="s">
        <v>1143</v>
      </c>
      <c r="C2177" t="s">
        <v>961</v>
      </c>
      <c r="D2177" s="8">
        <v>4.0098850592029997E-4</v>
      </c>
      <c r="E2177" s="6">
        <f t="shared" si="68"/>
        <v>6.9999999999996732E-3</v>
      </c>
      <c r="F2177" s="8">
        <f t="shared" si="69"/>
        <v>2.8069195414419689E-6</v>
      </c>
    </row>
    <row r="2178" spans="1:6" x14ac:dyDescent="0.2">
      <c r="A2178">
        <v>21</v>
      </c>
      <c r="B2178" t="s">
        <v>1143</v>
      </c>
      <c r="C2178" t="s">
        <v>962</v>
      </c>
      <c r="D2178" s="8">
        <v>6.6275878150585294E-6</v>
      </c>
      <c r="E2178" s="6">
        <f t="shared" si="68"/>
        <v>-1.9090000000000007</v>
      </c>
      <c r="F2178" s="8">
        <f t="shared" si="69"/>
        <v>-1.2652065138946737E-5</v>
      </c>
    </row>
    <row r="2179" spans="1:6" x14ac:dyDescent="0.2">
      <c r="A2179">
        <v>21</v>
      </c>
      <c r="B2179" t="s">
        <v>1143</v>
      </c>
      <c r="C2179" t="s">
        <v>963</v>
      </c>
      <c r="D2179" s="8">
        <v>3.0866662516743451E-6</v>
      </c>
      <c r="E2179" s="6">
        <f t="shared" si="68"/>
        <v>7.2000000000000064E-2</v>
      </c>
      <c r="F2179" s="8">
        <f t="shared" si="69"/>
        <v>2.2223997012055304E-7</v>
      </c>
    </row>
    <row r="2180" spans="1:6" x14ac:dyDescent="0.2">
      <c r="A2180">
        <v>21</v>
      </c>
      <c r="B2180" t="s">
        <v>1143</v>
      </c>
      <c r="C2180" t="s">
        <v>964</v>
      </c>
      <c r="D2180" s="8">
        <v>3.7535888725130151E-6</v>
      </c>
      <c r="E2180" s="6">
        <f t="shared" si="68"/>
        <v>-9.9999999999999645E-2</v>
      </c>
      <c r="F2180" s="8">
        <f t="shared" si="69"/>
        <v>-3.7535888725130015E-7</v>
      </c>
    </row>
    <row r="2181" spans="1:6" x14ac:dyDescent="0.2">
      <c r="A2181">
        <v>21</v>
      </c>
      <c r="B2181" t="s">
        <v>1143</v>
      </c>
      <c r="C2181" t="s">
        <v>965</v>
      </c>
      <c r="D2181" s="8">
        <v>1.3235511522567999E-3</v>
      </c>
      <c r="E2181" s="6">
        <f t="shared" si="68"/>
        <v>4.5000000000000151E-2</v>
      </c>
      <c r="F2181" s="8">
        <f t="shared" si="69"/>
        <v>5.9559801851556193E-5</v>
      </c>
    </row>
    <row r="2182" spans="1:6" x14ac:dyDescent="0.2">
      <c r="A2182">
        <v>21</v>
      </c>
      <c r="B2182" t="s">
        <v>1143</v>
      </c>
      <c r="C2182" t="s">
        <v>966</v>
      </c>
      <c r="D2182" s="8">
        <v>1.2572814687530189E-8</v>
      </c>
      <c r="E2182" s="6">
        <f t="shared" si="68"/>
        <v>-0.21399999999999997</v>
      </c>
      <c r="F2182" s="8">
        <f t="shared" si="69"/>
        <v>-2.6905823431314602E-9</v>
      </c>
    </row>
    <row r="2183" spans="1:6" x14ac:dyDescent="0.2">
      <c r="A2183">
        <v>21</v>
      </c>
      <c r="B2183" t="s">
        <v>1143</v>
      </c>
      <c r="C2183" t="s">
        <v>967</v>
      </c>
      <c r="D2183" s="8">
        <v>4.6587336681189998E-4</v>
      </c>
      <c r="E2183" s="6">
        <f t="shared" si="68"/>
        <v>0.10000000000000009</v>
      </c>
      <c r="F2183" s="8">
        <f t="shared" si="69"/>
        <v>4.6587336681190041E-5</v>
      </c>
    </row>
    <row r="2184" spans="1:6" x14ac:dyDescent="0.2">
      <c r="A2184">
        <v>21</v>
      </c>
      <c r="B2184" t="s">
        <v>1143</v>
      </c>
      <c r="C2184" t="s">
        <v>1105</v>
      </c>
      <c r="D2184" s="8">
        <v>1.2250751011936431E-6</v>
      </c>
      <c r="E2184" s="6">
        <f t="shared" si="68"/>
        <v>0</v>
      </c>
      <c r="F2184" s="8">
        <f t="shared" si="69"/>
        <v>0</v>
      </c>
    </row>
    <row r="2185" spans="1:6" x14ac:dyDescent="0.2">
      <c r="A2185">
        <v>21</v>
      </c>
      <c r="B2185" t="s">
        <v>1143</v>
      </c>
      <c r="C2185" t="s">
        <v>968</v>
      </c>
      <c r="D2185" s="8">
        <v>1.1307814057903069E-5</v>
      </c>
      <c r="E2185" s="6">
        <f t="shared" si="68"/>
        <v>-6.7510000000000012</v>
      </c>
      <c r="F2185" s="8">
        <f t="shared" si="69"/>
        <v>-7.6339052704903635E-5</v>
      </c>
    </row>
    <row r="2186" spans="1:6" x14ac:dyDescent="0.2">
      <c r="A2186">
        <v>21</v>
      </c>
      <c r="B2186" t="s">
        <v>1143</v>
      </c>
      <c r="C2186" t="s">
        <v>969</v>
      </c>
      <c r="D2186" s="8">
        <v>1.8740223271788E-3</v>
      </c>
      <c r="E2186" s="6">
        <f t="shared" si="68"/>
        <v>0.53699999999999992</v>
      </c>
      <c r="F2186" s="8">
        <f t="shared" si="69"/>
        <v>1.0063499896950155E-3</v>
      </c>
    </row>
    <row r="2187" spans="1:6" x14ac:dyDescent="0.2">
      <c r="A2187">
        <v>21</v>
      </c>
      <c r="B2187" t="s">
        <v>1143</v>
      </c>
      <c r="C2187" t="s">
        <v>970</v>
      </c>
      <c r="D2187" s="8">
        <v>3.643540136339E-4</v>
      </c>
      <c r="E2187" s="6">
        <f t="shared" si="68"/>
        <v>-0.10000000000000009</v>
      </c>
      <c r="F2187" s="8">
        <f t="shared" si="69"/>
        <v>-3.6435401363390033E-5</v>
      </c>
    </row>
    <row r="2188" spans="1:6" x14ac:dyDescent="0.2">
      <c r="A2188">
        <v>21</v>
      </c>
      <c r="B2188" t="s">
        <v>1143</v>
      </c>
      <c r="C2188" t="s">
        <v>971</v>
      </c>
      <c r="D2188" s="8">
        <v>1.4847126236609999E-4</v>
      </c>
      <c r="E2188" s="6">
        <f t="shared" si="68"/>
        <v>-0.13700000000000001</v>
      </c>
      <c r="F2188" s="8">
        <f t="shared" si="69"/>
        <v>-2.0340562944155699E-5</v>
      </c>
    </row>
    <row r="2189" spans="1:6" x14ac:dyDescent="0.2">
      <c r="A2189">
        <v>21</v>
      </c>
      <c r="B2189" t="s">
        <v>1143</v>
      </c>
      <c r="C2189" t="s">
        <v>972</v>
      </c>
      <c r="D2189" s="8">
        <v>5.0428448925238738E-6</v>
      </c>
      <c r="E2189" s="6">
        <f t="shared" si="68"/>
        <v>-2.7</v>
      </c>
      <c r="F2189" s="8">
        <f t="shared" si="69"/>
        <v>-1.3615681209814461E-5</v>
      </c>
    </row>
    <row r="2190" spans="1:6" x14ac:dyDescent="0.2">
      <c r="A2190">
        <v>21</v>
      </c>
      <c r="B2190" t="s">
        <v>1143</v>
      </c>
      <c r="C2190" t="s">
        <v>973</v>
      </c>
      <c r="D2190" s="8">
        <v>9.3585893764630004E-4</v>
      </c>
      <c r="E2190" s="6">
        <f t="shared" si="68"/>
        <v>-0.84999999999999987</v>
      </c>
      <c r="F2190" s="8">
        <f t="shared" si="69"/>
        <v>-7.9548009699935494E-4</v>
      </c>
    </row>
    <row r="2191" spans="1:6" x14ac:dyDescent="0.2">
      <c r="A2191">
        <v>21</v>
      </c>
      <c r="B2191" t="s">
        <v>1143</v>
      </c>
      <c r="C2191" t="s">
        <v>975</v>
      </c>
      <c r="D2191" s="8">
        <v>4.2962776244072999E-2</v>
      </c>
      <c r="E2191" s="6">
        <f t="shared" si="68"/>
        <v>0.23500000000000032</v>
      </c>
      <c r="F2191" s="8">
        <f t="shared" si="69"/>
        <v>1.0096252417357168E-2</v>
      </c>
    </row>
    <row r="2192" spans="1:6" x14ac:dyDescent="0.2">
      <c r="A2192">
        <v>21</v>
      </c>
      <c r="B2192" t="s">
        <v>1143</v>
      </c>
      <c r="C2192" t="s">
        <v>976</v>
      </c>
      <c r="D2192" s="8">
        <v>8.8577237977369996E-4</v>
      </c>
      <c r="E2192" s="6">
        <f t="shared" si="68"/>
        <v>0.38700000000000001</v>
      </c>
      <c r="F2192" s="8">
        <f t="shared" si="69"/>
        <v>3.4279391097242188E-4</v>
      </c>
    </row>
    <row r="2193" spans="1:6" x14ac:dyDescent="0.2">
      <c r="A2193">
        <v>21</v>
      </c>
      <c r="B2193" t="s">
        <v>1143</v>
      </c>
      <c r="C2193" t="s">
        <v>977</v>
      </c>
      <c r="D2193" s="8">
        <v>1.055855440793E-4</v>
      </c>
      <c r="E2193" s="6">
        <f t="shared" si="68"/>
        <v>-7.2039999999999997</v>
      </c>
      <c r="F2193" s="8">
        <f t="shared" si="69"/>
        <v>-7.6063825954727723E-4</v>
      </c>
    </row>
    <row r="2194" spans="1:6" x14ac:dyDescent="0.2">
      <c r="A2194">
        <v>21</v>
      </c>
      <c r="B2194" t="s">
        <v>1143</v>
      </c>
      <c r="C2194" t="s">
        <v>978</v>
      </c>
      <c r="D2194" s="8">
        <v>3.1325718840640002E-4</v>
      </c>
      <c r="E2194" s="6">
        <f t="shared" si="68"/>
        <v>-8.2390000000000008</v>
      </c>
      <c r="F2194" s="8">
        <f t="shared" si="69"/>
        <v>-2.58092597528033E-3</v>
      </c>
    </row>
    <row r="2195" spans="1:6" x14ac:dyDescent="0.2">
      <c r="A2195">
        <v>21</v>
      </c>
      <c r="B2195" t="s">
        <v>1143</v>
      </c>
      <c r="C2195" t="s">
        <v>979</v>
      </c>
      <c r="D2195" s="8">
        <v>4.8995623596245531E-5</v>
      </c>
      <c r="E2195" s="6">
        <f t="shared" si="68"/>
        <v>-0.5</v>
      </c>
      <c r="F2195" s="8">
        <f t="shared" si="69"/>
        <v>-2.4497811798122766E-5</v>
      </c>
    </row>
    <row r="2196" spans="1:6" x14ac:dyDescent="0.2">
      <c r="A2196">
        <v>21</v>
      </c>
      <c r="B2196" t="s">
        <v>1143</v>
      </c>
      <c r="C2196" t="s">
        <v>980</v>
      </c>
      <c r="D2196" s="8">
        <v>1.5953154828969999E-4</v>
      </c>
      <c r="E2196" s="6">
        <f t="shared" si="68"/>
        <v>-0.10000000000000009</v>
      </c>
      <c r="F2196" s="8">
        <f t="shared" si="69"/>
        <v>-1.5953154828970013E-5</v>
      </c>
    </row>
    <row r="2197" spans="1:6" x14ac:dyDescent="0.2">
      <c r="A2197">
        <v>21</v>
      </c>
      <c r="B2197" t="s">
        <v>1143</v>
      </c>
      <c r="C2197" t="s">
        <v>981</v>
      </c>
      <c r="D2197" s="8">
        <v>8.8910791404190996E-3</v>
      </c>
      <c r="E2197" s="6">
        <f t="shared" si="68"/>
        <v>-0.33499999999999996</v>
      </c>
      <c r="F2197" s="8">
        <f t="shared" si="69"/>
        <v>-2.978511512040398E-3</v>
      </c>
    </row>
    <row r="2198" spans="1:6" x14ac:dyDescent="0.2">
      <c r="A2198">
        <v>21</v>
      </c>
      <c r="B2198" t="s">
        <v>1143</v>
      </c>
      <c r="C2198" t="s">
        <v>982</v>
      </c>
      <c r="D2198" s="8">
        <v>5.4655589723778502E-5</v>
      </c>
      <c r="E2198" s="6">
        <f t="shared" si="68"/>
        <v>-2.8</v>
      </c>
      <c r="F2198" s="8">
        <f t="shared" si="69"/>
        <v>-1.5303565122657978E-4</v>
      </c>
    </row>
    <row r="2199" spans="1:6" x14ac:dyDescent="0.2">
      <c r="A2199">
        <v>21</v>
      </c>
      <c r="B2199" t="s">
        <v>1143</v>
      </c>
      <c r="C2199" t="s">
        <v>983</v>
      </c>
      <c r="D2199" s="8">
        <v>1.1496091056341E-3</v>
      </c>
      <c r="E2199" s="6">
        <f t="shared" si="68"/>
        <v>-0.19999999999999973</v>
      </c>
      <c r="F2199" s="8">
        <f t="shared" si="69"/>
        <v>-2.2992182112681968E-4</v>
      </c>
    </row>
    <row r="2200" spans="1:6" x14ac:dyDescent="0.2">
      <c r="A2200">
        <v>21</v>
      </c>
      <c r="B2200" t="s">
        <v>1143</v>
      </c>
      <c r="C2200" t="s">
        <v>984</v>
      </c>
      <c r="D2200" s="8">
        <v>0.1837571466596396</v>
      </c>
      <c r="E2200" s="6">
        <f t="shared" si="68"/>
        <v>0.121</v>
      </c>
      <c r="F2200" s="8">
        <f t="shared" si="69"/>
        <v>2.2234614745816391E-2</v>
      </c>
    </row>
    <row r="2201" spans="1:6" x14ac:dyDescent="0.2">
      <c r="A2201">
        <v>21</v>
      </c>
      <c r="B2201" t="s">
        <v>1143</v>
      </c>
      <c r="C2201" t="s">
        <v>985</v>
      </c>
      <c r="D2201" s="8">
        <v>5.979700029978E-4</v>
      </c>
      <c r="E2201" s="6">
        <f t="shared" si="68"/>
        <v>0.34299999999999997</v>
      </c>
      <c r="F2201" s="8">
        <f t="shared" si="69"/>
        <v>2.0510371102824539E-4</v>
      </c>
    </row>
    <row r="2202" spans="1:6" x14ac:dyDescent="0.2">
      <c r="A2202">
        <v>21</v>
      </c>
      <c r="B2202" t="s">
        <v>1143</v>
      </c>
      <c r="C2202" t="s">
        <v>986</v>
      </c>
      <c r="D2202" s="8">
        <v>1.8777433370067999E-3</v>
      </c>
      <c r="E2202" s="6">
        <f t="shared" si="68"/>
        <v>-0.38900000000000023</v>
      </c>
      <c r="F2202" s="8">
        <f t="shared" si="69"/>
        <v>-7.3044215809564561E-4</v>
      </c>
    </row>
    <row r="2203" spans="1:6" x14ac:dyDescent="0.2">
      <c r="A2203">
        <v>21</v>
      </c>
      <c r="B2203" t="s">
        <v>1143</v>
      </c>
      <c r="C2203" t="s">
        <v>987</v>
      </c>
      <c r="D2203" s="8">
        <v>1.030294673497993E-8</v>
      </c>
      <c r="E2203" s="6">
        <f t="shared" si="68"/>
        <v>0.83399999999999963</v>
      </c>
      <c r="F2203" s="8">
        <f t="shared" si="69"/>
        <v>8.5926575769732584E-9</v>
      </c>
    </row>
    <row r="2204" spans="1:6" x14ac:dyDescent="0.2">
      <c r="A2204">
        <v>21</v>
      </c>
      <c r="B2204" t="s">
        <v>1143</v>
      </c>
      <c r="C2204" t="s">
        <v>988</v>
      </c>
      <c r="D2204" s="8">
        <v>6.0178015714060001E-4</v>
      </c>
      <c r="E2204" s="6">
        <f t="shared" si="68"/>
        <v>0.59299999999999997</v>
      </c>
      <c r="F2204" s="8">
        <f t="shared" si="69"/>
        <v>3.5685563318437581E-4</v>
      </c>
    </row>
    <row r="2205" spans="1:6" x14ac:dyDescent="0.2">
      <c r="A2205">
        <v>21</v>
      </c>
      <c r="B2205" t="s">
        <v>1143</v>
      </c>
      <c r="C2205" t="s">
        <v>989</v>
      </c>
      <c r="D2205" s="8">
        <v>2.1188037327688479E-6</v>
      </c>
      <c r="E2205" s="6">
        <f t="shared" si="68"/>
        <v>-0.12199999999999989</v>
      </c>
      <c r="F2205" s="8">
        <f t="shared" si="69"/>
        <v>-2.584940553977992E-7</v>
      </c>
    </row>
    <row r="2206" spans="1:6" x14ac:dyDescent="0.2">
      <c r="A2206">
        <v>21</v>
      </c>
      <c r="B2206" t="s">
        <v>1143</v>
      </c>
      <c r="C2206" t="s">
        <v>990</v>
      </c>
      <c r="D2206" s="8">
        <v>3.10769785897539E-2</v>
      </c>
      <c r="E2206" s="6">
        <f t="shared" si="68"/>
        <v>0.45299999999999985</v>
      </c>
      <c r="F2206" s="8">
        <f t="shared" si="69"/>
        <v>1.4077871301158512E-2</v>
      </c>
    </row>
    <row r="2207" spans="1:6" x14ac:dyDescent="0.2">
      <c r="A2207">
        <v>21</v>
      </c>
      <c r="B2207" t="s">
        <v>1143</v>
      </c>
      <c r="C2207" t="s">
        <v>991</v>
      </c>
      <c r="D2207" s="8">
        <v>3.2537378458790002E-4</v>
      </c>
      <c r="E2207" s="6">
        <f t="shared" si="68"/>
        <v>-3.7290000000000001</v>
      </c>
      <c r="F2207" s="8">
        <f t="shared" si="69"/>
        <v>-1.2133188427282792E-3</v>
      </c>
    </row>
    <row r="2208" spans="1:6" x14ac:dyDescent="0.2">
      <c r="A2208">
        <v>21</v>
      </c>
      <c r="B2208" t="s">
        <v>1143</v>
      </c>
      <c r="C2208" t="s">
        <v>992</v>
      </c>
      <c r="D2208" s="8">
        <v>5.9819700782323714E-6</v>
      </c>
      <c r="E2208" s="6">
        <f t="shared" si="68"/>
        <v>2.048</v>
      </c>
      <c r="F2208" s="8">
        <f t="shared" si="69"/>
        <v>1.2251074720219897E-5</v>
      </c>
    </row>
    <row r="2209" spans="1:6" x14ac:dyDescent="0.2">
      <c r="A2209">
        <v>21</v>
      </c>
      <c r="B2209" t="s">
        <v>1143</v>
      </c>
      <c r="C2209" t="s">
        <v>1092</v>
      </c>
      <c r="D2209" s="8">
        <v>3.482713489776E-4</v>
      </c>
      <c r="E2209" s="6">
        <f t="shared" si="68"/>
        <v>0</v>
      </c>
      <c r="F2209" s="8">
        <f t="shared" si="69"/>
        <v>0</v>
      </c>
    </row>
    <row r="2210" spans="1:6" x14ac:dyDescent="0.2">
      <c r="A2210">
        <v>21</v>
      </c>
      <c r="B2210" t="s">
        <v>1143</v>
      </c>
      <c r="C2210" t="s">
        <v>993</v>
      </c>
      <c r="D2210" s="8">
        <v>2.507064485069028E-5</v>
      </c>
      <c r="E2210" s="6">
        <f t="shared" si="68"/>
        <v>-0.42900000000000027</v>
      </c>
      <c r="F2210" s="8">
        <f t="shared" si="69"/>
        <v>-1.0755306640946136E-5</v>
      </c>
    </row>
    <row r="2211" spans="1:6" x14ac:dyDescent="0.2">
      <c r="A2211">
        <v>21</v>
      </c>
      <c r="B2211" t="s">
        <v>1143</v>
      </c>
      <c r="C2211" t="s">
        <v>994</v>
      </c>
      <c r="D2211" s="8">
        <v>1.4433819374960001E-4</v>
      </c>
      <c r="E2211" s="6">
        <f t="shared" si="68"/>
        <v>2.415</v>
      </c>
      <c r="F2211" s="8">
        <f t="shared" si="69"/>
        <v>3.4857673790528404E-4</v>
      </c>
    </row>
    <row r="2212" spans="1:6" x14ac:dyDescent="0.2">
      <c r="A2212">
        <v>21</v>
      </c>
      <c r="B2212" t="s">
        <v>1143</v>
      </c>
      <c r="C2212" t="s">
        <v>1093</v>
      </c>
      <c r="D2212" s="8">
        <v>2.7830775315222001E-3</v>
      </c>
      <c r="E2212" s="6">
        <f t="shared" si="68"/>
        <v>0</v>
      </c>
      <c r="F2212" s="8">
        <f t="shared" si="69"/>
        <v>0</v>
      </c>
    </row>
    <row r="2213" spans="1:6" x14ac:dyDescent="0.2">
      <c r="A2213">
        <v>21</v>
      </c>
      <c r="B2213" t="s">
        <v>1143</v>
      </c>
      <c r="C2213" t="s">
        <v>996</v>
      </c>
      <c r="D2213" s="8">
        <v>8.3453888193329623E-5</v>
      </c>
      <c r="E2213" s="6">
        <f t="shared" si="68"/>
        <v>0.44099999999999984</v>
      </c>
      <c r="F2213" s="8">
        <f t="shared" si="69"/>
        <v>3.6803164693258353E-5</v>
      </c>
    </row>
    <row r="2214" spans="1:6" x14ac:dyDescent="0.2">
      <c r="A2214">
        <v>21</v>
      </c>
      <c r="B2214" t="s">
        <v>1143</v>
      </c>
      <c r="C2214" t="s">
        <v>997</v>
      </c>
      <c r="D2214" s="8">
        <v>3.7301327155140002E-3</v>
      </c>
      <c r="E2214" s="6">
        <f t="shared" si="68"/>
        <v>-0.61499999999999977</v>
      </c>
      <c r="F2214" s="8">
        <f t="shared" si="69"/>
        <v>-2.2940316200411094E-3</v>
      </c>
    </row>
    <row r="2215" spans="1:6" x14ac:dyDescent="0.2">
      <c r="A2215">
        <v>21</v>
      </c>
      <c r="B2215" t="s">
        <v>1143</v>
      </c>
      <c r="C2215" t="s">
        <v>998</v>
      </c>
      <c r="D2215" s="8">
        <v>1.7745353191070999E-3</v>
      </c>
      <c r="E2215" s="6">
        <f t="shared" si="68"/>
        <v>-0.28200000000000003</v>
      </c>
      <c r="F2215" s="8">
        <f t="shared" si="69"/>
        <v>-5.0041895998820219E-4</v>
      </c>
    </row>
    <row r="2216" spans="1:6" x14ac:dyDescent="0.2">
      <c r="A2216">
        <v>21</v>
      </c>
      <c r="B2216" t="s">
        <v>1143</v>
      </c>
      <c r="C2216" t="s">
        <v>999</v>
      </c>
      <c r="D2216" s="8">
        <v>2.5957952331696462E-7</v>
      </c>
      <c r="E2216" s="6">
        <f t="shared" si="68"/>
        <v>-0.5219999999999998</v>
      </c>
      <c r="F2216" s="8">
        <f t="shared" si="69"/>
        <v>-1.3550051117145547E-7</v>
      </c>
    </row>
    <row r="2217" spans="1:6" x14ac:dyDescent="0.2">
      <c r="A2217">
        <v>21</v>
      </c>
      <c r="B2217" t="s">
        <v>1143</v>
      </c>
      <c r="C2217" t="s">
        <v>1000</v>
      </c>
      <c r="D2217" s="8">
        <v>1.4391855938155E-3</v>
      </c>
      <c r="E2217" s="6">
        <f t="shared" si="68"/>
        <v>1.1540000000000004</v>
      </c>
      <c r="F2217" s="8">
        <f t="shared" si="69"/>
        <v>1.6608201752630874E-3</v>
      </c>
    </row>
    <row r="2218" spans="1:6" x14ac:dyDescent="0.2">
      <c r="A2218">
        <v>21</v>
      </c>
      <c r="B2218" t="s">
        <v>1143</v>
      </c>
      <c r="C2218" t="s">
        <v>1001</v>
      </c>
      <c r="D2218" s="8">
        <v>1.9312046199309999E-4</v>
      </c>
      <c r="E2218" s="6">
        <f t="shared" si="68"/>
        <v>-0.60600000000000032</v>
      </c>
      <c r="F2218" s="8">
        <f t="shared" si="69"/>
        <v>-1.1703099996781865E-4</v>
      </c>
    </row>
    <row r="2219" spans="1:6" x14ac:dyDescent="0.2">
      <c r="A2219">
        <v>21</v>
      </c>
      <c r="B2219" t="s">
        <v>1143</v>
      </c>
      <c r="C2219" t="s">
        <v>1002</v>
      </c>
      <c r="D2219" s="8">
        <v>2.516452982497E-4</v>
      </c>
      <c r="E2219" s="6">
        <f t="shared" si="68"/>
        <v>-1.3390000000000004</v>
      </c>
      <c r="F2219" s="8">
        <f t="shared" si="69"/>
        <v>-3.3695305435634839E-4</v>
      </c>
    </row>
    <row r="2220" spans="1:6" x14ac:dyDescent="0.2">
      <c r="A2220">
        <v>21</v>
      </c>
      <c r="B2220" t="s">
        <v>1143</v>
      </c>
      <c r="C2220" t="s">
        <v>1003</v>
      </c>
      <c r="D2220" s="8">
        <v>2.0819701474183001E-2</v>
      </c>
      <c r="E2220" s="6">
        <f t="shared" si="68"/>
        <v>0.22999999999999998</v>
      </c>
      <c r="F2220" s="8">
        <f t="shared" si="69"/>
        <v>4.7885313390620896E-3</v>
      </c>
    </row>
    <row r="2221" spans="1:6" x14ac:dyDescent="0.2">
      <c r="A2221">
        <v>21</v>
      </c>
      <c r="B2221" t="s">
        <v>1143</v>
      </c>
      <c r="C2221" t="s">
        <v>1004</v>
      </c>
      <c r="D2221" s="8">
        <v>3.2568902497613421E-8</v>
      </c>
      <c r="E2221" s="6">
        <f t="shared" si="68"/>
        <v>-0.37000000000000011</v>
      </c>
      <c r="F2221" s="8">
        <f t="shared" si="69"/>
        <v>-1.2050493924116969E-8</v>
      </c>
    </row>
    <row r="2222" spans="1:6" x14ac:dyDescent="0.2">
      <c r="A2222">
        <v>21</v>
      </c>
      <c r="B2222" t="s">
        <v>1143</v>
      </c>
      <c r="C2222" t="s">
        <v>1005</v>
      </c>
      <c r="D2222" s="8">
        <v>5.291931508525432E-6</v>
      </c>
      <c r="E2222" s="6">
        <f t="shared" si="68"/>
        <v>-0.10000000000000009</v>
      </c>
      <c r="F2222" s="8">
        <f t="shared" si="69"/>
        <v>-5.2919315085254362E-7</v>
      </c>
    </row>
    <row r="2223" spans="1:6" x14ac:dyDescent="0.2">
      <c r="A2223">
        <v>21</v>
      </c>
      <c r="B2223" t="s">
        <v>1143</v>
      </c>
      <c r="C2223" t="s">
        <v>1006</v>
      </c>
      <c r="D2223" s="8">
        <v>1.7211412196059141E-5</v>
      </c>
      <c r="E2223" s="6">
        <f t="shared" si="68"/>
        <v>0.40000000000000036</v>
      </c>
      <c r="F2223" s="8">
        <f t="shared" si="69"/>
        <v>6.8845648784236621E-6</v>
      </c>
    </row>
    <row r="2224" spans="1:6" x14ac:dyDescent="0.2">
      <c r="A2224">
        <v>21</v>
      </c>
      <c r="B2224" t="s">
        <v>1143</v>
      </c>
      <c r="C2224" t="s">
        <v>1007</v>
      </c>
      <c r="D2224" s="8">
        <v>1.0575359383373021E-5</v>
      </c>
      <c r="E2224" s="6">
        <f t="shared" si="68"/>
        <v>-0.19999999999999973</v>
      </c>
      <c r="F2224" s="8">
        <f t="shared" si="69"/>
        <v>-2.1150718766746015E-6</v>
      </c>
    </row>
    <row r="2225" spans="1:6" x14ac:dyDescent="0.2">
      <c r="A2225">
        <v>21</v>
      </c>
      <c r="B2225" t="s">
        <v>1143</v>
      </c>
      <c r="C2225" t="s">
        <v>1008</v>
      </c>
      <c r="D2225" s="8">
        <v>5.6090737739420001E-4</v>
      </c>
      <c r="E2225" s="6">
        <f t="shared" si="68"/>
        <v>0.94799999999999995</v>
      </c>
      <c r="F2225" s="8">
        <f t="shared" si="69"/>
        <v>5.3174019376970162E-4</v>
      </c>
    </row>
    <row r="2226" spans="1:6" x14ac:dyDescent="0.2">
      <c r="A2226">
        <v>21</v>
      </c>
      <c r="B2226" t="s">
        <v>1143</v>
      </c>
      <c r="C2226" t="s">
        <v>1009</v>
      </c>
      <c r="D2226" s="8">
        <v>7.8047942666399482E-5</v>
      </c>
      <c r="E2226" s="6">
        <f t="shared" si="68"/>
        <v>-0.5990000000000002</v>
      </c>
      <c r="F2226" s="8">
        <f t="shared" si="69"/>
        <v>-4.6750717657173303E-5</v>
      </c>
    </row>
    <row r="2227" spans="1:6" x14ac:dyDescent="0.2">
      <c r="A2227">
        <v>21</v>
      </c>
      <c r="B2227" t="s">
        <v>1143</v>
      </c>
      <c r="C2227" t="s">
        <v>1122</v>
      </c>
      <c r="D2227" s="8">
        <v>4.1324475419833552E-7</v>
      </c>
      <c r="E2227" s="6">
        <f t="shared" si="68"/>
        <v>0</v>
      </c>
      <c r="F2227" s="8">
        <f t="shared" si="69"/>
        <v>0</v>
      </c>
    </row>
    <row r="2228" spans="1:6" x14ac:dyDescent="0.2">
      <c r="A2228">
        <v>21</v>
      </c>
      <c r="B2228" t="s">
        <v>1143</v>
      </c>
      <c r="C2228" t="s">
        <v>1010</v>
      </c>
      <c r="D2228" s="8">
        <v>6.511784303592783E-8</v>
      </c>
      <c r="E2228" s="6">
        <f t="shared" si="68"/>
        <v>-3.024</v>
      </c>
      <c r="F2228" s="8">
        <f t="shared" si="69"/>
        <v>-1.9691635734064575E-7</v>
      </c>
    </row>
    <row r="2229" spans="1:6" x14ac:dyDescent="0.2">
      <c r="A2229">
        <v>21</v>
      </c>
      <c r="B2229" t="s">
        <v>1143</v>
      </c>
      <c r="C2229" t="s">
        <v>1011</v>
      </c>
      <c r="D2229" s="8">
        <v>1.8586288118190001E-4</v>
      </c>
      <c r="E2229" s="6">
        <f t="shared" si="68"/>
        <v>0.68600000000000039</v>
      </c>
      <c r="F2229" s="8">
        <f t="shared" si="69"/>
        <v>1.2750193649078346E-4</v>
      </c>
    </row>
    <row r="2230" spans="1:6" x14ac:dyDescent="0.2">
      <c r="A2230">
        <v>21</v>
      </c>
      <c r="B2230" t="s">
        <v>1143</v>
      </c>
      <c r="C2230" t="s">
        <v>1012</v>
      </c>
      <c r="D2230" s="8">
        <v>1.6684477354539999E-4</v>
      </c>
      <c r="E2230" s="6">
        <f t="shared" si="68"/>
        <v>0.39999999999999991</v>
      </c>
      <c r="F2230" s="8">
        <f t="shared" si="69"/>
        <v>6.6737909418159981E-5</v>
      </c>
    </row>
    <row r="2231" spans="1:6" x14ac:dyDescent="0.2">
      <c r="A2231">
        <v>21</v>
      </c>
      <c r="B2231" t="s">
        <v>1143</v>
      </c>
      <c r="C2231" t="s">
        <v>1013</v>
      </c>
      <c r="D2231" s="8">
        <v>2.921750524925462E-5</v>
      </c>
      <c r="E2231" s="6">
        <f t="shared" si="68"/>
        <v>-2.0999999999999996</v>
      </c>
      <c r="F2231" s="8">
        <f t="shared" si="69"/>
        <v>-6.1356761023434686E-5</v>
      </c>
    </row>
    <row r="2232" spans="1:6" x14ac:dyDescent="0.2">
      <c r="A2232">
        <v>21</v>
      </c>
      <c r="B2232" t="s">
        <v>1143</v>
      </c>
      <c r="C2232" t="s">
        <v>1014</v>
      </c>
      <c r="D2232" s="8">
        <v>2.3861625123095899E-2</v>
      </c>
      <c r="E2232" s="6">
        <f t="shared" si="68"/>
        <v>0.90000000000000036</v>
      </c>
      <c r="F2232" s="8">
        <f t="shared" si="69"/>
        <v>2.1475462610786318E-2</v>
      </c>
    </row>
    <row r="2233" spans="1:6" x14ac:dyDescent="0.2">
      <c r="A2233">
        <v>21</v>
      </c>
      <c r="B2233" t="s">
        <v>1143</v>
      </c>
      <c r="C2233" t="s">
        <v>1015</v>
      </c>
      <c r="D2233" s="8">
        <v>4.9868085979858478E-5</v>
      </c>
      <c r="E2233" s="6">
        <f t="shared" si="68"/>
        <v>-1.306</v>
      </c>
      <c r="F2233" s="8">
        <f t="shared" si="69"/>
        <v>-6.5127720289695173E-5</v>
      </c>
    </row>
    <row r="2234" spans="1:6" x14ac:dyDescent="0.2">
      <c r="A2234">
        <v>21</v>
      </c>
      <c r="B2234" t="s">
        <v>1143</v>
      </c>
      <c r="C2234" t="s">
        <v>1099</v>
      </c>
      <c r="D2234" s="8">
        <v>8.6855083124896527E-5</v>
      </c>
      <c r="E2234" s="6">
        <f t="shared" si="68"/>
        <v>0</v>
      </c>
      <c r="F2234" s="8">
        <f t="shared" si="69"/>
        <v>0</v>
      </c>
    </row>
    <row r="2235" spans="1:6" x14ac:dyDescent="0.2">
      <c r="A2235">
        <v>21</v>
      </c>
      <c r="B2235" t="s">
        <v>1143</v>
      </c>
      <c r="C2235" t="s">
        <v>1017</v>
      </c>
      <c r="D2235" s="8">
        <v>7.4382120234460004E-4</v>
      </c>
      <c r="E2235" s="6">
        <f t="shared" si="68"/>
        <v>1.3749999999999996</v>
      </c>
      <c r="F2235" s="8">
        <f t="shared" si="69"/>
        <v>1.0227541532238248E-3</v>
      </c>
    </row>
    <row r="2236" spans="1:6" x14ac:dyDescent="0.2">
      <c r="A2236">
        <v>21</v>
      </c>
      <c r="B2236" t="s">
        <v>1143</v>
      </c>
      <c r="C2236" t="s">
        <v>1018</v>
      </c>
      <c r="D2236" s="8">
        <v>2.4484798371478768E-5</v>
      </c>
      <c r="E2236" s="6">
        <f t="shared" si="68"/>
        <v>0.69999999999999973</v>
      </c>
      <c r="F2236" s="8">
        <f t="shared" si="69"/>
        <v>1.7139358860035132E-5</v>
      </c>
    </row>
    <row r="2237" spans="1:6" x14ac:dyDescent="0.2">
      <c r="A2237">
        <v>21</v>
      </c>
      <c r="B2237" t="s">
        <v>1143</v>
      </c>
      <c r="C2237" t="s">
        <v>1019</v>
      </c>
      <c r="D2237" s="8">
        <v>1.5031875255599301E-2</v>
      </c>
      <c r="E2237" s="6">
        <f t="shared" si="68"/>
        <v>-0.21599999999999997</v>
      </c>
      <c r="F2237" s="8">
        <f t="shared" si="69"/>
        <v>-3.2468850552094483E-3</v>
      </c>
    </row>
    <row r="2238" spans="1:6" x14ac:dyDescent="0.2">
      <c r="A2238">
        <v>21</v>
      </c>
      <c r="B2238" t="s">
        <v>1143</v>
      </c>
      <c r="C2238" t="s">
        <v>1020</v>
      </c>
      <c r="D2238" s="8">
        <v>3.125138789336E-4</v>
      </c>
      <c r="E2238" s="6">
        <f t="shared" ref="E2238:E2301" si="70">IFERROR(VLOOKUP(C2238,$A$6:$D$185,4,FALSE),0)</f>
        <v>-0.21999999999999997</v>
      </c>
      <c r="F2238" s="8">
        <f t="shared" ref="F2238:F2301" si="71">D2238*E2238</f>
        <v>-6.8753053365391991E-5</v>
      </c>
    </row>
    <row r="2239" spans="1:6" x14ac:dyDescent="0.2">
      <c r="A2239">
        <v>21</v>
      </c>
      <c r="B2239" t="s">
        <v>1143</v>
      </c>
      <c r="C2239" t="s">
        <v>1021</v>
      </c>
      <c r="D2239" s="8">
        <v>1.8034966330537599E-5</v>
      </c>
      <c r="E2239" s="6">
        <f t="shared" si="70"/>
        <v>-2.4829999999999997</v>
      </c>
      <c r="F2239" s="8">
        <f t="shared" si="71"/>
        <v>-4.478082139872485E-5</v>
      </c>
    </row>
    <row r="2240" spans="1:6" x14ac:dyDescent="0.2">
      <c r="A2240">
        <v>21</v>
      </c>
      <c r="B2240" t="s">
        <v>1143</v>
      </c>
      <c r="C2240" t="s">
        <v>1023</v>
      </c>
      <c r="D2240" s="8">
        <v>3.9563556406390999E-3</v>
      </c>
      <c r="E2240" s="6">
        <f t="shared" si="70"/>
        <v>-0.62199999999999989</v>
      </c>
      <c r="F2240" s="8">
        <f t="shared" si="71"/>
        <v>-2.4608532084775198E-3</v>
      </c>
    </row>
    <row r="2241" spans="1:6" x14ac:dyDescent="0.2">
      <c r="A2241">
        <v>21</v>
      </c>
      <c r="B2241" t="s">
        <v>1143</v>
      </c>
      <c r="C2241" t="s">
        <v>1024</v>
      </c>
      <c r="D2241" s="8">
        <v>3.4698941803069998E-4</v>
      </c>
      <c r="E2241" s="6">
        <f t="shared" si="70"/>
        <v>-0.14500000000000002</v>
      </c>
      <c r="F2241" s="8">
        <f t="shared" si="71"/>
        <v>-5.0313465614451499E-5</v>
      </c>
    </row>
    <row r="2242" spans="1:6" x14ac:dyDescent="0.2">
      <c r="A2242">
        <v>21</v>
      </c>
      <c r="B2242" t="s">
        <v>1143</v>
      </c>
      <c r="C2242" t="s">
        <v>1025</v>
      </c>
      <c r="D2242" s="8">
        <v>2.8668337080117999E-3</v>
      </c>
      <c r="E2242" s="6">
        <f t="shared" si="70"/>
        <v>4.7000000000000153E-2</v>
      </c>
      <c r="F2242" s="8">
        <f t="shared" si="71"/>
        <v>1.3474118427655502E-4</v>
      </c>
    </row>
    <row r="2243" spans="1:6" x14ac:dyDescent="0.2">
      <c r="A2243">
        <v>21</v>
      </c>
      <c r="B2243" t="s">
        <v>1143</v>
      </c>
      <c r="C2243" t="s">
        <v>1026</v>
      </c>
      <c r="D2243" s="8">
        <v>1.3132697855267E-3</v>
      </c>
      <c r="E2243" s="6">
        <f t="shared" si="70"/>
        <v>-0.20000000000000018</v>
      </c>
      <c r="F2243" s="8">
        <f t="shared" si="71"/>
        <v>-2.6265395710534025E-4</v>
      </c>
    </row>
    <row r="2244" spans="1:6" x14ac:dyDescent="0.2">
      <c r="A2244">
        <v>21</v>
      </c>
      <c r="B2244" t="s">
        <v>1143</v>
      </c>
      <c r="C2244" t="s">
        <v>1027</v>
      </c>
      <c r="D2244" s="8">
        <v>1.8540907910326E-3</v>
      </c>
      <c r="E2244" s="6">
        <f t="shared" si="70"/>
        <v>0.18999999999999995</v>
      </c>
      <c r="F2244" s="8">
        <f t="shared" si="71"/>
        <v>3.5227725029619389E-4</v>
      </c>
    </row>
    <row r="2245" spans="1:6" x14ac:dyDescent="0.2">
      <c r="A2245">
        <v>21</v>
      </c>
      <c r="B2245" t="s">
        <v>1143</v>
      </c>
      <c r="C2245" t="s">
        <v>1028</v>
      </c>
      <c r="D2245" s="8">
        <v>2.2369662162882699E-2</v>
      </c>
      <c r="E2245" s="6">
        <f t="shared" si="70"/>
        <v>-1.6600000000000001</v>
      </c>
      <c r="F2245" s="8">
        <f t="shared" si="71"/>
        <v>-3.713363919038528E-2</v>
      </c>
    </row>
    <row r="2246" spans="1:6" x14ac:dyDescent="0.2">
      <c r="A2246">
        <v>21</v>
      </c>
      <c r="B2246" t="s">
        <v>1143</v>
      </c>
      <c r="C2246" t="s">
        <v>1029</v>
      </c>
      <c r="D2246" s="8">
        <v>7.785051438139294E-8</v>
      </c>
      <c r="E2246" s="6">
        <f t="shared" si="70"/>
        <v>-0.20500000000000007</v>
      </c>
      <c r="F2246" s="8">
        <f t="shared" si="71"/>
        <v>-1.5959355448185559E-8</v>
      </c>
    </row>
    <row r="2247" spans="1:6" x14ac:dyDescent="0.2">
      <c r="A2247">
        <v>21</v>
      </c>
      <c r="B2247" t="s">
        <v>1143</v>
      </c>
      <c r="C2247" t="s">
        <v>1030</v>
      </c>
      <c r="D2247" s="8">
        <v>1.6228675953666E-3</v>
      </c>
      <c r="E2247" s="6">
        <f t="shared" si="70"/>
        <v>0.29999999999999982</v>
      </c>
      <c r="F2247" s="8">
        <f t="shared" si="71"/>
        <v>4.8686027860997974E-4</v>
      </c>
    </row>
    <row r="2248" spans="1:6" x14ac:dyDescent="0.2">
      <c r="A2248">
        <v>21</v>
      </c>
      <c r="B2248" t="s">
        <v>1143</v>
      </c>
      <c r="C2248" t="s">
        <v>1031</v>
      </c>
      <c r="D2248" s="8">
        <v>9.4070947874641993E-3</v>
      </c>
      <c r="E2248" s="6">
        <f t="shared" si="70"/>
        <v>0.19899999999999984</v>
      </c>
      <c r="F2248" s="8">
        <f t="shared" si="71"/>
        <v>1.8720118627053742E-3</v>
      </c>
    </row>
    <row r="2249" spans="1:6" x14ac:dyDescent="0.2">
      <c r="A2249">
        <v>21</v>
      </c>
      <c r="B2249" t="s">
        <v>1143</v>
      </c>
      <c r="C2249" t="s">
        <v>1033</v>
      </c>
      <c r="D2249" s="8">
        <v>2.8949597837993001E-3</v>
      </c>
      <c r="E2249" s="6">
        <f t="shared" si="70"/>
        <v>0.23299999999999987</v>
      </c>
      <c r="F2249" s="8">
        <f t="shared" si="71"/>
        <v>6.7452562962523653E-4</v>
      </c>
    </row>
    <row r="2250" spans="1:6" x14ac:dyDescent="0.2">
      <c r="A2250">
        <v>21</v>
      </c>
      <c r="B2250" t="s">
        <v>1143</v>
      </c>
      <c r="C2250" t="s">
        <v>1034</v>
      </c>
      <c r="D2250" s="8">
        <v>3.1524878519750002E-4</v>
      </c>
      <c r="E2250" s="6">
        <f t="shared" si="70"/>
        <v>0.70000000000000018</v>
      </c>
      <c r="F2250" s="8">
        <f t="shared" si="71"/>
        <v>2.2067414963825008E-4</v>
      </c>
    </row>
    <row r="2251" spans="1:6" x14ac:dyDescent="0.2">
      <c r="A2251">
        <v>21</v>
      </c>
      <c r="B2251" t="s">
        <v>1143</v>
      </c>
      <c r="C2251" t="s">
        <v>1123</v>
      </c>
      <c r="D2251" s="8">
        <v>7.9625679907121453E-8</v>
      </c>
      <c r="E2251" s="6">
        <f t="shared" si="70"/>
        <v>0</v>
      </c>
      <c r="F2251" s="8">
        <f t="shared" si="71"/>
        <v>0</v>
      </c>
    </row>
    <row r="2252" spans="1:6" x14ac:dyDescent="0.2">
      <c r="A2252">
        <v>21</v>
      </c>
      <c r="B2252" t="s">
        <v>1143</v>
      </c>
      <c r="C2252" t="s">
        <v>1100</v>
      </c>
      <c r="D2252" s="8">
        <v>2.9457908573944649E-5</v>
      </c>
      <c r="E2252" s="6">
        <f t="shared" si="70"/>
        <v>0</v>
      </c>
      <c r="F2252" s="8">
        <f t="shared" si="71"/>
        <v>0</v>
      </c>
    </row>
    <row r="2253" spans="1:6" x14ac:dyDescent="0.2">
      <c r="A2253">
        <v>21</v>
      </c>
      <c r="B2253" t="s">
        <v>1143</v>
      </c>
      <c r="C2253" t="s">
        <v>1035</v>
      </c>
      <c r="D2253" s="8">
        <v>5.3464412911079999E-4</v>
      </c>
      <c r="E2253" s="6">
        <f t="shared" si="70"/>
        <v>-14.218</v>
      </c>
      <c r="F2253" s="8">
        <f t="shared" si="71"/>
        <v>-7.6015702276973542E-3</v>
      </c>
    </row>
    <row r="2254" spans="1:6" x14ac:dyDescent="0.2">
      <c r="A2254">
        <v>21</v>
      </c>
      <c r="B2254" t="s">
        <v>1143</v>
      </c>
      <c r="C2254" t="s">
        <v>1036</v>
      </c>
      <c r="D2254" s="8">
        <v>8.2963120387812995E-3</v>
      </c>
      <c r="E2254" s="6">
        <f t="shared" si="70"/>
        <v>-2.0590000000000002</v>
      </c>
      <c r="F2254" s="8">
        <f t="shared" si="71"/>
        <v>-1.7082106487850697E-2</v>
      </c>
    </row>
    <row r="2255" spans="1:6" x14ac:dyDescent="0.2">
      <c r="A2255">
        <v>21</v>
      </c>
      <c r="B2255" t="s">
        <v>1143</v>
      </c>
      <c r="C2255" t="s">
        <v>1037</v>
      </c>
      <c r="D2255" s="8">
        <v>5.7329877406084003E-3</v>
      </c>
      <c r="E2255" s="6">
        <f t="shared" si="70"/>
        <v>0.2350000000000001</v>
      </c>
      <c r="F2255" s="8">
        <f t="shared" si="71"/>
        <v>1.3472521190429747E-3</v>
      </c>
    </row>
    <row r="2256" spans="1:6" x14ac:dyDescent="0.2">
      <c r="A2256">
        <v>21</v>
      </c>
      <c r="B2256" t="s">
        <v>1143</v>
      </c>
      <c r="C2256" t="s">
        <v>1094</v>
      </c>
      <c r="D2256" s="8">
        <v>1.22947941247843E-2</v>
      </c>
      <c r="E2256" s="6">
        <f t="shared" si="70"/>
        <v>0</v>
      </c>
      <c r="F2256" s="8">
        <f t="shared" si="71"/>
        <v>0</v>
      </c>
    </row>
    <row r="2257" spans="1:6" x14ac:dyDescent="0.2">
      <c r="A2257">
        <v>21</v>
      </c>
      <c r="B2257" t="s">
        <v>1143</v>
      </c>
      <c r="C2257" t="s">
        <v>1039</v>
      </c>
      <c r="D2257" s="8">
        <v>7.8315995564927007E-3</v>
      </c>
      <c r="E2257" s="6">
        <f t="shared" si="70"/>
        <v>-0.6419999999999999</v>
      </c>
      <c r="F2257" s="8">
        <f t="shared" si="71"/>
        <v>-5.027886915268313E-3</v>
      </c>
    </row>
    <row r="2258" spans="1:6" x14ac:dyDescent="0.2">
      <c r="A2258">
        <v>21</v>
      </c>
      <c r="B2258" t="s">
        <v>1143</v>
      </c>
      <c r="C2258" t="s">
        <v>1040</v>
      </c>
      <c r="D2258" s="8">
        <v>2.7123272112640002E-4</v>
      </c>
      <c r="E2258" s="6">
        <f t="shared" si="70"/>
        <v>-8.1180000000000003</v>
      </c>
      <c r="F2258" s="8">
        <f t="shared" si="71"/>
        <v>-2.2018672301041156E-3</v>
      </c>
    </row>
    <row r="2259" spans="1:6" x14ac:dyDescent="0.2">
      <c r="A2259">
        <v>21</v>
      </c>
      <c r="B2259" t="s">
        <v>1143</v>
      </c>
      <c r="C2259" t="s">
        <v>1041</v>
      </c>
      <c r="D2259" s="8">
        <v>4.0370042309046472E-5</v>
      </c>
      <c r="E2259" s="6">
        <f t="shared" si="70"/>
        <v>-1.8890000000000002</v>
      </c>
      <c r="F2259" s="8">
        <f t="shared" si="71"/>
        <v>-7.625900992178879E-5</v>
      </c>
    </row>
    <row r="2260" spans="1:6" x14ac:dyDescent="0.2">
      <c r="A2260">
        <v>21</v>
      </c>
      <c r="B2260" t="s">
        <v>1143</v>
      </c>
      <c r="C2260" t="s">
        <v>1042</v>
      </c>
      <c r="D2260" s="8">
        <v>2.7046939538651501E-2</v>
      </c>
      <c r="E2260" s="6">
        <f t="shared" si="70"/>
        <v>1.621</v>
      </c>
      <c r="F2260" s="8">
        <f t="shared" si="71"/>
        <v>4.3843088992154083E-2</v>
      </c>
    </row>
    <row r="2261" spans="1:6" x14ac:dyDescent="0.2">
      <c r="A2261">
        <v>21</v>
      </c>
      <c r="B2261" t="s">
        <v>1143</v>
      </c>
      <c r="C2261" t="s">
        <v>1043</v>
      </c>
      <c r="D2261" s="8">
        <v>5.9704674821369367E-6</v>
      </c>
      <c r="E2261" s="6">
        <f t="shared" si="70"/>
        <v>-2.8000000000000025E-2</v>
      </c>
      <c r="F2261" s="8">
        <f t="shared" si="71"/>
        <v>-1.6717308949983437E-7</v>
      </c>
    </row>
    <row r="2262" spans="1:6" x14ac:dyDescent="0.2">
      <c r="A2262">
        <v>21</v>
      </c>
      <c r="B2262" t="s">
        <v>1143</v>
      </c>
      <c r="C2262" t="s">
        <v>1044</v>
      </c>
      <c r="D2262" s="8">
        <v>7.1639914187901296E-6</v>
      </c>
      <c r="E2262" s="6">
        <f t="shared" si="70"/>
        <v>-0.35099999999999998</v>
      </c>
      <c r="F2262" s="8">
        <f t="shared" si="71"/>
        <v>-2.5145609879953354E-6</v>
      </c>
    </row>
    <row r="2263" spans="1:6" x14ac:dyDescent="0.2">
      <c r="A2263">
        <v>21</v>
      </c>
      <c r="B2263" t="s">
        <v>1143</v>
      </c>
      <c r="C2263" t="s">
        <v>1045</v>
      </c>
      <c r="D2263" s="8">
        <v>1.7499108300030001E-4</v>
      </c>
      <c r="E2263" s="6">
        <f t="shared" si="70"/>
        <v>0.7849999999999997</v>
      </c>
      <c r="F2263" s="8">
        <f t="shared" si="71"/>
        <v>1.3736800015523546E-4</v>
      </c>
    </row>
    <row r="2264" spans="1:6" x14ac:dyDescent="0.2">
      <c r="A2264">
        <v>21</v>
      </c>
      <c r="B2264" t="s">
        <v>1143</v>
      </c>
      <c r="C2264" t="s">
        <v>1047</v>
      </c>
      <c r="D2264" s="8">
        <v>1.2062582806176001E-3</v>
      </c>
      <c r="E2264" s="6">
        <f t="shared" si="70"/>
        <v>-1.4999999999999996</v>
      </c>
      <c r="F2264" s="8">
        <f t="shared" si="71"/>
        <v>-1.8093874209263996E-3</v>
      </c>
    </row>
    <row r="2265" spans="1:6" x14ac:dyDescent="0.2">
      <c r="A2265">
        <v>21</v>
      </c>
      <c r="B2265" t="s">
        <v>1143</v>
      </c>
      <c r="C2265" t="s">
        <v>1048</v>
      </c>
      <c r="D2265" s="8">
        <v>3.2063113697639999E-4</v>
      </c>
      <c r="E2265" s="6">
        <f t="shared" si="70"/>
        <v>-1.4340000000000002</v>
      </c>
      <c r="F2265" s="8">
        <f t="shared" si="71"/>
        <v>-4.5978505042415762E-4</v>
      </c>
    </row>
    <row r="2266" spans="1:6" x14ac:dyDescent="0.2">
      <c r="A2266">
        <v>21</v>
      </c>
      <c r="B2266" t="s">
        <v>1143</v>
      </c>
      <c r="C2266" t="s">
        <v>1051</v>
      </c>
      <c r="D2266" s="8">
        <v>9.7581462296593157E-6</v>
      </c>
      <c r="E2266" s="6">
        <f t="shared" si="70"/>
        <v>0.18199999999999994</v>
      </c>
      <c r="F2266" s="8">
        <f t="shared" si="71"/>
        <v>1.7759826137979948E-6</v>
      </c>
    </row>
    <row r="2267" spans="1:6" x14ac:dyDescent="0.2">
      <c r="A2267">
        <v>21</v>
      </c>
      <c r="B2267" t="s">
        <v>1143</v>
      </c>
      <c r="C2267" t="s">
        <v>1052</v>
      </c>
      <c r="D2267" s="8">
        <v>3.3232287859260001E-4</v>
      </c>
      <c r="E2267" s="6">
        <f t="shared" si="70"/>
        <v>-1.1059999999999999</v>
      </c>
      <c r="F2267" s="8">
        <f t="shared" si="71"/>
        <v>-3.6754910372341555E-4</v>
      </c>
    </row>
    <row r="2268" spans="1:6" x14ac:dyDescent="0.2">
      <c r="A2268">
        <v>21</v>
      </c>
      <c r="B2268" t="s">
        <v>1143</v>
      </c>
      <c r="C2268" t="s">
        <v>1053</v>
      </c>
      <c r="D2268" s="8">
        <v>5.667972690877E-3</v>
      </c>
      <c r="E2268" s="6">
        <f t="shared" si="70"/>
        <v>-0.39999999999999991</v>
      </c>
      <c r="F2268" s="8">
        <f t="shared" si="71"/>
        <v>-2.2671890763507996E-3</v>
      </c>
    </row>
    <row r="2269" spans="1:6" x14ac:dyDescent="0.2">
      <c r="A2269">
        <v>21</v>
      </c>
      <c r="B2269" t="s">
        <v>1143</v>
      </c>
      <c r="C2269" t="s">
        <v>1054</v>
      </c>
      <c r="D2269" s="8">
        <v>1.2947617363762E-3</v>
      </c>
      <c r="E2269" s="6">
        <f t="shared" si="70"/>
        <v>-0.16800000000000015</v>
      </c>
      <c r="F2269" s="8">
        <f t="shared" si="71"/>
        <v>-2.1751997171120179E-4</v>
      </c>
    </row>
    <row r="2270" spans="1:6" x14ac:dyDescent="0.2">
      <c r="A2270">
        <v>21</v>
      </c>
      <c r="B2270" t="s">
        <v>1143</v>
      </c>
      <c r="C2270" t="s">
        <v>1055</v>
      </c>
      <c r="D2270" s="8">
        <v>1.1134426733201361E-7</v>
      </c>
      <c r="E2270" s="6">
        <f t="shared" si="70"/>
        <v>-0.93100000000000005</v>
      </c>
      <c r="F2270" s="8">
        <f t="shared" si="71"/>
        <v>-1.0366151288610467E-7</v>
      </c>
    </row>
    <row r="2271" spans="1:6" x14ac:dyDescent="0.2">
      <c r="A2271">
        <v>21</v>
      </c>
      <c r="B2271" t="s">
        <v>1143</v>
      </c>
      <c r="C2271" t="s">
        <v>1056</v>
      </c>
      <c r="D2271" s="8">
        <v>4.0939355778419192E-5</v>
      </c>
      <c r="E2271" s="6">
        <f t="shared" si="70"/>
        <v>-1.996</v>
      </c>
      <c r="F2271" s="8">
        <f t="shared" si="71"/>
        <v>-8.1714954133724703E-5</v>
      </c>
    </row>
    <row r="2272" spans="1:6" x14ac:dyDescent="0.2">
      <c r="A2272">
        <v>21</v>
      </c>
      <c r="B2272" t="s">
        <v>1143</v>
      </c>
      <c r="C2272" t="s">
        <v>1095</v>
      </c>
      <c r="D2272" s="8">
        <v>2.6415033500220002E-4</v>
      </c>
      <c r="E2272" s="6">
        <f t="shared" si="70"/>
        <v>0</v>
      </c>
      <c r="F2272" s="8">
        <f t="shared" si="71"/>
        <v>0</v>
      </c>
    </row>
    <row r="2273" spans="1:6" x14ac:dyDescent="0.2">
      <c r="A2273">
        <v>21</v>
      </c>
      <c r="B2273" t="s">
        <v>1143</v>
      </c>
      <c r="C2273" t="s">
        <v>1112</v>
      </c>
      <c r="D2273" s="8">
        <v>4.9780296985482861E-7</v>
      </c>
      <c r="E2273" s="6">
        <f t="shared" si="70"/>
        <v>0</v>
      </c>
      <c r="F2273" s="8">
        <f t="shared" si="71"/>
        <v>0</v>
      </c>
    </row>
    <row r="2274" spans="1:6" x14ac:dyDescent="0.2">
      <c r="A2274">
        <v>21</v>
      </c>
      <c r="B2274" t="s">
        <v>1143</v>
      </c>
      <c r="C2274" t="s">
        <v>1058</v>
      </c>
      <c r="D2274" s="8">
        <v>1.20250738178E-4</v>
      </c>
      <c r="E2274" s="6">
        <f t="shared" si="70"/>
        <v>-0.5</v>
      </c>
      <c r="F2274" s="8">
        <f t="shared" si="71"/>
        <v>-6.0125369089000002E-5</v>
      </c>
    </row>
    <row r="2275" spans="1:6" x14ac:dyDescent="0.2">
      <c r="A2275">
        <v>21</v>
      </c>
      <c r="B2275" t="s">
        <v>1143</v>
      </c>
      <c r="C2275" t="s">
        <v>1059</v>
      </c>
      <c r="D2275" s="8">
        <v>1.7608097820194901E-2</v>
      </c>
      <c r="E2275" s="6">
        <f t="shared" si="70"/>
        <v>-0.10000000000000009</v>
      </c>
      <c r="F2275" s="8">
        <f t="shared" si="71"/>
        <v>-1.7608097820194916E-3</v>
      </c>
    </row>
    <row r="2276" spans="1:6" x14ac:dyDescent="0.2">
      <c r="A2276">
        <v>21</v>
      </c>
      <c r="B2276" t="s">
        <v>1143</v>
      </c>
      <c r="C2276" t="s">
        <v>1061</v>
      </c>
      <c r="D2276" s="8">
        <v>9.668671576607726E-9</v>
      </c>
      <c r="E2276" s="6">
        <f t="shared" si="70"/>
        <v>0.25499999999999989</v>
      </c>
      <c r="F2276" s="8">
        <f t="shared" si="71"/>
        <v>2.465511252034969E-9</v>
      </c>
    </row>
    <row r="2277" spans="1:6" x14ac:dyDescent="0.2">
      <c r="A2277">
        <v>21</v>
      </c>
      <c r="B2277" t="s">
        <v>1143</v>
      </c>
      <c r="C2277" t="s">
        <v>1062</v>
      </c>
      <c r="D2277" s="8">
        <v>1.8027990894312E-3</v>
      </c>
      <c r="E2277" s="6">
        <f t="shared" si="70"/>
        <v>0.89999999999999947</v>
      </c>
      <c r="F2277" s="8">
        <f t="shared" si="71"/>
        <v>1.6225191804880789E-3</v>
      </c>
    </row>
    <row r="2278" spans="1:6" x14ac:dyDescent="0.2">
      <c r="A2278">
        <v>21</v>
      </c>
      <c r="B2278" t="s">
        <v>1143</v>
      </c>
      <c r="C2278" t="s">
        <v>1063</v>
      </c>
      <c r="D2278" s="8">
        <v>9.7990811249057324E-7</v>
      </c>
      <c r="E2278" s="6">
        <f t="shared" si="70"/>
        <v>-4.1000000000000369E-2</v>
      </c>
      <c r="F2278" s="8">
        <f t="shared" si="71"/>
        <v>-4.0176232612113868E-8</v>
      </c>
    </row>
    <row r="2279" spans="1:6" x14ac:dyDescent="0.2">
      <c r="A2279">
        <v>21</v>
      </c>
      <c r="B2279" t="s">
        <v>1143</v>
      </c>
      <c r="C2279" t="s">
        <v>1064</v>
      </c>
      <c r="D2279" s="8">
        <v>1.214479969328601E-6</v>
      </c>
      <c r="E2279" s="6">
        <f t="shared" si="70"/>
        <v>-0.29400000000000004</v>
      </c>
      <c r="F2279" s="8">
        <f t="shared" si="71"/>
        <v>-3.5705711098260872E-7</v>
      </c>
    </row>
    <row r="2280" spans="1:6" x14ac:dyDescent="0.2">
      <c r="A2280">
        <v>21</v>
      </c>
      <c r="B2280" t="s">
        <v>1143</v>
      </c>
      <c r="C2280" t="s">
        <v>1065</v>
      </c>
      <c r="D2280" s="8">
        <v>2.8978997988730921E-5</v>
      </c>
      <c r="E2280" s="6">
        <f t="shared" si="70"/>
        <v>0.68300000000000005</v>
      </c>
      <c r="F2280" s="8">
        <f t="shared" si="71"/>
        <v>1.979265562630322E-5</v>
      </c>
    </row>
    <row r="2281" spans="1:6" x14ac:dyDescent="0.2">
      <c r="A2281">
        <v>21</v>
      </c>
      <c r="B2281" t="s">
        <v>1143</v>
      </c>
      <c r="C2281" t="s">
        <v>1066</v>
      </c>
      <c r="D2281" s="8">
        <v>1.6096773058115899E-2</v>
      </c>
      <c r="E2281" s="6">
        <f t="shared" si="70"/>
        <v>0.20900000000000007</v>
      </c>
      <c r="F2281" s="8">
        <f t="shared" si="71"/>
        <v>3.3642255691462243E-3</v>
      </c>
    </row>
    <row r="2282" spans="1:6" x14ac:dyDescent="0.2">
      <c r="A2282">
        <v>21</v>
      </c>
      <c r="B2282" t="s">
        <v>1143</v>
      </c>
      <c r="C2282" t="s">
        <v>1067</v>
      </c>
      <c r="D2282" s="8">
        <v>3.219670854681227E-8</v>
      </c>
      <c r="E2282" s="6">
        <f t="shared" si="70"/>
        <v>0.17700000000000005</v>
      </c>
      <c r="F2282" s="8">
        <f t="shared" si="71"/>
        <v>5.6988174127857737E-9</v>
      </c>
    </row>
    <row r="2283" spans="1:6" x14ac:dyDescent="0.2">
      <c r="A2283">
        <v>21</v>
      </c>
      <c r="B2283" t="s">
        <v>1143</v>
      </c>
      <c r="C2283" t="s">
        <v>1106</v>
      </c>
      <c r="D2283" s="8">
        <v>2.907738858651E-4</v>
      </c>
      <c r="E2283" s="6">
        <f t="shared" si="70"/>
        <v>0</v>
      </c>
      <c r="F2283" s="8">
        <f t="shared" si="71"/>
        <v>0</v>
      </c>
    </row>
    <row r="2284" spans="1:6" x14ac:dyDescent="0.2">
      <c r="A2284">
        <v>21</v>
      </c>
      <c r="B2284" t="s">
        <v>1143</v>
      </c>
      <c r="C2284" t="s">
        <v>1069</v>
      </c>
      <c r="D2284" s="8">
        <v>7.6988505947078045E-5</v>
      </c>
      <c r="E2284" s="6">
        <f t="shared" si="70"/>
        <v>-0.13199999999999967</v>
      </c>
      <c r="F2284" s="8">
        <f t="shared" si="71"/>
        <v>-1.0162482785014276E-5</v>
      </c>
    </row>
    <row r="2285" spans="1:6" x14ac:dyDescent="0.2">
      <c r="A2285">
        <v>21</v>
      </c>
      <c r="B2285" t="s">
        <v>1143</v>
      </c>
      <c r="C2285" t="s">
        <v>1070</v>
      </c>
      <c r="D2285" s="8">
        <v>6.7371612634204678E-7</v>
      </c>
      <c r="E2285" s="6">
        <f t="shared" si="70"/>
        <v>-2.5</v>
      </c>
      <c r="F2285" s="8">
        <f t="shared" si="71"/>
        <v>-1.6842903158551169E-6</v>
      </c>
    </row>
    <row r="2286" spans="1:6" x14ac:dyDescent="0.2">
      <c r="A2286">
        <v>21</v>
      </c>
      <c r="B2286" t="s">
        <v>1143</v>
      </c>
      <c r="C2286" t="s">
        <v>1071</v>
      </c>
      <c r="D2286" s="8">
        <v>4.588575361137E-4</v>
      </c>
      <c r="E2286" s="6">
        <f t="shared" si="70"/>
        <v>-0.8</v>
      </c>
      <c r="F2286" s="8">
        <f t="shared" si="71"/>
        <v>-3.6708602889096002E-4</v>
      </c>
    </row>
    <row r="2287" spans="1:6" x14ac:dyDescent="0.2">
      <c r="A2287">
        <v>21</v>
      </c>
      <c r="B2287" t="s">
        <v>1143</v>
      </c>
      <c r="C2287" t="s">
        <v>1072</v>
      </c>
      <c r="D2287" s="8">
        <v>0.27525184707325939</v>
      </c>
      <c r="E2287" s="6">
        <f t="shared" si="70"/>
        <v>0.55599999999999983</v>
      </c>
      <c r="F2287" s="8">
        <f t="shared" si="71"/>
        <v>0.15304002697273217</v>
      </c>
    </row>
    <row r="2288" spans="1:6" x14ac:dyDescent="0.2">
      <c r="A2288">
        <v>21</v>
      </c>
      <c r="B2288" t="s">
        <v>1143</v>
      </c>
      <c r="C2288" t="s">
        <v>1073</v>
      </c>
      <c r="D2288" s="8">
        <v>6.9131066166162319E-6</v>
      </c>
      <c r="E2288" s="6">
        <f t="shared" si="70"/>
        <v>0.69200000000000017</v>
      </c>
      <c r="F2288" s="8">
        <f t="shared" si="71"/>
        <v>4.7838697786984341E-6</v>
      </c>
    </row>
    <row r="2289" spans="1:6" x14ac:dyDescent="0.2">
      <c r="A2289">
        <v>21</v>
      </c>
      <c r="B2289" t="s">
        <v>1143</v>
      </c>
      <c r="C2289" t="s">
        <v>1074</v>
      </c>
      <c r="D2289" s="8">
        <v>2.212423390078756E-5</v>
      </c>
      <c r="E2289" s="6">
        <f t="shared" si="70"/>
        <v>9.5</v>
      </c>
      <c r="F2289" s="8">
        <f t="shared" si="71"/>
        <v>2.1018022205748183E-4</v>
      </c>
    </row>
    <row r="2290" spans="1:6" x14ac:dyDescent="0.2">
      <c r="A2290">
        <v>21</v>
      </c>
      <c r="B2290" t="s">
        <v>1143</v>
      </c>
      <c r="C2290" t="s">
        <v>1107</v>
      </c>
      <c r="D2290" s="8">
        <v>4.871671091534746E-6</v>
      </c>
      <c r="E2290" s="6">
        <f t="shared" si="70"/>
        <v>0</v>
      </c>
      <c r="F2290" s="8">
        <f t="shared" si="71"/>
        <v>0</v>
      </c>
    </row>
    <row r="2291" spans="1:6" x14ac:dyDescent="0.2">
      <c r="A2291">
        <v>21</v>
      </c>
      <c r="B2291" t="s">
        <v>1143</v>
      </c>
      <c r="C2291" t="s">
        <v>1075</v>
      </c>
      <c r="D2291" s="8">
        <v>1.8288095044643501E-2</v>
      </c>
      <c r="E2291" s="6">
        <f t="shared" si="70"/>
        <v>3.0529999999999999</v>
      </c>
      <c r="F2291" s="8">
        <f t="shared" si="71"/>
        <v>5.5833554171296609E-2</v>
      </c>
    </row>
    <row r="2292" spans="1:6" x14ac:dyDescent="0.2">
      <c r="A2292">
        <v>21</v>
      </c>
      <c r="B2292" t="s">
        <v>1143</v>
      </c>
      <c r="C2292" t="s">
        <v>1076</v>
      </c>
      <c r="D2292" s="8">
        <v>4.8876848167597358E-5</v>
      </c>
      <c r="E2292" s="6">
        <f t="shared" si="70"/>
        <v>1.4060000000000001</v>
      </c>
      <c r="F2292" s="8">
        <f t="shared" si="71"/>
        <v>6.8720848523641886E-5</v>
      </c>
    </row>
    <row r="2293" spans="1:6" x14ac:dyDescent="0.2">
      <c r="A2293">
        <v>21</v>
      </c>
      <c r="B2293" t="s">
        <v>1143</v>
      </c>
      <c r="C2293" t="s">
        <v>1133</v>
      </c>
      <c r="D2293" s="8">
        <v>6.8570135109859758E-7</v>
      </c>
      <c r="E2293" s="6">
        <f t="shared" si="70"/>
        <v>0</v>
      </c>
      <c r="F2293" s="8">
        <f t="shared" si="71"/>
        <v>0</v>
      </c>
    </row>
    <row r="2294" spans="1:6" x14ac:dyDescent="0.2">
      <c r="A2294">
        <v>21</v>
      </c>
      <c r="B2294" t="s">
        <v>1143</v>
      </c>
      <c r="C2294" t="s">
        <v>1077</v>
      </c>
      <c r="D2294" s="8">
        <v>4.3410205566698312E-6</v>
      </c>
      <c r="E2294" s="6">
        <f t="shared" si="70"/>
        <v>0.63200000000000012</v>
      </c>
      <c r="F2294" s="8">
        <f t="shared" si="71"/>
        <v>2.7435249918153338E-6</v>
      </c>
    </row>
    <row r="2295" spans="1:6" x14ac:dyDescent="0.2">
      <c r="A2295">
        <v>21</v>
      </c>
      <c r="B2295" t="s">
        <v>1143</v>
      </c>
      <c r="C2295" t="s">
        <v>1078</v>
      </c>
      <c r="D2295" s="8">
        <v>8.6209966674720005E-4</v>
      </c>
      <c r="E2295" s="6">
        <f t="shared" si="70"/>
        <v>0.5</v>
      </c>
      <c r="F2295" s="8">
        <f t="shared" si="71"/>
        <v>4.3104983337360003E-4</v>
      </c>
    </row>
    <row r="2296" spans="1:6" x14ac:dyDescent="0.2">
      <c r="A2296">
        <v>21</v>
      </c>
      <c r="B2296" t="s">
        <v>1143</v>
      </c>
      <c r="C2296" t="s">
        <v>1079</v>
      </c>
      <c r="D2296" s="8">
        <v>6.9141598374389997E-3</v>
      </c>
      <c r="E2296" s="6">
        <f t="shared" si="70"/>
        <v>-0.28899999999999992</v>
      </c>
      <c r="F2296" s="8">
        <f t="shared" si="71"/>
        <v>-1.9981921930198702E-3</v>
      </c>
    </row>
    <row r="2297" spans="1:6" x14ac:dyDescent="0.2">
      <c r="A2297">
        <v>21</v>
      </c>
      <c r="B2297" t="s">
        <v>1143</v>
      </c>
      <c r="C2297" t="s">
        <v>1080</v>
      </c>
      <c r="D2297" s="8">
        <v>2.092786055542797E-7</v>
      </c>
      <c r="E2297" s="6">
        <f t="shared" si="70"/>
        <v>-2.5170000000000003</v>
      </c>
      <c r="F2297" s="8">
        <f t="shared" si="71"/>
        <v>-5.2675425018012213E-7</v>
      </c>
    </row>
    <row r="2298" spans="1:6" x14ac:dyDescent="0.2">
      <c r="A2298">
        <v>21</v>
      </c>
      <c r="B2298" t="s">
        <v>1143</v>
      </c>
      <c r="C2298" t="s">
        <v>1081</v>
      </c>
      <c r="D2298" s="8">
        <v>3.2470234074436292E-5</v>
      </c>
      <c r="E2298" s="6">
        <f t="shared" si="70"/>
        <v>0.36000000000000032</v>
      </c>
      <c r="F2298" s="8">
        <f t="shared" si="71"/>
        <v>1.1689284266797075E-5</v>
      </c>
    </row>
    <row r="2299" spans="1:6" x14ac:dyDescent="0.2">
      <c r="A2299">
        <v>22</v>
      </c>
      <c r="B2299" t="s">
        <v>1144</v>
      </c>
      <c r="C2299" t="s">
        <v>903</v>
      </c>
      <c r="D2299" s="8">
        <v>3.2486257376690002E-4</v>
      </c>
      <c r="E2299" s="6">
        <f t="shared" si="70"/>
        <v>0.22399999999999975</v>
      </c>
      <c r="F2299" s="8">
        <f t="shared" si="71"/>
        <v>7.2769216523785522E-5</v>
      </c>
    </row>
    <row r="2300" spans="1:6" x14ac:dyDescent="0.2">
      <c r="A2300">
        <v>22</v>
      </c>
      <c r="B2300" t="s">
        <v>1144</v>
      </c>
      <c r="C2300" t="s">
        <v>906</v>
      </c>
      <c r="D2300" s="8">
        <v>4.7048522250452002E-3</v>
      </c>
      <c r="E2300" s="6">
        <f t="shared" si="70"/>
        <v>-1.8859999999999997</v>
      </c>
      <c r="F2300" s="8">
        <f t="shared" si="71"/>
        <v>-8.8733512964352459E-3</v>
      </c>
    </row>
    <row r="2301" spans="1:6" x14ac:dyDescent="0.2">
      <c r="A2301">
        <v>22</v>
      </c>
      <c r="B2301" t="s">
        <v>1144</v>
      </c>
      <c r="C2301" t="s">
        <v>907</v>
      </c>
      <c r="D2301" s="8">
        <v>6.2743731982643319E-6</v>
      </c>
      <c r="E2301" s="6">
        <f t="shared" si="70"/>
        <v>-1.0199999999999996</v>
      </c>
      <c r="F2301" s="8">
        <f t="shared" si="71"/>
        <v>-6.3998606622296155E-6</v>
      </c>
    </row>
    <row r="2302" spans="1:6" x14ac:dyDescent="0.2">
      <c r="A2302">
        <v>22</v>
      </c>
      <c r="B2302" t="s">
        <v>1144</v>
      </c>
      <c r="C2302" t="s">
        <v>1097</v>
      </c>
      <c r="D2302" s="8">
        <v>1.032411797404516E-5</v>
      </c>
      <c r="E2302" s="6">
        <f t="shared" ref="E2302:E2365" si="72">IFERROR(VLOOKUP(C2302,$A$6:$D$185,4,FALSE),0)</f>
        <v>0</v>
      </c>
      <c r="F2302" s="8">
        <f t="shared" ref="F2302:F2365" si="73">D2302*E2302</f>
        <v>0</v>
      </c>
    </row>
    <row r="2303" spans="1:6" x14ac:dyDescent="0.2">
      <c r="A2303">
        <v>22</v>
      </c>
      <c r="B2303" t="s">
        <v>1144</v>
      </c>
      <c r="C2303" t="s">
        <v>910</v>
      </c>
      <c r="D2303" s="8">
        <v>8.2375619483181992E-3</v>
      </c>
      <c r="E2303" s="6">
        <f t="shared" si="72"/>
        <v>-7.7999999999999847E-2</v>
      </c>
      <c r="F2303" s="8">
        <f t="shared" si="73"/>
        <v>-6.4252983196881825E-4</v>
      </c>
    </row>
    <row r="2304" spans="1:6" x14ac:dyDescent="0.2">
      <c r="A2304">
        <v>22</v>
      </c>
      <c r="B2304" t="s">
        <v>1144</v>
      </c>
      <c r="C2304" t="s">
        <v>911</v>
      </c>
      <c r="D2304" s="8">
        <v>5.3065291780324092E-5</v>
      </c>
      <c r="E2304" s="6">
        <f t="shared" si="72"/>
        <v>-7.5000000000000067E-2</v>
      </c>
      <c r="F2304" s="8">
        <f t="shared" si="73"/>
        <v>-3.9798968835243105E-6</v>
      </c>
    </row>
    <row r="2305" spans="1:6" x14ac:dyDescent="0.2">
      <c r="A2305">
        <v>22</v>
      </c>
      <c r="B2305" t="s">
        <v>1144</v>
      </c>
      <c r="C2305" t="s">
        <v>914</v>
      </c>
      <c r="D2305" s="8">
        <v>6.6492254152302997E-3</v>
      </c>
      <c r="E2305" s="6">
        <f t="shared" si="72"/>
        <v>-0.26900000000000002</v>
      </c>
      <c r="F2305" s="8">
        <f t="shared" si="73"/>
        <v>-1.7886416366969507E-3</v>
      </c>
    </row>
    <row r="2306" spans="1:6" x14ac:dyDescent="0.2">
      <c r="A2306">
        <v>22</v>
      </c>
      <c r="B2306" t="s">
        <v>1144</v>
      </c>
      <c r="C2306" t="s">
        <v>917</v>
      </c>
      <c r="D2306" s="8">
        <v>1.2911621323413E-3</v>
      </c>
      <c r="E2306" s="6">
        <f t="shared" si="72"/>
        <v>-1.83</v>
      </c>
      <c r="F2306" s="8">
        <f t="shared" si="73"/>
        <v>-2.3628267021845793E-3</v>
      </c>
    </row>
    <row r="2307" spans="1:6" x14ac:dyDescent="0.2">
      <c r="A2307">
        <v>22</v>
      </c>
      <c r="B2307" t="s">
        <v>1144</v>
      </c>
      <c r="C2307" t="s">
        <v>918</v>
      </c>
      <c r="D2307" s="8">
        <v>4.3272770707134217E-9</v>
      </c>
      <c r="E2307" s="6">
        <f t="shared" si="72"/>
        <v>0.1469999999999998</v>
      </c>
      <c r="F2307" s="8">
        <f t="shared" si="73"/>
        <v>6.3610972939487212E-10</v>
      </c>
    </row>
    <row r="2308" spans="1:6" x14ac:dyDescent="0.2">
      <c r="A2308">
        <v>22</v>
      </c>
      <c r="B2308" t="s">
        <v>1144</v>
      </c>
      <c r="C2308" t="s">
        <v>919</v>
      </c>
      <c r="D2308" s="8">
        <v>4.9555652468029792E-7</v>
      </c>
      <c r="E2308" s="6">
        <f t="shared" si="72"/>
        <v>-3.4940000000000002</v>
      </c>
      <c r="F2308" s="8">
        <f t="shared" si="73"/>
        <v>-1.7314744972329609E-6</v>
      </c>
    </row>
    <row r="2309" spans="1:6" x14ac:dyDescent="0.2">
      <c r="A2309">
        <v>22</v>
      </c>
      <c r="B2309" t="s">
        <v>1144</v>
      </c>
      <c r="C2309" t="s">
        <v>1115</v>
      </c>
      <c r="D2309" s="8">
        <v>1.771297737914044E-5</v>
      </c>
      <c r="E2309" s="6">
        <f t="shared" si="72"/>
        <v>0</v>
      </c>
      <c r="F2309" s="8">
        <f t="shared" si="73"/>
        <v>0</v>
      </c>
    </row>
    <row r="2310" spans="1:6" x14ac:dyDescent="0.2">
      <c r="A2310">
        <v>22</v>
      </c>
      <c r="B2310" t="s">
        <v>1144</v>
      </c>
      <c r="C2310" t="s">
        <v>924</v>
      </c>
      <c r="D2310" s="8">
        <v>6.0262890066300004E-4</v>
      </c>
      <c r="E2310" s="6">
        <f t="shared" si="72"/>
        <v>-8.4000000000000075E-2</v>
      </c>
      <c r="F2310" s="8">
        <f t="shared" si="73"/>
        <v>-5.0620827655692049E-5</v>
      </c>
    </row>
    <row r="2311" spans="1:6" x14ac:dyDescent="0.2">
      <c r="A2311">
        <v>22</v>
      </c>
      <c r="B2311" t="s">
        <v>1144</v>
      </c>
      <c r="C2311" t="s">
        <v>926</v>
      </c>
      <c r="D2311" s="8">
        <v>2.577215412569326E-5</v>
      </c>
      <c r="E2311" s="6">
        <f t="shared" si="72"/>
        <v>-4.8000000000000043E-2</v>
      </c>
      <c r="F2311" s="8">
        <f t="shared" si="73"/>
        <v>-1.2370633980332776E-6</v>
      </c>
    </row>
    <row r="2312" spans="1:6" x14ac:dyDescent="0.2">
      <c r="A2312">
        <v>22</v>
      </c>
      <c r="B2312" t="s">
        <v>1144</v>
      </c>
      <c r="C2312" t="s">
        <v>930</v>
      </c>
      <c r="D2312" s="8">
        <v>3.2510219957450001E-3</v>
      </c>
      <c r="E2312" s="6">
        <f t="shared" si="72"/>
        <v>-5.8000000000000052E-2</v>
      </c>
      <c r="F2312" s="8">
        <f t="shared" si="73"/>
        <v>-1.8855927575321018E-4</v>
      </c>
    </row>
    <row r="2313" spans="1:6" x14ac:dyDescent="0.2">
      <c r="A2313">
        <v>22</v>
      </c>
      <c r="B2313" t="s">
        <v>1144</v>
      </c>
      <c r="C2313" t="s">
        <v>931</v>
      </c>
      <c r="D2313" s="8">
        <v>5.4385225445859997E-4</v>
      </c>
      <c r="E2313" s="6">
        <f t="shared" si="72"/>
        <v>-0.31099999999999994</v>
      </c>
      <c r="F2313" s="8">
        <f t="shared" si="73"/>
        <v>-1.6913805113662455E-4</v>
      </c>
    </row>
    <row r="2314" spans="1:6" x14ac:dyDescent="0.2">
      <c r="A2314">
        <v>22</v>
      </c>
      <c r="B2314" t="s">
        <v>1144</v>
      </c>
      <c r="C2314" t="s">
        <v>932</v>
      </c>
      <c r="D2314" s="8">
        <v>3.3074768789221651E-6</v>
      </c>
      <c r="E2314" s="6">
        <f t="shared" si="72"/>
        <v>0.21799999999999997</v>
      </c>
      <c r="F2314" s="8">
        <f t="shared" si="73"/>
        <v>7.2102995960503193E-7</v>
      </c>
    </row>
    <row r="2315" spans="1:6" x14ac:dyDescent="0.2">
      <c r="A2315">
        <v>22</v>
      </c>
      <c r="B2315" t="s">
        <v>1144</v>
      </c>
      <c r="C2315" t="s">
        <v>933</v>
      </c>
      <c r="D2315" s="8">
        <v>0.60103174128538961</v>
      </c>
      <c r="E2315" s="6">
        <f t="shared" si="72"/>
        <v>0.4430000000000005</v>
      </c>
      <c r="F2315" s="8">
        <f t="shared" si="73"/>
        <v>0.2662570613894279</v>
      </c>
    </row>
    <row r="2316" spans="1:6" x14ac:dyDescent="0.2">
      <c r="A2316">
        <v>22</v>
      </c>
      <c r="B2316" t="s">
        <v>1144</v>
      </c>
      <c r="C2316" t="s">
        <v>934</v>
      </c>
      <c r="D2316" s="8">
        <v>6.0328222148789998E-4</v>
      </c>
      <c r="E2316" s="6">
        <f t="shared" si="72"/>
        <v>-0.20000000000000018</v>
      </c>
      <c r="F2316" s="8">
        <f t="shared" si="73"/>
        <v>-1.2065644429758011E-4</v>
      </c>
    </row>
    <row r="2317" spans="1:6" x14ac:dyDescent="0.2">
      <c r="A2317">
        <v>22</v>
      </c>
      <c r="B2317" t="s">
        <v>1144</v>
      </c>
      <c r="C2317" t="s">
        <v>935</v>
      </c>
      <c r="D2317" s="8">
        <v>1.822988901346E-3</v>
      </c>
      <c r="E2317" s="6">
        <f t="shared" si="72"/>
        <v>-0.71799999999999997</v>
      </c>
      <c r="F2317" s="8">
        <f t="shared" si="73"/>
        <v>-1.308906031166428E-3</v>
      </c>
    </row>
    <row r="2318" spans="1:6" x14ac:dyDescent="0.2">
      <c r="A2318">
        <v>22</v>
      </c>
      <c r="B2318" t="s">
        <v>1144</v>
      </c>
      <c r="C2318" t="s">
        <v>937</v>
      </c>
      <c r="D2318" s="8">
        <v>4.5515092121467708E-5</v>
      </c>
      <c r="E2318" s="6">
        <f t="shared" si="72"/>
        <v>-0.3660000000000001</v>
      </c>
      <c r="F2318" s="8">
        <f t="shared" si="73"/>
        <v>-1.6658523716457187E-5</v>
      </c>
    </row>
    <row r="2319" spans="1:6" x14ac:dyDescent="0.2">
      <c r="A2319">
        <v>22</v>
      </c>
      <c r="B2319" t="s">
        <v>1144</v>
      </c>
      <c r="C2319" t="s">
        <v>1102</v>
      </c>
      <c r="D2319" s="8">
        <v>1.125316245428716E-6</v>
      </c>
      <c r="E2319" s="6">
        <f t="shared" si="72"/>
        <v>0</v>
      </c>
      <c r="F2319" s="8">
        <f t="shared" si="73"/>
        <v>0</v>
      </c>
    </row>
    <row r="2320" spans="1:6" x14ac:dyDescent="0.2">
      <c r="A2320">
        <v>22</v>
      </c>
      <c r="B2320" t="s">
        <v>1144</v>
      </c>
      <c r="C2320" t="s">
        <v>938</v>
      </c>
      <c r="D2320" s="8">
        <v>1.121451199981E-4</v>
      </c>
      <c r="E2320" s="6">
        <f t="shared" si="72"/>
        <v>-0.32500000000000018</v>
      </c>
      <c r="F2320" s="8">
        <f t="shared" si="73"/>
        <v>-3.644716399938252E-5</v>
      </c>
    </row>
    <row r="2321" spans="1:6" x14ac:dyDescent="0.2">
      <c r="A2321">
        <v>22</v>
      </c>
      <c r="B2321" t="s">
        <v>1144</v>
      </c>
      <c r="C2321" t="s">
        <v>941</v>
      </c>
      <c r="D2321" s="8">
        <v>7.6886148371060003E-4</v>
      </c>
      <c r="E2321" s="6">
        <f t="shared" si="72"/>
        <v>0.16599999999999993</v>
      </c>
      <c r="F2321" s="8">
        <f t="shared" si="73"/>
        <v>1.2763100629595953E-4</v>
      </c>
    </row>
    <row r="2322" spans="1:6" x14ac:dyDescent="0.2">
      <c r="A2322">
        <v>22</v>
      </c>
      <c r="B2322" t="s">
        <v>1144</v>
      </c>
      <c r="C2322" t="s">
        <v>1111</v>
      </c>
      <c r="D2322" s="8">
        <v>3.6835946064448002E-10</v>
      </c>
      <c r="E2322" s="6">
        <f t="shared" si="72"/>
        <v>0</v>
      </c>
      <c r="F2322" s="8">
        <f t="shared" si="73"/>
        <v>0</v>
      </c>
    </row>
    <row r="2323" spans="1:6" x14ac:dyDescent="0.2">
      <c r="A2323">
        <v>22</v>
      </c>
      <c r="B2323" t="s">
        <v>1144</v>
      </c>
      <c r="C2323" t="s">
        <v>943</v>
      </c>
      <c r="D2323" s="8">
        <v>8.5470006434716038E-6</v>
      </c>
      <c r="E2323" s="6">
        <f t="shared" si="72"/>
        <v>0.40800000000000014</v>
      </c>
      <c r="F2323" s="8">
        <f t="shared" si="73"/>
        <v>3.4871762625364157E-6</v>
      </c>
    </row>
    <row r="2324" spans="1:6" x14ac:dyDescent="0.2">
      <c r="A2324">
        <v>22</v>
      </c>
      <c r="B2324" t="s">
        <v>1144</v>
      </c>
      <c r="C2324" t="s">
        <v>944</v>
      </c>
      <c r="D2324" s="8">
        <v>1.3734050472350001E-4</v>
      </c>
      <c r="E2324" s="6">
        <f t="shared" si="72"/>
        <v>-0.122</v>
      </c>
      <c r="F2324" s="8">
        <f t="shared" si="73"/>
        <v>-1.6755541576267002E-5</v>
      </c>
    </row>
    <row r="2325" spans="1:6" x14ac:dyDescent="0.2">
      <c r="A2325">
        <v>22</v>
      </c>
      <c r="B2325" t="s">
        <v>1144</v>
      </c>
      <c r="C2325" t="s">
        <v>945</v>
      </c>
      <c r="D2325" s="8">
        <v>2.7094210455859999E-4</v>
      </c>
      <c r="E2325" s="6">
        <f t="shared" si="72"/>
        <v>0.49000000000000021</v>
      </c>
      <c r="F2325" s="8">
        <f t="shared" si="73"/>
        <v>1.3276163123371405E-4</v>
      </c>
    </row>
    <row r="2326" spans="1:6" x14ac:dyDescent="0.2">
      <c r="A2326">
        <v>22</v>
      </c>
      <c r="B2326" t="s">
        <v>1144</v>
      </c>
      <c r="C2326" t="s">
        <v>946</v>
      </c>
      <c r="D2326" s="8">
        <v>5.6749230215969999E-4</v>
      </c>
      <c r="E2326" s="6">
        <f t="shared" si="72"/>
        <v>-0.1639999999999997</v>
      </c>
      <c r="F2326" s="8">
        <f t="shared" si="73"/>
        <v>-9.3068737554190625E-5</v>
      </c>
    </row>
    <row r="2327" spans="1:6" x14ac:dyDescent="0.2">
      <c r="A2327">
        <v>22</v>
      </c>
      <c r="B2327" t="s">
        <v>1144</v>
      </c>
      <c r="C2327" t="s">
        <v>947</v>
      </c>
      <c r="D2327" s="8">
        <v>1.682929609331E-4</v>
      </c>
      <c r="E2327" s="6">
        <f t="shared" si="72"/>
        <v>0.15500000000000003</v>
      </c>
      <c r="F2327" s="8">
        <f t="shared" si="73"/>
        <v>2.6085408944630504E-5</v>
      </c>
    </row>
    <row r="2328" spans="1:6" x14ac:dyDescent="0.2">
      <c r="A2328">
        <v>22</v>
      </c>
      <c r="B2328" t="s">
        <v>1144</v>
      </c>
      <c r="C2328" t="s">
        <v>948</v>
      </c>
      <c r="D2328" s="8">
        <v>5.3069368183499997E-4</v>
      </c>
      <c r="E2328" s="6">
        <f t="shared" si="72"/>
        <v>-1.0880000000000001</v>
      </c>
      <c r="F2328" s="8">
        <f t="shared" si="73"/>
        <v>-5.7739472583647996E-4</v>
      </c>
    </row>
    <row r="2329" spans="1:6" x14ac:dyDescent="0.2">
      <c r="A2329">
        <v>22</v>
      </c>
      <c r="B2329" t="s">
        <v>1144</v>
      </c>
      <c r="C2329" t="s">
        <v>949</v>
      </c>
      <c r="D2329" s="8">
        <v>6.7027971848795132E-5</v>
      </c>
      <c r="E2329" s="6">
        <f t="shared" si="72"/>
        <v>0.79599999999999982</v>
      </c>
      <c r="F2329" s="8">
        <f t="shared" si="73"/>
        <v>5.3354265591640915E-5</v>
      </c>
    </row>
    <row r="2330" spans="1:6" x14ac:dyDescent="0.2">
      <c r="A2330">
        <v>22</v>
      </c>
      <c r="B2330" t="s">
        <v>1144</v>
      </c>
      <c r="C2330" t="s">
        <v>950</v>
      </c>
      <c r="D2330" s="8">
        <v>3.1114203957697178E-8</v>
      </c>
      <c r="E2330" s="6">
        <f t="shared" si="72"/>
        <v>0.38300000000000001</v>
      </c>
      <c r="F2330" s="8">
        <f t="shared" si="73"/>
        <v>1.191674011579802E-8</v>
      </c>
    </row>
    <row r="2331" spans="1:6" x14ac:dyDescent="0.2">
      <c r="A2331">
        <v>22</v>
      </c>
      <c r="B2331" t="s">
        <v>1144</v>
      </c>
      <c r="C2331" t="s">
        <v>951</v>
      </c>
      <c r="D2331" s="8">
        <v>7.284042702989E-4</v>
      </c>
      <c r="E2331" s="6">
        <f t="shared" si="72"/>
        <v>-8.8000000000000078E-2</v>
      </c>
      <c r="F2331" s="8">
        <f t="shared" si="73"/>
        <v>-6.4099575786303264E-5</v>
      </c>
    </row>
    <row r="2332" spans="1:6" x14ac:dyDescent="0.2">
      <c r="A2332">
        <v>22</v>
      </c>
      <c r="B2332" t="s">
        <v>1144</v>
      </c>
      <c r="C2332" t="s">
        <v>952</v>
      </c>
      <c r="D2332" s="8">
        <v>3.9633641544955002E-3</v>
      </c>
      <c r="E2332" s="6">
        <f t="shared" si="72"/>
        <v>0.28300000000000014</v>
      </c>
      <c r="F2332" s="8">
        <f t="shared" si="73"/>
        <v>1.1216320557222272E-3</v>
      </c>
    </row>
    <row r="2333" spans="1:6" x14ac:dyDescent="0.2">
      <c r="A2333">
        <v>22</v>
      </c>
      <c r="B2333" t="s">
        <v>1144</v>
      </c>
      <c r="C2333" t="s">
        <v>953</v>
      </c>
      <c r="D2333" s="8">
        <v>1.087888284588224E-5</v>
      </c>
      <c r="E2333" s="6">
        <f t="shared" si="72"/>
        <v>-0.42500000000000004</v>
      </c>
      <c r="F2333" s="8">
        <f t="shared" si="73"/>
        <v>-4.6235252094999529E-6</v>
      </c>
    </row>
    <row r="2334" spans="1:6" x14ac:dyDescent="0.2">
      <c r="A2334">
        <v>22</v>
      </c>
      <c r="B2334" t="s">
        <v>1144</v>
      </c>
      <c r="C2334" t="s">
        <v>954</v>
      </c>
      <c r="D2334" s="8">
        <v>3.7490446721393414E-9</v>
      </c>
      <c r="E2334" s="6">
        <f t="shared" si="72"/>
        <v>2.0929999999999991</v>
      </c>
      <c r="F2334" s="8">
        <f t="shared" si="73"/>
        <v>7.8467504987876384E-9</v>
      </c>
    </row>
    <row r="2335" spans="1:6" x14ac:dyDescent="0.2">
      <c r="A2335">
        <v>22</v>
      </c>
      <c r="B2335" t="s">
        <v>1144</v>
      </c>
      <c r="C2335" t="s">
        <v>955</v>
      </c>
      <c r="D2335" s="8">
        <v>1.6816675294939999E-4</v>
      </c>
      <c r="E2335" s="6">
        <f t="shared" si="72"/>
        <v>-0.40500000000000003</v>
      </c>
      <c r="F2335" s="8">
        <f t="shared" si="73"/>
        <v>-6.8107534944507003E-5</v>
      </c>
    </row>
    <row r="2336" spans="1:6" x14ac:dyDescent="0.2">
      <c r="A2336">
        <v>22</v>
      </c>
      <c r="B2336" t="s">
        <v>1144</v>
      </c>
      <c r="C2336" t="s">
        <v>956</v>
      </c>
      <c r="D2336" s="8">
        <v>5.4843725684946401E-6</v>
      </c>
      <c r="E2336" s="6">
        <f t="shared" si="72"/>
        <v>-0.44700000000000006</v>
      </c>
      <c r="F2336" s="8">
        <f t="shared" si="73"/>
        <v>-2.4515145381171046E-6</v>
      </c>
    </row>
    <row r="2337" spans="1:6" x14ac:dyDescent="0.2">
      <c r="A2337">
        <v>22</v>
      </c>
      <c r="B2337" t="s">
        <v>1144</v>
      </c>
      <c r="C2337" t="s">
        <v>957</v>
      </c>
      <c r="D2337" s="8">
        <v>1.457726300621E-4</v>
      </c>
      <c r="E2337" s="6">
        <f t="shared" si="72"/>
        <v>-0.11499999999999988</v>
      </c>
      <c r="F2337" s="8">
        <f t="shared" si="73"/>
        <v>-1.6763852457141482E-5</v>
      </c>
    </row>
    <row r="2338" spans="1:6" x14ac:dyDescent="0.2">
      <c r="A2338">
        <v>22</v>
      </c>
      <c r="B2338" t="s">
        <v>1144</v>
      </c>
      <c r="C2338" t="s">
        <v>958</v>
      </c>
      <c r="D2338" s="8">
        <v>1.2674153157858399E-5</v>
      </c>
      <c r="E2338" s="6">
        <f t="shared" si="72"/>
        <v>9.6999999999999975E-2</v>
      </c>
      <c r="F2338" s="8">
        <f t="shared" si="73"/>
        <v>1.2293928563122644E-6</v>
      </c>
    </row>
    <row r="2339" spans="1:6" x14ac:dyDescent="0.2">
      <c r="A2339">
        <v>22</v>
      </c>
      <c r="B2339" t="s">
        <v>1144</v>
      </c>
      <c r="C2339" t="s">
        <v>959</v>
      </c>
      <c r="D2339" s="8">
        <v>1.7264476009075001E-3</v>
      </c>
      <c r="E2339" s="6">
        <f t="shared" si="72"/>
        <v>-0.60699999999999998</v>
      </c>
      <c r="F2339" s="8">
        <f t="shared" si="73"/>
        <v>-1.0479536937508525E-3</v>
      </c>
    </row>
    <row r="2340" spans="1:6" x14ac:dyDescent="0.2">
      <c r="A2340">
        <v>22</v>
      </c>
      <c r="B2340" t="s">
        <v>1144</v>
      </c>
      <c r="C2340" t="s">
        <v>961</v>
      </c>
      <c r="D2340" s="8">
        <v>3.2785356441910078E-5</v>
      </c>
      <c r="E2340" s="6">
        <f t="shared" si="72"/>
        <v>6.9999999999996732E-3</v>
      </c>
      <c r="F2340" s="8">
        <f t="shared" si="73"/>
        <v>2.2949749509335984E-7</v>
      </c>
    </row>
    <row r="2341" spans="1:6" x14ac:dyDescent="0.2">
      <c r="A2341">
        <v>22</v>
      </c>
      <c r="B2341" t="s">
        <v>1144</v>
      </c>
      <c r="C2341" t="s">
        <v>965</v>
      </c>
      <c r="D2341" s="8">
        <v>7.0547208628904547E-7</v>
      </c>
      <c r="E2341" s="6">
        <f t="shared" si="72"/>
        <v>4.5000000000000151E-2</v>
      </c>
      <c r="F2341" s="8">
        <f t="shared" si="73"/>
        <v>3.1746243883007151E-8</v>
      </c>
    </row>
    <row r="2342" spans="1:6" x14ac:dyDescent="0.2">
      <c r="A2342">
        <v>22</v>
      </c>
      <c r="B2342" t="s">
        <v>1144</v>
      </c>
      <c r="C2342" t="s">
        <v>967</v>
      </c>
      <c r="D2342" s="8">
        <v>2.2486319638925999E-3</v>
      </c>
      <c r="E2342" s="6">
        <f t="shared" si="72"/>
        <v>0.10000000000000009</v>
      </c>
      <c r="F2342" s="8">
        <f t="shared" si="73"/>
        <v>2.2486319638926019E-4</v>
      </c>
    </row>
    <row r="2343" spans="1:6" x14ac:dyDescent="0.2">
      <c r="A2343">
        <v>22</v>
      </c>
      <c r="B2343" t="s">
        <v>1144</v>
      </c>
      <c r="C2343" t="s">
        <v>1105</v>
      </c>
      <c r="D2343" s="8">
        <v>3.0152466628731121E-9</v>
      </c>
      <c r="E2343" s="6">
        <f t="shared" si="72"/>
        <v>0</v>
      </c>
      <c r="F2343" s="8">
        <f t="shared" si="73"/>
        <v>0</v>
      </c>
    </row>
    <row r="2344" spans="1:6" x14ac:dyDescent="0.2">
      <c r="A2344">
        <v>22</v>
      </c>
      <c r="B2344" t="s">
        <v>1144</v>
      </c>
      <c r="C2344" t="s">
        <v>968</v>
      </c>
      <c r="D2344" s="8">
        <v>1.5253651674264808E-8</v>
      </c>
      <c r="E2344" s="6">
        <f t="shared" si="72"/>
        <v>-6.7510000000000012</v>
      </c>
      <c r="F2344" s="8">
        <f t="shared" si="73"/>
        <v>-1.0297740245296175E-7</v>
      </c>
    </row>
    <row r="2345" spans="1:6" x14ac:dyDescent="0.2">
      <c r="A2345">
        <v>22</v>
      </c>
      <c r="B2345" t="s">
        <v>1144</v>
      </c>
      <c r="C2345" t="s">
        <v>969</v>
      </c>
      <c r="D2345" s="8">
        <v>8.7506384501421005E-3</v>
      </c>
      <c r="E2345" s="6">
        <f t="shared" si="72"/>
        <v>0.53699999999999992</v>
      </c>
      <c r="F2345" s="8">
        <f t="shared" si="73"/>
        <v>4.6990928477263069E-3</v>
      </c>
    </row>
    <row r="2346" spans="1:6" x14ac:dyDescent="0.2">
      <c r="A2346">
        <v>22</v>
      </c>
      <c r="B2346" t="s">
        <v>1144</v>
      </c>
      <c r="C2346" t="s">
        <v>970</v>
      </c>
      <c r="D2346" s="8">
        <v>6.677614920512277E-5</v>
      </c>
      <c r="E2346" s="6">
        <f t="shared" si="72"/>
        <v>-0.10000000000000009</v>
      </c>
      <c r="F2346" s="8">
        <f t="shared" si="73"/>
        <v>-6.6776149205122831E-6</v>
      </c>
    </row>
    <row r="2347" spans="1:6" x14ac:dyDescent="0.2">
      <c r="A2347">
        <v>22</v>
      </c>
      <c r="B2347" t="s">
        <v>1144</v>
      </c>
      <c r="C2347" t="s">
        <v>973</v>
      </c>
      <c r="D2347" s="8">
        <v>1.232224357054342E-6</v>
      </c>
      <c r="E2347" s="6">
        <f t="shared" si="72"/>
        <v>-0.84999999999999987</v>
      </c>
      <c r="F2347" s="8">
        <f t="shared" si="73"/>
        <v>-1.0473907034961906E-6</v>
      </c>
    </row>
    <row r="2348" spans="1:6" x14ac:dyDescent="0.2">
      <c r="A2348">
        <v>22</v>
      </c>
      <c r="B2348" t="s">
        <v>1144</v>
      </c>
      <c r="C2348" t="s">
        <v>975</v>
      </c>
      <c r="D2348" s="8">
        <v>6.4183094025696302E-2</v>
      </c>
      <c r="E2348" s="6">
        <f t="shared" si="72"/>
        <v>0.23500000000000032</v>
      </c>
      <c r="F2348" s="8">
        <f t="shared" si="73"/>
        <v>1.5083027096038652E-2</v>
      </c>
    </row>
    <row r="2349" spans="1:6" x14ac:dyDescent="0.2">
      <c r="A2349">
        <v>22</v>
      </c>
      <c r="B2349" t="s">
        <v>1144</v>
      </c>
      <c r="C2349" t="s">
        <v>977</v>
      </c>
      <c r="D2349" s="8">
        <v>5.4266314928106124E-6</v>
      </c>
      <c r="E2349" s="6">
        <f t="shared" si="72"/>
        <v>-7.2039999999999997</v>
      </c>
      <c r="F2349" s="8">
        <f t="shared" si="73"/>
        <v>-3.9093453274207651E-5</v>
      </c>
    </row>
    <row r="2350" spans="1:6" x14ac:dyDescent="0.2">
      <c r="A2350">
        <v>22</v>
      </c>
      <c r="B2350" t="s">
        <v>1144</v>
      </c>
      <c r="C2350" t="s">
        <v>978</v>
      </c>
      <c r="D2350" s="8">
        <v>2.3454962704390001E-4</v>
      </c>
      <c r="E2350" s="6">
        <f t="shared" si="72"/>
        <v>-8.2390000000000008</v>
      </c>
      <c r="F2350" s="8">
        <f t="shared" si="73"/>
        <v>-1.9324543772146923E-3</v>
      </c>
    </row>
    <row r="2351" spans="1:6" x14ac:dyDescent="0.2">
      <c r="A2351">
        <v>22</v>
      </c>
      <c r="B2351" t="s">
        <v>1144</v>
      </c>
      <c r="C2351" t="s">
        <v>979</v>
      </c>
      <c r="D2351" s="8">
        <v>2.9995704904559999E-4</v>
      </c>
      <c r="E2351" s="6">
        <f t="shared" si="72"/>
        <v>-0.5</v>
      </c>
      <c r="F2351" s="8">
        <f t="shared" si="73"/>
        <v>-1.499785245228E-4</v>
      </c>
    </row>
    <row r="2352" spans="1:6" x14ac:dyDescent="0.2">
      <c r="A2352">
        <v>22</v>
      </c>
      <c r="B2352" t="s">
        <v>1144</v>
      </c>
      <c r="C2352" t="s">
        <v>980</v>
      </c>
      <c r="D2352" s="8">
        <v>1.821664646650906E-6</v>
      </c>
      <c r="E2352" s="6">
        <f t="shared" si="72"/>
        <v>-0.10000000000000009</v>
      </c>
      <c r="F2352" s="8">
        <f t="shared" si="73"/>
        <v>-1.8216646466509075E-7</v>
      </c>
    </row>
    <row r="2353" spans="1:6" x14ac:dyDescent="0.2">
      <c r="A2353">
        <v>22</v>
      </c>
      <c r="B2353" t="s">
        <v>1144</v>
      </c>
      <c r="C2353" t="s">
        <v>981</v>
      </c>
      <c r="D2353" s="8">
        <v>5.0949941724122002E-3</v>
      </c>
      <c r="E2353" s="6">
        <f t="shared" si="72"/>
        <v>-0.33499999999999996</v>
      </c>
      <c r="F2353" s="8">
        <f t="shared" si="73"/>
        <v>-1.7068230477580869E-3</v>
      </c>
    </row>
    <row r="2354" spans="1:6" x14ac:dyDescent="0.2">
      <c r="A2354">
        <v>22</v>
      </c>
      <c r="B2354" t="s">
        <v>1144</v>
      </c>
      <c r="C2354" t="s">
        <v>983</v>
      </c>
      <c r="D2354" s="8">
        <v>4.7705008587745962E-6</v>
      </c>
      <c r="E2354" s="6">
        <f t="shared" si="72"/>
        <v>-0.19999999999999973</v>
      </c>
      <c r="F2354" s="8">
        <f t="shared" si="73"/>
        <v>-9.5410017175491789E-7</v>
      </c>
    </row>
    <row r="2355" spans="1:6" x14ac:dyDescent="0.2">
      <c r="A2355">
        <v>22</v>
      </c>
      <c r="B2355" t="s">
        <v>1144</v>
      </c>
      <c r="C2355" t="s">
        <v>984</v>
      </c>
      <c r="D2355" s="8">
        <v>5.8985932213107502E-2</v>
      </c>
      <c r="E2355" s="6">
        <f t="shared" si="72"/>
        <v>0.121</v>
      </c>
      <c r="F2355" s="8">
        <f t="shared" si="73"/>
        <v>7.1372977977860073E-3</v>
      </c>
    </row>
    <row r="2356" spans="1:6" x14ac:dyDescent="0.2">
      <c r="A2356">
        <v>22</v>
      </c>
      <c r="B2356" t="s">
        <v>1144</v>
      </c>
      <c r="C2356" t="s">
        <v>985</v>
      </c>
      <c r="D2356" s="8">
        <v>1.2839112205251801E-5</v>
      </c>
      <c r="E2356" s="6">
        <f t="shared" si="72"/>
        <v>0.34299999999999997</v>
      </c>
      <c r="F2356" s="8">
        <f t="shared" si="73"/>
        <v>4.4038154864013671E-6</v>
      </c>
    </row>
    <row r="2357" spans="1:6" x14ac:dyDescent="0.2">
      <c r="A2357">
        <v>22</v>
      </c>
      <c r="B2357" t="s">
        <v>1144</v>
      </c>
      <c r="C2357" t="s">
        <v>986</v>
      </c>
      <c r="D2357" s="8">
        <v>8.6819093079470002E-4</v>
      </c>
      <c r="E2357" s="6">
        <f t="shared" si="72"/>
        <v>-0.38900000000000023</v>
      </c>
      <c r="F2357" s="8">
        <f t="shared" si="73"/>
        <v>-3.3772627207913851E-4</v>
      </c>
    </row>
    <row r="2358" spans="1:6" x14ac:dyDescent="0.2">
      <c r="A2358">
        <v>22</v>
      </c>
      <c r="B2358" t="s">
        <v>1144</v>
      </c>
      <c r="C2358" t="s">
        <v>988</v>
      </c>
      <c r="D2358" s="8">
        <v>2.4376587581277499E-5</v>
      </c>
      <c r="E2358" s="6">
        <f t="shared" si="72"/>
        <v>0.59299999999999997</v>
      </c>
      <c r="F2358" s="8">
        <f t="shared" si="73"/>
        <v>1.4455316435697557E-5</v>
      </c>
    </row>
    <row r="2359" spans="1:6" x14ac:dyDescent="0.2">
      <c r="A2359">
        <v>22</v>
      </c>
      <c r="B2359" t="s">
        <v>1144</v>
      </c>
      <c r="C2359" t="s">
        <v>989</v>
      </c>
      <c r="D2359" s="8">
        <v>1.523198283433321E-6</v>
      </c>
      <c r="E2359" s="6">
        <f t="shared" si="72"/>
        <v>-0.12199999999999989</v>
      </c>
      <c r="F2359" s="8">
        <f t="shared" si="73"/>
        <v>-1.8583019057886498E-7</v>
      </c>
    </row>
    <row r="2360" spans="1:6" x14ac:dyDescent="0.2">
      <c r="A2360">
        <v>22</v>
      </c>
      <c r="B2360" t="s">
        <v>1144</v>
      </c>
      <c r="C2360" t="s">
        <v>990</v>
      </c>
      <c r="D2360" s="8">
        <v>1.3910425776974E-2</v>
      </c>
      <c r="E2360" s="6">
        <f t="shared" si="72"/>
        <v>0.45299999999999985</v>
      </c>
      <c r="F2360" s="8">
        <f t="shared" si="73"/>
        <v>6.3014228769692196E-3</v>
      </c>
    </row>
    <row r="2361" spans="1:6" x14ac:dyDescent="0.2">
      <c r="A2361">
        <v>22</v>
      </c>
      <c r="B2361" t="s">
        <v>1144</v>
      </c>
      <c r="C2361" t="s">
        <v>991</v>
      </c>
      <c r="D2361" s="8">
        <v>2.357435584877E-4</v>
      </c>
      <c r="E2361" s="6">
        <f t="shared" si="72"/>
        <v>-3.7290000000000001</v>
      </c>
      <c r="F2361" s="8">
        <f t="shared" si="73"/>
        <v>-8.7908772960063335E-4</v>
      </c>
    </row>
    <row r="2362" spans="1:6" x14ac:dyDescent="0.2">
      <c r="A2362">
        <v>22</v>
      </c>
      <c r="B2362" t="s">
        <v>1144</v>
      </c>
      <c r="C2362" t="s">
        <v>992</v>
      </c>
      <c r="D2362" s="8">
        <v>6.8863205484065714E-9</v>
      </c>
      <c r="E2362" s="6">
        <f t="shared" si="72"/>
        <v>2.048</v>
      </c>
      <c r="F2362" s="8">
        <f t="shared" si="73"/>
        <v>1.4103184483136659E-8</v>
      </c>
    </row>
    <row r="2363" spans="1:6" x14ac:dyDescent="0.2">
      <c r="A2363">
        <v>22</v>
      </c>
      <c r="B2363" t="s">
        <v>1144</v>
      </c>
      <c r="C2363" t="s">
        <v>1092</v>
      </c>
      <c r="D2363" s="8">
        <v>1.079205727555053E-5</v>
      </c>
      <c r="E2363" s="6">
        <f t="shared" si="72"/>
        <v>0</v>
      </c>
      <c r="F2363" s="8">
        <f t="shared" si="73"/>
        <v>0</v>
      </c>
    </row>
    <row r="2364" spans="1:6" x14ac:dyDescent="0.2">
      <c r="A2364">
        <v>22</v>
      </c>
      <c r="B2364" t="s">
        <v>1144</v>
      </c>
      <c r="C2364" t="s">
        <v>993</v>
      </c>
      <c r="D2364" s="8">
        <v>3.21540164536664E-6</v>
      </c>
      <c r="E2364" s="6">
        <f t="shared" si="72"/>
        <v>-0.42900000000000027</v>
      </c>
      <c r="F2364" s="8">
        <f t="shared" si="73"/>
        <v>-1.3794073058622895E-6</v>
      </c>
    </row>
    <row r="2365" spans="1:6" x14ac:dyDescent="0.2">
      <c r="A2365">
        <v>22</v>
      </c>
      <c r="B2365" t="s">
        <v>1144</v>
      </c>
      <c r="C2365" t="s">
        <v>994</v>
      </c>
      <c r="D2365" s="8">
        <v>3.2541408820459998E-4</v>
      </c>
      <c r="E2365" s="6">
        <f t="shared" si="72"/>
        <v>2.415</v>
      </c>
      <c r="F2365" s="8">
        <f t="shared" si="73"/>
        <v>7.8587502301410896E-4</v>
      </c>
    </row>
    <row r="2366" spans="1:6" x14ac:dyDescent="0.2">
      <c r="A2366">
        <v>22</v>
      </c>
      <c r="B2366" t="s">
        <v>1144</v>
      </c>
      <c r="C2366" t="s">
        <v>1093</v>
      </c>
      <c r="D2366" s="8">
        <v>1.2391432160217721E-5</v>
      </c>
      <c r="E2366" s="6">
        <f t="shared" ref="E2366:E2429" si="74">IFERROR(VLOOKUP(C2366,$A$6:$D$185,4,FALSE),0)</f>
        <v>0</v>
      </c>
      <c r="F2366" s="8">
        <f t="shared" ref="F2366:F2429" si="75">D2366*E2366</f>
        <v>0</v>
      </c>
    </row>
    <row r="2367" spans="1:6" x14ac:dyDescent="0.2">
      <c r="A2367">
        <v>22</v>
      </c>
      <c r="B2367" t="s">
        <v>1144</v>
      </c>
      <c r="C2367" t="s">
        <v>998</v>
      </c>
      <c r="D2367" s="8">
        <v>3.4884046605257638E-7</v>
      </c>
      <c r="E2367" s="6">
        <f t="shared" si="74"/>
        <v>-0.28200000000000003</v>
      </c>
      <c r="F2367" s="8">
        <f t="shared" si="75"/>
        <v>-9.837301142682655E-8</v>
      </c>
    </row>
    <row r="2368" spans="1:6" x14ac:dyDescent="0.2">
      <c r="A2368">
        <v>22</v>
      </c>
      <c r="B2368" t="s">
        <v>1144</v>
      </c>
      <c r="C2368" t="s">
        <v>1000</v>
      </c>
      <c r="D2368" s="8">
        <v>1.9498875241700001E-4</v>
      </c>
      <c r="E2368" s="6">
        <f t="shared" si="74"/>
        <v>1.1540000000000004</v>
      </c>
      <c r="F2368" s="8">
        <f t="shared" si="75"/>
        <v>2.2501702028921808E-4</v>
      </c>
    </row>
    <row r="2369" spans="1:6" x14ac:dyDescent="0.2">
      <c r="A2369">
        <v>22</v>
      </c>
      <c r="B2369" t="s">
        <v>1144</v>
      </c>
      <c r="C2369" t="s">
        <v>1001</v>
      </c>
      <c r="D2369" s="8">
        <v>6.6531884962218859E-8</v>
      </c>
      <c r="E2369" s="6">
        <f t="shared" si="74"/>
        <v>-0.60600000000000032</v>
      </c>
      <c r="F2369" s="8">
        <f t="shared" si="75"/>
        <v>-4.0318322287104651E-8</v>
      </c>
    </row>
    <row r="2370" spans="1:6" x14ac:dyDescent="0.2">
      <c r="A2370">
        <v>22</v>
      </c>
      <c r="B2370" t="s">
        <v>1144</v>
      </c>
      <c r="C2370" t="s">
        <v>1002</v>
      </c>
      <c r="D2370" s="8">
        <v>1.7041340164085381E-5</v>
      </c>
      <c r="E2370" s="6">
        <f t="shared" si="74"/>
        <v>-1.3390000000000004</v>
      </c>
      <c r="F2370" s="8">
        <f t="shared" si="75"/>
        <v>-2.2818354479710332E-5</v>
      </c>
    </row>
    <row r="2371" spans="1:6" x14ac:dyDescent="0.2">
      <c r="A2371">
        <v>22</v>
      </c>
      <c r="B2371" t="s">
        <v>1144</v>
      </c>
      <c r="C2371" t="s">
        <v>1003</v>
      </c>
      <c r="D2371" s="8">
        <v>3.7268829719012001E-3</v>
      </c>
      <c r="E2371" s="6">
        <f t="shared" si="74"/>
        <v>0.22999999999999998</v>
      </c>
      <c r="F2371" s="8">
        <f t="shared" si="75"/>
        <v>8.5718308353727591E-4</v>
      </c>
    </row>
    <row r="2372" spans="1:6" x14ac:dyDescent="0.2">
      <c r="A2372">
        <v>22</v>
      </c>
      <c r="B2372" t="s">
        <v>1144</v>
      </c>
      <c r="C2372" t="s">
        <v>1004</v>
      </c>
      <c r="D2372" s="8">
        <v>1.011945913453095E-7</v>
      </c>
      <c r="E2372" s="6">
        <f t="shared" si="74"/>
        <v>-0.37000000000000011</v>
      </c>
      <c r="F2372" s="8">
        <f t="shared" si="75"/>
        <v>-3.7441998797764526E-8</v>
      </c>
    </row>
    <row r="2373" spans="1:6" x14ac:dyDescent="0.2">
      <c r="A2373">
        <v>22</v>
      </c>
      <c r="B2373" t="s">
        <v>1144</v>
      </c>
      <c r="C2373" t="s">
        <v>1005</v>
      </c>
      <c r="D2373" s="8">
        <v>2.9750029861154771E-8</v>
      </c>
      <c r="E2373" s="6">
        <f t="shared" si="74"/>
        <v>-0.10000000000000009</v>
      </c>
      <c r="F2373" s="8">
        <f t="shared" si="75"/>
        <v>-2.9750029861154797E-9</v>
      </c>
    </row>
    <row r="2374" spans="1:6" x14ac:dyDescent="0.2">
      <c r="A2374">
        <v>22</v>
      </c>
      <c r="B2374" t="s">
        <v>1144</v>
      </c>
      <c r="C2374" t="s">
        <v>1006</v>
      </c>
      <c r="D2374" s="8">
        <v>1.2411079477499999E-4</v>
      </c>
      <c r="E2374" s="6">
        <f t="shared" si="74"/>
        <v>0.40000000000000036</v>
      </c>
      <c r="F2374" s="8">
        <f t="shared" si="75"/>
        <v>4.9644317910000043E-5</v>
      </c>
    </row>
    <row r="2375" spans="1:6" x14ac:dyDescent="0.2">
      <c r="A2375">
        <v>22</v>
      </c>
      <c r="B2375" t="s">
        <v>1144</v>
      </c>
      <c r="C2375" t="s">
        <v>1007</v>
      </c>
      <c r="D2375" s="8">
        <v>1.8599989124010889E-8</v>
      </c>
      <c r="E2375" s="6">
        <f t="shared" si="74"/>
        <v>-0.19999999999999973</v>
      </c>
      <c r="F2375" s="8">
        <f t="shared" si="75"/>
        <v>-3.7199978248021728E-9</v>
      </c>
    </row>
    <row r="2376" spans="1:6" x14ac:dyDescent="0.2">
      <c r="A2376">
        <v>22</v>
      </c>
      <c r="B2376" t="s">
        <v>1144</v>
      </c>
      <c r="C2376" t="s">
        <v>1008</v>
      </c>
      <c r="D2376" s="8">
        <v>1.193029552758E-4</v>
      </c>
      <c r="E2376" s="6">
        <f t="shared" si="74"/>
        <v>0.94799999999999995</v>
      </c>
      <c r="F2376" s="8">
        <f t="shared" si="75"/>
        <v>1.130992016014584E-4</v>
      </c>
    </row>
    <row r="2377" spans="1:6" x14ac:dyDescent="0.2">
      <c r="A2377">
        <v>22</v>
      </c>
      <c r="B2377" t="s">
        <v>1144</v>
      </c>
      <c r="C2377" t="s">
        <v>1009</v>
      </c>
      <c r="D2377" s="8">
        <v>1.4956151375653259E-8</v>
      </c>
      <c r="E2377" s="6">
        <f t="shared" si="74"/>
        <v>-0.5990000000000002</v>
      </c>
      <c r="F2377" s="8">
        <f t="shared" si="75"/>
        <v>-8.9587346740163056E-9</v>
      </c>
    </row>
    <row r="2378" spans="1:6" x14ac:dyDescent="0.2">
      <c r="A2378">
        <v>22</v>
      </c>
      <c r="B2378" t="s">
        <v>1144</v>
      </c>
      <c r="C2378" t="s">
        <v>1011</v>
      </c>
      <c r="D2378" s="8">
        <v>2.6775026875039288E-9</v>
      </c>
      <c r="E2378" s="6">
        <f t="shared" si="74"/>
        <v>0.68600000000000039</v>
      </c>
      <c r="F2378" s="8">
        <f t="shared" si="75"/>
        <v>1.8367668436276962E-9</v>
      </c>
    </row>
    <row r="2379" spans="1:6" x14ac:dyDescent="0.2">
      <c r="A2379">
        <v>22</v>
      </c>
      <c r="B2379" t="s">
        <v>1144</v>
      </c>
      <c r="C2379" t="s">
        <v>1012</v>
      </c>
      <c r="D2379" s="8">
        <v>1.72986051511E-4</v>
      </c>
      <c r="E2379" s="6">
        <f t="shared" si="74"/>
        <v>0.39999999999999991</v>
      </c>
      <c r="F2379" s="8">
        <f t="shared" si="75"/>
        <v>6.9194420604399984E-5</v>
      </c>
    </row>
    <row r="2380" spans="1:6" x14ac:dyDescent="0.2">
      <c r="A2380">
        <v>22</v>
      </c>
      <c r="B2380" t="s">
        <v>1144</v>
      </c>
      <c r="C2380" t="s">
        <v>1014</v>
      </c>
      <c r="D2380" s="8">
        <v>3.72928789369944E-2</v>
      </c>
      <c r="E2380" s="6">
        <f t="shared" si="74"/>
        <v>0.90000000000000036</v>
      </c>
      <c r="F2380" s="8">
        <f t="shared" si="75"/>
        <v>3.3563591043294976E-2</v>
      </c>
    </row>
    <row r="2381" spans="1:6" x14ac:dyDescent="0.2">
      <c r="A2381">
        <v>22</v>
      </c>
      <c r="B2381" t="s">
        <v>1144</v>
      </c>
      <c r="C2381" t="s">
        <v>1015</v>
      </c>
      <c r="D2381" s="8">
        <v>3.8591106142073202E-5</v>
      </c>
      <c r="E2381" s="6">
        <f t="shared" si="74"/>
        <v>-1.306</v>
      </c>
      <c r="F2381" s="8">
        <f t="shared" si="75"/>
        <v>-5.0399984621547601E-5</v>
      </c>
    </row>
    <row r="2382" spans="1:6" x14ac:dyDescent="0.2">
      <c r="A2382">
        <v>22</v>
      </c>
      <c r="B2382" t="s">
        <v>1144</v>
      </c>
      <c r="C2382" t="s">
        <v>1099</v>
      </c>
      <c r="D2382" s="8">
        <v>6.2352276221543529E-8</v>
      </c>
      <c r="E2382" s="6">
        <f t="shared" si="74"/>
        <v>0</v>
      </c>
      <c r="F2382" s="8">
        <f t="shared" si="75"/>
        <v>0</v>
      </c>
    </row>
    <row r="2383" spans="1:6" x14ac:dyDescent="0.2">
      <c r="A2383">
        <v>22</v>
      </c>
      <c r="B2383" t="s">
        <v>1144</v>
      </c>
      <c r="C2383" t="s">
        <v>1017</v>
      </c>
      <c r="D2383" s="8">
        <v>1.2487819173779999E-4</v>
      </c>
      <c r="E2383" s="6">
        <f t="shared" si="74"/>
        <v>1.3749999999999996</v>
      </c>
      <c r="F2383" s="8">
        <f t="shared" si="75"/>
        <v>1.7170751363947492E-4</v>
      </c>
    </row>
    <row r="2384" spans="1:6" x14ac:dyDescent="0.2">
      <c r="A2384">
        <v>22</v>
      </c>
      <c r="B2384" t="s">
        <v>1144</v>
      </c>
      <c r="C2384" t="s">
        <v>1019</v>
      </c>
      <c r="D2384" s="8">
        <v>9.0845154209970996E-3</v>
      </c>
      <c r="E2384" s="6">
        <f t="shared" si="74"/>
        <v>-0.21599999999999997</v>
      </c>
      <c r="F2384" s="8">
        <f t="shared" si="75"/>
        <v>-1.9622553309353733E-3</v>
      </c>
    </row>
    <row r="2385" spans="1:6" x14ac:dyDescent="0.2">
      <c r="A2385">
        <v>22</v>
      </c>
      <c r="B2385" t="s">
        <v>1144</v>
      </c>
      <c r="C2385" t="s">
        <v>1020</v>
      </c>
      <c r="D2385" s="8">
        <v>1.14492963314931E-2</v>
      </c>
      <c r="E2385" s="6">
        <f t="shared" si="74"/>
        <v>-0.21999999999999997</v>
      </c>
      <c r="F2385" s="8">
        <f t="shared" si="75"/>
        <v>-2.5188451929284818E-3</v>
      </c>
    </row>
    <row r="2386" spans="1:6" x14ac:dyDescent="0.2">
      <c r="A2386">
        <v>22</v>
      </c>
      <c r="B2386" t="s">
        <v>1144</v>
      </c>
      <c r="C2386" t="s">
        <v>1023</v>
      </c>
      <c r="D2386" s="8">
        <v>1.7192579371269999E-4</v>
      </c>
      <c r="E2386" s="6">
        <f t="shared" si="74"/>
        <v>-0.62199999999999989</v>
      </c>
      <c r="F2386" s="8">
        <f t="shared" si="75"/>
        <v>-1.0693784368929938E-4</v>
      </c>
    </row>
    <row r="2387" spans="1:6" x14ac:dyDescent="0.2">
      <c r="A2387">
        <v>22</v>
      </c>
      <c r="B2387" t="s">
        <v>1144</v>
      </c>
      <c r="C2387" t="s">
        <v>1024</v>
      </c>
      <c r="D2387" s="8">
        <v>2.898039795173E-4</v>
      </c>
      <c r="E2387" s="6">
        <f t="shared" si="74"/>
        <v>-0.14500000000000002</v>
      </c>
      <c r="F2387" s="8">
        <f t="shared" si="75"/>
        <v>-4.2021577030008502E-5</v>
      </c>
    </row>
    <row r="2388" spans="1:6" x14ac:dyDescent="0.2">
      <c r="A2388">
        <v>22</v>
      </c>
      <c r="B2388" t="s">
        <v>1144</v>
      </c>
      <c r="C2388" t="s">
        <v>1025</v>
      </c>
      <c r="D2388" s="8">
        <v>1.3300896387849999E-4</v>
      </c>
      <c r="E2388" s="6">
        <f t="shared" si="74"/>
        <v>4.7000000000000153E-2</v>
      </c>
      <c r="F2388" s="8">
        <f t="shared" si="75"/>
        <v>6.2514213022895196E-6</v>
      </c>
    </row>
    <row r="2389" spans="1:6" x14ac:dyDescent="0.2">
      <c r="A2389">
        <v>22</v>
      </c>
      <c r="B2389" t="s">
        <v>1144</v>
      </c>
      <c r="C2389" t="s">
        <v>1026</v>
      </c>
      <c r="D2389" s="8">
        <v>1.1989230528760001E-4</v>
      </c>
      <c r="E2389" s="6">
        <f t="shared" si="74"/>
        <v>-0.20000000000000018</v>
      </c>
      <c r="F2389" s="8">
        <f t="shared" si="75"/>
        <v>-2.3978461057520023E-5</v>
      </c>
    </row>
    <row r="2390" spans="1:6" x14ac:dyDescent="0.2">
      <c r="A2390">
        <v>22</v>
      </c>
      <c r="B2390" t="s">
        <v>1144</v>
      </c>
      <c r="C2390" t="s">
        <v>1027</v>
      </c>
      <c r="D2390" s="8">
        <v>2.8874892164566372E-7</v>
      </c>
      <c r="E2390" s="6">
        <f t="shared" si="74"/>
        <v>0.18999999999999995</v>
      </c>
      <c r="F2390" s="8">
        <f t="shared" si="75"/>
        <v>5.4862295112676091E-8</v>
      </c>
    </row>
    <row r="2391" spans="1:6" x14ac:dyDescent="0.2">
      <c r="A2391">
        <v>22</v>
      </c>
      <c r="B2391" t="s">
        <v>1144</v>
      </c>
      <c r="C2391" t="s">
        <v>1028</v>
      </c>
      <c r="D2391" s="8">
        <v>9.9698685141565001E-3</v>
      </c>
      <c r="E2391" s="6">
        <f t="shared" si="74"/>
        <v>-1.6600000000000001</v>
      </c>
      <c r="F2391" s="8">
        <f t="shared" si="75"/>
        <v>-1.654998173349979E-2</v>
      </c>
    </row>
    <row r="2392" spans="1:6" x14ac:dyDescent="0.2">
      <c r="A2392">
        <v>22</v>
      </c>
      <c r="B2392" t="s">
        <v>1144</v>
      </c>
      <c r="C2392" t="s">
        <v>1030</v>
      </c>
      <c r="D2392" s="8">
        <v>2.230573655198E-4</v>
      </c>
      <c r="E2392" s="6">
        <f t="shared" si="74"/>
        <v>0.29999999999999982</v>
      </c>
      <c r="F2392" s="8">
        <f t="shared" si="75"/>
        <v>6.6917209655939958E-5</v>
      </c>
    </row>
    <row r="2393" spans="1:6" x14ac:dyDescent="0.2">
      <c r="A2393">
        <v>22</v>
      </c>
      <c r="B2393" t="s">
        <v>1144</v>
      </c>
      <c r="C2393" t="s">
        <v>1031</v>
      </c>
      <c r="D2393" s="8">
        <v>1.3578988239196E-3</v>
      </c>
      <c r="E2393" s="6">
        <f t="shared" si="74"/>
        <v>0.19899999999999984</v>
      </c>
      <c r="F2393" s="8">
        <f t="shared" si="75"/>
        <v>2.7022186596000017E-4</v>
      </c>
    </row>
    <row r="2394" spans="1:6" x14ac:dyDescent="0.2">
      <c r="A2394">
        <v>22</v>
      </c>
      <c r="B2394" t="s">
        <v>1144</v>
      </c>
      <c r="C2394" t="s">
        <v>1033</v>
      </c>
      <c r="D2394" s="8">
        <v>7.7517911123459995E-4</v>
      </c>
      <c r="E2394" s="6">
        <f t="shared" si="74"/>
        <v>0.23299999999999987</v>
      </c>
      <c r="F2394" s="8">
        <f t="shared" si="75"/>
        <v>1.8061673291766168E-4</v>
      </c>
    </row>
    <row r="2395" spans="1:6" x14ac:dyDescent="0.2">
      <c r="A2395">
        <v>22</v>
      </c>
      <c r="B2395" t="s">
        <v>1144</v>
      </c>
      <c r="C2395" t="s">
        <v>1100</v>
      </c>
      <c r="D2395" s="8">
        <v>1.236595961669548E-6</v>
      </c>
      <c r="E2395" s="6">
        <f t="shared" si="74"/>
        <v>0</v>
      </c>
      <c r="F2395" s="8">
        <f t="shared" si="75"/>
        <v>0</v>
      </c>
    </row>
    <row r="2396" spans="1:6" x14ac:dyDescent="0.2">
      <c r="A2396">
        <v>22</v>
      </c>
      <c r="B2396" t="s">
        <v>1144</v>
      </c>
      <c r="C2396" t="s">
        <v>1035</v>
      </c>
      <c r="D2396" s="8">
        <v>4.8230646874051998E-3</v>
      </c>
      <c r="E2396" s="6">
        <f t="shared" si="74"/>
        <v>-14.218</v>
      </c>
      <c r="F2396" s="8">
        <f t="shared" si="75"/>
        <v>-6.8574333725527126E-2</v>
      </c>
    </row>
    <row r="2397" spans="1:6" x14ac:dyDescent="0.2">
      <c r="A2397">
        <v>22</v>
      </c>
      <c r="B2397" t="s">
        <v>1144</v>
      </c>
      <c r="C2397" t="s">
        <v>1036</v>
      </c>
      <c r="D2397" s="8">
        <v>1.334405756890146E-5</v>
      </c>
      <c r="E2397" s="6">
        <f t="shared" si="74"/>
        <v>-2.0590000000000002</v>
      </c>
      <c r="F2397" s="8">
        <f t="shared" si="75"/>
        <v>-2.7475414534368109E-5</v>
      </c>
    </row>
    <row r="2398" spans="1:6" x14ac:dyDescent="0.2">
      <c r="A2398">
        <v>22</v>
      </c>
      <c r="B2398" t="s">
        <v>1144</v>
      </c>
      <c r="C2398" t="s">
        <v>1037</v>
      </c>
      <c r="D2398" s="8">
        <v>6.6296499219781002E-3</v>
      </c>
      <c r="E2398" s="6">
        <f t="shared" si="74"/>
        <v>0.2350000000000001</v>
      </c>
      <c r="F2398" s="8">
        <f t="shared" si="75"/>
        <v>1.5579677316648543E-3</v>
      </c>
    </row>
    <row r="2399" spans="1:6" x14ac:dyDescent="0.2">
      <c r="A2399">
        <v>22</v>
      </c>
      <c r="B2399" t="s">
        <v>1144</v>
      </c>
      <c r="C2399" t="s">
        <v>1094</v>
      </c>
      <c r="D2399" s="8">
        <v>3.3517678593222799E-2</v>
      </c>
      <c r="E2399" s="6">
        <f t="shared" si="74"/>
        <v>0</v>
      </c>
      <c r="F2399" s="8">
        <f t="shared" si="75"/>
        <v>0</v>
      </c>
    </row>
    <row r="2400" spans="1:6" x14ac:dyDescent="0.2">
      <c r="A2400">
        <v>22</v>
      </c>
      <c r="B2400" t="s">
        <v>1144</v>
      </c>
      <c r="C2400" t="s">
        <v>1039</v>
      </c>
      <c r="D2400" s="8">
        <v>3.0648893477010003E-4</v>
      </c>
      <c r="E2400" s="6">
        <f t="shared" si="74"/>
        <v>-0.6419999999999999</v>
      </c>
      <c r="F2400" s="8">
        <f t="shared" si="75"/>
        <v>-1.9676589612240418E-4</v>
      </c>
    </row>
    <row r="2401" spans="1:6" x14ac:dyDescent="0.2">
      <c r="A2401">
        <v>22</v>
      </c>
      <c r="B2401" t="s">
        <v>1144</v>
      </c>
      <c r="C2401" t="s">
        <v>1040</v>
      </c>
      <c r="D2401" s="8">
        <v>2.2677464010800001E-4</v>
      </c>
      <c r="E2401" s="6">
        <f t="shared" si="74"/>
        <v>-8.1180000000000003</v>
      </c>
      <c r="F2401" s="8">
        <f t="shared" si="75"/>
        <v>-1.840956528396744E-3</v>
      </c>
    </row>
    <row r="2402" spans="1:6" x14ac:dyDescent="0.2">
      <c r="A2402">
        <v>22</v>
      </c>
      <c r="B2402" t="s">
        <v>1144</v>
      </c>
      <c r="C2402" t="s">
        <v>1041</v>
      </c>
      <c r="D2402" s="8">
        <v>1.655113628911E-4</v>
      </c>
      <c r="E2402" s="6">
        <f t="shared" si="74"/>
        <v>-1.8890000000000002</v>
      </c>
      <c r="F2402" s="8">
        <f t="shared" si="75"/>
        <v>-3.1265096450128796E-4</v>
      </c>
    </row>
    <row r="2403" spans="1:6" x14ac:dyDescent="0.2">
      <c r="A2403">
        <v>22</v>
      </c>
      <c r="B2403" t="s">
        <v>1144</v>
      </c>
      <c r="C2403" t="s">
        <v>1042</v>
      </c>
      <c r="D2403" s="8">
        <v>2.84448269107242E-2</v>
      </c>
      <c r="E2403" s="6">
        <f t="shared" si="74"/>
        <v>1.621</v>
      </c>
      <c r="F2403" s="8">
        <f t="shared" si="75"/>
        <v>4.6109064422283928E-2</v>
      </c>
    </row>
    <row r="2404" spans="1:6" x14ac:dyDescent="0.2">
      <c r="A2404">
        <v>22</v>
      </c>
      <c r="B2404" t="s">
        <v>1144</v>
      </c>
      <c r="C2404" t="s">
        <v>1043</v>
      </c>
      <c r="D2404" s="8">
        <v>5.1288713412109682E-6</v>
      </c>
      <c r="E2404" s="6">
        <f t="shared" si="74"/>
        <v>-2.8000000000000025E-2</v>
      </c>
      <c r="F2404" s="8">
        <f t="shared" si="75"/>
        <v>-1.4360839755390723E-7</v>
      </c>
    </row>
    <row r="2405" spans="1:6" x14ac:dyDescent="0.2">
      <c r="A2405">
        <v>22</v>
      </c>
      <c r="B2405" t="s">
        <v>1144</v>
      </c>
      <c r="C2405" t="s">
        <v>1045</v>
      </c>
      <c r="D2405" s="8">
        <v>7.4592686249720002E-4</v>
      </c>
      <c r="E2405" s="6">
        <f t="shared" si="74"/>
        <v>0.7849999999999997</v>
      </c>
      <c r="F2405" s="8">
        <f t="shared" si="75"/>
        <v>5.8555258706030177E-4</v>
      </c>
    </row>
    <row r="2406" spans="1:6" x14ac:dyDescent="0.2">
      <c r="A2406">
        <v>22</v>
      </c>
      <c r="B2406" t="s">
        <v>1144</v>
      </c>
      <c r="C2406" t="s">
        <v>1052</v>
      </c>
      <c r="D2406" s="8">
        <v>8.2179924668708485E-6</v>
      </c>
      <c r="E2406" s="6">
        <f t="shared" si="74"/>
        <v>-1.1059999999999999</v>
      </c>
      <c r="F2406" s="8">
        <f t="shared" si="75"/>
        <v>-9.0890996683591581E-6</v>
      </c>
    </row>
    <row r="2407" spans="1:6" x14ac:dyDescent="0.2">
      <c r="A2407">
        <v>22</v>
      </c>
      <c r="B2407" t="s">
        <v>1144</v>
      </c>
      <c r="C2407" t="s">
        <v>1053</v>
      </c>
      <c r="D2407" s="8">
        <v>5.557192257495422E-6</v>
      </c>
      <c r="E2407" s="6">
        <f t="shared" si="74"/>
        <v>-0.39999999999999991</v>
      </c>
      <c r="F2407" s="8">
        <f t="shared" si="75"/>
        <v>-2.2228769029981684E-6</v>
      </c>
    </row>
    <row r="2408" spans="1:6" x14ac:dyDescent="0.2">
      <c r="A2408">
        <v>22</v>
      </c>
      <c r="B2408" t="s">
        <v>1144</v>
      </c>
      <c r="C2408" t="s">
        <v>1054</v>
      </c>
      <c r="D2408" s="8">
        <v>6.2835926649045993E-5</v>
      </c>
      <c r="E2408" s="6">
        <f t="shared" si="74"/>
        <v>-0.16800000000000015</v>
      </c>
      <c r="F2408" s="8">
        <f t="shared" si="75"/>
        <v>-1.0556435677039737E-5</v>
      </c>
    </row>
    <row r="2409" spans="1:6" x14ac:dyDescent="0.2">
      <c r="A2409">
        <v>22</v>
      </c>
      <c r="B2409" t="s">
        <v>1144</v>
      </c>
      <c r="C2409" t="s">
        <v>1056</v>
      </c>
      <c r="D2409" s="8">
        <v>2.5693207607360948E-8</v>
      </c>
      <c r="E2409" s="6">
        <f t="shared" si="74"/>
        <v>-1.996</v>
      </c>
      <c r="F2409" s="8">
        <f t="shared" si="75"/>
        <v>-5.1283642384292452E-8</v>
      </c>
    </row>
    <row r="2410" spans="1:6" x14ac:dyDescent="0.2">
      <c r="A2410">
        <v>22</v>
      </c>
      <c r="B2410" t="s">
        <v>1144</v>
      </c>
      <c r="C2410" t="s">
        <v>1058</v>
      </c>
      <c r="D2410" s="8">
        <v>2.6049528583194692E-5</v>
      </c>
      <c r="E2410" s="6">
        <f t="shared" si="74"/>
        <v>-0.5</v>
      </c>
      <c r="F2410" s="8">
        <f t="shared" si="75"/>
        <v>-1.3024764291597346E-5</v>
      </c>
    </row>
    <row r="2411" spans="1:6" x14ac:dyDescent="0.2">
      <c r="A2411">
        <v>22</v>
      </c>
      <c r="B2411" t="s">
        <v>1144</v>
      </c>
      <c r="C2411" t="s">
        <v>1059</v>
      </c>
      <c r="D2411" s="8">
        <v>1.41494931865949E-2</v>
      </c>
      <c r="E2411" s="6">
        <f t="shared" si="74"/>
        <v>-0.10000000000000009</v>
      </c>
      <c r="F2411" s="8">
        <f t="shared" si="75"/>
        <v>-1.4149493186594914E-3</v>
      </c>
    </row>
    <row r="2412" spans="1:6" x14ac:dyDescent="0.2">
      <c r="A2412">
        <v>22</v>
      </c>
      <c r="B2412" t="s">
        <v>1144</v>
      </c>
      <c r="C2412" t="s">
        <v>1062</v>
      </c>
      <c r="D2412" s="8">
        <v>2.8773327712729998E-4</v>
      </c>
      <c r="E2412" s="6">
        <f t="shared" si="74"/>
        <v>0.89999999999999947</v>
      </c>
      <c r="F2412" s="8">
        <f t="shared" si="75"/>
        <v>2.5895994941456981E-4</v>
      </c>
    </row>
    <row r="2413" spans="1:6" x14ac:dyDescent="0.2">
      <c r="A2413">
        <v>22</v>
      </c>
      <c r="B2413" t="s">
        <v>1144</v>
      </c>
      <c r="C2413" t="s">
        <v>1063</v>
      </c>
      <c r="D2413" s="8">
        <v>2.8360536866471621E-5</v>
      </c>
      <c r="E2413" s="6">
        <f t="shared" si="74"/>
        <v>-4.1000000000000369E-2</v>
      </c>
      <c r="F2413" s="8">
        <f t="shared" si="75"/>
        <v>-1.162782011525347E-6</v>
      </c>
    </row>
    <row r="2414" spans="1:6" x14ac:dyDescent="0.2">
      <c r="A2414">
        <v>22</v>
      </c>
      <c r="B2414" t="s">
        <v>1144</v>
      </c>
      <c r="C2414" t="s">
        <v>1064</v>
      </c>
      <c r="D2414" s="8">
        <v>1.5146140475442939E-6</v>
      </c>
      <c r="E2414" s="6">
        <f t="shared" si="74"/>
        <v>-0.29400000000000004</v>
      </c>
      <c r="F2414" s="8">
        <f t="shared" si="75"/>
        <v>-4.4529652997802247E-7</v>
      </c>
    </row>
    <row r="2415" spans="1:6" x14ac:dyDescent="0.2">
      <c r="A2415">
        <v>22</v>
      </c>
      <c r="B2415" t="s">
        <v>1144</v>
      </c>
      <c r="C2415" t="s">
        <v>1066</v>
      </c>
      <c r="D2415" s="8">
        <v>9.8082612857910995E-3</v>
      </c>
      <c r="E2415" s="6">
        <f t="shared" si="74"/>
        <v>0.20900000000000007</v>
      </c>
      <c r="F2415" s="8">
        <f t="shared" si="75"/>
        <v>2.0499266087303405E-3</v>
      </c>
    </row>
    <row r="2416" spans="1:6" x14ac:dyDescent="0.2">
      <c r="A2416">
        <v>22</v>
      </c>
      <c r="B2416" t="s">
        <v>1144</v>
      </c>
      <c r="C2416" t="s">
        <v>1067</v>
      </c>
      <c r="D2416" s="8">
        <v>3.5284184506890168E-7</v>
      </c>
      <c r="E2416" s="6">
        <f t="shared" si="74"/>
        <v>0.17700000000000005</v>
      </c>
      <c r="F2416" s="8">
        <f t="shared" si="75"/>
        <v>6.2453006577195612E-8</v>
      </c>
    </row>
    <row r="2417" spans="1:6" x14ac:dyDescent="0.2">
      <c r="A2417">
        <v>22</v>
      </c>
      <c r="B2417" t="s">
        <v>1144</v>
      </c>
      <c r="C2417" t="s">
        <v>1069</v>
      </c>
      <c r="D2417" s="8">
        <v>2.1688323280239999E-4</v>
      </c>
      <c r="E2417" s="6">
        <f t="shared" si="74"/>
        <v>-0.13199999999999967</v>
      </c>
      <c r="F2417" s="8">
        <f t="shared" si="75"/>
        <v>-2.8628586729916728E-5</v>
      </c>
    </row>
    <row r="2418" spans="1:6" x14ac:dyDescent="0.2">
      <c r="A2418">
        <v>22</v>
      </c>
      <c r="B2418" t="s">
        <v>1144</v>
      </c>
      <c r="C2418" t="s">
        <v>1071</v>
      </c>
      <c r="D2418" s="8">
        <v>4.4892795060482561E-8</v>
      </c>
      <c r="E2418" s="6">
        <f t="shared" si="74"/>
        <v>-0.8</v>
      </c>
      <c r="F2418" s="8">
        <f t="shared" si="75"/>
        <v>-3.5914236048386051E-8</v>
      </c>
    </row>
    <row r="2419" spans="1:6" x14ac:dyDescent="0.2">
      <c r="A2419">
        <v>22</v>
      </c>
      <c r="B2419" t="s">
        <v>1144</v>
      </c>
      <c r="C2419" t="s">
        <v>1072</v>
      </c>
      <c r="D2419" s="8">
        <v>7.8521433299461995E-3</v>
      </c>
      <c r="E2419" s="6">
        <f t="shared" si="74"/>
        <v>0.55599999999999983</v>
      </c>
      <c r="F2419" s="8">
        <f t="shared" si="75"/>
        <v>4.3657916914500855E-3</v>
      </c>
    </row>
    <row r="2420" spans="1:6" x14ac:dyDescent="0.2">
      <c r="A2420">
        <v>22</v>
      </c>
      <c r="B2420" t="s">
        <v>1144</v>
      </c>
      <c r="C2420" t="s">
        <v>1074</v>
      </c>
      <c r="D2420" s="8">
        <v>1.4308476998286909E-6</v>
      </c>
      <c r="E2420" s="6">
        <f t="shared" si="74"/>
        <v>9.5</v>
      </c>
      <c r="F2420" s="8">
        <f t="shared" si="75"/>
        <v>1.3593053148372564E-5</v>
      </c>
    </row>
    <row r="2421" spans="1:6" x14ac:dyDescent="0.2">
      <c r="A2421">
        <v>22</v>
      </c>
      <c r="B2421" t="s">
        <v>1144</v>
      </c>
      <c r="C2421" t="s">
        <v>1107</v>
      </c>
      <c r="D2421" s="8">
        <v>7.9519100929763993E-6</v>
      </c>
      <c r="E2421" s="6">
        <f t="shared" si="74"/>
        <v>0</v>
      </c>
      <c r="F2421" s="8">
        <f t="shared" si="75"/>
        <v>0</v>
      </c>
    </row>
    <row r="2422" spans="1:6" x14ac:dyDescent="0.2">
      <c r="A2422">
        <v>22</v>
      </c>
      <c r="B2422" t="s">
        <v>1144</v>
      </c>
      <c r="C2422" t="s">
        <v>1075</v>
      </c>
      <c r="D2422" s="8">
        <v>2.3194727389682701E-2</v>
      </c>
      <c r="E2422" s="6">
        <f t="shared" si="74"/>
        <v>3.0529999999999999</v>
      </c>
      <c r="F2422" s="8">
        <f t="shared" si="75"/>
        <v>7.0813502720701291E-2</v>
      </c>
    </row>
    <row r="2423" spans="1:6" x14ac:dyDescent="0.2">
      <c r="A2423">
        <v>22</v>
      </c>
      <c r="B2423" t="s">
        <v>1144</v>
      </c>
      <c r="C2423" t="s">
        <v>1076</v>
      </c>
      <c r="D2423" s="8">
        <v>2.082721266864466E-5</v>
      </c>
      <c r="E2423" s="6">
        <f t="shared" si="74"/>
        <v>1.4060000000000001</v>
      </c>
      <c r="F2423" s="8">
        <f t="shared" si="75"/>
        <v>2.9283061012114395E-5</v>
      </c>
    </row>
    <row r="2424" spans="1:6" x14ac:dyDescent="0.2">
      <c r="A2424">
        <v>22</v>
      </c>
      <c r="B2424" t="s">
        <v>1144</v>
      </c>
      <c r="C2424" t="s">
        <v>1077</v>
      </c>
      <c r="D2424" s="8">
        <v>2.0532269790781901E-5</v>
      </c>
      <c r="E2424" s="6">
        <f t="shared" si="74"/>
        <v>0.63200000000000012</v>
      </c>
      <c r="F2424" s="8">
        <f t="shared" si="75"/>
        <v>1.2976394507774163E-5</v>
      </c>
    </row>
    <row r="2425" spans="1:6" x14ac:dyDescent="0.2">
      <c r="A2425">
        <v>22</v>
      </c>
      <c r="B2425" t="s">
        <v>1144</v>
      </c>
      <c r="C2425" t="s">
        <v>1079</v>
      </c>
      <c r="D2425" s="8">
        <v>1.0478352230330001E-4</v>
      </c>
      <c r="E2425" s="6">
        <f t="shared" si="74"/>
        <v>-0.28899999999999992</v>
      </c>
      <c r="F2425" s="8">
        <f t="shared" si="75"/>
        <v>-3.0282437945653692E-5</v>
      </c>
    </row>
    <row r="2426" spans="1:6" x14ac:dyDescent="0.2">
      <c r="A2426">
        <v>23</v>
      </c>
      <c r="B2426" t="s">
        <v>1145</v>
      </c>
      <c r="C2426" t="s">
        <v>902</v>
      </c>
      <c r="D2426" s="8">
        <v>1.403069354161188E-6</v>
      </c>
      <c r="E2426" s="6">
        <f t="shared" si="74"/>
        <v>-0.28000000000000025</v>
      </c>
      <c r="F2426" s="8">
        <f t="shared" si="75"/>
        <v>-3.9285941916513299E-7</v>
      </c>
    </row>
    <row r="2427" spans="1:6" x14ac:dyDescent="0.2">
      <c r="A2427">
        <v>23</v>
      </c>
      <c r="B2427" t="s">
        <v>1145</v>
      </c>
      <c r="C2427" t="s">
        <v>1090</v>
      </c>
      <c r="D2427" s="8">
        <v>2.4353544755877579E-5</v>
      </c>
      <c r="E2427" s="6">
        <f t="shared" si="74"/>
        <v>0</v>
      </c>
      <c r="F2427" s="8">
        <f t="shared" si="75"/>
        <v>0</v>
      </c>
    </row>
    <row r="2428" spans="1:6" x14ac:dyDescent="0.2">
      <c r="A2428">
        <v>23</v>
      </c>
      <c r="B2428" t="s">
        <v>1145</v>
      </c>
      <c r="C2428" t="s">
        <v>903</v>
      </c>
      <c r="D2428" s="8">
        <v>4.2593975813583058E-5</v>
      </c>
      <c r="E2428" s="6">
        <f t="shared" si="74"/>
        <v>0.22399999999999975</v>
      </c>
      <c r="F2428" s="8">
        <f t="shared" si="75"/>
        <v>9.541050582242595E-6</v>
      </c>
    </row>
    <row r="2429" spans="1:6" x14ac:dyDescent="0.2">
      <c r="A2429">
        <v>23</v>
      </c>
      <c r="B2429" t="s">
        <v>1145</v>
      </c>
      <c r="C2429" t="s">
        <v>1127</v>
      </c>
      <c r="D2429" s="8">
        <v>1.629804428427923E-9</v>
      </c>
      <c r="E2429" s="6">
        <f t="shared" si="74"/>
        <v>0</v>
      </c>
      <c r="F2429" s="8">
        <f t="shared" si="75"/>
        <v>0</v>
      </c>
    </row>
    <row r="2430" spans="1:6" x14ac:dyDescent="0.2">
      <c r="A2430">
        <v>23</v>
      </c>
      <c r="B2430" t="s">
        <v>1145</v>
      </c>
      <c r="C2430" t="s">
        <v>904</v>
      </c>
      <c r="D2430" s="8">
        <v>6.3350515595183656E-7</v>
      </c>
      <c r="E2430" s="6">
        <f t="shared" ref="E2430:E2493" si="76">IFERROR(VLOOKUP(C2430,$A$6:$D$185,4,FALSE),0)</f>
        <v>-6.800000000000006E-2</v>
      </c>
      <c r="F2430" s="8">
        <f t="shared" ref="F2430:F2493" si="77">D2430*E2430</f>
        <v>-4.3078350604724921E-8</v>
      </c>
    </row>
    <row r="2431" spans="1:6" x14ac:dyDescent="0.2">
      <c r="A2431">
        <v>23</v>
      </c>
      <c r="B2431" t="s">
        <v>1145</v>
      </c>
      <c r="C2431" t="s">
        <v>906</v>
      </c>
      <c r="D2431" s="8">
        <v>9.2137532958081001E-3</v>
      </c>
      <c r="E2431" s="6">
        <f t="shared" si="76"/>
        <v>-1.8859999999999997</v>
      </c>
      <c r="F2431" s="8">
        <f t="shared" si="77"/>
        <v>-1.7377138715894073E-2</v>
      </c>
    </row>
    <row r="2432" spans="1:6" x14ac:dyDescent="0.2">
      <c r="A2432">
        <v>23</v>
      </c>
      <c r="B2432" t="s">
        <v>1145</v>
      </c>
      <c r="C2432" t="s">
        <v>907</v>
      </c>
      <c r="D2432" s="8">
        <v>2.1322708243375001E-3</v>
      </c>
      <c r="E2432" s="6">
        <f t="shared" si="76"/>
        <v>-1.0199999999999996</v>
      </c>
      <c r="F2432" s="8">
        <f t="shared" si="77"/>
        <v>-2.1749162408242493E-3</v>
      </c>
    </row>
    <row r="2433" spans="1:6" x14ac:dyDescent="0.2">
      <c r="A2433">
        <v>23</v>
      </c>
      <c r="B2433" t="s">
        <v>1145</v>
      </c>
      <c r="C2433" t="s">
        <v>908</v>
      </c>
      <c r="D2433" s="8">
        <v>5.8207301015282948E-11</v>
      </c>
      <c r="E2433" s="6">
        <f t="shared" si="76"/>
        <v>0.79999999999999982</v>
      </c>
      <c r="F2433" s="8">
        <f t="shared" si="77"/>
        <v>4.6565840812226347E-11</v>
      </c>
    </row>
    <row r="2434" spans="1:6" x14ac:dyDescent="0.2">
      <c r="A2434">
        <v>23</v>
      </c>
      <c r="B2434" t="s">
        <v>1145</v>
      </c>
      <c r="C2434" t="s">
        <v>1097</v>
      </c>
      <c r="D2434" s="8">
        <v>8.5583940901800984E-9</v>
      </c>
      <c r="E2434" s="6">
        <f t="shared" si="76"/>
        <v>0</v>
      </c>
      <c r="F2434" s="8">
        <f t="shared" si="77"/>
        <v>0</v>
      </c>
    </row>
    <row r="2435" spans="1:6" x14ac:dyDescent="0.2">
      <c r="A2435">
        <v>23</v>
      </c>
      <c r="B2435" t="s">
        <v>1145</v>
      </c>
      <c r="C2435" t="s">
        <v>909</v>
      </c>
      <c r="D2435" s="8">
        <v>1.9320341974895759E-7</v>
      </c>
      <c r="E2435" s="6">
        <f t="shared" si="76"/>
        <v>5.9000000000000163E-2</v>
      </c>
      <c r="F2435" s="8">
        <f t="shared" si="77"/>
        <v>1.139900176518853E-8</v>
      </c>
    </row>
    <row r="2436" spans="1:6" x14ac:dyDescent="0.2">
      <c r="A2436">
        <v>23</v>
      </c>
      <c r="B2436" t="s">
        <v>1145</v>
      </c>
      <c r="C2436" t="s">
        <v>910</v>
      </c>
      <c r="D2436" s="8">
        <v>2.29973453458742E-2</v>
      </c>
      <c r="E2436" s="6">
        <f t="shared" si="76"/>
        <v>-7.7999999999999847E-2</v>
      </c>
      <c r="F2436" s="8">
        <f t="shared" si="77"/>
        <v>-1.7937929369781841E-3</v>
      </c>
    </row>
    <row r="2437" spans="1:6" x14ac:dyDescent="0.2">
      <c r="A2437">
        <v>23</v>
      </c>
      <c r="B2437" t="s">
        <v>1145</v>
      </c>
      <c r="C2437" t="s">
        <v>911</v>
      </c>
      <c r="D2437" s="8">
        <v>2.6267612484110001E-4</v>
      </c>
      <c r="E2437" s="6">
        <f t="shared" si="76"/>
        <v>-7.5000000000000067E-2</v>
      </c>
      <c r="F2437" s="8">
        <f t="shared" si="77"/>
        <v>-1.970070936308252E-5</v>
      </c>
    </row>
    <row r="2438" spans="1:6" x14ac:dyDescent="0.2">
      <c r="A2438">
        <v>23</v>
      </c>
      <c r="B2438" t="s">
        <v>1145</v>
      </c>
      <c r="C2438" t="s">
        <v>912</v>
      </c>
      <c r="D2438" s="8">
        <v>1.6882343840110489E-5</v>
      </c>
      <c r="E2438" s="6">
        <f t="shared" si="76"/>
        <v>-0.29800000000000004</v>
      </c>
      <c r="F2438" s="8">
        <f t="shared" si="77"/>
        <v>-5.0309384643529266E-6</v>
      </c>
    </row>
    <row r="2439" spans="1:6" x14ac:dyDescent="0.2">
      <c r="A2439">
        <v>23</v>
      </c>
      <c r="B2439" t="s">
        <v>1145</v>
      </c>
      <c r="C2439" t="s">
        <v>913</v>
      </c>
      <c r="D2439" s="8">
        <v>4.4948830348561597E-6</v>
      </c>
      <c r="E2439" s="6">
        <f t="shared" si="76"/>
        <v>1.2109999999999999</v>
      </c>
      <c r="F2439" s="8">
        <f t="shared" si="77"/>
        <v>5.4433033552108092E-6</v>
      </c>
    </row>
    <row r="2440" spans="1:6" x14ac:dyDescent="0.2">
      <c r="A2440">
        <v>23</v>
      </c>
      <c r="B2440" t="s">
        <v>1145</v>
      </c>
      <c r="C2440" t="s">
        <v>914</v>
      </c>
      <c r="D2440" s="8">
        <v>2.8593131951486E-3</v>
      </c>
      <c r="E2440" s="6">
        <f t="shared" si="76"/>
        <v>-0.26900000000000002</v>
      </c>
      <c r="F2440" s="8">
        <f t="shared" si="77"/>
        <v>-7.691552494949735E-4</v>
      </c>
    </row>
    <row r="2441" spans="1:6" x14ac:dyDescent="0.2">
      <c r="A2441">
        <v>23</v>
      </c>
      <c r="B2441" t="s">
        <v>1145</v>
      </c>
      <c r="C2441" t="s">
        <v>915</v>
      </c>
      <c r="D2441" s="8">
        <v>4.4326017058904062E-5</v>
      </c>
      <c r="E2441" s="6">
        <f t="shared" si="76"/>
        <v>0.81400000000000006</v>
      </c>
      <c r="F2441" s="8">
        <f t="shared" si="77"/>
        <v>3.6081377885947911E-5</v>
      </c>
    </row>
    <row r="2442" spans="1:6" x14ac:dyDescent="0.2">
      <c r="A2442">
        <v>23</v>
      </c>
      <c r="B2442" t="s">
        <v>1145</v>
      </c>
      <c r="C2442" t="s">
        <v>916</v>
      </c>
      <c r="D2442" s="8">
        <v>1.4343371113754669E-5</v>
      </c>
      <c r="E2442" s="6">
        <f t="shared" si="76"/>
        <v>0.37200000000000077</v>
      </c>
      <c r="F2442" s="8">
        <f t="shared" si="77"/>
        <v>5.3357340543167485E-6</v>
      </c>
    </row>
    <row r="2443" spans="1:6" x14ac:dyDescent="0.2">
      <c r="A2443">
        <v>23</v>
      </c>
      <c r="B2443" t="s">
        <v>1145</v>
      </c>
      <c r="C2443" t="s">
        <v>917</v>
      </c>
      <c r="D2443" s="8">
        <v>1.9991819749813002E-3</v>
      </c>
      <c r="E2443" s="6">
        <f t="shared" si="76"/>
        <v>-1.83</v>
      </c>
      <c r="F2443" s="8">
        <f t="shared" si="77"/>
        <v>-3.6585030142157796E-3</v>
      </c>
    </row>
    <row r="2444" spans="1:6" x14ac:dyDescent="0.2">
      <c r="A2444">
        <v>23</v>
      </c>
      <c r="B2444" t="s">
        <v>1145</v>
      </c>
      <c r="C2444" t="s">
        <v>918</v>
      </c>
      <c r="D2444" s="8">
        <v>7.800861281719E-4</v>
      </c>
      <c r="E2444" s="6">
        <f t="shared" si="76"/>
        <v>0.1469999999999998</v>
      </c>
      <c r="F2444" s="8">
        <f t="shared" si="77"/>
        <v>1.1467266084126915E-4</v>
      </c>
    </row>
    <row r="2445" spans="1:6" x14ac:dyDescent="0.2">
      <c r="A2445">
        <v>23</v>
      </c>
      <c r="B2445" t="s">
        <v>1145</v>
      </c>
      <c r="C2445" t="s">
        <v>919</v>
      </c>
      <c r="D2445" s="8">
        <v>8.2143406465821236E-5</v>
      </c>
      <c r="E2445" s="6">
        <f t="shared" si="76"/>
        <v>-3.4940000000000002</v>
      </c>
      <c r="F2445" s="8">
        <f t="shared" si="77"/>
        <v>-2.8700906219157943E-4</v>
      </c>
    </row>
    <row r="2446" spans="1:6" x14ac:dyDescent="0.2">
      <c r="A2446">
        <v>23</v>
      </c>
      <c r="B2446" t="s">
        <v>1145</v>
      </c>
      <c r="C2446" t="s">
        <v>920</v>
      </c>
      <c r="D2446" s="8">
        <v>2.3371626004568439E-6</v>
      </c>
      <c r="E2446" s="6">
        <f t="shared" si="76"/>
        <v>0.40000000000000013</v>
      </c>
      <c r="F2446" s="8">
        <f t="shared" si="77"/>
        <v>9.348650401827379E-7</v>
      </c>
    </row>
    <row r="2447" spans="1:6" x14ac:dyDescent="0.2">
      <c r="A2447">
        <v>23</v>
      </c>
      <c r="B2447" t="s">
        <v>1145</v>
      </c>
      <c r="C2447" t="s">
        <v>921</v>
      </c>
      <c r="D2447" s="8">
        <v>3.9575359327304641E-7</v>
      </c>
      <c r="E2447" s="6">
        <f t="shared" si="76"/>
        <v>-0.79999999999999982</v>
      </c>
      <c r="F2447" s="8">
        <f t="shared" si="77"/>
        <v>-3.1660287461843703E-7</v>
      </c>
    </row>
    <row r="2448" spans="1:6" x14ac:dyDescent="0.2">
      <c r="A2448">
        <v>23</v>
      </c>
      <c r="B2448" t="s">
        <v>1145</v>
      </c>
      <c r="C2448" t="s">
        <v>922</v>
      </c>
      <c r="D2448" s="8">
        <v>6.347885437027E-4</v>
      </c>
      <c r="E2448" s="6">
        <f t="shared" si="76"/>
        <v>-0.78400000000000003</v>
      </c>
      <c r="F2448" s="8">
        <f t="shared" si="77"/>
        <v>-4.9767421826291678E-4</v>
      </c>
    </row>
    <row r="2449" spans="1:6" x14ac:dyDescent="0.2">
      <c r="A2449">
        <v>23</v>
      </c>
      <c r="B2449" t="s">
        <v>1145</v>
      </c>
      <c r="C2449" t="s">
        <v>923</v>
      </c>
      <c r="D2449" s="8">
        <v>2.2734822997562968E-6</v>
      </c>
      <c r="E2449" s="6">
        <f t="shared" si="76"/>
        <v>-0.29999999999999982</v>
      </c>
      <c r="F2449" s="8">
        <f t="shared" si="77"/>
        <v>-6.8204468992688867E-7</v>
      </c>
    </row>
    <row r="2450" spans="1:6" x14ac:dyDescent="0.2">
      <c r="A2450">
        <v>23</v>
      </c>
      <c r="B2450" t="s">
        <v>1145</v>
      </c>
      <c r="C2450" t="s">
        <v>1129</v>
      </c>
      <c r="D2450" s="8">
        <v>3.3819559470058889E-6</v>
      </c>
      <c r="E2450" s="6">
        <f t="shared" si="76"/>
        <v>0</v>
      </c>
      <c r="F2450" s="8">
        <f t="shared" si="77"/>
        <v>0</v>
      </c>
    </row>
    <row r="2451" spans="1:6" x14ac:dyDescent="0.2">
      <c r="A2451">
        <v>23</v>
      </c>
      <c r="B2451" t="s">
        <v>1145</v>
      </c>
      <c r="C2451" t="s">
        <v>1115</v>
      </c>
      <c r="D2451" s="8">
        <v>8.8505333907815484E-6</v>
      </c>
      <c r="E2451" s="6">
        <f t="shared" si="76"/>
        <v>0</v>
      </c>
      <c r="F2451" s="8">
        <f t="shared" si="77"/>
        <v>0</v>
      </c>
    </row>
    <row r="2452" spans="1:6" x14ac:dyDescent="0.2">
      <c r="A2452">
        <v>23</v>
      </c>
      <c r="B2452" t="s">
        <v>1145</v>
      </c>
      <c r="C2452" t="s">
        <v>924</v>
      </c>
      <c r="D2452" s="8">
        <v>1.04069982635297E-2</v>
      </c>
      <c r="E2452" s="6">
        <f t="shared" si="76"/>
        <v>-8.4000000000000075E-2</v>
      </c>
      <c r="F2452" s="8">
        <f t="shared" si="77"/>
        <v>-8.7418785413649559E-4</v>
      </c>
    </row>
    <row r="2453" spans="1:6" x14ac:dyDescent="0.2">
      <c r="A2453">
        <v>23</v>
      </c>
      <c r="B2453" t="s">
        <v>1145</v>
      </c>
      <c r="C2453" t="s">
        <v>925</v>
      </c>
      <c r="D2453" s="8">
        <v>4.7986867293372673E-6</v>
      </c>
      <c r="E2453" s="6">
        <f t="shared" si="76"/>
        <v>0.20000000000000018</v>
      </c>
      <c r="F2453" s="8">
        <f t="shared" si="77"/>
        <v>9.5973734586745422E-7</v>
      </c>
    </row>
    <row r="2454" spans="1:6" x14ac:dyDescent="0.2">
      <c r="A2454">
        <v>23</v>
      </c>
      <c r="B2454" t="s">
        <v>1145</v>
      </c>
      <c r="C2454" t="s">
        <v>926</v>
      </c>
      <c r="D2454" s="8">
        <v>2.037474527117E-4</v>
      </c>
      <c r="E2454" s="6">
        <f t="shared" si="76"/>
        <v>-4.8000000000000043E-2</v>
      </c>
      <c r="F2454" s="8">
        <f t="shared" si="77"/>
        <v>-9.7798777301616093E-6</v>
      </c>
    </row>
    <row r="2455" spans="1:6" x14ac:dyDescent="0.2">
      <c r="A2455">
        <v>23</v>
      </c>
      <c r="B2455" t="s">
        <v>1145</v>
      </c>
      <c r="C2455" t="s">
        <v>927</v>
      </c>
      <c r="D2455" s="8">
        <v>4.9132154322769999E-4</v>
      </c>
      <c r="E2455" s="6">
        <f t="shared" si="76"/>
        <v>0.5</v>
      </c>
      <c r="F2455" s="8">
        <f t="shared" si="77"/>
        <v>2.4566077161384999E-4</v>
      </c>
    </row>
    <row r="2456" spans="1:6" x14ac:dyDescent="0.2">
      <c r="A2456">
        <v>23</v>
      </c>
      <c r="B2456" t="s">
        <v>1145</v>
      </c>
      <c r="C2456" t="s">
        <v>928</v>
      </c>
      <c r="D2456" s="8">
        <v>1.02684954903586E-7</v>
      </c>
      <c r="E2456" s="6">
        <f t="shared" si="76"/>
        <v>2.423</v>
      </c>
      <c r="F2456" s="8">
        <f t="shared" si="77"/>
        <v>2.4880564573138891E-7</v>
      </c>
    </row>
    <row r="2457" spans="1:6" x14ac:dyDescent="0.2">
      <c r="A2457">
        <v>23</v>
      </c>
      <c r="B2457" t="s">
        <v>1145</v>
      </c>
      <c r="C2457" t="s">
        <v>929</v>
      </c>
      <c r="D2457" s="8">
        <v>5.6567771776659808E-5</v>
      </c>
      <c r="E2457" s="6">
        <f t="shared" si="76"/>
        <v>-0.54599999999999982</v>
      </c>
      <c r="F2457" s="8">
        <f t="shared" si="77"/>
        <v>-3.0886003390056243E-5</v>
      </c>
    </row>
    <row r="2458" spans="1:6" x14ac:dyDescent="0.2">
      <c r="A2458">
        <v>23</v>
      </c>
      <c r="B2458" t="s">
        <v>1145</v>
      </c>
      <c r="C2458" t="s">
        <v>930</v>
      </c>
      <c r="D2458" s="8">
        <v>1.46067066655583E-2</v>
      </c>
      <c r="E2458" s="6">
        <f t="shared" si="76"/>
        <v>-5.8000000000000052E-2</v>
      </c>
      <c r="F2458" s="8">
        <f t="shared" si="77"/>
        <v>-8.4718898660238217E-4</v>
      </c>
    </row>
    <row r="2459" spans="1:6" x14ac:dyDescent="0.2">
      <c r="A2459">
        <v>23</v>
      </c>
      <c r="B2459" t="s">
        <v>1145</v>
      </c>
      <c r="C2459" t="s">
        <v>931</v>
      </c>
      <c r="D2459" s="8">
        <v>3.2465867814052002E-3</v>
      </c>
      <c r="E2459" s="6">
        <f t="shared" si="76"/>
        <v>-0.31099999999999994</v>
      </c>
      <c r="F2459" s="8">
        <f t="shared" si="77"/>
        <v>-1.0096884890170171E-3</v>
      </c>
    </row>
    <row r="2460" spans="1:6" x14ac:dyDescent="0.2">
      <c r="A2460">
        <v>23</v>
      </c>
      <c r="B2460" t="s">
        <v>1145</v>
      </c>
      <c r="C2460" t="s">
        <v>932</v>
      </c>
      <c r="D2460" s="8">
        <v>9.9570106748700002E-4</v>
      </c>
      <c r="E2460" s="6">
        <f t="shared" si="76"/>
        <v>0.21799999999999997</v>
      </c>
      <c r="F2460" s="8">
        <f t="shared" si="77"/>
        <v>2.1706283271216598E-4</v>
      </c>
    </row>
    <row r="2461" spans="1:6" x14ac:dyDescent="0.2">
      <c r="A2461">
        <v>23</v>
      </c>
      <c r="B2461" t="s">
        <v>1145</v>
      </c>
      <c r="C2461" t="s">
        <v>933</v>
      </c>
      <c r="D2461" s="8">
        <v>3.1323610615359002E-2</v>
      </c>
      <c r="E2461" s="6">
        <f t="shared" si="76"/>
        <v>0.4430000000000005</v>
      </c>
      <c r="F2461" s="8">
        <f t="shared" si="77"/>
        <v>1.3876359502604053E-2</v>
      </c>
    </row>
    <row r="2462" spans="1:6" x14ac:dyDescent="0.2">
      <c r="A2462">
        <v>23</v>
      </c>
      <c r="B2462" t="s">
        <v>1145</v>
      </c>
      <c r="C2462" t="s">
        <v>934</v>
      </c>
      <c r="D2462" s="8">
        <v>2.2825066526040001E-4</v>
      </c>
      <c r="E2462" s="6">
        <f t="shared" si="76"/>
        <v>-0.20000000000000018</v>
      </c>
      <c r="F2462" s="8">
        <f t="shared" si="77"/>
        <v>-4.565013305208004E-5</v>
      </c>
    </row>
    <row r="2463" spans="1:6" x14ac:dyDescent="0.2">
      <c r="A2463">
        <v>23</v>
      </c>
      <c r="B2463" t="s">
        <v>1145</v>
      </c>
      <c r="C2463" t="s">
        <v>935</v>
      </c>
      <c r="D2463" s="8">
        <v>1.310134464436E-4</v>
      </c>
      <c r="E2463" s="6">
        <f t="shared" si="76"/>
        <v>-0.71799999999999997</v>
      </c>
      <c r="F2463" s="8">
        <f t="shared" si="77"/>
        <v>-9.4067654546504798E-5</v>
      </c>
    </row>
    <row r="2464" spans="1:6" x14ac:dyDescent="0.2">
      <c r="A2464">
        <v>23</v>
      </c>
      <c r="B2464" t="s">
        <v>1145</v>
      </c>
      <c r="C2464" t="s">
        <v>936</v>
      </c>
      <c r="D2464" s="8">
        <v>6.4599178674770816E-5</v>
      </c>
      <c r="E2464" s="6">
        <f t="shared" si="76"/>
        <v>0.72900000000000009</v>
      </c>
      <c r="F2464" s="8">
        <f t="shared" si="77"/>
        <v>4.7092801253907931E-5</v>
      </c>
    </row>
    <row r="2465" spans="1:6" x14ac:dyDescent="0.2">
      <c r="A2465">
        <v>23</v>
      </c>
      <c r="B2465" t="s">
        <v>1145</v>
      </c>
      <c r="C2465" t="s">
        <v>937</v>
      </c>
      <c r="D2465" s="8">
        <v>4.4036563035720352E-5</v>
      </c>
      <c r="E2465" s="6">
        <f t="shared" si="76"/>
        <v>-0.3660000000000001</v>
      </c>
      <c r="F2465" s="8">
        <f t="shared" si="77"/>
        <v>-1.6117382071073654E-5</v>
      </c>
    </row>
    <row r="2466" spans="1:6" x14ac:dyDescent="0.2">
      <c r="A2466">
        <v>23</v>
      </c>
      <c r="B2466" t="s">
        <v>1145</v>
      </c>
      <c r="C2466" t="s">
        <v>1102</v>
      </c>
      <c r="D2466" s="8">
        <v>5.52835482852853E-7</v>
      </c>
      <c r="E2466" s="6">
        <f t="shared" si="76"/>
        <v>0</v>
      </c>
      <c r="F2466" s="8">
        <f t="shared" si="77"/>
        <v>0</v>
      </c>
    </row>
    <row r="2467" spans="1:6" x14ac:dyDescent="0.2">
      <c r="A2467">
        <v>23</v>
      </c>
      <c r="B2467" t="s">
        <v>1145</v>
      </c>
      <c r="C2467" t="s">
        <v>938</v>
      </c>
      <c r="D2467" s="8">
        <v>6.5240976130129995E-4</v>
      </c>
      <c r="E2467" s="6">
        <f t="shared" si="76"/>
        <v>-0.32500000000000018</v>
      </c>
      <c r="F2467" s="8">
        <f t="shared" si="77"/>
        <v>-2.120331724229226E-4</v>
      </c>
    </row>
    <row r="2468" spans="1:6" x14ac:dyDescent="0.2">
      <c r="A2468">
        <v>23</v>
      </c>
      <c r="B2468" t="s">
        <v>1145</v>
      </c>
      <c r="C2468" t="s">
        <v>941</v>
      </c>
      <c r="D2468" s="8">
        <v>5.9145272823589998E-4</v>
      </c>
      <c r="E2468" s="6">
        <f t="shared" si="76"/>
        <v>0.16599999999999993</v>
      </c>
      <c r="F2468" s="8">
        <f t="shared" si="77"/>
        <v>9.8181152887159354E-5</v>
      </c>
    </row>
    <row r="2469" spans="1:6" x14ac:dyDescent="0.2">
      <c r="A2469">
        <v>23</v>
      </c>
      <c r="B2469" t="s">
        <v>1145</v>
      </c>
      <c r="C2469" t="s">
        <v>1116</v>
      </c>
      <c r="D2469" s="8">
        <v>1.6922209904161261E-5</v>
      </c>
      <c r="E2469" s="6">
        <f t="shared" si="76"/>
        <v>0</v>
      </c>
      <c r="F2469" s="8">
        <f t="shared" si="77"/>
        <v>0</v>
      </c>
    </row>
    <row r="2470" spans="1:6" x14ac:dyDescent="0.2">
      <c r="A2470">
        <v>23</v>
      </c>
      <c r="B2470" t="s">
        <v>1145</v>
      </c>
      <c r="C2470" t="s">
        <v>1111</v>
      </c>
      <c r="D2470" s="8">
        <v>6.7083247946516984E-6</v>
      </c>
      <c r="E2470" s="6">
        <f t="shared" si="76"/>
        <v>0</v>
      </c>
      <c r="F2470" s="8">
        <f t="shared" si="77"/>
        <v>0</v>
      </c>
    </row>
    <row r="2471" spans="1:6" x14ac:dyDescent="0.2">
      <c r="A2471">
        <v>23</v>
      </c>
      <c r="B2471" t="s">
        <v>1145</v>
      </c>
      <c r="C2471" t="s">
        <v>1091</v>
      </c>
      <c r="D2471" s="8">
        <v>4.0977939914759214E-9</v>
      </c>
      <c r="E2471" s="6">
        <f t="shared" si="76"/>
        <v>0</v>
      </c>
      <c r="F2471" s="8">
        <f t="shared" si="77"/>
        <v>0</v>
      </c>
    </row>
    <row r="2472" spans="1:6" x14ac:dyDescent="0.2">
      <c r="A2472">
        <v>23</v>
      </c>
      <c r="B2472" t="s">
        <v>1145</v>
      </c>
      <c r="C2472" t="s">
        <v>1103</v>
      </c>
      <c r="D2472" s="8">
        <v>1.183488306433038E-7</v>
      </c>
      <c r="E2472" s="6">
        <f t="shared" si="76"/>
        <v>0</v>
      </c>
      <c r="F2472" s="8">
        <f t="shared" si="77"/>
        <v>0</v>
      </c>
    </row>
    <row r="2473" spans="1:6" x14ac:dyDescent="0.2">
      <c r="A2473">
        <v>23</v>
      </c>
      <c r="B2473" t="s">
        <v>1145</v>
      </c>
      <c r="C2473" t="s">
        <v>942</v>
      </c>
      <c r="D2473" s="8">
        <v>4.2725697073147023E-5</v>
      </c>
      <c r="E2473" s="6">
        <f t="shared" si="76"/>
        <v>0.33700000000000019</v>
      </c>
      <c r="F2473" s="8">
        <f t="shared" si="77"/>
        <v>1.4398559913650555E-5</v>
      </c>
    </row>
    <row r="2474" spans="1:6" x14ac:dyDescent="0.2">
      <c r="A2474">
        <v>23</v>
      </c>
      <c r="B2474" t="s">
        <v>1145</v>
      </c>
      <c r="C2474" t="s">
        <v>943</v>
      </c>
      <c r="D2474" s="8">
        <v>1.8343494076596E-3</v>
      </c>
      <c r="E2474" s="6">
        <f t="shared" si="76"/>
        <v>0.40800000000000014</v>
      </c>
      <c r="F2474" s="8">
        <f t="shared" si="77"/>
        <v>7.4841455832511702E-4</v>
      </c>
    </row>
    <row r="2475" spans="1:6" x14ac:dyDescent="0.2">
      <c r="A2475">
        <v>23</v>
      </c>
      <c r="B2475" t="s">
        <v>1145</v>
      </c>
      <c r="C2475" t="s">
        <v>944</v>
      </c>
      <c r="D2475" s="8">
        <v>3.0276033331064701E-2</v>
      </c>
      <c r="E2475" s="6">
        <f t="shared" si="76"/>
        <v>-0.122</v>
      </c>
      <c r="F2475" s="8">
        <f t="shared" si="77"/>
        <v>-3.6936760663898935E-3</v>
      </c>
    </row>
    <row r="2476" spans="1:6" x14ac:dyDescent="0.2">
      <c r="A2476">
        <v>23</v>
      </c>
      <c r="B2476" t="s">
        <v>1145</v>
      </c>
      <c r="C2476" t="s">
        <v>945</v>
      </c>
      <c r="D2476" s="8">
        <v>1.5451119946220001E-4</v>
      </c>
      <c r="E2476" s="6">
        <f t="shared" si="76"/>
        <v>0.49000000000000021</v>
      </c>
      <c r="F2476" s="8">
        <f t="shared" si="77"/>
        <v>7.5710487736478042E-5</v>
      </c>
    </row>
    <row r="2477" spans="1:6" x14ac:dyDescent="0.2">
      <c r="A2477">
        <v>23</v>
      </c>
      <c r="B2477" t="s">
        <v>1145</v>
      </c>
      <c r="C2477" t="s">
        <v>946</v>
      </c>
      <c r="D2477" s="8">
        <v>8.0348741324105828E-6</v>
      </c>
      <c r="E2477" s="6">
        <f t="shared" si="76"/>
        <v>-0.1639999999999997</v>
      </c>
      <c r="F2477" s="8">
        <f t="shared" si="77"/>
        <v>-1.3177193577153332E-6</v>
      </c>
    </row>
    <row r="2478" spans="1:6" x14ac:dyDescent="0.2">
      <c r="A2478">
        <v>23</v>
      </c>
      <c r="B2478" t="s">
        <v>1145</v>
      </c>
      <c r="C2478" t="s">
        <v>947</v>
      </c>
      <c r="D2478" s="8">
        <v>2.4624481482470002E-4</v>
      </c>
      <c r="E2478" s="6">
        <f t="shared" si="76"/>
        <v>0.15500000000000003</v>
      </c>
      <c r="F2478" s="8">
        <f t="shared" si="77"/>
        <v>3.8167946297828511E-5</v>
      </c>
    </row>
    <row r="2479" spans="1:6" x14ac:dyDescent="0.2">
      <c r="A2479">
        <v>23</v>
      </c>
      <c r="B2479" t="s">
        <v>1145</v>
      </c>
      <c r="C2479" t="s">
        <v>948</v>
      </c>
      <c r="D2479" s="8">
        <v>2.7101433945420002E-4</v>
      </c>
      <c r="E2479" s="6">
        <f t="shared" si="76"/>
        <v>-1.0880000000000001</v>
      </c>
      <c r="F2479" s="8">
        <f t="shared" si="77"/>
        <v>-2.9486360132616966E-4</v>
      </c>
    </row>
    <row r="2480" spans="1:6" x14ac:dyDescent="0.2">
      <c r="A2480">
        <v>23</v>
      </c>
      <c r="B2480" t="s">
        <v>1145</v>
      </c>
      <c r="C2480" t="s">
        <v>949</v>
      </c>
      <c r="D2480" s="8">
        <v>4.2600130752540002E-4</v>
      </c>
      <c r="E2480" s="6">
        <f t="shared" si="76"/>
        <v>0.79599999999999982</v>
      </c>
      <c r="F2480" s="8">
        <f t="shared" si="77"/>
        <v>3.3909704079021833E-4</v>
      </c>
    </row>
    <row r="2481" spans="1:6" x14ac:dyDescent="0.2">
      <c r="A2481">
        <v>23</v>
      </c>
      <c r="B2481" t="s">
        <v>1145</v>
      </c>
      <c r="C2481" t="s">
        <v>950</v>
      </c>
      <c r="D2481" s="8">
        <v>2.2948225113270001E-4</v>
      </c>
      <c r="E2481" s="6">
        <f t="shared" si="76"/>
        <v>0.38300000000000001</v>
      </c>
      <c r="F2481" s="8">
        <f t="shared" si="77"/>
        <v>8.789170218382411E-5</v>
      </c>
    </row>
    <row r="2482" spans="1:6" x14ac:dyDescent="0.2">
      <c r="A2482">
        <v>23</v>
      </c>
      <c r="B2482" t="s">
        <v>1145</v>
      </c>
      <c r="C2482" t="s">
        <v>951</v>
      </c>
      <c r="D2482" s="8">
        <v>4.9420466278546002E-3</v>
      </c>
      <c r="E2482" s="6">
        <f t="shared" si="76"/>
        <v>-8.8000000000000078E-2</v>
      </c>
      <c r="F2482" s="8">
        <f t="shared" si="77"/>
        <v>-4.3490010325120522E-4</v>
      </c>
    </row>
    <row r="2483" spans="1:6" x14ac:dyDescent="0.2">
      <c r="A2483">
        <v>23</v>
      </c>
      <c r="B2483" t="s">
        <v>1145</v>
      </c>
      <c r="C2483" t="s">
        <v>1138</v>
      </c>
      <c r="D2483" s="8">
        <v>3.6083870045394222E-8</v>
      </c>
      <c r="E2483" s="6">
        <f t="shared" si="76"/>
        <v>0</v>
      </c>
      <c r="F2483" s="8">
        <f t="shared" si="77"/>
        <v>0</v>
      </c>
    </row>
    <row r="2484" spans="1:6" x14ac:dyDescent="0.2">
      <c r="A2484">
        <v>23</v>
      </c>
      <c r="B2484" t="s">
        <v>1145</v>
      </c>
      <c r="C2484" t="s">
        <v>952</v>
      </c>
      <c r="D2484" s="8">
        <v>2.2454858072361999E-3</v>
      </c>
      <c r="E2484" s="6">
        <f t="shared" si="76"/>
        <v>0.28300000000000014</v>
      </c>
      <c r="F2484" s="8">
        <f t="shared" si="77"/>
        <v>6.354724834478449E-4</v>
      </c>
    </row>
    <row r="2485" spans="1:6" x14ac:dyDescent="0.2">
      <c r="A2485">
        <v>23</v>
      </c>
      <c r="B2485" t="s">
        <v>1145</v>
      </c>
      <c r="C2485" t="s">
        <v>953</v>
      </c>
      <c r="D2485" s="8">
        <v>1.7133569894718999E-3</v>
      </c>
      <c r="E2485" s="6">
        <f t="shared" si="76"/>
        <v>-0.42500000000000004</v>
      </c>
      <c r="F2485" s="8">
        <f t="shared" si="77"/>
        <v>-7.2817672052555749E-4</v>
      </c>
    </row>
    <row r="2486" spans="1:6" x14ac:dyDescent="0.2">
      <c r="A2486">
        <v>23</v>
      </c>
      <c r="B2486" t="s">
        <v>1145</v>
      </c>
      <c r="C2486" t="s">
        <v>954</v>
      </c>
      <c r="D2486" s="8">
        <v>2.2402154145339999E-4</v>
      </c>
      <c r="E2486" s="6">
        <f t="shared" si="76"/>
        <v>2.0929999999999991</v>
      </c>
      <c r="F2486" s="8">
        <f t="shared" si="77"/>
        <v>4.6887708626196597E-4</v>
      </c>
    </row>
    <row r="2487" spans="1:6" x14ac:dyDescent="0.2">
      <c r="A2487">
        <v>23</v>
      </c>
      <c r="B2487" t="s">
        <v>1145</v>
      </c>
      <c r="C2487" t="s">
        <v>955</v>
      </c>
      <c r="D2487" s="8">
        <v>1.0143188471640001E-4</v>
      </c>
      <c r="E2487" s="6">
        <f t="shared" si="76"/>
        <v>-0.40500000000000003</v>
      </c>
      <c r="F2487" s="8">
        <f t="shared" si="77"/>
        <v>-4.1079913310142003E-5</v>
      </c>
    </row>
    <row r="2488" spans="1:6" x14ac:dyDescent="0.2">
      <c r="A2488">
        <v>23</v>
      </c>
      <c r="B2488" t="s">
        <v>1145</v>
      </c>
      <c r="C2488" t="s">
        <v>956</v>
      </c>
      <c r="D2488" s="8">
        <v>1.2932317493210001E-4</v>
      </c>
      <c r="E2488" s="6">
        <f t="shared" si="76"/>
        <v>-0.44700000000000006</v>
      </c>
      <c r="F2488" s="8">
        <f t="shared" si="77"/>
        <v>-5.7807459194648713E-5</v>
      </c>
    </row>
    <row r="2489" spans="1:6" x14ac:dyDescent="0.2">
      <c r="A2489">
        <v>23</v>
      </c>
      <c r="B2489" t="s">
        <v>1145</v>
      </c>
      <c r="C2489" t="s">
        <v>957</v>
      </c>
      <c r="D2489" s="8">
        <v>1.5670623107175902E-2</v>
      </c>
      <c r="E2489" s="6">
        <f t="shared" si="76"/>
        <v>-0.11499999999999988</v>
      </c>
      <c r="F2489" s="8">
        <f t="shared" si="77"/>
        <v>-1.8021216573252269E-3</v>
      </c>
    </row>
    <row r="2490" spans="1:6" x14ac:dyDescent="0.2">
      <c r="A2490">
        <v>23</v>
      </c>
      <c r="B2490" t="s">
        <v>1145</v>
      </c>
      <c r="C2490" t="s">
        <v>958</v>
      </c>
      <c r="D2490" s="8">
        <v>3.0481391245802369E-5</v>
      </c>
      <c r="E2490" s="6">
        <f t="shared" si="76"/>
        <v>9.6999999999999975E-2</v>
      </c>
      <c r="F2490" s="8">
        <f t="shared" si="77"/>
        <v>2.9566949508428292E-6</v>
      </c>
    </row>
    <row r="2491" spans="1:6" x14ac:dyDescent="0.2">
      <c r="A2491">
        <v>23</v>
      </c>
      <c r="B2491" t="s">
        <v>1145</v>
      </c>
      <c r="C2491" t="s">
        <v>959</v>
      </c>
      <c r="D2491" s="8">
        <v>8.9454020480587999E-3</v>
      </c>
      <c r="E2491" s="6">
        <f t="shared" si="76"/>
        <v>-0.60699999999999998</v>
      </c>
      <c r="F2491" s="8">
        <f t="shared" si="77"/>
        <v>-5.4298590431716915E-3</v>
      </c>
    </row>
    <row r="2492" spans="1:6" x14ac:dyDescent="0.2">
      <c r="A2492">
        <v>23</v>
      </c>
      <c r="B2492" t="s">
        <v>1145</v>
      </c>
      <c r="C2492" t="s">
        <v>960</v>
      </c>
      <c r="D2492" s="8">
        <v>8.1375840535890002E-4</v>
      </c>
      <c r="E2492" s="6">
        <f t="shared" si="76"/>
        <v>0.29999999999999982</v>
      </c>
      <c r="F2492" s="8">
        <f t="shared" si="77"/>
        <v>2.4412752160766986E-4</v>
      </c>
    </row>
    <row r="2493" spans="1:6" x14ac:dyDescent="0.2">
      <c r="A2493">
        <v>23</v>
      </c>
      <c r="B2493" t="s">
        <v>1145</v>
      </c>
      <c r="C2493" t="s">
        <v>961</v>
      </c>
      <c r="D2493" s="8">
        <v>1.658021164976E-4</v>
      </c>
      <c r="E2493" s="6">
        <f t="shared" si="76"/>
        <v>6.9999999999996732E-3</v>
      </c>
      <c r="F2493" s="8">
        <f t="shared" si="77"/>
        <v>1.1606148154831459E-6</v>
      </c>
    </row>
    <row r="2494" spans="1:6" x14ac:dyDescent="0.2">
      <c r="A2494">
        <v>23</v>
      </c>
      <c r="B2494" t="s">
        <v>1145</v>
      </c>
      <c r="C2494" t="s">
        <v>962</v>
      </c>
      <c r="D2494" s="8">
        <v>2.18839444221886E-5</v>
      </c>
      <c r="E2494" s="6">
        <f t="shared" ref="E2494:E2557" si="78">IFERROR(VLOOKUP(C2494,$A$6:$D$185,4,FALSE),0)</f>
        <v>-1.9090000000000007</v>
      </c>
      <c r="F2494" s="8">
        <f t="shared" ref="F2494:F2557" si="79">D2494*E2494</f>
        <v>-4.1776449901958049E-5</v>
      </c>
    </row>
    <row r="2495" spans="1:6" x14ac:dyDescent="0.2">
      <c r="A2495">
        <v>23</v>
      </c>
      <c r="B2495" t="s">
        <v>1145</v>
      </c>
      <c r="C2495" t="s">
        <v>963</v>
      </c>
      <c r="D2495" s="8">
        <v>1.117285068477285E-6</v>
      </c>
      <c r="E2495" s="6">
        <f t="shared" si="78"/>
        <v>7.2000000000000064E-2</v>
      </c>
      <c r="F2495" s="8">
        <f t="shared" si="79"/>
        <v>8.0444524930364588E-8</v>
      </c>
    </row>
    <row r="2496" spans="1:6" x14ac:dyDescent="0.2">
      <c r="A2496">
        <v>23</v>
      </c>
      <c r="B2496" t="s">
        <v>1145</v>
      </c>
      <c r="C2496" t="s">
        <v>1118</v>
      </c>
      <c r="D2496" s="8">
        <v>2.8409849689128531E-5</v>
      </c>
      <c r="E2496" s="6">
        <f t="shared" si="78"/>
        <v>0</v>
      </c>
      <c r="F2496" s="8">
        <f t="shared" si="79"/>
        <v>0</v>
      </c>
    </row>
    <row r="2497" spans="1:6" x14ac:dyDescent="0.2">
      <c r="A2497">
        <v>23</v>
      </c>
      <c r="B2497" t="s">
        <v>1145</v>
      </c>
      <c r="C2497" t="s">
        <v>965</v>
      </c>
      <c r="D2497" s="8">
        <v>5.8476434206110003E-4</v>
      </c>
      <c r="E2497" s="6">
        <f t="shared" si="78"/>
        <v>4.5000000000000151E-2</v>
      </c>
      <c r="F2497" s="8">
        <f t="shared" si="79"/>
        <v>2.631439539274959E-5</v>
      </c>
    </row>
    <row r="2498" spans="1:6" x14ac:dyDescent="0.2">
      <c r="A2498">
        <v>23</v>
      </c>
      <c r="B2498" t="s">
        <v>1145</v>
      </c>
      <c r="C2498" t="s">
        <v>966</v>
      </c>
      <c r="D2498" s="8">
        <v>4.1822993510899097E-8</v>
      </c>
      <c r="E2498" s="6">
        <f t="shared" si="78"/>
        <v>-0.21399999999999997</v>
      </c>
      <c r="F2498" s="8">
        <f t="shared" si="79"/>
        <v>-8.9501206113324053E-9</v>
      </c>
    </row>
    <row r="2499" spans="1:6" x14ac:dyDescent="0.2">
      <c r="A2499">
        <v>23</v>
      </c>
      <c r="B2499" t="s">
        <v>1145</v>
      </c>
      <c r="C2499" t="s">
        <v>1146</v>
      </c>
      <c r="D2499" s="8">
        <v>4.9257637447678132E-8</v>
      </c>
      <c r="E2499" s="6">
        <f t="shared" si="78"/>
        <v>0</v>
      </c>
      <c r="F2499" s="8">
        <f t="shared" si="79"/>
        <v>0</v>
      </c>
    </row>
    <row r="2500" spans="1:6" x14ac:dyDescent="0.2">
      <c r="A2500">
        <v>23</v>
      </c>
      <c r="B2500" t="s">
        <v>1145</v>
      </c>
      <c r="C2500" t="s">
        <v>967</v>
      </c>
      <c r="D2500" s="8">
        <v>5.6007687325330003E-4</v>
      </c>
      <c r="E2500" s="6">
        <f t="shared" si="78"/>
        <v>0.10000000000000009</v>
      </c>
      <c r="F2500" s="8">
        <f t="shared" si="79"/>
        <v>5.6007687325330054E-5</v>
      </c>
    </row>
    <row r="2501" spans="1:6" x14ac:dyDescent="0.2">
      <c r="A2501">
        <v>23</v>
      </c>
      <c r="B2501" t="s">
        <v>1145</v>
      </c>
      <c r="C2501" t="s">
        <v>1105</v>
      </c>
      <c r="D2501" s="8">
        <v>1.675089708617813E-8</v>
      </c>
      <c r="E2501" s="6">
        <f t="shared" si="78"/>
        <v>0</v>
      </c>
      <c r="F2501" s="8">
        <f t="shared" si="79"/>
        <v>0</v>
      </c>
    </row>
    <row r="2502" spans="1:6" x14ac:dyDescent="0.2">
      <c r="A2502">
        <v>23</v>
      </c>
      <c r="B2502" t="s">
        <v>1145</v>
      </c>
      <c r="C2502" t="s">
        <v>968</v>
      </c>
      <c r="D2502" s="8">
        <v>9.3677997889591886E-6</v>
      </c>
      <c r="E2502" s="6">
        <f t="shared" si="78"/>
        <v>-6.7510000000000012</v>
      </c>
      <c r="F2502" s="8">
        <f t="shared" si="79"/>
        <v>-6.3242016375263493E-5</v>
      </c>
    </row>
    <row r="2503" spans="1:6" x14ac:dyDescent="0.2">
      <c r="A2503">
        <v>23</v>
      </c>
      <c r="B2503" t="s">
        <v>1145</v>
      </c>
      <c r="C2503" t="s">
        <v>969</v>
      </c>
      <c r="D2503" s="8">
        <v>2.1837655899468299E-2</v>
      </c>
      <c r="E2503" s="6">
        <f t="shared" si="78"/>
        <v>0.53699999999999992</v>
      </c>
      <c r="F2503" s="8">
        <f t="shared" si="79"/>
        <v>1.1726821218014475E-2</v>
      </c>
    </row>
    <row r="2504" spans="1:6" x14ac:dyDescent="0.2">
      <c r="A2504">
        <v>23</v>
      </c>
      <c r="B2504" t="s">
        <v>1145</v>
      </c>
      <c r="C2504" t="s">
        <v>970</v>
      </c>
      <c r="D2504" s="8">
        <v>1.8178256236450001E-4</v>
      </c>
      <c r="E2504" s="6">
        <f t="shared" si="78"/>
        <v>-0.10000000000000009</v>
      </c>
      <c r="F2504" s="8">
        <f t="shared" si="79"/>
        <v>-1.8178256236450018E-5</v>
      </c>
    </row>
    <row r="2505" spans="1:6" x14ac:dyDescent="0.2">
      <c r="A2505">
        <v>23</v>
      </c>
      <c r="B2505" t="s">
        <v>1145</v>
      </c>
      <c r="C2505" t="s">
        <v>971</v>
      </c>
      <c r="D2505" s="8">
        <v>2.6852234345399998E-4</v>
      </c>
      <c r="E2505" s="6">
        <f t="shared" si="78"/>
        <v>-0.13700000000000001</v>
      </c>
      <c r="F2505" s="8">
        <f t="shared" si="79"/>
        <v>-3.6787561053197999E-5</v>
      </c>
    </row>
    <row r="2506" spans="1:6" x14ac:dyDescent="0.2">
      <c r="A2506">
        <v>23</v>
      </c>
      <c r="B2506" t="s">
        <v>1145</v>
      </c>
      <c r="C2506" t="s">
        <v>972</v>
      </c>
      <c r="D2506" s="8">
        <v>3.4863700254556253E-5</v>
      </c>
      <c r="E2506" s="6">
        <f t="shared" si="78"/>
        <v>-2.7</v>
      </c>
      <c r="F2506" s="8">
        <f t="shared" si="79"/>
        <v>-9.4131990687301885E-5</v>
      </c>
    </row>
    <row r="2507" spans="1:6" x14ac:dyDescent="0.2">
      <c r="A2507">
        <v>23</v>
      </c>
      <c r="B2507" t="s">
        <v>1145</v>
      </c>
      <c r="C2507" t="s">
        <v>973</v>
      </c>
      <c r="D2507" s="8">
        <v>3.8635296538703E-3</v>
      </c>
      <c r="E2507" s="6">
        <f t="shared" si="78"/>
        <v>-0.84999999999999987</v>
      </c>
      <c r="F2507" s="8">
        <f t="shared" si="79"/>
        <v>-3.2840002057897546E-3</v>
      </c>
    </row>
    <row r="2508" spans="1:6" x14ac:dyDescent="0.2">
      <c r="A2508">
        <v>23</v>
      </c>
      <c r="B2508" t="s">
        <v>1145</v>
      </c>
      <c r="C2508" t="s">
        <v>975</v>
      </c>
      <c r="D2508" s="8">
        <v>2.0149402571774701E-2</v>
      </c>
      <c r="E2508" s="6">
        <f t="shared" si="78"/>
        <v>0.23500000000000032</v>
      </c>
      <c r="F2508" s="8">
        <f t="shared" si="79"/>
        <v>4.7351096043670611E-3</v>
      </c>
    </row>
    <row r="2509" spans="1:6" x14ac:dyDescent="0.2">
      <c r="A2509">
        <v>23</v>
      </c>
      <c r="B2509" t="s">
        <v>1145</v>
      </c>
      <c r="C2509" t="s">
        <v>976</v>
      </c>
      <c r="D2509" s="8">
        <v>4.2938901060524002E-3</v>
      </c>
      <c r="E2509" s="6">
        <f t="shared" si="78"/>
        <v>0.38700000000000001</v>
      </c>
      <c r="F2509" s="8">
        <f t="shared" si="79"/>
        <v>1.6617354710422789E-3</v>
      </c>
    </row>
    <row r="2510" spans="1:6" x14ac:dyDescent="0.2">
      <c r="A2510">
        <v>23</v>
      </c>
      <c r="B2510" t="s">
        <v>1145</v>
      </c>
      <c r="C2510" t="s">
        <v>977</v>
      </c>
      <c r="D2510" s="8">
        <v>1.9307769081459999E-4</v>
      </c>
      <c r="E2510" s="6">
        <f t="shared" si="78"/>
        <v>-7.2039999999999997</v>
      </c>
      <c r="F2510" s="8">
        <f t="shared" si="79"/>
        <v>-1.3909316846283783E-3</v>
      </c>
    </row>
    <row r="2511" spans="1:6" x14ac:dyDescent="0.2">
      <c r="A2511">
        <v>23</v>
      </c>
      <c r="B2511" t="s">
        <v>1145</v>
      </c>
      <c r="C2511" t="s">
        <v>978</v>
      </c>
      <c r="D2511" s="8">
        <v>1.5879778318849999E-4</v>
      </c>
      <c r="E2511" s="6">
        <f t="shared" si="78"/>
        <v>-8.2390000000000008</v>
      </c>
      <c r="F2511" s="8">
        <f t="shared" si="79"/>
        <v>-1.3083349356900515E-3</v>
      </c>
    </row>
    <row r="2512" spans="1:6" x14ac:dyDescent="0.2">
      <c r="A2512">
        <v>23</v>
      </c>
      <c r="B2512" t="s">
        <v>1145</v>
      </c>
      <c r="C2512" t="s">
        <v>979</v>
      </c>
      <c r="D2512" s="8">
        <v>5.4410997385523898E-5</v>
      </c>
      <c r="E2512" s="6">
        <f t="shared" si="78"/>
        <v>-0.5</v>
      </c>
      <c r="F2512" s="8">
        <f t="shared" si="79"/>
        <v>-2.7205498692761949E-5</v>
      </c>
    </row>
    <row r="2513" spans="1:6" x14ac:dyDescent="0.2">
      <c r="A2513">
        <v>23</v>
      </c>
      <c r="B2513" t="s">
        <v>1145</v>
      </c>
      <c r="C2513" t="s">
        <v>980</v>
      </c>
      <c r="D2513" s="8">
        <v>1.1897020907059999E-3</v>
      </c>
      <c r="E2513" s="6">
        <f t="shared" si="78"/>
        <v>-0.10000000000000009</v>
      </c>
      <c r="F2513" s="8">
        <f t="shared" si="79"/>
        <v>-1.189702090706001E-4</v>
      </c>
    </row>
    <row r="2514" spans="1:6" x14ac:dyDescent="0.2">
      <c r="A2514">
        <v>23</v>
      </c>
      <c r="B2514" t="s">
        <v>1145</v>
      </c>
      <c r="C2514" t="s">
        <v>981</v>
      </c>
      <c r="D2514" s="8">
        <v>3.7032186346972998E-3</v>
      </c>
      <c r="E2514" s="6">
        <f t="shared" si="78"/>
        <v>-0.33499999999999996</v>
      </c>
      <c r="F2514" s="8">
        <f t="shared" si="79"/>
        <v>-1.2405782426235953E-3</v>
      </c>
    </row>
    <row r="2515" spans="1:6" x14ac:dyDescent="0.2">
      <c r="A2515">
        <v>23</v>
      </c>
      <c r="B2515" t="s">
        <v>1145</v>
      </c>
      <c r="C2515" t="s">
        <v>982</v>
      </c>
      <c r="D2515" s="8">
        <v>1.5896638180004591E-5</v>
      </c>
      <c r="E2515" s="6">
        <f t="shared" si="78"/>
        <v>-2.8</v>
      </c>
      <c r="F2515" s="8">
        <f t="shared" si="79"/>
        <v>-4.4510586904012856E-5</v>
      </c>
    </row>
    <row r="2516" spans="1:6" x14ac:dyDescent="0.2">
      <c r="A2516">
        <v>23</v>
      </c>
      <c r="B2516" t="s">
        <v>1145</v>
      </c>
      <c r="C2516" t="s">
        <v>983</v>
      </c>
      <c r="D2516" s="8">
        <v>6.427089776248136E-5</v>
      </c>
      <c r="E2516" s="6">
        <f t="shared" si="78"/>
        <v>-0.19999999999999973</v>
      </c>
      <c r="F2516" s="8">
        <f t="shared" si="79"/>
        <v>-1.2854179552496255E-5</v>
      </c>
    </row>
    <row r="2517" spans="1:6" x14ac:dyDescent="0.2">
      <c r="A2517">
        <v>23</v>
      </c>
      <c r="B2517" t="s">
        <v>1145</v>
      </c>
      <c r="C2517" t="s">
        <v>984</v>
      </c>
      <c r="D2517" s="8">
        <v>0.11858689480800159</v>
      </c>
      <c r="E2517" s="6">
        <f t="shared" si="78"/>
        <v>0.121</v>
      </c>
      <c r="F2517" s="8">
        <f t="shared" si="79"/>
        <v>1.4349014271768193E-2</v>
      </c>
    </row>
    <row r="2518" spans="1:6" x14ac:dyDescent="0.2">
      <c r="A2518">
        <v>23</v>
      </c>
      <c r="B2518" t="s">
        <v>1145</v>
      </c>
      <c r="C2518" t="s">
        <v>985</v>
      </c>
      <c r="D2518" s="8">
        <v>4.3387678754144999E-3</v>
      </c>
      <c r="E2518" s="6">
        <f t="shared" si="78"/>
        <v>0.34299999999999997</v>
      </c>
      <c r="F2518" s="8">
        <f t="shared" si="79"/>
        <v>1.4881973812671733E-3</v>
      </c>
    </row>
    <row r="2519" spans="1:6" x14ac:dyDescent="0.2">
      <c r="A2519">
        <v>23</v>
      </c>
      <c r="B2519" t="s">
        <v>1145</v>
      </c>
      <c r="C2519" t="s">
        <v>986</v>
      </c>
      <c r="D2519" s="8">
        <v>2.398728220016E-4</v>
      </c>
      <c r="E2519" s="6">
        <f t="shared" si="78"/>
        <v>-0.38900000000000023</v>
      </c>
      <c r="F2519" s="8">
        <f t="shared" si="79"/>
        <v>-9.3310527758622461E-5</v>
      </c>
    </row>
    <row r="2520" spans="1:6" x14ac:dyDescent="0.2">
      <c r="A2520">
        <v>23</v>
      </c>
      <c r="B2520" t="s">
        <v>1145</v>
      </c>
      <c r="C2520" t="s">
        <v>987</v>
      </c>
      <c r="D2520" s="8">
        <v>3.0571431304839998E-4</v>
      </c>
      <c r="E2520" s="6">
        <f t="shared" si="78"/>
        <v>0.83399999999999963</v>
      </c>
      <c r="F2520" s="8">
        <f t="shared" si="79"/>
        <v>2.5496573708236548E-4</v>
      </c>
    </row>
    <row r="2521" spans="1:6" x14ac:dyDescent="0.2">
      <c r="A2521">
        <v>23</v>
      </c>
      <c r="B2521" t="s">
        <v>1145</v>
      </c>
      <c r="C2521" t="s">
        <v>988</v>
      </c>
      <c r="D2521" s="8">
        <v>4.8200226696570002E-4</v>
      </c>
      <c r="E2521" s="6">
        <f t="shared" si="78"/>
        <v>0.59299999999999997</v>
      </c>
      <c r="F2521" s="8">
        <f t="shared" si="79"/>
        <v>2.8582734431066011E-4</v>
      </c>
    </row>
    <row r="2522" spans="1:6" x14ac:dyDescent="0.2">
      <c r="A2522">
        <v>23</v>
      </c>
      <c r="B2522" t="s">
        <v>1145</v>
      </c>
      <c r="C2522" t="s">
        <v>989</v>
      </c>
      <c r="D2522" s="8">
        <v>5.5274671671880462E-7</v>
      </c>
      <c r="E2522" s="6">
        <f t="shared" si="78"/>
        <v>-0.12199999999999989</v>
      </c>
      <c r="F2522" s="8">
        <f t="shared" si="79"/>
        <v>-6.7435099439694098E-8</v>
      </c>
    </row>
    <row r="2523" spans="1:6" x14ac:dyDescent="0.2">
      <c r="A2523">
        <v>23</v>
      </c>
      <c r="B2523" t="s">
        <v>1145</v>
      </c>
      <c r="C2523" t="s">
        <v>1119</v>
      </c>
      <c r="D2523" s="8">
        <v>1.3180461241900669E-7</v>
      </c>
      <c r="E2523" s="6">
        <f t="shared" si="78"/>
        <v>0</v>
      </c>
      <c r="F2523" s="8">
        <f t="shared" si="79"/>
        <v>0</v>
      </c>
    </row>
    <row r="2524" spans="1:6" x14ac:dyDescent="0.2">
      <c r="A2524">
        <v>23</v>
      </c>
      <c r="B2524" t="s">
        <v>1145</v>
      </c>
      <c r="C2524" t="s">
        <v>990</v>
      </c>
      <c r="D2524" s="8">
        <v>3.97437562269694E-2</v>
      </c>
      <c r="E2524" s="6">
        <f t="shared" si="78"/>
        <v>0.45299999999999985</v>
      </c>
      <c r="F2524" s="8">
        <f t="shared" si="79"/>
        <v>1.8003921570817132E-2</v>
      </c>
    </row>
    <row r="2525" spans="1:6" x14ac:dyDescent="0.2">
      <c r="A2525">
        <v>23</v>
      </c>
      <c r="B2525" t="s">
        <v>1145</v>
      </c>
      <c r="C2525" t="s">
        <v>991</v>
      </c>
      <c r="D2525" s="8">
        <v>9.6083294697008341E-5</v>
      </c>
      <c r="E2525" s="6">
        <f t="shared" si="78"/>
        <v>-3.7290000000000001</v>
      </c>
      <c r="F2525" s="8">
        <f t="shared" si="79"/>
        <v>-3.5829460592514409E-4</v>
      </c>
    </row>
    <row r="2526" spans="1:6" x14ac:dyDescent="0.2">
      <c r="A2526">
        <v>23</v>
      </c>
      <c r="B2526" t="s">
        <v>1145</v>
      </c>
      <c r="C2526" t="s">
        <v>992</v>
      </c>
      <c r="D2526" s="8">
        <v>3.7938920337570001E-4</v>
      </c>
      <c r="E2526" s="6">
        <f t="shared" si="78"/>
        <v>2.048</v>
      </c>
      <c r="F2526" s="8">
        <f t="shared" si="79"/>
        <v>7.7698908851343363E-4</v>
      </c>
    </row>
    <row r="2527" spans="1:6" x14ac:dyDescent="0.2">
      <c r="A2527">
        <v>23</v>
      </c>
      <c r="B2527" t="s">
        <v>1145</v>
      </c>
      <c r="C2527" t="s">
        <v>1092</v>
      </c>
      <c r="D2527" s="8">
        <v>6.1461838561037842E-5</v>
      </c>
      <c r="E2527" s="6">
        <f t="shared" si="78"/>
        <v>0</v>
      </c>
      <c r="F2527" s="8">
        <f t="shared" si="79"/>
        <v>0</v>
      </c>
    </row>
    <row r="2528" spans="1:6" x14ac:dyDescent="0.2">
      <c r="A2528">
        <v>23</v>
      </c>
      <c r="B2528" t="s">
        <v>1145</v>
      </c>
      <c r="C2528" t="s">
        <v>993</v>
      </c>
      <c r="D2528" s="8">
        <v>5.3649675748589412E-6</v>
      </c>
      <c r="E2528" s="6">
        <f t="shared" si="78"/>
        <v>-0.42900000000000027</v>
      </c>
      <c r="F2528" s="8">
        <f t="shared" si="79"/>
        <v>-2.301571089614487E-6</v>
      </c>
    </row>
    <row r="2529" spans="1:6" x14ac:dyDescent="0.2">
      <c r="A2529">
        <v>23</v>
      </c>
      <c r="B2529" t="s">
        <v>1145</v>
      </c>
      <c r="C2529" t="s">
        <v>994</v>
      </c>
      <c r="D2529" s="8">
        <v>9.0779186964790005E-4</v>
      </c>
      <c r="E2529" s="6">
        <f t="shared" si="78"/>
        <v>2.415</v>
      </c>
      <c r="F2529" s="8">
        <f t="shared" si="79"/>
        <v>2.1923173651996787E-3</v>
      </c>
    </row>
    <row r="2530" spans="1:6" x14ac:dyDescent="0.2">
      <c r="A2530">
        <v>23</v>
      </c>
      <c r="B2530" t="s">
        <v>1145</v>
      </c>
      <c r="C2530" t="s">
        <v>1120</v>
      </c>
      <c r="D2530" s="8">
        <v>1.6151943958730869E-6</v>
      </c>
      <c r="E2530" s="6">
        <f t="shared" si="78"/>
        <v>0</v>
      </c>
      <c r="F2530" s="8">
        <f t="shared" si="79"/>
        <v>0</v>
      </c>
    </row>
    <row r="2531" spans="1:6" x14ac:dyDescent="0.2">
      <c r="A2531">
        <v>23</v>
      </c>
      <c r="B2531" t="s">
        <v>1145</v>
      </c>
      <c r="C2531" t="s">
        <v>1093</v>
      </c>
      <c r="D2531" s="8">
        <v>4.22604245736E-4</v>
      </c>
      <c r="E2531" s="6">
        <f t="shared" si="78"/>
        <v>0</v>
      </c>
      <c r="F2531" s="8">
        <f t="shared" si="79"/>
        <v>0</v>
      </c>
    </row>
    <row r="2532" spans="1:6" x14ac:dyDescent="0.2">
      <c r="A2532">
        <v>23</v>
      </c>
      <c r="B2532" t="s">
        <v>1145</v>
      </c>
      <c r="C2532" t="s">
        <v>996</v>
      </c>
      <c r="D2532" s="8">
        <v>9.9965467966560005E-4</v>
      </c>
      <c r="E2532" s="6">
        <f t="shared" si="78"/>
        <v>0.44099999999999984</v>
      </c>
      <c r="F2532" s="8">
        <f t="shared" si="79"/>
        <v>4.4084771373252947E-4</v>
      </c>
    </row>
    <row r="2533" spans="1:6" x14ac:dyDescent="0.2">
      <c r="A2533">
        <v>23</v>
      </c>
      <c r="B2533" t="s">
        <v>1145</v>
      </c>
      <c r="C2533" t="s">
        <v>997</v>
      </c>
      <c r="D2533" s="8">
        <v>7.9294490222458618E-5</v>
      </c>
      <c r="E2533" s="6">
        <f t="shared" si="78"/>
        <v>-0.61499999999999977</v>
      </c>
      <c r="F2533" s="8">
        <f t="shared" si="79"/>
        <v>-4.8766111486812031E-5</v>
      </c>
    </row>
    <row r="2534" spans="1:6" x14ac:dyDescent="0.2">
      <c r="A2534">
        <v>23</v>
      </c>
      <c r="B2534" t="s">
        <v>1145</v>
      </c>
      <c r="C2534" t="s">
        <v>998</v>
      </c>
      <c r="D2534" s="8">
        <v>1.8496763380390001E-4</v>
      </c>
      <c r="E2534" s="6">
        <f t="shared" si="78"/>
        <v>-0.28200000000000003</v>
      </c>
      <c r="F2534" s="8">
        <f t="shared" si="79"/>
        <v>-5.2160872732699811E-5</v>
      </c>
    </row>
    <row r="2535" spans="1:6" x14ac:dyDescent="0.2">
      <c r="A2535">
        <v>23</v>
      </c>
      <c r="B2535" t="s">
        <v>1145</v>
      </c>
      <c r="C2535" t="s">
        <v>999</v>
      </c>
      <c r="D2535" s="8">
        <v>2.4446177600932339E-5</v>
      </c>
      <c r="E2535" s="6">
        <f t="shared" si="78"/>
        <v>-0.5219999999999998</v>
      </c>
      <c r="F2535" s="8">
        <f t="shared" si="79"/>
        <v>-1.2760904707686676E-5</v>
      </c>
    </row>
    <row r="2536" spans="1:6" x14ac:dyDescent="0.2">
      <c r="A2536">
        <v>23</v>
      </c>
      <c r="B2536" t="s">
        <v>1145</v>
      </c>
      <c r="C2536" t="s">
        <v>1000</v>
      </c>
      <c r="D2536" s="8">
        <v>6.1701898677659999E-4</v>
      </c>
      <c r="E2536" s="6">
        <f t="shared" si="78"/>
        <v>1.1540000000000004</v>
      </c>
      <c r="F2536" s="8">
        <f t="shared" si="79"/>
        <v>7.1203991074019661E-4</v>
      </c>
    </row>
    <row r="2537" spans="1:6" x14ac:dyDescent="0.2">
      <c r="A2537">
        <v>23</v>
      </c>
      <c r="B2537" t="s">
        <v>1145</v>
      </c>
      <c r="C2537" t="s">
        <v>1121</v>
      </c>
      <c r="D2537" s="8">
        <v>8.421643021320813E-7</v>
      </c>
      <c r="E2537" s="6">
        <f t="shared" si="78"/>
        <v>0</v>
      </c>
      <c r="F2537" s="8">
        <f t="shared" si="79"/>
        <v>0</v>
      </c>
    </row>
    <row r="2538" spans="1:6" x14ac:dyDescent="0.2">
      <c r="A2538">
        <v>23</v>
      </c>
      <c r="B2538" t="s">
        <v>1145</v>
      </c>
      <c r="C2538" t="s">
        <v>1001</v>
      </c>
      <c r="D2538" s="8">
        <v>1.093410470856352E-5</v>
      </c>
      <c r="E2538" s="6">
        <f t="shared" si="78"/>
        <v>-0.60600000000000032</v>
      </c>
      <c r="F2538" s="8">
        <f t="shared" si="79"/>
        <v>-6.6260674533894966E-6</v>
      </c>
    </row>
    <row r="2539" spans="1:6" x14ac:dyDescent="0.2">
      <c r="A2539">
        <v>23</v>
      </c>
      <c r="B2539" t="s">
        <v>1145</v>
      </c>
      <c r="C2539" t="s">
        <v>1002</v>
      </c>
      <c r="D2539" s="8">
        <v>4.0243596197699283E-5</v>
      </c>
      <c r="E2539" s="6">
        <f t="shared" si="78"/>
        <v>-1.3390000000000004</v>
      </c>
      <c r="F2539" s="8">
        <f t="shared" si="79"/>
        <v>-5.3886175308719356E-5</v>
      </c>
    </row>
    <row r="2540" spans="1:6" x14ac:dyDescent="0.2">
      <c r="A2540">
        <v>23</v>
      </c>
      <c r="B2540" t="s">
        <v>1145</v>
      </c>
      <c r="C2540" t="s">
        <v>1003</v>
      </c>
      <c r="D2540" s="8">
        <v>1.9612611279350298E-2</v>
      </c>
      <c r="E2540" s="6">
        <f t="shared" si="78"/>
        <v>0.22999999999999998</v>
      </c>
      <c r="F2540" s="8">
        <f t="shared" si="79"/>
        <v>4.510900594250568E-3</v>
      </c>
    </row>
    <row r="2541" spans="1:6" x14ac:dyDescent="0.2">
      <c r="A2541">
        <v>23</v>
      </c>
      <c r="B2541" t="s">
        <v>1145</v>
      </c>
      <c r="C2541" t="s">
        <v>1004</v>
      </c>
      <c r="D2541" s="8">
        <v>4.8092995413849998E-4</v>
      </c>
      <c r="E2541" s="6">
        <f t="shared" si="78"/>
        <v>-0.37000000000000011</v>
      </c>
      <c r="F2541" s="8">
        <f t="shared" si="79"/>
        <v>-1.7794408303124505E-4</v>
      </c>
    </row>
    <row r="2542" spans="1:6" x14ac:dyDescent="0.2">
      <c r="A2542">
        <v>23</v>
      </c>
      <c r="B2542" t="s">
        <v>1145</v>
      </c>
      <c r="C2542" t="s">
        <v>1005</v>
      </c>
      <c r="D2542" s="8">
        <v>9.4386827251153959E-5</v>
      </c>
      <c r="E2542" s="6">
        <f t="shared" si="78"/>
        <v>-0.10000000000000009</v>
      </c>
      <c r="F2542" s="8">
        <f t="shared" si="79"/>
        <v>-9.4386827251154047E-6</v>
      </c>
    </row>
    <row r="2543" spans="1:6" x14ac:dyDescent="0.2">
      <c r="A2543">
        <v>23</v>
      </c>
      <c r="B2543" t="s">
        <v>1145</v>
      </c>
      <c r="C2543" t="s">
        <v>1006</v>
      </c>
      <c r="D2543" s="8">
        <v>1.4835426940338469E-6</v>
      </c>
      <c r="E2543" s="6">
        <f t="shared" si="78"/>
        <v>0.40000000000000036</v>
      </c>
      <c r="F2543" s="8">
        <f t="shared" si="79"/>
        <v>5.9341707761353933E-7</v>
      </c>
    </row>
    <row r="2544" spans="1:6" x14ac:dyDescent="0.2">
      <c r="A2544">
        <v>23</v>
      </c>
      <c r="B2544" t="s">
        <v>1145</v>
      </c>
      <c r="C2544" t="s">
        <v>1007</v>
      </c>
      <c r="D2544" s="8">
        <v>5.5487613687979997E-4</v>
      </c>
      <c r="E2544" s="6">
        <f t="shared" si="78"/>
        <v>-0.19999999999999973</v>
      </c>
      <c r="F2544" s="8">
        <f t="shared" si="79"/>
        <v>-1.1097522737595984E-4</v>
      </c>
    </row>
    <row r="2545" spans="1:6" x14ac:dyDescent="0.2">
      <c r="A2545">
        <v>23</v>
      </c>
      <c r="B2545" t="s">
        <v>1145</v>
      </c>
      <c r="C2545" t="s">
        <v>1008</v>
      </c>
      <c r="D2545" s="8">
        <v>4.8875893618339995E-4</v>
      </c>
      <c r="E2545" s="6">
        <f t="shared" si="78"/>
        <v>0.94799999999999995</v>
      </c>
      <c r="F2545" s="8">
        <f t="shared" si="79"/>
        <v>4.6334347150186312E-4</v>
      </c>
    </row>
    <row r="2546" spans="1:6" x14ac:dyDescent="0.2">
      <c r="A2546">
        <v>23</v>
      </c>
      <c r="B2546" t="s">
        <v>1145</v>
      </c>
      <c r="C2546" t="s">
        <v>1098</v>
      </c>
      <c r="D2546" s="8">
        <v>1.3159186473379589E-6</v>
      </c>
      <c r="E2546" s="6">
        <f t="shared" si="78"/>
        <v>0</v>
      </c>
      <c r="F2546" s="8">
        <f t="shared" si="79"/>
        <v>0</v>
      </c>
    </row>
    <row r="2547" spans="1:6" x14ac:dyDescent="0.2">
      <c r="A2547">
        <v>23</v>
      </c>
      <c r="B2547" t="s">
        <v>1145</v>
      </c>
      <c r="C2547" t="s">
        <v>1009</v>
      </c>
      <c r="D2547" s="8">
        <v>7.0917381548937287E-5</v>
      </c>
      <c r="E2547" s="6">
        <f t="shared" si="78"/>
        <v>-0.5990000000000002</v>
      </c>
      <c r="F2547" s="8">
        <f t="shared" si="79"/>
        <v>-4.2479511547813452E-5</v>
      </c>
    </row>
    <row r="2548" spans="1:6" x14ac:dyDescent="0.2">
      <c r="A2548">
        <v>23</v>
      </c>
      <c r="B2548" t="s">
        <v>1145</v>
      </c>
      <c r="C2548" t="s">
        <v>1122</v>
      </c>
      <c r="D2548" s="8">
        <v>2.2988694140941129E-6</v>
      </c>
      <c r="E2548" s="6">
        <f t="shared" si="78"/>
        <v>0</v>
      </c>
      <c r="F2548" s="8">
        <f t="shared" si="79"/>
        <v>0</v>
      </c>
    </row>
    <row r="2549" spans="1:6" x14ac:dyDescent="0.2">
      <c r="A2549">
        <v>23</v>
      </c>
      <c r="B2549" t="s">
        <v>1145</v>
      </c>
      <c r="C2549" t="s">
        <v>1010</v>
      </c>
      <c r="D2549" s="8">
        <v>5.5494281415808023E-5</v>
      </c>
      <c r="E2549" s="6">
        <f t="shared" si="78"/>
        <v>-3.024</v>
      </c>
      <c r="F2549" s="8">
        <f t="shared" si="79"/>
        <v>-1.6781470700140346E-4</v>
      </c>
    </row>
    <row r="2550" spans="1:6" x14ac:dyDescent="0.2">
      <c r="A2550">
        <v>23</v>
      </c>
      <c r="B2550" t="s">
        <v>1145</v>
      </c>
      <c r="C2550" t="s">
        <v>1011</v>
      </c>
      <c r="D2550" s="8">
        <v>1.2955405814969999E-4</v>
      </c>
      <c r="E2550" s="6">
        <f t="shared" si="78"/>
        <v>0.68600000000000039</v>
      </c>
      <c r="F2550" s="8">
        <f t="shared" si="79"/>
        <v>8.887408389069424E-5</v>
      </c>
    </row>
    <row r="2551" spans="1:6" x14ac:dyDescent="0.2">
      <c r="A2551">
        <v>23</v>
      </c>
      <c r="B2551" t="s">
        <v>1145</v>
      </c>
      <c r="C2551" t="s">
        <v>1147</v>
      </c>
      <c r="D2551" s="8">
        <v>5.2578655007105095E-7</v>
      </c>
      <c r="E2551" s="6">
        <f t="shared" si="78"/>
        <v>0</v>
      </c>
      <c r="F2551" s="8">
        <f t="shared" si="79"/>
        <v>0</v>
      </c>
    </row>
    <row r="2552" spans="1:6" x14ac:dyDescent="0.2">
      <c r="A2552">
        <v>23</v>
      </c>
      <c r="B2552" t="s">
        <v>1145</v>
      </c>
      <c r="C2552" t="s">
        <v>1012</v>
      </c>
      <c r="D2552" s="8">
        <v>1.3414252438020001E-4</v>
      </c>
      <c r="E2552" s="6">
        <f t="shared" si="78"/>
        <v>0.39999999999999991</v>
      </c>
      <c r="F2552" s="8">
        <f t="shared" si="79"/>
        <v>5.3657009752079987E-5</v>
      </c>
    </row>
    <row r="2553" spans="1:6" x14ac:dyDescent="0.2">
      <c r="A2553">
        <v>23</v>
      </c>
      <c r="B2553" t="s">
        <v>1145</v>
      </c>
      <c r="C2553" t="s">
        <v>1013</v>
      </c>
      <c r="D2553" s="8">
        <v>1.033669698495821E-6</v>
      </c>
      <c r="E2553" s="6">
        <f t="shared" si="78"/>
        <v>-2.0999999999999996</v>
      </c>
      <c r="F2553" s="8">
        <f t="shared" si="79"/>
        <v>-2.1707063668412238E-6</v>
      </c>
    </row>
    <row r="2554" spans="1:6" x14ac:dyDescent="0.2">
      <c r="A2554">
        <v>23</v>
      </c>
      <c r="B2554" t="s">
        <v>1145</v>
      </c>
      <c r="C2554" t="s">
        <v>1014</v>
      </c>
      <c r="D2554" s="8">
        <v>2.06934345998257E-2</v>
      </c>
      <c r="E2554" s="6">
        <f t="shared" si="78"/>
        <v>0.90000000000000036</v>
      </c>
      <c r="F2554" s="8">
        <f t="shared" si="79"/>
        <v>1.8624091139843136E-2</v>
      </c>
    </row>
    <row r="2555" spans="1:6" x14ac:dyDescent="0.2">
      <c r="A2555">
        <v>23</v>
      </c>
      <c r="B2555" t="s">
        <v>1145</v>
      </c>
      <c r="C2555" t="s">
        <v>1015</v>
      </c>
      <c r="D2555" s="8">
        <v>6.0138476655082557E-6</v>
      </c>
      <c r="E2555" s="6">
        <f t="shared" si="78"/>
        <v>-1.306</v>
      </c>
      <c r="F2555" s="8">
        <f t="shared" si="79"/>
        <v>-7.8540850511537822E-6</v>
      </c>
    </row>
    <row r="2556" spans="1:6" x14ac:dyDescent="0.2">
      <c r="A2556">
        <v>23</v>
      </c>
      <c r="B2556" t="s">
        <v>1145</v>
      </c>
      <c r="C2556" t="s">
        <v>1099</v>
      </c>
      <c r="D2556" s="8">
        <v>9.6017692391228281E-5</v>
      </c>
      <c r="E2556" s="6">
        <f t="shared" si="78"/>
        <v>0</v>
      </c>
      <c r="F2556" s="8">
        <f t="shared" si="79"/>
        <v>0</v>
      </c>
    </row>
    <row r="2557" spans="1:6" x14ac:dyDescent="0.2">
      <c r="A2557">
        <v>23</v>
      </c>
      <c r="B2557" t="s">
        <v>1145</v>
      </c>
      <c r="C2557" t="s">
        <v>1016</v>
      </c>
      <c r="D2557" s="8">
        <v>3.6970431849961089E-6</v>
      </c>
      <c r="E2557" s="6">
        <f t="shared" si="78"/>
        <v>0</v>
      </c>
      <c r="F2557" s="8">
        <f t="shared" si="79"/>
        <v>0</v>
      </c>
    </row>
    <row r="2558" spans="1:6" x14ac:dyDescent="0.2">
      <c r="A2558">
        <v>23</v>
      </c>
      <c r="B2558" t="s">
        <v>1145</v>
      </c>
      <c r="C2558" t="s">
        <v>1017</v>
      </c>
      <c r="D2558" s="8">
        <v>1.3346530225835001E-3</v>
      </c>
      <c r="E2558" s="6">
        <f t="shared" ref="E2558:E2621" si="80">IFERROR(VLOOKUP(C2558,$A$6:$D$185,4,FALSE),0)</f>
        <v>1.3749999999999996</v>
      </c>
      <c r="F2558" s="8">
        <f t="shared" ref="F2558:F2621" si="81">D2558*E2558</f>
        <v>1.835147906052312E-3</v>
      </c>
    </row>
    <row r="2559" spans="1:6" x14ac:dyDescent="0.2">
      <c r="A2559">
        <v>23</v>
      </c>
      <c r="B2559" t="s">
        <v>1145</v>
      </c>
      <c r="C2559" t="s">
        <v>1018</v>
      </c>
      <c r="D2559" s="8">
        <v>1.145057459803E-4</v>
      </c>
      <c r="E2559" s="6">
        <f t="shared" si="80"/>
        <v>0.69999999999999973</v>
      </c>
      <c r="F2559" s="8">
        <f t="shared" si="81"/>
        <v>8.015402218620996E-5</v>
      </c>
    </row>
    <row r="2560" spans="1:6" x14ac:dyDescent="0.2">
      <c r="A2560">
        <v>23</v>
      </c>
      <c r="B2560" t="s">
        <v>1145</v>
      </c>
      <c r="C2560" t="s">
        <v>1019</v>
      </c>
      <c r="D2560" s="8">
        <v>1.3231677083257299E-2</v>
      </c>
      <c r="E2560" s="6">
        <f t="shared" si="80"/>
        <v>-0.21599999999999997</v>
      </c>
      <c r="F2560" s="8">
        <f t="shared" si="81"/>
        <v>-2.8580422499835762E-3</v>
      </c>
    </row>
    <row r="2561" spans="1:6" x14ac:dyDescent="0.2">
      <c r="A2561">
        <v>23</v>
      </c>
      <c r="B2561" t="s">
        <v>1145</v>
      </c>
      <c r="C2561" t="s">
        <v>1020</v>
      </c>
      <c r="D2561" s="8">
        <v>2.8903442496949999E-4</v>
      </c>
      <c r="E2561" s="6">
        <f t="shared" si="80"/>
        <v>-0.21999999999999997</v>
      </c>
      <c r="F2561" s="8">
        <f t="shared" si="81"/>
        <v>-6.3587573493289993E-5</v>
      </c>
    </row>
    <row r="2562" spans="1:6" x14ac:dyDescent="0.2">
      <c r="A2562">
        <v>23</v>
      </c>
      <c r="B2562" t="s">
        <v>1145</v>
      </c>
      <c r="C2562" t="s">
        <v>1021</v>
      </c>
      <c r="D2562" s="8">
        <v>1.1902741135853991E-5</v>
      </c>
      <c r="E2562" s="6">
        <f t="shared" si="80"/>
        <v>-2.4829999999999997</v>
      </c>
      <c r="F2562" s="8">
        <f t="shared" si="81"/>
        <v>-2.9554506240325456E-5</v>
      </c>
    </row>
    <row r="2563" spans="1:6" x14ac:dyDescent="0.2">
      <c r="A2563">
        <v>23</v>
      </c>
      <c r="B2563" t="s">
        <v>1145</v>
      </c>
      <c r="C2563" t="s">
        <v>1023</v>
      </c>
      <c r="D2563" s="8">
        <v>3.8599148396738E-3</v>
      </c>
      <c r="E2563" s="6">
        <f t="shared" si="80"/>
        <v>-0.62199999999999989</v>
      </c>
      <c r="F2563" s="8">
        <f t="shared" si="81"/>
        <v>-2.400867030277103E-3</v>
      </c>
    </row>
    <row r="2564" spans="1:6" x14ac:dyDescent="0.2">
      <c r="A2564">
        <v>23</v>
      </c>
      <c r="B2564" t="s">
        <v>1145</v>
      </c>
      <c r="C2564" t="s">
        <v>1024</v>
      </c>
      <c r="D2564" s="8">
        <v>2.4768353114489999E-4</v>
      </c>
      <c r="E2564" s="6">
        <f t="shared" si="80"/>
        <v>-0.14500000000000002</v>
      </c>
      <c r="F2564" s="8">
        <f t="shared" si="81"/>
        <v>-3.5914112016010503E-5</v>
      </c>
    </row>
    <row r="2565" spans="1:6" x14ac:dyDescent="0.2">
      <c r="A2565">
        <v>23</v>
      </c>
      <c r="B2565" t="s">
        <v>1145</v>
      </c>
      <c r="C2565" t="s">
        <v>1025</v>
      </c>
      <c r="D2565" s="8">
        <v>1.072969651841E-3</v>
      </c>
      <c r="E2565" s="6">
        <f t="shared" si="80"/>
        <v>4.7000000000000153E-2</v>
      </c>
      <c r="F2565" s="8">
        <f t="shared" si="81"/>
        <v>5.0429573636527162E-5</v>
      </c>
    </row>
    <row r="2566" spans="1:6" x14ac:dyDescent="0.2">
      <c r="A2566">
        <v>23</v>
      </c>
      <c r="B2566" t="s">
        <v>1145</v>
      </c>
      <c r="C2566" t="s">
        <v>1026</v>
      </c>
      <c r="D2566" s="8">
        <v>1.6411883850609001E-3</v>
      </c>
      <c r="E2566" s="6">
        <f t="shared" si="80"/>
        <v>-0.20000000000000018</v>
      </c>
      <c r="F2566" s="8">
        <f t="shared" si="81"/>
        <v>-3.2823767701218031E-4</v>
      </c>
    </row>
    <row r="2567" spans="1:6" x14ac:dyDescent="0.2">
      <c r="A2567">
        <v>23</v>
      </c>
      <c r="B2567" t="s">
        <v>1145</v>
      </c>
      <c r="C2567" t="s">
        <v>1027</v>
      </c>
      <c r="D2567" s="8">
        <v>9.5398432395360001E-4</v>
      </c>
      <c r="E2567" s="6">
        <f t="shared" si="80"/>
        <v>0.18999999999999995</v>
      </c>
      <c r="F2567" s="8">
        <f t="shared" si="81"/>
        <v>1.8125702155118395E-4</v>
      </c>
    </row>
    <row r="2568" spans="1:6" x14ac:dyDescent="0.2">
      <c r="A2568">
        <v>23</v>
      </c>
      <c r="B2568" t="s">
        <v>1145</v>
      </c>
      <c r="C2568" t="s">
        <v>1028</v>
      </c>
      <c r="D2568" s="8">
        <v>1.73211172122513E-2</v>
      </c>
      <c r="E2568" s="6">
        <f t="shared" si="80"/>
        <v>-1.6600000000000001</v>
      </c>
      <c r="F2568" s="8">
        <f t="shared" si="81"/>
        <v>-2.875305457233716E-2</v>
      </c>
    </row>
    <row r="2569" spans="1:6" x14ac:dyDescent="0.2">
      <c r="A2569">
        <v>23</v>
      </c>
      <c r="B2569" t="s">
        <v>1145</v>
      </c>
      <c r="C2569" t="s">
        <v>1029</v>
      </c>
      <c r="D2569" s="8">
        <v>8.032607540109046E-10</v>
      </c>
      <c r="E2569" s="6">
        <f t="shared" si="80"/>
        <v>-0.20500000000000007</v>
      </c>
      <c r="F2569" s="8">
        <f t="shared" si="81"/>
        <v>-1.6466845457223549E-10</v>
      </c>
    </row>
    <row r="2570" spans="1:6" x14ac:dyDescent="0.2">
      <c r="A2570">
        <v>23</v>
      </c>
      <c r="B2570" t="s">
        <v>1145</v>
      </c>
      <c r="C2570" t="s">
        <v>1030</v>
      </c>
      <c r="D2570" s="8">
        <v>1.6993781707426E-3</v>
      </c>
      <c r="E2570" s="6">
        <f t="shared" si="80"/>
        <v>0.29999999999999982</v>
      </c>
      <c r="F2570" s="8">
        <f t="shared" si="81"/>
        <v>5.0981345122277975E-4</v>
      </c>
    </row>
    <row r="2571" spans="1:6" x14ac:dyDescent="0.2">
      <c r="A2571">
        <v>23</v>
      </c>
      <c r="B2571" t="s">
        <v>1145</v>
      </c>
      <c r="C2571" t="s">
        <v>1031</v>
      </c>
      <c r="D2571" s="8">
        <v>1.7548205444415901E-2</v>
      </c>
      <c r="E2571" s="6">
        <f t="shared" si="80"/>
        <v>0.19899999999999984</v>
      </c>
      <c r="F2571" s="8">
        <f t="shared" si="81"/>
        <v>3.4920928834387614E-3</v>
      </c>
    </row>
    <row r="2572" spans="1:6" x14ac:dyDescent="0.2">
      <c r="A2572">
        <v>23</v>
      </c>
      <c r="B2572" t="s">
        <v>1145</v>
      </c>
      <c r="C2572" t="s">
        <v>1033</v>
      </c>
      <c r="D2572" s="8">
        <v>4.7827092204359999E-4</v>
      </c>
      <c r="E2572" s="6">
        <f t="shared" si="80"/>
        <v>0.23299999999999987</v>
      </c>
      <c r="F2572" s="8">
        <f t="shared" si="81"/>
        <v>1.1143712483615874E-4</v>
      </c>
    </row>
    <row r="2573" spans="1:6" x14ac:dyDescent="0.2">
      <c r="A2573">
        <v>23</v>
      </c>
      <c r="B2573" t="s">
        <v>1145</v>
      </c>
      <c r="C2573" t="s">
        <v>1034</v>
      </c>
      <c r="D2573" s="8">
        <v>1.4401331150149999E-4</v>
      </c>
      <c r="E2573" s="6">
        <f t="shared" si="80"/>
        <v>0.70000000000000018</v>
      </c>
      <c r="F2573" s="8">
        <f t="shared" si="81"/>
        <v>1.0080931805105002E-4</v>
      </c>
    </row>
    <row r="2574" spans="1:6" x14ac:dyDescent="0.2">
      <c r="A2574">
        <v>23</v>
      </c>
      <c r="B2574" t="s">
        <v>1145</v>
      </c>
      <c r="C2574" t="s">
        <v>1123</v>
      </c>
      <c r="D2574" s="8">
        <v>1.8917372829966961E-9</v>
      </c>
      <c r="E2574" s="6">
        <f t="shared" si="80"/>
        <v>0</v>
      </c>
      <c r="F2574" s="8">
        <f t="shared" si="81"/>
        <v>0</v>
      </c>
    </row>
    <row r="2575" spans="1:6" x14ac:dyDescent="0.2">
      <c r="A2575">
        <v>23</v>
      </c>
      <c r="B2575" t="s">
        <v>1145</v>
      </c>
      <c r="C2575" t="s">
        <v>1100</v>
      </c>
      <c r="D2575" s="8">
        <v>4.0544213449900909E-6</v>
      </c>
      <c r="E2575" s="6">
        <f t="shared" si="80"/>
        <v>0</v>
      </c>
      <c r="F2575" s="8">
        <f t="shared" si="81"/>
        <v>0</v>
      </c>
    </row>
    <row r="2576" spans="1:6" x14ac:dyDescent="0.2">
      <c r="A2576">
        <v>23</v>
      </c>
      <c r="B2576" t="s">
        <v>1145</v>
      </c>
      <c r="C2576" t="s">
        <v>1035</v>
      </c>
      <c r="D2576" s="8">
        <v>5.0890026775615004E-3</v>
      </c>
      <c r="E2576" s="6">
        <f t="shared" si="80"/>
        <v>-14.218</v>
      </c>
      <c r="F2576" s="8">
        <f t="shared" si="81"/>
        <v>-7.2355440069569413E-2</v>
      </c>
    </row>
    <row r="2577" spans="1:6" x14ac:dyDescent="0.2">
      <c r="A2577">
        <v>23</v>
      </c>
      <c r="B2577" t="s">
        <v>1145</v>
      </c>
      <c r="C2577" t="s">
        <v>1036</v>
      </c>
      <c r="D2577" s="8">
        <v>1.4648171823632E-3</v>
      </c>
      <c r="E2577" s="6">
        <f t="shared" si="80"/>
        <v>-2.0590000000000002</v>
      </c>
      <c r="F2577" s="8">
        <f t="shared" si="81"/>
        <v>-3.016058578485829E-3</v>
      </c>
    </row>
    <row r="2578" spans="1:6" x14ac:dyDescent="0.2">
      <c r="A2578">
        <v>23</v>
      </c>
      <c r="B2578" t="s">
        <v>1145</v>
      </c>
      <c r="C2578" t="s">
        <v>1037</v>
      </c>
      <c r="D2578" s="8">
        <v>4.9456063470939996E-4</v>
      </c>
      <c r="E2578" s="6">
        <f t="shared" si="80"/>
        <v>0.2350000000000001</v>
      </c>
      <c r="F2578" s="8">
        <f t="shared" si="81"/>
        <v>1.1622174915670904E-4</v>
      </c>
    </row>
    <row r="2579" spans="1:6" x14ac:dyDescent="0.2">
      <c r="A2579">
        <v>23</v>
      </c>
      <c r="B2579" t="s">
        <v>1145</v>
      </c>
      <c r="C2579" t="s">
        <v>1038</v>
      </c>
      <c r="D2579" s="8">
        <v>2.7762903536055448E-7</v>
      </c>
      <c r="E2579" s="6">
        <f t="shared" si="80"/>
        <v>-0.2759999999999998</v>
      </c>
      <c r="F2579" s="8">
        <f t="shared" si="81"/>
        <v>-7.6625613759512977E-8</v>
      </c>
    </row>
    <row r="2580" spans="1:6" x14ac:dyDescent="0.2">
      <c r="A2580">
        <v>23</v>
      </c>
      <c r="B2580" t="s">
        <v>1145</v>
      </c>
      <c r="C2580" t="s">
        <v>1094</v>
      </c>
      <c r="D2580" s="8">
        <v>1.2062849649673101E-2</v>
      </c>
      <c r="E2580" s="6">
        <f t="shared" si="80"/>
        <v>0</v>
      </c>
      <c r="F2580" s="8">
        <f t="shared" si="81"/>
        <v>0</v>
      </c>
    </row>
    <row r="2581" spans="1:6" x14ac:dyDescent="0.2">
      <c r="A2581">
        <v>23</v>
      </c>
      <c r="B2581" t="s">
        <v>1145</v>
      </c>
      <c r="C2581" t="s">
        <v>1039</v>
      </c>
      <c r="D2581" s="8">
        <v>2.1423908473802E-3</v>
      </c>
      <c r="E2581" s="6">
        <f t="shared" si="80"/>
        <v>-0.6419999999999999</v>
      </c>
      <c r="F2581" s="8">
        <f t="shared" si="81"/>
        <v>-1.3754149240180881E-3</v>
      </c>
    </row>
    <row r="2582" spans="1:6" x14ac:dyDescent="0.2">
      <c r="A2582">
        <v>23</v>
      </c>
      <c r="B2582" t="s">
        <v>1145</v>
      </c>
      <c r="C2582" t="s">
        <v>1040</v>
      </c>
      <c r="D2582" s="8">
        <v>5.1635264844120002E-4</v>
      </c>
      <c r="E2582" s="6">
        <f t="shared" si="80"/>
        <v>-8.1180000000000003</v>
      </c>
      <c r="F2582" s="8">
        <f t="shared" si="81"/>
        <v>-4.1917508000456618E-3</v>
      </c>
    </row>
    <row r="2583" spans="1:6" x14ac:dyDescent="0.2">
      <c r="A2583">
        <v>23</v>
      </c>
      <c r="B2583" t="s">
        <v>1145</v>
      </c>
      <c r="C2583" t="s">
        <v>1041</v>
      </c>
      <c r="D2583" s="8">
        <v>3.7763258916160002E-4</v>
      </c>
      <c r="E2583" s="6">
        <f t="shared" si="80"/>
        <v>-1.8890000000000002</v>
      </c>
      <c r="F2583" s="8">
        <f t="shared" si="81"/>
        <v>-7.1334796092626252E-4</v>
      </c>
    </row>
    <row r="2584" spans="1:6" x14ac:dyDescent="0.2">
      <c r="A2584">
        <v>23</v>
      </c>
      <c r="B2584" t="s">
        <v>1145</v>
      </c>
      <c r="C2584" t="s">
        <v>1042</v>
      </c>
      <c r="D2584" s="8">
        <v>0.1900985934482971</v>
      </c>
      <c r="E2584" s="6">
        <f t="shared" si="80"/>
        <v>1.621</v>
      </c>
      <c r="F2584" s="8">
        <f t="shared" si="81"/>
        <v>0.3081498199796896</v>
      </c>
    </row>
    <row r="2585" spans="1:6" x14ac:dyDescent="0.2">
      <c r="A2585">
        <v>23</v>
      </c>
      <c r="B2585" t="s">
        <v>1145</v>
      </c>
      <c r="C2585" t="s">
        <v>1043</v>
      </c>
      <c r="D2585" s="8">
        <v>1.057794453634E-4</v>
      </c>
      <c r="E2585" s="6">
        <f t="shared" si="80"/>
        <v>-2.8000000000000025E-2</v>
      </c>
      <c r="F2585" s="8">
        <f t="shared" si="81"/>
        <v>-2.9618244701752026E-6</v>
      </c>
    </row>
    <row r="2586" spans="1:6" x14ac:dyDescent="0.2">
      <c r="A2586">
        <v>23</v>
      </c>
      <c r="B2586" t="s">
        <v>1145</v>
      </c>
      <c r="C2586" t="s">
        <v>1044</v>
      </c>
      <c r="D2586" s="8">
        <v>6.4121663381224427E-6</v>
      </c>
      <c r="E2586" s="6">
        <f t="shared" si="80"/>
        <v>-0.35099999999999998</v>
      </c>
      <c r="F2586" s="8">
        <f t="shared" si="81"/>
        <v>-2.2506703846809773E-6</v>
      </c>
    </row>
    <row r="2587" spans="1:6" x14ac:dyDescent="0.2">
      <c r="A2587">
        <v>23</v>
      </c>
      <c r="B2587" t="s">
        <v>1145</v>
      </c>
      <c r="C2587" t="s">
        <v>1045</v>
      </c>
      <c r="D2587" s="8">
        <v>3.409579653602E-4</v>
      </c>
      <c r="E2587" s="6">
        <f t="shared" si="80"/>
        <v>0.7849999999999997</v>
      </c>
      <c r="F2587" s="8">
        <f t="shared" si="81"/>
        <v>2.6765200280775691E-4</v>
      </c>
    </row>
    <row r="2588" spans="1:6" x14ac:dyDescent="0.2">
      <c r="A2588">
        <v>23</v>
      </c>
      <c r="B2588" t="s">
        <v>1145</v>
      </c>
      <c r="C2588" t="s">
        <v>1047</v>
      </c>
      <c r="D2588" s="8">
        <v>1.2115396271449999E-4</v>
      </c>
      <c r="E2588" s="6">
        <f t="shared" si="80"/>
        <v>-1.4999999999999996</v>
      </c>
      <c r="F2588" s="8">
        <f t="shared" si="81"/>
        <v>-1.8173094407174993E-4</v>
      </c>
    </row>
    <row r="2589" spans="1:6" x14ac:dyDescent="0.2">
      <c r="A2589">
        <v>23</v>
      </c>
      <c r="B2589" t="s">
        <v>1145</v>
      </c>
      <c r="C2589" t="s">
        <v>1048</v>
      </c>
      <c r="D2589" s="8">
        <v>4.428173568003478E-6</v>
      </c>
      <c r="E2589" s="6">
        <f t="shared" si="80"/>
        <v>-1.4340000000000002</v>
      </c>
      <c r="F2589" s="8">
        <f t="shared" si="81"/>
        <v>-6.3500008965169883E-6</v>
      </c>
    </row>
    <row r="2590" spans="1:6" x14ac:dyDescent="0.2">
      <c r="A2590">
        <v>23</v>
      </c>
      <c r="B2590" t="s">
        <v>1145</v>
      </c>
      <c r="C2590" t="s">
        <v>1051</v>
      </c>
      <c r="D2590" s="8">
        <v>1.7550316915016941E-5</v>
      </c>
      <c r="E2590" s="6">
        <f t="shared" si="80"/>
        <v>0.18199999999999994</v>
      </c>
      <c r="F2590" s="8">
        <f t="shared" si="81"/>
        <v>3.1941576785330821E-6</v>
      </c>
    </row>
    <row r="2591" spans="1:6" x14ac:dyDescent="0.2">
      <c r="A2591">
        <v>23</v>
      </c>
      <c r="B2591" t="s">
        <v>1145</v>
      </c>
      <c r="C2591" t="s">
        <v>1052</v>
      </c>
      <c r="D2591" s="8">
        <v>1.2791597905288999E-3</v>
      </c>
      <c r="E2591" s="6">
        <f t="shared" si="80"/>
        <v>-1.1059999999999999</v>
      </c>
      <c r="F2591" s="8">
        <f t="shared" si="81"/>
        <v>-1.414750728324963E-3</v>
      </c>
    </row>
    <row r="2592" spans="1:6" x14ac:dyDescent="0.2">
      <c r="A2592">
        <v>23</v>
      </c>
      <c r="B2592" t="s">
        <v>1145</v>
      </c>
      <c r="C2592" t="s">
        <v>1053</v>
      </c>
      <c r="D2592" s="8">
        <v>3.3330648246340002E-4</v>
      </c>
      <c r="E2592" s="6">
        <f t="shared" si="80"/>
        <v>-0.39999999999999991</v>
      </c>
      <c r="F2592" s="8">
        <f t="shared" si="81"/>
        <v>-1.3332259298535999E-4</v>
      </c>
    </row>
    <row r="2593" spans="1:6" x14ac:dyDescent="0.2">
      <c r="A2593">
        <v>23</v>
      </c>
      <c r="B2593" t="s">
        <v>1145</v>
      </c>
      <c r="C2593" t="s">
        <v>1054</v>
      </c>
      <c r="D2593" s="8">
        <v>1.0705573744066001E-3</v>
      </c>
      <c r="E2593" s="6">
        <f t="shared" si="80"/>
        <v>-0.16800000000000015</v>
      </c>
      <c r="F2593" s="8">
        <f t="shared" si="81"/>
        <v>-1.7985363890030899E-4</v>
      </c>
    </row>
    <row r="2594" spans="1:6" x14ac:dyDescent="0.2">
      <c r="A2594">
        <v>23</v>
      </c>
      <c r="B2594" t="s">
        <v>1145</v>
      </c>
      <c r="C2594" t="s">
        <v>1055</v>
      </c>
      <c r="D2594" s="8">
        <v>1.068027105068E-4</v>
      </c>
      <c r="E2594" s="6">
        <f t="shared" si="80"/>
        <v>-0.93100000000000005</v>
      </c>
      <c r="F2594" s="8">
        <f t="shared" si="81"/>
        <v>-9.9433323481830808E-5</v>
      </c>
    </row>
    <row r="2595" spans="1:6" x14ac:dyDescent="0.2">
      <c r="A2595">
        <v>23</v>
      </c>
      <c r="B2595" t="s">
        <v>1145</v>
      </c>
      <c r="C2595" t="s">
        <v>1056</v>
      </c>
      <c r="D2595" s="8">
        <v>2.055970539041431E-5</v>
      </c>
      <c r="E2595" s="6">
        <f t="shared" si="80"/>
        <v>-1.996</v>
      </c>
      <c r="F2595" s="8">
        <f t="shared" si="81"/>
        <v>-4.1037171959266962E-5</v>
      </c>
    </row>
    <row r="2596" spans="1:6" x14ac:dyDescent="0.2">
      <c r="A2596">
        <v>23</v>
      </c>
      <c r="B2596" t="s">
        <v>1145</v>
      </c>
      <c r="C2596" t="s">
        <v>1112</v>
      </c>
      <c r="D2596" s="8">
        <v>2.349974842312522E-7</v>
      </c>
      <c r="E2596" s="6">
        <f t="shared" si="80"/>
        <v>0</v>
      </c>
      <c r="F2596" s="8">
        <f t="shared" si="81"/>
        <v>0</v>
      </c>
    </row>
    <row r="2597" spans="1:6" x14ac:dyDescent="0.2">
      <c r="A2597">
        <v>23</v>
      </c>
      <c r="B2597" t="s">
        <v>1145</v>
      </c>
      <c r="C2597" t="s">
        <v>1058</v>
      </c>
      <c r="D2597" s="8">
        <v>3.583466014268136E-5</v>
      </c>
      <c r="E2597" s="6">
        <f t="shared" si="80"/>
        <v>-0.5</v>
      </c>
      <c r="F2597" s="8">
        <f t="shared" si="81"/>
        <v>-1.791733007134068E-5</v>
      </c>
    </row>
    <row r="2598" spans="1:6" x14ac:dyDescent="0.2">
      <c r="A2598">
        <v>23</v>
      </c>
      <c r="B2598" t="s">
        <v>1145</v>
      </c>
      <c r="C2598" t="s">
        <v>1059</v>
      </c>
      <c r="D2598" s="8">
        <v>3.2427512745121803E-2</v>
      </c>
      <c r="E2598" s="6">
        <f t="shared" si="80"/>
        <v>-0.10000000000000009</v>
      </c>
      <c r="F2598" s="8">
        <f t="shared" si="81"/>
        <v>-3.2427512745121833E-3</v>
      </c>
    </row>
    <row r="2599" spans="1:6" x14ac:dyDescent="0.2">
      <c r="A2599">
        <v>23</v>
      </c>
      <c r="B2599" t="s">
        <v>1145</v>
      </c>
      <c r="C2599" t="s">
        <v>1148</v>
      </c>
      <c r="D2599" s="8">
        <v>4.681968285195401E-7</v>
      </c>
      <c r="E2599" s="6">
        <f t="shared" si="80"/>
        <v>0</v>
      </c>
      <c r="F2599" s="8">
        <f t="shared" si="81"/>
        <v>0</v>
      </c>
    </row>
    <row r="2600" spans="1:6" x14ac:dyDescent="0.2">
      <c r="A2600">
        <v>23</v>
      </c>
      <c r="B2600" t="s">
        <v>1145</v>
      </c>
      <c r="C2600" t="s">
        <v>1061</v>
      </c>
      <c r="D2600" s="8">
        <v>3.494184279947436E-9</v>
      </c>
      <c r="E2600" s="6">
        <f t="shared" si="80"/>
        <v>0.25499999999999989</v>
      </c>
      <c r="F2600" s="8">
        <f t="shared" si="81"/>
        <v>8.9101699138659585E-10</v>
      </c>
    </row>
    <row r="2601" spans="1:6" x14ac:dyDescent="0.2">
      <c r="A2601">
        <v>23</v>
      </c>
      <c r="B2601" t="s">
        <v>1145</v>
      </c>
      <c r="C2601" t="s">
        <v>1062</v>
      </c>
      <c r="D2601" s="8">
        <v>1.6763179611908E-3</v>
      </c>
      <c r="E2601" s="6">
        <f t="shared" si="80"/>
        <v>0.89999999999999947</v>
      </c>
      <c r="F2601" s="8">
        <f t="shared" si="81"/>
        <v>1.5086861650717191E-3</v>
      </c>
    </row>
    <row r="2602" spans="1:6" x14ac:dyDescent="0.2">
      <c r="A2602">
        <v>23</v>
      </c>
      <c r="B2602" t="s">
        <v>1145</v>
      </c>
      <c r="C2602" t="s">
        <v>1063</v>
      </c>
      <c r="D2602" s="8">
        <v>2.9015389729380579E-5</v>
      </c>
      <c r="E2602" s="6">
        <f t="shared" si="80"/>
        <v>-4.1000000000000369E-2</v>
      </c>
      <c r="F2602" s="8">
        <f t="shared" si="81"/>
        <v>-1.1896309789046144E-6</v>
      </c>
    </row>
    <row r="2603" spans="1:6" x14ac:dyDescent="0.2">
      <c r="A2603">
        <v>23</v>
      </c>
      <c r="B2603" t="s">
        <v>1145</v>
      </c>
      <c r="C2603" t="s">
        <v>1064</v>
      </c>
      <c r="D2603" s="8">
        <v>8.8205390521537698E-6</v>
      </c>
      <c r="E2603" s="6">
        <f t="shared" si="80"/>
        <v>-0.29400000000000004</v>
      </c>
      <c r="F2603" s="8">
        <f t="shared" si="81"/>
        <v>-2.5932384813332085E-6</v>
      </c>
    </row>
    <row r="2604" spans="1:6" x14ac:dyDescent="0.2">
      <c r="A2604">
        <v>23</v>
      </c>
      <c r="B2604" t="s">
        <v>1145</v>
      </c>
      <c r="C2604" t="s">
        <v>1065</v>
      </c>
      <c r="D2604" s="8">
        <v>2.3019071512712999E-3</v>
      </c>
      <c r="E2604" s="6">
        <f t="shared" si="80"/>
        <v>0.68300000000000005</v>
      </c>
      <c r="F2604" s="8">
        <f t="shared" si="81"/>
        <v>1.5722025843182979E-3</v>
      </c>
    </row>
    <row r="2605" spans="1:6" x14ac:dyDescent="0.2">
      <c r="A2605">
        <v>23</v>
      </c>
      <c r="B2605" t="s">
        <v>1145</v>
      </c>
      <c r="C2605" t="s">
        <v>1066</v>
      </c>
      <c r="D2605" s="8">
        <v>2.8038984238581998E-3</v>
      </c>
      <c r="E2605" s="6">
        <f t="shared" si="80"/>
        <v>0.20900000000000007</v>
      </c>
      <c r="F2605" s="8">
        <f t="shared" si="81"/>
        <v>5.8601477058636397E-4</v>
      </c>
    </row>
    <row r="2606" spans="1:6" x14ac:dyDescent="0.2">
      <c r="A2606">
        <v>23</v>
      </c>
      <c r="B2606" t="s">
        <v>1145</v>
      </c>
      <c r="C2606" t="s">
        <v>1067</v>
      </c>
      <c r="D2606" s="8">
        <v>8.3309953944744888E-6</v>
      </c>
      <c r="E2606" s="6">
        <f t="shared" si="80"/>
        <v>0.17700000000000005</v>
      </c>
      <c r="F2606" s="8">
        <f t="shared" si="81"/>
        <v>1.4745861848219848E-6</v>
      </c>
    </row>
    <row r="2607" spans="1:6" x14ac:dyDescent="0.2">
      <c r="A2607">
        <v>23</v>
      </c>
      <c r="B2607" t="s">
        <v>1145</v>
      </c>
      <c r="C2607" t="s">
        <v>1106</v>
      </c>
      <c r="D2607" s="8">
        <v>2.258572794712E-4</v>
      </c>
      <c r="E2607" s="6">
        <f t="shared" si="80"/>
        <v>0</v>
      </c>
      <c r="F2607" s="8">
        <f t="shared" si="81"/>
        <v>0</v>
      </c>
    </row>
    <row r="2608" spans="1:6" x14ac:dyDescent="0.2">
      <c r="A2608">
        <v>23</v>
      </c>
      <c r="B2608" t="s">
        <v>1145</v>
      </c>
      <c r="C2608" t="s">
        <v>1069</v>
      </c>
      <c r="D2608" s="8">
        <v>7.8256474068381377E-6</v>
      </c>
      <c r="E2608" s="6">
        <f t="shared" si="80"/>
        <v>-0.13199999999999967</v>
      </c>
      <c r="F2608" s="8">
        <f t="shared" si="81"/>
        <v>-1.0329854577026316E-6</v>
      </c>
    </row>
    <row r="2609" spans="1:6" x14ac:dyDescent="0.2">
      <c r="A2609">
        <v>23</v>
      </c>
      <c r="B2609" t="s">
        <v>1145</v>
      </c>
      <c r="C2609" t="s">
        <v>1070</v>
      </c>
      <c r="D2609" s="8">
        <v>1.1141934109667791E-5</v>
      </c>
      <c r="E2609" s="6">
        <f t="shared" si="80"/>
        <v>-2.5</v>
      </c>
      <c r="F2609" s="8">
        <f t="shared" si="81"/>
        <v>-2.7854835274169476E-5</v>
      </c>
    </row>
    <row r="2610" spans="1:6" x14ac:dyDescent="0.2">
      <c r="A2610">
        <v>23</v>
      </c>
      <c r="B2610" t="s">
        <v>1145</v>
      </c>
      <c r="C2610" t="s">
        <v>1071</v>
      </c>
      <c r="D2610" s="8">
        <v>2.7093503823480002E-4</v>
      </c>
      <c r="E2610" s="6">
        <f t="shared" si="80"/>
        <v>-0.8</v>
      </c>
      <c r="F2610" s="8">
        <f t="shared" si="81"/>
        <v>-2.1674803058784002E-4</v>
      </c>
    </row>
    <row r="2611" spans="1:6" x14ac:dyDescent="0.2">
      <c r="A2611">
        <v>23</v>
      </c>
      <c r="B2611" t="s">
        <v>1145</v>
      </c>
      <c r="C2611" t="s">
        <v>1072</v>
      </c>
      <c r="D2611" s="8">
        <v>0.21807642321540599</v>
      </c>
      <c r="E2611" s="6">
        <f t="shared" si="80"/>
        <v>0.55599999999999983</v>
      </c>
      <c r="F2611" s="8">
        <f t="shared" si="81"/>
        <v>0.12125049130776569</v>
      </c>
    </row>
    <row r="2612" spans="1:6" x14ac:dyDescent="0.2">
      <c r="A2612">
        <v>23</v>
      </c>
      <c r="B2612" t="s">
        <v>1145</v>
      </c>
      <c r="C2612" t="s">
        <v>1073</v>
      </c>
      <c r="D2612" s="8">
        <v>1.056416413244E-4</v>
      </c>
      <c r="E2612" s="6">
        <f t="shared" si="80"/>
        <v>0.69200000000000017</v>
      </c>
      <c r="F2612" s="8">
        <f t="shared" si="81"/>
        <v>7.3104015796484817E-5</v>
      </c>
    </row>
    <row r="2613" spans="1:6" x14ac:dyDescent="0.2">
      <c r="A2613">
        <v>23</v>
      </c>
      <c r="B2613" t="s">
        <v>1145</v>
      </c>
      <c r="C2613" t="s">
        <v>1124</v>
      </c>
      <c r="D2613" s="8">
        <v>1.2293381974427759E-7</v>
      </c>
      <c r="E2613" s="6">
        <f t="shared" si="80"/>
        <v>0</v>
      </c>
      <c r="F2613" s="8">
        <f t="shared" si="81"/>
        <v>0</v>
      </c>
    </row>
    <row r="2614" spans="1:6" x14ac:dyDescent="0.2">
      <c r="A2614">
        <v>23</v>
      </c>
      <c r="B2614" t="s">
        <v>1145</v>
      </c>
      <c r="C2614" t="s">
        <v>1074</v>
      </c>
      <c r="D2614" s="8">
        <v>3.8416207493426093E-5</v>
      </c>
      <c r="E2614" s="6">
        <f t="shared" si="80"/>
        <v>9.5</v>
      </c>
      <c r="F2614" s="8">
        <f t="shared" si="81"/>
        <v>3.6495397118754786E-4</v>
      </c>
    </row>
    <row r="2615" spans="1:6" x14ac:dyDescent="0.2">
      <c r="A2615">
        <v>23</v>
      </c>
      <c r="B2615" t="s">
        <v>1145</v>
      </c>
      <c r="C2615" t="s">
        <v>1107</v>
      </c>
      <c r="D2615" s="8">
        <v>1.1074448332041471E-6</v>
      </c>
      <c r="E2615" s="6">
        <f t="shared" si="80"/>
        <v>0</v>
      </c>
      <c r="F2615" s="8">
        <f t="shared" si="81"/>
        <v>0</v>
      </c>
    </row>
    <row r="2616" spans="1:6" x14ac:dyDescent="0.2">
      <c r="A2616">
        <v>23</v>
      </c>
      <c r="B2616" t="s">
        <v>1145</v>
      </c>
      <c r="C2616" t="s">
        <v>1075</v>
      </c>
      <c r="D2616" s="8">
        <v>2.4532547522004601E-2</v>
      </c>
      <c r="E2616" s="6">
        <f t="shared" si="80"/>
        <v>3.0529999999999999</v>
      </c>
      <c r="F2616" s="8">
        <f t="shared" si="81"/>
        <v>7.4897867584680047E-2</v>
      </c>
    </row>
    <row r="2617" spans="1:6" x14ac:dyDescent="0.2">
      <c r="A2617">
        <v>23</v>
      </c>
      <c r="B2617" t="s">
        <v>1145</v>
      </c>
      <c r="C2617" t="s">
        <v>1076</v>
      </c>
      <c r="D2617" s="8">
        <v>1.4756496676015731E-5</v>
      </c>
      <c r="E2617" s="6">
        <f t="shared" si="80"/>
        <v>1.4060000000000001</v>
      </c>
      <c r="F2617" s="8">
        <f t="shared" si="81"/>
        <v>2.074763432647812E-5</v>
      </c>
    </row>
    <row r="2618" spans="1:6" x14ac:dyDescent="0.2">
      <c r="A2618">
        <v>23</v>
      </c>
      <c r="B2618" t="s">
        <v>1145</v>
      </c>
      <c r="C2618" t="s">
        <v>1133</v>
      </c>
      <c r="D2618" s="8">
        <v>3.0336655765048218E-7</v>
      </c>
      <c r="E2618" s="6">
        <f t="shared" si="80"/>
        <v>0</v>
      </c>
      <c r="F2618" s="8">
        <f t="shared" si="81"/>
        <v>0</v>
      </c>
    </row>
    <row r="2619" spans="1:6" x14ac:dyDescent="0.2">
      <c r="A2619">
        <v>23</v>
      </c>
      <c r="B2619" t="s">
        <v>1145</v>
      </c>
      <c r="C2619" t="s">
        <v>1077</v>
      </c>
      <c r="D2619" s="8">
        <v>6.4788090412008609E-6</v>
      </c>
      <c r="E2619" s="6">
        <f t="shared" si="80"/>
        <v>0.63200000000000012</v>
      </c>
      <c r="F2619" s="8">
        <f t="shared" si="81"/>
        <v>4.0946073140389447E-6</v>
      </c>
    </row>
    <row r="2620" spans="1:6" x14ac:dyDescent="0.2">
      <c r="A2620">
        <v>23</v>
      </c>
      <c r="B2620" t="s">
        <v>1145</v>
      </c>
      <c r="C2620" t="s">
        <v>1078</v>
      </c>
      <c r="D2620" s="8">
        <v>4.1226708233600001E-4</v>
      </c>
      <c r="E2620" s="6">
        <f t="shared" si="80"/>
        <v>0.5</v>
      </c>
      <c r="F2620" s="8">
        <f t="shared" si="81"/>
        <v>2.0613354116800001E-4</v>
      </c>
    </row>
    <row r="2621" spans="1:6" x14ac:dyDescent="0.2">
      <c r="A2621">
        <v>23</v>
      </c>
      <c r="B2621" t="s">
        <v>1145</v>
      </c>
      <c r="C2621" t="s">
        <v>1079</v>
      </c>
      <c r="D2621" s="8">
        <v>1.4723424086183E-3</v>
      </c>
      <c r="E2621" s="6">
        <f t="shared" si="80"/>
        <v>-0.28899999999999992</v>
      </c>
      <c r="F2621" s="8">
        <f t="shared" si="81"/>
        <v>-4.2550695609068858E-4</v>
      </c>
    </row>
    <row r="2622" spans="1:6" x14ac:dyDescent="0.2">
      <c r="A2622">
        <v>23</v>
      </c>
      <c r="B2622" t="s">
        <v>1145</v>
      </c>
      <c r="C2622" t="s">
        <v>1080</v>
      </c>
      <c r="D2622" s="8">
        <v>8.373195536371586E-5</v>
      </c>
      <c r="E2622" s="6">
        <f t="shared" ref="E2622:E2685" si="82">IFERROR(VLOOKUP(C2622,$A$6:$D$185,4,FALSE),0)</f>
        <v>-2.5170000000000003</v>
      </c>
      <c r="F2622" s="8">
        <f t="shared" ref="F2622:F2685" si="83">D2622*E2622</f>
        <v>-2.1075333165047284E-4</v>
      </c>
    </row>
    <row r="2623" spans="1:6" x14ac:dyDescent="0.2">
      <c r="A2623">
        <v>24</v>
      </c>
      <c r="B2623" t="s">
        <v>1149</v>
      </c>
      <c r="C2623" t="s">
        <v>902</v>
      </c>
      <c r="D2623" s="8">
        <v>6.231325245979061E-7</v>
      </c>
      <c r="E2623" s="6">
        <f t="shared" si="82"/>
        <v>-0.28000000000000025</v>
      </c>
      <c r="F2623" s="8">
        <f t="shared" si="83"/>
        <v>-1.7447710688741386E-7</v>
      </c>
    </row>
    <row r="2624" spans="1:6" x14ac:dyDescent="0.2">
      <c r="A2624">
        <v>24</v>
      </c>
      <c r="B2624" t="s">
        <v>1149</v>
      </c>
      <c r="C2624" t="s">
        <v>903</v>
      </c>
      <c r="D2624" s="8">
        <v>9.2503666407680002E-4</v>
      </c>
      <c r="E2624" s="6">
        <f t="shared" si="82"/>
        <v>0.22399999999999975</v>
      </c>
      <c r="F2624" s="8">
        <f t="shared" si="83"/>
        <v>2.0720821275320298E-4</v>
      </c>
    </row>
    <row r="2625" spans="1:6" x14ac:dyDescent="0.2">
      <c r="A2625">
        <v>24</v>
      </c>
      <c r="B2625" t="s">
        <v>1149</v>
      </c>
      <c r="C2625" t="s">
        <v>904</v>
      </c>
      <c r="D2625" s="8">
        <v>1.416950110029204E-5</v>
      </c>
      <c r="E2625" s="6">
        <f t="shared" si="82"/>
        <v>-6.800000000000006E-2</v>
      </c>
      <c r="F2625" s="8">
        <f t="shared" si="83"/>
        <v>-9.635260748198596E-7</v>
      </c>
    </row>
    <row r="2626" spans="1:6" x14ac:dyDescent="0.2">
      <c r="A2626">
        <v>24</v>
      </c>
      <c r="B2626" t="s">
        <v>1149</v>
      </c>
      <c r="C2626" t="s">
        <v>906</v>
      </c>
      <c r="D2626" s="8">
        <v>1.5101335735378699E-2</v>
      </c>
      <c r="E2626" s="6">
        <f t="shared" si="82"/>
        <v>-1.8859999999999997</v>
      </c>
      <c r="F2626" s="8">
        <f t="shared" si="83"/>
        <v>-2.8481119196924223E-2</v>
      </c>
    </row>
    <row r="2627" spans="1:6" x14ac:dyDescent="0.2">
      <c r="A2627">
        <v>24</v>
      </c>
      <c r="B2627" t="s">
        <v>1149</v>
      </c>
      <c r="C2627" t="s">
        <v>907</v>
      </c>
      <c r="D2627" s="8">
        <v>3.8767623549259E-3</v>
      </c>
      <c r="E2627" s="6">
        <f t="shared" si="82"/>
        <v>-1.0199999999999996</v>
      </c>
      <c r="F2627" s="8">
        <f t="shared" si="83"/>
        <v>-3.9542976020244163E-3</v>
      </c>
    </row>
    <row r="2628" spans="1:6" x14ac:dyDescent="0.2">
      <c r="A2628">
        <v>24</v>
      </c>
      <c r="B2628" t="s">
        <v>1149</v>
      </c>
      <c r="C2628" t="s">
        <v>908</v>
      </c>
      <c r="D2628" s="8">
        <v>7.164691262134353E-6</v>
      </c>
      <c r="E2628" s="6">
        <f t="shared" si="82"/>
        <v>0.79999999999999982</v>
      </c>
      <c r="F2628" s="8">
        <f t="shared" si="83"/>
        <v>5.7317530097074809E-6</v>
      </c>
    </row>
    <row r="2629" spans="1:6" x14ac:dyDescent="0.2">
      <c r="A2629">
        <v>24</v>
      </c>
      <c r="B2629" t="s">
        <v>1149</v>
      </c>
      <c r="C2629" t="s">
        <v>910</v>
      </c>
      <c r="D2629" s="8">
        <v>5.95311864529455E-2</v>
      </c>
      <c r="E2629" s="6">
        <f t="shared" si="82"/>
        <v>-7.7999999999999847E-2</v>
      </c>
      <c r="F2629" s="8">
        <f t="shared" si="83"/>
        <v>-4.64343254332974E-3</v>
      </c>
    </row>
    <row r="2630" spans="1:6" x14ac:dyDescent="0.2">
      <c r="A2630">
        <v>24</v>
      </c>
      <c r="B2630" t="s">
        <v>1149</v>
      </c>
      <c r="C2630" t="s">
        <v>911</v>
      </c>
      <c r="D2630" s="8">
        <v>3.4879398661979998E-4</v>
      </c>
      <c r="E2630" s="6">
        <f t="shared" si="82"/>
        <v>-7.5000000000000067E-2</v>
      </c>
      <c r="F2630" s="8">
        <f t="shared" si="83"/>
        <v>-2.6159548996485023E-5</v>
      </c>
    </row>
    <row r="2631" spans="1:6" x14ac:dyDescent="0.2">
      <c r="A2631">
        <v>24</v>
      </c>
      <c r="B2631" t="s">
        <v>1149</v>
      </c>
      <c r="C2631" t="s">
        <v>912</v>
      </c>
      <c r="D2631" s="8">
        <v>2.4450174923343911E-5</v>
      </c>
      <c r="E2631" s="6">
        <f t="shared" si="82"/>
        <v>-0.29800000000000004</v>
      </c>
      <c r="F2631" s="8">
        <f t="shared" si="83"/>
        <v>-7.2861521271564863E-6</v>
      </c>
    </row>
    <row r="2632" spans="1:6" x14ac:dyDescent="0.2">
      <c r="A2632">
        <v>24</v>
      </c>
      <c r="B2632" t="s">
        <v>1149</v>
      </c>
      <c r="C2632" t="s">
        <v>914</v>
      </c>
      <c r="D2632" s="8">
        <v>1.0327873947714899E-2</v>
      </c>
      <c r="E2632" s="6">
        <f t="shared" si="82"/>
        <v>-0.26900000000000002</v>
      </c>
      <c r="F2632" s="8">
        <f t="shared" si="83"/>
        <v>-2.7781980919353078E-3</v>
      </c>
    </row>
    <row r="2633" spans="1:6" x14ac:dyDescent="0.2">
      <c r="A2633">
        <v>24</v>
      </c>
      <c r="B2633" t="s">
        <v>1149</v>
      </c>
      <c r="C2633" t="s">
        <v>916</v>
      </c>
      <c r="D2633" s="8">
        <v>8.6049983780679999E-4</v>
      </c>
      <c r="E2633" s="6">
        <f t="shared" si="82"/>
        <v>0.37200000000000077</v>
      </c>
      <c r="F2633" s="8">
        <f t="shared" si="83"/>
        <v>3.2010593966413025E-4</v>
      </c>
    </row>
    <row r="2634" spans="1:6" x14ac:dyDescent="0.2">
      <c r="A2634">
        <v>24</v>
      </c>
      <c r="B2634" t="s">
        <v>1149</v>
      </c>
      <c r="C2634" t="s">
        <v>917</v>
      </c>
      <c r="D2634" s="8">
        <v>1.7333308527205001E-3</v>
      </c>
      <c r="E2634" s="6">
        <f t="shared" si="82"/>
        <v>-1.83</v>
      </c>
      <c r="F2634" s="8">
        <f t="shared" si="83"/>
        <v>-3.1719954604785151E-3</v>
      </c>
    </row>
    <row r="2635" spans="1:6" x14ac:dyDescent="0.2">
      <c r="A2635">
        <v>24</v>
      </c>
      <c r="B2635" t="s">
        <v>1149</v>
      </c>
      <c r="C2635" t="s">
        <v>918</v>
      </c>
      <c r="D2635" s="8">
        <v>4.5045209584228973E-5</v>
      </c>
      <c r="E2635" s="6">
        <f t="shared" si="82"/>
        <v>0.1469999999999998</v>
      </c>
      <c r="F2635" s="8">
        <f t="shared" si="83"/>
        <v>6.6216458088816499E-6</v>
      </c>
    </row>
    <row r="2636" spans="1:6" x14ac:dyDescent="0.2">
      <c r="A2636">
        <v>24</v>
      </c>
      <c r="B2636" t="s">
        <v>1149</v>
      </c>
      <c r="C2636" t="s">
        <v>919</v>
      </c>
      <c r="D2636" s="8">
        <v>1.3231772152090001E-4</v>
      </c>
      <c r="E2636" s="6">
        <f t="shared" si="82"/>
        <v>-3.4940000000000002</v>
      </c>
      <c r="F2636" s="8">
        <f t="shared" si="83"/>
        <v>-4.6231811899402468E-4</v>
      </c>
    </row>
    <row r="2637" spans="1:6" x14ac:dyDescent="0.2">
      <c r="A2637">
        <v>24</v>
      </c>
      <c r="B2637" t="s">
        <v>1149</v>
      </c>
      <c r="C2637" t="s">
        <v>920</v>
      </c>
      <c r="D2637" s="8">
        <v>3.0946178460078012E-7</v>
      </c>
      <c r="E2637" s="6">
        <f t="shared" si="82"/>
        <v>0.40000000000000013</v>
      </c>
      <c r="F2637" s="8">
        <f t="shared" si="83"/>
        <v>1.237847138403121E-7</v>
      </c>
    </row>
    <row r="2638" spans="1:6" x14ac:dyDescent="0.2">
      <c r="A2638">
        <v>24</v>
      </c>
      <c r="B2638" t="s">
        <v>1149</v>
      </c>
      <c r="C2638" t="s">
        <v>921</v>
      </c>
      <c r="D2638" s="8">
        <v>1.9484027018248731E-5</v>
      </c>
      <c r="E2638" s="6">
        <f t="shared" si="82"/>
        <v>-0.79999999999999982</v>
      </c>
      <c r="F2638" s="8">
        <f t="shared" si="83"/>
        <v>-1.5587221614598981E-5</v>
      </c>
    </row>
    <row r="2639" spans="1:6" x14ac:dyDescent="0.2">
      <c r="A2639">
        <v>24</v>
      </c>
      <c r="B2639" t="s">
        <v>1149</v>
      </c>
      <c r="C2639" t="s">
        <v>1129</v>
      </c>
      <c r="D2639" s="8">
        <v>1.500983057388038E-6</v>
      </c>
      <c r="E2639" s="6">
        <f t="shared" si="82"/>
        <v>0</v>
      </c>
      <c r="F2639" s="8">
        <f t="shared" si="83"/>
        <v>0</v>
      </c>
    </row>
    <row r="2640" spans="1:6" x14ac:dyDescent="0.2">
      <c r="A2640">
        <v>24</v>
      </c>
      <c r="B2640" t="s">
        <v>1149</v>
      </c>
      <c r="C2640" t="s">
        <v>1115</v>
      </c>
      <c r="D2640" s="8">
        <v>1.9837968251449341E-5</v>
      </c>
      <c r="E2640" s="6">
        <f t="shared" si="82"/>
        <v>0</v>
      </c>
      <c r="F2640" s="8">
        <f t="shared" si="83"/>
        <v>0</v>
      </c>
    </row>
    <row r="2641" spans="1:6" x14ac:dyDescent="0.2">
      <c r="A2641">
        <v>24</v>
      </c>
      <c r="B2641" t="s">
        <v>1149</v>
      </c>
      <c r="C2641" t="s">
        <v>924</v>
      </c>
      <c r="D2641" s="8">
        <v>1.51652863775257E-2</v>
      </c>
      <c r="E2641" s="6">
        <f t="shared" si="82"/>
        <v>-8.4000000000000075E-2</v>
      </c>
      <c r="F2641" s="8">
        <f t="shared" si="83"/>
        <v>-1.27388405571216E-3</v>
      </c>
    </row>
    <row r="2642" spans="1:6" x14ac:dyDescent="0.2">
      <c r="A2642">
        <v>24</v>
      </c>
      <c r="B2642" t="s">
        <v>1149</v>
      </c>
      <c r="C2642" t="s">
        <v>925</v>
      </c>
      <c r="D2642" s="8">
        <v>9.3794415074053504E-6</v>
      </c>
      <c r="E2642" s="6">
        <f t="shared" si="82"/>
        <v>0.20000000000000018</v>
      </c>
      <c r="F2642" s="8">
        <f t="shared" si="83"/>
        <v>1.8758883014810716E-6</v>
      </c>
    </row>
    <row r="2643" spans="1:6" x14ac:dyDescent="0.2">
      <c r="A2643">
        <v>24</v>
      </c>
      <c r="B2643" t="s">
        <v>1149</v>
      </c>
      <c r="C2643" t="s">
        <v>926</v>
      </c>
      <c r="D2643" s="8">
        <v>6.0353956236260001E-4</v>
      </c>
      <c r="E2643" s="6">
        <f t="shared" si="82"/>
        <v>-4.8000000000000043E-2</v>
      </c>
      <c r="F2643" s="8">
        <f t="shared" si="83"/>
        <v>-2.8969898993404824E-5</v>
      </c>
    </row>
    <row r="2644" spans="1:6" x14ac:dyDescent="0.2">
      <c r="A2644">
        <v>24</v>
      </c>
      <c r="B2644" t="s">
        <v>1149</v>
      </c>
      <c r="C2644" t="s">
        <v>928</v>
      </c>
      <c r="D2644" s="8">
        <v>1.266622584918211E-5</v>
      </c>
      <c r="E2644" s="6">
        <f t="shared" si="82"/>
        <v>2.423</v>
      </c>
      <c r="F2644" s="8">
        <f t="shared" si="83"/>
        <v>3.0690265232568255E-5</v>
      </c>
    </row>
    <row r="2645" spans="1:6" x14ac:dyDescent="0.2">
      <c r="A2645">
        <v>24</v>
      </c>
      <c r="B2645" t="s">
        <v>1149</v>
      </c>
      <c r="C2645" t="s">
        <v>929</v>
      </c>
      <c r="D2645" s="8">
        <v>3.3631390393995572E-6</v>
      </c>
      <c r="E2645" s="6">
        <f t="shared" si="82"/>
        <v>-0.54599999999999982</v>
      </c>
      <c r="F2645" s="8">
        <f t="shared" si="83"/>
        <v>-1.8362739155121577E-6</v>
      </c>
    </row>
    <row r="2646" spans="1:6" x14ac:dyDescent="0.2">
      <c r="A2646">
        <v>24</v>
      </c>
      <c r="B2646" t="s">
        <v>1149</v>
      </c>
      <c r="C2646" t="s">
        <v>930</v>
      </c>
      <c r="D2646" s="8">
        <v>4.2734070404452E-3</v>
      </c>
      <c r="E2646" s="6">
        <f t="shared" si="82"/>
        <v>-5.8000000000000052E-2</v>
      </c>
      <c r="F2646" s="8">
        <f t="shared" si="83"/>
        <v>-2.4785760834582183E-4</v>
      </c>
    </row>
    <row r="2647" spans="1:6" x14ac:dyDescent="0.2">
      <c r="A2647">
        <v>24</v>
      </c>
      <c r="B2647" t="s">
        <v>1149</v>
      </c>
      <c r="C2647" t="s">
        <v>931</v>
      </c>
      <c r="D2647" s="8">
        <v>4.6429178939839998E-4</v>
      </c>
      <c r="E2647" s="6">
        <f t="shared" si="82"/>
        <v>-0.31099999999999994</v>
      </c>
      <c r="F2647" s="8">
        <f t="shared" si="83"/>
        <v>-1.4439474650290235E-4</v>
      </c>
    </row>
    <row r="2648" spans="1:6" x14ac:dyDescent="0.2">
      <c r="A2648">
        <v>24</v>
      </c>
      <c r="B2648" t="s">
        <v>1149</v>
      </c>
      <c r="C2648" t="s">
        <v>932</v>
      </c>
      <c r="D2648" s="8">
        <v>3.0607474580735001E-3</v>
      </c>
      <c r="E2648" s="6">
        <f t="shared" si="82"/>
        <v>0.21799999999999997</v>
      </c>
      <c r="F2648" s="8">
        <f t="shared" si="83"/>
        <v>6.6724294586002297E-4</v>
      </c>
    </row>
    <row r="2649" spans="1:6" x14ac:dyDescent="0.2">
      <c r="A2649">
        <v>24</v>
      </c>
      <c r="B2649" t="s">
        <v>1149</v>
      </c>
      <c r="C2649" t="s">
        <v>933</v>
      </c>
      <c r="D2649" s="8">
        <v>3.2372221796394797E-2</v>
      </c>
      <c r="E2649" s="6">
        <f t="shared" si="82"/>
        <v>0.4430000000000005</v>
      </c>
      <c r="F2649" s="8">
        <f t="shared" si="83"/>
        <v>1.4340894255802912E-2</v>
      </c>
    </row>
    <row r="2650" spans="1:6" x14ac:dyDescent="0.2">
      <c r="A2650">
        <v>24</v>
      </c>
      <c r="B2650" t="s">
        <v>1149</v>
      </c>
      <c r="C2650" t="s">
        <v>934</v>
      </c>
      <c r="D2650" s="8">
        <v>9.1181077299869997E-4</v>
      </c>
      <c r="E2650" s="6">
        <f t="shared" si="82"/>
        <v>-0.20000000000000018</v>
      </c>
      <c r="F2650" s="8">
        <f t="shared" si="83"/>
        <v>-1.8236215459974017E-4</v>
      </c>
    </row>
    <row r="2651" spans="1:6" x14ac:dyDescent="0.2">
      <c r="A2651">
        <v>24</v>
      </c>
      <c r="B2651" t="s">
        <v>1149</v>
      </c>
      <c r="C2651" t="s">
        <v>935</v>
      </c>
      <c r="D2651" s="8">
        <v>3.3441537976953337E-5</v>
      </c>
      <c r="E2651" s="6">
        <f t="shared" si="82"/>
        <v>-0.71799999999999997</v>
      </c>
      <c r="F2651" s="8">
        <f t="shared" si="83"/>
        <v>-2.4011024267452496E-5</v>
      </c>
    </row>
    <row r="2652" spans="1:6" x14ac:dyDescent="0.2">
      <c r="A2652">
        <v>24</v>
      </c>
      <c r="B2652" t="s">
        <v>1149</v>
      </c>
      <c r="C2652" t="s">
        <v>936</v>
      </c>
      <c r="D2652" s="8">
        <v>2.7742213750569971E-5</v>
      </c>
      <c r="E2652" s="6">
        <f t="shared" si="82"/>
        <v>0.72900000000000009</v>
      </c>
      <c r="F2652" s="8">
        <f t="shared" si="83"/>
        <v>2.0224073824165512E-5</v>
      </c>
    </row>
    <row r="2653" spans="1:6" x14ac:dyDescent="0.2">
      <c r="A2653">
        <v>24</v>
      </c>
      <c r="B2653" t="s">
        <v>1149</v>
      </c>
      <c r="C2653" t="s">
        <v>937</v>
      </c>
      <c r="D2653" s="8">
        <v>2.2832523947262981E-5</v>
      </c>
      <c r="E2653" s="6">
        <f t="shared" si="82"/>
        <v>-0.3660000000000001</v>
      </c>
      <c r="F2653" s="8">
        <f t="shared" si="83"/>
        <v>-8.3567037646982538E-6</v>
      </c>
    </row>
    <row r="2654" spans="1:6" x14ac:dyDescent="0.2">
      <c r="A2654">
        <v>24</v>
      </c>
      <c r="B2654" t="s">
        <v>1149</v>
      </c>
      <c r="C2654" t="s">
        <v>1102</v>
      </c>
      <c r="D2654" s="8">
        <v>1.823750403863866E-8</v>
      </c>
      <c r="E2654" s="6">
        <f t="shared" si="82"/>
        <v>0</v>
      </c>
      <c r="F2654" s="8">
        <f t="shared" si="83"/>
        <v>0</v>
      </c>
    </row>
    <row r="2655" spans="1:6" x14ac:dyDescent="0.2">
      <c r="A2655">
        <v>24</v>
      </c>
      <c r="B2655" t="s">
        <v>1149</v>
      </c>
      <c r="C2655" t="s">
        <v>938</v>
      </c>
      <c r="D2655" s="8">
        <v>1.4820794556101001E-3</v>
      </c>
      <c r="E2655" s="6">
        <f t="shared" si="82"/>
        <v>-0.32500000000000018</v>
      </c>
      <c r="F2655" s="8">
        <f t="shared" si="83"/>
        <v>-4.816758230732828E-4</v>
      </c>
    </row>
    <row r="2656" spans="1:6" x14ac:dyDescent="0.2">
      <c r="A2656">
        <v>24</v>
      </c>
      <c r="B2656" t="s">
        <v>1149</v>
      </c>
      <c r="C2656" t="s">
        <v>941</v>
      </c>
      <c r="D2656" s="8">
        <v>2.7222711100919998E-4</v>
      </c>
      <c r="E2656" s="6">
        <f t="shared" si="82"/>
        <v>0.16599999999999993</v>
      </c>
      <c r="F2656" s="8">
        <f t="shared" si="83"/>
        <v>4.5189700427527173E-5</v>
      </c>
    </row>
    <row r="2657" spans="1:6" x14ac:dyDescent="0.2">
      <c r="A2657">
        <v>24</v>
      </c>
      <c r="B2657" t="s">
        <v>1149</v>
      </c>
      <c r="C2657" t="s">
        <v>1111</v>
      </c>
      <c r="D2657" s="8">
        <v>5.0725272661525597E-7</v>
      </c>
      <c r="E2657" s="6">
        <f t="shared" si="82"/>
        <v>0</v>
      </c>
      <c r="F2657" s="8">
        <f t="shared" si="83"/>
        <v>0</v>
      </c>
    </row>
    <row r="2658" spans="1:6" x14ac:dyDescent="0.2">
      <c r="A2658">
        <v>24</v>
      </c>
      <c r="B2658" t="s">
        <v>1149</v>
      </c>
      <c r="C2658" t="s">
        <v>943</v>
      </c>
      <c r="D2658" s="8">
        <v>2.1458820860443999E-3</v>
      </c>
      <c r="E2658" s="6">
        <f t="shared" si="82"/>
        <v>0.40800000000000014</v>
      </c>
      <c r="F2658" s="8">
        <f t="shared" si="83"/>
        <v>8.755198911061155E-4</v>
      </c>
    </row>
    <row r="2659" spans="1:6" x14ac:dyDescent="0.2">
      <c r="A2659">
        <v>24</v>
      </c>
      <c r="B2659" t="s">
        <v>1149</v>
      </c>
      <c r="C2659" t="s">
        <v>944</v>
      </c>
      <c r="D2659" s="8">
        <v>1.44346698962737E-2</v>
      </c>
      <c r="E2659" s="6">
        <f t="shared" si="82"/>
        <v>-0.122</v>
      </c>
      <c r="F2659" s="8">
        <f t="shared" si="83"/>
        <v>-1.7610297273453913E-3</v>
      </c>
    </row>
    <row r="2660" spans="1:6" x14ac:dyDescent="0.2">
      <c r="A2660">
        <v>24</v>
      </c>
      <c r="B2660" t="s">
        <v>1149</v>
      </c>
      <c r="C2660" t="s">
        <v>945</v>
      </c>
      <c r="D2660" s="8">
        <v>2.8874429544354001E-3</v>
      </c>
      <c r="E2660" s="6">
        <f t="shared" si="82"/>
        <v>0.49000000000000021</v>
      </c>
      <c r="F2660" s="8">
        <f t="shared" si="83"/>
        <v>1.4148470476733467E-3</v>
      </c>
    </row>
    <row r="2661" spans="1:6" x14ac:dyDescent="0.2">
      <c r="A2661">
        <v>24</v>
      </c>
      <c r="B2661" t="s">
        <v>1149</v>
      </c>
      <c r="C2661" t="s">
        <v>947</v>
      </c>
      <c r="D2661" s="8">
        <v>3.2477425717480001E-4</v>
      </c>
      <c r="E2661" s="6">
        <f t="shared" si="82"/>
        <v>0.15500000000000003</v>
      </c>
      <c r="F2661" s="8">
        <f t="shared" si="83"/>
        <v>5.0340009862094013E-5</v>
      </c>
    </row>
    <row r="2662" spans="1:6" x14ac:dyDescent="0.2">
      <c r="A2662">
        <v>24</v>
      </c>
      <c r="B2662" t="s">
        <v>1149</v>
      </c>
      <c r="C2662" t="s">
        <v>948</v>
      </c>
      <c r="D2662" s="8">
        <v>5.0211589912049998E-4</v>
      </c>
      <c r="E2662" s="6">
        <f t="shared" si="82"/>
        <v>-1.0880000000000001</v>
      </c>
      <c r="F2662" s="8">
        <f t="shared" si="83"/>
        <v>-5.46302098243104E-4</v>
      </c>
    </row>
    <row r="2663" spans="1:6" x14ac:dyDescent="0.2">
      <c r="A2663">
        <v>24</v>
      </c>
      <c r="B2663" t="s">
        <v>1149</v>
      </c>
      <c r="C2663" t="s">
        <v>949</v>
      </c>
      <c r="D2663" s="8">
        <v>1.924291642867E-4</v>
      </c>
      <c r="E2663" s="6">
        <f t="shared" si="82"/>
        <v>0.79599999999999982</v>
      </c>
      <c r="F2663" s="8">
        <f t="shared" si="83"/>
        <v>1.5317361477221316E-4</v>
      </c>
    </row>
    <row r="2664" spans="1:6" x14ac:dyDescent="0.2">
      <c r="A2664">
        <v>24</v>
      </c>
      <c r="B2664" t="s">
        <v>1149</v>
      </c>
      <c r="C2664" t="s">
        <v>950</v>
      </c>
      <c r="D2664" s="8">
        <v>2.3276330588433E-3</v>
      </c>
      <c r="E2664" s="6">
        <f t="shared" si="82"/>
        <v>0.38300000000000001</v>
      </c>
      <c r="F2664" s="8">
        <f t="shared" si="83"/>
        <v>8.9148346153698386E-4</v>
      </c>
    </row>
    <row r="2665" spans="1:6" x14ac:dyDescent="0.2">
      <c r="A2665">
        <v>24</v>
      </c>
      <c r="B2665" t="s">
        <v>1149</v>
      </c>
      <c r="C2665" t="s">
        <v>951</v>
      </c>
      <c r="D2665" s="8">
        <v>1.0615491967676E-3</v>
      </c>
      <c r="E2665" s="6">
        <f t="shared" si="82"/>
        <v>-8.8000000000000078E-2</v>
      </c>
      <c r="F2665" s="8">
        <f t="shared" si="83"/>
        <v>-9.3416329315548885E-5</v>
      </c>
    </row>
    <row r="2666" spans="1:6" x14ac:dyDescent="0.2">
      <c r="A2666">
        <v>24</v>
      </c>
      <c r="B2666" t="s">
        <v>1149</v>
      </c>
      <c r="C2666" t="s">
        <v>952</v>
      </c>
      <c r="D2666" s="8">
        <v>2.4922606314532999E-3</v>
      </c>
      <c r="E2666" s="6">
        <f t="shared" si="82"/>
        <v>0.28300000000000014</v>
      </c>
      <c r="F2666" s="8">
        <f t="shared" si="83"/>
        <v>7.0530975870128419E-4</v>
      </c>
    </row>
    <row r="2667" spans="1:6" x14ac:dyDescent="0.2">
      <c r="A2667">
        <v>24</v>
      </c>
      <c r="B2667" t="s">
        <v>1149</v>
      </c>
      <c r="C2667" t="s">
        <v>953</v>
      </c>
      <c r="D2667" s="8">
        <v>4.4274901965253893E-5</v>
      </c>
      <c r="E2667" s="6">
        <f t="shared" si="82"/>
        <v>-0.42500000000000004</v>
      </c>
      <c r="F2667" s="8">
        <f t="shared" si="83"/>
        <v>-1.8816833335232906E-5</v>
      </c>
    </row>
    <row r="2668" spans="1:6" x14ac:dyDescent="0.2">
      <c r="A2668">
        <v>24</v>
      </c>
      <c r="B2668" t="s">
        <v>1149</v>
      </c>
      <c r="C2668" t="s">
        <v>954</v>
      </c>
      <c r="D2668" s="8">
        <v>6.6313613329370001E-4</v>
      </c>
      <c r="E2668" s="6">
        <f t="shared" si="82"/>
        <v>2.0929999999999991</v>
      </c>
      <c r="F2668" s="8">
        <f t="shared" si="83"/>
        <v>1.3879439269837135E-3</v>
      </c>
    </row>
    <row r="2669" spans="1:6" x14ac:dyDescent="0.2">
      <c r="A2669">
        <v>24</v>
      </c>
      <c r="B2669" t="s">
        <v>1149</v>
      </c>
      <c r="C2669" t="s">
        <v>955</v>
      </c>
      <c r="D2669" s="8">
        <v>4.7847671604019998E-4</v>
      </c>
      <c r="E2669" s="6">
        <f t="shared" si="82"/>
        <v>-0.40500000000000003</v>
      </c>
      <c r="F2669" s="8">
        <f t="shared" si="83"/>
        <v>-1.9378306999628101E-4</v>
      </c>
    </row>
    <row r="2670" spans="1:6" x14ac:dyDescent="0.2">
      <c r="A2670">
        <v>24</v>
      </c>
      <c r="B2670" t="s">
        <v>1149</v>
      </c>
      <c r="C2670" t="s">
        <v>956</v>
      </c>
      <c r="D2670" s="8">
        <v>7.0461365433807795E-5</v>
      </c>
      <c r="E2670" s="6">
        <f t="shared" si="82"/>
        <v>-0.44700000000000006</v>
      </c>
      <c r="F2670" s="8">
        <f t="shared" si="83"/>
        <v>-3.1496230348912089E-5</v>
      </c>
    </row>
    <row r="2671" spans="1:6" x14ac:dyDescent="0.2">
      <c r="A2671">
        <v>24</v>
      </c>
      <c r="B2671" t="s">
        <v>1149</v>
      </c>
      <c r="C2671" t="s">
        <v>957</v>
      </c>
      <c r="D2671" s="8">
        <v>5.3133869800976001E-3</v>
      </c>
      <c r="E2671" s="6">
        <f t="shared" si="82"/>
        <v>-0.11499999999999988</v>
      </c>
      <c r="F2671" s="8">
        <f t="shared" si="83"/>
        <v>-6.1103950271122341E-4</v>
      </c>
    </row>
    <row r="2672" spans="1:6" x14ac:dyDescent="0.2">
      <c r="A2672">
        <v>24</v>
      </c>
      <c r="B2672" t="s">
        <v>1149</v>
      </c>
      <c r="C2672" t="s">
        <v>958</v>
      </c>
      <c r="D2672" s="8">
        <v>1.2488548529299999E-4</v>
      </c>
      <c r="E2672" s="6">
        <f t="shared" si="82"/>
        <v>9.6999999999999975E-2</v>
      </c>
      <c r="F2672" s="8">
        <f t="shared" si="83"/>
        <v>1.2113892073420996E-5</v>
      </c>
    </row>
    <row r="2673" spans="1:6" x14ac:dyDescent="0.2">
      <c r="A2673">
        <v>24</v>
      </c>
      <c r="B2673" t="s">
        <v>1149</v>
      </c>
      <c r="C2673" t="s">
        <v>959</v>
      </c>
      <c r="D2673" s="8">
        <v>7.035677698262E-3</v>
      </c>
      <c r="E2673" s="6">
        <f t="shared" si="82"/>
        <v>-0.60699999999999998</v>
      </c>
      <c r="F2673" s="8">
        <f t="shared" si="83"/>
        <v>-4.2706563628450338E-3</v>
      </c>
    </row>
    <row r="2674" spans="1:6" x14ac:dyDescent="0.2">
      <c r="A2674">
        <v>24</v>
      </c>
      <c r="B2674" t="s">
        <v>1149</v>
      </c>
      <c r="C2674" t="s">
        <v>960</v>
      </c>
      <c r="D2674" s="8">
        <v>1.9385754274631999E-3</v>
      </c>
      <c r="E2674" s="6">
        <f t="shared" si="82"/>
        <v>0.29999999999999982</v>
      </c>
      <c r="F2674" s="8">
        <f t="shared" si="83"/>
        <v>5.8157262823895959E-4</v>
      </c>
    </row>
    <row r="2675" spans="1:6" x14ac:dyDescent="0.2">
      <c r="A2675">
        <v>24</v>
      </c>
      <c r="B2675" t="s">
        <v>1149</v>
      </c>
      <c r="C2675" t="s">
        <v>961</v>
      </c>
      <c r="D2675" s="8">
        <v>2.3626753353771998E-3</v>
      </c>
      <c r="E2675" s="6">
        <f t="shared" si="82"/>
        <v>6.9999999999996732E-3</v>
      </c>
      <c r="F2675" s="8">
        <f t="shared" si="83"/>
        <v>1.6538727347639627E-5</v>
      </c>
    </row>
    <row r="2676" spans="1:6" x14ac:dyDescent="0.2">
      <c r="A2676">
        <v>24</v>
      </c>
      <c r="B2676" t="s">
        <v>1149</v>
      </c>
      <c r="C2676" t="s">
        <v>962</v>
      </c>
      <c r="D2676" s="8">
        <v>6.6806372919950003E-4</v>
      </c>
      <c r="E2676" s="6">
        <f t="shared" si="82"/>
        <v>-1.9090000000000007</v>
      </c>
      <c r="F2676" s="8">
        <f t="shared" si="83"/>
        <v>-1.2753336590418461E-3</v>
      </c>
    </row>
    <row r="2677" spans="1:6" x14ac:dyDescent="0.2">
      <c r="A2677">
        <v>24</v>
      </c>
      <c r="B2677" t="s">
        <v>1149</v>
      </c>
      <c r="C2677" t="s">
        <v>963</v>
      </c>
      <c r="D2677" s="8">
        <v>4.209215932117802E-7</v>
      </c>
      <c r="E2677" s="6">
        <f t="shared" si="82"/>
        <v>7.2000000000000064E-2</v>
      </c>
      <c r="F2677" s="8">
        <f t="shared" si="83"/>
        <v>3.03063547112482E-8</v>
      </c>
    </row>
    <row r="2678" spans="1:6" x14ac:dyDescent="0.2">
      <c r="A2678">
        <v>24</v>
      </c>
      <c r="B2678" t="s">
        <v>1149</v>
      </c>
      <c r="C2678" t="s">
        <v>965</v>
      </c>
      <c r="D2678" s="8">
        <v>3.6773948307099999E-4</v>
      </c>
      <c r="E2678" s="6">
        <f t="shared" si="82"/>
        <v>4.5000000000000151E-2</v>
      </c>
      <c r="F2678" s="8">
        <f t="shared" si="83"/>
        <v>1.6548276738195054E-5</v>
      </c>
    </row>
    <row r="2679" spans="1:6" x14ac:dyDescent="0.2">
      <c r="A2679">
        <v>24</v>
      </c>
      <c r="B2679" t="s">
        <v>1149</v>
      </c>
      <c r="C2679" t="s">
        <v>966</v>
      </c>
      <c r="D2679" s="8">
        <v>9.6911491103606007E-8</v>
      </c>
      <c r="E2679" s="6">
        <f t="shared" si="82"/>
        <v>-0.21399999999999997</v>
      </c>
      <c r="F2679" s="8">
        <f t="shared" si="83"/>
        <v>-2.0739059096171681E-8</v>
      </c>
    </row>
    <row r="2680" spans="1:6" x14ac:dyDescent="0.2">
      <c r="A2680">
        <v>24</v>
      </c>
      <c r="B2680" t="s">
        <v>1149</v>
      </c>
      <c r="C2680" t="s">
        <v>967</v>
      </c>
      <c r="D2680" s="8">
        <v>3.0168890228E-4</v>
      </c>
      <c r="E2680" s="6">
        <f t="shared" si="82"/>
        <v>0.10000000000000009</v>
      </c>
      <c r="F2680" s="8">
        <f t="shared" si="83"/>
        <v>3.0168890228000027E-5</v>
      </c>
    </row>
    <row r="2681" spans="1:6" x14ac:dyDescent="0.2">
      <c r="A2681">
        <v>24</v>
      </c>
      <c r="B2681" t="s">
        <v>1149</v>
      </c>
      <c r="C2681" t="s">
        <v>1105</v>
      </c>
      <c r="D2681" s="8">
        <v>4.8980725132343815E-7</v>
      </c>
      <c r="E2681" s="6">
        <f t="shared" si="82"/>
        <v>0</v>
      </c>
      <c r="F2681" s="8">
        <f t="shared" si="83"/>
        <v>0</v>
      </c>
    </row>
    <row r="2682" spans="1:6" x14ac:dyDescent="0.2">
      <c r="A2682">
        <v>24</v>
      </c>
      <c r="B2682" t="s">
        <v>1149</v>
      </c>
      <c r="C2682" t="s">
        <v>968</v>
      </c>
      <c r="D2682" s="8">
        <v>6.9115362080382392E-5</v>
      </c>
      <c r="E2682" s="6">
        <f t="shared" si="82"/>
        <v>-6.7510000000000012</v>
      </c>
      <c r="F2682" s="8">
        <f t="shared" si="83"/>
        <v>-4.6659780940466159E-4</v>
      </c>
    </row>
    <row r="2683" spans="1:6" x14ac:dyDescent="0.2">
      <c r="A2683">
        <v>24</v>
      </c>
      <c r="B2683" t="s">
        <v>1149</v>
      </c>
      <c r="C2683" t="s">
        <v>969</v>
      </c>
      <c r="D2683" s="8">
        <v>5.0263922007828003E-3</v>
      </c>
      <c r="E2683" s="6">
        <f t="shared" si="82"/>
        <v>0.53699999999999992</v>
      </c>
      <c r="F2683" s="8">
        <f t="shared" si="83"/>
        <v>2.6991726118203632E-3</v>
      </c>
    </row>
    <row r="2684" spans="1:6" x14ac:dyDescent="0.2">
      <c r="A2684">
        <v>24</v>
      </c>
      <c r="B2684" t="s">
        <v>1149</v>
      </c>
      <c r="C2684" t="s">
        <v>970</v>
      </c>
      <c r="D2684" s="8">
        <v>1.1020340872019999E-4</v>
      </c>
      <c r="E2684" s="6">
        <f t="shared" si="82"/>
        <v>-0.10000000000000009</v>
      </c>
      <c r="F2684" s="8">
        <f t="shared" si="83"/>
        <v>-1.1020340872020009E-5</v>
      </c>
    </row>
    <row r="2685" spans="1:6" x14ac:dyDescent="0.2">
      <c r="A2685">
        <v>24</v>
      </c>
      <c r="B2685" t="s">
        <v>1149</v>
      </c>
      <c r="C2685" t="s">
        <v>971</v>
      </c>
      <c r="D2685" s="8">
        <v>1.300448152623064E-5</v>
      </c>
      <c r="E2685" s="6">
        <f t="shared" si="82"/>
        <v>-0.13700000000000001</v>
      </c>
      <c r="F2685" s="8">
        <f t="shared" si="83"/>
        <v>-1.7816139690935978E-6</v>
      </c>
    </row>
    <row r="2686" spans="1:6" x14ac:dyDescent="0.2">
      <c r="A2686">
        <v>24</v>
      </c>
      <c r="B2686" t="s">
        <v>1149</v>
      </c>
      <c r="C2686" t="s">
        <v>972</v>
      </c>
      <c r="D2686" s="8">
        <v>1.193568041811938E-5</v>
      </c>
      <c r="E2686" s="6">
        <f t="shared" ref="E2686:E2749" si="84">IFERROR(VLOOKUP(C2686,$A$6:$D$185,4,FALSE),0)</f>
        <v>-2.7</v>
      </c>
      <c r="F2686" s="8">
        <f t="shared" ref="F2686:F2749" si="85">D2686*E2686</f>
        <v>-3.2226337128922326E-5</v>
      </c>
    </row>
    <row r="2687" spans="1:6" x14ac:dyDescent="0.2">
      <c r="A2687">
        <v>24</v>
      </c>
      <c r="B2687" t="s">
        <v>1149</v>
      </c>
      <c r="C2687" t="s">
        <v>973</v>
      </c>
      <c r="D2687" s="8">
        <v>7.1680154380490526E-6</v>
      </c>
      <c r="E2687" s="6">
        <f t="shared" si="84"/>
        <v>-0.84999999999999987</v>
      </c>
      <c r="F2687" s="8">
        <f t="shared" si="85"/>
        <v>-6.0928131223416934E-6</v>
      </c>
    </row>
    <row r="2688" spans="1:6" x14ac:dyDescent="0.2">
      <c r="A2688">
        <v>24</v>
      </c>
      <c r="B2688" t="s">
        <v>1149</v>
      </c>
      <c r="C2688" t="s">
        <v>975</v>
      </c>
      <c r="D2688" s="8">
        <v>4.2825669177495598E-2</v>
      </c>
      <c r="E2688" s="6">
        <f t="shared" si="84"/>
        <v>0.23500000000000032</v>
      </c>
      <c r="F2688" s="8">
        <f t="shared" si="85"/>
        <v>1.0064032256711479E-2</v>
      </c>
    </row>
    <row r="2689" spans="1:6" x14ac:dyDescent="0.2">
      <c r="A2689">
        <v>24</v>
      </c>
      <c r="B2689" t="s">
        <v>1149</v>
      </c>
      <c r="C2689" t="s">
        <v>976</v>
      </c>
      <c r="D2689" s="8">
        <v>6.2888592302376401E-5</v>
      </c>
      <c r="E2689" s="6">
        <f t="shared" si="84"/>
        <v>0.38700000000000001</v>
      </c>
      <c r="F2689" s="8">
        <f t="shared" si="85"/>
        <v>2.4337885221019666E-5</v>
      </c>
    </row>
    <row r="2690" spans="1:6" x14ac:dyDescent="0.2">
      <c r="A2690">
        <v>24</v>
      </c>
      <c r="B2690" t="s">
        <v>1149</v>
      </c>
      <c r="C2690" t="s">
        <v>977</v>
      </c>
      <c r="D2690" s="8">
        <v>9.1191798008190001E-4</v>
      </c>
      <c r="E2690" s="6">
        <f t="shared" si="84"/>
        <v>-7.2039999999999997</v>
      </c>
      <c r="F2690" s="8">
        <f t="shared" si="85"/>
        <v>-6.5694571285100072E-3</v>
      </c>
    </row>
    <row r="2691" spans="1:6" x14ac:dyDescent="0.2">
      <c r="A2691">
        <v>24</v>
      </c>
      <c r="B2691" t="s">
        <v>1149</v>
      </c>
      <c r="C2691" t="s">
        <v>978</v>
      </c>
      <c r="D2691" s="8">
        <v>1.3885539280420001E-4</v>
      </c>
      <c r="E2691" s="6">
        <f t="shared" si="84"/>
        <v>-8.2390000000000008</v>
      </c>
      <c r="F2691" s="8">
        <f t="shared" si="85"/>
        <v>-1.1440295813138039E-3</v>
      </c>
    </row>
    <row r="2692" spans="1:6" x14ac:dyDescent="0.2">
      <c r="A2692">
        <v>24</v>
      </c>
      <c r="B2692" t="s">
        <v>1149</v>
      </c>
      <c r="C2692" t="s">
        <v>979</v>
      </c>
      <c r="D2692" s="8">
        <v>3.0907369051483801E-6</v>
      </c>
      <c r="E2692" s="6">
        <f t="shared" si="84"/>
        <v>-0.5</v>
      </c>
      <c r="F2692" s="8">
        <f t="shared" si="85"/>
        <v>-1.5453684525741901E-6</v>
      </c>
    </row>
    <row r="2693" spans="1:6" x14ac:dyDescent="0.2">
      <c r="A2693">
        <v>24</v>
      </c>
      <c r="B2693" t="s">
        <v>1149</v>
      </c>
      <c r="C2693" t="s">
        <v>980</v>
      </c>
      <c r="D2693" s="8">
        <v>1.7581218232840001E-4</v>
      </c>
      <c r="E2693" s="6">
        <f t="shared" si="84"/>
        <v>-0.10000000000000009</v>
      </c>
      <c r="F2693" s="8">
        <f t="shared" si="85"/>
        <v>-1.7581218232840016E-5</v>
      </c>
    </row>
    <row r="2694" spans="1:6" x14ac:dyDescent="0.2">
      <c r="A2694">
        <v>24</v>
      </c>
      <c r="B2694" t="s">
        <v>1149</v>
      </c>
      <c r="C2694" t="s">
        <v>981</v>
      </c>
      <c r="D2694" s="8">
        <v>4.7188213759568999E-3</v>
      </c>
      <c r="E2694" s="6">
        <f t="shared" si="84"/>
        <v>-0.33499999999999996</v>
      </c>
      <c r="F2694" s="8">
        <f t="shared" si="85"/>
        <v>-1.5808051609455614E-3</v>
      </c>
    </row>
    <row r="2695" spans="1:6" x14ac:dyDescent="0.2">
      <c r="A2695">
        <v>24</v>
      </c>
      <c r="B2695" t="s">
        <v>1149</v>
      </c>
      <c r="C2695" t="s">
        <v>982</v>
      </c>
      <c r="D2695" s="8">
        <v>1.0165264292137649E-5</v>
      </c>
      <c r="E2695" s="6">
        <f t="shared" si="84"/>
        <v>-2.8</v>
      </c>
      <c r="F2695" s="8">
        <f t="shared" si="85"/>
        <v>-2.8462740017985417E-5</v>
      </c>
    </row>
    <row r="2696" spans="1:6" x14ac:dyDescent="0.2">
      <c r="A2696">
        <v>24</v>
      </c>
      <c r="B2696" t="s">
        <v>1149</v>
      </c>
      <c r="C2696" t="s">
        <v>983</v>
      </c>
      <c r="D2696" s="8">
        <v>9.5095913706909175E-5</v>
      </c>
      <c r="E2696" s="6">
        <f t="shared" si="84"/>
        <v>-0.19999999999999973</v>
      </c>
      <c r="F2696" s="8">
        <f t="shared" si="85"/>
        <v>-1.9019182741381809E-5</v>
      </c>
    </row>
    <row r="2697" spans="1:6" x14ac:dyDescent="0.2">
      <c r="A2697">
        <v>24</v>
      </c>
      <c r="B2697" t="s">
        <v>1149</v>
      </c>
      <c r="C2697" t="s">
        <v>984</v>
      </c>
      <c r="D2697" s="8">
        <v>0.1143799238965571</v>
      </c>
      <c r="E2697" s="6">
        <f t="shared" si="84"/>
        <v>0.121</v>
      </c>
      <c r="F2697" s="8">
        <f t="shared" si="85"/>
        <v>1.3839970791483408E-2</v>
      </c>
    </row>
    <row r="2698" spans="1:6" x14ac:dyDescent="0.2">
      <c r="A2698">
        <v>24</v>
      </c>
      <c r="B2698" t="s">
        <v>1149</v>
      </c>
      <c r="C2698" t="s">
        <v>985</v>
      </c>
      <c r="D2698" s="8">
        <v>3.6738551773824999E-3</v>
      </c>
      <c r="E2698" s="6">
        <f t="shared" si="84"/>
        <v>0.34299999999999997</v>
      </c>
      <c r="F2698" s="8">
        <f t="shared" si="85"/>
        <v>1.2601323258421974E-3</v>
      </c>
    </row>
    <row r="2699" spans="1:6" x14ac:dyDescent="0.2">
      <c r="A2699">
        <v>24</v>
      </c>
      <c r="B2699" t="s">
        <v>1149</v>
      </c>
      <c r="C2699" t="s">
        <v>986</v>
      </c>
      <c r="D2699" s="8">
        <v>3.06543080508E-4</v>
      </c>
      <c r="E2699" s="6">
        <f t="shared" si="84"/>
        <v>-0.38900000000000023</v>
      </c>
      <c r="F2699" s="8">
        <f t="shared" si="85"/>
        <v>-1.1924525831761207E-4</v>
      </c>
    </row>
    <row r="2700" spans="1:6" x14ac:dyDescent="0.2">
      <c r="A2700">
        <v>24</v>
      </c>
      <c r="B2700" t="s">
        <v>1149</v>
      </c>
      <c r="C2700" t="s">
        <v>987</v>
      </c>
      <c r="D2700" s="8">
        <v>8.5351518900828904E-6</v>
      </c>
      <c r="E2700" s="6">
        <f t="shared" si="84"/>
        <v>0.83399999999999963</v>
      </c>
      <c r="F2700" s="8">
        <f t="shared" si="85"/>
        <v>7.1183166763291274E-6</v>
      </c>
    </row>
    <row r="2701" spans="1:6" x14ac:dyDescent="0.2">
      <c r="A2701">
        <v>24</v>
      </c>
      <c r="B2701" t="s">
        <v>1149</v>
      </c>
      <c r="C2701" t="s">
        <v>988</v>
      </c>
      <c r="D2701" s="8">
        <v>1.4508252454462E-3</v>
      </c>
      <c r="E2701" s="6">
        <f t="shared" si="84"/>
        <v>0.59299999999999997</v>
      </c>
      <c r="F2701" s="8">
        <f t="shared" si="85"/>
        <v>8.6033937054959654E-4</v>
      </c>
    </row>
    <row r="2702" spans="1:6" x14ac:dyDescent="0.2">
      <c r="A2702">
        <v>24</v>
      </c>
      <c r="B2702" t="s">
        <v>1149</v>
      </c>
      <c r="C2702" t="s">
        <v>989</v>
      </c>
      <c r="D2702" s="8">
        <v>1.133291449588874E-5</v>
      </c>
      <c r="E2702" s="6">
        <f t="shared" si="84"/>
        <v>-0.12199999999999989</v>
      </c>
      <c r="F2702" s="8">
        <f t="shared" si="85"/>
        <v>-1.3826155684984249E-6</v>
      </c>
    </row>
    <row r="2703" spans="1:6" x14ac:dyDescent="0.2">
      <c r="A2703">
        <v>24</v>
      </c>
      <c r="B2703" t="s">
        <v>1149</v>
      </c>
      <c r="C2703" t="s">
        <v>990</v>
      </c>
      <c r="D2703" s="8">
        <v>2.10241036641453E-2</v>
      </c>
      <c r="E2703" s="6">
        <f t="shared" si="84"/>
        <v>0.45299999999999985</v>
      </c>
      <c r="F2703" s="8">
        <f t="shared" si="85"/>
        <v>9.5239189598578175E-3</v>
      </c>
    </row>
    <row r="2704" spans="1:6" x14ac:dyDescent="0.2">
      <c r="A2704">
        <v>24</v>
      </c>
      <c r="B2704" t="s">
        <v>1149</v>
      </c>
      <c r="C2704" t="s">
        <v>991</v>
      </c>
      <c r="D2704" s="8">
        <v>3.2399449054417999E-3</v>
      </c>
      <c r="E2704" s="6">
        <f t="shared" si="84"/>
        <v>-3.7290000000000001</v>
      </c>
      <c r="F2704" s="8">
        <f t="shared" si="85"/>
        <v>-1.2081754552392472E-2</v>
      </c>
    </row>
    <row r="2705" spans="1:6" x14ac:dyDescent="0.2">
      <c r="A2705">
        <v>24</v>
      </c>
      <c r="B2705" t="s">
        <v>1149</v>
      </c>
      <c r="C2705" t="s">
        <v>992</v>
      </c>
      <c r="D2705" s="8">
        <v>8.3107811667710002E-4</v>
      </c>
      <c r="E2705" s="6">
        <f t="shared" si="84"/>
        <v>2.048</v>
      </c>
      <c r="F2705" s="8">
        <f t="shared" si="85"/>
        <v>1.7020479829547009E-3</v>
      </c>
    </row>
    <row r="2706" spans="1:6" x14ac:dyDescent="0.2">
      <c r="A2706">
        <v>24</v>
      </c>
      <c r="B2706" t="s">
        <v>1149</v>
      </c>
      <c r="C2706" t="s">
        <v>1092</v>
      </c>
      <c r="D2706" s="8">
        <v>1.024593007517E-4</v>
      </c>
      <c r="E2706" s="6">
        <f t="shared" si="84"/>
        <v>0</v>
      </c>
      <c r="F2706" s="8">
        <f t="shared" si="85"/>
        <v>0</v>
      </c>
    </row>
    <row r="2707" spans="1:6" x14ac:dyDescent="0.2">
      <c r="A2707">
        <v>24</v>
      </c>
      <c r="B2707" t="s">
        <v>1149</v>
      </c>
      <c r="C2707" t="s">
        <v>993</v>
      </c>
      <c r="D2707" s="8">
        <v>4.7774788780039997E-4</v>
      </c>
      <c r="E2707" s="6">
        <f t="shared" si="84"/>
        <v>-0.42900000000000027</v>
      </c>
      <c r="F2707" s="8">
        <f t="shared" si="85"/>
        <v>-2.0495384386637171E-4</v>
      </c>
    </row>
    <row r="2708" spans="1:6" x14ac:dyDescent="0.2">
      <c r="A2708">
        <v>24</v>
      </c>
      <c r="B2708" t="s">
        <v>1149</v>
      </c>
      <c r="C2708" t="s">
        <v>994</v>
      </c>
      <c r="D2708" s="8">
        <v>1.1547841579072E-3</v>
      </c>
      <c r="E2708" s="6">
        <f t="shared" si="84"/>
        <v>2.415</v>
      </c>
      <c r="F2708" s="8">
        <f t="shared" si="85"/>
        <v>2.7888037413458877E-3</v>
      </c>
    </row>
    <row r="2709" spans="1:6" x14ac:dyDescent="0.2">
      <c r="A2709">
        <v>24</v>
      </c>
      <c r="B2709" t="s">
        <v>1149</v>
      </c>
      <c r="C2709" t="s">
        <v>1093</v>
      </c>
      <c r="D2709" s="8">
        <v>1.1556778672525E-3</v>
      </c>
      <c r="E2709" s="6">
        <f t="shared" si="84"/>
        <v>0</v>
      </c>
      <c r="F2709" s="8">
        <f t="shared" si="85"/>
        <v>0</v>
      </c>
    </row>
    <row r="2710" spans="1:6" x14ac:dyDescent="0.2">
      <c r="A2710">
        <v>24</v>
      </c>
      <c r="B2710" t="s">
        <v>1149</v>
      </c>
      <c r="C2710" t="s">
        <v>996</v>
      </c>
      <c r="D2710" s="8">
        <v>4.2588562556640681E-5</v>
      </c>
      <c r="E2710" s="6">
        <f t="shared" si="84"/>
        <v>0.44099999999999984</v>
      </c>
      <c r="F2710" s="8">
        <f t="shared" si="85"/>
        <v>1.8781556087478533E-5</v>
      </c>
    </row>
    <row r="2711" spans="1:6" x14ac:dyDescent="0.2">
      <c r="A2711">
        <v>24</v>
      </c>
      <c r="B2711" t="s">
        <v>1149</v>
      </c>
      <c r="C2711" t="s">
        <v>997</v>
      </c>
      <c r="D2711" s="8">
        <v>1.111202903776E-4</v>
      </c>
      <c r="E2711" s="6">
        <f t="shared" si="84"/>
        <v>-0.61499999999999977</v>
      </c>
      <c r="F2711" s="8">
        <f t="shared" si="85"/>
        <v>-6.833897858222397E-5</v>
      </c>
    </row>
    <row r="2712" spans="1:6" x14ac:dyDescent="0.2">
      <c r="A2712">
        <v>24</v>
      </c>
      <c r="B2712" t="s">
        <v>1149</v>
      </c>
      <c r="C2712" t="s">
        <v>998</v>
      </c>
      <c r="D2712" s="8">
        <v>9.4042992254100139E-6</v>
      </c>
      <c r="E2712" s="6">
        <f t="shared" si="84"/>
        <v>-0.28200000000000003</v>
      </c>
      <c r="F2712" s="8">
        <f t="shared" si="85"/>
        <v>-2.6520123815656241E-6</v>
      </c>
    </row>
    <row r="2713" spans="1:6" x14ac:dyDescent="0.2">
      <c r="A2713">
        <v>24</v>
      </c>
      <c r="B2713" t="s">
        <v>1149</v>
      </c>
      <c r="C2713" t="s">
        <v>999</v>
      </c>
      <c r="D2713" s="8">
        <v>5.1627455932739858E-6</v>
      </c>
      <c r="E2713" s="6">
        <f t="shared" si="84"/>
        <v>-0.5219999999999998</v>
      </c>
      <c r="F2713" s="8">
        <f t="shared" si="85"/>
        <v>-2.6949531996890196E-6</v>
      </c>
    </row>
    <row r="2714" spans="1:6" x14ac:dyDescent="0.2">
      <c r="A2714">
        <v>24</v>
      </c>
      <c r="B2714" t="s">
        <v>1149</v>
      </c>
      <c r="C2714" t="s">
        <v>1000</v>
      </c>
      <c r="D2714" s="8">
        <v>3.6634977041273369E-5</v>
      </c>
      <c r="E2714" s="6">
        <f t="shared" si="84"/>
        <v>1.1540000000000004</v>
      </c>
      <c r="F2714" s="8">
        <f t="shared" si="85"/>
        <v>4.2276763505629481E-5</v>
      </c>
    </row>
    <row r="2715" spans="1:6" x14ac:dyDescent="0.2">
      <c r="A2715">
        <v>24</v>
      </c>
      <c r="B2715" t="s">
        <v>1149</v>
      </c>
      <c r="C2715" t="s">
        <v>1001</v>
      </c>
      <c r="D2715" s="8">
        <v>1.9357859965309431E-5</v>
      </c>
      <c r="E2715" s="6">
        <f t="shared" si="84"/>
        <v>-0.60600000000000032</v>
      </c>
      <c r="F2715" s="8">
        <f t="shared" si="85"/>
        <v>-1.1730863138977521E-5</v>
      </c>
    </row>
    <row r="2716" spans="1:6" x14ac:dyDescent="0.2">
      <c r="A2716">
        <v>24</v>
      </c>
      <c r="B2716" t="s">
        <v>1149</v>
      </c>
      <c r="C2716" t="s">
        <v>1002</v>
      </c>
      <c r="D2716" s="8">
        <v>1.581405002395E-4</v>
      </c>
      <c r="E2716" s="6">
        <f t="shared" si="84"/>
        <v>-1.3390000000000004</v>
      </c>
      <c r="F2716" s="8">
        <f t="shared" si="85"/>
        <v>-2.1175012982069057E-4</v>
      </c>
    </row>
    <row r="2717" spans="1:6" x14ac:dyDescent="0.2">
      <c r="A2717">
        <v>24</v>
      </c>
      <c r="B2717" t="s">
        <v>1149</v>
      </c>
      <c r="C2717" t="s">
        <v>1003</v>
      </c>
      <c r="D2717" s="8">
        <v>1.01614611430911E-2</v>
      </c>
      <c r="E2717" s="6">
        <f t="shared" si="84"/>
        <v>0.22999999999999998</v>
      </c>
      <c r="F2717" s="8">
        <f t="shared" si="85"/>
        <v>2.337136062910953E-3</v>
      </c>
    </row>
    <row r="2718" spans="1:6" x14ac:dyDescent="0.2">
      <c r="A2718">
        <v>24</v>
      </c>
      <c r="B2718" t="s">
        <v>1149</v>
      </c>
      <c r="C2718" t="s">
        <v>1004</v>
      </c>
      <c r="D2718" s="8">
        <v>2.617081829544647E-5</v>
      </c>
      <c r="E2718" s="6">
        <f t="shared" si="84"/>
        <v>-0.37000000000000011</v>
      </c>
      <c r="F2718" s="8">
        <f t="shared" si="85"/>
        <v>-9.6832027693151971E-6</v>
      </c>
    </row>
    <row r="2719" spans="1:6" x14ac:dyDescent="0.2">
      <c r="A2719">
        <v>24</v>
      </c>
      <c r="B2719" t="s">
        <v>1149</v>
      </c>
      <c r="C2719" t="s">
        <v>1006</v>
      </c>
      <c r="D2719" s="8">
        <v>3.9085211762441678E-5</v>
      </c>
      <c r="E2719" s="6">
        <f t="shared" si="84"/>
        <v>0.40000000000000036</v>
      </c>
      <c r="F2719" s="8">
        <f t="shared" si="85"/>
        <v>1.5634084704976685E-5</v>
      </c>
    </row>
    <row r="2720" spans="1:6" x14ac:dyDescent="0.2">
      <c r="A2720">
        <v>24</v>
      </c>
      <c r="B2720" t="s">
        <v>1149</v>
      </c>
      <c r="C2720" t="s">
        <v>1008</v>
      </c>
      <c r="D2720" s="8">
        <v>2.6968606203744E-3</v>
      </c>
      <c r="E2720" s="6">
        <f t="shared" si="84"/>
        <v>0.94799999999999995</v>
      </c>
      <c r="F2720" s="8">
        <f t="shared" si="85"/>
        <v>2.5566238681149311E-3</v>
      </c>
    </row>
    <row r="2721" spans="1:6" x14ac:dyDescent="0.2">
      <c r="A2721">
        <v>24</v>
      </c>
      <c r="B2721" t="s">
        <v>1149</v>
      </c>
      <c r="C2721" t="s">
        <v>1009</v>
      </c>
      <c r="D2721" s="8">
        <v>9.4183491379856078E-5</v>
      </c>
      <c r="E2721" s="6">
        <f t="shared" si="84"/>
        <v>-0.5990000000000002</v>
      </c>
      <c r="F2721" s="8">
        <f t="shared" si="85"/>
        <v>-5.6415911336533806E-5</v>
      </c>
    </row>
    <row r="2722" spans="1:6" x14ac:dyDescent="0.2">
      <c r="A2722">
        <v>24</v>
      </c>
      <c r="B2722" t="s">
        <v>1149</v>
      </c>
      <c r="C2722" t="s">
        <v>1010</v>
      </c>
      <c r="D2722" s="8">
        <v>9.5133438674147539E-6</v>
      </c>
      <c r="E2722" s="6">
        <f t="shared" si="84"/>
        <v>-3.024</v>
      </c>
      <c r="F2722" s="8">
        <f t="shared" si="85"/>
        <v>-2.8768351855062216E-5</v>
      </c>
    </row>
    <row r="2723" spans="1:6" x14ac:dyDescent="0.2">
      <c r="A2723">
        <v>24</v>
      </c>
      <c r="B2723" t="s">
        <v>1149</v>
      </c>
      <c r="C2723" t="s">
        <v>1011</v>
      </c>
      <c r="D2723" s="8">
        <v>5.2171334517639998E-4</v>
      </c>
      <c r="E2723" s="6">
        <f t="shared" si="84"/>
        <v>0.68600000000000039</v>
      </c>
      <c r="F2723" s="8">
        <f t="shared" si="85"/>
        <v>3.5789535479101059E-4</v>
      </c>
    </row>
    <row r="2724" spans="1:6" x14ac:dyDescent="0.2">
      <c r="A2724">
        <v>24</v>
      </c>
      <c r="B2724" t="s">
        <v>1149</v>
      </c>
      <c r="C2724" t="s">
        <v>1012</v>
      </c>
      <c r="D2724" s="8">
        <v>1.5130132653939999E-4</v>
      </c>
      <c r="E2724" s="6">
        <f t="shared" si="84"/>
        <v>0.39999999999999991</v>
      </c>
      <c r="F2724" s="8">
        <f t="shared" si="85"/>
        <v>6.0520530615759986E-5</v>
      </c>
    </row>
    <row r="2725" spans="1:6" x14ac:dyDescent="0.2">
      <c r="A2725">
        <v>24</v>
      </c>
      <c r="B2725" t="s">
        <v>1149</v>
      </c>
      <c r="C2725" t="s">
        <v>1014</v>
      </c>
      <c r="D2725" s="8">
        <v>4.2533474595281902E-2</v>
      </c>
      <c r="E2725" s="6">
        <f t="shared" si="84"/>
        <v>0.90000000000000036</v>
      </c>
      <c r="F2725" s="8">
        <f t="shared" si="85"/>
        <v>3.8280127135753725E-2</v>
      </c>
    </row>
    <row r="2726" spans="1:6" x14ac:dyDescent="0.2">
      <c r="A2726">
        <v>24</v>
      </c>
      <c r="B2726" t="s">
        <v>1149</v>
      </c>
      <c r="C2726" t="s">
        <v>1015</v>
      </c>
      <c r="D2726" s="8">
        <v>1.5729544334437001E-3</v>
      </c>
      <c r="E2726" s="6">
        <f t="shared" si="84"/>
        <v>-1.306</v>
      </c>
      <c r="F2726" s="8">
        <f t="shared" si="85"/>
        <v>-2.0542784900774722E-3</v>
      </c>
    </row>
    <row r="2727" spans="1:6" x14ac:dyDescent="0.2">
      <c r="A2727">
        <v>24</v>
      </c>
      <c r="B2727" t="s">
        <v>1149</v>
      </c>
      <c r="C2727" t="s">
        <v>1099</v>
      </c>
      <c r="D2727" s="8">
        <v>3.1369093933549999E-4</v>
      </c>
      <c r="E2727" s="6">
        <f t="shared" si="84"/>
        <v>0</v>
      </c>
      <c r="F2727" s="8">
        <f t="shared" si="85"/>
        <v>0</v>
      </c>
    </row>
    <row r="2728" spans="1:6" x14ac:dyDescent="0.2">
      <c r="A2728">
        <v>24</v>
      </c>
      <c r="B2728" t="s">
        <v>1149</v>
      </c>
      <c r="C2728" t="s">
        <v>1017</v>
      </c>
      <c r="D2728" s="8">
        <v>8.3704390047730003E-4</v>
      </c>
      <c r="E2728" s="6">
        <f t="shared" si="84"/>
        <v>1.3749999999999996</v>
      </c>
      <c r="F2728" s="8">
        <f t="shared" si="85"/>
        <v>1.1509353631562872E-3</v>
      </c>
    </row>
    <row r="2729" spans="1:6" x14ac:dyDescent="0.2">
      <c r="A2729">
        <v>24</v>
      </c>
      <c r="B2729" t="s">
        <v>1149</v>
      </c>
      <c r="C2729" t="s">
        <v>1018</v>
      </c>
      <c r="D2729" s="8">
        <v>1.2847759359019999E-4</v>
      </c>
      <c r="E2729" s="6">
        <f t="shared" si="84"/>
        <v>0.69999999999999973</v>
      </c>
      <c r="F2729" s="8">
        <f t="shared" si="85"/>
        <v>8.9934315513139957E-5</v>
      </c>
    </row>
    <row r="2730" spans="1:6" x14ac:dyDescent="0.2">
      <c r="A2730">
        <v>24</v>
      </c>
      <c r="B2730" t="s">
        <v>1149</v>
      </c>
      <c r="C2730" t="s">
        <v>1019</v>
      </c>
      <c r="D2730" s="8">
        <v>7.0233683639530997E-3</v>
      </c>
      <c r="E2730" s="6">
        <f t="shared" si="84"/>
        <v>-0.21599999999999997</v>
      </c>
      <c r="F2730" s="8">
        <f t="shared" si="85"/>
        <v>-1.5170475666138694E-3</v>
      </c>
    </row>
    <row r="2731" spans="1:6" x14ac:dyDescent="0.2">
      <c r="A2731">
        <v>24</v>
      </c>
      <c r="B2731" t="s">
        <v>1149</v>
      </c>
      <c r="C2731" t="s">
        <v>1020</v>
      </c>
      <c r="D2731" s="8">
        <v>6.3762061196659999E-4</v>
      </c>
      <c r="E2731" s="6">
        <f t="shared" si="84"/>
        <v>-0.21999999999999997</v>
      </c>
      <c r="F2731" s="8">
        <f t="shared" si="85"/>
        <v>-1.4027653463265198E-4</v>
      </c>
    </row>
    <row r="2732" spans="1:6" x14ac:dyDescent="0.2">
      <c r="A2732">
        <v>24</v>
      </c>
      <c r="B2732" t="s">
        <v>1149</v>
      </c>
      <c r="C2732" t="s">
        <v>1021</v>
      </c>
      <c r="D2732" s="8">
        <v>1.7626287117572279E-6</v>
      </c>
      <c r="E2732" s="6">
        <f t="shared" si="84"/>
        <v>-2.4829999999999997</v>
      </c>
      <c r="F2732" s="8">
        <f t="shared" si="85"/>
        <v>-4.3766070912931964E-6</v>
      </c>
    </row>
    <row r="2733" spans="1:6" x14ac:dyDescent="0.2">
      <c r="A2733">
        <v>24</v>
      </c>
      <c r="B2733" t="s">
        <v>1149</v>
      </c>
      <c r="C2733" t="s">
        <v>1023</v>
      </c>
      <c r="D2733" s="8">
        <v>2.3244839861550999E-3</v>
      </c>
      <c r="E2733" s="6">
        <f t="shared" si="84"/>
        <v>-0.62199999999999989</v>
      </c>
      <c r="F2733" s="8">
        <f t="shared" si="85"/>
        <v>-1.4458290393884719E-3</v>
      </c>
    </row>
    <row r="2734" spans="1:6" x14ac:dyDescent="0.2">
      <c r="A2734">
        <v>24</v>
      </c>
      <c r="B2734" t="s">
        <v>1149</v>
      </c>
      <c r="C2734" t="s">
        <v>1024</v>
      </c>
      <c r="D2734" s="8">
        <v>1.1762994012673E-3</v>
      </c>
      <c r="E2734" s="6">
        <f t="shared" si="84"/>
        <v>-0.14500000000000002</v>
      </c>
      <c r="F2734" s="8">
        <f t="shared" si="85"/>
        <v>-1.7056341318375852E-4</v>
      </c>
    </row>
    <row r="2735" spans="1:6" x14ac:dyDescent="0.2">
      <c r="A2735">
        <v>24</v>
      </c>
      <c r="B2735" t="s">
        <v>1149</v>
      </c>
      <c r="C2735" t="s">
        <v>1025</v>
      </c>
      <c r="D2735" s="8">
        <v>4.0023014773138002E-3</v>
      </c>
      <c r="E2735" s="6">
        <f t="shared" si="84"/>
        <v>4.7000000000000153E-2</v>
      </c>
      <c r="F2735" s="8">
        <f t="shared" si="85"/>
        <v>1.8810816943374921E-4</v>
      </c>
    </row>
    <row r="2736" spans="1:6" x14ac:dyDescent="0.2">
      <c r="A2736">
        <v>24</v>
      </c>
      <c r="B2736" t="s">
        <v>1149</v>
      </c>
      <c r="C2736" t="s">
        <v>1026</v>
      </c>
      <c r="D2736" s="8">
        <v>5.2121619264009996E-4</v>
      </c>
      <c r="E2736" s="6">
        <f t="shared" si="84"/>
        <v>-0.20000000000000018</v>
      </c>
      <c r="F2736" s="8">
        <f t="shared" si="85"/>
        <v>-1.0424323852802009E-4</v>
      </c>
    </row>
    <row r="2737" spans="1:6" x14ac:dyDescent="0.2">
      <c r="A2737">
        <v>24</v>
      </c>
      <c r="B2737" t="s">
        <v>1149</v>
      </c>
      <c r="C2737" t="s">
        <v>1027</v>
      </c>
      <c r="D2737" s="8">
        <v>3.7824593854884998E-3</v>
      </c>
      <c r="E2737" s="6">
        <f t="shared" si="84"/>
        <v>0.18999999999999995</v>
      </c>
      <c r="F2737" s="8">
        <f t="shared" si="85"/>
        <v>7.1866728324281471E-4</v>
      </c>
    </row>
    <row r="2738" spans="1:6" x14ac:dyDescent="0.2">
      <c r="A2738">
        <v>24</v>
      </c>
      <c r="B2738" t="s">
        <v>1149</v>
      </c>
      <c r="C2738" t="s">
        <v>1028</v>
      </c>
      <c r="D2738" s="8">
        <v>2.95138590976112E-2</v>
      </c>
      <c r="E2738" s="6">
        <f t="shared" si="84"/>
        <v>-1.6600000000000001</v>
      </c>
      <c r="F2738" s="8">
        <f t="shared" si="85"/>
        <v>-4.8993006102034595E-2</v>
      </c>
    </row>
    <row r="2739" spans="1:6" x14ac:dyDescent="0.2">
      <c r="A2739">
        <v>24</v>
      </c>
      <c r="B2739" t="s">
        <v>1149</v>
      </c>
      <c r="C2739" t="s">
        <v>1030</v>
      </c>
      <c r="D2739" s="8">
        <v>3.2543527209575001E-3</v>
      </c>
      <c r="E2739" s="6">
        <f t="shared" si="84"/>
        <v>0.29999999999999982</v>
      </c>
      <c r="F2739" s="8">
        <f t="shared" si="85"/>
        <v>9.763058162872495E-4</v>
      </c>
    </row>
    <row r="2740" spans="1:6" x14ac:dyDescent="0.2">
      <c r="A2740">
        <v>24</v>
      </c>
      <c r="B2740" t="s">
        <v>1149</v>
      </c>
      <c r="C2740" t="s">
        <v>1031</v>
      </c>
      <c r="D2740" s="8">
        <v>1.4111248170176E-3</v>
      </c>
      <c r="E2740" s="6">
        <f t="shared" si="84"/>
        <v>0.19899999999999984</v>
      </c>
      <c r="F2740" s="8">
        <f t="shared" si="85"/>
        <v>2.808138385865022E-4</v>
      </c>
    </row>
    <row r="2741" spans="1:6" x14ac:dyDescent="0.2">
      <c r="A2741">
        <v>24</v>
      </c>
      <c r="B2741" t="s">
        <v>1149</v>
      </c>
      <c r="C2741" t="s">
        <v>1142</v>
      </c>
      <c r="D2741" s="8">
        <v>3.6038500192042573E-5</v>
      </c>
      <c r="E2741" s="6">
        <f t="shared" si="84"/>
        <v>0</v>
      </c>
      <c r="F2741" s="8">
        <f t="shared" si="85"/>
        <v>0</v>
      </c>
    </row>
    <row r="2742" spans="1:6" x14ac:dyDescent="0.2">
      <c r="A2742">
        <v>24</v>
      </c>
      <c r="B2742" t="s">
        <v>1149</v>
      </c>
      <c r="C2742" t="s">
        <v>1033</v>
      </c>
      <c r="D2742" s="8">
        <v>1.433321253038E-4</v>
      </c>
      <c r="E2742" s="6">
        <f t="shared" si="84"/>
        <v>0.23299999999999987</v>
      </c>
      <c r="F2742" s="8">
        <f t="shared" si="85"/>
        <v>3.3396385195785381E-5</v>
      </c>
    </row>
    <row r="2743" spans="1:6" x14ac:dyDescent="0.2">
      <c r="A2743">
        <v>24</v>
      </c>
      <c r="B2743" t="s">
        <v>1149</v>
      </c>
      <c r="C2743" t="s">
        <v>1034</v>
      </c>
      <c r="D2743" s="8">
        <v>3.1460889544229997E-4</v>
      </c>
      <c r="E2743" s="6">
        <f t="shared" si="84"/>
        <v>0.70000000000000018</v>
      </c>
      <c r="F2743" s="8">
        <f t="shared" si="85"/>
        <v>2.2022622680961004E-4</v>
      </c>
    </row>
    <row r="2744" spans="1:6" x14ac:dyDescent="0.2">
      <c r="A2744">
        <v>24</v>
      </c>
      <c r="B2744" t="s">
        <v>1149</v>
      </c>
      <c r="C2744" t="s">
        <v>1100</v>
      </c>
      <c r="D2744" s="8">
        <v>4.3882430878342384E-6</v>
      </c>
      <c r="E2744" s="6">
        <f t="shared" si="84"/>
        <v>0</v>
      </c>
      <c r="F2744" s="8">
        <f t="shared" si="85"/>
        <v>0</v>
      </c>
    </row>
    <row r="2745" spans="1:6" x14ac:dyDescent="0.2">
      <c r="A2745">
        <v>24</v>
      </c>
      <c r="B2745" t="s">
        <v>1149</v>
      </c>
      <c r="C2745" t="s">
        <v>1035</v>
      </c>
      <c r="D2745" s="8">
        <v>5.3696089275720004E-4</v>
      </c>
      <c r="E2745" s="6">
        <f t="shared" si="84"/>
        <v>-14.218</v>
      </c>
      <c r="F2745" s="8">
        <f t="shared" si="85"/>
        <v>-7.6345099732218705E-3</v>
      </c>
    </row>
    <row r="2746" spans="1:6" x14ac:dyDescent="0.2">
      <c r="A2746">
        <v>24</v>
      </c>
      <c r="B2746" t="s">
        <v>1149</v>
      </c>
      <c r="C2746" t="s">
        <v>1036</v>
      </c>
      <c r="D2746" s="8">
        <v>2.4517043252973129E-5</v>
      </c>
      <c r="E2746" s="6">
        <f t="shared" si="84"/>
        <v>-2.0590000000000002</v>
      </c>
      <c r="F2746" s="8">
        <f t="shared" si="85"/>
        <v>-5.0480592057871673E-5</v>
      </c>
    </row>
    <row r="2747" spans="1:6" x14ac:dyDescent="0.2">
      <c r="A2747">
        <v>24</v>
      </c>
      <c r="B2747" t="s">
        <v>1149</v>
      </c>
      <c r="C2747" t="s">
        <v>1037</v>
      </c>
      <c r="D2747" s="8">
        <v>1.1927181298587001E-2</v>
      </c>
      <c r="E2747" s="6">
        <f t="shared" si="84"/>
        <v>0.2350000000000001</v>
      </c>
      <c r="F2747" s="8">
        <f t="shared" si="85"/>
        <v>2.8028876051679466E-3</v>
      </c>
    </row>
    <row r="2748" spans="1:6" x14ac:dyDescent="0.2">
      <c r="A2748">
        <v>24</v>
      </c>
      <c r="B2748" t="s">
        <v>1149</v>
      </c>
      <c r="C2748" t="s">
        <v>1038</v>
      </c>
      <c r="D2748" s="8">
        <v>2.5011434110133011E-8</v>
      </c>
      <c r="E2748" s="6">
        <f t="shared" si="84"/>
        <v>-0.2759999999999998</v>
      </c>
      <c r="F2748" s="8">
        <f t="shared" si="85"/>
        <v>-6.9031558143967062E-9</v>
      </c>
    </row>
    <row r="2749" spans="1:6" x14ac:dyDescent="0.2">
      <c r="A2749">
        <v>24</v>
      </c>
      <c r="B2749" t="s">
        <v>1149</v>
      </c>
      <c r="C2749" t="s">
        <v>1094</v>
      </c>
      <c r="D2749" s="8">
        <v>4.6478812254980998E-3</v>
      </c>
      <c r="E2749" s="6">
        <f t="shared" si="84"/>
        <v>0</v>
      </c>
      <c r="F2749" s="8">
        <f t="shared" si="85"/>
        <v>0</v>
      </c>
    </row>
    <row r="2750" spans="1:6" x14ac:dyDescent="0.2">
      <c r="A2750">
        <v>24</v>
      </c>
      <c r="B2750" t="s">
        <v>1149</v>
      </c>
      <c r="C2750" t="s">
        <v>1039</v>
      </c>
      <c r="D2750" s="8">
        <v>5.2950591589888E-3</v>
      </c>
      <c r="E2750" s="6">
        <f t="shared" ref="E2750:E2813" si="86">IFERROR(VLOOKUP(C2750,$A$6:$D$185,4,FALSE),0)</f>
        <v>-0.6419999999999999</v>
      </c>
      <c r="F2750" s="8">
        <f t="shared" ref="F2750:F2813" si="87">D2750*E2750</f>
        <v>-3.3994279800708092E-3</v>
      </c>
    </row>
    <row r="2751" spans="1:6" x14ac:dyDescent="0.2">
      <c r="A2751">
        <v>24</v>
      </c>
      <c r="B2751" t="s">
        <v>1149</v>
      </c>
      <c r="C2751" t="s">
        <v>1040</v>
      </c>
      <c r="D2751" s="8">
        <v>1.0719705252563E-3</v>
      </c>
      <c r="E2751" s="6">
        <f t="shared" si="86"/>
        <v>-8.1180000000000003</v>
      </c>
      <c r="F2751" s="8">
        <f t="shared" si="87"/>
        <v>-8.7022567240306447E-3</v>
      </c>
    </row>
    <row r="2752" spans="1:6" x14ac:dyDescent="0.2">
      <c r="A2752">
        <v>24</v>
      </c>
      <c r="B2752" t="s">
        <v>1149</v>
      </c>
      <c r="C2752" t="s">
        <v>1041</v>
      </c>
      <c r="D2752" s="8">
        <v>2.018877654199189E-5</v>
      </c>
      <c r="E2752" s="6">
        <f t="shared" si="86"/>
        <v>-1.8890000000000002</v>
      </c>
      <c r="F2752" s="8">
        <f t="shared" si="87"/>
        <v>-3.8136598887822684E-5</v>
      </c>
    </row>
    <row r="2753" spans="1:6" x14ac:dyDescent="0.2">
      <c r="A2753">
        <v>24</v>
      </c>
      <c r="B2753" t="s">
        <v>1149</v>
      </c>
      <c r="C2753" t="s">
        <v>1042</v>
      </c>
      <c r="D2753" s="8">
        <v>0.1246075366306791</v>
      </c>
      <c r="E2753" s="6">
        <f t="shared" si="86"/>
        <v>1.621</v>
      </c>
      <c r="F2753" s="8">
        <f t="shared" si="87"/>
        <v>0.20198881687833081</v>
      </c>
    </row>
    <row r="2754" spans="1:6" x14ac:dyDescent="0.2">
      <c r="A2754">
        <v>24</v>
      </c>
      <c r="B2754" t="s">
        <v>1149</v>
      </c>
      <c r="C2754" t="s">
        <v>1043</v>
      </c>
      <c r="D2754" s="8">
        <v>1.036600840712E-4</v>
      </c>
      <c r="E2754" s="6">
        <f t="shared" si="86"/>
        <v>-2.8000000000000025E-2</v>
      </c>
      <c r="F2754" s="8">
        <f t="shared" si="87"/>
        <v>-2.9024823539936027E-6</v>
      </c>
    </row>
    <row r="2755" spans="1:6" x14ac:dyDescent="0.2">
      <c r="A2755">
        <v>24</v>
      </c>
      <c r="B2755" t="s">
        <v>1149</v>
      </c>
      <c r="C2755" t="s">
        <v>1044</v>
      </c>
      <c r="D2755" s="8">
        <v>6.6744379735692836E-6</v>
      </c>
      <c r="E2755" s="6">
        <f t="shared" si="86"/>
        <v>-0.35099999999999998</v>
      </c>
      <c r="F2755" s="8">
        <f t="shared" si="87"/>
        <v>-2.3427277287228183E-6</v>
      </c>
    </row>
    <row r="2756" spans="1:6" x14ac:dyDescent="0.2">
      <c r="A2756">
        <v>24</v>
      </c>
      <c r="B2756" t="s">
        <v>1149</v>
      </c>
      <c r="C2756" t="s">
        <v>1045</v>
      </c>
      <c r="D2756" s="8">
        <v>8.4211060033992125E-5</v>
      </c>
      <c r="E2756" s="6">
        <f t="shared" si="86"/>
        <v>0.7849999999999997</v>
      </c>
      <c r="F2756" s="8">
        <f t="shared" si="87"/>
        <v>6.6105682126683796E-5</v>
      </c>
    </row>
    <row r="2757" spans="1:6" x14ac:dyDescent="0.2">
      <c r="A2757">
        <v>24</v>
      </c>
      <c r="B2757" t="s">
        <v>1149</v>
      </c>
      <c r="C2757" t="s">
        <v>1047</v>
      </c>
      <c r="D2757" s="8">
        <v>5.4938579005263499E-6</v>
      </c>
      <c r="E2757" s="6">
        <f t="shared" si="86"/>
        <v>-1.4999999999999996</v>
      </c>
      <c r="F2757" s="8">
        <f t="shared" si="87"/>
        <v>-8.2407868507895223E-6</v>
      </c>
    </row>
    <row r="2758" spans="1:6" x14ac:dyDescent="0.2">
      <c r="A2758">
        <v>24</v>
      </c>
      <c r="B2758" t="s">
        <v>1149</v>
      </c>
      <c r="C2758" t="s">
        <v>1048</v>
      </c>
      <c r="D2758" s="8">
        <v>1.75611479638617E-5</v>
      </c>
      <c r="E2758" s="6">
        <f t="shared" si="86"/>
        <v>-1.4340000000000002</v>
      </c>
      <c r="F2758" s="8">
        <f t="shared" si="87"/>
        <v>-2.5182686180177681E-5</v>
      </c>
    </row>
    <row r="2759" spans="1:6" x14ac:dyDescent="0.2">
      <c r="A2759">
        <v>24</v>
      </c>
      <c r="B2759" t="s">
        <v>1149</v>
      </c>
      <c r="C2759" t="s">
        <v>1051</v>
      </c>
      <c r="D2759" s="8">
        <v>3.5194792611634707E-5</v>
      </c>
      <c r="E2759" s="6">
        <f t="shared" si="86"/>
        <v>0.18199999999999994</v>
      </c>
      <c r="F2759" s="8">
        <f t="shared" si="87"/>
        <v>6.4054522553175146E-6</v>
      </c>
    </row>
    <row r="2760" spans="1:6" x14ac:dyDescent="0.2">
      <c r="A2760">
        <v>24</v>
      </c>
      <c r="B2760" t="s">
        <v>1149</v>
      </c>
      <c r="C2760" t="s">
        <v>1052</v>
      </c>
      <c r="D2760" s="8">
        <v>2.5108613953081769E-8</v>
      </c>
      <c r="E2760" s="6">
        <f t="shared" si="86"/>
        <v>-1.1059999999999999</v>
      </c>
      <c r="F2760" s="8">
        <f t="shared" si="87"/>
        <v>-2.7770127032108432E-8</v>
      </c>
    </row>
    <row r="2761" spans="1:6" x14ac:dyDescent="0.2">
      <c r="A2761">
        <v>24</v>
      </c>
      <c r="B2761" t="s">
        <v>1149</v>
      </c>
      <c r="C2761" t="s">
        <v>1053</v>
      </c>
      <c r="D2761" s="8">
        <v>9.0099733843377808E-6</v>
      </c>
      <c r="E2761" s="6">
        <f t="shared" si="86"/>
        <v>-0.39999999999999991</v>
      </c>
      <c r="F2761" s="8">
        <f t="shared" si="87"/>
        <v>-3.6039893537351115E-6</v>
      </c>
    </row>
    <row r="2762" spans="1:6" x14ac:dyDescent="0.2">
      <c r="A2762">
        <v>24</v>
      </c>
      <c r="B2762" t="s">
        <v>1149</v>
      </c>
      <c r="C2762" t="s">
        <v>1054</v>
      </c>
      <c r="D2762" s="8">
        <v>2.8159790042584499E-2</v>
      </c>
      <c r="E2762" s="6">
        <f t="shared" si="86"/>
        <v>-0.16800000000000015</v>
      </c>
      <c r="F2762" s="8">
        <f t="shared" si="87"/>
        <v>-4.7308447271542002E-3</v>
      </c>
    </row>
    <row r="2763" spans="1:6" x14ac:dyDescent="0.2">
      <c r="A2763">
        <v>24</v>
      </c>
      <c r="B2763" t="s">
        <v>1149</v>
      </c>
      <c r="C2763" t="s">
        <v>1055</v>
      </c>
      <c r="D2763" s="8">
        <v>1.8595480189339939E-7</v>
      </c>
      <c r="E2763" s="6">
        <f t="shared" si="86"/>
        <v>-0.93100000000000005</v>
      </c>
      <c r="F2763" s="8">
        <f t="shared" si="87"/>
        <v>-1.7312392056275483E-7</v>
      </c>
    </row>
    <row r="2764" spans="1:6" x14ac:dyDescent="0.2">
      <c r="A2764">
        <v>24</v>
      </c>
      <c r="B2764" t="s">
        <v>1149</v>
      </c>
      <c r="C2764" t="s">
        <v>1056</v>
      </c>
      <c r="D2764" s="8">
        <v>4.8253530712380299E-6</v>
      </c>
      <c r="E2764" s="6">
        <f t="shared" si="86"/>
        <v>-1.996</v>
      </c>
      <c r="F2764" s="8">
        <f t="shared" si="87"/>
        <v>-9.6314047301911082E-6</v>
      </c>
    </row>
    <row r="2765" spans="1:6" x14ac:dyDescent="0.2">
      <c r="A2765">
        <v>24</v>
      </c>
      <c r="B2765" t="s">
        <v>1149</v>
      </c>
      <c r="C2765" t="s">
        <v>1112</v>
      </c>
      <c r="D2765" s="8">
        <v>1.2505717055066511E-7</v>
      </c>
      <c r="E2765" s="6">
        <f t="shared" si="86"/>
        <v>0</v>
      </c>
      <c r="F2765" s="8">
        <f t="shared" si="87"/>
        <v>0</v>
      </c>
    </row>
    <row r="2766" spans="1:6" x14ac:dyDescent="0.2">
      <c r="A2766">
        <v>24</v>
      </c>
      <c r="B2766" t="s">
        <v>1149</v>
      </c>
      <c r="C2766" t="s">
        <v>1058</v>
      </c>
      <c r="D2766" s="8">
        <v>9.991546855454178E-7</v>
      </c>
      <c r="E2766" s="6">
        <f t="shared" si="86"/>
        <v>-0.5</v>
      </c>
      <c r="F2766" s="8">
        <f t="shared" si="87"/>
        <v>-4.995773427727089E-7</v>
      </c>
    </row>
    <row r="2767" spans="1:6" x14ac:dyDescent="0.2">
      <c r="A2767">
        <v>24</v>
      </c>
      <c r="B2767" t="s">
        <v>1149</v>
      </c>
      <c r="C2767" t="s">
        <v>1059</v>
      </c>
      <c r="D2767" s="8">
        <v>0.13545545188887839</v>
      </c>
      <c r="E2767" s="6">
        <f t="shared" si="86"/>
        <v>-0.10000000000000009</v>
      </c>
      <c r="F2767" s="8">
        <f t="shared" si="87"/>
        <v>-1.3545545188887851E-2</v>
      </c>
    </row>
    <row r="2768" spans="1:6" x14ac:dyDescent="0.2">
      <c r="A2768">
        <v>24</v>
      </c>
      <c r="B2768" t="s">
        <v>1149</v>
      </c>
      <c r="C2768" t="s">
        <v>1061</v>
      </c>
      <c r="D2768" s="8">
        <v>6.8088418649397531E-8</v>
      </c>
      <c r="E2768" s="6">
        <f t="shared" si="86"/>
        <v>0.25499999999999989</v>
      </c>
      <c r="F2768" s="8">
        <f t="shared" si="87"/>
        <v>1.7362546755596362E-8</v>
      </c>
    </row>
    <row r="2769" spans="1:6" x14ac:dyDescent="0.2">
      <c r="A2769">
        <v>24</v>
      </c>
      <c r="B2769" t="s">
        <v>1149</v>
      </c>
      <c r="C2769" t="s">
        <v>1062</v>
      </c>
      <c r="D2769" s="8">
        <v>2.8985304418893002E-3</v>
      </c>
      <c r="E2769" s="6">
        <f t="shared" si="86"/>
        <v>0.89999999999999947</v>
      </c>
      <c r="F2769" s="8">
        <f t="shared" si="87"/>
        <v>2.6086773977003685E-3</v>
      </c>
    </row>
    <row r="2770" spans="1:6" x14ac:dyDescent="0.2">
      <c r="A2770">
        <v>24</v>
      </c>
      <c r="B2770" t="s">
        <v>1149</v>
      </c>
      <c r="C2770" t="s">
        <v>1063</v>
      </c>
      <c r="D2770" s="8">
        <v>1.114404638299305E-5</v>
      </c>
      <c r="E2770" s="6">
        <f t="shared" si="86"/>
        <v>-4.1000000000000369E-2</v>
      </c>
      <c r="F2770" s="8">
        <f t="shared" si="87"/>
        <v>-4.5690590170271917E-7</v>
      </c>
    </row>
    <row r="2771" spans="1:6" x14ac:dyDescent="0.2">
      <c r="A2771">
        <v>24</v>
      </c>
      <c r="B2771" t="s">
        <v>1149</v>
      </c>
      <c r="C2771" t="s">
        <v>1064</v>
      </c>
      <c r="D2771" s="8">
        <v>1.962975587855E-4</v>
      </c>
      <c r="E2771" s="6">
        <f t="shared" si="86"/>
        <v>-0.29400000000000004</v>
      </c>
      <c r="F2771" s="8">
        <f t="shared" si="87"/>
        <v>-5.7711482282937006E-5</v>
      </c>
    </row>
    <row r="2772" spans="1:6" x14ac:dyDescent="0.2">
      <c r="A2772">
        <v>24</v>
      </c>
      <c r="B2772" t="s">
        <v>1149</v>
      </c>
      <c r="C2772" t="s">
        <v>1065</v>
      </c>
      <c r="D2772" s="8">
        <v>4.8277849121336969E-5</v>
      </c>
      <c r="E2772" s="6">
        <f t="shared" si="86"/>
        <v>0.68300000000000005</v>
      </c>
      <c r="F2772" s="8">
        <f t="shared" si="87"/>
        <v>3.2973770949873153E-5</v>
      </c>
    </row>
    <row r="2773" spans="1:6" x14ac:dyDescent="0.2">
      <c r="A2773">
        <v>24</v>
      </c>
      <c r="B2773" t="s">
        <v>1149</v>
      </c>
      <c r="C2773" t="s">
        <v>1066</v>
      </c>
      <c r="D2773" s="8">
        <v>6.1891637252613997E-3</v>
      </c>
      <c r="E2773" s="6">
        <f t="shared" si="86"/>
        <v>0.20900000000000007</v>
      </c>
      <c r="F2773" s="8">
        <f t="shared" si="87"/>
        <v>1.2935352185796331E-3</v>
      </c>
    </row>
    <row r="2774" spans="1:6" x14ac:dyDescent="0.2">
      <c r="A2774">
        <v>24</v>
      </c>
      <c r="B2774" t="s">
        <v>1149</v>
      </c>
      <c r="C2774" t="s">
        <v>1067</v>
      </c>
      <c r="D2774" s="8">
        <v>5.7665750225258522E-5</v>
      </c>
      <c r="E2774" s="6">
        <f t="shared" si="86"/>
        <v>0.17700000000000005</v>
      </c>
      <c r="F2774" s="8">
        <f t="shared" si="87"/>
        <v>1.0206837789870761E-5</v>
      </c>
    </row>
    <row r="2775" spans="1:6" x14ac:dyDescent="0.2">
      <c r="A2775">
        <v>24</v>
      </c>
      <c r="B2775" t="s">
        <v>1149</v>
      </c>
      <c r="C2775" t="s">
        <v>1106</v>
      </c>
      <c r="D2775" s="8">
        <v>1.4729201290523001E-3</v>
      </c>
      <c r="E2775" s="6">
        <f t="shared" si="86"/>
        <v>0</v>
      </c>
      <c r="F2775" s="8">
        <f t="shared" si="87"/>
        <v>0</v>
      </c>
    </row>
    <row r="2776" spans="1:6" x14ac:dyDescent="0.2">
      <c r="A2776">
        <v>24</v>
      </c>
      <c r="B2776" t="s">
        <v>1149</v>
      </c>
      <c r="C2776" t="s">
        <v>1069</v>
      </c>
      <c r="D2776" s="8">
        <v>4.656001145896E-4</v>
      </c>
      <c r="E2776" s="6">
        <f t="shared" si="86"/>
        <v>-0.13199999999999967</v>
      </c>
      <c r="F2776" s="8">
        <f t="shared" si="87"/>
        <v>-6.1459215125827046E-5</v>
      </c>
    </row>
    <row r="2777" spans="1:6" x14ac:dyDescent="0.2">
      <c r="A2777">
        <v>24</v>
      </c>
      <c r="B2777" t="s">
        <v>1149</v>
      </c>
      <c r="C2777" t="s">
        <v>1070</v>
      </c>
      <c r="D2777" s="8">
        <v>1.1726257596029061E-5</v>
      </c>
      <c r="E2777" s="6">
        <f t="shared" si="86"/>
        <v>-2.5</v>
      </c>
      <c r="F2777" s="8">
        <f t="shared" si="87"/>
        <v>-2.9315643990072653E-5</v>
      </c>
    </row>
    <row r="2778" spans="1:6" x14ac:dyDescent="0.2">
      <c r="A2778">
        <v>24</v>
      </c>
      <c r="B2778" t="s">
        <v>1149</v>
      </c>
      <c r="C2778" t="s">
        <v>1071</v>
      </c>
      <c r="D2778" s="8">
        <v>5.5655232668964229E-5</v>
      </c>
      <c r="E2778" s="6">
        <f t="shared" si="86"/>
        <v>-0.8</v>
      </c>
      <c r="F2778" s="8">
        <f t="shared" si="87"/>
        <v>-4.4524186135171386E-5</v>
      </c>
    </row>
    <row r="2779" spans="1:6" x14ac:dyDescent="0.2">
      <c r="A2779">
        <v>24</v>
      </c>
      <c r="B2779" t="s">
        <v>1149</v>
      </c>
      <c r="C2779" t="s">
        <v>1072</v>
      </c>
      <c r="D2779" s="8">
        <v>0.121725287095495</v>
      </c>
      <c r="E2779" s="6">
        <f t="shared" si="86"/>
        <v>0.55599999999999983</v>
      </c>
      <c r="F2779" s="8">
        <f t="shared" si="87"/>
        <v>6.7679259625095203E-2</v>
      </c>
    </row>
    <row r="2780" spans="1:6" x14ac:dyDescent="0.2">
      <c r="A2780">
        <v>24</v>
      </c>
      <c r="B2780" t="s">
        <v>1149</v>
      </c>
      <c r="C2780" t="s">
        <v>1073</v>
      </c>
      <c r="D2780" s="8">
        <v>8.3717881449779243E-6</v>
      </c>
      <c r="E2780" s="6">
        <f t="shared" si="86"/>
        <v>0.69200000000000017</v>
      </c>
      <c r="F2780" s="8">
        <f t="shared" si="87"/>
        <v>5.7932773963247252E-6</v>
      </c>
    </row>
    <row r="2781" spans="1:6" x14ac:dyDescent="0.2">
      <c r="A2781">
        <v>24</v>
      </c>
      <c r="B2781" t="s">
        <v>1149</v>
      </c>
      <c r="C2781" t="s">
        <v>1074</v>
      </c>
      <c r="D2781" s="8">
        <v>1.190630683357E-4</v>
      </c>
      <c r="E2781" s="6">
        <f t="shared" si="86"/>
        <v>9.5</v>
      </c>
      <c r="F2781" s="8">
        <f t="shared" si="87"/>
        <v>1.13109914918915E-3</v>
      </c>
    </row>
    <row r="2782" spans="1:6" x14ac:dyDescent="0.2">
      <c r="A2782">
        <v>24</v>
      </c>
      <c r="B2782" t="s">
        <v>1149</v>
      </c>
      <c r="C2782" t="s">
        <v>1107</v>
      </c>
      <c r="D2782" s="8">
        <v>5.8873268394445403E-8</v>
      </c>
      <c r="E2782" s="6">
        <f t="shared" si="86"/>
        <v>0</v>
      </c>
      <c r="F2782" s="8">
        <f t="shared" si="87"/>
        <v>0</v>
      </c>
    </row>
    <row r="2783" spans="1:6" x14ac:dyDescent="0.2">
      <c r="A2783">
        <v>24</v>
      </c>
      <c r="B2783" t="s">
        <v>1149</v>
      </c>
      <c r="C2783" t="s">
        <v>1075</v>
      </c>
      <c r="D2783" s="8">
        <v>2.58725549260941E-2</v>
      </c>
      <c r="E2783" s="6">
        <f t="shared" si="86"/>
        <v>3.0529999999999999</v>
      </c>
      <c r="F2783" s="8">
        <f t="shared" si="87"/>
        <v>7.8988910189365283E-2</v>
      </c>
    </row>
    <row r="2784" spans="1:6" x14ac:dyDescent="0.2">
      <c r="A2784">
        <v>24</v>
      </c>
      <c r="B2784" t="s">
        <v>1149</v>
      </c>
      <c r="C2784" t="s">
        <v>1076</v>
      </c>
      <c r="D2784" s="8">
        <v>9.2452812169816848E-6</v>
      </c>
      <c r="E2784" s="6">
        <f t="shared" si="86"/>
        <v>1.4060000000000001</v>
      </c>
      <c r="F2784" s="8">
        <f t="shared" si="87"/>
        <v>1.299886539107625E-5</v>
      </c>
    </row>
    <row r="2785" spans="1:6" x14ac:dyDescent="0.2">
      <c r="A2785">
        <v>24</v>
      </c>
      <c r="B2785" t="s">
        <v>1149</v>
      </c>
      <c r="C2785" t="s">
        <v>1078</v>
      </c>
      <c r="D2785" s="8">
        <v>2.8488631776410001E-4</v>
      </c>
      <c r="E2785" s="6">
        <f t="shared" si="86"/>
        <v>0.5</v>
      </c>
      <c r="F2785" s="8">
        <f t="shared" si="87"/>
        <v>1.4244315888205E-4</v>
      </c>
    </row>
    <row r="2786" spans="1:6" x14ac:dyDescent="0.2">
      <c r="A2786">
        <v>24</v>
      </c>
      <c r="B2786" t="s">
        <v>1149</v>
      </c>
      <c r="C2786" t="s">
        <v>1079</v>
      </c>
      <c r="D2786" s="8">
        <v>1.42495347133443E-2</v>
      </c>
      <c r="E2786" s="6">
        <f t="shared" si="86"/>
        <v>-0.28899999999999992</v>
      </c>
      <c r="F2786" s="8">
        <f t="shared" si="87"/>
        <v>-4.1181155321565015E-3</v>
      </c>
    </row>
    <row r="2787" spans="1:6" x14ac:dyDescent="0.2">
      <c r="A2787">
        <v>24</v>
      </c>
      <c r="B2787" t="s">
        <v>1149</v>
      </c>
      <c r="C2787" t="s">
        <v>1080</v>
      </c>
      <c r="D2787" s="8">
        <v>1.2664940886754001E-3</v>
      </c>
      <c r="E2787" s="6">
        <f t="shared" si="86"/>
        <v>-2.5170000000000003</v>
      </c>
      <c r="F2787" s="8">
        <f t="shared" si="87"/>
        <v>-3.1877656211959826E-3</v>
      </c>
    </row>
    <row r="2788" spans="1:6" x14ac:dyDescent="0.2">
      <c r="A2788">
        <v>24</v>
      </c>
      <c r="B2788" t="s">
        <v>1149</v>
      </c>
      <c r="C2788" t="s">
        <v>1081</v>
      </c>
      <c r="D2788" s="8">
        <v>6.3310192591274189E-6</v>
      </c>
      <c r="E2788" s="6">
        <f t="shared" si="86"/>
        <v>0.36000000000000032</v>
      </c>
      <c r="F2788" s="8">
        <f t="shared" si="87"/>
        <v>2.2791669332858727E-6</v>
      </c>
    </row>
    <row r="2789" spans="1:6" x14ac:dyDescent="0.2">
      <c r="A2789">
        <v>25</v>
      </c>
      <c r="B2789" t="s">
        <v>1150</v>
      </c>
      <c r="C2789" t="s">
        <v>902</v>
      </c>
      <c r="D2789" s="8">
        <v>2.3918527233999999E-4</v>
      </c>
      <c r="E2789" s="6">
        <f t="shared" si="86"/>
        <v>-0.28000000000000025</v>
      </c>
      <c r="F2789" s="8">
        <f t="shared" si="87"/>
        <v>-6.6971876255200052E-5</v>
      </c>
    </row>
    <row r="2790" spans="1:6" x14ac:dyDescent="0.2">
      <c r="A2790">
        <v>25</v>
      </c>
      <c r="B2790" t="s">
        <v>1150</v>
      </c>
      <c r="C2790" t="s">
        <v>903</v>
      </c>
      <c r="D2790" s="8">
        <v>2.2612023731819999E-4</v>
      </c>
      <c r="E2790" s="6">
        <f t="shared" si="86"/>
        <v>0.22399999999999975</v>
      </c>
      <c r="F2790" s="8">
        <f t="shared" si="87"/>
        <v>5.0650933159276743E-5</v>
      </c>
    </row>
    <row r="2791" spans="1:6" x14ac:dyDescent="0.2">
      <c r="A2791">
        <v>25</v>
      </c>
      <c r="B2791" t="s">
        <v>1150</v>
      </c>
      <c r="C2791" t="s">
        <v>904</v>
      </c>
      <c r="D2791" s="8">
        <v>2.8839550913767611E-5</v>
      </c>
      <c r="E2791" s="6">
        <f t="shared" si="86"/>
        <v>-6.800000000000006E-2</v>
      </c>
      <c r="F2791" s="8">
        <f t="shared" si="87"/>
        <v>-1.9610894621361994E-6</v>
      </c>
    </row>
    <row r="2792" spans="1:6" x14ac:dyDescent="0.2">
      <c r="A2792">
        <v>25</v>
      </c>
      <c r="B2792" t="s">
        <v>1150</v>
      </c>
      <c r="C2792" t="s">
        <v>906</v>
      </c>
      <c r="D2792" s="8">
        <v>3.03498656707957E-2</v>
      </c>
      <c r="E2792" s="6">
        <f t="shared" si="86"/>
        <v>-1.8859999999999997</v>
      </c>
      <c r="F2792" s="8">
        <f t="shared" si="87"/>
        <v>-5.7239846655120684E-2</v>
      </c>
    </row>
    <row r="2793" spans="1:6" x14ac:dyDescent="0.2">
      <c r="A2793">
        <v>25</v>
      </c>
      <c r="B2793" t="s">
        <v>1150</v>
      </c>
      <c r="C2793" t="s">
        <v>907</v>
      </c>
      <c r="D2793" s="8">
        <v>1.1389452129921E-3</v>
      </c>
      <c r="E2793" s="6">
        <f t="shared" si="86"/>
        <v>-1.0199999999999996</v>
      </c>
      <c r="F2793" s="8">
        <f t="shared" si="87"/>
        <v>-1.1617241172519415E-3</v>
      </c>
    </row>
    <row r="2794" spans="1:6" x14ac:dyDescent="0.2">
      <c r="A2794">
        <v>25</v>
      </c>
      <c r="B2794" t="s">
        <v>1150</v>
      </c>
      <c r="C2794" t="s">
        <v>909</v>
      </c>
      <c r="D2794" s="8">
        <v>1.9586462695549999E-4</v>
      </c>
      <c r="E2794" s="6">
        <f t="shared" si="86"/>
        <v>5.9000000000000163E-2</v>
      </c>
      <c r="F2794" s="8">
        <f t="shared" si="87"/>
        <v>1.1556012990374531E-5</v>
      </c>
    </row>
    <row r="2795" spans="1:6" x14ac:dyDescent="0.2">
      <c r="A2795">
        <v>25</v>
      </c>
      <c r="B2795" t="s">
        <v>1150</v>
      </c>
      <c r="C2795" t="s">
        <v>910</v>
      </c>
      <c r="D2795" s="8">
        <v>8.4136277707591994E-3</v>
      </c>
      <c r="E2795" s="6">
        <f t="shared" si="86"/>
        <v>-7.7999999999999847E-2</v>
      </c>
      <c r="F2795" s="8">
        <f t="shared" si="87"/>
        <v>-6.5626296611921622E-4</v>
      </c>
    </row>
    <row r="2796" spans="1:6" x14ac:dyDescent="0.2">
      <c r="A2796">
        <v>25</v>
      </c>
      <c r="B2796" t="s">
        <v>1150</v>
      </c>
      <c r="C2796" t="s">
        <v>911</v>
      </c>
      <c r="D2796" s="8">
        <v>3.045195077062E-4</v>
      </c>
      <c r="E2796" s="6">
        <f t="shared" si="86"/>
        <v>-7.5000000000000067E-2</v>
      </c>
      <c r="F2796" s="8">
        <f t="shared" si="87"/>
        <v>-2.283896307796502E-5</v>
      </c>
    </row>
    <row r="2797" spans="1:6" x14ac:dyDescent="0.2">
      <c r="A2797">
        <v>25</v>
      </c>
      <c r="B2797" t="s">
        <v>1150</v>
      </c>
      <c r="C2797" t="s">
        <v>914</v>
      </c>
      <c r="D2797" s="8">
        <v>1.6940073875817E-3</v>
      </c>
      <c r="E2797" s="6">
        <f t="shared" si="86"/>
        <v>-0.26900000000000002</v>
      </c>
      <c r="F2797" s="8">
        <f t="shared" si="87"/>
        <v>-4.5568798725947732E-4</v>
      </c>
    </row>
    <row r="2798" spans="1:6" x14ac:dyDescent="0.2">
      <c r="A2798">
        <v>25</v>
      </c>
      <c r="B2798" t="s">
        <v>1150</v>
      </c>
      <c r="C2798" t="s">
        <v>915</v>
      </c>
      <c r="D2798" s="8">
        <v>1.6765963156189999E-4</v>
      </c>
      <c r="E2798" s="6">
        <f t="shared" si="86"/>
        <v>0.81400000000000006</v>
      </c>
      <c r="F2798" s="8">
        <f t="shared" si="87"/>
        <v>1.3647494009138661E-4</v>
      </c>
    </row>
    <row r="2799" spans="1:6" x14ac:dyDescent="0.2">
      <c r="A2799">
        <v>25</v>
      </c>
      <c r="B2799" t="s">
        <v>1150</v>
      </c>
      <c r="C2799" t="s">
        <v>916</v>
      </c>
      <c r="D2799" s="8">
        <v>7.246471981109E-4</v>
      </c>
      <c r="E2799" s="6">
        <f t="shared" si="86"/>
        <v>0.37200000000000077</v>
      </c>
      <c r="F2799" s="8">
        <f t="shared" si="87"/>
        <v>2.6956875769725534E-4</v>
      </c>
    </row>
    <row r="2800" spans="1:6" x14ac:dyDescent="0.2">
      <c r="A2800">
        <v>25</v>
      </c>
      <c r="B2800" t="s">
        <v>1150</v>
      </c>
      <c r="C2800" t="s">
        <v>917</v>
      </c>
      <c r="D2800" s="8">
        <v>2.0474604408429E-3</v>
      </c>
      <c r="E2800" s="6">
        <f t="shared" si="86"/>
        <v>-1.83</v>
      </c>
      <c r="F2800" s="8">
        <f t="shared" si="87"/>
        <v>-3.7468526067425071E-3</v>
      </c>
    </row>
    <row r="2801" spans="1:6" x14ac:dyDescent="0.2">
      <c r="A2801">
        <v>25</v>
      </c>
      <c r="B2801" t="s">
        <v>1150</v>
      </c>
      <c r="C2801" t="s">
        <v>918</v>
      </c>
      <c r="D2801" s="8">
        <v>1.353821540797102E-5</v>
      </c>
      <c r="E2801" s="6">
        <f t="shared" si="86"/>
        <v>0.1469999999999998</v>
      </c>
      <c r="F2801" s="8">
        <f t="shared" si="87"/>
        <v>1.9901176649717373E-6</v>
      </c>
    </row>
    <row r="2802" spans="1:6" x14ac:dyDescent="0.2">
      <c r="A2802">
        <v>25</v>
      </c>
      <c r="B2802" t="s">
        <v>1150</v>
      </c>
      <c r="C2802" t="s">
        <v>919</v>
      </c>
      <c r="D2802" s="8">
        <v>2.2173887844938E-3</v>
      </c>
      <c r="E2802" s="6">
        <f t="shared" si="86"/>
        <v>-3.4940000000000002</v>
      </c>
      <c r="F2802" s="8">
        <f t="shared" si="87"/>
        <v>-7.7475564130213377E-3</v>
      </c>
    </row>
    <row r="2803" spans="1:6" x14ac:dyDescent="0.2">
      <c r="A2803">
        <v>25</v>
      </c>
      <c r="B2803" t="s">
        <v>1150</v>
      </c>
      <c r="C2803" t="s">
        <v>920</v>
      </c>
      <c r="D2803" s="8">
        <v>4.3972915567700002E-4</v>
      </c>
      <c r="E2803" s="6">
        <f t="shared" si="86"/>
        <v>0.40000000000000013</v>
      </c>
      <c r="F2803" s="8">
        <f t="shared" si="87"/>
        <v>1.7589166227080006E-4</v>
      </c>
    </row>
    <row r="2804" spans="1:6" x14ac:dyDescent="0.2">
      <c r="A2804">
        <v>25</v>
      </c>
      <c r="B2804" t="s">
        <v>1150</v>
      </c>
      <c r="C2804" t="s">
        <v>923</v>
      </c>
      <c r="D2804" s="8">
        <v>1.109517300100568E-6</v>
      </c>
      <c r="E2804" s="6">
        <f t="shared" si="86"/>
        <v>-0.29999999999999982</v>
      </c>
      <c r="F2804" s="8">
        <f t="shared" si="87"/>
        <v>-3.328551900301702E-7</v>
      </c>
    </row>
    <row r="2805" spans="1:6" x14ac:dyDescent="0.2">
      <c r="A2805">
        <v>25</v>
      </c>
      <c r="B2805" t="s">
        <v>1150</v>
      </c>
      <c r="C2805" t="s">
        <v>1129</v>
      </c>
      <c r="D2805" s="8">
        <v>1.9782438708940001E-4</v>
      </c>
      <c r="E2805" s="6">
        <f t="shared" si="86"/>
        <v>0</v>
      </c>
      <c r="F2805" s="8">
        <f t="shared" si="87"/>
        <v>0</v>
      </c>
    </row>
    <row r="2806" spans="1:6" x14ac:dyDescent="0.2">
      <c r="A2806">
        <v>25</v>
      </c>
      <c r="B2806" t="s">
        <v>1150</v>
      </c>
      <c r="C2806" t="s">
        <v>1115</v>
      </c>
      <c r="D2806" s="8">
        <v>5.2471301537400004E-4</v>
      </c>
      <c r="E2806" s="6">
        <f t="shared" si="86"/>
        <v>0</v>
      </c>
      <c r="F2806" s="8">
        <f t="shared" si="87"/>
        <v>0</v>
      </c>
    </row>
    <row r="2807" spans="1:6" x14ac:dyDescent="0.2">
      <c r="A2807">
        <v>25</v>
      </c>
      <c r="B2807" t="s">
        <v>1150</v>
      </c>
      <c r="C2807" t="s">
        <v>924</v>
      </c>
      <c r="D2807" s="8">
        <v>1.23876275749422E-2</v>
      </c>
      <c r="E2807" s="6">
        <f t="shared" si="86"/>
        <v>-8.4000000000000075E-2</v>
      </c>
      <c r="F2807" s="8">
        <f t="shared" si="87"/>
        <v>-1.0405607162951456E-3</v>
      </c>
    </row>
    <row r="2808" spans="1:6" x14ac:dyDescent="0.2">
      <c r="A2808">
        <v>25</v>
      </c>
      <c r="B2808" t="s">
        <v>1150</v>
      </c>
      <c r="C2808" t="s">
        <v>925</v>
      </c>
      <c r="D2808" s="8">
        <v>3.294540713172E-4</v>
      </c>
      <c r="E2808" s="6">
        <f t="shared" si="86"/>
        <v>0.20000000000000018</v>
      </c>
      <c r="F2808" s="8">
        <f t="shared" si="87"/>
        <v>6.5890814263440062E-5</v>
      </c>
    </row>
    <row r="2809" spans="1:6" x14ac:dyDescent="0.2">
      <c r="A2809">
        <v>25</v>
      </c>
      <c r="B2809" t="s">
        <v>1150</v>
      </c>
      <c r="C2809" t="s">
        <v>926</v>
      </c>
      <c r="D2809" s="8">
        <v>4.6408006691234004E-3</v>
      </c>
      <c r="E2809" s="6">
        <f t="shared" si="86"/>
        <v>-4.8000000000000043E-2</v>
      </c>
      <c r="F2809" s="8">
        <f t="shared" si="87"/>
        <v>-2.227584321179234E-4</v>
      </c>
    </row>
    <row r="2810" spans="1:6" x14ac:dyDescent="0.2">
      <c r="A2810">
        <v>25</v>
      </c>
      <c r="B2810" t="s">
        <v>1150</v>
      </c>
      <c r="C2810" t="s">
        <v>927</v>
      </c>
      <c r="D2810" s="8">
        <v>6.7098818138420004E-9</v>
      </c>
      <c r="E2810" s="6">
        <f t="shared" si="86"/>
        <v>0.5</v>
      </c>
      <c r="F2810" s="8">
        <f t="shared" si="87"/>
        <v>3.3549409069210002E-9</v>
      </c>
    </row>
    <row r="2811" spans="1:6" x14ac:dyDescent="0.2">
      <c r="A2811">
        <v>25</v>
      </c>
      <c r="B2811" t="s">
        <v>1150</v>
      </c>
      <c r="C2811" t="s">
        <v>928</v>
      </c>
      <c r="D2811" s="8">
        <v>3.8605331376189938E-6</v>
      </c>
      <c r="E2811" s="6">
        <f t="shared" si="86"/>
        <v>2.423</v>
      </c>
      <c r="F2811" s="8">
        <f t="shared" si="87"/>
        <v>9.3540717924508215E-6</v>
      </c>
    </row>
    <row r="2812" spans="1:6" x14ac:dyDescent="0.2">
      <c r="A2812">
        <v>25</v>
      </c>
      <c r="B2812" t="s">
        <v>1150</v>
      </c>
      <c r="C2812" t="s">
        <v>929</v>
      </c>
      <c r="D2812" s="8">
        <v>2.804384639874816E-5</v>
      </c>
      <c r="E2812" s="6">
        <f t="shared" si="86"/>
        <v>-0.54599999999999982</v>
      </c>
      <c r="F2812" s="8">
        <f t="shared" si="87"/>
        <v>-1.5311940133716491E-5</v>
      </c>
    </row>
    <row r="2813" spans="1:6" x14ac:dyDescent="0.2">
      <c r="A2813">
        <v>25</v>
      </c>
      <c r="B2813" t="s">
        <v>1150</v>
      </c>
      <c r="C2813" t="s">
        <v>930</v>
      </c>
      <c r="D2813" s="8">
        <v>5.3048504099096998E-3</v>
      </c>
      <c r="E2813" s="6">
        <f t="shared" si="86"/>
        <v>-5.8000000000000052E-2</v>
      </c>
      <c r="F2813" s="8">
        <f t="shared" si="87"/>
        <v>-3.0768132377476288E-4</v>
      </c>
    </row>
    <row r="2814" spans="1:6" x14ac:dyDescent="0.2">
      <c r="A2814">
        <v>25</v>
      </c>
      <c r="B2814" t="s">
        <v>1150</v>
      </c>
      <c r="C2814" t="s">
        <v>931</v>
      </c>
      <c r="D2814" s="8">
        <v>3.4722163794240001E-4</v>
      </c>
      <c r="E2814" s="6">
        <f t="shared" ref="E2814:E2877" si="88">IFERROR(VLOOKUP(C2814,$A$6:$D$185,4,FALSE),0)</f>
        <v>-0.31099999999999994</v>
      </c>
      <c r="F2814" s="8">
        <f t="shared" ref="F2814:F2877" si="89">D2814*E2814</f>
        <v>-1.0798592940008638E-4</v>
      </c>
    </row>
    <row r="2815" spans="1:6" x14ac:dyDescent="0.2">
      <c r="A2815">
        <v>25</v>
      </c>
      <c r="B2815" t="s">
        <v>1150</v>
      </c>
      <c r="C2815" t="s">
        <v>932</v>
      </c>
      <c r="D2815" s="8">
        <v>9.4546583623947005E-3</v>
      </c>
      <c r="E2815" s="6">
        <f t="shared" si="88"/>
        <v>0.21799999999999997</v>
      </c>
      <c r="F2815" s="8">
        <f t="shared" si="89"/>
        <v>2.0611155230020445E-3</v>
      </c>
    </row>
    <row r="2816" spans="1:6" x14ac:dyDescent="0.2">
      <c r="A2816">
        <v>25</v>
      </c>
      <c r="B2816" t="s">
        <v>1150</v>
      </c>
      <c r="C2816" t="s">
        <v>933</v>
      </c>
      <c r="D2816" s="8">
        <v>1.0998888094276E-2</v>
      </c>
      <c r="E2816" s="6">
        <f t="shared" si="88"/>
        <v>0.4430000000000005</v>
      </c>
      <c r="F2816" s="8">
        <f t="shared" si="89"/>
        <v>4.8725074257642735E-3</v>
      </c>
    </row>
    <row r="2817" spans="1:6" x14ac:dyDescent="0.2">
      <c r="A2817">
        <v>25</v>
      </c>
      <c r="B2817" t="s">
        <v>1150</v>
      </c>
      <c r="C2817" t="s">
        <v>934</v>
      </c>
      <c r="D2817" s="8">
        <v>3.7182091155496817E-5</v>
      </c>
      <c r="E2817" s="6">
        <f t="shared" si="88"/>
        <v>-0.20000000000000018</v>
      </c>
      <c r="F2817" s="8">
        <f t="shared" si="89"/>
        <v>-7.4364182310993699E-6</v>
      </c>
    </row>
    <row r="2818" spans="1:6" x14ac:dyDescent="0.2">
      <c r="A2818">
        <v>25</v>
      </c>
      <c r="B2818" t="s">
        <v>1150</v>
      </c>
      <c r="C2818" t="s">
        <v>935</v>
      </c>
      <c r="D2818" s="8">
        <v>3.5047150545514022E-6</v>
      </c>
      <c r="E2818" s="6">
        <f t="shared" si="88"/>
        <v>-0.71799999999999997</v>
      </c>
      <c r="F2818" s="8">
        <f t="shared" si="89"/>
        <v>-2.5163854091679066E-6</v>
      </c>
    </row>
    <row r="2819" spans="1:6" x14ac:dyDescent="0.2">
      <c r="A2819">
        <v>25</v>
      </c>
      <c r="B2819" t="s">
        <v>1150</v>
      </c>
      <c r="C2819" t="s">
        <v>936</v>
      </c>
      <c r="D2819" s="8">
        <v>1.2411755816040001E-4</v>
      </c>
      <c r="E2819" s="6">
        <f t="shared" si="88"/>
        <v>0.72900000000000009</v>
      </c>
      <c r="F2819" s="8">
        <f t="shared" si="89"/>
        <v>9.048169989893162E-5</v>
      </c>
    </row>
    <row r="2820" spans="1:6" x14ac:dyDescent="0.2">
      <c r="A2820">
        <v>25</v>
      </c>
      <c r="B2820" t="s">
        <v>1150</v>
      </c>
      <c r="C2820" t="s">
        <v>937</v>
      </c>
      <c r="D2820" s="8">
        <v>8.9968971023628044E-5</v>
      </c>
      <c r="E2820" s="6">
        <f t="shared" si="88"/>
        <v>-0.3660000000000001</v>
      </c>
      <c r="F2820" s="8">
        <f t="shared" si="89"/>
        <v>-3.2928643394647876E-5</v>
      </c>
    </row>
    <row r="2821" spans="1:6" x14ac:dyDescent="0.2">
      <c r="A2821">
        <v>25</v>
      </c>
      <c r="B2821" t="s">
        <v>1150</v>
      </c>
      <c r="C2821" t="s">
        <v>1102</v>
      </c>
      <c r="D2821" s="8">
        <v>3.4090912507496133E-5</v>
      </c>
      <c r="E2821" s="6">
        <f t="shared" si="88"/>
        <v>0</v>
      </c>
      <c r="F2821" s="8">
        <f t="shared" si="89"/>
        <v>0</v>
      </c>
    </row>
    <row r="2822" spans="1:6" x14ac:dyDescent="0.2">
      <c r="A2822">
        <v>25</v>
      </c>
      <c r="B2822" t="s">
        <v>1150</v>
      </c>
      <c r="C2822" t="s">
        <v>938</v>
      </c>
      <c r="D2822" s="8">
        <v>4.6835745932577999E-3</v>
      </c>
      <c r="E2822" s="6">
        <f t="shared" si="88"/>
        <v>-0.32500000000000018</v>
      </c>
      <c r="F2822" s="8">
        <f t="shared" si="89"/>
        <v>-1.5221617428087858E-3</v>
      </c>
    </row>
    <row r="2823" spans="1:6" x14ac:dyDescent="0.2">
      <c r="A2823">
        <v>25</v>
      </c>
      <c r="B2823" t="s">
        <v>1150</v>
      </c>
      <c r="C2823" t="s">
        <v>939</v>
      </c>
      <c r="D2823" s="8">
        <v>6.2319342163374901E-6</v>
      </c>
      <c r="E2823" s="6">
        <f t="shared" si="88"/>
        <v>-0.2240000000000002</v>
      </c>
      <c r="F2823" s="8">
        <f t="shared" si="89"/>
        <v>-1.395953264459599E-6</v>
      </c>
    </row>
    <row r="2824" spans="1:6" x14ac:dyDescent="0.2">
      <c r="A2824">
        <v>25</v>
      </c>
      <c r="B2824" t="s">
        <v>1150</v>
      </c>
      <c r="C2824" t="s">
        <v>941</v>
      </c>
      <c r="D2824" s="8">
        <v>4.4951358346021E-3</v>
      </c>
      <c r="E2824" s="6">
        <f t="shared" si="88"/>
        <v>0.16599999999999993</v>
      </c>
      <c r="F2824" s="8">
        <f t="shared" si="89"/>
        <v>7.4619254854394823E-4</v>
      </c>
    </row>
    <row r="2825" spans="1:6" x14ac:dyDescent="0.2">
      <c r="A2825">
        <v>25</v>
      </c>
      <c r="B2825" t="s">
        <v>1150</v>
      </c>
      <c r="C2825" t="s">
        <v>1116</v>
      </c>
      <c r="D2825" s="8">
        <v>9.0480359873297279E-7</v>
      </c>
      <c r="E2825" s="6">
        <f t="shared" si="88"/>
        <v>0</v>
      </c>
      <c r="F2825" s="8">
        <f t="shared" si="89"/>
        <v>0</v>
      </c>
    </row>
    <row r="2826" spans="1:6" x14ac:dyDescent="0.2">
      <c r="A2826">
        <v>25</v>
      </c>
      <c r="B2826" t="s">
        <v>1150</v>
      </c>
      <c r="C2826" t="s">
        <v>1111</v>
      </c>
      <c r="D2826" s="8">
        <v>4.2822602992960001E-4</v>
      </c>
      <c r="E2826" s="6">
        <f t="shared" si="88"/>
        <v>0</v>
      </c>
      <c r="F2826" s="8">
        <f t="shared" si="89"/>
        <v>0</v>
      </c>
    </row>
    <row r="2827" spans="1:6" x14ac:dyDescent="0.2">
      <c r="A2827">
        <v>25</v>
      </c>
      <c r="B2827" t="s">
        <v>1150</v>
      </c>
      <c r="C2827" t="s">
        <v>1091</v>
      </c>
      <c r="D2827" s="8">
        <v>5.2720499965901434E-9</v>
      </c>
      <c r="E2827" s="6">
        <f t="shared" si="88"/>
        <v>0</v>
      </c>
      <c r="F2827" s="8">
        <f t="shared" si="89"/>
        <v>0</v>
      </c>
    </row>
    <row r="2828" spans="1:6" x14ac:dyDescent="0.2">
      <c r="A2828">
        <v>25</v>
      </c>
      <c r="B2828" t="s">
        <v>1150</v>
      </c>
      <c r="C2828" t="s">
        <v>1103</v>
      </c>
      <c r="D2828" s="8">
        <v>8.6026084870482759E-5</v>
      </c>
      <c r="E2828" s="6">
        <f t="shared" si="88"/>
        <v>0</v>
      </c>
      <c r="F2828" s="8">
        <f t="shared" si="89"/>
        <v>0</v>
      </c>
    </row>
    <row r="2829" spans="1:6" x14ac:dyDescent="0.2">
      <c r="A2829">
        <v>25</v>
      </c>
      <c r="B2829" t="s">
        <v>1150</v>
      </c>
      <c r="C2829" t="s">
        <v>942</v>
      </c>
      <c r="D2829" s="8">
        <v>4.5696529542908029E-5</v>
      </c>
      <c r="E2829" s="6">
        <f t="shared" si="88"/>
        <v>0.33700000000000019</v>
      </c>
      <c r="F2829" s="8">
        <f t="shared" si="89"/>
        <v>1.5399730455960014E-5</v>
      </c>
    </row>
    <row r="2830" spans="1:6" x14ac:dyDescent="0.2">
      <c r="A2830">
        <v>25</v>
      </c>
      <c r="B2830" t="s">
        <v>1150</v>
      </c>
      <c r="C2830" t="s">
        <v>943</v>
      </c>
      <c r="D2830" s="8">
        <v>4.3868231330613262E-5</v>
      </c>
      <c r="E2830" s="6">
        <f t="shared" si="88"/>
        <v>0.40800000000000014</v>
      </c>
      <c r="F2830" s="8">
        <f t="shared" si="89"/>
        <v>1.7898238382890217E-5</v>
      </c>
    </row>
    <row r="2831" spans="1:6" x14ac:dyDescent="0.2">
      <c r="A2831">
        <v>25</v>
      </c>
      <c r="B2831" t="s">
        <v>1150</v>
      </c>
      <c r="C2831" t="s">
        <v>944</v>
      </c>
      <c r="D2831" s="8">
        <v>3.6845716039748998E-3</v>
      </c>
      <c r="E2831" s="6">
        <f t="shared" si="88"/>
        <v>-0.122</v>
      </c>
      <c r="F2831" s="8">
        <f t="shared" si="89"/>
        <v>-4.4951773568493775E-4</v>
      </c>
    </row>
    <row r="2832" spans="1:6" x14ac:dyDescent="0.2">
      <c r="A2832">
        <v>25</v>
      </c>
      <c r="B2832" t="s">
        <v>1150</v>
      </c>
      <c r="C2832" t="s">
        <v>945</v>
      </c>
      <c r="D2832" s="8">
        <v>9.7002453502880001E-4</v>
      </c>
      <c r="E2832" s="6">
        <f t="shared" si="88"/>
        <v>0.49000000000000021</v>
      </c>
      <c r="F2832" s="8">
        <f t="shared" si="89"/>
        <v>4.7531202216411221E-4</v>
      </c>
    </row>
    <row r="2833" spans="1:6" x14ac:dyDescent="0.2">
      <c r="A2833">
        <v>25</v>
      </c>
      <c r="B2833" t="s">
        <v>1150</v>
      </c>
      <c r="C2833" t="s">
        <v>946</v>
      </c>
      <c r="D2833" s="8">
        <v>1.0421287717115001E-3</v>
      </c>
      <c r="E2833" s="6">
        <f t="shared" si="88"/>
        <v>-0.1639999999999997</v>
      </c>
      <c r="F2833" s="8">
        <f t="shared" si="89"/>
        <v>-1.709091185606857E-4</v>
      </c>
    </row>
    <row r="2834" spans="1:6" x14ac:dyDescent="0.2">
      <c r="A2834">
        <v>25</v>
      </c>
      <c r="B2834" t="s">
        <v>1150</v>
      </c>
      <c r="C2834" t="s">
        <v>947</v>
      </c>
      <c r="D2834" s="8">
        <v>8.4932575591039998E-4</v>
      </c>
      <c r="E2834" s="6">
        <f t="shared" si="88"/>
        <v>0.15500000000000003</v>
      </c>
      <c r="F2834" s="8">
        <f t="shared" si="89"/>
        <v>1.3164549216611201E-4</v>
      </c>
    </row>
    <row r="2835" spans="1:6" x14ac:dyDescent="0.2">
      <c r="A2835">
        <v>25</v>
      </c>
      <c r="B2835" t="s">
        <v>1150</v>
      </c>
      <c r="C2835" t="s">
        <v>948</v>
      </c>
      <c r="D2835" s="8">
        <v>2.1170804020162999E-3</v>
      </c>
      <c r="E2835" s="6">
        <f t="shared" si="88"/>
        <v>-1.0880000000000001</v>
      </c>
      <c r="F2835" s="8">
        <f t="shared" si="89"/>
        <v>-2.3033834773937343E-3</v>
      </c>
    </row>
    <row r="2836" spans="1:6" x14ac:dyDescent="0.2">
      <c r="A2836">
        <v>25</v>
      </c>
      <c r="B2836" t="s">
        <v>1150</v>
      </c>
      <c r="C2836" t="s">
        <v>950</v>
      </c>
      <c r="D2836" s="8">
        <v>3.4095627345741E-3</v>
      </c>
      <c r="E2836" s="6">
        <f t="shared" si="88"/>
        <v>0.38300000000000001</v>
      </c>
      <c r="F2836" s="8">
        <f t="shared" si="89"/>
        <v>1.3058625273418803E-3</v>
      </c>
    </row>
    <row r="2837" spans="1:6" x14ac:dyDescent="0.2">
      <c r="A2837">
        <v>25</v>
      </c>
      <c r="B2837" t="s">
        <v>1150</v>
      </c>
      <c r="C2837" t="s">
        <v>951</v>
      </c>
      <c r="D2837" s="8">
        <v>3.978832059609E-4</v>
      </c>
      <c r="E2837" s="6">
        <f t="shared" si="88"/>
        <v>-8.8000000000000078E-2</v>
      </c>
      <c r="F2837" s="8">
        <f t="shared" si="89"/>
        <v>-3.5013722124559231E-5</v>
      </c>
    </row>
    <row r="2838" spans="1:6" x14ac:dyDescent="0.2">
      <c r="A2838">
        <v>25</v>
      </c>
      <c r="B2838" t="s">
        <v>1150</v>
      </c>
      <c r="C2838" t="s">
        <v>952</v>
      </c>
      <c r="D2838" s="8">
        <v>1.7442204104650999E-3</v>
      </c>
      <c r="E2838" s="6">
        <f t="shared" si="88"/>
        <v>0.28300000000000014</v>
      </c>
      <c r="F2838" s="8">
        <f t="shared" si="89"/>
        <v>4.9361437616162352E-4</v>
      </c>
    </row>
    <row r="2839" spans="1:6" x14ac:dyDescent="0.2">
      <c r="A2839">
        <v>25</v>
      </c>
      <c r="B2839" t="s">
        <v>1150</v>
      </c>
      <c r="C2839" t="s">
        <v>953</v>
      </c>
      <c r="D2839" s="8">
        <v>2.8782857205209998E-4</v>
      </c>
      <c r="E2839" s="6">
        <f t="shared" si="88"/>
        <v>-0.42500000000000004</v>
      </c>
      <c r="F2839" s="8">
        <f t="shared" si="89"/>
        <v>-1.2232714312214251E-4</v>
      </c>
    </row>
    <row r="2840" spans="1:6" x14ac:dyDescent="0.2">
      <c r="A2840">
        <v>25</v>
      </c>
      <c r="B2840" t="s">
        <v>1150</v>
      </c>
      <c r="C2840" t="s">
        <v>955</v>
      </c>
      <c r="D2840" s="8">
        <v>1.5523246075089999E-4</v>
      </c>
      <c r="E2840" s="6">
        <f t="shared" si="88"/>
        <v>-0.40500000000000003</v>
      </c>
      <c r="F2840" s="8">
        <f t="shared" si="89"/>
        <v>-6.2869146604114506E-5</v>
      </c>
    </row>
    <row r="2841" spans="1:6" x14ac:dyDescent="0.2">
      <c r="A2841">
        <v>25</v>
      </c>
      <c r="B2841" t="s">
        <v>1150</v>
      </c>
      <c r="C2841" t="s">
        <v>956</v>
      </c>
      <c r="D2841" s="8">
        <v>3.502144770418E-4</v>
      </c>
      <c r="E2841" s="6">
        <f t="shared" si="88"/>
        <v>-0.44700000000000006</v>
      </c>
      <c r="F2841" s="8">
        <f t="shared" si="89"/>
        <v>-1.5654587123768463E-4</v>
      </c>
    </row>
    <row r="2842" spans="1:6" x14ac:dyDescent="0.2">
      <c r="A2842">
        <v>25</v>
      </c>
      <c r="B2842" t="s">
        <v>1150</v>
      </c>
      <c r="C2842" t="s">
        <v>957</v>
      </c>
      <c r="D2842" s="8">
        <v>1.3112228543884601E-2</v>
      </c>
      <c r="E2842" s="6">
        <f t="shared" si="88"/>
        <v>-0.11499999999999988</v>
      </c>
      <c r="F2842" s="8">
        <f t="shared" si="89"/>
        <v>-1.5079062825467276E-3</v>
      </c>
    </row>
    <row r="2843" spans="1:6" x14ac:dyDescent="0.2">
      <c r="A2843">
        <v>25</v>
      </c>
      <c r="B2843" t="s">
        <v>1150</v>
      </c>
      <c r="C2843" t="s">
        <v>958</v>
      </c>
      <c r="D2843" s="8">
        <v>5.5061726466464452E-5</v>
      </c>
      <c r="E2843" s="6">
        <f t="shared" si="88"/>
        <v>9.6999999999999975E-2</v>
      </c>
      <c r="F2843" s="8">
        <f t="shared" si="89"/>
        <v>5.3409874672470504E-6</v>
      </c>
    </row>
    <row r="2844" spans="1:6" x14ac:dyDescent="0.2">
      <c r="A2844">
        <v>25</v>
      </c>
      <c r="B2844" t="s">
        <v>1150</v>
      </c>
      <c r="C2844" t="s">
        <v>959</v>
      </c>
      <c r="D2844" s="8">
        <v>1.2001122914190299E-2</v>
      </c>
      <c r="E2844" s="6">
        <f t="shared" si="88"/>
        <v>-0.60699999999999998</v>
      </c>
      <c r="F2844" s="8">
        <f t="shared" si="89"/>
        <v>-7.2846816089135111E-3</v>
      </c>
    </row>
    <row r="2845" spans="1:6" x14ac:dyDescent="0.2">
      <c r="A2845">
        <v>25</v>
      </c>
      <c r="B2845" t="s">
        <v>1150</v>
      </c>
      <c r="C2845" t="s">
        <v>960</v>
      </c>
      <c r="D2845" s="8">
        <v>3.9700134065231851E-7</v>
      </c>
      <c r="E2845" s="6">
        <f t="shared" si="88"/>
        <v>0.29999999999999982</v>
      </c>
      <c r="F2845" s="8">
        <f t="shared" si="89"/>
        <v>1.1910040219569548E-7</v>
      </c>
    </row>
    <row r="2846" spans="1:6" x14ac:dyDescent="0.2">
      <c r="A2846">
        <v>25</v>
      </c>
      <c r="B2846" t="s">
        <v>1150</v>
      </c>
      <c r="C2846" t="s">
        <v>961</v>
      </c>
      <c r="D2846" s="8">
        <v>1.2356026253600001E-4</v>
      </c>
      <c r="E2846" s="6">
        <f t="shared" si="88"/>
        <v>6.9999999999996732E-3</v>
      </c>
      <c r="F2846" s="8">
        <f t="shared" si="89"/>
        <v>8.6492183775195963E-7</v>
      </c>
    </row>
    <row r="2847" spans="1:6" x14ac:dyDescent="0.2">
      <c r="A2847">
        <v>25</v>
      </c>
      <c r="B2847" t="s">
        <v>1150</v>
      </c>
      <c r="C2847" t="s">
        <v>962</v>
      </c>
      <c r="D2847" s="8">
        <v>1.6577618363279999E-3</v>
      </c>
      <c r="E2847" s="6">
        <f t="shared" si="88"/>
        <v>-1.9090000000000007</v>
      </c>
      <c r="F2847" s="8">
        <f t="shared" si="89"/>
        <v>-3.1646673455501531E-3</v>
      </c>
    </row>
    <row r="2848" spans="1:6" x14ac:dyDescent="0.2">
      <c r="A2848">
        <v>25</v>
      </c>
      <c r="B2848" t="s">
        <v>1150</v>
      </c>
      <c r="C2848" t="s">
        <v>963</v>
      </c>
      <c r="D2848" s="8">
        <v>3.991453076509317E-5</v>
      </c>
      <c r="E2848" s="6">
        <f t="shared" si="88"/>
        <v>7.2000000000000064E-2</v>
      </c>
      <c r="F2848" s="8">
        <f t="shared" si="89"/>
        <v>2.8738462150867107E-6</v>
      </c>
    </row>
    <row r="2849" spans="1:6" x14ac:dyDescent="0.2">
      <c r="A2849">
        <v>25</v>
      </c>
      <c r="B2849" t="s">
        <v>1150</v>
      </c>
      <c r="C2849" t="s">
        <v>964</v>
      </c>
      <c r="D2849" s="8">
        <v>8.46803060815941E-6</v>
      </c>
      <c r="E2849" s="6">
        <f t="shared" si="88"/>
        <v>-9.9999999999999645E-2</v>
      </c>
      <c r="F2849" s="8">
        <f t="shared" si="89"/>
        <v>-8.4680306081593802E-7</v>
      </c>
    </row>
    <row r="2850" spans="1:6" x14ac:dyDescent="0.2">
      <c r="A2850">
        <v>25</v>
      </c>
      <c r="B2850" t="s">
        <v>1150</v>
      </c>
      <c r="C2850" t="s">
        <v>1118</v>
      </c>
      <c r="D2850" s="8">
        <v>6.4414865412883198E-5</v>
      </c>
      <c r="E2850" s="6">
        <f t="shared" si="88"/>
        <v>0</v>
      </c>
      <c r="F2850" s="8">
        <f t="shared" si="89"/>
        <v>0</v>
      </c>
    </row>
    <row r="2851" spans="1:6" x14ac:dyDescent="0.2">
      <c r="A2851">
        <v>25</v>
      </c>
      <c r="B2851" t="s">
        <v>1150</v>
      </c>
      <c r="C2851" t="s">
        <v>965</v>
      </c>
      <c r="D2851" s="8">
        <v>4.4622980795920001E-4</v>
      </c>
      <c r="E2851" s="6">
        <f t="shared" si="88"/>
        <v>4.5000000000000151E-2</v>
      </c>
      <c r="F2851" s="8">
        <f t="shared" si="89"/>
        <v>2.0080341358164067E-5</v>
      </c>
    </row>
    <row r="2852" spans="1:6" x14ac:dyDescent="0.2">
      <c r="A2852">
        <v>25</v>
      </c>
      <c r="B2852" t="s">
        <v>1150</v>
      </c>
      <c r="C2852" t="s">
        <v>966</v>
      </c>
      <c r="D2852" s="8">
        <v>1.872331754983E-4</v>
      </c>
      <c r="E2852" s="6">
        <f t="shared" si="88"/>
        <v>-0.21399999999999997</v>
      </c>
      <c r="F2852" s="8">
        <f t="shared" si="89"/>
        <v>-4.0067899556636192E-5</v>
      </c>
    </row>
    <row r="2853" spans="1:6" x14ac:dyDescent="0.2">
      <c r="A2853">
        <v>25</v>
      </c>
      <c r="B2853" t="s">
        <v>1150</v>
      </c>
      <c r="C2853" t="s">
        <v>1146</v>
      </c>
      <c r="D2853" s="8">
        <v>4.3086387753950759E-6</v>
      </c>
      <c r="E2853" s="6">
        <f t="shared" si="88"/>
        <v>0</v>
      </c>
      <c r="F2853" s="8">
        <f t="shared" si="89"/>
        <v>0</v>
      </c>
    </row>
    <row r="2854" spans="1:6" x14ac:dyDescent="0.2">
      <c r="A2854">
        <v>25</v>
      </c>
      <c r="B2854" t="s">
        <v>1150</v>
      </c>
      <c r="C2854" t="s">
        <v>967</v>
      </c>
      <c r="D2854" s="8">
        <v>3.5420670323257999E-3</v>
      </c>
      <c r="E2854" s="6">
        <f t="shared" si="88"/>
        <v>0.10000000000000009</v>
      </c>
      <c r="F2854" s="8">
        <f t="shared" si="89"/>
        <v>3.5420670323258033E-4</v>
      </c>
    </row>
    <row r="2855" spans="1:6" x14ac:dyDescent="0.2">
      <c r="A2855">
        <v>25</v>
      </c>
      <c r="B2855" t="s">
        <v>1150</v>
      </c>
      <c r="C2855" t="s">
        <v>1105</v>
      </c>
      <c r="D2855" s="8">
        <v>3.9002569959092099E-6</v>
      </c>
      <c r="E2855" s="6">
        <f t="shared" si="88"/>
        <v>0</v>
      </c>
      <c r="F2855" s="8">
        <f t="shared" si="89"/>
        <v>0</v>
      </c>
    </row>
    <row r="2856" spans="1:6" x14ac:dyDescent="0.2">
      <c r="A2856">
        <v>25</v>
      </c>
      <c r="B2856" t="s">
        <v>1150</v>
      </c>
      <c r="C2856" t="s">
        <v>968</v>
      </c>
      <c r="D2856" s="8">
        <v>6.847371477895802E-5</v>
      </c>
      <c r="E2856" s="6">
        <f t="shared" si="88"/>
        <v>-6.7510000000000012</v>
      </c>
      <c r="F2856" s="8">
        <f t="shared" si="89"/>
        <v>-4.622660484727457E-4</v>
      </c>
    </row>
    <row r="2857" spans="1:6" x14ac:dyDescent="0.2">
      <c r="A2857">
        <v>25</v>
      </c>
      <c r="B2857" t="s">
        <v>1150</v>
      </c>
      <c r="C2857" t="s">
        <v>969</v>
      </c>
      <c r="D2857" s="8">
        <v>1.7489401581070001E-4</v>
      </c>
      <c r="E2857" s="6">
        <f t="shared" si="88"/>
        <v>0.53699999999999992</v>
      </c>
      <c r="F2857" s="8">
        <f t="shared" si="89"/>
        <v>9.3918086490345896E-5</v>
      </c>
    </row>
    <row r="2858" spans="1:6" x14ac:dyDescent="0.2">
      <c r="A2858">
        <v>25</v>
      </c>
      <c r="B2858" t="s">
        <v>1150</v>
      </c>
      <c r="C2858" t="s">
        <v>970</v>
      </c>
      <c r="D2858" s="8">
        <v>1.4232150007236E-3</v>
      </c>
      <c r="E2858" s="6">
        <f t="shared" si="88"/>
        <v>-0.10000000000000009</v>
      </c>
      <c r="F2858" s="8">
        <f t="shared" si="89"/>
        <v>-1.4232150007236012E-4</v>
      </c>
    </row>
    <row r="2859" spans="1:6" x14ac:dyDescent="0.2">
      <c r="A2859">
        <v>25</v>
      </c>
      <c r="B2859" t="s">
        <v>1150</v>
      </c>
      <c r="C2859" t="s">
        <v>971</v>
      </c>
      <c r="D2859" s="8">
        <v>6.5451358430167356E-6</v>
      </c>
      <c r="E2859" s="6">
        <f t="shared" si="88"/>
        <v>-0.13700000000000001</v>
      </c>
      <c r="F2859" s="8">
        <f t="shared" si="89"/>
        <v>-8.966836104932928E-7</v>
      </c>
    </row>
    <row r="2860" spans="1:6" x14ac:dyDescent="0.2">
      <c r="A2860">
        <v>25</v>
      </c>
      <c r="B2860" t="s">
        <v>1150</v>
      </c>
      <c r="C2860" t="s">
        <v>972</v>
      </c>
      <c r="D2860" s="8">
        <v>1.790263566751184E-6</v>
      </c>
      <c r="E2860" s="6">
        <f t="shared" si="88"/>
        <v>-2.7</v>
      </c>
      <c r="F2860" s="8">
        <f t="shared" si="89"/>
        <v>-4.8337116302281975E-6</v>
      </c>
    </row>
    <row r="2861" spans="1:6" x14ac:dyDescent="0.2">
      <c r="A2861">
        <v>25</v>
      </c>
      <c r="B2861" t="s">
        <v>1150</v>
      </c>
      <c r="C2861" t="s">
        <v>973</v>
      </c>
      <c r="D2861" s="8">
        <v>1.5392542050617141E-5</v>
      </c>
      <c r="E2861" s="6">
        <f t="shared" si="88"/>
        <v>-0.84999999999999987</v>
      </c>
      <c r="F2861" s="8">
        <f t="shared" si="89"/>
        <v>-1.3083660743024568E-5</v>
      </c>
    </row>
    <row r="2862" spans="1:6" x14ac:dyDescent="0.2">
      <c r="A2862">
        <v>25</v>
      </c>
      <c r="B2862" t="s">
        <v>1150</v>
      </c>
      <c r="C2862" t="s">
        <v>975</v>
      </c>
      <c r="D2862" s="8">
        <v>2.1402413101283099E-2</v>
      </c>
      <c r="E2862" s="6">
        <f t="shared" si="88"/>
        <v>0.23500000000000032</v>
      </c>
      <c r="F2862" s="8">
        <f t="shared" si="89"/>
        <v>5.0295670788015352E-3</v>
      </c>
    </row>
    <row r="2863" spans="1:6" x14ac:dyDescent="0.2">
      <c r="A2863">
        <v>25</v>
      </c>
      <c r="B2863" t="s">
        <v>1150</v>
      </c>
      <c r="C2863" t="s">
        <v>976</v>
      </c>
      <c r="D2863" s="8">
        <v>1.165698102093777E-5</v>
      </c>
      <c r="E2863" s="6">
        <f t="shared" si="88"/>
        <v>0.38700000000000001</v>
      </c>
      <c r="F2863" s="8">
        <f t="shared" si="89"/>
        <v>4.511251655102917E-6</v>
      </c>
    </row>
    <row r="2864" spans="1:6" x14ac:dyDescent="0.2">
      <c r="A2864">
        <v>25</v>
      </c>
      <c r="B2864" t="s">
        <v>1150</v>
      </c>
      <c r="C2864" t="s">
        <v>977</v>
      </c>
      <c r="D2864" s="8">
        <v>9.6453768581930002E-4</v>
      </c>
      <c r="E2864" s="6">
        <f t="shared" si="88"/>
        <v>-7.2039999999999997</v>
      </c>
      <c r="F2864" s="8">
        <f t="shared" si="89"/>
        <v>-6.9485294886422371E-3</v>
      </c>
    </row>
    <row r="2865" spans="1:6" x14ac:dyDescent="0.2">
      <c r="A2865">
        <v>25</v>
      </c>
      <c r="B2865" t="s">
        <v>1150</v>
      </c>
      <c r="C2865" t="s">
        <v>978</v>
      </c>
      <c r="D2865" s="8">
        <v>7.5106591592718007E-6</v>
      </c>
      <c r="E2865" s="6">
        <f t="shared" si="88"/>
        <v>-8.2390000000000008</v>
      </c>
      <c r="F2865" s="8">
        <f t="shared" si="89"/>
        <v>-6.1880320813240377E-5</v>
      </c>
    </row>
    <row r="2866" spans="1:6" x14ac:dyDescent="0.2">
      <c r="A2866">
        <v>25</v>
      </c>
      <c r="B2866" t="s">
        <v>1150</v>
      </c>
      <c r="C2866" t="s">
        <v>979</v>
      </c>
      <c r="D2866" s="8">
        <v>3.1632299979540857E-8</v>
      </c>
      <c r="E2866" s="6">
        <f t="shared" si="88"/>
        <v>-0.5</v>
      </c>
      <c r="F2866" s="8">
        <f t="shared" si="89"/>
        <v>-1.5816149989770428E-8</v>
      </c>
    </row>
    <row r="2867" spans="1:6" x14ac:dyDescent="0.2">
      <c r="A2867">
        <v>25</v>
      </c>
      <c r="B2867" t="s">
        <v>1150</v>
      </c>
      <c r="C2867" t="s">
        <v>980</v>
      </c>
      <c r="D2867" s="8">
        <v>8.9380912108810655E-5</v>
      </c>
      <c r="E2867" s="6">
        <f t="shared" si="88"/>
        <v>-0.10000000000000009</v>
      </c>
      <c r="F2867" s="8">
        <f t="shared" si="89"/>
        <v>-8.9380912108810736E-6</v>
      </c>
    </row>
    <row r="2868" spans="1:6" x14ac:dyDescent="0.2">
      <c r="A2868">
        <v>25</v>
      </c>
      <c r="B2868" t="s">
        <v>1150</v>
      </c>
      <c r="C2868" t="s">
        <v>981</v>
      </c>
      <c r="D2868" s="8">
        <v>8.4849875458940002E-4</v>
      </c>
      <c r="E2868" s="6">
        <f t="shared" si="88"/>
        <v>-0.33499999999999996</v>
      </c>
      <c r="F2868" s="8">
        <f t="shared" si="89"/>
        <v>-2.8424708278744899E-4</v>
      </c>
    </row>
    <row r="2869" spans="1:6" x14ac:dyDescent="0.2">
      <c r="A2869">
        <v>25</v>
      </c>
      <c r="B2869" t="s">
        <v>1150</v>
      </c>
      <c r="C2869" t="s">
        <v>982</v>
      </c>
      <c r="D2869" s="8">
        <v>1.8516297137279999E-3</v>
      </c>
      <c r="E2869" s="6">
        <f t="shared" si="88"/>
        <v>-2.8</v>
      </c>
      <c r="F2869" s="8">
        <f t="shared" si="89"/>
        <v>-5.1845631984383991E-3</v>
      </c>
    </row>
    <row r="2870" spans="1:6" x14ac:dyDescent="0.2">
      <c r="A2870">
        <v>25</v>
      </c>
      <c r="B2870" t="s">
        <v>1150</v>
      </c>
      <c r="C2870" t="s">
        <v>983</v>
      </c>
      <c r="D2870" s="8">
        <v>1.1890036951556001E-3</v>
      </c>
      <c r="E2870" s="6">
        <f t="shared" si="88"/>
        <v>-0.19999999999999973</v>
      </c>
      <c r="F2870" s="8">
        <f t="shared" si="89"/>
        <v>-2.378007390311197E-4</v>
      </c>
    </row>
    <row r="2871" spans="1:6" x14ac:dyDescent="0.2">
      <c r="A2871">
        <v>25</v>
      </c>
      <c r="B2871" t="s">
        <v>1150</v>
      </c>
      <c r="C2871" t="s">
        <v>984</v>
      </c>
      <c r="D2871" s="8">
        <v>6.2905090587743198E-2</v>
      </c>
      <c r="E2871" s="6">
        <f t="shared" si="88"/>
        <v>0.121</v>
      </c>
      <c r="F2871" s="8">
        <f t="shared" si="89"/>
        <v>7.6115159611169266E-3</v>
      </c>
    </row>
    <row r="2872" spans="1:6" x14ac:dyDescent="0.2">
      <c r="A2872">
        <v>25</v>
      </c>
      <c r="B2872" t="s">
        <v>1150</v>
      </c>
      <c r="C2872" t="s">
        <v>985</v>
      </c>
      <c r="D2872" s="8">
        <v>7.9480310070982363E-5</v>
      </c>
      <c r="E2872" s="6">
        <f t="shared" si="88"/>
        <v>0.34299999999999997</v>
      </c>
      <c r="F2872" s="8">
        <f t="shared" si="89"/>
        <v>2.7261746354346949E-5</v>
      </c>
    </row>
    <row r="2873" spans="1:6" x14ac:dyDescent="0.2">
      <c r="A2873">
        <v>25</v>
      </c>
      <c r="B2873" t="s">
        <v>1150</v>
      </c>
      <c r="C2873" t="s">
        <v>986</v>
      </c>
      <c r="D2873" s="8">
        <v>1.3274479109899999E-4</v>
      </c>
      <c r="E2873" s="6">
        <f t="shared" si="88"/>
        <v>-0.38900000000000023</v>
      </c>
      <c r="F2873" s="8">
        <f t="shared" si="89"/>
        <v>-5.163772373751103E-5</v>
      </c>
    </row>
    <row r="2874" spans="1:6" x14ac:dyDescent="0.2">
      <c r="A2874">
        <v>25</v>
      </c>
      <c r="B2874" t="s">
        <v>1150</v>
      </c>
      <c r="C2874" t="s">
        <v>987</v>
      </c>
      <c r="D2874" s="8">
        <v>1.7733259079439571E-8</v>
      </c>
      <c r="E2874" s="6">
        <f t="shared" si="88"/>
        <v>0.83399999999999963</v>
      </c>
      <c r="F2874" s="8">
        <f t="shared" si="89"/>
        <v>1.4789538072252596E-8</v>
      </c>
    </row>
    <row r="2875" spans="1:6" x14ac:dyDescent="0.2">
      <c r="A2875">
        <v>25</v>
      </c>
      <c r="B2875" t="s">
        <v>1150</v>
      </c>
      <c r="C2875" t="s">
        <v>988</v>
      </c>
      <c r="D2875" s="8">
        <v>4.5050248198376004E-3</v>
      </c>
      <c r="E2875" s="6">
        <f t="shared" si="88"/>
        <v>0.59299999999999997</v>
      </c>
      <c r="F2875" s="8">
        <f t="shared" si="89"/>
        <v>2.671479718163697E-3</v>
      </c>
    </row>
    <row r="2876" spans="1:6" x14ac:dyDescent="0.2">
      <c r="A2876">
        <v>25</v>
      </c>
      <c r="B2876" t="s">
        <v>1150</v>
      </c>
      <c r="C2876" t="s">
        <v>989</v>
      </c>
      <c r="D2876" s="8">
        <v>6.4004076862694351E-6</v>
      </c>
      <c r="E2876" s="6">
        <f t="shared" si="88"/>
        <v>-0.12199999999999989</v>
      </c>
      <c r="F2876" s="8">
        <f t="shared" si="89"/>
        <v>-7.8084973772487037E-7</v>
      </c>
    </row>
    <row r="2877" spans="1:6" x14ac:dyDescent="0.2">
      <c r="A2877">
        <v>25</v>
      </c>
      <c r="B2877" t="s">
        <v>1150</v>
      </c>
      <c r="C2877" t="s">
        <v>1119</v>
      </c>
      <c r="D2877" s="8">
        <v>1.529551043373E-4</v>
      </c>
      <c r="E2877" s="6">
        <f t="shared" si="88"/>
        <v>0</v>
      </c>
      <c r="F2877" s="8">
        <f t="shared" si="89"/>
        <v>0</v>
      </c>
    </row>
    <row r="2878" spans="1:6" x14ac:dyDescent="0.2">
      <c r="A2878">
        <v>25</v>
      </c>
      <c r="B2878" t="s">
        <v>1150</v>
      </c>
      <c r="C2878" t="s">
        <v>990</v>
      </c>
      <c r="D2878" s="8">
        <v>3.1126254126484002E-3</v>
      </c>
      <c r="E2878" s="6">
        <f t="shared" ref="E2878:E2941" si="90">IFERROR(VLOOKUP(C2878,$A$6:$D$185,4,FALSE),0)</f>
        <v>0.45299999999999985</v>
      </c>
      <c r="F2878" s="8">
        <f t="shared" ref="F2878:F2941" si="91">D2878*E2878</f>
        <v>1.4100193119297249E-3</v>
      </c>
    </row>
    <row r="2879" spans="1:6" x14ac:dyDescent="0.2">
      <c r="A2879">
        <v>25</v>
      </c>
      <c r="B2879" t="s">
        <v>1150</v>
      </c>
      <c r="C2879" t="s">
        <v>991</v>
      </c>
      <c r="D2879" s="8">
        <v>1.2845285648174901E-2</v>
      </c>
      <c r="E2879" s="6">
        <f t="shared" si="90"/>
        <v>-3.7290000000000001</v>
      </c>
      <c r="F2879" s="8">
        <f t="shared" si="91"/>
        <v>-4.7900070182044202E-2</v>
      </c>
    </row>
    <row r="2880" spans="1:6" x14ac:dyDescent="0.2">
      <c r="A2880">
        <v>25</v>
      </c>
      <c r="B2880" t="s">
        <v>1150</v>
      </c>
      <c r="C2880" t="s">
        <v>992</v>
      </c>
      <c r="D2880" s="8">
        <v>1.5568879533980001E-4</v>
      </c>
      <c r="E2880" s="6">
        <f t="shared" si="90"/>
        <v>2.048</v>
      </c>
      <c r="F2880" s="8">
        <f t="shared" si="91"/>
        <v>3.1885065285591042E-4</v>
      </c>
    </row>
    <row r="2881" spans="1:6" x14ac:dyDescent="0.2">
      <c r="A2881">
        <v>25</v>
      </c>
      <c r="B2881" t="s">
        <v>1150</v>
      </c>
      <c r="C2881" t="s">
        <v>1092</v>
      </c>
      <c r="D2881" s="8">
        <v>1.8749031797159999E-3</v>
      </c>
      <c r="E2881" s="6">
        <f t="shared" si="90"/>
        <v>0</v>
      </c>
      <c r="F2881" s="8">
        <f t="shared" si="91"/>
        <v>0</v>
      </c>
    </row>
    <row r="2882" spans="1:6" x14ac:dyDescent="0.2">
      <c r="A2882">
        <v>25</v>
      </c>
      <c r="B2882" t="s">
        <v>1150</v>
      </c>
      <c r="C2882" t="s">
        <v>993</v>
      </c>
      <c r="D2882" s="8">
        <v>6.2829442555976814E-5</v>
      </c>
      <c r="E2882" s="6">
        <f t="shared" si="90"/>
        <v>-0.42900000000000027</v>
      </c>
      <c r="F2882" s="8">
        <f t="shared" si="91"/>
        <v>-2.695383085651407E-5</v>
      </c>
    </row>
    <row r="2883" spans="1:6" x14ac:dyDescent="0.2">
      <c r="A2883">
        <v>25</v>
      </c>
      <c r="B2883" t="s">
        <v>1150</v>
      </c>
      <c r="C2883" t="s">
        <v>994</v>
      </c>
      <c r="D2883" s="8">
        <v>3.5757343687660998E-3</v>
      </c>
      <c r="E2883" s="6">
        <f t="shared" si="90"/>
        <v>2.415</v>
      </c>
      <c r="F2883" s="8">
        <f t="shared" si="91"/>
        <v>8.6353985005701312E-3</v>
      </c>
    </row>
    <row r="2884" spans="1:6" x14ac:dyDescent="0.2">
      <c r="A2884">
        <v>25</v>
      </c>
      <c r="B2884" t="s">
        <v>1150</v>
      </c>
      <c r="C2884" t="s">
        <v>1120</v>
      </c>
      <c r="D2884" s="8">
        <v>2.8909401007109998E-4</v>
      </c>
      <c r="E2884" s="6">
        <f t="shared" si="90"/>
        <v>0</v>
      </c>
      <c r="F2884" s="8">
        <f t="shared" si="91"/>
        <v>0</v>
      </c>
    </row>
    <row r="2885" spans="1:6" x14ac:dyDescent="0.2">
      <c r="A2885">
        <v>25</v>
      </c>
      <c r="B2885" t="s">
        <v>1150</v>
      </c>
      <c r="C2885" t="s">
        <v>1093</v>
      </c>
      <c r="D2885" s="8">
        <v>5.8833646428583937E-5</v>
      </c>
      <c r="E2885" s="6">
        <f t="shared" si="90"/>
        <v>0</v>
      </c>
      <c r="F2885" s="8">
        <f t="shared" si="91"/>
        <v>0</v>
      </c>
    </row>
    <row r="2886" spans="1:6" x14ac:dyDescent="0.2">
      <c r="A2886">
        <v>25</v>
      </c>
      <c r="B2886" t="s">
        <v>1150</v>
      </c>
      <c r="C2886" t="s">
        <v>996</v>
      </c>
      <c r="D2886" s="8">
        <v>8.0707952204390611E-6</v>
      </c>
      <c r="E2886" s="6">
        <f t="shared" si="90"/>
        <v>0.44099999999999984</v>
      </c>
      <c r="F2886" s="8">
        <f t="shared" si="91"/>
        <v>3.5592206922136245E-6</v>
      </c>
    </row>
    <row r="2887" spans="1:6" x14ac:dyDescent="0.2">
      <c r="A2887">
        <v>25</v>
      </c>
      <c r="B2887" t="s">
        <v>1150</v>
      </c>
      <c r="C2887" t="s">
        <v>998</v>
      </c>
      <c r="D2887" s="8">
        <v>3.3436426801155801E-5</v>
      </c>
      <c r="E2887" s="6">
        <f t="shared" si="90"/>
        <v>-0.28200000000000003</v>
      </c>
      <c r="F2887" s="8">
        <f t="shared" si="91"/>
        <v>-9.4290723579259362E-6</v>
      </c>
    </row>
    <row r="2888" spans="1:6" x14ac:dyDescent="0.2">
      <c r="A2888">
        <v>25</v>
      </c>
      <c r="B2888" t="s">
        <v>1150</v>
      </c>
      <c r="C2888" t="s">
        <v>999</v>
      </c>
      <c r="D2888" s="8">
        <v>1.0016894993521271E-6</v>
      </c>
      <c r="E2888" s="6">
        <f t="shared" si="90"/>
        <v>-0.5219999999999998</v>
      </c>
      <c r="F2888" s="8">
        <f t="shared" si="91"/>
        <v>-5.2288191866181009E-7</v>
      </c>
    </row>
    <row r="2889" spans="1:6" x14ac:dyDescent="0.2">
      <c r="A2889">
        <v>25</v>
      </c>
      <c r="B2889" t="s">
        <v>1150</v>
      </c>
      <c r="C2889" t="s">
        <v>1000</v>
      </c>
      <c r="D2889" s="8">
        <v>3.8099589371340002E-4</v>
      </c>
      <c r="E2889" s="6">
        <f t="shared" si="90"/>
        <v>1.1540000000000004</v>
      </c>
      <c r="F2889" s="8">
        <f t="shared" si="91"/>
        <v>4.3966926134526374E-4</v>
      </c>
    </row>
    <row r="2890" spans="1:6" x14ac:dyDescent="0.2">
      <c r="A2890">
        <v>25</v>
      </c>
      <c r="B2890" t="s">
        <v>1150</v>
      </c>
      <c r="C2890" t="s">
        <v>1001</v>
      </c>
      <c r="D2890" s="8">
        <v>1.53128928778232E-5</v>
      </c>
      <c r="E2890" s="6">
        <f t="shared" si="90"/>
        <v>-0.60600000000000032</v>
      </c>
      <c r="F2890" s="8">
        <f t="shared" si="91"/>
        <v>-9.2796130839608642E-6</v>
      </c>
    </row>
    <row r="2891" spans="1:6" x14ac:dyDescent="0.2">
      <c r="A2891">
        <v>25</v>
      </c>
      <c r="B2891" t="s">
        <v>1150</v>
      </c>
      <c r="C2891" t="s">
        <v>1002</v>
      </c>
      <c r="D2891" s="8">
        <v>4.1816456047220001E-4</v>
      </c>
      <c r="E2891" s="6">
        <f t="shared" si="90"/>
        <v>-1.3390000000000004</v>
      </c>
      <c r="F2891" s="8">
        <f t="shared" si="91"/>
        <v>-5.5992234647227602E-4</v>
      </c>
    </row>
    <row r="2892" spans="1:6" x14ac:dyDescent="0.2">
      <c r="A2892">
        <v>25</v>
      </c>
      <c r="B2892" t="s">
        <v>1150</v>
      </c>
      <c r="C2892" t="s">
        <v>1003</v>
      </c>
      <c r="D2892" s="8">
        <v>4.9019675224573102E-2</v>
      </c>
      <c r="E2892" s="6">
        <f t="shared" si="90"/>
        <v>0.22999999999999998</v>
      </c>
      <c r="F2892" s="8">
        <f t="shared" si="91"/>
        <v>1.1274525301651812E-2</v>
      </c>
    </row>
    <row r="2893" spans="1:6" x14ac:dyDescent="0.2">
      <c r="A2893">
        <v>25</v>
      </c>
      <c r="B2893" t="s">
        <v>1150</v>
      </c>
      <c r="C2893" t="s">
        <v>1006</v>
      </c>
      <c r="D2893" s="8">
        <v>7.8852861050589999E-4</v>
      </c>
      <c r="E2893" s="6">
        <f t="shared" si="90"/>
        <v>0.40000000000000036</v>
      </c>
      <c r="F2893" s="8">
        <f t="shared" si="91"/>
        <v>3.1541144420236026E-4</v>
      </c>
    </row>
    <row r="2894" spans="1:6" x14ac:dyDescent="0.2">
      <c r="A2894">
        <v>25</v>
      </c>
      <c r="B2894" t="s">
        <v>1150</v>
      </c>
      <c r="C2894" t="s">
        <v>1007</v>
      </c>
      <c r="D2894" s="8">
        <v>3.5130830759687168E-5</v>
      </c>
      <c r="E2894" s="6">
        <f t="shared" si="90"/>
        <v>-0.19999999999999973</v>
      </c>
      <c r="F2894" s="8">
        <f t="shared" si="91"/>
        <v>-7.0261661519374244E-6</v>
      </c>
    </row>
    <row r="2895" spans="1:6" x14ac:dyDescent="0.2">
      <c r="A2895">
        <v>25</v>
      </c>
      <c r="B2895" t="s">
        <v>1150</v>
      </c>
      <c r="C2895" t="s">
        <v>1008</v>
      </c>
      <c r="D2895" s="8">
        <v>2.093920740416E-4</v>
      </c>
      <c r="E2895" s="6">
        <f t="shared" si="90"/>
        <v>0.94799999999999995</v>
      </c>
      <c r="F2895" s="8">
        <f t="shared" si="91"/>
        <v>1.9850368619143678E-4</v>
      </c>
    </row>
    <row r="2896" spans="1:6" x14ac:dyDescent="0.2">
      <c r="A2896">
        <v>25</v>
      </c>
      <c r="B2896" t="s">
        <v>1150</v>
      </c>
      <c r="C2896" t="s">
        <v>1009</v>
      </c>
      <c r="D2896" s="8">
        <v>2.0516609118503E-5</v>
      </c>
      <c r="E2896" s="6">
        <f t="shared" si="90"/>
        <v>-0.5990000000000002</v>
      </c>
      <c r="F2896" s="8">
        <f t="shared" si="91"/>
        <v>-1.2289448861983302E-5</v>
      </c>
    </row>
    <row r="2897" spans="1:6" x14ac:dyDescent="0.2">
      <c r="A2897">
        <v>25</v>
      </c>
      <c r="B2897" t="s">
        <v>1150</v>
      </c>
      <c r="C2897" t="s">
        <v>1010</v>
      </c>
      <c r="D2897" s="8">
        <v>4.42019854850474E-5</v>
      </c>
      <c r="E2897" s="6">
        <f t="shared" si="90"/>
        <v>-3.024</v>
      </c>
      <c r="F2897" s="8">
        <f t="shared" si="91"/>
        <v>-1.3366680410678333E-4</v>
      </c>
    </row>
    <row r="2898" spans="1:6" x14ac:dyDescent="0.2">
      <c r="A2898">
        <v>25</v>
      </c>
      <c r="B2898" t="s">
        <v>1150</v>
      </c>
      <c r="C2898" t="s">
        <v>1011</v>
      </c>
      <c r="D2898" s="8">
        <v>1.3760050491100269E-7</v>
      </c>
      <c r="E2898" s="6">
        <f t="shared" si="90"/>
        <v>0.68600000000000039</v>
      </c>
      <c r="F2898" s="8">
        <f t="shared" si="91"/>
        <v>9.4393946368947905E-8</v>
      </c>
    </row>
    <row r="2899" spans="1:6" x14ac:dyDescent="0.2">
      <c r="A2899">
        <v>25</v>
      </c>
      <c r="B2899" t="s">
        <v>1150</v>
      </c>
      <c r="C2899" t="s">
        <v>1012</v>
      </c>
      <c r="D2899" s="8">
        <v>2.151999323045E-4</v>
      </c>
      <c r="E2899" s="6">
        <f t="shared" si="90"/>
        <v>0.39999999999999991</v>
      </c>
      <c r="F2899" s="8">
        <f t="shared" si="91"/>
        <v>8.6079972921799982E-5</v>
      </c>
    </row>
    <row r="2900" spans="1:6" x14ac:dyDescent="0.2">
      <c r="A2900">
        <v>25</v>
      </c>
      <c r="B2900" t="s">
        <v>1150</v>
      </c>
      <c r="C2900" t="s">
        <v>1014</v>
      </c>
      <c r="D2900" s="8">
        <v>6.8813705531056202E-2</v>
      </c>
      <c r="E2900" s="6">
        <f t="shared" si="90"/>
        <v>0.90000000000000036</v>
      </c>
      <c r="F2900" s="8">
        <f t="shared" si="91"/>
        <v>6.1932334977950608E-2</v>
      </c>
    </row>
    <row r="2901" spans="1:6" x14ac:dyDescent="0.2">
      <c r="A2901">
        <v>25</v>
      </c>
      <c r="B2901" t="s">
        <v>1150</v>
      </c>
      <c r="C2901" t="s">
        <v>1015</v>
      </c>
      <c r="D2901" s="8">
        <v>1.174244494535977E-6</v>
      </c>
      <c r="E2901" s="6">
        <f t="shared" si="90"/>
        <v>-1.306</v>
      </c>
      <c r="F2901" s="8">
        <f t="shared" si="91"/>
        <v>-1.5335633098639861E-6</v>
      </c>
    </row>
    <row r="2902" spans="1:6" x14ac:dyDescent="0.2">
      <c r="A2902">
        <v>25</v>
      </c>
      <c r="B2902" t="s">
        <v>1150</v>
      </c>
      <c r="C2902" t="s">
        <v>1099</v>
      </c>
      <c r="D2902" s="8">
        <v>1.040275088498E-4</v>
      </c>
      <c r="E2902" s="6">
        <f t="shared" si="90"/>
        <v>0</v>
      </c>
      <c r="F2902" s="8">
        <f t="shared" si="91"/>
        <v>0</v>
      </c>
    </row>
    <row r="2903" spans="1:6" x14ac:dyDescent="0.2">
      <c r="A2903">
        <v>25</v>
      </c>
      <c r="B2903" t="s">
        <v>1150</v>
      </c>
      <c r="C2903" t="s">
        <v>1016</v>
      </c>
      <c r="D2903" s="8">
        <v>9.435371902988298E-6</v>
      </c>
      <c r="E2903" s="6">
        <f t="shared" si="90"/>
        <v>0</v>
      </c>
      <c r="F2903" s="8">
        <f t="shared" si="91"/>
        <v>0</v>
      </c>
    </row>
    <row r="2904" spans="1:6" x14ac:dyDescent="0.2">
      <c r="A2904">
        <v>25</v>
      </c>
      <c r="B2904" t="s">
        <v>1150</v>
      </c>
      <c r="C2904" t="s">
        <v>1017</v>
      </c>
      <c r="D2904" s="8">
        <v>1.4887046482157001E-3</v>
      </c>
      <c r="E2904" s="6">
        <f t="shared" si="90"/>
        <v>1.3749999999999996</v>
      </c>
      <c r="F2904" s="8">
        <f t="shared" si="91"/>
        <v>2.046968891296587E-3</v>
      </c>
    </row>
    <row r="2905" spans="1:6" x14ac:dyDescent="0.2">
      <c r="A2905">
        <v>25</v>
      </c>
      <c r="B2905" t="s">
        <v>1150</v>
      </c>
      <c r="C2905" t="s">
        <v>1018</v>
      </c>
      <c r="D2905" s="8">
        <v>2.7649599522892002E-3</v>
      </c>
      <c r="E2905" s="6">
        <f t="shared" si="90"/>
        <v>0.69999999999999973</v>
      </c>
      <c r="F2905" s="8">
        <f t="shared" si="91"/>
        <v>1.9354719666024394E-3</v>
      </c>
    </row>
    <row r="2906" spans="1:6" x14ac:dyDescent="0.2">
      <c r="A2906">
        <v>25</v>
      </c>
      <c r="B2906" t="s">
        <v>1150</v>
      </c>
      <c r="C2906" t="s">
        <v>1019</v>
      </c>
      <c r="D2906" s="8">
        <v>3.8778099498786999E-3</v>
      </c>
      <c r="E2906" s="6">
        <f t="shared" si="90"/>
        <v>-0.21599999999999997</v>
      </c>
      <c r="F2906" s="8">
        <f t="shared" si="91"/>
        <v>-8.3760694917379909E-4</v>
      </c>
    </row>
    <row r="2907" spans="1:6" x14ac:dyDescent="0.2">
      <c r="A2907">
        <v>25</v>
      </c>
      <c r="B2907" t="s">
        <v>1150</v>
      </c>
      <c r="C2907" t="s">
        <v>1020</v>
      </c>
      <c r="D2907" s="8">
        <v>2.3474638985401999E-3</v>
      </c>
      <c r="E2907" s="6">
        <f t="shared" si="90"/>
        <v>-0.21999999999999997</v>
      </c>
      <c r="F2907" s="8">
        <f t="shared" si="91"/>
        <v>-5.1644205767884389E-4</v>
      </c>
    </row>
    <row r="2908" spans="1:6" x14ac:dyDescent="0.2">
      <c r="A2908">
        <v>25</v>
      </c>
      <c r="B2908" t="s">
        <v>1150</v>
      </c>
      <c r="C2908" t="s">
        <v>1021</v>
      </c>
      <c r="D2908" s="8">
        <v>2.817120874232488E-5</v>
      </c>
      <c r="E2908" s="6">
        <f t="shared" si="90"/>
        <v>-2.4829999999999997</v>
      </c>
      <c r="F2908" s="8">
        <f t="shared" si="91"/>
        <v>-6.9949111307192661E-5</v>
      </c>
    </row>
    <row r="2909" spans="1:6" x14ac:dyDescent="0.2">
      <c r="A2909">
        <v>25</v>
      </c>
      <c r="B2909" t="s">
        <v>1150</v>
      </c>
      <c r="C2909" t="s">
        <v>1023</v>
      </c>
      <c r="D2909" s="8">
        <v>1.1180310422577999E-3</v>
      </c>
      <c r="E2909" s="6">
        <f t="shared" si="90"/>
        <v>-0.62199999999999989</v>
      </c>
      <c r="F2909" s="8">
        <f t="shared" si="91"/>
        <v>-6.954153082843514E-4</v>
      </c>
    </row>
    <row r="2910" spans="1:6" x14ac:dyDescent="0.2">
      <c r="A2910">
        <v>25</v>
      </c>
      <c r="B2910" t="s">
        <v>1150</v>
      </c>
      <c r="C2910" t="s">
        <v>1024</v>
      </c>
      <c r="D2910" s="8">
        <v>5.9878889503991997E-3</v>
      </c>
      <c r="E2910" s="6">
        <f t="shared" si="90"/>
        <v>-0.14500000000000002</v>
      </c>
      <c r="F2910" s="8">
        <f t="shared" si="91"/>
        <v>-8.6824389780788401E-4</v>
      </c>
    </row>
    <row r="2911" spans="1:6" x14ac:dyDescent="0.2">
      <c r="A2911">
        <v>25</v>
      </c>
      <c r="B2911" t="s">
        <v>1150</v>
      </c>
      <c r="C2911" t="s">
        <v>1025</v>
      </c>
      <c r="D2911" s="8">
        <v>1.8284547434531001E-3</v>
      </c>
      <c r="E2911" s="6">
        <f t="shared" si="90"/>
        <v>4.7000000000000153E-2</v>
      </c>
      <c r="F2911" s="8">
        <f t="shared" si="91"/>
        <v>8.5937372942295983E-5</v>
      </c>
    </row>
    <row r="2912" spans="1:6" x14ac:dyDescent="0.2">
      <c r="A2912">
        <v>25</v>
      </c>
      <c r="B2912" t="s">
        <v>1150</v>
      </c>
      <c r="C2912" t="s">
        <v>1026</v>
      </c>
      <c r="D2912" s="8">
        <v>4.6581119256827999E-3</v>
      </c>
      <c r="E2912" s="6">
        <f t="shared" si="90"/>
        <v>-0.20000000000000018</v>
      </c>
      <c r="F2912" s="8">
        <f t="shared" si="91"/>
        <v>-9.3162238513656078E-4</v>
      </c>
    </row>
    <row r="2913" spans="1:6" x14ac:dyDescent="0.2">
      <c r="A2913">
        <v>25</v>
      </c>
      <c r="B2913" t="s">
        <v>1150</v>
      </c>
      <c r="C2913" t="s">
        <v>1027</v>
      </c>
      <c r="D2913" s="8">
        <v>1.1530279558782899E-2</v>
      </c>
      <c r="E2913" s="6">
        <f t="shared" si="90"/>
        <v>0.18999999999999995</v>
      </c>
      <c r="F2913" s="8">
        <f t="shared" si="91"/>
        <v>2.1907531161687501E-3</v>
      </c>
    </row>
    <row r="2914" spans="1:6" x14ac:dyDescent="0.2">
      <c r="A2914">
        <v>25</v>
      </c>
      <c r="B2914" t="s">
        <v>1150</v>
      </c>
      <c r="C2914" t="s">
        <v>1028</v>
      </c>
      <c r="D2914" s="8">
        <v>0.24374838933887569</v>
      </c>
      <c r="E2914" s="6">
        <f t="shared" si="90"/>
        <v>-1.6600000000000001</v>
      </c>
      <c r="F2914" s="8">
        <f t="shared" si="91"/>
        <v>-0.4046223263025337</v>
      </c>
    </row>
    <row r="2915" spans="1:6" x14ac:dyDescent="0.2">
      <c r="A2915">
        <v>25</v>
      </c>
      <c r="B2915" t="s">
        <v>1150</v>
      </c>
      <c r="C2915" t="s">
        <v>1029</v>
      </c>
      <c r="D2915" s="8">
        <v>4.722069030017905E-5</v>
      </c>
      <c r="E2915" s="6">
        <f t="shared" si="90"/>
        <v>-0.20500000000000007</v>
      </c>
      <c r="F2915" s="8">
        <f t="shared" si="91"/>
        <v>-9.6802415115367085E-6</v>
      </c>
    </row>
    <row r="2916" spans="1:6" x14ac:dyDescent="0.2">
      <c r="A2916">
        <v>25</v>
      </c>
      <c r="B2916" t="s">
        <v>1150</v>
      </c>
      <c r="C2916" t="s">
        <v>1030</v>
      </c>
      <c r="D2916" s="8">
        <v>5.2579689844939998E-4</v>
      </c>
      <c r="E2916" s="6">
        <f t="shared" si="90"/>
        <v>0.29999999999999982</v>
      </c>
      <c r="F2916" s="8">
        <f t="shared" si="91"/>
        <v>1.5773906953481991E-4</v>
      </c>
    </row>
    <row r="2917" spans="1:6" x14ac:dyDescent="0.2">
      <c r="A2917">
        <v>25</v>
      </c>
      <c r="B2917" t="s">
        <v>1150</v>
      </c>
      <c r="C2917" t="s">
        <v>1031</v>
      </c>
      <c r="D2917" s="8">
        <v>6.3084749700809996E-4</v>
      </c>
      <c r="E2917" s="6">
        <f t="shared" si="90"/>
        <v>0.19899999999999984</v>
      </c>
      <c r="F2917" s="8">
        <f t="shared" si="91"/>
        <v>1.255386519046118E-4</v>
      </c>
    </row>
    <row r="2918" spans="1:6" x14ac:dyDescent="0.2">
      <c r="A2918">
        <v>25</v>
      </c>
      <c r="B2918" t="s">
        <v>1150</v>
      </c>
      <c r="C2918" t="s">
        <v>1033</v>
      </c>
      <c r="D2918" s="8">
        <v>1.181015068828E-4</v>
      </c>
      <c r="E2918" s="6">
        <f t="shared" si="90"/>
        <v>0.23299999999999987</v>
      </c>
      <c r="F2918" s="8">
        <f t="shared" si="91"/>
        <v>2.7517651103692386E-5</v>
      </c>
    </row>
    <row r="2919" spans="1:6" x14ac:dyDescent="0.2">
      <c r="A2919">
        <v>25</v>
      </c>
      <c r="B2919" t="s">
        <v>1150</v>
      </c>
      <c r="C2919" t="s">
        <v>1034</v>
      </c>
      <c r="D2919" s="8">
        <v>8.0711779313289995E-4</v>
      </c>
      <c r="E2919" s="6">
        <f t="shared" si="90"/>
        <v>0.70000000000000018</v>
      </c>
      <c r="F2919" s="8">
        <f t="shared" si="91"/>
        <v>5.6498245519303008E-4</v>
      </c>
    </row>
    <row r="2920" spans="1:6" x14ac:dyDescent="0.2">
      <c r="A2920">
        <v>25</v>
      </c>
      <c r="B2920" t="s">
        <v>1150</v>
      </c>
      <c r="C2920" t="s">
        <v>1100</v>
      </c>
      <c r="D2920" s="8">
        <v>9.90060440226285E-5</v>
      </c>
      <c r="E2920" s="6">
        <f t="shared" si="90"/>
        <v>0</v>
      </c>
      <c r="F2920" s="8">
        <f t="shared" si="91"/>
        <v>0</v>
      </c>
    </row>
    <row r="2921" spans="1:6" x14ac:dyDescent="0.2">
      <c r="A2921">
        <v>25</v>
      </c>
      <c r="B2921" t="s">
        <v>1150</v>
      </c>
      <c r="C2921" t="s">
        <v>1035</v>
      </c>
      <c r="D2921" s="8">
        <v>3.07982396570349E-2</v>
      </c>
      <c r="E2921" s="6">
        <f t="shared" si="90"/>
        <v>-14.218</v>
      </c>
      <c r="F2921" s="8">
        <f t="shared" si="91"/>
        <v>-0.4378893714437222</v>
      </c>
    </row>
    <row r="2922" spans="1:6" x14ac:dyDescent="0.2">
      <c r="A2922">
        <v>25</v>
      </c>
      <c r="B2922" t="s">
        <v>1150</v>
      </c>
      <c r="C2922" t="s">
        <v>1036</v>
      </c>
      <c r="D2922" s="8">
        <v>1.570556914048968E-5</v>
      </c>
      <c r="E2922" s="6">
        <f t="shared" si="90"/>
        <v>-2.0590000000000002</v>
      </c>
      <c r="F2922" s="8">
        <f t="shared" si="91"/>
        <v>-3.2337766860268251E-5</v>
      </c>
    </row>
    <row r="2923" spans="1:6" x14ac:dyDescent="0.2">
      <c r="A2923">
        <v>25</v>
      </c>
      <c r="B2923" t="s">
        <v>1150</v>
      </c>
      <c r="C2923" t="s">
        <v>1037</v>
      </c>
      <c r="D2923" s="8">
        <v>6.845378197269E-4</v>
      </c>
      <c r="E2923" s="6">
        <f t="shared" si="90"/>
        <v>0.2350000000000001</v>
      </c>
      <c r="F2923" s="8">
        <f t="shared" si="91"/>
        <v>1.6086638763582157E-4</v>
      </c>
    </row>
    <row r="2924" spans="1:6" x14ac:dyDescent="0.2">
      <c r="A2924">
        <v>25</v>
      </c>
      <c r="B2924" t="s">
        <v>1150</v>
      </c>
      <c r="C2924" t="s">
        <v>1094</v>
      </c>
      <c r="D2924" s="8">
        <v>1.7850024779136799E-2</v>
      </c>
      <c r="E2924" s="6">
        <f t="shared" si="90"/>
        <v>0</v>
      </c>
      <c r="F2924" s="8">
        <f t="shared" si="91"/>
        <v>0</v>
      </c>
    </row>
    <row r="2925" spans="1:6" x14ac:dyDescent="0.2">
      <c r="A2925">
        <v>25</v>
      </c>
      <c r="B2925" t="s">
        <v>1150</v>
      </c>
      <c r="C2925" t="s">
        <v>1039</v>
      </c>
      <c r="D2925" s="8">
        <v>6.5135032248529998E-2</v>
      </c>
      <c r="E2925" s="6">
        <f t="shared" si="90"/>
        <v>-0.6419999999999999</v>
      </c>
      <c r="F2925" s="8">
        <f t="shared" si="91"/>
        <v>-4.1816690703556252E-2</v>
      </c>
    </row>
    <row r="2926" spans="1:6" x14ac:dyDescent="0.2">
      <c r="A2926">
        <v>25</v>
      </c>
      <c r="B2926" t="s">
        <v>1150</v>
      </c>
      <c r="C2926" t="s">
        <v>1041</v>
      </c>
      <c r="D2926" s="8">
        <v>1.759491074222451E-5</v>
      </c>
      <c r="E2926" s="6">
        <f t="shared" si="90"/>
        <v>-1.8890000000000002</v>
      </c>
      <c r="F2926" s="8">
        <f t="shared" si="91"/>
        <v>-3.3236786392062103E-5</v>
      </c>
    </row>
    <row r="2927" spans="1:6" x14ac:dyDescent="0.2">
      <c r="A2927">
        <v>25</v>
      </c>
      <c r="B2927" t="s">
        <v>1150</v>
      </c>
      <c r="C2927" t="s">
        <v>1042</v>
      </c>
      <c r="D2927" s="8">
        <v>3.01625313340038E-2</v>
      </c>
      <c r="E2927" s="6">
        <f t="shared" si="90"/>
        <v>1.621</v>
      </c>
      <c r="F2927" s="8">
        <f t="shared" si="91"/>
        <v>4.8893463292420163E-2</v>
      </c>
    </row>
    <row r="2928" spans="1:6" x14ac:dyDescent="0.2">
      <c r="A2928">
        <v>25</v>
      </c>
      <c r="B2928" t="s">
        <v>1150</v>
      </c>
      <c r="C2928" t="s">
        <v>1043</v>
      </c>
      <c r="D2928" s="8">
        <v>7.8639303629137665E-6</v>
      </c>
      <c r="E2928" s="6">
        <f t="shared" si="90"/>
        <v>-2.8000000000000025E-2</v>
      </c>
      <c r="F2928" s="8">
        <f t="shared" si="91"/>
        <v>-2.2019005016158565E-7</v>
      </c>
    </row>
    <row r="2929" spans="1:6" x14ac:dyDescent="0.2">
      <c r="A2929">
        <v>25</v>
      </c>
      <c r="B2929" t="s">
        <v>1150</v>
      </c>
      <c r="C2929" t="s">
        <v>1044</v>
      </c>
      <c r="D2929" s="8">
        <v>4.4274635931591318E-5</v>
      </c>
      <c r="E2929" s="6">
        <f t="shared" si="90"/>
        <v>-0.35099999999999998</v>
      </c>
      <c r="F2929" s="8">
        <f t="shared" si="91"/>
        <v>-1.5540397211988551E-5</v>
      </c>
    </row>
    <row r="2930" spans="1:6" x14ac:dyDescent="0.2">
      <c r="A2930">
        <v>25</v>
      </c>
      <c r="B2930" t="s">
        <v>1150</v>
      </c>
      <c r="C2930" t="s">
        <v>1045</v>
      </c>
      <c r="D2930" s="8">
        <v>1.3554200070252001E-3</v>
      </c>
      <c r="E2930" s="6">
        <f t="shared" si="90"/>
        <v>0.7849999999999997</v>
      </c>
      <c r="F2930" s="8">
        <f t="shared" si="91"/>
        <v>1.0640047055147817E-3</v>
      </c>
    </row>
    <row r="2931" spans="1:6" x14ac:dyDescent="0.2">
      <c r="A2931">
        <v>25</v>
      </c>
      <c r="B2931" t="s">
        <v>1150</v>
      </c>
      <c r="C2931" t="s">
        <v>1048</v>
      </c>
      <c r="D2931" s="8">
        <v>9.0794126727639797E-6</v>
      </c>
      <c r="E2931" s="6">
        <f t="shared" si="90"/>
        <v>-1.4340000000000002</v>
      </c>
      <c r="F2931" s="8">
        <f t="shared" si="91"/>
        <v>-1.3019877772743549E-5</v>
      </c>
    </row>
    <row r="2932" spans="1:6" x14ac:dyDescent="0.2">
      <c r="A2932">
        <v>25</v>
      </c>
      <c r="B2932" t="s">
        <v>1150</v>
      </c>
      <c r="C2932" t="s">
        <v>1051</v>
      </c>
      <c r="D2932" s="8">
        <v>5.2551781585283282E-5</v>
      </c>
      <c r="E2932" s="6">
        <f t="shared" si="90"/>
        <v>0.18199999999999994</v>
      </c>
      <c r="F2932" s="8">
        <f t="shared" si="91"/>
        <v>9.5644242485215539E-6</v>
      </c>
    </row>
    <row r="2933" spans="1:6" x14ac:dyDescent="0.2">
      <c r="A2933">
        <v>25</v>
      </c>
      <c r="B2933" t="s">
        <v>1150</v>
      </c>
      <c r="C2933" t="s">
        <v>1052</v>
      </c>
      <c r="D2933" s="8">
        <v>3.1528681032039702E-5</v>
      </c>
      <c r="E2933" s="6">
        <f t="shared" si="90"/>
        <v>-1.1059999999999999</v>
      </c>
      <c r="F2933" s="8">
        <f t="shared" si="91"/>
        <v>-3.4870721221435909E-5</v>
      </c>
    </row>
    <row r="2934" spans="1:6" x14ac:dyDescent="0.2">
      <c r="A2934">
        <v>25</v>
      </c>
      <c r="B2934" t="s">
        <v>1150</v>
      </c>
      <c r="C2934" t="s">
        <v>1053</v>
      </c>
      <c r="D2934" s="8">
        <v>8.891594222152957E-5</v>
      </c>
      <c r="E2934" s="6">
        <f t="shared" si="90"/>
        <v>-0.39999999999999991</v>
      </c>
      <c r="F2934" s="8">
        <f t="shared" si="91"/>
        <v>-3.5566376888611823E-5</v>
      </c>
    </row>
    <row r="2935" spans="1:6" x14ac:dyDescent="0.2">
      <c r="A2935">
        <v>25</v>
      </c>
      <c r="B2935" t="s">
        <v>1150</v>
      </c>
      <c r="C2935" t="s">
        <v>1054</v>
      </c>
      <c r="D2935" s="8">
        <v>3.7591631356129998E-4</v>
      </c>
      <c r="E2935" s="6">
        <f t="shared" si="90"/>
        <v>-0.16800000000000015</v>
      </c>
      <c r="F2935" s="8">
        <f t="shared" si="91"/>
        <v>-6.3153940678298449E-5</v>
      </c>
    </row>
    <row r="2936" spans="1:6" x14ac:dyDescent="0.2">
      <c r="A2936">
        <v>25</v>
      </c>
      <c r="B2936" t="s">
        <v>1150</v>
      </c>
      <c r="C2936" t="s">
        <v>1055</v>
      </c>
      <c r="D2936" s="8">
        <v>1.7726069920353309E-8</v>
      </c>
      <c r="E2936" s="6">
        <f t="shared" si="90"/>
        <v>-0.93100000000000005</v>
      </c>
      <c r="F2936" s="8">
        <f t="shared" si="91"/>
        <v>-1.6502971095848931E-8</v>
      </c>
    </row>
    <row r="2937" spans="1:6" x14ac:dyDescent="0.2">
      <c r="A2937">
        <v>25</v>
      </c>
      <c r="B2937" t="s">
        <v>1150</v>
      </c>
      <c r="C2937" t="s">
        <v>1056</v>
      </c>
      <c r="D2937" s="8">
        <v>1.194110697236764E-5</v>
      </c>
      <c r="E2937" s="6">
        <f t="shared" si="90"/>
        <v>-1.996</v>
      </c>
      <c r="F2937" s="8">
        <f t="shared" si="91"/>
        <v>-2.3834449516845807E-5</v>
      </c>
    </row>
    <row r="2938" spans="1:6" x14ac:dyDescent="0.2">
      <c r="A2938">
        <v>25</v>
      </c>
      <c r="B2938" t="s">
        <v>1150</v>
      </c>
      <c r="C2938" t="s">
        <v>1112</v>
      </c>
      <c r="D2938" s="8">
        <v>5.2422960641207512E-6</v>
      </c>
      <c r="E2938" s="6">
        <f t="shared" si="90"/>
        <v>0</v>
      </c>
      <c r="F2938" s="8">
        <f t="shared" si="91"/>
        <v>0</v>
      </c>
    </row>
    <row r="2939" spans="1:6" x14ac:dyDescent="0.2">
      <c r="A2939">
        <v>25</v>
      </c>
      <c r="B2939" t="s">
        <v>1150</v>
      </c>
      <c r="C2939" t="s">
        <v>1058</v>
      </c>
      <c r="D2939" s="8">
        <v>3.7363198609974002E-3</v>
      </c>
      <c r="E2939" s="6">
        <f t="shared" si="90"/>
        <v>-0.5</v>
      </c>
      <c r="F2939" s="8">
        <f t="shared" si="91"/>
        <v>-1.8681599304987001E-3</v>
      </c>
    </row>
    <row r="2940" spans="1:6" x14ac:dyDescent="0.2">
      <c r="A2940">
        <v>25</v>
      </c>
      <c r="B2940" t="s">
        <v>1150</v>
      </c>
      <c r="C2940" t="s">
        <v>1059</v>
      </c>
      <c r="D2940" s="8">
        <v>8.2750646952554005E-2</v>
      </c>
      <c r="E2940" s="6">
        <f t="shared" si="90"/>
        <v>-0.10000000000000009</v>
      </c>
      <c r="F2940" s="8">
        <f t="shared" si="91"/>
        <v>-8.2750646952554074E-3</v>
      </c>
    </row>
    <row r="2941" spans="1:6" x14ac:dyDescent="0.2">
      <c r="A2941">
        <v>25</v>
      </c>
      <c r="B2941" t="s">
        <v>1150</v>
      </c>
      <c r="C2941" t="s">
        <v>1062</v>
      </c>
      <c r="D2941" s="8">
        <v>4.3875783396053001E-3</v>
      </c>
      <c r="E2941" s="6">
        <f t="shared" si="90"/>
        <v>0.89999999999999947</v>
      </c>
      <c r="F2941" s="8">
        <f t="shared" si="91"/>
        <v>3.9488205056447678E-3</v>
      </c>
    </row>
    <row r="2942" spans="1:6" x14ac:dyDescent="0.2">
      <c r="A2942">
        <v>25</v>
      </c>
      <c r="B2942" t="s">
        <v>1150</v>
      </c>
      <c r="C2942" t="s">
        <v>1063</v>
      </c>
      <c r="D2942" s="8">
        <v>2.795101270758775E-5</v>
      </c>
      <c r="E2942" s="6">
        <f t="shared" ref="E2942:E3005" si="92">IFERROR(VLOOKUP(C2942,$A$6:$D$185,4,FALSE),0)</f>
        <v>-4.1000000000000369E-2</v>
      </c>
      <c r="F2942" s="8">
        <f t="shared" ref="F2942:F3005" si="93">D2942*E2942</f>
        <v>-1.145991521011108E-6</v>
      </c>
    </row>
    <row r="2943" spans="1:6" x14ac:dyDescent="0.2">
      <c r="A2943">
        <v>25</v>
      </c>
      <c r="B2943" t="s">
        <v>1150</v>
      </c>
      <c r="C2943" t="s">
        <v>1064</v>
      </c>
      <c r="D2943" s="8">
        <v>1.4549154223788001E-3</v>
      </c>
      <c r="E2943" s="6">
        <f t="shared" si="92"/>
        <v>-0.29400000000000004</v>
      </c>
      <c r="F2943" s="8">
        <f t="shared" si="93"/>
        <v>-4.2774513417936726E-4</v>
      </c>
    </row>
    <row r="2944" spans="1:6" x14ac:dyDescent="0.2">
      <c r="A2944">
        <v>25</v>
      </c>
      <c r="B2944" t="s">
        <v>1150</v>
      </c>
      <c r="C2944" t="s">
        <v>1065</v>
      </c>
      <c r="D2944" s="8">
        <v>5.1643506501379999E-4</v>
      </c>
      <c r="E2944" s="6">
        <f t="shared" si="92"/>
        <v>0.68300000000000005</v>
      </c>
      <c r="F2944" s="8">
        <f t="shared" si="93"/>
        <v>3.5272514940442543E-4</v>
      </c>
    </row>
    <row r="2945" spans="1:6" x14ac:dyDescent="0.2">
      <c r="A2945">
        <v>25</v>
      </c>
      <c r="B2945" t="s">
        <v>1150</v>
      </c>
      <c r="C2945" t="s">
        <v>1066</v>
      </c>
      <c r="D2945" s="8">
        <v>7.6898614035159996E-4</v>
      </c>
      <c r="E2945" s="6">
        <f t="shared" si="92"/>
        <v>0.20900000000000007</v>
      </c>
      <c r="F2945" s="8">
        <f t="shared" si="93"/>
        <v>1.6071810333348444E-4</v>
      </c>
    </row>
    <row r="2946" spans="1:6" x14ac:dyDescent="0.2">
      <c r="A2946">
        <v>25</v>
      </c>
      <c r="B2946" t="s">
        <v>1150</v>
      </c>
      <c r="C2946" t="s">
        <v>1106</v>
      </c>
      <c r="D2946" s="8">
        <v>2.3468376160640001E-4</v>
      </c>
      <c r="E2946" s="6">
        <f t="shared" si="92"/>
        <v>0</v>
      </c>
      <c r="F2946" s="8">
        <f t="shared" si="93"/>
        <v>0</v>
      </c>
    </row>
    <row r="2947" spans="1:6" x14ac:dyDescent="0.2">
      <c r="A2947">
        <v>25</v>
      </c>
      <c r="B2947" t="s">
        <v>1150</v>
      </c>
      <c r="C2947" t="s">
        <v>1069</v>
      </c>
      <c r="D2947" s="8">
        <v>1.8332507441097439E-7</v>
      </c>
      <c r="E2947" s="6">
        <f t="shared" si="92"/>
        <v>-0.13199999999999967</v>
      </c>
      <c r="F2947" s="8">
        <f t="shared" si="93"/>
        <v>-2.4198909822248559E-8</v>
      </c>
    </row>
    <row r="2948" spans="1:6" x14ac:dyDescent="0.2">
      <c r="A2948">
        <v>25</v>
      </c>
      <c r="B2948" t="s">
        <v>1150</v>
      </c>
      <c r="C2948" t="s">
        <v>1070</v>
      </c>
      <c r="D2948" s="8">
        <v>3.5144050025655887E-5</v>
      </c>
      <c r="E2948" s="6">
        <f t="shared" si="92"/>
        <v>-2.5</v>
      </c>
      <c r="F2948" s="8">
        <f t="shared" si="93"/>
        <v>-8.7860125064139724E-5</v>
      </c>
    </row>
    <row r="2949" spans="1:6" x14ac:dyDescent="0.2">
      <c r="A2949">
        <v>25</v>
      </c>
      <c r="B2949" t="s">
        <v>1150</v>
      </c>
      <c r="C2949" t="s">
        <v>1071</v>
      </c>
      <c r="D2949" s="8">
        <v>1.2883682620620001E-4</v>
      </c>
      <c r="E2949" s="6">
        <f t="shared" si="92"/>
        <v>-0.8</v>
      </c>
      <c r="F2949" s="8">
        <f t="shared" si="93"/>
        <v>-1.0306946096496001E-4</v>
      </c>
    </row>
    <row r="2950" spans="1:6" x14ac:dyDescent="0.2">
      <c r="A2950">
        <v>25</v>
      </c>
      <c r="B2950" t="s">
        <v>1150</v>
      </c>
      <c r="C2950" t="s">
        <v>1072</v>
      </c>
      <c r="D2950" s="8">
        <v>2.1530340723805701E-2</v>
      </c>
      <c r="E2950" s="6">
        <f t="shared" si="92"/>
        <v>0.55599999999999983</v>
      </c>
      <c r="F2950" s="8">
        <f t="shared" si="93"/>
        <v>1.1970869442435967E-2</v>
      </c>
    </row>
    <row r="2951" spans="1:6" x14ac:dyDescent="0.2">
      <c r="A2951">
        <v>25</v>
      </c>
      <c r="B2951" t="s">
        <v>1150</v>
      </c>
      <c r="C2951" t="s">
        <v>1073</v>
      </c>
      <c r="D2951" s="8">
        <v>1.801659182698359E-6</v>
      </c>
      <c r="E2951" s="6">
        <f t="shared" si="92"/>
        <v>0.69200000000000017</v>
      </c>
      <c r="F2951" s="8">
        <f t="shared" si="93"/>
        <v>1.2467481544272646E-6</v>
      </c>
    </row>
    <row r="2952" spans="1:6" x14ac:dyDescent="0.2">
      <c r="A2952">
        <v>25</v>
      </c>
      <c r="B2952" t="s">
        <v>1150</v>
      </c>
      <c r="C2952" t="s">
        <v>1124</v>
      </c>
      <c r="D2952" s="8">
        <v>3.6484325673023121E-5</v>
      </c>
      <c r="E2952" s="6">
        <f t="shared" si="92"/>
        <v>0</v>
      </c>
      <c r="F2952" s="8">
        <f t="shared" si="93"/>
        <v>0</v>
      </c>
    </row>
    <row r="2953" spans="1:6" x14ac:dyDescent="0.2">
      <c r="A2953">
        <v>25</v>
      </c>
      <c r="B2953" t="s">
        <v>1150</v>
      </c>
      <c r="C2953" t="s">
        <v>1074</v>
      </c>
      <c r="D2953" s="8">
        <v>2.8393404880989998E-4</v>
      </c>
      <c r="E2953" s="6">
        <f t="shared" si="92"/>
        <v>9.5</v>
      </c>
      <c r="F2953" s="8">
        <f t="shared" si="93"/>
        <v>2.6973734636940496E-3</v>
      </c>
    </row>
    <row r="2954" spans="1:6" x14ac:dyDescent="0.2">
      <c r="A2954">
        <v>25</v>
      </c>
      <c r="B2954" t="s">
        <v>1150</v>
      </c>
      <c r="C2954" t="s">
        <v>1107</v>
      </c>
      <c r="D2954" s="8">
        <v>4.0755285826000001E-4</v>
      </c>
      <c r="E2954" s="6">
        <f t="shared" si="92"/>
        <v>0</v>
      </c>
      <c r="F2954" s="8">
        <f t="shared" si="93"/>
        <v>0</v>
      </c>
    </row>
    <row r="2955" spans="1:6" x14ac:dyDescent="0.2">
      <c r="A2955">
        <v>25</v>
      </c>
      <c r="B2955" t="s">
        <v>1150</v>
      </c>
      <c r="C2955" t="s">
        <v>1075</v>
      </c>
      <c r="D2955" s="8">
        <v>6.4711961121569198E-2</v>
      </c>
      <c r="E2955" s="6">
        <f t="shared" si="92"/>
        <v>3.0529999999999999</v>
      </c>
      <c r="F2955" s="8">
        <f t="shared" si="93"/>
        <v>0.19756561730415076</v>
      </c>
    </row>
    <row r="2956" spans="1:6" x14ac:dyDescent="0.2">
      <c r="A2956">
        <v>25</v>
      </c>
      <c r="B2956" t="s">
        <v>1150</v>
      </c>
      <c r="C2956" t="s">
        <v>1076</v>
      </c>
      <c r="D2956" s="8">
        <v>4.9045097739576329E-5</v>
      </c>
      <c r="E2956" s="6">
        <f t="shared" si="92"/>
        <v>1.4060000000000001</v>
      </c>
      <c r="F2956" s="8">
        <f t="shared" si="93"/>
        <v>6.8957407421844319E-5</v>
      </c>
    </row>
    <row r="2957" spans="1:6" x14ac:dyDescent="0.2">
      <c r="A2957">
        <v>25</v>
      </c>
      <c r="B2957" t="s">
        <v>1150</v>
      </c>
      <c r="C2957" t="s">
        <v>1133</v>
      </c>
      <c r="D2957" s="8">
        <v>4.0695433200951728E-8</v>
      </c>
      <c r="E2957" s="6">
        <f t="shared" si="92"/>
        <v>0</v>
      </c>
      <c r="F2957" s="8">
        <f t="shared" si="93"/>
        <v>0</v>
      </c>
    </row>
    <row r="2958" spans="1:6" x14ac:dyDescent="0.2">
      <c r="A2958">
        <v>25</v>
      </c>
      <c r="B2958" t="s">
        <v>1150</v>
      </c>
      <c r="C2958" t="s">
        <v>1077</v>
      </c>
      <c r="D2958" s="8">
        <v>3.7068422562388521E-5</v>
      </c>
      <c r="E2958" s="6">
        <f t="shared" si="92"/>
        <v>0.63200000000000012</v>
      </c>
      <c r="F2958" s="8">
        <f t="shared" si="93"/>
        <v>2.3427243059429549E-5</v>
      </c>
    </row>
    <row r="2959" spans="1:6" x14ac:dyDescent="0.2">
      <c r="A2959">
        <v>25</v>
      </c>
      <c r="B2959" t="s">
        <v>1150</v>
      </c>
      <c r="C2959" t="s">
        <v>1078</v>
      </c>
      <c r="D2959" s="8">
        <v>5.3737737140091233E-5</v>
      </c>
      <c r="E2959" s="6">
        <f t="shared" si="92"/>
        <v>0.5</v>
      </c>
      <c r="F2959" s="8">
        <f t="shared" si="93"/>
        <v>2.6868868570045617E-5</v>
      </c>
    </row>
    <row r="2960" spans="1:6" x14ac:dyDescent="0.2">
      <c r="A2960">
        <v>25</v>
      </c>
      <c r="B2960" t="s">
        <v>1150</v>
      </c>
      <c r="C2960" t="s">
        <v>1079</v>
      </c>
      <c r="D2960" s="8">
        <v>3.8960641997285998E-3</v>
      </c>
      <c r="E2960" s="6">
        <f t="shared" si="92"/>
        <v>-0.28899999999999992</v>
      </c>
      <c r="F2960" s="8">
        <f t="shared" si="93"/>
        <v>-1.125962553721565E-3</v>
      </c>
    </row>
    <row r="2961" spans="1:6" x14ac:dyDescent="0.2">
      <c r="A2961">
        <v>25</v>
      </c>
      <c r="B2961" t="s">
        <v>1150</v>
      </c>
      <c r="C2961" t="s">
        <v>1081</v>
      </c>
      <c r="D2961" s="8">
        <v>1.3992100570495639E-5</v>
      </c>
      <c r="E2961" s="6">
        <f t="shared" si="92"/>
        <v>0.36000000000000032</v>
      </c>
      <c r="F2961" s="8">
        <f t="shared" si="93"/>
        <v>5.0371562053784349E-6</v>
      </c>
    </row>
    <row r="2962" spans="1:6" x14ac:dyDescent="0.2">
      <c r="A2962">
        <v>26</v>
      </c>
      <c r="B2962" t="s">
        <v>1151</v>
      </c>
      <c r="C2962" t="s">
        <v>902</v>
      </c>
      <c r="D2962" s="8">
        <v>9.9774238390814776E-5</v>
      </c>
      <c r="E2962" s="6">
        <f t="shared" si="92"/>
        <v>-0.28000000000000025</v>
      </c>
      <c r="F2962" s="8">
        <f t="shared" si="93"/>
        <v>-2.7936786749428163E-5</v>
      </c>
    </row>
    <row r="2963" spans="1:6" x14ac:dyDescent="0.2">
      <c r="A2963">
        <v>26</v>
      </c>
      <c r="B2963" t="s">
        <v>1151</v>
      </c>
      <c r="C2963" t="s">
        <v>903</v>
      </c>
      <c r="D2963" s="8">
        <v>9.4747691155914923E-5</v>
      </c>
      <c r="E2963" s="6">
        <f t="shared" si="92"/>
        <v>0.22399999999999975</v>
      </c>
      <c r="F2963" s="8">
        <f t="shared" si="93"/>
        <v>2.122348281892492E-5</v>
      </c>
    </row>
    <row r="2964" spans="1:6" x14ac:dyDescent="0.2">
      <c r="A2964">
        <v>26</v>
      </c>
      <c r="B2964" t="s">
        <v>1151</v>
      </c>
      <c r="C2964" t="s">
        <v>1127</v>
      </c>
      <c r="D2964" s="8">
        <v>1.6569426890026661E-5</v>
      </c>
      <c r="E2964" s="6">
        <f t="shared" si="92"/>
        <v>0</v>
      </c>
      <c r="F2964" s="8">
        <f t="shared" si="93"/>
        <v>0</v>
      </c>
    </row>
    <row r="2965" spans="1:6" x14ac:dyDescent="0.2">
      <c r="A2965">
        <v>26</v>
      </c>
      <c r="B2965" t="s">
        <v>1151</v>
      </c>
      <c r="C2965" t="s">
        <v>904</v>
      </c>
      <c r="D2965" s="8">
        <v>1.1065761412336001E-3</v>
      </c>
      <c r="E2965" s="6">
        <f t="shared" si="92"/>
        <v>-6.800000000000006E-2</v>
      </c>
      <c r="F2965" s="8">
        <f t="shared" si="93"/>
        <v>-7.5247177603884866E-5</v>
      </c>
    </row>
    <row r="2966" spans="1:6" x14ac:dyDescent="0.2">
      <c r="A2966">
        <v>26</v>
      </c>
      <c r="B2966" t="s">
        <v>1151</v>
      </c>
      <c r="C2966" t="s">
        <v>906</v>
      </c>
      <c r="D2966" s="8">
        <v>8.8738993970708998E-3</v>
      </c>
      <c r="E2966" s="6">
        <f t="shared" si="92"/>
        <v>-1.8859999999999997</v>
      </c>
      <c r="F2966" s="8">
        <f t="shared" si="93"/>
        <v>-1.6736174262875714E-2</v>
      </c>
    </row>
    <row r="2967" spans="1:6" x14ac:dyDescent="0.2">
      <c r="A2967">
        <v>26</v>
      </c>
      <c r="B2967" t="s">
        <v>1151</v>
      </c>
      <c r="C2967" t="s">
        <v>907</v>
      </c>
      <c r="D2967" s="8">
        <v>2.2390950799409999E-4</v>
      </c>
      <c r="E2967" s="6">
        <f t="shared" si="92"/>
        <v>-1.0199999999999996</v>
      </c>
      <c r="F2967" s="8">
        <f t="shared" si="93"/>
        <v>-2.283876981539819E-4</v>
      </c>
    </row>
    <row r="2968" spans="1:6" x14ac:dyDescent="0.2">
      <c r="A2968">
        <v>26</v>
      </c>
      <c r="B2968" t="s">
        <v>1151</v>
      </c>
      <c r="C2968" t="s">
        <v>1097</v>
      </c>
      <c r="D2968" s="8">
        <v>7.4333111532849721E-6</v>
      </c>
      <c r="E2968" s="6">
        <f t="shared" si="92"/>
        <v>0</v>
      </c>
      <c r="F2968" s="8">
        <f t="shared" si="93"/>
        <v>0</v>
      </c>
    </row>
    <row r="2969" spans="1:6" x14ac:dyDescent="0.2">
      <c r="A2969">
        <v>26</v>
      </c>
      <c r="B2969" t="s">
        <v>1151</v>
      </c>
      <c r="C2969" t="s">
        <v>909</v>
      </c>
      <c r="D2969" s="8">
        <v>8.7842609750048714E-5</v>
      </c>
      <c r="E2969" s="6">
        <f t="shared" si="92"/>
        <v>5.9000000000000163E-2</v>
      </c>
      <c r="F2969" s="8">
        <f t="shared" si="93"/>
        <v>5.1827139752528884E-6</v>
      </c>
    </row>
    <row r="2970" spans="1:6" x14ac:dyDescent="0.2">
      <c r="A2970">
        <v>26</v>
      </c>
      <c r="B2970" t="s">
        <v>1151</v>
      </c>
      <c r="C2970" t="s">
        <v>910</v>
      </c>
      <c r="D2970" s="8">
        <v>3.0862841168987701E-2</v>
      </c>
      <c r="E2970" s="6">
        <f t="shared" si="92"/>
        <v>-7.7999999999999847E-2</v>
      </c>
      <c r="F2970" s="8">
        <f t="shared" si="93"/>
        <v>-2.407301611181036E-3</v>
      </c>
    </row>
    <row r="2971" spans="1:6" x14ac:dyDescent="0.2">
      <c r="A2971">
        <v>26</v>
      </c>
      <c r="B2971" t="s">
        <v>1151</v>
      </c>
      <c r="C2971" t="s">
        <v>911</v>
      </c>
      <c r="D2971" s="8">
        <v>9.7624021180399998E-4</v>
      </c>
      <c r="E2971" s="6">
        <f t="shared" si="92"/>
        <v>-7.5000000000000067E-2</v>
      </c>
      <c r="F2971" s="8">
        <f t="shared" si="93"/>
        <v>-7.3218015885300063E-5</v>
      </c>
    </row>
    <row r="2972" spans="1:6" x14ac:dyDescent="0.2">
      <c r="A2972">
        <v>26</v>
      </c>
      <c r="B2972" t="s">
        <v>1151</v>
      </c>
      <c r="C2972" t="s">
        <v>914</v>
      </c>
      <c r="D2972" s="8">
        <v>3.5669389681135297E-2</v>
      </c>
      <c r="E2972" s="6">
        <f t="shared" si="92"/>
        <v>-0.26900000000000002</v>
      </c>
      <c r="F2972" s="8">
        <f t="shared" si="93"/>
        <v>-9.5950658242253961E-3</v>
      </c>
    </row>
    <row r="2973" spans="1:6" x14ac:dyDescent="0.2">
      <c r="A2973">
        <v>26</v>
      </c>
      <c r="B2973" t="s">
        <v>1151</v>
      </c>
      <c r="C2973" t="s">
        <v>917</v>
      </c>
      <c r="D2973" s="8">
        <v>3.2141627633696808E-5</v>
      </c>
      <c r="E2973" s="6">
        <f t="shared" si="92"/>
        <v>-1.83</v>
      </c>
      <c r="F2973" s="8">
        <f t="shared" si="93"/>
        <v>-5.8819178569665159E-5</v>
      </c>
    </row>
    <row r="2974" spans="1:6" x14ac:dyDescent="0.2">
      <c r="A2974">
        <v>26</v>
      </c>
      <c r="B2974" t="s">
        <v>1151</v>
      </c>
      <c r="C2974" t="s">
        <v>918</v>
      </c>
      <c r="D2974" s="8">
        <v>3.0328208282390002E-4</v>
      </c>
      <c r="E2974" s="6">
        <f t="shared" si="92"/>
        <v>0.1469999999999998</v>
      </c>
      <c r="F2974" s="8">
        <f t="shared" si="93"/>
        <v>4.4582466175113243E-5</v>
      </c>
    </row>
    <row r="2975" spans="1:6" x14ac:dyDescent="0.2">
      <c r="A2975">
        <v>26</v>
      </c>
      <c r="B2975" t="s">
        <v>1151</v>
      </c>
      <c r="C2975" t="s">
        <v>919</v>
      </c>
      <c r="D2975" s="8">
        <v>3.7041155399900001E-4</v>
      </c>
      <c r="E2975" s="6">
        <f t="shared" si="92"/>
        <v>-3.4940000000000002</v>
      </c>
      <c r="F2975" s="8">
        <f t="shared" si="93"/>
        <v>-1.2942179696725062E-3</v>
      </c>
    </row>
    <row r="2976" spans="1:6" x14ac:dyDescent="0.2">
      <c r="A2976">
        <v>26</v>
      </c>
      <c r="B2976" t="s">
        <v>1151</v>
      </c>
      <c r="C2976" t="s">
        <v>920</v>
      </c>
      <c r="D2976" s="8">
        <v>4.0215688784280001E-4</v>
      </c>
      <c r="E2976" s="6">
        <f t="shared" si="92"/>
        <v>0.40000000000000013</v>
      </c>
      <c r="F2976" s="8">
        <f t="shared" si="93"/>
        <v>1.6086275513712005E-4</v>
      </c>
    </row>
    <row r="2977" spans="1:6" x14ac:dyDescent="0.2">
      <c r="A2977">
        <v>26</v>
      </c>
      <c r="B2977" t="s">
        <v>1151</v>
      </c>
      <c r="C2977" t="s">
        <v>923</v>
      </c>
      <c r="D2977" s="8">
        <v>5.902766207704485E-5</v>
      </c>
      <c r="E2977" s="6">
        <f t="shared" si="92"/>
        <v>-0.29999999999999982</v>
      </c>
      <c r="F2977" s="8">
        <f t="shared" si="93"/>
        <v>-1.7708298623113444E-5</v>
      </c>
    </row>
    <row r="2978" spans="1:6" x14ac:dyDescent="0.2">
      <c r="A2978">
        <v>26</v>
      </c>
      <c r="B2978" t="s">
        <v>1151</v>
      </c>
      <c r="C2978" t="s">
        <v>1129</v>
      </c>
      <c r="D2978" s="8">
        <v>9.5049956786455037E-6</v>
      </c>
      <c r="E2978" s="6">
        <f t="shared" si="92"/>
        <v>0</v>
      </c>
      <c r="F2978" s="8">
        <f t="shared" si="93"/>
        <v>0</v>
      </c>
    </row>
    <row r="2979" spans="1:6" x14ac:dyDescent="0.2">
      <c r="A2979">
        <v>26</v>
      </c>
      <c r="B2979" t="s">
        <v>1151</v>
      </c>
      <c r="C2979" t="s">
        <v>924</v>
      </c>
      <c r="D2979" s="8">
        <v>5.1838673566079998E-4</v>
      </c>
      <c r="E2979" s="6">
        <f t="shared" si="92"/>
        <v>-8.4000000000000075E-2</v>
      </c>
      <c r="F2979" s="8">
        <f t="shared" si="93"/>
        <v>-4.3544485795507237E-5</v>
      </c>
    </row>
    <row r="2980" spans="1:6" x14ac:dyDescent="0.2">
      <c r="A2980">
        <v>26</v>
      </c>
      <c r="B2980" t="s">
        <v>1151</v>
      </c>
      <c r="C2980" t="s">
        <v>925</v>
      </c>
      <c r="D2980" s="8">
        <v>6.6376118321970659E-5</v>
      </c>
      <c r="E2980" s="6">
        <f t="shared" si="92"/>
        <v>0.20000000000000018</v>
      </c>
      <c r="F2980" s="8">
        <f t="shared" si="93"/>
        <v>1.3275223664394144E-5</v>
      </c>
    </row>
    <row r="2981" spans="1:6" x14ac:dyDescent="0.2">
      <c r="A2981">
        <v>26</v>
      </c>
      <c r="B2981" t="s">
        <v>1151</v>
      </c>
      <c r="C2981" t="s">
        <v>926</v>
      </c>
      <c r="D2981" s="8">
        <v>2.266279749338E-4</v>
      </c>
      <c r="E2981" s="6">
        <f t="shared" si="92"/>
        <v>-4.8000000000000043E-2</v>
      </c>
      <c r="F2981" s="8">
        <f t="shared" si="93"/>
        <v>-1.087814279682241E-5</v>
      </c>
    </row>
    <row r="2982" spans="1:6" x14ac:dyDescent="0.2">
      <c r="A2982">
        <v>26</v>
      </c>
      <c r="B2982" t="s">
        <v>1151</v>
      </c>
      <c r="C2982" t="s">
        <v>928</v>
      </c>
      <c r="D2982" s="8">
        <v>1.006752622082427E-5</v>
      </c>
      <c r="E2982" s="6">
        <f t="shared" si="92"/>
        <v>2.423</v>
      </c>
      <c r="F2982" s="8">
        <f t="shared" si="93"/>
        <v>2.4393616033057206E-5</v>
      </c>
    </row>
    <row r="2983" spans="1:6" x14ac:dyDescent="0.2">
      <c r="A2983">
        <v>26</v>
      </c>
      <c r="B2983" t="s">
        <v>1151</v>
      </c>
      <c r="C2983" t="s">
        <v>930</v>
      </c>
      <c r="D2983" s="8">
        <v>8.6364515086684007E-3</v>
      </c>
      <c r="E2983" s="6">
        <f t="shared" si="92"/>
        <v>-5.8000000000000052E-2</v>
      </c>
      <c r="F2983" s="8">
        <f t="shared" si="93"/>
        <v>-5.0091418750276763E-4</v>
      </c>
    </row>
    <row r="2984" spans="1:6" x14ac:dyDescent="0.2">
      <c r="A2984">
        <v>26</v>
      </c>
      <c r="B2984" t="s">
        <v>1151</v>
      </c>
      <c r="C2984" t="s">
        <v>931</v>
      </c>
      <c r="D2984" s="8">
        <v>1.0077103032619999E-4</v>
      </c>
      <c r="E2984" s="6">
        <f t="shared" si="92"/>
        <v>-0.31099999999999994</v>
      </c>
      <c r="F2984" s="8">
        <f t="shared" si="93"/>
        <v>-3.1339790431448192E-5</v>
      </c>
    </row>
    <row r="2985" spans="1:6" x14ac:dyDescent="0.2">
      <c r="A2985">
        <v>26</v>
      </c>
      <c r="B2985" t="s">
        <v>1151</v>
      </c>
      <c r="C2985" t="s">
        <v>932</v>
      </c>
      <c r="D2985" s="8">
        <v>1.5250482245309999E-3</v>
      </c>
      <c r="E2985" s="6">
        <f t="shared" si="92"/>
        <v>0.21799999999999997</v>
      </c>
      <c r="F2985" s="8">
        <f t="shared" si="93"/>
        <v>3.3246051294775792E-4</v>
      </c>
    </row>
    <row r="2986" spans="1:6" x14ac:dyDescent="0.2">
      <c r="A2986">
        <v>26</v>
      </c>
      <c r="B2986" t="s">
        <v>1151</v>
      </c>
      <c r="C2986" t="s">
        <v>933</v>
      </c>
      <c r="D2986" s="8">
        <v>6.0764056383464E-3</v>
      </c>
      <c r="E2986" s="6">
        <f t="shared" si="92"/>
        <v>0.4430000000000005</v>
      </c>
      <c r="F2986" s="8">
        <f t="shared" si="93"/>
        <v>2.6918476977874583E-3</v>
      </c>
    </row>
    <row r="2987" spans="1:6" x14ac:dyDescent="0.2">
      <c r="A2987">
        <v>26</v>
      </c>
      <c r="B2987" t="s">
        <v>1151</v>
      </c>
      <c r="C2987" t="s">
        <v>934</v>
      </c>
      <c r="D2987" s="8">
        <v>4.0513748923083232E-6</v>
      </c>
      <c r="E2987" s="6">
        <f t="shared" si="92"/>
        <v>-0.20000000000000018</v>
      </c>
      <c r="F2987" s="8">
        <f t="shared" si="93"/>
        <v>-8.1027497846166532E-7</v>
      </c>
    </row>
    <row r="2988" spans="1:6" x14ac:dyDescent="0.2">
      <c r="A2988">
        <v>26</v>
      </c>
      <c r="B2988" t="s">
        <v>1151</v>
      </c>
      <c r="C2988" t="s">
        <v>935</v>
      </c>
      <c r="D2988" s="8">
        <v>1.6543000451346701E-5</v>
      </c>
      <c r="E2988" s="6">
        <f t="shared" si="92"/>
        <v>-0.71799999999999997</v>
      </c>
      <c r="F2988" s="8">
        <f t="shared" si="93"/>
        <v>-1.1877874324066931E-5</v>
      </c>
    </row>
    <row r="2989" spans="1:6" x14ac:dyDescent="0.2">
      <c r="A2989">
        <v>26</v>
      </c>
      <c r="B2989" t="s">
        <v>1151</v>
      </c>
      <c r="C2989" t="s">
        <v>1102</v>
      </c>
      <c r="D2989" s="8">
        <v>2.0136317073202531E-5</v>
      </c>
      <c r="E2989" s="6">
        <f t="shared" si="92"/>
        <v>0</v>
      </c>
      <c r="F2989" s="8">
        <f t="shared" si="93"/>
        <v>0</v>
      </c>
    </row>
    <row r="2990" spans="1:6" x14ac:dyDescent="0.2">
      <c r="A2990">
        <v>26</v>
      </c>
      <c r="B2990" t="s">
        <v>1151</v>
      </c>
      <c r="C2990" t="s">
        <v>938</v>
      </c>
      <c r="D2990" s="8">
        <v>2.072256001769E-4</v>
      </c>
      <c r="E2990" s="6">
        <f t="shared" si="92"/>
        <v>-0.32500000000000018</v>
      </c>
      <c r="F2990" s="8">
        <f t="shared" si="93"/>
        <v>-6.7348320057492532E-5</v>
      </c>
    </row>
    <row r="2991" spans="1:6" x14ac:dyDescent="0.2">
      <c r="A2991">
        <v>26</v>
      </c>
      <c r="B2991" t="s">
        <v>1151</v>
      </c>
      <c r="C2991" t="s">
        <v>940</v>
      </c>
      <c r="D2991" s="8">
        <v>2.7877089436909548E-6</v>
      </c>
      <c r="E2991" s="6">
        <f t="shared" si="92"/>
        <v>-0.11399999999999988</v>
      </c>
      <c r="F2991" s="8">
        <f t="shared" si="93"/>
        <v>-3.1779881958076852E-7</v>
      </c>
    </row>
    <row r="2992" spans="1:6" x14ac:dyDescent="0.2">
      <c r="A2992">
        <v>26</v>
      </c>
      <c r="B2992" t="s">
        <v>1151</v>
      </c>
      <c r="C2992" t="s">
        <v>941</v>
      </c>
      <c r="D2992" s="8">
        <v>8.7357752317239999E-4</v>
      </c>
      <c r="E2992" s="6">
        <f t="shared" si="92"/>
        <v>0.16599999999999993</v>
      </c>
      <c r="F2992" s="8">
        <f t="shared" si="93"/>
        <v>1.4501386884661834E-4</v>
      </c>
    </row>
    <row r="2993" spans="1:6" x14ac:dyDescent="0.2">
      <c r="A2993">
        <v>26</v>
      </c>
      <c r="B2993" t="s">
        <v>1151</v>
      </c>
      <c r="C2993" t="s">
        <v>1116</v>
      </c>
      <c r="D2993" s="8">
        <v>2.9229809119833832E-7</v>
      </c>
      <c r="E2993" s="6">
        <f t="shared" si="92"/>
        <v>0</v>
      </c>
      <c r="F2993" s="8">
        <f t="shared" si="93"/>
        <v>0</v>
      </c>
    </row>
    <row r="2994" spans="1:6" x14ac:dyDescent="0.2">
      <c r="A2994">
        <v>26</v>
      </c>
      <c r="B2994" t="s">
        <v>1151</v>
      </c>
      <c r="C2994" t="s">
        <v>1111</v>
      </c>
      <c r="D2994" s="8">
        <v>8.1582180010159999E-4</v>
      </c>
      <c r="E2994" s="6">
        <f t="shared" si="92"/>
        <v>0</v>
      </c>
      <c r="F2994" s="8">
        <f t="shared" si="93"/>
        <v>0</v>
      </c>
    </row>
    <row r="2995" spans="1:6" x14ac:dyDescent="0.2">
      <c r="A2995">
        <v>26</v>
      </c>
      <c r="B2995" t="s">
        <v>1151</v>
      </c>
      <c r="C2995" t="s">
        <v>1103</v>
      </c>
      <c r="D2995" s="8">
        <v>4.5392852578210002E-4</v>
      </c>
      <c r="E2995" s="6">
        <f t="shared" si="92"/>
        <v>0</v>
      </c>
      <c r="F2995" s="8">
        <f t="shared" si="93"/>
        <v>0</v>
      </c>
    </row>
    <row r="2996" spans="1:6" x14ac:dyDescent="0.2">
      <c r="A2996">
        <v>26</v>
      </c>
      <c r="B2996" t="s">
        <v>1151</v>
      </c>
      <c r="C2996" t="s">
        <v>942</v>
      </c>
      <c r="D2996" s="8">
        <v>5.2632712980380002E-4</v>
      </c>
      <c r="E2996" s="6">
        <f t="shared" si="92"/>
        <v>0.33700000000000019</v>
      </c>
      <c r="F2996" s="8">
        <f t="shared" si="93"/>
        <v>1.7737224274388071E-4</v>
      </c>
    </row>
    <row r="2997" spans="1:6" x14ac:dyDescent="0.2">
      <c r="A2997">
        <v>26</v>
      </c>
      <c r="B2997" t="s">
        <v>1151</v>
      </c>
      <c r="C2997" t="s">
        <v>943</v>
      </c>
      <c r="D2997" s="8">
        <v>2.8677064209399998E-4</v>
      </c>
      <c r="E2997" s="6">
        <f t="shared" si="92"/>
        <v>0.40800000000000014</v>
      </c>
      <c r="F2997" s="8">
        <f t="shared" si="93"/>
        <v>1.1700242197435203E-4</v>
      </c>
    </row>
    <row r="2998" spans="1:6" x14ac:dyDescent="0.2">
      <c r="A2998">
        <v>26</v>
      </c>
      <c r="B2998" t="s">
        <v>1151</v>
      </c>
      <c r="C2998" t="s">
        <v>944</v>
      </c>
      <c r="D2998" s="8">
        <v>2.4242915413407801E-2</v>
      </c>
      <c r="E2998" s="6">
        <f t="shared" si="92"/>
        <v>-0.122</v>
      </c>
      <c r="F2998" s="8">
        <f t="shared" si="93"/>
        <v>-2.9576356804357517E-3</v>
      </c>
    </row>
    <row r="2999" spans="1:6" x14ac:dyDescent="0.2">
      <c r="A2999">
        <v>26</v>
      </c>
      <c r="B2999" t="s">
        <v>1151</v>
      </c>
      <c r="C2999" t="s">
        <v>945</v>
      </c>
      <c r="D2999" s="8">
        <v>4.2555474763009568E-5</v>
      </c>
      <c r="E2999" s="6">
        <f t="shared" si="92"/>
        <v>0.49000000000000021</v>
      </c>
      <c r="F2999" s="8">
        <f t="shared" si="93"/>
        <v>2.0852182633874698E-5</v>
      </c>
    </row>
    <row r="3000" spans="1:6" x14ac:dyDescent="0.2">
      <c r="A3000">
        <v>26</v>
      </c>
      <c r="B3000" t="s">
        <v>1151</v>
      </c>
      <c r="C3000" t="s">
        <v>946</v>
      </c>
      <c r="D3000" s="8">
        <v>3.4579075998974438E-6</v>
      </c>
      <c r="E3000" s="6">
        <f t="shared" si="92"/>
        <v>-0.1639999999999997</v>
      </c>
      <c r="F3000" s="8">
        <f t="shared" si="93"/>
        <v>-5.6709684638317974E-7</v>
      </c>
    </row>
    <row r="3001" spans="1:6" x14ac:dyDescent="0.2">
      <c r="A3001">
        <v>26</v>
      </c>
      <c r="B3001" t="s">
        <v>1151</v>
      </c>
      <c r="C3001" t="s">
        <v>947</v>
      </c>
      <c r="D3001" s="8">
        <v>7.9160730660648992E-3</v>
      </c>
      <c r="E3001" s="6">
        <f t="shared" si="92"/>
        <v>0.15500000000000003</v>
      </c>
      <c r="F3001" s="8">
        <f t="shared" si="93"/>
        <v>1.2269913252400597E-3</v>
      </c>
    </row>
    <row r="3002" spans="1:6" x14ac:dyDescent="0.2">
      <c r="A3002">
        <v>26</v>
      </c>
      <c r="B3002" t="s">
        <v>1151</v>
      </c>
      <c r="C3002" t="s">
        <v>948</v>
      </c>
      <c r="D3002" s="8">
        <v>1.2635956450705E-3</v>
      </c>
      <c r="E3002" s="6">
        <f t="shared" si="92"/>
        <v>-1.0880000000000001</v>
      </c>
      <c r="F3002" s="8">
        <f t="shared" si="93"/>
        <v>-1.3747920618367041E-3</v>
      </c>
    </row>
    <row r="3003" spans="1:6" x14ac:dyDescent="0.2">
      <c r="A3003">
        <v>26</v>
      </c>
      <c r="B3003" t="s">
        <v>1151</v>
      </c>
      <c r="C3003" t="s">
        <v>950</v>
      </c>
      <c r="D3003" s="8">
        <v>5.1407166764632937E-5</v>
      </c>
      <c r="E3003" s="6">
        <f t="shared" si="92"/>
        <v>0.38300000000000001</v>
      </c>
      <c r="F3003" s="8">
        <f t="shared" si="93"/>
        <v>1.9688944870854415E-5</v>
      </c>
    </row>
    <row r="3004" spans="1:6" x14ac:dyDescent="0.2">
      <c r="A3004">
        <v>26</v>
      </c>
      <c r="B3004" t="s">
        <v>1151</v>
      </c>
      <c r="C3004" t="s">
        <v>951</v>
      </c>
      <c r="D3004" s="8">
        <v>4.2421810060436013E-5</v>
      </c>
      <c r="E3004" s="6">
        <f t="shared" si="92"/>
        <v>-8.8000000000000078E-2</v>
      </c>
      <c r="F3004" s="8">
        <f t="shared" si="93"/>
        <v>-3.7331192853183724E-6</v>
      </c>
    </row>
    <row r="3005" spans="1:6" x14ac:dyDescent="0.2">
      <c r="A3005">
        <v>26</v>
      </c>
      <c r="B3005" t="s">
        <v>1151</v>
      </c>
      <c r="C3005" t="s">
        <v>952</v>
      </c>
      <c r="D3005" s="8">
        <v>1.7890623347655201E-2</v>
      </c>
      <c r="E3005" s="6">
        <f t="shared" si="92"/>
        <v>0.28300000000000014</v>
      </c>
      <c r="F3005" s="8">
        <f t="shared" si="93"/>
        <v>5.0630464073864248E-3</v>
      </c>
    </row>
    <row r="3006" spans="1:6" x14ac:dyDescent="0.2">
      <c r="A3006">
        <v>26</v>
      </c>
      <c r="B3006" t="s">
        <v>1151</v>
      </c>
      <c r="C3006" t="s">
        <v>953</v>
      </c>
      <c r="D3006" s="8">
        <v>1.5292968850599999E-4</v>
      </c>
      <c r="E3006" s="6">
        <f t="shared" ref="E3006:E3069" si="94">IFERROR(VLOOKUP(C3006,$A$6:$D$185,4,FALSE),0)</f>
        <v>-0.42500000000000004</v>
      </c>
      <c r="F3006" s="8">
        <f t="shared" ref="F3006:F3069" si="95">D3006*E3006</f>
        <v>-6.4995117615050007E-5</v>
      </c>
    </row>
    <row r="3007" spans="1:6" x14ac:dyDescent="0.2">
      <c r="A3007">
        <v>26</v>
      </c>
      <c r="B3007" t="s">
        <v>1151</v>
      </c>
      <c r="C3007" t="s">
        <v>955</v>
      </c>
      <c r="D3007" s="8">
        <v>3.6023831517080002E-4</v>
      </c>
      <c r="E3007" s="6">
        <f t="shared" si="94"/>
        <v>-0.40500000000000003</v>
      </c>
      <c r="F3007" s="8">
        <f t="shared" si="95"/>
        <v>-1.4589651764417401E-4</v>
      </c>
    </row>
    <row r="3008" spans="1:6" x14ac:dyDescent="0.2">
      <c r="A3008">
        <v>26</v>
      </c>
      <c r="B3008" t="s">
        <v>1151</v>
      </c>
      <c r="C3008" t="s">
        <v>956</v>
      </c>
      <c r="D3008" s="8">
        <v>9.6472310509080001E-4</v>
      </c>
      <c r="E3008" s="6">
        <f t="shared" si="94"/>
        <v>-0.44700000000000006</v>
      </c>
      <c r="F3008" s="8">
        <f t="shared" si="95"/>
        <v>-4.3123122797558765E-4</v>
      </c>
    </row>
    <row r="3009" spans="1:6" x14ac:dyDescent="0.2">
      <c r="A3009">
        <v>26</v>
      </c>
      <c r="B3009" t="s">
        <v>1151</v>
      </c>
      <c r="C3009" t="s">
        <v>957</v>
      </c>
      <c r="D3009" s="8">
        <v>3.3771049863098597E-2</v>
      </c>
      <c r="E3009" s="6">
        <f t="shared" si="94"/>
        <v>-0.11499999999999988</v>
      </c>
      <c r="F3009" s="8">
        <f t="shared" si="95"/>
        <v>-3.8836707342563346E-3</v>
      </c>
    </row>
    <row r="3010" spans="1:6" x14ac:dyDescent="0.2">
      <c r="A3010">
        <v>26</v>
      </c>
      <c r="B3010" t="s">
        <v>1151</v>
      </c>
      <c r="C3010" t="s">
        <v>958</v>
      </c>
      <c r="D3010" s="8">
        <v>1.5430056157001561E-5</v>
      </c>
      <c r="E3010" s="6">
        <f t="shared" si="94"/>
        <v>9.6999999999999975E-2</v>
      </c>
      <c r="F3010" s="8">
        <f t="shared" si="95"/>
        <v>1.496715447229151E-6</v>
      </c>
    </row>
    <row r="3011" spans="1:6" x14ac:dyDescent="0.2">
      <c r="A3011">
        <v>26</v>
      </c>
      <c r="B3011" t="s">
        <v>1151</v>
      </c>
      <c r="C3011" t="s">
        <v>959</v>
      </c>
      <c r="D3011" s="8">
        <v>2.5489736521432601E-2</v>
      </c>
      <c r="E3011" s="6">
        <f t="shared" si="94"/>
        <v>-0.60699999999999998</v>
      </c>
      <c r="F3011" s="8">
        <f t="shared" si="95"/>
        <v>-1.5472270068509588E-2</v>
      </c>
    </row>
    <row r="3012" spans="1:6" x14ac:dyDescent="0.2">
      <c r="A3012">
        <v>26</v>
      </c>
      <c r="B3012" t="s">
        <v>1151</v>
      </c>
      <c r="C3012" t="s">
        <v>960</v>
      </c>
      <c r="D3012" s="8">
        <v>1.7485851241E-4</v>
      </c>
      <c r="E3012" s="6">
        <f t="shared" si="94"/>
        <v>0.29999999999999982</v>
      </c>
      <c r="F3012" s="8">
        <f t="shared" si="95"/>
        <v>5.245755372299997E-5</v>
      </c>
    </row>
    <row r="3013" spans="1:6" x14ac:dyDescent="0.2">
      <c r="A3013">
        <v>26</v>
      </c>
      <c r="B3013" t="s">
        <v>1151</v>
      </c>
      <c r="C3013" t="s">
        <v>961</v>
      </c>
      <c r="D3013" s="8">
        <v>1.36594336818E-4</v>
      </c>
      <c r="E3013" s="6">
        <f t="shared" si="94"/>
        <v>6.9999999999996732E-3</v>
      </c>
      <c r="F3013" s="8">
        <f t="shared" si="95"/>
        <v>9.5616035772595544E-7</v>
      </c>
    </row>
    <row r="3014" spans="1:6" x14ac:dyDescent="0.2">
      <c r="A3014">
        <v>26</v>
      </c>
      <c r="B3014" t="s">
        <v>1151</v>
      </c>
      <c r="C3014" t="s">
        <v>962</v>
      </c>
      <c r="D3014" s="8">
        <v>6.9772775392612729E-7</v>
      </c>
      <c r="E3014" s="6">
        <f t="shared" si="94"/>
        <v>-1.9090000000000007</v>
      </c>
      <c r="F3014" s="8">
        <f t="shared" si="95"/>
        <v>-1.3319622822449775E-6</v>
      </c>
    </row>
    <row r="3015" spans="1:6" x14ac:dyDescent="0.2">
      <c r="A3015">
        <v>26</v>
      </c>
      <c r="B3015" t="s">
        <v>1151</v>
      </c>
      <c r="C3015" t="s">
        <v>1118</v>
      </c>
      <c r="D3015" s="8">
        <v>2.0831154240719529E-5</v>
      </c>
      <c r="E3015" s="6">
        <f t="shared" si="94"/>
        <v>0</v>
      </c>
      <c r="F3015" s="8">
        <f t="shared" si="95"/>
        <v>0</v>
      </c>
    </row>
    <row r="3016" spans="1:6" x14ac:dyDescent="0.2">
      <c r="A3016">
        <v>26</v>
      </c>
      <c r="B3016" t="s">
        <v>1151</v>
      </c>
      <c r="C3016" t="s">
        <v>965</v>
      </c>
      <c r="D3016" s="8">
        <v>5.8338393057340999E-3</v>
      </c>
      <c r="E3016" s="6">
        <f t="shared" si="94"/>
        <v>4.5000000000000151E-2</v>
      </c>
      <c r="F3016" s="8">
        <f t="shared" si="95"/>
        <v>2.6252276875803537E-4</v>
      </c>
    </row>
    <row r="3017" spans="1:6" x14ac:dyDescent="0.2">
      <c r="A3017">
        <v>26</v>
      </c>
      <c r="B3017" t="s">
        <v>1151</v>
      </c>
      <c r="C3017" t="s">
        <v>966</v>
      </c>
      <c r="D3017" s="8">
        <v>8.1474915768371602E-5</v>
      </c>
      <c r="E3017" s="6">
        <f t="shared" si="94"/>
        <v>-0.21399999999999997</v>
      </c>
      <c r="F3017" s="8">
        <f t="shared" si="95"/>
        <v>-1.7435631974431521E-5</v>
      </c>
    </row>
    <row r="3018" spans="1:6" x14ac:dyDescent="0.2">
      <c r="A3018">
        <v>26</v>
      </c>
      <c r="B3018" t="s">
        <v>1151</v>
      </c>
      <c r="C3018" t="s">
        <v>967</v>
      </c>
      <c r="D3018" s="8">
        <v>3.3731394091300002E-4</v>
      </c>
      <c r="E3018" s="6">
        <f t="shared" si="94"/>
        <v>0.10000000000000009</v>
      </c>
      <c r="F3018" s="8">
        <f t="shared" si="95"/>
        <v>3.3731394091300032E-5</v>
      </c>
    </row>
    <row r="3019" spans="1:6" x14ac:dyDescent="0.2">
      <c r="A3019">
        <v>26</v>
      </c>
      <c r="B3019" t="s">
        <v>1151</v>
      </c>
      <c r="C3019" t="s">
        <v>1105</v>
      </c>
      <c r="D3019" s="8">
        <v>5.890765290336957E-5</v>
      </c>
      <c r="E3019" s="6">
        <f t="shared" si="94"/>
        <v>0</v>
      </c>
      <c r="F3019" s="8">
        <f t="shared" si="95"/>
        <v>0</v>
      </c>
    </row>
    <row r="3020" spans="1:6" x14ac:dyDescent="0.2">
      <c r="A3020">
        <v>26</v>
      </c>
      <c r="B3020" t="s">
        <v>1151</v>
      </c>
      <c r="C3020" t="s">
        <v>968</v>
      </c>
      <c r="D3020" s="8">
        <v>2.6552848882798431E-5</v>
      </c>
      <c r="E3020" s="6">
        <f t="shared" si="94"/>
        <v>-6.7510000000000012</v>
      </c>
      <c r="F3020" s="8">
        <f t="shared" si="95"/>
        <v>-1.7925828280777225E-4</v>
      </c>
    </row>
    <row r="3021" spans="1:6" x14ac:dyDescent="0.2">
      <c r="A3021">
        <v>26</v>
      </c>
      <c r="B3021" t="s">
        <v>1151</v>
      </c>
      <c r="C3021" t="s">
        <v>969</v>
      </c>
      <c r="D3021" s="8">
        <v>9.2002612630419996E-4</v>
      </c>
      <c r="E3021" s="6">
        <f t="shared" si="94"/>
        <v>0.53699999999999992</v>
      </c>
      <c r="F3021" s="8">
        <f t="shared" si="95"/>
        <v>4.9405402982535536E-4</v>
      </c>
    </row>
    <row r="3022" spans="1:6" x14ac:dyDescent="0.2">
      <c r="A3022">
        <v>26</v>
      </c>
      <c r="B3022" t="s">
        <v>1151</v>
      </c>
      <c r="C3022" t="s">
        <v>970</v>
      </c>
      <c r="D3022" s="8">
        <v>1.6338460314340839E-5</v>
      </c>
      <c r="E3022" s="6">
        <f t="shared" si="94"/>
        <v>-0.10000000000000009</v>
      </c>
      <c r="F3022" s="8">
        <f t="shared" si="95"/>
        <v>-1.6338460314340853E-6</v>
      </c>
    </row>
    <row r="3023" spans="1:6" x14ac:dyDescent="0.2">
      <c r="A3023">
        <v>26</v>
      </c>
      <c r="B3023" t="s">
        <v>1151</v>
      </c>
      <c r="C3023" t="s">
        <v>971</v>
      </c>
      <c r="D3023" s="8">
        <v>1.5494870143859999E-4</v>
      </c>
      <c r="E3023" s="6">
        <f t="shared" si="94"/>
        <v>-0.13700000000000001</v>
      </c>
      <c r="F3023" s="8">
        <f t="shared" si="95"/>
        <v>-2.1227972097088201E-5</v>
      </c>
    </row>
    <row r="3024" spans="1:6" x14ac:dyDescent="0.2">
      <c r="A3024">
        <v>26</v>
      </c>
      <c r="B3024" t="s">
        <v>1151</v>
      </c>
      <c r="C3024" t="s">
        <v>972</v>
      </c>
      <c r="D3024" s="8">
        <v>3.9462441400142961E-5</v>
      </c>
      <c r="E3024" s="6">
        <f t="shared" si="94"/>
        <v>-2.7</v>
      </c>
      <c r="F3024" s="8">
        <f t="shared" si="95"/>
        <v>-1.06548591780386E-4</v>
      </c>
    </row>
    <row r="3025" spans="1:6" x14ac:dyDescent="0.2">
      <c r="A3025">
        <v>26</v>
      </c>
      <c r="B3025" t="s">
        <v>1151</v>
      </c>
      <c r="C3025" t="s">
        <v>973</v>
      </c>
      <c r="D3025" s="8">
        <v>4.459526316247633E-5</v>
      </c>
      <c r="E3025" s="6">
        <f t="shared" si="94"/>
        <v>-0.84999999999999987</v>
      </c>
      <c r="F3025" s="8">
        <f t="shared" si="95"/>
        <v>-3.7905973688104872E-5</v>
      </c>
    </row>
    <row r="3026" spans="1:6" x14ac:dyDescent="0.2">
      <c r="A3026">
        <v>26</v>
      </c>
      <c r="B3026" t="s">
        <v>1151</v>
      </c>
      <c r="C3026" t="s">
        <v>975</v>
      </c>
      <c r="D3026" s="8">
        <v>4.7396924468386999E-3</v>
      </c>
      <c r="E3026" s="6">
        <f t="shared" si="94"/>
        <v>0.23500000000000032</v>
      </c>
      <c r="F3026" s="8">
        <f t="shared" si="95"/>
        <v>1.113827725007096E-3</v>
      </c>
    </row>
    <row r="3027" spans="1:6" x14ac:dyDescent="0.2">
      <c r="A3027">
        <v>26</v>
      </c>
      <c r="B3027" t="s">
        <v>1151</v>
      </c>
      <c r="C3027" t="s">
        <v>976</v>
      </c>
      <c r="D3027" s="8">
        <v>1.3854757408315E-3</v>
      </c>
      <c r="E3027" s="6">
        <f t="shared" si="94"/>
        <v>0.38700000000000001</v>
      </c>
      <c r="F3027" s="8">
        <f t="shared" si="95"/>
        <v>5.3617911170179052E-4</v>
      </c>
    </row>
    <row r="3028" spans="1:6" x14ac:dyDescent="0.2">
      <c r="A3028">
        <v>26</v>
      </c>
      <c r="B3028" t="s">
        <v>1151</v>
      </c>
      <c r="C3028" t="s">
        <v>978</v>
      </c>
      <c r="D3028" s="8">
        <v>4.9286190078449998E-4</v>
      </c>
      <c r="E3028" s="6">
        <f t="shared" si="94"/>
        <v>-8.2390000000000008</v>
      </c>
      <c r="F3028" s="8">
        <f t="shared" si="95"/>
        <v>-4.0606892005634956E-3</v>
      </c>
    </row>
    <row r="3029" spans="1:6" x14ac:dyDescent="0.2">
      <c r="A3029">
        <v>26</v>
      </c>
      <c r="B3029" t="s">
        <v>1151</v>
      </c>
      <c r="C3029" t="s">
        <v>979</v>
      </c>
      <c r="D3029" s="8">
        <v>7.3892857779546511E-6</v>
      </c>
      <c r="E3029" s="6">
        <f t="shared" si="94"/>
        <v>-0.5</v>
      </c>
      <c r="F3029" s="8">
        <f t="shared" si="95"/>
        <v>-3.6946428889773256E-6</v>
      </c>
    </row>
    <row r="3030" spans="1:6" x14ac:dyDescent="0.2">
      <c r="A3030">
        <v>26</v>
      </c>
      <c r="B3030" t="s">
        <v>1151</v>
      </c>
      <c r="C3030" t="s">
        <v>980</v>
      </c>
      <c r="D3030" s="8">
        <v>2.6535828835913999E-3</v>
      </c>
      <c r="E3030" s="6">
        <f t="shared" si="94"/>
        <v>-0.10000000000000009</v>
      </c>
      <c r="F3030" s="8">
        <f t="shared" si="95"/>
        <v>-2.6535828835914021E-4</v>
      </c>
    </row>
    <row r="3031" spans="1:6" x14ac:dyDescent="0.2">
      <c r="A3031">
        <v>26</v>
      </c>
      <c r="B3031" t="s">
        <v>1151</v>
      </c>
      <c r="C3031" t="s">
        <v>981</v>
      </c>
      <c r="D3031" s="8">
        <v>1.29724974095651E-2</v>
      </c>
      <c r="E3031" s="6">
        <f t="shared" si="94"/>
        <v>-0.33499999999999996</v>
      </c>
      <c r="F3031" s="8">
        <f t="shared" si="95"/>
        <v>-4.3457866322043079E-3</v>
      </c>
    </row>
    <row r="3032" spans="1:6" x14ac:dyDescent="0.2">
      <c r="A3032">
        <v>26</v>
      </c>
      <c r="B3032" t="s">
        <v>1151</v>
      </c>
      <c r="C3032" t="s">
        <v>982</v>
      </c>
      <c r="D3032" s="8">
        <v>8.268136368036E-4</v>
      </c>
      <c r="E3032" s="6">
        <f t="shared" si="94"/>
        <v>-2.8</v>
      </c>
      <c r="F3032" s="8">
        <f t="shared" si="95"/>
        <v>-2.3150781830500798E-3</v>
      </c>
    </row>
    <row r="3033" spans="1:6" x14ac:dyDescent="0.2">
      <c r="A3033">
        <v>26</v>
      </c>
      <c r="B3033" t="s">
        <v>1151</v>
      </c>
      <c r="C3033" t="s">
        <v>983</v>
      </c>
      <c r="D3033" s="8">
        <v>3.4969129174830001E-4</v>
      </c>
      <c r="E3033" s="6">
        <f t="shared" si="94"/>
        <v>-0.19999999999999973</v>
      </c>
      <c r="F3033" s="8">
        <f t="shared" si="95"/>
        <v>-6.9938258349659909E-5</v>
      </c>
    </row>
    <row r="3034" spans="1:6" x14ac:dyDescent="0.2">
      <c r="A3034">
        <v>26</v>
      </c>
      <c r="B3034" t="s">
        <v>1151</v>
      </c>
      <c r="C3034" t="s">
        <v>984</v>
      </c>
      <c r="D3034" s="8">
        <v>7.2728005560473596E-2</v>
      </c>
      <c r="E3034" s="6">
        <f t="shared" si="94"/>
        <v>0.121</v>
      </c>
      <c r="F3034" s="8">
        <f t="shared" si="95"/>
        <v>8.8000886728173047E-3</v>
      </c>
    </row>
    <row r="3035" spans="1:6" x14ac:dyDescent="0.2">
      <c r="A3035">
        <v>26</v>
      </c>
      <c r="B3035" t="s">
        <v>1151</v>
      </c>
      <c r="C3035" t="s">
        <v>985</v>
      </c>
      <c r="D3035" s="8">
        <v>1.5975908513976651E-5</v>
      </c>
      <c r="E3035" s="6">
        <f t="shared" si="94"/>
        <v>0.34299999999999997</v>
      </c>
      <c r="F3035" s="8">
        <f t="shared" si="95"/>
        <v>5.4797366202939904E-6</v>
      </c>
    </row>
    <row r="3036" spans="1:6" x14ac:dyDescent="0.2">
      <c r="A3036">
        <v>26</v>
      </c>
      <c r="B3036" t="s">
        <v>1151</v>
      </c>
      <c r="C3036" t="s">
        <v>986</v>
      </c>
      <c r="D3036" s="8">
        <v>8.3940392854278377E-5</v>
      </c>
      <c r="E3036" s="6">
        <f t="shared" si="94"/>
        <v>-0.38900000000000023</v>
      </c>
      <c r="F3036" s="8">
        <f t="shared" si="95"/>
        <v>-3.2652812820314309E-5</v>
      </c>
    </row>
    <row r="3037" spans="1:6" x14ac:dyDescent="0.2">
      <c r="A3037">
        <v>26</v>
      </c>
      <c r="B3037" t="s">
        <v>1151</v>
      </c>
      <c r="C3037" t="s">
        <v>988</v>
      </c>
      <c r="D3037" s="8">
        <v>5.4662616197304539E-5</v>
      </c>
      <c r="E3037" s="6">
        <f t="shared" si="94"/>
        <v>0.59299999999999997</v>
      </c>
      <c r="F3037" s="8">
        <f t="shared" si="95"/>
        <v>3.2414931405001592E-5</v>
      </c>
    </row>
    <row r="3038" spans="1:6" x14ac:dyDescent="0.2">
      <c r="A3038">
        <v>26</v>
      </c>
      <c r="B3038" t="s">
        <v>1151</v>
      </c>
      <c r="C3038" t="s">
        <v>989</v>
      </c>
      <c r="D3038" s="8">
        <v>6.7027341275155176E-7</v>
      </c>
      <c r="E3038" s="6">
        <f t="shared" si="94"/>
        <v>-0.12199999999999989</v>
      </c>
      <c r="F3038" s="8">
        <f t="shared" si="95"/>
        <v>-8.1773356355689233E-8</v>
      </c>
    </row>
    <row r="3039" spans="1:6" x14ac:dyDescent="0.2">
      <c r="A3039">
        <v>26</v>
      </c>
      <c r="B3039" t="s">
        <v>1151</v>
      </c>
      <c r="C3039" t="s">
        <v>1119</v>
      </c>
      <c r="D3039" s="8">
        <v>3.01894339699658E-5</v>
      </c>
      <c r="E3039" s="6">
        <f t="shared" si="94"/>
        <v>0</v>
      </c>
      <c r="F3039" s="8">
        <f t="shared" si="95"/>
        <v>0</v>
      </c>
    </row>
    <row r="3040" spans="1:6" x14ac:dyDescent="0.2">
      <c r="A3040">
        <v>26</v>
      </c>
      <c r="B3040" t="s">
        <v>1151</v>
      </c>
      <c r="C3040" t="s">
        <v>990</v>
      </c>
      <c r="D3040" s="8">
        <v>1.06671797257361E-2</v>
      </c>
      <c r="E3040" s="6">
        <f t="shared" si="94"/>
        <v>0.45299999999999985</v>
      </c>
      <c r="F3040" s="8">
        <f t="shared" si="95"/>
        <v>4.8322324157584516E-3</v>
      </c>
    </row>
    <row r="3041" spans="1:6" x14ac:dyDescent="0.2">
      <c r="A3041">
        <v>26</v>
      </c>
      <c r="B3041" t="s">
        <v>1151</v>
      </c>
      <c r="C3041" t="s">
        <v>991</v>
      </c>
      <c r="D3041" s="8">
        <v>5.244594141509E-4</v>
      </c>
      <c r="E3041" s="6">
        <f t="shared" si="94"/>
        <v>-3.7290000000000001</v>
      </c>
      <c r="F3041" s="8">
        <f t="shared" si="95"/>
        <v>-1.9557091553687061E-3</v>
      </c>
    </row>
    <row r="3042" spans="1:6" x14ac:dyDescent="0.2">
      <c r="A3042">
        <v>26</v>
      </c>
      <c r="B3042" t="s">
        <v>1151</v>
      </c>
      <c r="C3042" t="s">
        <v>992</v>
      </c>
      <c r="D3042" s="8">
        <v>6.2297120886261362E-13</v>
      </c>
      <c r="E3042" s="6">
        <f t="shared" si="94"/>
        <v>2.048</v>
      </c>
      <c r="F3042" s="8">
        <f t="shared" si="95"/>
        <v>1.2758450357506328E-12</v>
      </c>
    </row>
    <row r="3043" spans="1:6" x14ac:dyDescent="0.2">
      <c r="A3043">
        <v>26</v>
      </c>
      <c r="B3043" t="s">
        <v>1151</v>
      </c>
      <c r="C3043" t="s">
        <v>1092</v>
      </c>
      <c r="D3043" s="8">
        <v>1.051614460854E-4</v>
      </c>
      <c r="E3043" s="6">
        <f t="shared" si="94"/>
        <v>0</v>
      </c>
      <c r="F3043" s="8">
        <f t="shared" si="95"/>
        <v>0</v>
      </c>
    </row>
    <row r="3044" spans="1:6" x14ac:dyDescent="0.2">
      <c r="A3044">
        <v>26</v>
      </c>
      <c r="B3044" t="s">
        <v>1151</v>
      </c>
      <c r="C3044" t="s">
        <v>994</v>
      </c>
      <c r="D3044" s="8">
        <v>9.8625815263153724E-5</v>
      </c>
      <c r="E3044" s="6">
        <f t="shared" si="94"/>
        <v>2.415</v>
      </c>
      <c r="F3044" s="8">
        <f t="shared" si="95"/>
        <v>2.3818134386051625E-4</v>
      </c>
    </row>
    <row r="3045" spans="1:6" x14ac:dyDescent="0.2">
      <c r="A3045">
        <v>26</v>
      </c>
      <c r="B3045" t="s">
        <v>1151</v>
      </c>
      <c r="C3045" t="s">
        <v>1120</v>
      </c>
      <c r="D3045" s="8">
        <v>9.4278176444931441E-5</v>
      </c>
      <c r="E3045" s="6">
        <f t="shared" si="94"/>
        <v>0</v>
      </c>
      <c r="F3045" s="8">
        <f t="shared" si="95"/>
        <v>0</v>
      </c>
    </row>
    <row r="3046" spans="1:6" x14ac:dyDescent="0.2">
      <c r="A3046">
        <v>26</v>
      </c>
      <c r="B3046" t="s">
        <v>1151</v>
      </c>
      <c r="C3046" t="s">
        <v>1093</v>
      </c>
      <c r="D3046" s="8">
        <v>4.9502914410949996E-4</v>
      </c>
      <c r="E3046" s="6">
        <f t="shared" si="94"/>
        <v>0</v>
      </c>
      <c r="F3046" s="8">
        <f t="shared" si="95"/>
        <v>0</v>
      </c>
    </row>
    <row r="3047" spans="1:6" x14ac:dyDescent="0.2">
      <c r="A3047">
        <v>26</v>
      </c>
      <c r="B3047" t="s">
        <v>1151</v>
      </c>
      <c r="C3047" t="s">
        <v>996</v>
      </c>
      <c r="D3047" s="8">
        <v>2.2736091800430001E-4</v>
      </c>
      <c r="E3047" s="6">
        <f t="shared" si="94"/>
        <v>0.44099999999999984</v>
      </c>
      <c r="F3047" s="8">
        <f t="shared" si="95"/>
        <v>1.0026616483989627E-4</v>
      </c>
    </row>
    <row r="3048" spans="1:6" x14ac:dyDescent="0.2">
      <c r="A3048">
        <v>26</v>
      </c>
      <c r="B3048" t="s">
        <v>1151</v>
      </c>
      <c r="C3048" t="s">
        <v>998</v>
      </c>
      <c r="D3048" s="8">
        <v>2.26237888429E-4</v>
      </c>
      <c r="E3048" s="6">
        <f t="shared" si="94"/>
        <v>-0.28200000000000003</v>
      </c>
      <c r="F3048" s="8">
        <f t="shared" si="95"/>
        <v>-6.3799084536978007E-5</v>
      </c>
    </row>
    <row r="3049" spans="1:6" x14ac:dyDescent="0.2">
      <c r="A3049">
        <v>26</v>
      </c>
      <c r="B3049" t="s">
        <v>1151</v>
      </c>
      <c r="C3049" t="s">
        <v>999</v>
      </c>
      <c r="D3049" s="8">
        <v>3.5626385915667438E-5</v>
      </c>
      <c r="E3049" s="6">
        <f t="shared" si="94"/>
        <v>-0.5219999999999998</v>
      </c>
      <c r="F3049" s="8">
        <f t="shared" si="95"/>
        <v>-1.8596973447978397E-5</v>
      </c>
    </row>
    <row r="3050" spans="1:6" x14ac:dyDescent="0.2">
      <c r="A3050">
        <v>26</v>
      </c>
      <c r="B3050" t="s">
        <v>1151</v>
      </c>
      <c r="C3050" t="s">
        <v>1000</v>
      </c>
      <c r="D3050" s="8">
        <v>1.591032272807E-4</v>
      </c>
      <c r="E3050" s="6">
        <f t="shared" si="94"/>
        <v>1.1540000000000004</v>
      </c>
      <c r="F3050" s="8">
        <f t="shared" si="95"/>
        <v>1.8360512428192786E-4</v>
      </c>
    </row>
    <row r="3051" spans="1:6" x14ac:dyDescent="0.2">
      <c r="A3051">
        <v>26</v>
      </c>
      <c r="B3051" t="s">
        <v>1151</v>
      </c>
      <c r="C3051" t="s">
        <v>1001</v>
      </c>
      <c r="D3051" s="8">
        <v>1.5952988468739999E-4</v>
      </c>
      <c r="E3051" s="6">
        <f t="shared" si="94"/>
        <v>-0.60600000000000032</v>
      </c>
      <c r="F3051" s="8">
        <f t="shared" si="95"/>
        <v>-9.6675110120564447E-5</v>
      </c>
    </row>
    <row r="3052" spans="1:6" x14ac:dyDescent="0.2">
      <c r="A3052">
        <v>26</v>
      </c>
      <c r="B3052" t="s">
        <v>1151</v>
      </c>
      <c r="C3052" t="s">
        <v>1002</v>
      </c>
      <c r="D3052" s="8">
        <v>4.7918956823463001E-3</v>
      </c>
      <c r="E3052" s="6">
        <f t="shared" si="94"/>
        <v>-1.3390000000000004</v>
      </c>
      <c r="F3052" s="8">
        <f t="shared" si="95"/>
        <v>-6.4163483186616983E-3</v>
      </c>
    </row>
    <row r="3053" spans="1:6" x14ac:dyDescent="0.2">
      <c r="A3053">
        <v>26</v>
      </c>
      <c r="B3053" t="s">
        <v>1151</v>
      </c>
      <c r="C3053" t="s">
        <v>1003</v>
      </c>
      <c r="D3053" s="8">
        <v>3.8486965745329E-3</v>
      </c>
      <c r="E3053" s="6">
        <f t="shared" si="94"/>
        <v>0.22999999999999998</v>
      </c>
      <c r="F3053" s="8">
        <f t="shared" si="95"/>
        <v>8.8520021214256691E-4</v>
      </c>
    </row>
    <row r="3054" spans="1:6" x14ac:dyDescent="0.2">
      <c r="A3054">
        <v>26</v>
      </c>
      <c r="B3054" t="s">
        <v>1151</v>
      </c>
      <c r="C3054" t="s">
        <v>1005</v>
      </c>
      <c r="D3054" s="8">
        <v>1.4069355589920539E-5</v>
      </c>
      <c r="E3054" s="6">
        <f t="shared" si="94"/>
        <v>-0.10000000000000009</v>
      </c>
      <c r="F3054" s="8">
        <f t="shared" si="95"/>
        <v>-1.4069355589920552E-6</v>
      </c>
    </row>
    <row r="3055" spans="1:6" x14ac:dyDescent="0.2">
      <c r="A3055">
        <v>26</v>
      </c>
      <c r="B3055" t="s">
        <v>1151</v>
      </c>
      <c r="C3055" t="s">
        <v>1007</v>
      </c>
      <c r="D3055" s="8">
        <v>1.7911232117370001E-4</v>
      </c>
      <c r="E3055" s="6">
        <f t="shared" si="94"/>
        <v>-0.19999999999999973</v>
      </c>
      <c r="F3055" s="8">
        <f t="shared" si="95"/>
        <v>-3.5822464234739955E-5</v>
      </c>
    </row>
    <row r="3056" spans="1:6" x14ac:dyDescent="0.2">
      <c r="A3056">
        <v>26</v>
      </c>
      <c r="B3056" t="s">
        <v>1151</v>
      </c>
      <c r="C3056" t="s">
        <v>1098</v>
      </c>
      <c r="D3056" s="8">
        <v>3.001573090779864E-5</v>
      </c>
      <c r="E3056" s="6">
        <f t="shared" si="94"/>
        <v>0</v>
      </c>
      <c r="F3056" s="8">
        <f t="shared" si="95"/>
        <v>0</v>
      </c>
    </row>
    <row r="3057" spans="1:6" x14ac:dyDescent="0.2">
      <c r="A3057">
        <v>26</v>
      </c>
      <c r="B3057" t="s">
        <v>1151</v>
      </c>
      <c r="C3057" t="s">
        <v>1122</v>
      </c>
      <c r="D3057" s="8">
        <v>2.0909405654264759E-5</v>
      </c>
      <c r="E3057" s="6">
        <f t="shared" si="94"/>
        <v>0</v>
      </c>
      <c r="F3057" s="8">
        <f t="shared" si="95"/>
        <v>0</v>
      </c>
    </row>
    <row r="3058" spans="1:6" x14ac:dyDescent="0.2">
      <c r="A3058">
        <v>26</v>
      </c>
      <c r="B3058" t="s">
        <v>1151</v>
      </c>
      <c r="C3058" t="s">
        <v>1010</v>
      </c>
      <c r="D3058" s="8">
        <v>3.1186474470902057E-5</v>
      </c>
      <c r="E3058" s="6">
        <f t="shared" si="94"/>
        <v>-3.024</v>
      </c>
      <c r="F3058" s="8">
        <f t="shared" si="95"/>
        <v>-9.4307898800007826E-5</v>
      </c>
    </row>
    <row r="3059" spans="1:6" x14ac:dyDescent="0.2">
      <c r="A3059">
        <v>26</v>
      </c>
      <c r="B3059" t="s">
        <v>1151</v>
      </c>
      <c r="C3059" t="s">
        <v>1012</v>
      </c>
      <c r="D3059" s="8">
        <v>3.1892950229501001E-3</v>
      </c>
      <c r="E3059" s="6">
        <f t="shared" si="94"/>
        <v>0.39999999999999991</v>
      </c>
      <c r="F3059" s="8">
        <f t="shared" si="95"/>
        <v>1.2757180091800397E-3</v>
      </c>
    </row>
    <row r="3060" spans="1:6" x14ac:dyDescent="0.2">
      <c r="A3060">
        <v>26</v>
      </c>
      <c r="B3060" t="s">
        <v>1151</v>
      </c>
      <c r="C3060" t="s">
        <v>1014</v>
      </c>
      <c r="D3060" s="8">
        <v>1.1112081156365999E-2</v>
      </c>
      <c r="E3060" s="6">
        <f t="shared" si="94"/>
        <v>0.90000000000000036</v>
      </c>
      <c r="F3060" s="8">
        <f t="shared" si="95"/>
        <v>1.0000873040729403E-2</v>
      </c>
    </row>
    <row r="3061" spans="1:6" x14ac:dyDescent="0.2">
      <c r="A3061">
        <v>26</v>
      </c>
      <c r="B3061" t="s">
        <v>1151</v>
      </c>
      <c r="C3061" t="s">
        <v>1015</v>
      </c>
      <c r="D3061" s="8">
        <v>1.303577988338E-4</v>
      </c>
      <c r="E3061" s="6">
        <f t="shared" si="94"/>
        <v>-1.306</v>
      </c>
      <c r="F3061" s="8">
        <f t="shared" si="95"/>
        <v>-1.702472852769428E-4</v>
      </c>
    </row>
    <row r="3062" spans="1:6" x14ac:dyDescent="0.2">
      <c r="A3062">
        <v>26</v>
      </c>
      <c r="B3062" t="s">
        <v>1151</v>
      </c>
      <c r="C3062" t="s">
        <v>1099</v>
      </c>
      <c r="D3062" s="8">
        <v>3.269978099327E-4</v>
      </c>
      <c r="E3062" s="6">
        <f t="shared" si="94"/>
        <v>0</v>
      </c>
      <c r="F3062" s="8">
        <f t="shared" si="95"/>
        <v>0</v>
      </c>
    </row>
    <row r="3063" spans="1:6" x14ac:dyDescent="0.2">
      <c r="A3063">
        <v>26</v>
      </c>
      <c r="B3063" t="s">
        <v>1151</v>
      </c>
      <c r="C3063" t="s">
        <v>1017</v>
      </c>
      <c r="D3063" s="8">
        <v>1.069317932074E-4</v>
      </c>
      <c r="E3063" s="6">
        <f t="shared" si="94"/>
        <v>1.3749999999999996</v>
      </c>
      <c r="F3063" s="8">
        <f t="shared" si="95"/>
        <v>1.4703121566017496E-4</v>
      </c>
    </row>
    <row r="3064" spans="1:6" x14ac:dyDescent="0.2">
      <c r="A3064">
        <v>26</v>
      </c>
      <c r="B3064" t="s">
        <v>1151</v>
      </c>
      <c r="C3064" t="s">
        <v>1018</v>
      </c>
      <c r="D3064" s="8">
        <v>7.8896188746405707E-6</v>
      </c>
      <c r="E3064" s="6">
        <f t="shared" si="94"/>
        <v>0.69999999999999973</v>
      </c>
      <c r="F3064" s="8">
        <f t="shared" si="95"/>
        <v>5.5227332122483978E-6</v>
      </c>
    </row>
    <row r="3065" spans="1:6" x14ac:dyDescent="0.2">
      <c r="A3065">
        <v>26</v>
      </c>
      <c r="B3065" t="s">
        <v>1151</v>
      </c>
      <c r="C3065" t="s">
        <v>1019</v>
      </c>
      <c r="D3065" s="8">
        <v>3.7028691003797597E-2</v>
      </c>
      <c r="E3065" s="6">
        <f t="shared" si="94"/>
        <v>-0.21599999999999997</v>
      </c>
      <c r="F3065" s="8">
        <f t="shared" si="95"/>
        <v>-7.9981972568202806E-3</v>
      </c>
    </row>
    <row r="3066" spans="1:6" x14ac:dyDescent="0.2">
      <c r="A3066">
        <v>26</v>
      </c>
      <c r="B3066" t="s">
        <v>1151</v>
      </c>
      <c r="C3066" t="s">
        <v>1020</v>
      </c>
      <c r="D3066" s="8">
        <v>6.0995237709780001E-4</v>
      </c>
      <c r="E3066" s="6">
        <f t="shared" si="94"/>
        <v>-0.21999999999999997</v>
      </c>
      <c r="F3066" s="8">
        <f t="shared" si="95"/>
        <v>-1.34189522961516E-4</v>
      </c>
    </row>
    <row r="3067" spans="1:6" x14ac:dyDescent="0.2">
      <c r="A3067">
        <v>26</v>
      </c>
      <c r="B3067" t="s">
        <v>1151</v>
      </c>
      <c r="C3067" t="s">
        <v>1021</v>
      </c>
      <c r="D3067" s="8">
        <v>1.5304409093886061E-6</v>
      </c>
      <c r="E3067" s="6">
        <f t="shared" si="94"/>
        <v>-2.4829999999999997</v>
      </c>
      <c r="F3067" s="8">
        <f t="shared" si="95"/>
        <v>-3.8000847780119083E-6</v>
      </c>
    </row>
    <row r="3068" spans="1:6" x14ac:dyDescent="0.2">
      <c r="A3068">
        <v>26</v>
      </c>
      <c r="B3068" t="s">
        <v>1151</v>
      </c>
      <c r="C3068" t="s">
        <v>1022</v>
      </c>
      <c r="D3068" s="8">
        <v>1.3464214440026779E-6</v>
      </c>
      <c r="E3068" s="6">
        <f t="shared" si="94"/>
        <v>0.46800000000000019</v>
      </c>
      <c r="F3068" s="8">
        <f t="shared" si="95"/>
        <v>6.3012523579325352E-7</v>
      </c>
    </row>
    <row r="3069" spans="1:6" x14ac:dyDescent="0.2">
      <c r="A3069">
        <v>26</v>
      </c>
      <c r="B3069" t="s">
        <v>1151</v>
      </c>
      <c r="C3069" t="s">
        <v>1023</v>
      </c>
      <c r="D3069" s="8">
        <v>2.9867488660248001E-3</v>
      </c>
      <c r="E3069" s="6">
        <f t="shared" si="94"/>
        <v>-0.62199999999999989</v>
      </c>
      <c r="F3069" s="8">
        <f t="shared" si="95"/>
        <v>-1.8577577946674252E-3</v>
      </c>
    </row>
    <row r="3070" spans="1:6" x14ac:dyDescent="0.2">
      <c r="A3070">
        <v>26</v>
      </c>
      <c r="B3070" t="s">
        <v>1151</v>
      </c>
      <c r="C3070" t="s">
        <v>1024</v>
      </c>
      <c r="D3070" s="8">
        <v>2.389842369478E-4</v>
      </c>
      <c r="E3070" s="6">
        <f t="shared" ref="E3070:E3133" si="96">IFERROR(VLOOKUP(C3070,$A$6:$D$185,4,FALSE),0)</f>
        <v>-0.14500000000000002</v>
      </c>
      <c r="F3070" s="8">
        <f t="shared" ref="F3070:F3133" si="97">D3070*E3070</f>
        <v>-3.4652714357431003E-5</v>
      </c>
    </row>
    <row r="3071" spans="1:6" x14ac:dyDescent="0.2">
      <c r="A3071">
        <v>26</v>
      </c>
      <c r="B3071" t="s">
        <v>1151</v>
      </c>
      <c r="C3071" t="s">
        <v>1025</v>
      </c>
      <c r="D3071" s="8">
        <v>2.2804047991778629E-5</v>
      </c>
      <c r="E3071" s="6">
        <f t="shared" si="96"/>
        <v>4.7000000000000153E-2</v>
      </c>
      <c r="F3071" s="8">
        <f t="shared" si="97"/>
        <v>1.0717902556135991E-6</v>
      </c>
    </row>
    <row r="3072" spans="1:6" x14ac:dyDescent="0.2">
      <c r="A3072">
        <v>26</v>
      </c>
      <c r="B3072" t="s">
        <v>1151</v>
      </c>
      <c r="C3072" t="s">
        <v>1026</v>
      </c>
      <c r="D3072" s="8">
        <v>2.5524034358319998E-4</v>
      </c>
      <c r="E3072" s="6">
        <f t="shared" si="96"/>
        <v>-0.20000000000000018</v>
      </c>
      <c r="F3072" s="8">
        <f t="shared" si="97"/>
        <v>-5.1048068716640041E-5</v>
      </c>
    </row>
    <row r="3073" spans="1:6" x14ac:dyDescent="0.2">
      <c r="A3073">
        <v>26</v>
      </c>
      <c r="B3073" t="s">
        <v>1151</v>
      </c>
      <c r="C3073" t="s">
        <v>1027</v>
      </c>
      <c r="D3073" s="8">
        <v>4.171237125764E-4</v>
      </c>
      <c r="E3073" s="6">
        <f t="shared" si="96"/>
        <v>0.18999999999999995</v>
      </c>
      <c r="F3073" s="8">
        <f t="shared" si="97"/>
        <v>7.9253505389515971E-5</v>
      </c>
    </row>
    <row r="3074" spans="1:6" x14ac:dyDescent="0.2">
      <c r="A3074">
        <v>26</v>
      </c>
      <c r="B3074" t="s">
        <v>1151</v>
      </c>
      <c r="C3074" t="s">
        <v>1028</v>
      </c>
      <c r="D3074" s="8">
        <v>1.5556547439550001E-3</v>
      </c>
      <c r="E3074" s="6">
        <f t="shared" si="96"/>
        <v>-1.6600000000000001</v>
      </c>
      <c r="F3074" s="8">
        <f t="shared" si="97"/>
        <v>-2.5823868749653002E-3</v>
      </c>
    </row>
    <row r="3075" spans="1:6" x14ac:dyDescent="0.2">
      <c r="A3075">
        <v>26</v>
      </c>
      <c r="B3075" t="s">
        <v>1151</v>
      </c>
      <c r="C3075" t="s">
        <v>1029</v>
      </c>
      <c r="D3075" s="8">
        <v>7.5904618704326547E-6</v>
      </c>
      <c r="E3075" s="6">
        <f t="shared" si="96"/>
        <v>-0.20500000000000007</v>
      </c>
      <c r="F3075" s="8">
        <f t="shared" si="97"/>
        <v>-1.5560446834386947E-6</v>
      </c>
    </row>
    <row r="3076" spans="1:6" x14ac:dyDescent="0.2">
      <c r="A3076">
        <v>26</v>
      </c>
      <c r="B3076" t="s">
        <v>1151</v>
      </c>
      <c r="C3076" t="s">
        <v>1030</v>
      </c>
      <c r="D3076" s="8">
        <v>8.6037220497628609E-6</v>
      </c>
      <c r="E3076" s="6">
        <f t="shared" si="96"/>
        <v>0.29999999999999982</v>
      </c>
      <c r="F3076" s="8">
        <f t="shared" si="97"/>
        <v>2.5811166149288568E-6</v>
      </c>
    </row>
    <row r="3077" spans="1:6" x14ac:dyDescent="0.2">
      <c r="A3077">
        <v>26</v>
      </c>
      <c r="B3077" t="s">
        <v>1151</v>
      </c>
      <c r="C3077" t="s">
        <v>1031</v>
      </c>
      <c r="D3077" s="8">
        <v>2.8282167687808E-3</v>
      </c>
      <c r="E3077" s="6">
        <f t="shared" si="96"/>
        <v>0.19899999999999984</v>
      </c>
      <c r="F3077" s="8">
        <f t="shared" si="97"/>
        <v>5.6281513698737873E-4</v>
      </c>
    </row>
    <row r="3078" spans="1:6" x14ac:dyDescent="0.2">
      <c r="A3078">
        <v>26</v>
      </c>
      <c r="B3078" t="s">
        <v>1151</v>
      </c>
      <c r="C3078" t="s">
        <v>1033</v>
      </c>
      <c r="D3078" s="8">
        <v>9.9943791779460002E-4</v>
      </c>
      <c r="E3078" s="6">
        <f t="shared" si="96"/>
        <v>0.23299999999999987</v>
      </c>
      <c r="F3078" s="8">
        <f t="shared" si="97"/>
        <v>2.3286903484614167E-4</v>
      </c>
    </row>
    <row r="3079" spans="1:6" x14ac:dyDescent="0.2">
      <c r="A3079">
        <v>26</v>
      </c>
      <c r="B3079" t="s">
        <v>1151</v>
      </c>
      <c r="C3079" t="s">
        <v>1034</v>
      </c>
      <c r="D3079" s="8">
        <v>3.513226820273235E-5</v>
      </c>
      <c r="E3079" s="6">
        <f t="shared" si="96"/>
        <v>0.70000000000000018</v>
      </c>
      <c r="F3079" s="8">
        <f t="shared" si="97"/>
        <v>2.4592587741912652E-5</v>
      </c>
    </row>
    <row r="3080" spans="1:6" x14ac:dyDescent="0.2">
      <c r="A3080">
        <v>26</v>
      </c>
      <c r="B3080" t="s">
        <v>1151</v>
      </c>
      <c r="C3080" t="s">
        <v>1100</v>
      </c>
      <c r="D3080" s="8">
        <v>8.8244252744580003E-4</v>
      </c>
      <c r="E3080" s="6">
        <f t="shared" si="96"/>
        <v>0</v>
      </c>
      <c r="F3080" s="8">
        <f t="shared" si="97"/>
        <v>0</v>
      </c>
    </row>
    <row r="3081" spans="1:6" x14ac:dyDescent="0.2">
      <c r="A3081">
        <v>26</v>
      </c>
      <c r="B3081" t="s">
        <v>1151</v>
      </c>
      <c r="C3081" t="s">
        <v>1035</v>
      </c>
      <c r="D3081" s="8">
        <v>1.0005169182567E-3</v>
      </c>
      <c r="E3081" s="6">
        <f t="shared" si="96"/>
        <v>-14.218</v>
      </c>
      <c r="F3081" s="8">
        <f t="shared" si="97"/>
        <v>-1.422534954377376E-2</v>
      </c>
    </row>
    <row r="3082" spans="1:6" x14ac:dyDescent="0.2">
      <c r="A3082">
        <v>26</v>
      </c>
      <c r="B3082" t="s">
        <v>1151</v>
      </c>
      <c r="C3082" t="s">
        <v>1036</v>
      </c>
      <c r="D3082" s="8">
        <v>5.8825438333880002E-4</v>
      </c>
      <c r="E3082" s="6">
        <f t="shared" si="96"/>
        <v>-2.0590000000000002</v>
      </c>
      <c r="F3082" s="8">
        <f t="shared" si="97"/>
        <v>-1.2112157752945892E-3</v>
      </c>
    </row>
    <row r="3083" spans="1:6" x14ac:dyDescent="0.2">
      <c r="A3083">
        <v>26</v>
      </c>
      <c r="B3083" t="s">
        <v>1151</v>
      </c>
      <c r="C3083" t="s">
        <v>1037</v>
      </c>
      <c r="D3083" s="8">
        <v>7.78970118903E-4</v>
      </c>
      <c r="E3083" s="6">
        <f t="shared" si="96"/>
        <v>0.2350000000000001</v>
      </c>
      <c r="F3083" s="8">
        <f t="shared" si="97"/>
        <v>1.8305797794220509E-4</v>
      </c>
    </row>
    <row r="3084" spans="1:6" x14ac:dyDescent="0.2">
      <c r="A3084">
        <v>26</v>
      </c>
      <c r="B3084" t="s">
        <v>1151</v>
      </c>
      <c r="C3084" t="s">
        <v>1038</v>
      </c>
      <c r="D3084" s="8">
        <v>3.7032585807958962E-6</v>
      </c>
      <c r="E3084" s="6">
        <f t="shared" si="96"/>
        <v>-0.2759999999999998</v>
      </c>
      <c r="F3084" s="8">
        <f t="shared" si="97"/>
        <v>-1.0220993682996667E-6</v>
      </c>
    </row>
    <row r="3085" spans="1:6" x14ac:dyDescent="0.2">
      <c r="A3085">
        <v>26</v>
      </c>
      <c r="B3085" t="s">
        <v>1151</v>
      </c>
      <c r="C3085" t="s">
        <v>1094</v>
      </c>
      <c r="D3085" s="8">
        <v>1.4061962356997E-2</v>
      </c>
      <c r="E3085" s="6">
        <f t="shared" si="96"/>
        <v>0</v>
      </c>
      <c r="F3085" s="8">
        <f t="shared" si="97"/>
        <v>0</v>
      </c>
    </row>
    <row r="3086" spans="1:6" x14ac:dyDescent="0.2">
      <c r="A3086">
        <v>26</v>
      </c>
      <c r="B3086" t="s">
        <v>1151</v>
      </c>
      <c r="C3086" t="s">
        <v>1039</v>
      </c>
      <c r="D3086" s="8">
        <v>2.9338291999215999E-3</v>
      </c>
      <c r="E3086" s="6">
        <f t="shared" si="96"/>
        <v>-0.6419999999999999</v>
      </c>
      <c r="F3086" s="8">
        <f t="shared" si="97"/>
        <v>-1.8835183463496669E-3</v>
      </c>
    </row>
    <row r="3087" spans="1:6" x14ac:dyDescent="0.2">
      <c r="A3087">
        <v>26</v>
      </c>
      <c r="B3087" t="s">
        <v>1151</v>
      </c>
      <c r="C3087" t="s">
        <v>1040</v>
      </c>
      <c r="D3087" s="8">
        <v>3.177153165199329E-6</v>
      </c>
      <c r="E3087" s="6">
        <f t="shared" si="96"/>
        <v>-8.1180000000000003</v>
      </c>
      <c r="F3087" s="8">
        <f t="shared" si="97"/>
        <v>-2.5792129395088153E-5</v>
      </c>
    </row>
    <row r="3088" spans="1:6" x14ac:dyDescent="0.2">
      <c r="A3088">
        <v>26</v>
      </c>
      <c r="B3088" t="s">
        <v>1151</v>
      </c>
      <c r="C3088" t="s">
        <v>1041</v>
      </c>
      <c r="D3088" s="8">
        <v>8.5065865099633747E-5</v>
      </c>
      <c r="E3088" s="6">
        <f t="shared" si="96"/>
        <v>-1.8890000000000002</v>
      </c>
      <c r="F3088" s="8">
        <f t="shared" si="97"/>
        <v>-1.6068941917320818E-4</v>
      </c>
    </row>
    <row r="3089" spans="1:6" x14ac:dyDescent="0.2">
      <c r="A3089">
        <v>26</v>
      </c>
      <c r="B3089" t="s">
        <v>1151</v>
      </c>
      <c r="C3089" t="s">
        <v>1042</v>
      </c>
      <c r="D3089" s="8">
        <v>6.5204141269642997E-3</v>
      </c>
      <c r="E3089" s="6">
        <f t="shared" si="96"/>
        <v>1.621</v>
      </c>
      <c r="F3089" s="8">
        <f t="shared" si="97"/>
        <v>1.056959129980913E-2</v>
      </c>
    </row>
    <row r="3090" spans="1:6" x14ac:dyDescent="0.2">
      <c r="A3090">
        <v>26</v>
      </c>
      <c r="B3090" t="s">
        <v>1151</v>
      </c>
      <c r="C3090" t="s">
        <v>1043</v>
      </c>
      <c r="D3090" s="8">
        <v>4.5352304005198291E-7</v>
      </c>
      <c r="E3090" s="6">
        <f t="shared" si="96"/>
        <v>-2.8000000000000025E-2</v>
      </c>
      <c r="F3090" s="8">
        <f t="shared" si="97"/>
        <v>-1.2698645121455533E-8</v>
      </c>
    </row>
    <row r="3091" spans="1:6" x14ac:dyDescent="0.2">
      <c r="A3091">
        <v>26</v>
      </c>
      <c r="B3091" t="s">
        <v>1151</v>
      </c>
      <c r="C3091" t="s">
        <v>1044</v>
      </c>
      <c r="D3091" s="8">
        <v>3.1958423014652078E-6</v>
      </c>
      <c r="E3091" s="6">
        <f t="shared" si="96"/>
        <v>-0.35099999999999998</v>
      </c>
      <c r="F3091" s="8">
        <f t="shared" si="97"/>
        <v>-1.1217406478142879E-6</v>
      </c>
    </row>
    <row r="3092" spans="1:6" x14ac:dyDescent="0.2">
      <c r="A3092">
        <v>26</v>
      </c>
      <c r="B3092" t="s">
        <v>1151</v>
      </c>
      <c r="C3092" t="s">
        <v>1045</v>
      </c>
      <c r="D3092" s="8">
        <v>1.6962260074911241E-6</v>
      </c>
      <c r="E3092" s="6">
        <f t="shared" si="96"/>
        <v>0.7849999999999997</v>
      </c>
      <c r="F3092" s="8">
        <f t="shared" si="97"/>
        <v>1.3315374158805318E-6</v>
      </c>
    </row>
    <row r="3093" spans="1:6" x14ac:dyDescent="0.2">
      <c r="A3093">
        <v>26</v>
      </c>
      <c r="B3093" t="s">
        <v>1151</v>
      </c>
      <c r="C3093" t="s">
        <v>1047</v>
      </c>
      <c r="D3093" s="8">
        <v>9.2199738911666818E-7</v>
      </c>
      <c r="E3093" s="6">
        <f t="shared" si="96"/>
        <v>-1.4999999999999996</v>
      </c>
      <c r="F3093" s="8">
        <f t="shared" si="97"/>
        <v>-1.3829960836750018E-6</v>
      </c>
    </row>
    <row r="3094" spans="1:6" x14ac:dyDescent="0.2">
      <c r="A3094">
        <v>26</v>
      </c>
      <c r="B3094" t="s">
        <v>1151</v>
      </c>
      <c r="C3094" t="s">
        <v>1048</v>
      </c>
      <c r="D3094" s="8">
        <v>1.530957047264E-4</v>
      </c>
      <c r="E3094" s="6">
        <f t="shared" si="96"/>
        <v>-1.4340000000000002</v>
      </c>
      <c r="F3094" s="8">
        <f t="shared" si="97"/>
        <v>-2.1953924057765761E-4</v>
      </c>
    </row>
    <row r="3095" spans="1:6" x14ac:dyDescent="0.2">
      <c r="A3095">
        <v>26</v>
      </c>
      <c r="B3095" t="s">
        <v>1151</v>
      </c>
      <c r="C3095" t="s">
        <v>1051</v>
      </c>
      <c r="D3095" s="8">
        <v>3.6720196895274798E-5</v>
      </c>
      <c r="E3095" s="6">
        <f t="shared" si="96"/>
        <v>0.18199999999999994</v>
      </c>
      <c r="F3095" s="8">
        <f t="shared" si="97"/>
        <v>6.6830758349400107E-6</v>
      </c>
    </row>
    <row r="3096" spans="1:6" x14ac:dyDescent="0.2">
      <c r="A3096">
        <v>26</v>
      </c>
      <c r="B3096" t="s">
        <v>1151</v>
      </c>
      <c r="C3096" t="s">
        <v>1052</v>
      </c>
      <c r="D3096" s="8">
        <v>1.47623618450547E-5</v>
      </c>
      <c r="E3096" s="6">
        <f t="shared" si="96"/>
        <v>-1.1059999999999999</v>
      </c>
      <c r="F3096" s="8">
        <f t="shared" si="97"/>
        <v>-1.6327172200630496E-5</v>
      </c>
    </row>
    <row r="3097" spans="1:6" x14ac:dyDescent="0.2">
      <c r="A3097">
        <v>26</v>
      </c>
      <c r="B3097" t="s">
        <v>1151</v>
      </c>
      <c r="C3097" t="s">
        <v>1053</v>
      </c>
      <c r="D3097" s="8">
        <v>1.8558375543589999E-4</v>
      </c>
      <c r="E3097" s="6">
        <f t="shared" si="96"/>
        <v>-0.39999999999999991</v>
      </c>
      <c r="F3097" s="8">
        <f t="shared" si="97"/>
        <v>-7.4233502174359976E-5</v>
      </c>
    </row>
    <row r="3098" spans="1:6" x14ac:dyDescent="0.2">
      <c r="A3098">
        <v>26</v>
      </c>
      <c r="B3098" t="s">
        <v>1151</v>
      </c>
      <c r="C3098" t="s">
        <v>1054</v>
      </c>
      <c r="D3098" s="8">
        <v>3.8912229035879E-3</v>
      </c>
      <c r="E3098" s="6">
        <f t="shared" si="96"/>
        <v>-0.16800000000000015</v>
      </c>
      <c r="F3098" s="8">
        <f t="shared" si="97"/>
        <v>-6.5372544780276781E-4</v>
      </c>
    </row>
    <row r="3099" spans="1:6" x14ac:dyDescent="0.2">
      <c r="A3099">
        <v>26</v>
      </c>
      <c r="B3099" t="s">
        <v>1151</v>
      </c>
      <c r="C3099" t="s">
        <v>1056</v>
      </c>
      <c r="D3099" s="8">
        <v>9.9657660106470007E-4</v>
      </c>
      <c r="E3099" s="6">
        <f t="shared" si="96"/>
        <v>-1.996</v>
      </c>
      <c r="F3099" s="8">
        <f t="shared" si="97"/>
        <v>-1.9891668957251413E-3</v>
      </c>
    </row>
    <row r="3100" spans="1:6" x14ac:dyDescent="0.2">
      <c r="A3100">
        <v>26</v>
      </c>
      <c r="B3100" t="s">
        <v>1151</v>
      </c>
      <c r="C3100" t="s">
        <v>1112</v>
      </c>
      <c r="D3100" s="8">
        <v>3.3326308308680001E-4</v>
      </c>
      <c r="E3100" s="6">
        <f t="shared" si="96"/>
        <v>0</v>
      </c>
      <c r="F3100" s="8">
        <f t="shared" si="97"/>
        <v>0</v>
      </c>
    </row>
    <row r="3101" spans="1:6" x14ac:dyDescent="0.2">
      <c r="A3101">
        <v>26</v>
      </c>
      <c r="B3101" t="s">
        <v>1151</v>
      </c>
      <c r="C3101" t="s">
        <v>1058</v>
      </c>
      <c r="D3101" s="8">
        <v>2.6599593527455429E-5</v>
      </c>
      <c r="E3101" s="6">
        <f t="shared" si="96"/>
        <v>-0.5</v>
      </c>
      <c r="F3101" s="8">
        <f t="shared" si="97"/>
        <v>-1.3299796763727714E-5</v>
      </c>
    </row>
    <row r="3102" spans="1:6" x14ac:dyDescent="0.2">
      <c r="A3102">
        <v>26</v>
      </c>
      <c r="B3102" t="s">
        <v>1151</v>
      </c>
      <c r="C3102" t="s">
        <v>1059</v>
      </c>
      <c r="D3102" s="8">
        <v>2.0578815721946E-3</v>
      </c>
      <c r="E3102" s="6">
        <f t="shared" si="96"/>
        <v>-0.10000000000000009</v>
      </c>
      <c r="F3102" s="8">
        <f t="shared" si="97"/>
        <v>-2.0578815721946018E-4</v>
      </c>
    </row>
    <row r="3103" spans="1:6" x14ac:dyDescent="0.2">
      <c r="A3103">
        <v>26</v>
      </c>
      <c r="B3103" t="s">
        <v>1151</v>
      </c>
      <c r="C3103" t="s">
        <v>1062</v>
      </c>
      <c r="D3103" s="8">
        <v>2.2412396122278E-3</v>
      </c>
      <c r="E3103" s="6">
        <f t="shared" si="96"/>
        <v>0.89999999999999947</v>
      </c>
      <c r="F3103" s="8">
        <f t="shared" si="97"/>
        <v>2.0171156510050189E-3</v>
      </c>
    </row>
    <row r="3104" spans="1:6" x14ac:dyDescent="0.2">
      <c r="A3104">
        <v>26</v>
      </c>
      <c r="B3104" t="s">
        <v>1151</v>
      </c>
      <c r="C3104" t="s">
        <v>1063</v>
      </c>
      <c r="D3104" s="8">
        <v>4.5971537386807731E-7</v>
      </c>
      <c r="E3104" s="6">
        <f t="shared" si="96"/>
        <v>-4.1000000000000369E-2</v>
      </c>
      <c r="F3104" s="8">
        <f t="shared" si="97"/>
        <v>-1.8848330328591338E-8</v>
      </c>
    </row>
    <row r="3105" spans="1:6" x14ac:dyDescent="0.2">
      <c r="A3105">
        <v>26</v>
      </c>
      <c r="B3105" t="s">
        <v>1151</v>
      </c>
      <c r="C3105" t="s">
        <v>1064</v>
      </c>
      <c r="D3105" s="8">
        <v>3.7590082742770099E-6</v>
      </c>
      <c r="E3105" s="6">
        <f t="shared" si="96"/>
        <v>-0.29400000000000004</v>
      </c>
      <c r="F3105" s="8">
        <f t="shared" si="97"/>
        <v>-1.1051484326374412E-6</v>
      </c>
    </row>
    <row r="3106" spans="1:6" x14ac:dyDescent="0.2">
      <c r="A3106">
        <v>26</v>
      </c>
      <c r="B3106" t="s">
        <v>1151</v>
      </c>
      <c r="C3106" t="s">
        <v>1065</v>
      </c>
      <c r="D3106" s="8">
        <v>3.0459435921598939E-5</v>
      </c>
      <c r="E3106" s="6">
        <f t="shared" si="96"/>
        <v>0.68300000000000005</v>
      </c>
      <c r="F3106" s="8">
        <f t="shared" si="97"/>
        <v>2.0803794734452076E-5</v>
      </c>
    </row>
    <row r="3107" spans="1:6" x14ac:dyDescent="0.2">
      <c r="A3107">
        <v>26</v>
      </c>
      <c r="B3107" t="s">
        <v>1151</v>
      </c>
      <c r="C3107" t="s">
        <v>1066</v>
      </c>
      <c r="D3107" s="8">
        <v>3.5170289169741001E-3</v>
      </c>
      <c r="E3107" s="6">
        <f t="shared" si="96"/>
        <v>0.20900000000000007</v>
      </c>
      <c r="F3107" s="8">
        <f t="shared" si="97"/>
        <v>7.3505904364758721E-4</v>
      </c>
    </row>
    <row r="3108" spans="1:6" x14ac:dyDescent="0.2">
      <c r="A3108">
        <v>26</v>
      </c>
      <c r="B3108" t="s">
        <v>1151</v>
      </c>
      <c r="C3108" t="s">
        <v>1067</v>
      </c>
      <c r="D3108" s="8">
        <v>2.804865570783031E-6</v>
      </c>
      <c r="E3108" s="6">
        <f t="shared" si="96"/>
        <v>0.17700000000000005</v>
      </c>
      <c r="F3108" s="8">
        <f t="shared" si="97"/>
        <v>4.9646120602859659E-7</v>
      </c>
    </row>
    <row r="3109" spans="1:6" x14ac:dyDescent="0.2">
      <c r="A3109">
        <v>26</v>
      </c>
      <c r="B3109" t="s">
        <v>1151</v>
      </c>
      <c r="C3109" t="s">
        <v>1106</v>
      </c>
      <c r="D3109" s="8">
        <v>3.3136830992530001E-4</v>
      </c>
      <c r="E3109" s="6">
        <f t="shared" si="96"/>
        <v>0</v>
      </c>
      <c r="F3109" s="8">
        <f t="shared" si="97"/>
        <v>0</v>
      </c>
    </row>
    <row r="3110" spans="1:6" x14ac:dyDescent="0.2">
      <c r="A3110">
        <v>26</v>
      </c>
      <c r="B3110" t="s">
        <v>1151</v>
      </c>
      <c r="C3110" t="s">
        <v>1069</v>
      </c>
      <c r="D3110" s="8">
        <v>2.271975998721952E-6</v>
      </c>
      <c r="E3110" s="6">
        <f t="shared" si="96"/>
        <v>-0.13199999999999967</v>
      </c>
      <c r="F3110" s="8">
        <f t="shared" si="97"/>
        <v>-2.999008318312969E-7</v>
      </c>
    </row>
    <row r="3111" spans="1:6" x14ac:dyDescent="0.2">
      <c r="A3111">
        <v>26</v>
      </c>
      <c r="B3111" t="s">
        <v>1151</v>
      </c>
      <c r="C3111" t="s">
        <v>1070</v>
      </c>
      <c r="D3111" s="8">
        <v>5.1511931832827356E-6</v>
      </c>
      <c r="E3111" s="6">
        <f t="shared" si="96"/>
        <v>-2.5</v>
      </c>
      <c r="F3111" s="8">
        <f t="shared" si="97"/>
        <v>-1.287798295820684E-5</v>
      </c>
    </row>
    <row r="3112" spans="1:6" x14ac:dyDescent="0.2">
      <c r="A3112">
        <v>26</v>
      </c>
      <c r="B3112" t="s">
        <v>1151</v>
      </c>
      <c r="C3112" t="s">
        <v>1071</v>
      </c>
      <c r="D3112" s="8">
        <v>1.0024183466195999E-3</v>
      </c>
      <c r="E3112" s="6">
        <f t="shared" si="96"/>
        <v>-0.8</v>
      </c>
      <c r="F3112" s="8">
        <f t="shared" si="97"/>
        <v>-8.0193467729567996E-4</v>
      </c>
    </row>
    <row r="3113" spans="1:6" x14ac:dyDescent="0.2">
      <c r="A3113">
        <v>26</v>
      </c>
      <c r="B3113" t="s">
        <v>1151</v>
      </c>
      <c r="C3113" t="s">
        <v>1072</v>
      </c>
      <c r="D3113" s="8">
        <v>0.554883828948594</v>
      </c>
      <c r="E3113" s="6">
        <f t="shared" si="96"/>
        <v>0.55599999999999983</v>
      </c>
      <c r="F3113" s="8">
        <f t="shared" si="97"/>
        <v>0.30851540889541818</v>
      </c>
    </row>
    <row r="3114" spans="1:6" x14ac:dyDescent="0.2">
      <c r="A3114">
        <v>26</v>
      </c>
      <c r="B3114" t="s">
        <v>1151</v>
      </c>
      <c r="C3114" t="s">
        <v>1073</v>
      </c>
      <c r="D3114" s="8">
        <v>1.529394317757716E-6</v>
      </c>
      <c r="E3114" s="6">
        <f t="shared" si="96"/>
        <v>0.69200000000000017</v>
      </c>
      <c r="F3114" s="8">
        <f t="shared" si="97"/>
        <v>1.0583408678883398E-6</v>
      </c>
    </row>
    <row r="3115" spans="1:6" x14ac:dyDescent="0.2">
      <c r="A3115">
        <v>26</v>
      </c>
      <c r="B3115" t="s">
        <v>1151</v>
      </c>
      <c r="C3115" t="s">
        <v>1124</v>
      </c>
      <c r="D3115" s="8">
        <v>1.0545656623626319E-5</v>
      </c>
      <c r="E3115" s="6">
        <f t="shared" si="96"/>
        <v>0</v>
      </c>
      <c r="F3115" s="8">
        <f t="shared" si="97"/>
        <v>0</v>
      </c>
    </row>
    <row r="3116" spans="1:6" x14ac:dyDescent="0.2">
      <c r="A3116">
        <v>26</v>
      </c>
      <c r="B3116" t="s">
        <v>1151</v>
      </c>
      <c r="C3116" t="s">
        <v>1074</v>
      </c>
      <c r="D3116" s="8">
        <v>1.230140753012427E-5</v>
      </c>
      <c r="E3116" s="6">
        <f t="shared" si="96"/>
        <v>9.5</v>
      </c>
      <c r="F3116" s="8">
        <f t="shared" si="97"/>
        <v>1.1686337153618057E-4</v>
      </c>
    </row>
    <row r="3117" spans="1:6" x14ac:dyDescent="0.2">
      <c r="A3117">
        <v>26</v>
      </c>
      <c r="B3117" t="s">
        <v>1151</v>
      </c>
      <c r="C3117" t="s">
        <v>1107</v>
      </c>
      <c r="D3117" s="8">
        <v>6.5637495623038739E-5</v>
      </c>
      <c r="E3117" s="6">
        <f t="shared" si="96"/>
        <v>0</v>
      </c>
      <c r="F3117" s="8">
        <f t="shared" si="97"/>
        <v>0</v>
      </c>
    </row>
    <row r="3118" spans="1:6" x14ac:dyDescent="0.2">
      <c r="A3118">
        <v>26</v>
      </c>
      <c r="B3118" t="s">
        <v>1151</v>
      </c>
      <c r="C3118" t="s">
        <v>1075</v>
      </c>
      <c r="D3118" s="8">
        <v>3.6053808829349999E-4</v>
      </c>
      <c r="E3118" s="6">
        <f t="shared" si="96"/>
        <v>3.0529999999999999</v>
      </c>
      <c r="F3118" s="8">
        <f t="shared" si="97"/>
        <v>1.1007227835600555E-3</v>
      </c>
    </row>
    <row r="3119" spans="1:6" x14ac:dyDescent="0.2">
      <c r="A3119">
        <v>26</v>
      </c>
      <c r="B3119" t="s">
        <v>1151</v>
      </c>
      <c r="C3119" t="s">
        <v>1076</v>
      </c>
      <c r="D3119" s="8">
        <v>2.395311838652572E-5</v>
      </c>
      <c r="E3119" s="6">
        <f t="shared" si="96"/>
        <v>1.4060000000000001</v>
      </c>
      <c r="F3119" s="8">
        <f t="shared" si="97"/>
        <v>3.3678084451455166E-5</v>
      </c>
    </row>
    <row r="3120" spans="1:6" x14ac:dyDescent="0.2">
      <c r="A3120">
        <v>26</v>
      </c>
      <c r="B3120" t="s">
        <v>1151</v>
      </c>
      <c r="C3120" t="s">
        <v>1133</v>
      </c>
      <c r="D3120" s="8">
        <v>7.7043160885643865E-5</v>
      </c>
      <c r="E3120" s="6">
        <f t="shared" si="96"/>
        <v>0</v>
      </c>
      <c r="F3120" s="8">
        <f t="shared" si="97"/>
        <v>0</v>
      </c>
    </row>
    <row r="3121" spans="1:6" x14ac:dyDescent="0.2">
      <c r="A3121">
        <v>26</v>
      </c>
      <c r="B3121" t="s">
        <v>1151</v>
      </c>
      <c r="C3121" t="s">
        <v>1078</v>
      </c>
      <c r="D3121" s="8">
        <v>2.2947767449663239E-6</v>
      </c>
      <c r="E3121" s="6">
        <f t="shared" si="96"/>
        <v>0.5</v>
      </c>
      <c r="F3121" s="8">
        <f t="shared" si="97"/>
        <v>1.147388372483162E-6</v>
      </c>
    </row>
    <row r="3122" spans="1:6" x14ac:dyDescent="0.2">
      <c r="A3122">
        <v>26</v>
      </c>
      <c r="B3122" t="s">
        <v>1151</v>
      </c>
      <c r="C3122" t="s">
        <v>1079</v>
      </c>
      <c r="D3122" s="8">
        <v>3.2797447341918E-3</v>
      </c>
      <c r="E3122" s="6">
        <f t="shared" si="96"/>
        <v>-0.28899999999999992</v>
      </c>
      <c r="F3122" s="8">
        <f t="shared" si="97"/>
        <v>-9.4784622818142993E-4</v>
      </c>
    </row>
    <row r="3123" spans="1:6" x14ac:dyDescent="0.2">
      <c r="A3123">
        <v>26</v>
      </c>
      <c r="B3123" t="s">
        <v>1151</v>
      </c>
      <c r="C3123" t="s">
        <v>1081</v>
      </c>
      <c r="D3123" s="8">
        <v>4.7832040902075908E-5</v>
      </c>
      <c r="E3123" s="6">
        <f t="shared" si="96"/>
        <v>0.36000000000000032</v>
      </c>
      <c r="F3123" s="8">
        <f t="shared" si="97"/>
        <v>1.7219534724747342E-5</v>
      </c>
    </row>
    <row r="3124" spans="1:6" x14ac:dyDescent="0.2">
      <c r="A3124">
        <v>27</v>
      </c>
      <c r="B3124" t="s">
        <v>1152</v>
      </c>
      <c r="C3124" t="s">
        <v>902</v>
      </c>
      <c r="D3124" s="8">
        <v>8.5917268980330828E-6</v>
      </c>
      <c r="E3124" s="6">
        <f t="shared" si="96"/>
        <v>-0.28000000000000025</v>
      </c>
      <c r="F3124" s="8">
        <f t="shared" si="97"/>
        <v>-2.4056835314492652E-6</v>
      </c>
    </row>
    <row r="3125" spans="1:6" x14ac:dyDescent="0.2">
      <c r="A3125">
        <v>27</v>
      </c>
      <c r="B3125" t="s">
        <v>1152</v>
      </c>
      <c r="C3125" t="s">
        <v>1090</v>
      </c>
      <c r="D3125" s="8">
        <v>1.2544690308406669E-5</v>
      </c>
      <c r="E3125" s="6">
        <f t="shared" si="96"/>
        <v>0</v>
      </c>
      <c r="F3125" s="8">
        <f t="shared" si="97"/>
        <v>0</v>
      </c>
    </row>
    <row r="3126" spans="1:6" x14ac:dyDescent="0.2">
      <c r="A3126">
        <v>27</v>
      </c>
      <c r="B3126" t="s">
        <v>1152</v>
      </c>
      <c r="C3126" t="s">
        <v>903</v>
      </c>
      <c r="D3126" s="8">
        <v>4.691073411406058E-8</v>
      </c>
      <c r="E3126" s="6">
        <f t="shared" si="96"/>
        <v>0.22399999999999975</v>
      </c>
      <c r="F3126" s="8">
        <f t="shared" si="97"/>
        <v>1.0508004441549559E-8</v>
      </c>
    </row>
    <row r="3127" spans="1:6" x14ac:dyDescent="0.2">
      <c r="A3127">
        <v>27</v>
      </c>
      <c r="B3127" t="s">
        <v>1152</v>
      </c>
      <c r="C3127" t="s">
        <v>906</v>
      </c>
      <c r="D3127" s="8">
        <v>7.9260591199927094E-2</v>
      </c>
      <c r="E3127" s="6">
        <f t="shared" si="96"/>
        <v>-1.8859999999999997</v>
      </c>
      <c r="F3127" s="8">
        <f t="shared" si="97"/>
        <v>-0.14948547500306247</v>
      </c>
    </row>
    <row r="3128" spans="1:6" x14ac:dyDescent="0.2">
      <c r="A3128">
        <v>27</v>
      </c>
      <c r="B3128" t="s">
        <v>1152</v>
      </c>
      <c r="C3128" t="s">
        <v>907</v>
      </c>
      <c r="D3128" s="8">
        <v>2.4897410453410002E-4</v>
      </c>
      <c r="E3128" s="6">
        <f t="shared" si="96"/>
        <v>-1.0199999999999996</v>
      </c>
      <c r="F3128" s="8">
        <f t="shared" si="97"/>
        <v>-2.5395358662478191E-4</v>
      </c>
    </row>
    <row r="3129" spans="1:6" x14ac:dyDescent="0.2">
      <c r="A3129">
        <v>27</v>
      </c>
      <c r="B3129" t="s">
        <v>1152</v>
      </c>
      <c r="C3129" t="s">
        <v>908</v>
      </c>
      <c r="D3129" s="8">
        <v>3.0334734489958168E-7</v>
      </c>
      <c r="E3129" s="6">
        <f t="shared" si="96"/>
        <v>0.79999999999999982</v>
      </c>
      <c r="F3129" s="8">
        <f t="shared" si="97"/>
        <v>2.426778759196653E-7</v>
      </c>
    </row>
    <row r="3130" spans="1:6" x14ac:dyDescent="0.2">
      <c r="A3130">
        <v>27</v>
      </c>
      <c r="B3130" t="s">
        <v>1152</v>
      </c>
      <c r="C3130" t="s">
        <v>909</v>
      </c>
      <c r="D3130" s="8">
        <v>4.3405532612521117E-8</v>
      </c>
      <c r="E3130" s="6">
        <f t="shared" si="96"/>
        <v>5.9000000000000163E-2</v>
      </c>
      <c r="F3130" s="8">
        <f t="shared" si="97"/>
        <v>2.5609264241387531E-9</v>
      </c>
    </row>
    <row r="3131" spans="1:6" x14ac:dyDescent="0.2">
      <c r="A3131">
        <v>27</v>
      </c>
      <c r="B3131" t="s">
        <v>1152</v>
      </c>
      <c r="C3131" t="s">
        <v>910</v>
      </c>
      <c r="D3131" s="8">
        <v>8.7034912564904008E-3</v>
      </c>
      <c r="E3131" s="6">
        <f t="shared" si="96"/>
        <v>-7.7999999999999847E-2</v>
      </c>
      <c r="F3131" s="8">
        <f t="shared" si="97"/>
        <v>-6.7887231800624998E-4</v>
      </c>
    </row>
    <row r="3132" spans="1:6" x14ac:dyDescent="0.2">
      <c r="A3132">
        <v>27</v>
      </c>
      <c r="B3132" t="s">
        <v>1152</v>
      </c>
      <c r="C3132" t="s">
        <v>911</v>
      </c>
      <c r="D3132" s="8">
        <v>1.9475158429520001E-4</v>
      </c>
      <c r="E3132" s="6">
        <f t="shared" si="96"/>
        <v>-7.5000000000000067E-2</v>
      </c>
      <c r="F3132" s="8">
        <f t="shared" si="97"/>
        <v>-1.4606368822140013E-5</v>
      </c>
    </row>
    <row r="3133" spans="1:6" x14ac:dyDescent="0.2">
      <c r="A3133">
        <v>27</v>
      </c>
      <c r="B3133" t="s">
        <v>1152</v>
      </c>
      <c r="C3133" t="s">
        <v>912</v>
      </c>
      <c r="D3133" s="8">
        <v>1.7594532559107682E-5</v>
      </c>
      <c r="E3133" s="6">
        <f t="shared" si="96"/>
        <v>-0.29800000000000004</v>
      </c>
      <c r="F3133" s="8">
        <f t="shared" si="97"/>
        <v>-5.2431707026140894E-6</v>
      </c>
    </row>
    <row r="3134" spans="1:6" x14ac:dyDescent="0.2">
      <c r="A3134">
        <v>27</v>
      </c>
      <c r="B3134" t="s">
        <v>1152</v>
      </c>
      <c r="C3134" t="s">
        <v>913</v>
      </c>
      <c r="D3134" s="8">
        <v>1.947175468886952E-5</v>
      </c>
      <c r="E3134" s="6">
        <f t="shared" ref="E3134:E3197" si="98">IFERROR(VLOOKUP(C3134,$A$6:$D$185,4,FALSE),0)</f>
        <v>1.2109999999999999</v>
      </c>
      <c r="F3134" s="8">
        <f t="shared" ref="F3134:F3197" si="99">D3134*E3134</f>
        <v>2.3580294928220986E-5</v>
      </c>
    </row>
    <row r="3135" spans="1:6" x14ac:dyDescent="0.2">
      <c r="A3135">
        <v>27</v>
      </c>
      <c r="B3135" t="s">
        <v>1152</v>
      </c>
      <c r="C3135" t="s">
        <v>914</v>
      </c>
      <c r="D3135" s="8">
        <v>1.2114216804211E-3</v>
      </c>
      <c r="E3135" s="6">
        <f t="shared" si="98"/>
        <v>-0.26900000000000002</v>
      </c>
      <c r="F3135" s="8">
        <f t="shared" si="99"/>
        <v>-3.2587243203327591E-4</v>
      </c>
    </row>
    <row r="3136" spans="1:6" x14ac:dyDescent="0.2">
      <c r="A3136">
        <v>27</v>
      </c>
      <c r="B3136" t="s">
        <v>1152</v>
      </c>
      <c r="C3136" t="s">
        <v>917</v>
      </c>
      <c r="D3136" s="8">
        <v>3.190587038243E-4</v>
      </c>
      <c r="E3136" s="6">
        <f t="shared" si="98"/>
        <v>-1.83</v>
      </c>
      <c r="F3136" s="8">
        <f t="shared" si="99"/>
        <v>-5.8387742799846903E-4</v>
      </c>
    </row>
    <row r="3137" spans="1:6" x14ac:dyDescent="0.2">
      <c r="A3137">
        <v>27</v>
      </c>
      <c r="B3137" t="s">
        <v>1152</v>
      </c>
      <c r="C3137" t="s">
        <v>918</v>
      </c>
      <c r="D3137" s="8">
        <v>3.5627206395489007E-5</v>
      </c>
      <c r="E3137" s="6">
        <f t="shared" si="98"/>
        <v>0.1469999999999998</v>
      </c>
      <c r="F3137" s="8">
        <f t="shared" si="99"/>
        <v>5.2371993401368765E-6</v>
      </c>
    </row>
    <row r="3138" spans="1:6" x14ac:dyDescent="0.2">
      <c r="A3138">
        <v>27</v>
      </c>
      <c r="B3138" t="s">
        <v>1152</v>
      </c>
      <c r="C3138" t="s">
        <v>919</v>
      </c>
      <c r="D3138" s="8">
        <v>1.165942710002348E-6</v>
      </c>
      <c r="E3138" s="6">
        <f t="shared" si="98"/>
        <v>-3.4940000000000002</v>
      </c>
      <c r="F3138" s="8">
        <f t="shared" si="99"/>
        <v>-4.0738038287482043E-6</v>
      </c>
    </row>
    <row r="3139" spans="1:6" x14ac:dyDescent="0.2">
      <c r="A3139">
        <v>27</v>
      </c>
      <c r="B3139" t="s">
        <v>1152</v>
      </c>
      <c r="C3139" t="s">
        <v>920</v>
      </c>
      <c r="D3139" s="8">
        <v>3.2326684813165721E-6</v>
      </c>
      <c r="E3139" s="6">
        <f t="shared" si="98"/>
        <v>0.40000000000000013</v>
      </c>
      <c r="F3139" s="8">
        <f t="shared" si="99"/>
        <v>1.2930673925266292E-6</v>
      </c>
    </row>
    <row r="3140" spans="1:6" x14ac:dyDescent="0.2">
      <c r="A3140">
        <v>27</v>
      </c>
      <c r="B3140" t="s">
        <v>1152</v>
      </c>
      <c r="C3140" t="s">
        <v>921</v>
      </c>
      <c r="D3140" s="8">
        <v>1.4838467963900049E-6</v>
      </c>
      <c r="E3140" s="6">
        <f t="shared" si="98"/>
        <v>-0.79999999999999982</v>
      </c>
      <c r="F3140" s="8">
        <f t="shared" si="99"/>
        <v>-1.1870774371120036E-6</v>
      </c>
    </row>
    <row r="3141" spans="1:6" x14ac:dyDescent="0.2">
      <c r="A3141">
        <v>27</v>
      </c>
      <c r="B3141" t="s">
        <v>1152</v>
      </c>
      <c r="C3141" t="s">
        <v>922</v>
      </c>
      <c r="D3141" s="8">
        <v>5.5085833678869659E-6</v>
      </c>
      <c r="E3141" s="6">
        <f t="shared" si="98"/>
        <v>-0.78400000000000003</v>
      </c>
      <c r="F3141" s="8">
        <f t="shared" si="99"/>
        <v>-4.3187293604233814E-6</v>
      </c>
    </row>
    <row r="3142" spans="1:6" x14ac:dyDescent="0.2">
      <c r="A3142">
        <v>27</v>
      </c>
      <c r="B3142" t="s">
        <v>1152</v>
      </c>
      <c r="C3142" t="s">
        <v>1129</v>
      </c>
      <c r="D3142" s="8">
        <v>1.070244026196244E-6</v>
      </c>
      <c r="E3142" s="6">
        <f t="shared" si="98"/>
        <v>0</v>
      </c>
      <c r="F3142" s="8">
        <f t="shared" si="99"/>
        <v>0</v>
      </c>
    </row>
    <row r="3143" spans="1:6" x14ac:dyDescent="0.2">
      <c r="A3143">
        <v>27</v>
      </c>
      <c r="B3143" t="s">
        <v>1152</v>
      </c>
      <c r="C3143" t="s">
        <v>1115</v>
      </c>
      <c r="D3143" s="8">
        <v>4.9595259839744246E-7</v>
      </c>
      <c r="E3143" s="6">
        <f t="shared" si="98"/>
        <v>0</v>
      </c>
      <c r="F3143" s="8">
        <f t="shared" si="99"/>
        <v>0</v>
      </c>
    </row>
    <row r="3144" spans="1:6" x14ac:dyDescent="0.2">
      <c r="A3144">
        <v>27</v>
      </c>
      <c r="B3144" t="s">
        <v>1152</v>
      </c>
      <c r="C3144" t="s">
        <v>924</v>
      </c>
      <c r="D3144" s="8">
        <v>1.6157433691686999E-3</v>
      </c>
      <c r="E3144" s="6">
        <f t="shared" si="98"/>
        <v>-8.4000000000000075E-2</v>
      </c>
      <c r="F3144" s="8">
        <f t="shared" si="99"/>
        <v>-1.3572244301017091E-4</v>
      </c>
    </row>
    <row r="3145" spans="1:6" x14ac:dyDescent="0.2">
      <c r="A3145">
        <v>27</v>
      </c>
      <c r="B3145" t="s">
        <v>1152</v>
      </c>
      <c r="C3145" t="s">
        <v>925</v>
      </c>
      <c r="D3145" s="8">
        <v>1.8607050961443019E-8</v>
      </c>
      <c r="E3145" s="6">
        <f t="shared" si="98"/>
        <v>0.20000000000000018</v>
      </c>
      <c r="F3145" s="8">
        <f t="shared" si="99"/>
        <v>3.721410192288607E-9</v>
      </c>
    </row>
    <row r="3146" spans="1:6" x14ac:dyDescent="0.2">
      <c r="A3146">
        <v>27</v>
      </c>
      <c r="B3146" t="s">
        <v>1152</v>
      </c>
      <c r="C3146" t="s">
        <v>926</v>
      </c>
      <c r="D3146" s="8">
        <v>1.988020369905367E-5</v>
      </c>
      <c r="E3146" s="6">
        <f t="shared" si="98"/>
        <v>-4.8000000000000043E-2</v>
      </c>
      <c r="F3146" s="8">
        <f t="shared" si="99"/>
        <v>-9.5424977755457698E-7</v>
      </c>
    </row>
    <row r="3147" spans="1:6" x14ac:dyDescent="0.2">
      <c r="A3147">
        <v>27</v>
      </c>
      <c r="B3147" t="s">
        <v>1152</v>
      </c>
      <c r="C3147" t="s">
        <v>927</v>
      </c>
      <c r="D3147" s="8">
        <v>6.6317102053424726E-7</v>
      </c>
      <c r="E3147" s="6">
        <f t="shared" si="98"/>
        <v>0.5</v>
      </c>
      <c r="F3147" s="8">
        <f t="shared" si="99"/>
        <v>3.3158551026712363E-7</v>
      </c>
    </row>
    <row r="3148" spans="1:6" x14ac:dyDescent="0.2">
      <c r="A3148">
        <v>27</v>
      </c>
      <c r="B3148" t="s">
        <v>1152</v>
      </c>
      <c r="C3148" t="s">
        <v>929</v>
      </c>
      <c r="D3148" s="8">
        <v>6.5965926725420029E-9</v>
      </c>
      <c r="E3148" s="6">
        <f t="shared" si="98"/>
        <v>-0.54599999999999982</v>
      </c>
      <c r="F3148" s="8">
        <f t="shared" si="99"/>
        <v>-3.6017395992079323E-9</v>
      </c>
    </row>
    <row r="3149" spans="1:6" x14ac:dyDescent="0.2">
      <c r="A3149">
        <v>27</v>
      </c>
      <c r="B3149" t="s">
        <v>1152</v>
      </c>
      <c r="C3149" t="s">
        <v>930</v>
      </c>
      <c r="D3149" s="8">
        <v>3.4985168884742999E-3</v>
      </c>
      <c r="E3149" s="6">
        <f t="shared" si="98"/>
        <v>-5.8000000000000052E-2</v>
      </c>
      <c r="F3149" s="8">
        <f t="shared" si="99"/>
        <v>-2.0291397953150957E-4</v>
      </c>
    </row>
    <row r="3150" spans="1:6" x14ac:dyDescent="0.2">
      <c r="A3150">
        <v>27</v>
      </c>
      <c r="B3150" t="s">
        <v>1152</v>
      </c>
      <c r="C3150" t="s">
        <v>931</v>
      </c>
      <c r="D3150" s="8">
        <v>0.2803140126804009</v>
      </c>
      <c r="E3150" s="6">
        <f t="shared" si="98"/>
        <v>-0.31099999999999994</v>
      </c>
      <c r="F3150" s="8">
        <f t="shared" si="99"/>
        <v>-8.7177657943604658E-2</v>
      </c>
    </row>
    <row r="3151" spans="1:6" x14ac:dyDescent="0.2">
      <c r="A3151">
        <v>27</v>
      </c>
      <c r="B3151" t="s">
        <v>1152</v>
      </c>
      <c r="C3151" t="s">
        <v>932</v>
      </c>
      <c r="D3151" s="8">
        <v>9.3726362270610004E-4</v>
      </c>
      <c r="E3151" s="6">
        <f t="shared" si="98"/>
        <v>0.21799999999999997</v>
      </c>
      <c r="F3151" s="8">
        <f t="shared" si="99"/>
        <v>2.0432346974992978E-4</v>
      </c>
    </row>
    <row r="3152" spans="1:6" x14ac:dyDescent="0.2">
      <c r="A3152">
        <v>27</v>
      </c>
      <c r="B3152" t="s">
        <v>1152</v>
      </c>
      <c r="C3152" t="s">
        <v>933</v>
      </c>
      <c r="D3152" s="8">
        <v>1.54315075247276E-2</v>
      </c>
      <c r="E3152" s="6">
        <f t="shared" si="98"/>
        <v>0.4430000000000005</v>
      </c>
      <c r="F3152" s="8">
        <f t="shared" si="99"/>
        <v>6.8361578334543349E-3</v>
      </c>
    </row>
    <row r="3153" spans="1:6" x14ac:dyDescent="0.2">
      <c r="A3153">
        <v>27</v>
      </c>
      <c r="B3153" t="s">
        <v>1152</v>
      </c>
      <c r="C3153" t="s">
        <v>934</v>
      </c>
      <c r="D3153" s="8">
        <v>1.267312744320158E-5</v>
      </c>
      <c r="E3153" s="6">
        <f t="shared" si="98"/>
        <v>-0.20000000000000018</v>
      </c>
      <c r="F3153" s="8">
        <f t="shared" si="99"/>
        <v>-2.5346254886403183E-6</v>
      </c>
    </row>
    <row r="3154" spans="1:6" x14ac:dyDescent="0.2">
      <c r="A3154">
        <v>27</v>
      </c>
      <c r="B3154" t="s">
        <v>1152</v>
      </c>
      <c r="C3154" t="s">
        <v>935</v>
      </c>
      <c r="D3154" s="8">
        <v>7.7138595337825715E-5</v>
      </c>
      <c r="E3154" s="6">
        <f t="shared" si="98"/>
        <v>-0.71799999999999997</v>
      </c>
      <c r="F3154" s="8">
        <f t="shared" si="99"/>
        <v>-5.5385511452558859E-5</v>
      </c>
    </row>
    <row r="3155" spans="1:6" x14ac:dyDescent="0.2">
      <c r="A3155">
        <v>27</v>
      </c>
      <c r="B3155" t="s">
        <v>1152</v>
      </c>
      <c r="C3155" t="s">
        <v>936</v>
      </c>
      <c r="D3155" s="8">
        <v>2.6534702955578949E-8</v>
      </c>
      <c r="E3155" s="6">
        <f t="shared" si="98"/>
        <v>0.72900000000000009</v>
      </c>
      <c r="F3155" s="8">
        <f t="shared" si="99"/>
        <v>1.9343798454617055E-8</v>
      </c>
    </row>
    <row r="3156" spans="1:6" x14ac:dyDescent="0.2">
      <c r="A3156">
        <v>27</v>
      </c>
      <c r="B3156" t="s">
        <v>1152</v>
      </c>
      <c r="C3156" t="s">
        <v>937</v>
      </c>
      <c r="D3156" s="8">
        <v>3.31108540791774E-7</v>
      </c>
      <c r="E3156" s="6">
        <f t="shared" si="98"/>
        <v>-0.3660000000000001</v>
      </c>
      <c r="F3156" s="8">
        <f t="shared" si="99"/>
        <v>-1.2118572592978933E-7</v>
      </c>
    </row>
    <row r="3157" spans="1:6" x14ac:dyDescent="0.2">
      <c r="A3157">
        <v>27</v>
      </c>
      <c r="B3157" t="s">
        <v>1152</v>
      </c>
      <c r="C3157" t="s">
        <v>1102</v>
      </c>
      <c r="D3157" s="8">
        <v>6.3084035223974898E-7</v>
      </c>
      <c r="E3157" s="6">
        <f t="shared" si="98"/>
        <v>0</v>
      </c>
      <c r="F3157" s="8">
        <f t="shared" si="99"/>
        <v>0</v>
      </c>
    </row>
    <row r="3158" spans="1:6" x14ac:dyDescent="0.2">
      <c r="A3158">
        <v>27</v>
      </c>
      <c r="B3158" t="s">
        <v>1152</v>
      </c>
      <c r="C3158" t="s">
        <v>938</v>
      </c>
      <c r="D3158" s="8">
        <v>5.5520528065470002E-4</v>
      </c>
      <c r="E3158" s="6">
        <f t="shared" si="98"/>
        <v>-0.32500000000000018</v>
      </c>
      <c r="F3158" s="8">
        <f t="shared" si="99"/>
        <v>-1.804417162127776E-4</v>
      </c>
    </row>
    <row r="3159" spans="1:6" x14ac:dyDescent="0.2">
      <c r="A3159">
        <v>27</v>
      </c>
      <c r="B3159" t="s">
        <v>1152</v>
      </c>
      <c r="C3159" t="s">
        <v>941</v>
      </c>
      <c r="D3159" s="8">
        <v>9.3467117253073846E-5</v>
      </c>
      <c r="E3159" s="6">
        <f t="shared" si="98"/>
        <v>0.16599999999999993</v>
      </c>
      <c r="F3159" s="8">
        <f t="shared" si="99"/>
        <v>1.5515541464010252E-5</v>
      </c>
    </row>
    <row r="3160" spans="1:6" x14ac:dyDescent="0.2">
      <c r="A3160">
        <v>27</v>
      </c>
      <c r="B3160" t="s">
        <v>1152</v>
      </c>
      <c r="C3160" t="s">
        <v>1111</v>
      </c>
      <c r="D3160" s="8">
        <v>1.3318297308139999E-4</v>
      </c>
      <c r="E3160" s="6">
        <f t="shared" si="98"/>
        <v>0</v>
      </c>
      <c r="F3160" s="8">
        <f t="shared" si="99"/>
        <v>0</v>
      </c>
    </row>
    <row r="3161" spans="1:6" x14ac:dyDescent="0.2">
      <c r="A3161">
        <v>27</v>
      </c>
      <c r="B3161" t="s">
        <v>1152</v>
      </c>
      <c r="C3161" t="s">
        <v>1091</v>
      </c>
      <c r="D3161" s="8">
        <v>3.9933090003519442E-8</v>
      </c>
      <c r="E3161" s="6">
        <f t="shared" si="98"/>
        <v>0</v>
      </c>
      <c r="F3161" s="8">
        <f t="shared" si="99"/>
        <v>0</v>
      </c>
    </row>
    <row r="3162" spans="1:6" x14ac:dyDescent="0.2">
      <c r="A3162">
        <v>27</v>
      </c>
      <c r="B3162" t="s">
        <v>1152</v>
      </c>
      <c r="C3162" t="s">
        <v>1103</v>
      </c>
      <c r="D3162" s="8">
        <v>4.441332718255253E-7</v>
      </c>
      <c r="E3162" s="6">
        <f t="shared" si="98"/>
        <v>0</v>
      </c>
      <c r="F3162" s="8">
        <f t="shared" si="99"/>
        <v>0</v>
      </c>
    </row>
    <row r="3163" spans="1:6" x14ac:dyDescent="0.2">
      <c r="A3163">
        <v>27</v>
      </c>
      <c r="B3163" t="s">
        <v>1152</v>
      </c>
      <c r="C3163" t="s">
        <v>942</v>
      </c>
      <c r="D3163" s="8">
        <v>5.4675278140859758E-5</v>
      </c>
      <c r="E3163" s="6">
        <f t="shared" si="98"/>
        <v>0.33700000000000019</v>
      </c>
      <c r="F3163" s="8">
        <f t="shared" si="99"/>
        <v>1.842556873346975E-5</v>
      </c>
    </row>
    <row r="3164" spans="1:6" x14ac:dyDescent="0.2">
      <c r="A3164">
        <v>27</v>
      </c>
      <c r="B3164" t="s">
        <v>1152</v>
      </c>
      <c r="C3164" t="s">
        <v>943</v>
      </c>
      <c r="D3164" s="8">
        <v>2.1957614273242E-3</v>
      </c>
      <c r="E3164" s="6">
        <f t="shared" si="98"/>
        <v>0.40800000000000014</v>
      </c>
      <c r="F3164" s="8">
        <f t="shared" si="99"/>
        <v>8.9587066234827388E-4</v>
      </c>
    </row>
    <row r="3165" spans="1:6" x14ac:dyDescent="0.2">
      <c r="A3165">
        <v>27</v>
      </c>
      <c r="B3165" t="s">
        <v>1152</v>
      </c>
      <c r="C3165" t="s">
        <v>944</v>
      </c>
      <c r="D3165" s="8">
        <v>1.80272317496342E-2</v>
      </c>
      <c r="E3165" s="6">
        <f t="shared" si="98"/>
        <v>-0.122</v>
      </c>
      <c r="F3165" s="8">
        <f t="shared" si="99"/>
        <v>-2.1993222734553721E-3</v>
      </c>
    </row>
    <row r="3166" spans="1:6" x14ac:dyDescent="0.2">
      <c r="A3166">
        <v>27</v>
      </c>
      <c r="B3166" t="s">
        <v>1152</v>
      </c>
      <c r="C3166" t="s">
        <v>945</v>
      </c>
      <c r="D3166" s="8">
        <v>2.4003750918112252E-7</v>
      </c>
      <c r="E3166" s="6">
        <f t="shared" si="98"/>
        <v>0.49000000000000021</v>
      </c>
      <c r="F3166" s="8">
        <f t="shared" si="99"/>
        <v>1.1761837949875009E-7</v>
      </c>
    </row>
    <row r="3167" spans="1:6" x14ac:dyDescent="0.2">
      <c r="A3167">
        <v>27</v>
      </c>
      <c r="B3167" t="s">
        <v>1152</v>
      </c>
      <c r="C3167" t="s">
        <v>947</v>
      </c>
      <c r="D3167" s="8">
        <v>5.7954939895589995E-4</v>
      </c>
      <c r="E3167" s="6">
        <f t="shared" si="98"/>
        <v>0.15500000000000003</v>
      </c>
      <c r="F3167" s="8">
        <f t="shared" si="99"/>
        <v>8.9830156838164511E-5</v>
      </c>
    </row>
    <row r="3168" spans="1:6" x14ac:dyDescent="0.2">
      <c r="A3168">
        <v>27</v>
      </c>
      <c r="B3168" t="s">
        <v>1152</v>
      </c>
      <c r="C3168" t="s">
        <v>948</v>
      </c>
      <c r="D3168" s="8">
        <v>1.068562132239E-4</v>
      </c>
      <c r="E3168" s="6">
        <f t="shared" si="98"/>
        <v>-1.0880000000000001</v>
      </c>
      <c r="F3168" s="8">
        <f t="shared" si="99"/>
        <v>-1.162595599876032E-4</v>
      </c>
    </row>
    <row r="3169" spans="1:6" x14ac:dyDescent="0.2">
      <c r="A3169">
        <v>27</v>
      </c>
      <c r="B3169" t="s">
        <v>1152</v>
      </c>
      <c r="C3169" t="s">
        <v>949</v>
      </c>
      <c r="D3169" s="8">
        <v>8.9104187702684887E-6</v>
      </c>
      <c r="E3169" s="6">
        <f t="shared" si="98"/>
        <v>0.79599999999999982</v>
      </c>
      <c r="F3169" s="8">
        <f t="shared" si="99"/>
        <v>7.0926933411337153E-6</v>
      </c>
    </row>
    <row r="3170" spans="1:6" x14ac:dyDescent="0.2">
      <c r="A3170">
        <v>27</v>
      </c>
      <c r="B3170" t="s">
        <v>1152</v>
      </c>
      <c r="C3170" t="s">
        <v>950</v>
      </c>
      <c r="D3170" s="8">
        <v>4.0095557731060003E-4</v>
      </c>
      <c r="E3170" s="6">
        <f t="shared" si="98"/>
        <v>0.38300000000000001</v>
      </c>
      <c r="F3170" s="8">
        <f t="shared" si="99"/>
        <v>1.5356598610995981E-4</v>
      </c>
    </row>
    <row r="3171" spans="1:6" x14ac:dyDescent="0.2">
      <c r="A3171">
        <v>27</v>
      </c>
      <c r="B3171" t="s">
        <v>1152</v>
      </c>
      <c r="C3171" t="s">
        <v>951</v>
      </c>
      <c r="D3171" s="8">
        <v>1.133186321554E-4</v>
      </c>
      <c r="E3171" s="6">
        <f t="shared" si="98"/>
        <v>-8.8000000000000078E-2</v>
      </c>
      <c r="F3171" s="8">
        <f t="shared" si="99"/>
        <v>-9.9720396296752081E-6</v>
      </c>
    </row>
    <row r="3172" spans="1:6" x14ac:dyDescent="0.2">
      <c r="A3172">
        <v>27</v>
      </c>
      <c r="B3172" t="s">
        <v>1152</v>
      </c>
      <c r="C3172" t="s">
        <v>952</v>
      </c>
      <c r="D3172" s="8">
        <v>2.1594788395796999E-3</v>
      </c>
      <c r="E3172" s="6">
        <f t="shared" si="98"/>
        <v>0.28300000000000014</v>
      </c>
      <c r="F3172" s="8">
        <f t="shared" si="99"/>
        <v>6.1113251160105537E-4</v>
      </c>
    </row>
    <row r="3173" spans="1:6" x14ac:dyDescent="0.2">
      <c r="A3173">
        <v>27</v>
      </c>
      <c r="B3173" t="s">
        <v>1152</v>
      </c>
      <c r="C3173" t="s">
        <v>953</v>
      </c>
      <c r="D3173" s="8">
        <v>2.6483127617238659E-5</v>
      </c>
      <c r="E3173" s="6">
        <f t="shared" si="98"/>
        <v>-0.42500000000000004</v>
      </c>
      <c r="F3173" s="8">
        <f t="shared" si="99"/>
        <v>-1.1255329237326431E-5</v>
      </c>
    </row>
    <row r="3174" spans="1:6" x14ac:dyDescent="0.2">
      <c r="A3174">
        <v>27</v>
      </c>
      <c r="B3174" t="s">
        <v>1152</v>
      </c>
      <c r="C3174" t="s">
        <v>954</v>
      </c>
      <c r="D3174" s="8">
        <v>1.9998360438192379E-6</v>
      </c>
      <c r="E3174" s="6">
        <f t="shared" si="98"/>
        <v>2.0929999999999991</v>
      </c>
      <c r="F3174" s="8">
        <f t="shared" si="99"/>
        <v>4.1856568397136628E-6</v>
      </c>
    </row>
    <row r="3175" spans="1:6" x14ac:dyDescent="0.2">
      <c r="A3175">
        <v>27</v>
      </c>
      <c r="B3175" t="s">
        <v>1152</v>
      </c>
      <c r="C3175" t="s">
        <v>955</v>
      </c>
      <c r="D3175" s="8">
        <v>2.2476341739529999E-4</v>
      </c>
      <c r="E3175" s="6">
        <f t="shared" si="98"/>
        <v>-0.40500000000000003</v>
      </c>
      <c r="F3175" s="8">
        <f t="shared" si="99"/>
        <v>-9.1029184045096504E-5</v>
      </c>
    </row>
    <row r="3176" spans="1:6" x14ac:dyDescent="0.2">
      <c r="A3176">
        <v>27</v>
      </c>
      <c r="B3176" t="s">
        <v>1152</v>
      </c>
      <c r="C3176" t="s">
        <v>956</v>
      </c>
      <c r="D3176" s="8">
        <v>2.197374445840802E-5</v>
      </c>
      <c r="E3176" s="6">
        <f t="shared" si="98"/>
        <v>-0.44700000000000006</v>
      </c>
      <c r="F3176" s="8">
        <f t="shared" si="99"/>
        <v>-9.8222637729083872E-6</v>
      </c>
    </row>
    <row r="3177" spans="1:6" x14ac:dyDescent="0.2">
      <c r="A3177">
        <v>27</v>
      </c>
      <c r="B3177" t="s">
        <v>1152</v>
      </c>
      <c r="C3177" t="s">
        <v>957</v>
      </c>
      <c r="D3177" s="8">
        <v>6.5132399596711001E-3</v>
      </c>
      <c r="E3177" s="6">
        <f t="shared" si="98"/>
        <v>-0.11499999999999988</v>
      </c>
      <c r="F3177" s="8">
        <f t="shared" si="99"/>
        <v>-7.490225953621757E-4</v>
      </c>
    </row>
    <row r="3178" spans="1:6" x14ac:dyDescent="0.2">
      <c r="A3178">
        <v>27</v>
      </c>
      <c r="B3178" t="s">
        <v>1152</v>
      </c>
      <c r="C3178" t="s">
        <v>959</v>
      </c>
      <c r="D3178" s="8">
        <v>1.2267466874536399E-2</v>
      </c>
      <c r="E3178" s="6">
        <f t="shared" si="98"/>
        <v>-0.60699999999999998</v>
      </c>
      <c r="F3178" s="8">
        <f t="shared" si="99"/>
        <v>-7.4463523928435943E-3</v>
      </c>
    </row>
    <row r="3179" spans="1:6" x14ac:dyDescent="0.2">
      <c r="A3179">
        <v>27</v>
      </c>
      <c r="B3179" t="s">
        <v>1152</v>
      </c>
      <c r="C3179" t="s">
        <v>960</v>
      </c>
      <c r="D3179" s="8">
        <v>2.3889004379686719E-5</v>
      </c>
      <c r="E3179" s="6">
        <f t="shared" si="98"/>
        <v>0.29999999999999982</v>
      </c>
      <c r="F3179" s="8">
        <f t="shared" si="99"/>
        <v>7.1667013139060114E-6</v>
      </c>
    </row>
    <row r="3180" spans="1:6" x14ac:dyDescent="0.2">
      <c r="A3180">
        <v>27</v>
      </c>
      <c r="B3180" t="s">
        <v>1152</v>
      </c>
      <c r="C3180" t="s">
        <v>961</v>
      </c>
      <c r="D3180" s="8">
        <v>3.6820222102569121E-5</v>
      </c>
      <c r="E3180" s="6">
        <f t="shared" si="98"/>
        <v>6.9999999999996732E-3</v>
      </c>
      <c r="F3180" s="8">
        <f t="shared" si="99"/>
        <v>2.5774155471797181E-7</v>
      </c>
    </row>
    <row r="3181" spans="1:6" x14ac:dyDescent="0.2">
      <c r="A3181">
        <v>27</v>
      </c>
      <c r="B3181" t="s">
        <v>1152</v>
      </c>
      <c r="C3181" t="s">
        <v>962</v>
      </c>
      <c r="D3181" s="8">
        <v>1.063492549479E-4</v>
      </c>
      <c r="E3181" s="6">
        <f t="shared" si="98"/>
        <v>-1.9090000000000007</v>
      </c>
      <c r="F3181" s="8">
        <f t="shared" si="99"/>
        <v>-2.0302072769554116E-4</v>
      </c>
    </row>
    <row r="3182" spans="1:6" x14ac:dyDescent="0.2">
      <c r="A3182">
        <v>27</v>
      </c>
      <c r="B3182" t="s">
        <v>1152</v>
      </c>
      <c r="C3182" t="s">
        <v>963</v>
      </c>
      <c r="D3182" s="8">
        <v>5.6304674138186266E-7</v>
      </c>
      <c r="E3182" s="6">
        <f t="shared" si="98"/>
        <v>7.2000000000000064E-2</v>
      </c>
      <c r="F3182" s="8">
        <f t="shared" si="99"/>
        <v>4.053936537949415E-8</v>
      </c>
    </row>
    <row r="3183" spans="1:6" x14ac:dyDescent="0.2">
      <c r="A3183">
        <v>27</v>
      </c>
      <c r="B3183" t="s">
        <v>1152</v>
      </c>
      <c r="C3183" t="s">
        <v>965</v>
      </c>
      <c r="D3183" s="8">
        <v>4.149429625635E-4</v>
      </c>
      <c r="E3183" s="6">
        <f t="shared" si="98"/>
        <v>4.5000000000000151E-2</v>
      </c>
      <c r="F3183" s="8">
        <f t="shared" si="99"/>
        <v>1.8672433315357564E-5</v>
      </c>
    </row>
    <row r="3184" spans="1:6" x14ac:dyDescent="0.2">
      <c r="A3184">
        <v>27</v>
      </c>
      <c r="B3184" t="s">
        <v>1152</v>
      </c>
      <c r="C3184" t="s">
        <v>966</v>
      </c>
      <c r="D3184" s="8">
        <v>3.0892526704976969E-6</v>
      </c>
      <c r="E3184" s="6">
        <f t="shared" si="98"/>
        <v>-0.21399999999999997</v>
      </c>
      <c r="F3184" s="8">
        <f t="shared" si="99"/>
        <v>-6.6110007148650709E-7</v>
      </c>
    </row>
    <row r="3185" spans="1:6" x14ac:dyDescent="0.2">
      <c r="A3185">
        <v>27</v>
      </c>
      <c r="B3185" t="s">
        <v>1152</v>
      </c>
      <c r="C3185" t="s">
        <v>967</v>
      </c>
      <c r="D3185" s="8">
        <v>2.056671765812E-4</v>
      </c>
      <c r="E3185" s="6">
        <f t="shared" si="98"/>
        <v>0.10000000000000009</v>
      </c>
      <c r="F3185" s="8">
        <f t="shared" si="99"/>
        <v>2.056671765812002E-5</v>
      </c>
    </row>
    <row r="3186" spans="1:6" x14ac:dyDescent="0.2">
      <c r="A3186">
        <v>27</v>
      </c>
      <c r="B3186" t="s">
        <v>1152</v>
      </c>
      <c r="C3186" t="s">
        <v>1105</v>
      </c>
      <c r="D3186" s="8">
        <v>6.9574764259391906E-7</v>
      </c>
      <c r="E3186" s="6">
        <f t="shared" si="98"/>
        <v>0</v>
      </c>
      <c r="F3186" s="8">
        <f t="shared" si="99"/>
        <v>0</v>
      </c>
    </row>
    <row r="3187" spans="1:6" x14ac:dyDescent="0.2">
      <c r="A3187">
        <v>27</v>
      </c>
      <c r="B3187" t="s">
        <v>1152</v>
      </c>
      <c r="C3187" t="s">
        <v>969</v>
      </c>
      <c r="D3187" s="8">
        <v>8.4151585679251295E-2</v>
      </c>
      <c r="E3187" s="6">
        <f t="shared" si="98"/>
        <v>0.53699999999999992</v>
      </c>
      <c r="F3187" s="8">
        <f t="shared" si="99"/>
        <v>4.5189401509757941E-2</v>
      </c>
    </row>
    <row r="3188" spans="1:6" x14ac:dyDescent="0.2">
      <c r="A3188">
        <v>27</v>
      </c>
      <c r="B3188" t="s">
        <v>1152</v>
      </c>
      <c r="C3188" t="s">
        <v>970</v>
      </c>
      <c r="D3188" s="8">
        <v>1.2161508101E-4</v>
      </c>
      <c r="E3188" s="6">
        <f t="shared" si="98"/>
        <v>-0.10000000000000009</v>
      </c>
      <c r="F3188" s="8">
        <f t="shared" si="99"/>
        <v>-1.2161508101000011E-5</v>
      </c>
    </row>
    <row r="3189" spans="1:6" x14ac:dyDescent="0.2">
      <c r="A3189">
        <v>27</v>
      </c>
      <c r="B3189" t="s">
        <v>1152</v>
      </c>
      <c r="C3189" t="s">
        <v>971</v>
      </c>
      <c r="D3189" s="8">
        <v>3.2408058950514052E-5</v>
      </c>
      <c r="E3189" s="6">
        <f t="shared" si="98"/>
        <v>-0.13700000000000001</v>
      </c>
      <c r="F3189" s="8">
        <f t="shared" si="99"/>
        <v>-4.4399040762204255E-6</v>
      </c>
    </row>
    <row r="3190" spans="1:6" x14ac:dyDescent="0.2">
      <c r="A3190">
        <v>27</v>
      </c>
      <c r="B3190" t="s">
        <v>1152</v>
      </c>
      <c r="C3190" t="s">
        <v>972</v>
      </c>
      <c r="D3190" s="8">
        <v>1.4800956411232919E-5</v>
      </c>
      <c r="E3190" s="6">
        <f t="shared" si="98"/>
        <v>-2.7</v>
      </c>
      <c r="F3190" s="8">
        <f t="shared" si="99"/>
        <v>-3.9962582310328884E-5</v>
      </c>
    </row>
    <row r="3191" spans="1:6" x14ac:dyDescent="0.2">
      <c r="A3191">
        <v>27</v>
      </c>
      <c r="B3191" t="s">
        <v>1152</v>
      </c>
      <c r="C3191" t="s">
        <v>973</v>
      </c>
      <c r="D3191" s="8">
        <v>8.6645488547563862E-5</v>
      </c>
      <c r="E3191" s="6">
        <f t="shared" si="98"/>
        <v>-0.84999999999999987</v>
      </c>
      <c r="F3191" s="8">
        <f t="shared" si="99"/>
        <v>-7.3648665265429276E-5</v>
      </c>
    </row>
    <row r="3192" spans="1:6" x14ac:dyDescent="0.2">
      <c r="A3192">
        <v>27</v>
      </c>
      <c r="B3192" t="s">
        <v>1152</v>
      </c>
      <c r="C3192" t="s">
        <v>975</v>
      </c>
      <c r="D3192" s="8">
        <v>7.1403106404401395E-2</v>
      </c>
      <c r="E3192" s="6">
        <f t="shared" si="98"/>
        <v>0.23500000000000032</v>
      </c>
      <c r="F3192" s="8">
        <f t="shared" si="99"/>
        <v>1.6779730005034351E-2</v>
      </c>
    </row>
    <row r="3193" spans="1:6" x14ac:dyDescent="0.2">
      <c r="A3193">
        <v>27</v>
      </c>
      <c r="B3193" t="s">
        <v>1152</v>
      </c>
      <c r="C3193" t="s">
        <v>976</v>
      </c>
      <c r="D3193" s="8">
        <v>4.031174598026E-4</v>
      </c>
      <c r="E3193" s="6">
        <f t="shared" si="98"/>
        <v>0.38700000000000001</v>
      </c>
      <c r="F3193" s="8">
        <f t="shared" si="99"/>
        <v>1.560064569436062E-4</v>
      </c>
    </row>
    <row r="3194" spans="1:6" x14ac:dyDescent="0.2">
      <c r="A3194">
        <v>27</v>
      </c>
      <c r="B3194" t="s">
        <v>1152</v>
      </c>
      <c r="C3194" t="s">
        <v>977</v>
      </c>
      <c r="D3194" s="8">
        <v>3.524122382691397E-5</v>
      </c>
      <c r="E3194" s="6">
        <f t="shared" si="98"/>
        <v>-7.2039999999999997</v>
      </c>
      <c r="F3194" s="8">
        <f t="shared" si="99"/>
        <v>-2.5387777644908825E-4</v>
      </c>
    </row>
    <row r="3195" spans="1:6" x14ac:dyDescent="0.2">
      <c r="A3195">
        <v>27</v>
      </c>
      <c r="B3195" t="s">
        <v>1152</v>
      </c>
      <c r="C3195" t="s">
        <v>978</v>
      </c>
      <c r="D3195" s="8">
        <v>1.304862690409342E-5</v>
      </c>
      <c r="E3195" s="6">
        <f t="shared" si="98"/>
        <v>-8.2390000000000008</v>
      </c>
      <c r="F3195" s="8">
        <f t="shared" si="99"/>
        <v>-1.075076370628257E-4</v>
      </c>
    </row>
    <row r="3196" spans="1:6" x14ac:dyDescent="0.2">
      <c r="A3196">
        <v>27</v>
      </c>
      <c r="B3196" t="s">
        <v>1152</v>
      </c>
      <c r="C3196" t="s">
        <v>979</v>
      </c>
      <c r="D3196" s="8">
        <v>5.061893592087795E-7</v>
      </c>
      <c r="E3196" s="6">
        <f t="shared" si="98"/>
        <v>-0.5</v>
      </c>
      <c r="F3196" s="8">
        <f t="shared" si="99"/>
        <v>-2.5309467960438975E-7</v>
      </c>
    </row>
    <row r="3197" spans="1:6" x14ac:dyDescent="0.2">
      <c r="A3197">
        <v>27</v>
      </c>
      <c r="B3197" t="s">
        <v>1152</v>
      </c>
      <c r="C3197" t="s">
        <v>980</v>
      </c>
      <c r="D3197" s="8">
        <v>2.9762940901499998E-4</v>
      </c>
      <c r="E3197" s="6">
        <f t="shared" si="98"/>
        <v>-0.10000000000000009</v>
      </c>
      <c r="F3197" s="8">
        <f t="shared" si="99"/>
        <v>-2.9762940901500024E-5</v>
      </c>
    </row>
    <row r="3198" spans="1:6" x14ac:dyDescent="0.2">
      <c r="A3198">
        <v>27</v>
      </c>
      <c r="B3198" t="s">
        <v>1152</v>
      </c>
      <c r="C3198" t="s">
        <v>981</v>
      </c>
      <c r="D3198" s="8">
        <v>8.4524815189602007E-3</v>
      </c>
      <c r="E3198" s="6">
        <f t="shared" ref="E3198:E3261" si="100">IFERROR(VLOOKUP(C3198,$A$6:$D$185,4,FALSE),0)</f>
        <v>-0.33499999999999996</v>
      </c>
      <c r="F3198" s="8">
        <f t="shared" ref="F3198:F3261" si="101">D3198*E3198</f>
        <v>-2.831581308851667E-3</v>
      </c>
    </row>
    <row r="3199" spans="1:6" x14ac:dyDescent="0.2">
      <c r="A3199">
        <v>27</v>
      </c>
      <c r="B3199" t="s">
        <v>1152</v>
      </c>
      <c r="C3199" t="s">
        <v>982</v>
      </c>
      <c r="D3199" s="8">
        <v>1.1225096599200959E-6</v>
      </c>
      <c r="E3199" s="6">
        <f t="shared" si="100"/>
        <v>-2.8</v>
      </c>
      <c r="F3199" s="8">
        <f t="shared" si="101"/>
        <v>-3.1430270477762686E-6</v>
      </c>
    </row>
    <row r="3200" spans="1:6" x14ac:dyDescent="0.2">
      <c r="A3200">
        <v>27</v>
      </c>
      <c r="B3200" t="s">
        <v>1152</v>
      </c>
      <c r="C3200" t="s">
        <v>983</v>
      </c>
      <c r="D3200" s="8">
        <v>7.5264736221557896E-2</v>
      </c>
      <c r="E3200" s="6">
        <f t="shared" si="100"/>
        <v>-0.19999999999999973</v>
      </c>
      <c r="F3200" s="8">
        <f t="shared" si="101"/>
        <v>-1.5052947244311559E-2</v>
      </c>
    </row>
    <row r="3201" spans="1:6" x14ac:dyDescent="0.2">
      <c r="A3201">
        <v>27</v>
      </c>
      <c r="B3201" t="s">
        <v>1152</v>
      </c>
      <c r="C3201" t="s">
        <v>984</v>
      </c>
      <c r="D3201" s="8">
        <v>2.6940192931787E-2</v>
      </c>
      <c r="E3201" s="6">
        <f t="shared" si="100"/>
        <v>0.121</v>
      </c>
      <c r="F3201" s="8">
        <f t="shared" si="101"/>
        <v>3.2597633447462269E-3</v>
      </c>
    </row>
    <row r="3202" spans="1:6" x14ac:dyDescent="0.2">
      <c r="A3202">
        <v>27</v>
      </c>
      <c r="B3202" t="s">
        <v>1152</v>
      </c>
      <c r="C3202" t="s">
        <v>985</v>
      </c>
      <c r="D3202" s="8">
        <v>1.9310718131819999E-4</v>
      </c>
      <c r="E3202" s="6">
        <f t="shared" si="100"/>
        <v>0.34299999999999997</v>
      </c>
      <c r="F3202" s="8">
        <f t="shared" si="101"/>
        <v>6.6235763192142586E-5</v>
      </c>
    </row>
    <row r="3203" spans="1:6" x14ac:dyDescent="0.2">
      <c r="A3203">
        <v>27</v>
      </c>
      <c r="B3203" t="s">
        <v>1152</v>
      </c>
      <c r="C3203" t="s">
        <v>986</v>
      </c>
      <c r="D3203" s="8">
        <v>3.50183297013757E-5</v>
      </c>
      <c r="E3203" s="6">
        <f t="shared" si="100"/>
        <v>-0.38900000000000023</v>
      </c>
      <c r="F3203" s="8">
        <f t="shared" si="101"/>
        <v>-1.3622130253835156E-5</v>
      </c>
    </row>
    <row r="3204" spans="1:6" x14ac:dyDescent="0.2">
      <c r="A3204">
        <v>27</v>
      </c>
      <c r="B3204" t="s">
        <v>1152</v>
      </c>
      <c r="C3204" t="s">
        <v>987</v>
      </c>
      <c r="D3204" s="8">
        <v>1.212228404446788E-6</v>
      </c>
      <c r="E3204" s="6">
        <f t="shared" si="100"/>
        <v>0.83399999999999963</v>
      </c>
      <c r="F3204" s="8">
        <f t="shared" si="101"/>
        <v>1.0109984893086208E-6</v>
      </c>
    </row>
    <row r="3205" spans="1:6" x14ac:dyDescent="0.2">
      <c r="A3205">
        <v>27</v>
      </c>
      <c r="B3205" t="s">
        <v>1152</v>
      </c>
      <c r="C3205" t="s">
        <v>988</v>
      </c>
      <c r="D3205" s="8">
        <v>1.5884857750763729E-5</v>
      </c>
      <c r="E3205" s="6">
        <f t="shared" si="100"/>
        <v>0.59299999999999997</v>
      </c>
      <c r="F3205" s="8">
        <f t="shared" si="101"/>
        <v>9.419720646202891E-6</v>
      </c>
    </row>
    <row r="3206" spans="1:6" x14ac:dyDescent="0.2">
      <c r="A3206">
        <v>27</v>
      </c>
      <c r="B3206" t="s">
        <v>1152</v>
      </c>
      <c r="C3206" t="s">
        <v>989</v>
      </c>
      <c r="D3206" s="8">
        <v>1.6041374497886301E-7</v>
      </c>
      <c r="E3206" s="6">
        <f t="shared" si="100"/>
        <v>-0.12199999999999989</v>
      </c>
      <c r="F3206" s="8">
        <f t="shared" si="101"/>
        <v>-1.9570476887421267E-8</v>
      </c>
    </row>
    <row r="3207" spans="1:6" x14ac:dyDescent="0.2">
      <c r="A3207">
        <v>27</v>
      </c>
      <c r="B3207" t="s">
        <v>1152</v>
      </c>
      <c r="C3207" t="s">
        <v>1119</v>
      </c>
      <c r="D3207" s="8">
        <v>8.7078338477479262E-6</v>
      </c>
      <c r="E3207" s="6">
        <f t="shared" si="100"/>
        <v>0</v>
      </c>
      <c r="F3207" s="8">
        <f t="shared" si="101"/>
        <v>0</v>
      </c>
    </row>
    <row r="3208" spans="1:6" x14ac:dyDescent="0.2">
      <c r="A3208">
        <v>27</v>
      </c>
      <c r="B3208" t="s">
        <v>1152</v>
      </c>
      <c r="C3208" t="s">
        <v>990</v>
      </c>
      <c r="D3208" s="8">
        <v>1.11404540312745E-2</v>
      </c>
      <c r="E3208" s="6">
        <f t="shared" si="100"/>
        <v>0.45299999999999985</v>
      </c>
      <c r="F3208" s="8">
        <f t="shared" si="101"/>
        <v>5.0466256761673468E-3</v>
      </c>
    </row>
    <row r="3209" spans="1:6" x14ac:dyDescent="0.2">
      <c r="A3209">
        <v>27</v>
      </c>
      <c r="B3209" t="s">
        <v>1152</v>
      </c>
      <c r="C3209" t="s">
        <v>991</v>
      </c>
      <c r="D3209" s="8">
        <v>4.8637282372772858E-5</v>
      </c>
      <c r="E3209" s="6">
        <f t="shared" si="100"/>
        <v>-3.7290000000000001</v>
      </c>
      <c r="F3209" s="8">
        <f t="shared" si="101"/>
        <v>-1.8136842596806998E-4</v>
      </c>
    </row>
    <row r="3210" spans="1:6" x14ac:dyDescent="0.2">
      <c r="A3210">
        <v>27</v>
      </c>
      <c r="B3210" t="s">
        <v>1152</v>
      </c>
      <c r="C3210" t="s">
        <v>992</v>
      </c>
      <c r="D3210" s="8">
        <v>1.5396679492743351E-7</v>
      </c>
      <c r="E3210" s="6">
        <f t="shared" si="100"/>
        <v>2.048</v>
      </c>
      <c r="F3210" s="8">
        <f t="shared" si="101"/>
        <v>3.1532399601138384E-7</v>
      </c>
    </row>
    <row r="3211" spans="1:6" x14ac:dyDescent="0.2">
      <c r="A3211">
        <v>27</v>
      </c>
      <c r="B3211" t="s">
        <v>1152</v>
      </c>
      <c r="C3211" t="s">
        <v>1092</v>
      </c>
      <c r="D3211" s="8">
        <v>1.3796592352428081E-5</v>
      </c>
      <c r="E3211" s="6">
        <f t="shared" si="100"/>
        <v>0</v>
      </c>
      <c r="F3211" s="8">
        <f t="shared" si="101"/>
        <v>0</v>
      </c>
    </row>
    <row r="3212" spans="1:6" x14ac:dyDescent="0.2">
      <c r="A3212">
        <v>27</v>
      </c>
      <c r="B3212" t="s">
        <v>1152</v>
      </c>
      <c r="C3212" t="s">
        <v>993</v>
      </c>
      <c r="D3212" s="8">
        <v>1.3889770436006761E-7</v>
      </c>
      <c r="E3212" s="6">
        <f t="shared" si="100"/>
        <v>-0.42900000000000027</v>
      </c>
      <c r="F3212" s="8">
        <f t="shared" si="101"/>
        <v>-5.9587115170469043E-8</v>
      </c>
    </row>
    <row r="3213" spans="1:6" x14ac:dyDescent="0.2">
      <c r="A3213">
        <v>27</v>
      </c>
      <c r="B3213" t="s">
        <v>1152</v>
      </c>
      <c r="C3213" t="s">
        <v>994</v>
      </c>
      <c r="D3213" s="8">
        <v>2.1879795361534571E-7</v>
      </c>
      <c r="E3213" s="6">
        <f t="shared" si="100"/>
        <v>2.415</v>
      </c>
      <c r="F3213" s="8">
        <f t="shared" si="101"/>
        <v>5.2839705798105993E-7</v>
      </c>
    </row>
    <row r="3214" spans="1:6" x14ac:dyDescent="0.2">
      <c r="A3214">
        <v>27</v>
      </c>
      <c r="B3214" t="s">
        <v>1152</v>
      </c>
      <c r="C3214" t="s">
        <v>1120</v>
      </c>
      <c r="D3214" s="8">
        <v>2.6089182017065531E-7</v>
      </c>
      <c r="E3214" s="6">
        <f t="shared" si="100"/>
        <v>0</v>
      </c>
      <c r="F3214" s="8">
        <f t="shared" si="101"/>
        <v>0</v>
      </c>
    </row>
    <row r="3215" spans="1:6" x14ac:dyDescent="0.2">
      <c r="A3215">
        <v>27</v>
      </c>
      <c r="B3215" t="s">
        <v>1152</v>
      </c>
      <c r="C3215" t="s">
        <v>1093</v>
      </c>
      <c r="D3215" s="8">
        <v>9.7718701293260499E-5</v>
      </c>
      <c r="E3215" s="6">
        <f t="shared" si="100"/>
        <v>0</v>
      </c>
      <c r="F3215" s="8">
        <f t="shared" si="101"/>
        <v>0</v>
      </c>
    </row>
    <row r="3216" spans="1:6" x14ac:dyDescent="0.2">
      <c r="A3216">
        <v>27</v>
      </c>
      <c r="B3216" t="s">
        <v>1152</v>
      </c>
      <c r="C3216" t="s">
        <v>996</v>
      </c>
      <c r="D3216" s="8">
        <v>1.4356644996540001E-4</v>
      </c>
      <c r="E3216" s="6">
        <f t="shared" si="100"/>
        <v>0.44099999999999984</v>
      </c>
      <c r="F3216" s="8">
        <f t="shared" si="101"/>
        <v>6.3312804434741387E-5</v>
      </c>
    </row>
    <row r="3217" spans="1:6" x14ac:dyDescent="0.2">
      <c r="A3217">
        <v>27</v>
      </c>
      <c r="B3217" t="s">
        <v>1152</v>
      </c>
      <c r="C3217" t="s">
        <v>997</v>
      </c>
      <c r="D3217" s="8">
        <v>1.0180534758540889E-5</v>
      </c>
      <c r="E3217" s="6">
        <f t="shared" si="100"/>
        <v>-0.61499999999999977</v>
      </c>
      <c r="F3217" s="8">
        <f t="shared" si="101"/>
        <v>-6.2610288765026446E-6</v>
      </c>
    </row>
    <row r="3218" spans="1:6" x14ac:dyDescent="0.2">
      <c r="A3218">
        <v>27</v>
      </c>
      <c r="B3218" t="s">
        <v>1152</v>
      </c>
      <c r="C3218" t="s">
        <v>998</v>
      </c>
      <c r="D3218" s="8">
        <v>7.9797803156858262E-5</v>
      </c>
      <c r="E3218" s="6">
        <f t="shared" si="100"/>
        <v>-0.28200000000000003</v>
      </c>
      <c r="F3218" s="8">
        <f t="shared" si="101"/>
        <v>-2.2502980490234033E-5</v>
      </c>
    </row>
    <row r="3219" spans="1:6" x14ac:dyDescent="0.2">
      <c r="A3219">
        <v>27</v>
      </c>
      <c r="B3219" t="s">
        <v>1152</v>
      </c>
      <c r="C3219" t="s">
        <v>999</v>
      </c>
      <c r="D3219" s="8">
        <v>4.0094787897085781E-7</v>
      </c>
      <c r="E3219" s="6">
        <f t="shared" si="100"/>
        <v>-0.5219999999999998</v>
      </c>
      <c r="F3219" s="8">
        <f t="shared" si="101"/>
        <v>-2.092947928227877E-7</v>
      </c>
    </row>
    <row r="3220" spans="1:6" x14ac:dyDescent="0.2">
      <c r="A3220">
        <v>27</v>
      </c>
      <c r="B3220" t="s">
        <v>1152</v>
      </c>
      <c r="C3220" t="s">
        <v>1000</v>
      </c>
      <c r="D3220" s="8">
        <v>1.989272762022E-4</v>
      </c>
      <c r="E3220" s="6">
        <f t="shared" si="100"/>
        <v>1.1540000000000004</v>
      </c>
      <c r="F3220" s="8">
        <f t="shared" si="101"/>
        <v>2.2956207673733886E-4</v>
      </c>
    </row>
    <row r="3221" spans="1:6" x14ac:dyDescent="0.2">
      <c r="A3221">
        <v>27</v>
      </c>
      <c r="B3221" t="s">
        <v>1152</v>
      </c>
      <c r="C3221" t="s">
        <v>1001</v>
      </c>
      <c r="D3221" s="8">
        <v>6.5294307972713726E-5</v>
      </c>
      <c r="E3221" s="6">
        <f t="shared" si="100"/>
        <v>-0.60600000000000032</v>
      </c>
      <c r="F3221" s="8">
        <f t="shared" si="101"/>
        <v>-3.9568350631464541E-5</v>
      </c>
    </row>
    <row r="3222" spans="1:6" x14ac:dyDescent="0.2">
      <c r="A3222">
        <v>27</v>
      </c>
      <c r="B3222" t="s">
        <v>1152</v>
      </c>
      <c r="C3222" t="s">
        <v>1002</v>
      </c>
      <c r="D3222" s="8">
        <v>3.9597784524451303E-5</v>
      </c>
      <c r="E3222" s="6">
        <f t="shared" si="100"/>
        <v>-1.3390000000000004</v>
      </c>
      <c r="F3222" s="8">
        <f t="shared" si="101"/>
        <v>-5.3021433478240308E-5</v>
      </c>
    </row>
    <row r="3223" spans="1:6" x14ac:dyDescent="0.2">
      <c r="A3223">
        <v>27</v>
      </c>
      <c r="B3223" t="s">
        <v>1152</v>
      </c>
      <c r="C3223" t="s">
        <v>1003</v>
      </c>
      <c r="D3223" s="8">
        <v>1.0332383229427399E-2</v>
      </c>
      <c r="E3223" s="6">
        <f t="shared" si="100"/>
        <v>0.22999999999999998</v>
      </c>
      <c r="F3223" s="8">
        <f t="shared" si="101"/>
        <v>2.3764481427683017E-3</v>
      </c>
    </row>
    <row r="3224" spans="1:6" x14ac:dyDescent="0.2">
      <c r="A3224">
        <v>27</v>
      </c>
      <c r="B3224" t="s">
        <v>1152</v>
      </c>
      <c r="C3224" t="s">
        <v>1005</v>
      </c>
      <c r="D3224" s="8">
        <v>1.470344891241645E-6</v>
      </c>
      <c r="E3224" s="6">
        <f t="shared" si="100"/>
        <v>-0.10000000000000009</v>
      </c>
      <c r="F3224" s="8">
        <f t="shared" si="101"/>
        <v>-1.4703448912416462E-7</v>
      </c>
    </row>
    <row r="3225" spans="1:6" x14ac:dyDescent="0.2">
      <c r="A3225">
        <v>27</v>
      </c>
      <c r="B3225" t="s">
        <v>1152</v>
      </c>
      <c r="C3225" t="s">
        <v>1006</v>
      </c>
      <c r="D3225" s="8">
        <v>2.7530573288726608E-7</v>
      </c>
      <c r="E3225" s="6">
        <f t="shared" si="100"/>
        <v>0.40000000000000036</v>
      </c>
      <c r="F3225" s="8">
        <f t="shared" si="101"/>
        <v>1.1012229315490653E-7</v>
      </c>
    </row>
    <row r="3226" spans="1:6" x14ac:dyDescent="0.2">
      <c r="A3226">
        <v>27</v>
      </c>
      <c r="B3226" t="s">
        <v>1152</v>
      </c>
      <c r="C3226" t="s">
        <v>1007</v>
      </c>
      <c r="D3226" s="8">
        <v>2.5110655683018631E-5</v>
      </c>
      <c r="E3226" s="6">
        <f t="shared" si="100"/>
        <v>-0.19999999999999973</v>
      </c>
      <c r="F3226" s="8">
        <f t="shared" si="101"/>
        <v>-5.0221311366037194E-6</v>
      </c>
    </row>
    <row r="3227" spans="1:6" x14ac:dyDescent="0.2">
      <c r="A3227">
        <v>27</v>
      </c>
      <c r="B3227" t="s">
        <v>1152</v>
      </c>
      <c r="C3227" t="s">
        <v>1008</v>
      </c>
      <c r="D3227" s="8">
        <v>8.0672135246943869E-5</v>
      </c>
      <c r="E3227" s="6">
        <f t="shared" si="100"/>
        <v>0.94799999999999995</v>
      </c>
      <c r="F3227" s="8">
        <f t="shared" si="101"/>
        <v>7.6477184214102787E-5</v>
      </c>
    </row>
    <row r="3228" spans="1:6" x14ac:dyDescent="0.2">
      <c r="A3228">
        <v>27</v>
      </c>
      <c r="B3228" t="s">
        <v>1152</v>
      </c>
      <c r="C3228" t="s">
        <v>1009</v>
      </c>
      <c r="D3228" s="8">
        <v>2.7820235278679621E-5</v>
      </c>
      <c r="E3228" s="6">
        <f t="shared" si="100"/>
        <v>-0.5990000000000002</v>
      </c>
      <c r="F3228" s="8">
        <f t="shared" si="101"/>
        <v>-1.6664320931929098E-5</v>
      </c>
    </row>
    <row r="3229" spans="1:6" x14ac:dyDescent="0.2">
      <c r="A3229">
        <v>27</v>
      </c>
      <c r="B3229" t="s">
        <v>1152</v>
      </c>
      <c r="C3229" t="s">
        <v>1122</v>
      </c>
      <c r="D3229" s="8">
        <v>4.0418052648648322E-7</v>
      </c>
      <c r="E3229" s="6">
        <f t="shared" si="100"/>
        <v>0</v>
      </c>
      <c r="F3229" s="8">
        <f t="shared" si="101"/>
        <v>0</v>
      </c>
    </row>
    <row r="3230" spans="1:6" x14ac:dyDescent="0.2">
      <c r="A3230">
        <v>27</v>
      </c>
      <c r="B3230" t="s">
        <v>1152</v>
      </c>
      <c r="C3230" t="s">
        <v>1010</v>
      </c>
      <c r="D3230" s="8">
        <v>7.5079313042073916E-5</v>
      </c>
      <c r="E3230" s="6">
        <f t="shared" si="100"/>
        <v>-3.024</v>
      </c>
      <c r="F3230" s="8">
        <f t="shared" si="101"/>
        <v>-2.2703984263923151E-4</v>
      </c>
    </row>
    <row r="3231" spans="1:6" x14ac:dyDescent="0.2">
      <c r="A3231">
        <v>27</v>
      </c>
      <c r="B3231" t="s">
        <v>1152</v>
      </c>
      <c r="C3231" t="s">
        <v>1012</v>
      </c>
      <c r="D3231" s="8">
        <v>2.445040033495581E-5</v>
      </c>
      <c r="E3231" s="6">
        <f t="shared" si="100"/>
        <v>0.39999999999999991</v>
      </c>
      <c r="F3231" s="8">
        <f t="shared" si="101"/>
        <v>9.780160133982322E-6</v>
      </c>
    </row>
    <row r="3232" spans="1:6" x14ac:dyDescent="0.2">
      <c r="A3232">
        <v>27</v>
      </c>
      <c r="B3232" t="s">
        <v>1152</v>
      </c>
      <c r="C3232" t="s">
        <v>1014</v>
      </c>
      <c r="D3232" s="8">
        <v>6.1065639708209E-3</v>
      </c>
      <c r="E3232" s="6">
        <f t="shared" si="100"/>
        <v>0.90000000000000036</v>
      </c>
      <c r="F3232" s="8">
        <f t="shared" si="101"/>
        <v>5.4959075737388121E-3</v>
      </c>
    </row>
    <row r="3233" spans="1:6" x14ac:dyDescent="0.2">
      <c r="A3233">
        <v>27</v>
      </c>
      <c r="B3233" t="s">
        <v>1152</v>
      </c>
      <c r="C3233" t="s">
        <v>1015</v>
      </c>
      <c r="D3233" s="8">
        <v>8.3484832105215053E-7</v>
      </c>
      <c r="E3233" s="6">
        <f t="shared" si="100"/>
        <v>-1.306</v>
      </c>
      <c r="F3233" s="8">
        <f t="shared" si="101"/>
        <v>-1.0903119072941085E-6</v>
      </c>
    </row>
    <row r="3234" spans="1:6" x14ac:dyDescent="0.2">
      <c r="A3234">
        <v>27</v>
      </c>
      <c r="B3234" t="s">
        <v>1152</v>
      </c>
      <c r="C3234" t="s">
        <v>1099</v>
      </c>
      <c r="D3234" s="8">
        <v>3.9223397424514483E-6</v>
      </c>
      <c r="E3234" s="6">
        <f t="shared" si="100"/>
        <v>0</v>
      </c>
      <c r="F3234" s="8">
        <f t="shared" si="101"/>
        <v>0</v>
      </c>
    </row>
    <row r="3235" spans="1:6" x14ac:dyDescent="0.2">
      <c r="A3235">
        <v>27</v>
      </c>
      <c r="B3235" t="s">
        <v>1152</v>
      </c>
      <c r="C3235" t="s">
        <v>1016</v>
      </c>
      <c r="D3235" s="8">
        <v>6.2499662443550968E-5</v>
      </c>
      <c r="E3235" s="6">
        <f t="shared" si="100"/>
        <v>0</v>
      </c>
      <c r="F3235" s="8">
        <f t="shared" si="101"/>
        <v>0</v>
      </c>
    </row>
    <row r="3236" spans="1:6" x14ac:dyDescent="0.2">
      <c r="A3236">
        <v>27</v>
      </c>
      <c r="B3236" t="s">
        <v>1152</v>
      </c>
      <c r="C3236" t="s">
        <v>1017</v>
      </c>
      <c r="D3236" s="8">
        <v>1.8886843352252259E-5</v>
      </c>
      <c r="E3236" s="6">
        <f t="shared" si="100"/>
        <v>1.3749999999999996</v>
      </c>
      <c r="F3236" s="8">
        <f t="shared" si="101"/>
        <v>2.5969409609346849E-5</v>
      </c>
    </row>
    <row r="3237" spans="1:6" x14ac:dyDescent="0.2">
      <c r="A3237">
        <v>27</v>
      </c>
      <c r="B3237" t="s">
        <v>1152</v>
      </c>
      <c r="C3237" t="s">
        <v>1018</v>
      </c>
      <c r="D3237" s="8">
        <v>2.4300317041219999E-4</v>
      </c>
      <c r="E3237" s="6">
        <f t="shared" si="100"/>
        <v>0.69999999999999973</v>
      </c>
      <c r="F3237" s="8">
        <f t="shared" si="101"/>
        <v>1.7010221928853993E-4</v>
      </c>
    </row>
    <row r="3238" spans="1:6" x14ac:dyDescent="0.2">
      <c r="A3238">
        <v>27</v>
      </c>
      <c r="B3238" t="s">
        <v>1152</v>
      </c>
      <c r="C3238" t="s">
        <v>1019</v>
      </c>
      <c r="D3238" s="8">
        <v>7.6288546197457001E-3</v>
      </c>
      <c r="E3238" s="6">
        <f t="shared" si="100"/>
        <v>-0.21599999999999997</v>
      </c>
      <c r="F3238" s="8">
        <f t="shared" si="101"/>
        <v>-1.6478325978650709E-3</v>
      </c>
    </row>
    <row r="3239" spans="1:6" x14ac:dyDescent="0.2">
      <c r="A3239">
        <v>27</v>
      </c>
      <c r="B3239" t="s">
        <v>1152</v>
      </c>
      <c r="C3239" t="s">
        <v>1020</v>
      </c>
      <c r="D3239" s="8">
        <v>9.9028595880599246E-5</v>
      </c>
      <c r="E3239" s="6">
        <f t="shared" si="100"/>
        <v>-0.21999999999999997</v>
      </c>
      <c r="F3239" s="8">
        <f t="shared" si="101"/>
        <v>-2.1786291093731833E-5</v>
      </c>
    </row>
    <row r="3240" spans="1:6" x14ac:dyDescent="0.2">
      <c r="A3240">
        <v>27</v>
      </c>
      <c r="B3240" t="s">
        <v>1152</v>
      </c>
      <c r="C3240" t="s">
        <v>1021</v>
      </c>
      <c r="D3240" s="8">
        <v>3.69493297463765E-5</v>
      </c>
      <c r="E3240" s="6">
        <f t="shared" si="100"/>
        <v>-2.4829999999999997</v>
      </c>
      <c r="F3240" s="8">
        <f t="shared" si="101"/>
        <v>-9.1745185760252839E-5</v>
      </c>
    </row>
    <row r="3241" spans="1:6" x14ac:dyDescent="0.2">
      <c r="A3241">
        <v>27</v>
      </c>
      <c r="B3241" t="s">
        <v>1152</v>
      </c>
      <c r="C3241" t="s">
        <v>1023</v>
      </c>
      <c r="D3241" s="8">
        <v>4.4973320546179998E-4</v>
      </c>
      <c r="E3241" s="6">
        <f t="shared" si="100"/>
        <v>-0.62199999999999989</v>
      </c>
      <c r="F3241" s="8">
        <f t="shared" si="101"/>
        <v>-2.7973405379723952E-4</v>
      </c>
    </row>
    <row r="3242" spans="1:6" x14ac:dyDescent="0.2">
      <c r="A3242">
        <v>27</v>
      </c>
      <c r="B3242" t="s">
        <v>1152</v>
      </c>
      <c r="C3242" t="s">
        <v>1024</v>
      </c>
      <c r="D3242" s="8">
        <v>1.111568989129464E-5</v>
      </c>
      <c r="E3242" s="6">
        <f t="shared" si="100"/>
        <v>-0.14500000000000002</v>
      </c>
      <c r="F3242" s="8">
        <f t="shared" si="101"/>
        <v>-1.611775034237723E-6</v>
      </c>
    </row>
    <row r="3243" spans="1:6" x14ac:dyDescent="0.2">
      <c r="A3243">
        <v>27</v>
      </c>
      <c r="B3243" t="s">
        <v>1152</v>
      </c>
      <c r="C3243" t="s">
        <v>1025</v>
      </c>
      <c r="D3243" s="8">
        <v>1.7368344482372E-3</v>
      </c>
      <c r="E3243" s="6">
        <f t="shared" si="100"/>
        <v>4.7000000000000153E-2</v>
      </c>
      <c r="F3243" s="8">
        <f t="shared" si="101"/>
        <v>8.1631219067148663E-5</v>
      </c>
    </row>
    <row r="3244" spans="1:6" x14ac:dyDescent="0.2">
      <c r="A3244">
        <v>27</v>
      </c>
      <c r="B3244" t="s">
        <v>1152</v>
      </c>
      <c r="C3244" t="s">
        <v>1026</v>
      </c>
      <c r="D3244" s="8">
        <v>8.2513048599529998E-4</v>
      </c>
      <c r="E3244" s="6">
        <f t="shared" si="100"/>
        <v>-0.20000000000000018</v>
      </c>
      <c r="F3244" s="8">
        <f t="shared" si="101"/>
        <v>-1.6502609719906014E-4</v>
      </c>
    </row>
    <row r="3245" spans="1:6" x14ac:dyDescent="0.2">
      <c r="A3245">
        <v>27</v>
      </c>
      <c r="B3245" t="s">
        <v>1152</v>
      </c>
      <c r="C3245" t="s">
        <v>1027</v>
      </c>
      <c r="D3245" s="8">
        <v>7.9664278710190001E-4</v>
      </c>
      <c r="E3245" s="6">
        <f t="shared" si="100"/>
        <v>0.18999999999999995</v>
      </c>
      <c r="F3245" s="8">
        <f t="shared" si="101"/>
        <v>1.5136212954936095E-4</v>
      </c>
    </row>
    <row r="3246" spans="1:6" x14ac:dyDescent="0.2">
      <c r="A3246">
        <v>27</v>
      </c>
      <c r="B3246" t="s">
        <v>1152</v>
      </c>
      <c r="C3246" t="s">
        <v>1028</v>
      </c>
      <c r="D3246" s="8">
        <v>1.8220327368373001E-3</v>
      </c>
      <c r="E3246" s="6">
        <f t="shared" si="100"/>
        <v>-1.6600000000000001</v>
      </c>
      <c r="F3246" s="8">
        <f t="shared" si="101"/>
        <v>-3.0245743431499186E-3</v>
      </c>
    </row>
    <row r="3247" spans="1:6" x14ac:dyDescent="0.2">
      <c r="A3247">
        <v>27</v>
      </c>
      <c r="B3247" t="s">
        <v>1152</v>
      </c>
      <c r="C3247" t="s">
        <v>1029</v>
      </c>
      <c r="D3247" s="8">
        <v>4.0860690804618432E-8</v>
      </c>
      <c r="E3247" s="6">
        <f t="shared" si="100"/>
        <v>-0.20500000000000007</v>
      </c>
      <c r="F3247" s="8">
        <f t="shared" si="101"/>
        <v>-8.3764416149467816E-9</v>
      </c>
    </row>
    <row r="3248" spans="1:6" x14ac:dyDescent="0.2">
      <c r="A3248">
        <v>27</v>
      </c>
      <c r="B3248" t="s">
        <v>1152</v>
      </c>
      <c r="C3248" t="s">
        <v>1030</v>
      </c>
      <c r="D3248" s="8">
        <v>1.107063422774721E-5</v>
      </c>
      <c r="E3248" s="6">
        <f t="shared" si="100"/>
        <v>0.29999999999999982</v>
      </c>
      <c r="F3248" s="8">
        <f t="shared" si="101"/>
        <v>3.3211902683241611E-6</v>
      </c>
    </row>
    <row r="3249" spans="1:6" x14ac:dyDescent="0.2">
      <c r="A3249">
        <v>27</v>
      </c>
      <c r="B3249" t="s">
        <v>1152</v>
      </c>
      <c r="C3249" t="s">
        <v>1031</v>
      </c>
      <c r="D3249" s="8">
        <v>1.8969562932696E-3</v>
      </c>
      <c r="E3249" s="6">
        <f t="shared" si="100"/>
        <v>0.19899999999999984</v>
      </c>
      <c r="F3249" s="8">
        <f t="shared" si="101"/>
        <v>3.7749430236065011E-4</v>
      </c>
    </row>
    <row r="3250" spans="1:6" x14ac:dyDescent="0.2">
      <c r="A3250">
        <v>27</v>
      </c>
      <c r="B3250" t="s">
        <v>1152</v>
      </c>
      <c r="C3250" t="s">
        <v>1033</v>
      </c>
      <c r="D3250" s="8">
        <v>9.7031690054199721E-5</v>
      </c>
      <c r="E3250" s="6">
        <f t="shared" si="100"/>
        <v>0.23299999999999987</v>
      </c>
      <c r="F3250" s="8">
        <f t="shared" si="101"/>
        <v>2.2608383782628521E-5</v>
      </c>
    </row>
    <row r="3251" spans="1:6" x14ac:dyDescent="0.2">
      <c r="A3251">
        <v>27</v>
      </c>
      <c r="B3251" t="s">
        <v>1152</v>
      </c>
      <c r="C3251" t="s">
        <v>1034</v>
      </c>
      <c r="D3251" s="8">
        <v>6.0076518611070299E-5</v>
      </c>
      <c r="E3251" s="6">
        <f t="shared" si="100"/>
        <v>0.70000000000000018</v>
      </c>
      <c r="F3251" s="8">
        <f t="shared" si="101"/>
        <v>4.2053563027749218E-5</v>
      </c>
    </row>
    <row r="3252" spans="1:6" x14ac:dyDescent="0.2">
      <c r="A3252">
        <v>27</v>
      </c>
      <c r="B3252" t="s">
        <v>1152</v>
      </c>
      <c r="C3252" t="s">
        <v>1100</v>
      </c>
      <c r="D3252" s="8">
        <v>1.4810693271344129E-5</v>
      </c>
      <c r="E3252" s="6">
        <f t="shared" si="100"/>
        <v>0</v>
      </c>
      <c r="F3252" s="8">
        <f t="shared" si="101"/>
        <v>0</v>
      </c>
    </row>
    <row r="3253" spans="1:6" x14ac:dyDescent="0.2">
      <c r="A3253">
        <v>27</v>
      </c>
      <c r="B3253" t="s">
        <v>1152</v>
      </c>
      <c r="C3253" t="s">
        <v>1035</v>
      </c>
      <c r="D3253" s="8">
        <v>8.5160717819368728E-5</v>
      </c>
      <c r="E3253" s="6">
        <f t="shared" si="100"/>
        <v>-14.218</v>
      </c>
      <c r="F3253" s="8">
        <f t="shared" si="101"/>
        <v>-1.2108150859557847E-3</v>
      </c>
    </row>
    <row r="3254" spans="1:6" x14ac:dyDescent="0.2">
      <c r="A3254">
        <v>27</v>
      </c>
      <c r="B3254" t="s">
        <v>1152</v>
      </c>
      <c r="C3254" t="s">
        <v>1036</v>
      </c>
      <c r="D3254" s="8">
        <v>3.015490039554E-4</v>
      </c>
      <c r="E3254" s="6">
        <f t="shared" si="100"/>
        <v>-2.0590000000000002</v>
      </c>
      <c r="F3254" s="8">
        <f t="shared" si="101"/>
        <v>-6.2088939914416868E-4</v>
      </c>
    </row>
    <row r="3255" spans="1:6" x14ac:dyDescent="0.2">
      <c r="A3255">
        <v>27</v>
      </c>
      <c r="B3255" t="s">
        <v>1152</v>
      </c>
      <c r="C3255" t="s">
        <v>1037</v>
      </c>
      <c r="D3255" s="8">
        <v>1.1320987797846E-3</v>
      </c>
      <c r="E3255" s="6">
        <f t="shared" si="100"/>
        <v>0.2350000000000001</v>
      </c>
      <c r="F3255" s="8">
        <f t="shared" si="101"/>
        <v>2.6604321324938109E-4</v>
      </c>
    </row>
    <row r="3256" spans="1:6" x14ac:dyDescent="0.2">
      <c r="A3256">
        <v>27</v>
      </c>
      <c r="B3256" t="s">
        <v>1152</v>
      </c>
      <c r="C3256" t="s">
        <v>1038</v>
      </c>
      <c r="D3256" s="8">
        <v>4.5914680331114699E-7</v>
      </c>
      <c r="E3256" s="6">
        <f t="shared" si="100"/>
        <v>-0.2759999999999998</v>
      </c>
      <c r="F3256" s="8">
        <f t="shared" si="101"/>
        <v>-1.2672451771387647E-7</v>
      </c>
    </row>
    <row r="3257" spans="1:6" x14ac:dyDescent="0.2">
      <c r="A3257">
        <v>27</v>
      </c>
      <c r="B3257" t="s">
        <v>1152</v>
      </c>
      <c r="C3257" t="s">
        <v>1094</v>
      </c>
      <c r="D3257" s="8">
        <v>1.8007507963750001E-3</v>
      </c>
      <c r="E3257" s="6">
        <f t="shared" si="100"/>
        <v>0</v>
      </c>
      <c r="F3257" s="8">
        <f t="shared" si="101"/>
        <v>0</v>
      </c>
    </row>
    <row r="3258" spans="1:6" x14ac:dyDescent="0.2">
      <c r="A3258">
        <v>27</v>
      </c>
      <c r="B3258" t="s">
        <v>1152</v>
      </c>
      <c r="C3258" t="s">
        <v>1039</v>
      </c>
      <c r="D3258" s="8">
        <v>3.5648227436129999E-4</v>
      </c>
      <c r="E3258" s="6">
        <f t="shared" si="100"/>
        <v>-0.6419999999999999</v>
      </c>
      <c r="F3258" s="8">
        <f t="shared" si="101"/>
        <v>-2.2886162013995457E-4</v>
      </c>
    </row>
    <row r="3259" spans="1:6" x14ac:dyDescent="0.2">
      <c r="A3259">
        <v>27</v>
      </c>
      <c r="B3259" t="s">
        <v>1152</v>
      </c>
      <c r="C3259" t="s">
        <v>1040</v>
      </c>
      <c r="D3259" s="8">
        <v>3.5150004069929997E-4</v>
      </c>
      <c r="E3259" s="6">
        <f t="shared" si="100"/>
        <v>-8.1180000000000003</v>
      </c>
      <c r="F3259" s="8">
        <f t="shared" si="101"/>
        <v>-2.8534773303969174E-3</v>
      </c>
    </row>
    <row r="3260" spans="1:6" x14ac:dyDescent="0.2">
      <c r="A3260">
        <v>27</v>
      </c>
      <c r="B3260" t="s">
        <v>1152</v>
      </c>
      <c r="C3260" t="s">
        <v>1041</v>
      </c>
      <c r="D3260" s="8">
        <v>2.0079890769940341E-6</v>
      </c>
      <c r="E3260" s="6">
        <f t="shared" si="100"/>
        <v>-1.8890000000000002</v>
      </c>
      <c r="F3260" s="8">
        <f t="shared" si="101"/>
        <v>-3.793091366441731E-6</v>
      </c>
    </row>
    <row r="3261" spans="1:6" x14ac:dyDescent="0.2">
      <c r="A3261">
        <v>27</v>
      </c>
      <c r="B3261" t="s">
        <v>1152</v>
      </c>
      <c r="C3261" t="s">
        <v>1042</v>
      </c>
      <c r="D3261" s="8">
        <v>0.10636639579595181</v>
      </c>
      <c r="E3261" s="6">
        <f t="shared" si="100"/>
        <v>1.621</v>
      </c>
      <c r="F3261" s="8">
        <f t="shared" si="101"/>
        <v>0.17241992758523789</v>
      </c>
    </row>
    <row r="3262" spans="1:6" x14ac:dyDescent="0.2">
      <c r="A3262">
        <v>27</v>
      </c>
      <c r="B3262" t="s">
        <v>1152</v>
      </c>
      <c r="C3262" t="s">
        <v>1043</v>
      </c>
      <c r="D3262" s="8">
        <v>2.9261815241561721E-7</v>
      </c>
      <c r="E3262" s="6">
        <f t="shared" ref="E3262:E3296" si="102">IFERROR(VLOOKUP(C3262,$A$6:$D$185,4,FALSE),0)</f>
        <v>-2.8000000000000025E-2</v>
      </c>
      <c r="F3262" s="8">
        <f t="shared" ref="F3262:F3325" si="103">D3262*E3262</f>
        <v>-8.1933082676372897E-9</v>
      </c>
    </row>
    <row r="3263" spans="1:6" x14ac:dyDescent="0.2">
      <c r="A3263">
        <v>27</v>
      </c>
      <c r="B3263" t="s">
        <v>1152</v>
      </c>
      <c r="C3263" t="s">
        <v>1044</v>
      </c>
      <c r="D3263" s="8">
        <v>2.7031720873161728E-7</v>
      </c>
      <c r="E3263" s="6">
        <f t="shared" si="102"/>
        <v>-0.35099999999999998</v>
      </c>
      <c r="F3263" s="8">
        <f t="shared" si="103"/>
        <v>-9.4881340264797657E-8</v>
      </c>
    </row>
    <row r="3264" spans="1:6" x14ac:dyDescent="0.2">
      <c r="A3264">
        <v>27</v>
      </c>
      <c r="B3264" t="s">
        <v>1152</v>
      </c>
      <c r="C3264" t="s">
        <v>1045</v>
      </c>
      <c r="D3264" s="8">
        <v>3.8747999196680002E-4</v>
      </c>
      <c r="E3264" s="6">
        <f t="shared" si="102"/>
        <v>0.7849999999999997</v>
      </c>
      <c r="F3264" s="8">
        <f t="shared" si="103"/>
        <v>3.0417179369393788E-4</v>
      </c>
    </row>
    <row r="3265" spans="1:6" x14ac:dyDescent="0.2">
      <c r="A3265">
        <v>27</v>
      </c>
      <c r="B3265" t="s">
        <v>1152</v>
      </c>
      <c r="C3265" t="s">
        <v>1047</v>
      </c>
      <c r="D3265" s="8">
        <v>5.3117495965403319E-6</v>
      </c>
      <c r="E3265" s="6">
        <f t="shared" si="102"/>
        <v>-1.4999999999999996</v>
      </c>
      <c r="F3265" s="8">
        <f t="shared" si="103"/>
        <v>-7.9676243948104953E-6</v>
      </c>
    </row>
    <row r="3266" spans="1:6" x14ac:dyDescent="0.2">
      <c r="A3266">
        <v>27</v>
      </c>
      <c r="B3266" t="s">
        <v>1152</v>
      </c>
      <c r="C3266" t="s">
        <v>1048</v>
      </c>
      <c r="D3266" s="8">
        <v>3.8824012799895522E-5</v>
      </c>
      <c r="E3266" s="6">
        <f t="shared" si="102"/>
        <v>-1.4340000000000002</v>
      </c>
      <c r="F3266" s="8">
        <f t="shared" si="103"/>
        <v>-5.5673634355050185E-5</v>
      </c>
    </row>
    <row r="3267" spans="1:6" x14ac:dyDescent="0.2">
      <c r="A3267">
        <v>27</v>
      </c>
      <c r="B3267" t="s">
        <v>1152</v>
      </c>
      <c r="C3267" t="s">
        <v>1051</v>
      </c>
      <c r="D3267" s="8">
        <v>9.1095928368980182E-6</v>
      </c>
      <c r="E3267" s="6">
        <f t="shared" si="102"/>
        <v>0.18199999999999994</v>
      </c>
      <c r="F3267" s="8">
        <f t="shared" si="103"/>
        <v>1.6579458963154388E-6</v>
      </c>
    </row>
    <row r="3268" spans="1:6" x14ac:dyDescent="0.2">
      <c r="A3268">
        <v>27</v>
      </c>
      <c r="B3268" t="s">
        <v>1152</v>
      </c>
      <c r="C3268" t="s">
        <v>1052</v>
      </c>
      <c r="D3268" s="8">
        <v>2.9933489946456479E-5</v>
      </c>
      <c r="E3268" s="6">
        <f t="shared" si="102"/>
        <v>-1.1059999999999999</v>
      </c>
      <c r="F3268" s="8">
        <f t="shared" si="103"/>
        <v>-3.310643988078086E-5</v>
      </c>
    </row>
    <row r="3269" spans="1:6" x14ac:dyDescent="0.2">
      <c r="A3269">
        <v>27</v>
      </c>
      <c r="B3269" t="s">
        <v>1152</v>
      </c>
      <c r="C3269" t="s">
        <v>1053</v>
      </c>
      <c r="D3269" s="8">
        <v>8.3223040987926458E-5</v>
      </c>
      <c r="E3269" s="6">
        <f t="shared" si="102"/>
        <v>-0.39999999999999991</v>
      </c>
      <c r="F3269" s="8">
        <f t="shared" si="103"/>
        <v>-3.3289216395170574E-5</v>
      </c>
    </row>
    <row r="3270" spans="1:6" x14ac:dyDescent="0.2">
      <c r="A3270">
        <v>27</v>
      </c>
      <c r="B3270" t="s">
        <v>1152</v>
      </c>
      <c r="C3270" t="s">
        <v>1054</v>
      </c>
      <c r="D3270" s="8">
        <v>6.6359713497370001E-4</v>
      </c>
      <c r="E3270" s="6">
        <f t="shared" si="102"/>
        <v>-0.16800000000000015</v>
      </c>
      <c r="F3270" s="8">
        <f t="shared" si="103"/>
        <v>-1.114843186755817E-4</v>
      </c>
    </row>
    <row r="3271" spans="1:6" x14ac:dyDescent="0.2">
      <c r="A3271">
        <v>27</v>
      </c>
      <c r="B3271" t="s">
        <v>1152</v>
      </c>
      <c r="C3271" t="s">
        <v>1055</v>
      </c>
      <c r="D3271" s="8">
        <v>6.1519631690123161E-5</v>
      </c>
      <c r="E3271" s="6">
        <f t="shared" si="102"/>
        <v>-0.93100000000000005</v>
      </c>
      <c r="F3271" s="8">
        <f t="shared" si="103"/>
        <v>-5.7274777103504668E-5</v>
      </c>
    </row>
    <row r="3272" spans="1:6" x14ac:dyDescent="0.2">
      <c r="A3272">
        <v>27</v>
      </c>
      <c r="B3272" t="s">
        <v>1152</v>
      </c>
      <c r="C3272" t="s">
        <v>1056</v>
      </c>
      <c r="D3272" s="8">
        <v>7.0246802456958266E-6</v>
      </c>
      <c r="E3272" s="6">
        <f t="shared" si="102"/>
        <v>-1.996</v>
      </c>
      <c r="F3272" s="8">
        <f t="shared" si="103"/>
        <v>-1.402126177040887E-5</v>
      </c>
    </row>
    <row r="3273" spans="1:6" x14ac:dyDescent="0.2">
      <c r="A3273">
        <v>27</v>
      </c>
      <c r="B3273" t="s">
        <v>1152</v>
      </c>
      <c r="C3273" t="s">
        <v>1095</v>
      </c>
      <c r="D3273" s="8">
        <v>2.4558883111056988E-6</v>
      </c>
      <c r="E3273" s="6">
        <f t="shared" si="102"/>
        <v>0</v>
      </c>
      <c r="F3273" s="8">
        <f t="shared" si="103"/>
        <v>0</v>
      </c>
    </row>
    <row r="3274" spans="1:6" x14ac:dyDescent="0.2">
      <c r="A3274">
        <v>27</v>
      </c>
      <c r="B3274" t="s">
        <v>1152</v>
      </c>
      <c r="C3274" t="s">
        <v>1112</v>
      </c>
      <c r="D3274" s="8">
        <v>2.2461462257434899E-7</v>
      </c>
      <c r="E3274" s="6">
        <f t="shared" si="102"/>
        <v>0</v>
      </c>
      <c r="F3274" s="8">
        <f t="shared" si="103"/>
        <v>0</v>
      </c>
    </row>
    <row r="3275" spans="1:6" x14ac:dyDescent="0.2">
      <c r="A3275">
        <v>27</v>
      </c>
      <c r="B3275" t="s">
        <v>1152</v>
      </c>
      <c r="C3275" t="s">
        <v>1058</v>
      </c>
      <c r="D3275" s="8">
        <v>7.2836763742731078E-5</v>
      </c>
      <c r="E3275" s="6">
        <f t="shared" si="102"/>
        <v>-0.5</v>
      </c>
      <c r="F3275" s="8">
        <f t="shared" si="103"/>
        <v>-3.6418381871365539E-5</v>
      </c>
    </row>
    <row r="3276" spans="1:6" x14ac:dyDescent="0.2">
      <c r="A3276">
        <v>27</v>
      </c>
      <c r="B3276" t="s">
        <v>1152</v>
      </c>
      <c r="C3276" t="s">
        <v>1059</v>
      </c>
      <c r="D3276" s="8">
        <v>3.080706466405E-3</v>
      </c>
      <c r="E3276" s="6">
        <f t="shared" si="102"/>
        <v>-0.10000000000000009</v>
      </c>
      <c r="F3276" s="8">
        <f t="shared" si="103"/>
        <v>-3.0807064664050028E-4</v>
      </c>
    </row>
    <row r="3277" spans="1:6" x14ac:dyDescent="0.2">
      <c r="A3277">
        <v>27</v>
      </c>
      <c r="B3277" t="s">
        <v>1152</v>
      </c>
      <c r="C3277" t="s">
        <v>1061</v>
      </c>
      <c r="D3277" s="8">
        <v>6.0436880842898282E-6</v>
      </c>
      <c r="E3277" s="6">
        <f t="shared" si="102"/>
        <v>0.25499999999999989</v>
      </c>
      <c r="F3277" s="8">
        <f t="shared" si="103"/>
        <v>1.5411404614939056E-6</v>
      </c>
    </row>
    <row r="3278" spans="1:6" x14ac:dyDescent="0.2">
      <c r="A3278">
        <v>27</v>
      </c>
      <c r="B3278" t="s">
        <v>1152</v>
      </c>
      <c r="C3278" t="s">
        <v>1062</v>
      </c>
      <c r="D3278" s="8">
        <v>2.260182104771E-4</v>
      </c>
      <c r="E3278" s="6">
        <f t="shared" si="102"/>
        <v>0.89999999999999947</v>
      </c>
      <c r="F3278" s="8">
        <f t="shared" si="103"/>
        <v>2.0341638942938988E-4</v>
      </c>
    </row>
    <row r="3279" spans="1:6" x14ac:dyDescent="0.2">
      <c r="A3279">
        <v>27</v>
      </c>
      <c r="B3279" t="s">
        <v>1152</v>
      </c>
      <c r="C3279" t="s">
        <v>1064</v>
      </c>
      <c r="D3279" s="8">
        <v>4.9793516657382727E-8</v>
      </c>
      <c r="E3279" s="6">
        <f t="shared" si="102"/>
        <v>-0.29400000000000004</v>
      </c>
      <c r="F3279" s="8">
        <f t="shared" si="103"/>
        <v>-1.4639293897270523E-8</v>
      </c>
    </row>
    <row r="3280" spans="1:6" x14ac:dyDescent="0.2">
      <c r="A3280">
        <v>27</v>
      </c>
      <c r="B3280" t="s">
        <v>1152</v>
      </c>
      <c r="C3280" t="s">
        <v>1065</v>
      </c>
      <c r="D3280" s="8">
        <v>2.9068584424250002E-4</v>
      </c>
      <c r="E3280" s="6">
        <f t="shared" si="102"/>
        <v>0.68300000000000005</v>
      </c>
      <c r="F3280" s="8">
        <f t="shared" si="103"/>
        <v>1.9853843161762752E-4</v>
      </c>
    </row>
    <row r="3281" spans="1:6" x14ac:dyDescent="0.2">
      <c r="A3281">
        <v>27</v>
      </c>
      <c r="B3281" t="s">
        <v>1152</v>
      </c>
      <c r="C3281" t="s">
        <v>1066</v>
      </c>
      <c r="D3281" s="8">
        <v>3.2580342207990999E-3</v>
      </c>
      <c r="E3281" s="6">
        <f t="shared" si="102"/>
        <v>0.20900000000000007</v>
      </c>
      <c r="F3281" s="8">
        <f t="shared" si="103"/>
        <v>6.8092915214701215E-4</v>
      </c>
    </row>
    <row r="3282" spans="1:6" x14ac:dyDescent="0.2">
      <c r="A3282">
        <v>27</v>
      </c>
      <c r="B3282" t="s">
        <v>1152</v>
      </c>
      <c r="C3282" t="s">
        <v>1067</v>
      </c>
      <c r="D3282" s="8">
        <v>6.5517785075503576E-9</v>
      </c>
      <c r="E3282" s="6">
        <f t="shared" si="102"/>
        <v>0.17700000000000005</v>
      </c>
      <c r="F3282" s="8">
        <f t="shared" si="103"/>
        <v>1.1596647958364137E-9</v>
      </c>
    </row>
    <row r="3283" spans="1:6" x14ac:dyDescent="0.2">
      <c r="A3283">
        <v>27</v>
      </c>
      <c r="B3283" t="s">
        <v>1152</v>
      </c>
      <c r="C3283" t="s">
        <v>1106</v>
      </c>
      <c r="D3283" s="8">
        <v>2.2676769423459999E-4</v>
      </c>
      <c r="E3283" s="6">
        <f t="shared" si="102"/>
        <v>0</v>
      </c>
      <c r="F3283" s="8">
        <f t="shared" si="103"/>
        <v>0</v>
      </c>
    </row>
    <row r="3284" spans="1:6" x14ac:dyDescent="0.2">
      <c r="A3284">
        <v>27</v>
      </c>
      <c r="B3284" t="s">
        <v>1152</v>
      </c>
      <c r="C3284" t="s">
        <v>1069</v>
      </c>
      <c r="D3284" s="8">
        <v>9.6749674251836145E-5</v>
      </c>
      <c r="E3284" s="6">
        <f t="shared" si="102"/>
        <v>-0.13199999999999967</v>
      </c>
      <c r="F3284" s="8">
        <f t="shared" si="103"/>
        <v>-1.2770957001242339E-5</v>
      </c>
    </row>
    <row r="3285" spans="1:6" x14ac:dyDescent="0.2">
      <c r="A3285">
        <v>27</v>
      </c>
      <c r="B3285" t="s">
        <v>1152</v>
      </c>
      <c r="C3285" t="s">
        <v>1070</v>
      </c>
      <c r="D3285" s="8">
        <v>1.0208348368661141E-5</v>
      </c>
      <c r="E3285" s="6">
        <f t="shared" si="102"/>
        <v>-2.5</v>
      </c>
      <c r="F3285" s="8">
        <f t="shared" si="103"/>
        <v>-2.5520870921652853E-5</v>
      </c>
    </row>
    <row r="3286" spans="1:6" x14ac:dyDescent="0.2">
      <c r="A3286">
        <v>27</v>
      </c>
      <c r="B3286" t="s">
        <v>1152</v>
      </c>
      <c r="C3286" t="s">
        <v>1071</v>
      </c>
      <c r="D3286" s="8">
        <v>4.7142849081630001E-4</v>
      </c>
      <c r="E3286" s="6">
        <f t="shared" si="102"/>
        <v>-0.8</v>
      </c>
      <c r="F3286" s="8">
        <f t="shared" si="103"/>
        <v>-3.7714279265304001E-4</v>
      </c>
    </row>
    <row r="3287" spans="1:6" x14ac:dyDescent="0.2">
      <c r="A3287">
        <v>27</v>
      </c>
      <c r="B3287" t="s">
        <v>1152</v>
      </c>
      <c r="C3287" t="s">
        <v>1072</v>
      </c>
      <c r="D3287" s="8">
        <v>0.12893754395511339</v>
      </c>
      <c r="E3287" s="6">
        <f t="shared" si="102"/>
        <v>0.55599999999999983</v>
      </c>
      <c r="F3287" s="8">
        <f t="shared" si="103"/>
        <v>7.1689274439043021E-2</v>
      </c>
    </row>
    <row r="3288" spans="1:6" x14ac:dyDescent="0.2">
      <c r="A3288">
        <v>27</v>
      </c>
      <c r="B3288" t="s">
        <v>1152</v>
      </c>
      <c r="C3288" t="s">
        <v>1073</v>
      </c>
      <c r="D3288" s="8">
        <v>7.5139543541893828E-6</v>
      </c>
      <c r="E3288" s="6">
        <f t="shared" si="102"/>
        <v>0.69200000000000017</v>
      </c>
      <c r="F3288" s="8">
        <f t="shared" si="103"/>
        <v>5.1996564130990543E-6</v>
      </c>
    </row>
    <row r="3289" spans="1:6" x14ac:dyDescent="0.2">
      <c r="A3289">
        <v>27</v>
      </c>
      <c r="B3289" t="s">
        <v>1152</v>
      </c>
      <c r="C3289" t="s">
        <v>1074</v>
      </c>
      <c r="D3289" s="8">
        <v>5.4825258964778777E-5</v>
      </c>
      <c r="E3289" s="6">
        <f t="shared" si="102"/>
        <v>9.5</v>
      </c>
      <c r="F3289" s="8">
        <f t="shared" si="103"/>
        <v>5.2083996016539841E-4</v>
      </c>
    </row>
    <row r="3290" spans="1:6" x14ac:dyDescent="0.2">
      <c r="A3290">
        <v>27</v>
      </c>
      <c r="B3290" t="s">
        <v>1152</v>
      </c>
      <c r="C3290" t="s">
        <v>1107</v>
      </c>
      <c r="D3290" s="8">
        <v>2.1621131146056489E-7</v>
      </c>
      <c r="E3290" s="6">
        <f t="shared" si="102"/>
        <v>0</v>
      </c>
      <c r="F3290" s="8">
        <f t="shared" si="103"/>
        <v>0</v>
      </c>
    </row>
    <row r="3291" spans="1:6" x14ac:dyDescent="0.2">
      <c r="A3291">
        <v>27</v>
      </c>
      <c r="B3291" t="s">
        <v>1152</v>
      </c>
      <c r="C3291" t="s">
        <v>1075</v>
      </c>
      <c r="D3291" s="8">
        <v>2.4490148997635E-3</v>
      </c>
      <c r="E3291" s="6">
        <f t="shared" si="102"/>
        <v>3.0529999999999999</v>
      </c>
      <c r="F3291" s="8">
        <f t="shared" si="103"/>
        <v>7.4768424889779658E-3</v>
      </c>
    </row>
    <row r="3292" spans="1:6" x14ac:dyDescent="0.2">
      <c r="A3292">
        <v>27</v>
      </c>
      <c r="B3292" t="s">
        <v>1152</v>
      </c>
      <c r="C3292" t="s">
        <v>1076</v>
      </c>
      <c r="D3292" s="8">
        <v>9.4875046626363278E-7</v>
      </c>
      <c r="E3292" s="6">
        <f t="shared" si="102"/>
        <v>1.4060000000000001</v>
      </c>
      <c r="F3292" s="8">
        <f t="shared" si="103"/>
        <v>1.3339431555666678E-6</v>
      </c>
    </row>
    <row r="3293" spans="1:6" x14ac:dyDescent="0.2">
      <c r="A3293">
        <v>27</v>
      </c>
      <c r="B3293" t="s">
        <v>1152</v>
      </c>
      <c r="C3293" t="s">
        <v>1133</v>
      </c>
      <c r="D3293" s="8">
        <v>9.3427051161966603E-8</v>
      </c>
      <c r="E3293" s="6">
        <f t="shared" si="102"/>
        <v>0</v>
      </c>
      <c r="F3293" s="8">
        <f t="shared" si="103"/>
        <v>0</v>
      </c>
    </row>
    <row r="3294" spans="1:6" x14ac:dyDescent="0.2">
      <c r="A3294">
        <v>27</v>
      </c>
      <c r="B3294" t="s">
        <v>1152</v>
      </c>
      <c r="C3294" t="s">
        <v>1077</v>
      </c>
      <c r="D3294" s="8">
        <v>2.034025844783039E-7</v>
      </c>
      <c r="E3294" s="6">
        <f t="shared" si="102"/>
        <v>0.63200000000000012</v>
      </c>
      <c r="F3294" s="8">
        <f t="shared" si="103"/>
        <v>1.2855043339028809E-7</v>
      </c>
    </row>
    <row r="3295" spans="1:6" x14ac:dyDescent="0.2">
      <c r="A3295">
        <v>27</v>
      </c>
      <c r="B3295" t="s">
        <v>1152</v>
      </c>
      <c r="C3295" t="s">
        <v>1078</v>
      </c>
      <c r="D3295" s="8">
        <v>5.9202945085900279E-5</v>
      </c>
      <c r="E3295" s="6">
        <f t="shared" si="102"/>
        <v>0.5</v>
      </c>
      <c r="F3295" s="8">
        <f t="shared" si="103"/>
        <v>2.960147254295014E-5</v>
      </c>
    </row>
    <row r="3296" spans="1:6" x14ac:dyDescent="0.2">
      <c r="A3296">
        <v>27</v>
      </c>
      <c r="B3296" t="s">
        <v>1152</v>
      </c>
      <c r="C3296" t="s">
        <v>1079</v>
      </c>
      <c r="D3296" s="8">
        <v>1.0329291964443E-3</v>
      </c>
      <c r="E3296" s="6">
        <f t="shared" si="102"/>
        <v>-0.28899999999999992</v>
      </c>
      <c r="F3296" s="8">
        <f t="shared" si="103"/>
        <v>-2.9851653777240259E-4</v>
      </c>
    </row>
    <row r="3299" spans="1:5" x14ac:dyDescent="0.2">
      <c r="A3299" s="10" t="s">
        <v>1153</v>
      </c>
    </row>
    <row r="3300" spans="1:5" ht="30" customHeight="1" x14ac:dyDescent="0.2">
      <c r="A3300" s="5" t="s">
        <v>1083</v>
      </c>
      <c r="B3300" s="5" t="s">
        <v>1084</v>
      </c>
      <c r="C3300" s="5" t="s">
        <v>1154</v>
      </c>
      <c r="D3300" s="5" t="s">
        <v>1155</v>
      </c>
      <c r="E3300" s="5" t="s">
        <v>1156</v>
      </c>
    </row>
    <row r="3301" spans="1:5" x14ac:dyDescent="0.2">
      <c r="A3301">
        <v>2</v>
      </c>
      <c r="B3301" t="s">
        <v>1089</v>
      </c>
      <c r="C3301" s="8">
        <f t="shared" ref="C3301:C3323" si="104">SUMIF($A$190:$A$3296,A3301,$F$190:$F$3296)</f>
        <v>-0.87800090903245132</v>
      </c>
      <c r="D3301" s="8">
        <v>-0.8780009090324512</v>
      </c>
      <c r="E3301" s="9">
        <f t="shared" ref="E3301:E3323" si="105">C3301-D3301</f>
        <v>0</v>
      </c>
    </row>
    <row r="3302" spans="1:5" x14ac:dyDescent="0.2">
      <c r="A3302">
        <v>3</v>
      </c>
      <c r="B3302" t="s">
        <v>1096</v>
      </c>
      <c r="C3302" s="8">
        <f t="shared" si="104"/>
        <v>0.22714337365315951</v>
      </c>
      <c r="D3302" s="8">
        <v>0.22714337365315951</v>
      </c>
      <c r="E3302" s="9">
        <f t="shared" si="105"/>
        <v>0</v>
      </c>
    </row>
    <row r="3303" spans="1:5" x14ac:dyDescent="0.2">
      <c r="A3303">
        <v>6</v>
      </c>
      <c r="B3303" t="s">
        <v>1101</v>
      </c>
      <c r="C3303" s="8">
        <f t="shared" si="104"/>
        <v>0.16702106559025826</v>
      </c>
      <c r="D3303" s="8">
        <v>0.1670210655902582</v>
      </c>
      <c r="E3303" s="9">
        <f t="shared" si="105"/>
        <v>0</v>
      </c>
    </row>
    <row r="3304" spans="1:5" x14ac:dyDescent="0.2">
      <c r="A3304">
        <v>7</v>
      </c>
      <c r="B3304" t="s">
        <v>1104</v>
      </c>
      <c r="C3304" s="8">
        <f t="shared" si="104"/>
        <v>0.44210939381939074</v>
      </c>
      <c r="D3304" s="8">
        <v>0.44210939381939079</v>
      </c>
      <c r="E3304" s="9">
        <f t="shared" si="105"/>
        <v>0</v>
      </c>
    </row>
    <row r="3305" spans="1:5" x14ac:dyDescent="0.2">
      <c r="A3305">
        <v>8</v>
      </c>
      <c r="B3305" t="s">
        <v>1108</v>
      </c>
      <c r="C3305" s="8">
        <f t="shared" si="104"/>
        <v>0.23018091493544468</v>
      </c>
      <c r="D3305" s="8">
        <v>0.23018091493544471</v>
      </c>
      <c r="E3305" s="9">
        <f t="shared" si="105"/>
        <v>0</v>
      </c>
    </row>
    <row r="3306" spans="1:5" x14ac:dyDescent="0.2">
      <c r="A3306">
        <v>9</v>
      </c>
      <c r="B3306" t="s">
        <v>1109</v>
      </c>
      <c r="C3306" s="8">
        <f t="shared" si="104"/>
        <v>0.93291429789153812</v>
      </c>
      <c r="D3306" s="8">
        <v>0.93291429789153801</v>
      </c>
      <c r="E3306" s="9">
        <f t="shared" si="105"/>
        <v>0</v>
      </c>
    </row>
    <row r="3307" spans="1:5" x14ac:dyDescent="0.2">
      <c r="A3307">
        <v>10</v>
      </c>
      <c r="B3307" t="s">
        <v>1110</v>
      </c>
      <c r="C3307" s="8">
        <f t="shared" si="104"/>
        <v>0.16851768006547058</v>
      </c>
      <c r="D3307" s="8">
        <v>0.1685176800654706</v>
      </c>
      <c r="E3307" s="9">
        <f t="shared" si="105"/>
        <v>0</v>
      </c>
    </row>
    <row r="3308" spans="1:5" x14ac:dyDescent="0.2">
      <c r="A3308">
        <v>12</v>
      </c>
      <c r="B3308" t="s">
        <v>1113</v>
      </c>
      <c r="C3308" s="8">
        <f t="shared" si="104"/>
        <v>0.1532377876717789</v>
      </c>
      <c r="D3308" s="8">
        <v>0.1532377876717789</v>
      </c>
      <c r="E3308" s="9">
        <f t="shared" si="105"/>
        <v>0</v>
      </c>
    </row>
    <row r="3309" spans="1:5" x14ac:dyDescent="0.2">
      <c r="A3309">
        <v>13</v>
      </c>
      <c r="B3309" t="s">
        <v>1125</v>
      </c>
      <c r="C3309" s="8">
        <f t="shared" si="104"/>
        <v>0.29853777293389144</v>
      </c>
      <c r="D3309" s="8">
        <v>0.29853777293389139</v>
      </c>
      <c r="E3309" s="9">
        <f t="shared" si="105"/>
        <v>0</v>
      </c>
    </row>
    <row r="3310" spans="1:5" x14ac:dyDescent="0.2">
      <c r="A3310">
        <v>14</v>
      </c>
      <c r="B3310" t="s">
        <v>1126</v>
      </c>
      <c r="C3310" s="8">
        <f t="shared" si="104"/>
        <v>0.26568894546568822</v>
      </c>
      <c r="D3310" s="8">
        <v>0.26568894546568822</v>
      </c>
      <c r="E3310" s="9">
        <f t="shared" si="105"/>
        <v>0</v>
      </c>
    </row>
    <row r="3311" spans="1:5" x14ac:dyDescent="0.2">
      <c r="A3311">
        <v>15</v>
      </c>
      <c r="B3311" t="s">
        <v>1134</v>
      </c>
      <c r="C3311" s="8">
        <f t="shared" si="104"/>
        <v>0.18490718027000755</v>
      </c>
      <c r="D3311" s="8">
        <v>0.18490718027000749</v>
      </c>
      <c r="E3311" s="9">
        <f t="shared" si="105"/>
        <v>0</v>
      </c>
    </row>
    <row r="3312" spans="1:5" x14ac:dyDescent="0.2">
      <c r="A3312">
        <v>16</v>
      </c>
      <c r="B3312" t="s">
        <v>1136</v>
      </c>
      <c r="C3312" s="8">
        <f t="shared" si="104"/>
        <v>0.10459633874775592</v>
      </c>
      <c r="D3312" s="8">
        <v>0.1045963387477559</v>
      </c>
      <c r="E3312" s="9">
        <f t="shared" si="105"/>
        <v>0</v>
      </c>
    </row>
    <row r="3313" spans="1:5" x14ac:dyDescent="0.2">
      <c r="A3313">
        <v>17</v>
      </c>
      <c r="B3313" t="s">
        <v>1137</v>
      </c>
      <c r="C3313" s="8">
        <f t="shared" si="104"/>
        <v>0.20500714868994657</v>
      </c>
      <c r="D3313" s="8">
        <v>0.2050071486899466</v>
      </c>
      <c r="E3313" s="9">
        <f t="shared" si="105"/>
        <v>0</v>
      </c>
    </row>
    <row r="3314" spans="1:5" x14ac:dyDescent="0.2">
      <c r="A3314">
        <v>18</v>
      </c>
      <c r="B3314" t="s">
        <v>1139</v>
      </c>
      <c r="C3314" s="8">
        <f t="shared" si="104"/>
        <v>-0.1851089682759598</v>
      </c>
      <c r="D3314" s="8">
        <v>-0.1851089682759596</v>
      </c>
      <c r="E3314" s="9">
        <f t="shared" si="105"/>
        <v>0</v>
      </c>
    </row>
    <row r="3315" spans="1:5" x14ac:dyDescent="0.2">
      <c r="A3315">
        <v>19</v>
      </c>
      <c r="B3315" t="s">
        <v>1140</v>
      </c>
      <c r="C3315" s="8">
        <f t="shared" si="104"/>
        <v>0.51443399860041783</v>
      </c>
      <c r="D3315" s="8">
        <v>0.51443399860041772</v>
      </c>
      <c r="E3315" s="9">
        <f t="shared" si="105"/>
        <v>0</v>
      </c>
    </row>
    <row r="3316" spans="1:5" x14ac:dyDescent="0.2">
      <c r="A3316">
        <v>20</v>
      </c>
      <c r="B3316" t="s">
        <v>1141</v>
      </c>
      <c r="C3316" s="8">
        <f t="shared" si="104"/>
        <v>0.267535514792547</v>
      </c>
      <c r="D3316" s="8">
        <v>0.26753551479254689</v>
      </c>
      <c r="E3316" s="9">
        <f t="shared" si="105"/>
        <v>0</v>
      </c>
    </row>
    <row r="3317" spans="1:5" x14ac:dyDescent="0.2">
      <c r="A3317">
        <v>21</v>
      </c>
      <c r="B3317" t="s">
        <v>1143</v>
      </c>
      <c r="C3317" s="8">
        <f t="shared" si="104"/>
        <v>0.23657638184203247</v>
      </c>
      <c r="D3317" s="8">
        <v>0.23657638184203239</v>
      </c>
      <c r="E3317" s="9">
        <f t="shared" si="105"/>
        <v>0</v>
      </c>
    </row>
    <row r="3318" spans="1:5" x14ac:dyDescent="0.2">
      <c r="A3318">
        <v>22</v>
      </c>
      <c r="B3318" t="s">
        <v>1144</v>
      </c>
      <c r="C3318" s="8">
        <f t="shared" si="104"/>
        <v>0.34715884661914409</v>
      </c>
      <c r="D3318" s="8">
        <v>0.3471588466191442</v>
      </c>
      <c r="E3318" s="9">
        <f t="shared" si="105"/>
        <v>0</v>
      </c>
    </row>
    <row r="3319" spans="1:5" x14ac:dyDescent="0.2">
      <c r="A3319">
        <v>23</v>
      </c>
      <c r="B3319" t="s">
        <v>1145</v>
      </c>
      <c r="C3319" s="8">
        <f t="shared" si="104"/>
        <v>0.43978380560475944</v>
      </c>
      <c r="D3319" s="8">
        <v>0.43978380560475949</v>
      </c>
      <c r="E3319" s="9">
        <f t="shared" si="105"/>
        <v>0</v>
      </c>
    </row>
    <row r="3320" spans="1:5" x14ac:dyDescent="0.2">
      <c r="A3320">
        <v>24</v>
      </c>
      <c r="B3320" t="s">
        <v>1149</v>
      </c>
      <c r="C3320" s="8">
        <f t="shared" si="104"/>
        <v>0.29115361796853095</v>
      </c>
      <c r="D3320" s="8">
        <v>0.2911536179685309</v>
      </c>
      <c r="E3320" s="9">
        <f t="shared" si="105"/>
        <v>0</v>
      </c>
    </row>
    <row r="3321" spans="1:5" x14ac:dyDescent="0.2">
      <c r="A3321">
        <v>25</v>
      </c>
      <c r="B3321" t="s">
        <v>1150</v>
      </c>
      <c r="C3321" s="8">
        <f t="shared" si="104"/>
        <v>-0.66666809461103471</v>
      </c>
      <c r="D3321" s="8">
        <v>-0.66666809461103493</v>
      </c>
      <c r="E3321" s="9">
        <f t="shared" si="105"/>
        <v>0</v>
      </c>
    </row>
    <row r="3322" spans="1:5" x14ac:dyDescent="0.2">
      <c r="A3322">
        <v>26</v>
      </c>
      <c r="B3322" t="s">
        <v>1151</v>
      </c>
      <c r="C3322" s="8">
        <f t="shared" si="104"/>
        <v>0.25235239475044124</v>
      </c>
      <c r="D3322" s="8">
        <v>0.25235239475044119</v>
      </c>
      <c r="E3322" s="9">
        <f t="shared" si="105"/>
        <v>0</v>
      </c>
    </row>
    <row r="3323" spans="1:5" x14ac:dyDescent="0.2">
      <c r="A3323">
        <v>27</v>
      </c>
      <c r="B3323" t="s">
        <v>1152</v>
      </c>
      <c r="C3323" s="8">
        <f t="shared" si="104"/>
        <v>6.189839018915181E-2</v>
      </c>
      <c r="D3323" s="8">
        <v>6.1898390189151699E-2</v>
      </c>
      <c r="E3323" s="9">
        <f t="shared" si="105"/>
        <v>1.1102230246251565E-16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22"/>
  <sheetViews>
    <sheetView workbookViewId="0">
      <pane ySplit="5" topLeftCell="A6" activePane="bottomLeft" state="frozen"/>
      <selection pane="bottomLeft" activeCell="C15" sqref="C15"/>
    </sheetView>
  </sheetViews>
  <sheetFormatPr baseColWidth="10" defaultColWidth="8.83203125" defaultRowHeight="15" x14ac:dyDescent="0.2"/>
  <cols>
    <col min="1" max="1" width="20" customWidth="1"/>
    <col min="2" max="2" width="11" customWidth="1"/>
    <col min="3" max="3" width="12" customWidth="1"/>
    <col min="4" max="4" width="15" customWidth="1"/>
    <col min="5" max="5" width="14" customWidth="1"/>
  </cols>
  <sheetData>
    <row r="1" spans="1:5" ht="17" x14ac:dyDescent="0.2">
      <c r="A1" s="1" t="s">
        <v>1157</v>
      </c>
    </row>
    <row r="2" spans="1:5" x14ac:dyDescent="0.2">
      <c r="A2" s="2" t="s">
        <v>1158</v>
      </c>
    </row>
    <row r="4" spans="1:5" x14ac:dyDescent="0.2">
      <c r="A4" s="11" t="s">
        <v>1159</v>
      </c>
    </row>
    <row r="5" spans="1:5" ht="30" customHeight="1" x14ac:dyDescent="0.2">
      <c r="A5" s="5" t="s">
        <v>1160</v>
      </c>
      <c r="B5" s="5" t="s">
        <v>1161</v>
      </c>
      <c r="C5" s="5" t="s">
        <v>1162</v>
      </c>
      <c r="D5" s="5" t="s">
        <v>1163</v>
      </c>
      <c r="E5" s="5" t="s">
        <v>1164</v>
      </c>
    </row>
    <row r="6" spans="1:5" x14ac:dyDescent="0.2">
      <c r="A6" t="s">
        <v>1165</v>
      </c>
      <c r="B6" t="s">
        <v>1166</v>
      </c>
      <c r="C6" s="6">
        <v>4.2</v>
      </c>
    </row>
    <row r="7" spans="1:5" x14ac:dyDescent="0.2">
      <c r="A7" t="s">
        <v>1165</v>
      </c>
      <c r="B7" t="s">
        <v>1167</v>
      </c>
      <c r="C7" s="6">
        <v>19</v>
      </c>
    </row>
    <row r="8" spans="1:5" x14ac:dyDescent="0.2">
      <c r="A8" t="s">
        <v>1165</v>
      </c>
      <c r="B8" t="s">
        <v>1168</v>
      </c>
      <c r="C8" s="6">
        <v>8.9</v>
      </c>
    </row>
    <row r="9" spans="1:5" x14ac:dyDescent="0.2">
      <c r="A9" t="s">
        <v>1165</v>
      </c>
      <c r="B9" t="s">
        <v>1169</v>
      </c>
      <c r="C9" s="6">
        <v>3.1</v>
      </c>
    </row>
    <row r="10" spans="1:5" x14ac:dyDescent="0.2">
      <c r="A10" t="s">
        <v>1165</v>
      </c>
      <c r="B10" t="s">
        <v>1170</v>
      </c>
      <c r="C10" s="6">
        <v>1.1000000000000001</v>
      </c>
    </row>
    <row r="11" spans="1:5" x14ac:dyDescent="0.2">
      <c r="A11" t="s">
        <v>1165</v>
      </c>
      <c r="B11" t="s">
        <v>1171</v>
      </c>
      <c r="C11" s="6">
        <v>4</v>
      </c>
    </row>
    <row r="12" spans="1:5" x14ac:dyDescent="0.2">
      <c r="A12" t="s">
        <v>1165</v>
      </c>
      <c r="B12" t="s">
        <v>1172</v>
      </c>
      <c r="C12" s="6">
        <v>-3.4</v>
      </c>
    </row>
    <row r="13" spans="1:5" x14ac:dyDescent="0.2">
      <c r="A13" t="s">
        <v>1165</v>
      </c>
      <c r="B13" t="s">
        <v>1173</v>
      </c>
      <c r="C13" s="6">
        <v>10.7</v>
      </c>
    </row>
    <row r="14" spans="1:5" x14ac:dyDescent="0.2">
      <c r="A14" t="s">
        <v>1165</v>
      </c>
      <c r="B14" t="s">
        <v>1174</v>
      </c>
      <c r="C14" s="6">
        <v>4.4000000000000004</v>
      </c>
    </row>
    <row r="15" spans="1:5" x14ac:dyDescent="0.2">
      <c r="A15" t="s">
        <v>1165</v>
      </c>
      <c r="B15" t="s">
        <v>1175</v>
      </c>
      <c r="C15" s="6">
        <v>5.8</v>
      </c>
    </row>
    <row r="16" spans="1:5" x14ac:dyDescent="0.2">
      <c r="A16" t="s">
        <v>1165</v>
      </c>
      <c r="B16" t="s">
        <v>1176</v>
      </c>
      <c r="C16" s="6">
        <v>-3.6</v>
      </c>
    </row>
    <row r="17" spans="1:3" x14ac:dyDescent="0.2">
      <c r="A17" t="s">
        <v>1165</v>
      </c>
      <c r="B17" t="s">
        <v>1177</v>
      </c>
      <c r="C17" s="6">
        <v>-18.2</v>
      </c>
    </row>
    <row r="18" spans="1:3" x14ac:dyDescent="0.2">
      <c r="A18" t="s">
        <v>1165</v>
      </c>
      <c r="B18" t="s">
        <v>1178</v>
      </c>
      <c r="C18" s="6">
        <v>-3.1</v>
      </c>
    </row>
    <row r="19" spans="1:3" x14ac:dyDescent="0.2">
      <c r="A19" t="s">
        <v>1165</v>
      </c>
      <c r="B19" t="s">
        <v>1179</v>
      </c>
      <c r="C19" s="6">
        <v>-6.1</v>
      </c>
    </row>
    <row r="20" spans="1:3" x14ac:dyDescent="0.2">
      <c r="A20" t="s">
        <v>1165</v>
      </c>
      <c r="B20" t="s">
        <v>1180</v>
      </c>
      <c r="C20" s="6">
        <v>-0.3</v>
      </c>
    </row>
    <row r="21" spans="1:3" x14ac:dyDescent="0.2">
      <c r="A21" t="s">
        <v>1165</v>
      </c>
      <c r="B21" t="s">
        <v>1181</v>
      </c>
      <c r="C21" s="6">
        <v>3.4</v>
      </c>
    </row>
    <row r="22" spans="1:3" x14ac:dyDescent="0.2">
      <c r="A22" t="s">
        <v>1165</v>
      </c>
      <c r="B22" t="s">
        <v>1182</v>
      </c>
      <c r="C22" s="6">
        <v>8.1999999999999993</v>
      </c>
    </row>
    <row r="23" spans="1:3" x14ac:dyDescent="0.2">
      <c r="A23" t="s">
        <v>1165</v>
      </c>
      <c r="B23" t="s">
        <v>1183</v>
      </c>
      <c r="C23" s="6">
        <v>5.9</v>
      </c>
    </row>
    <row r="24" spans="1:3" x14ac:dyDescent="0.2">
      <c r="A24" t="s">
        <v>1165</v>
      </c>
      <c r="B24" t="s">
        <v>1184</v>
      </c>
      <c r="C24" s="6">
        <v>5.7</v>
      </c>
    </row>
    <row r="25" spans="1:3" x14ac:dyDescent="0.2">
      <c r="A25" t="s">
        <v>1165</v>
      </c>
      <c r="B25" t="s">
        <v>1185</v>
      </c>
      <c r="C25" s="6">
        <v>15.6</v>
      </c>
    </row>
    <row r="26" spans="1:3" x14ac:dyDescent="0.2">
      <c r="A26" t="s">
        <v>1165</v>
      </c>
      <c r="B26" t="s">
        <v>1186</v>
      </c>
      <c r="C26" s="6">
        <v>7.4</v>
      </c>
    </row>
    <row r="27" spans="1:3" x14ac:dyDescent="0.2">
      <c r="A27" t="s">
        <v>1165</v>
      </c>
      <c r="B27" t="s">
        <v>1187</v>
      </c>
      <c r="C27" s="6">
        <v>14.6</v>
      </c>
    </row>
    <row r="28" spans="1:3" x14ac:dyDescent="0.2">
      <c r="A28" t="s">
        <v>1165</v>
      </c>
      <c r="B28" t="s">
        <v>1188</v>
      </c>
      <c r="C28" s="6">
        <v>34.200000000000003</v>
      </c>
    </row>
    <row r="29" spans="1:3" x14ac:dyDescent="0.2">
      <c r="A29" t="s">
        <v>1165</v>
      </c>
      <c r="B29" t="s">
        <v>1189</v>
      </c>
      <c r="C29" s="6">
        <v>23.1</v>
      </c>
    </row>
    <row r="30" spans="1:3" x14ac:dyDescent="0.2">
      <c r="A30" t="s">
        <v>1165</v>
      </c>
      <c r="B30" t="s">
        <v>1190</v>
      </c>
      <c r="C30" s="6">
        <v>8.9</v>
      </c>
    </row>
    <row r="31" spans="1:3" x14ac:dyDescent="0.2">
      <c r="A31" t="s">
        <v>1165</v>
      </c>
      <c r="B31" t="s">
        <v>1191</v>
      </c>
      <c r="C31" s="6">
        <v>0.3</v>
      </c>
    </row>
    <row r="32" spans="1:3" x14ac:dyDescent="0.2">
      <c r="A32" t="s">
        <v>1165</v>
      </c>
      <c r="B32" t="s">
        <v>1192</v>
      </c>
      <c r="C32" s="6">
        <v>-7.9</v>
      </c>
    </row>
    <row r="33" spans="1:3" x14ac:dyDescent="0.2">
      <c r="A33" t="s">
        <v>1165</v>
      </c>
      <c r="B33" t="s">
        <v>1193</v>
      </c>
      <c r="C33" s="6">
        <v>-9.4</v>
      </c>
    </row>
    <row r="34" spans="1:3" x14ac:dyDescent="0.2">
      <c r="A34" t="s">
        <v>1165</v>
      </c>
      <c r="B34" t="s">
        <v>1194</v>
      </c>
      <c r="C34" s="6">
        <v>-11.1</v>
      </c>
    </row>
    <row r="35" spans="1:3" x14ac:dyDescent="0.2">
      <c r="A35" t="s">
        <v>1165</v>
      </c>
      <c r="B35" t="s">
        <v>1195</v>
      </c>
      <c r="C35" s="6">
        <v>0.8</v>
      </c>
    </row>
    <row r="36" spans="1:3" x14ac:dyDescent="0.2">
      <c r="A36" t="s">
        <v>1165</v>
      </c>
      <c r="B36" t="s">
        <v>1196</v>
      </c>
      <c r="C36" s="6">
        <v>2.2000000000000002</v>
      </c>
    </row>
    <row r="37" spans="1:3" x14ac:dyDescent="0.2">
      <c r="A37" t="s">
        <v>1165</v>
      </c>
      <c r="B37" t="s">
        <v>1197</v>
      </c>
      <c r="C37" s="6">
        <v>1.1000000000000001</v>
      </c>
    </row>
    <row r="38" spans="1:3" x14ac:dyDescent="0.2">
      <c r="A38" t="s">
        <v>1165</v>
      </c>
      <c r="B38" t="s">
        <v>1198</v>
      </c>
      <c r="C38" s="6">
        <v>-0.8</v>
      </c>
    </row>
    <row r="39" spans="1:3" x14ac:dyDescent="0.2">
      <c r="A39" t="s">
        <v>1165</v>
      </c>
      <c r="B39" t="s">
        <v>1199</v>
      </c>
      <c r="C39" s="6">
        <v>-5.0999999999999996</v>
      </c>
    </row>
    <row r="40" spans="1:3" x14ac:dyDescent="0.2">
      <c r="A40" t="s">
        <v>1165</v>
      </c>
      <c r="B40" t="s">
        <v>1200</v>
      </c>
      <c r="C40" s="6">
        <v>-18.899999999999999</v>
      </c>
    </row>
    <row r="41" spans="1:3" x14ac:dyDescent="0.2">
      <c r="A41" t="s">
        <v>1165</v>
      </c>
      <c r="B41" t="s">
        <v>1201</v>
      </c>
      <c r="C41" s="6">
        <v>-11.3</v>
      </c>
    </row>
    <row r="42" spans="1:3" x14ac:dyDescent="0.2">
      <c r="A42" t="s">
        <v>1165</v>
      </c>
      <c r="B42" t="s">
        <v>1202</v>
      </c>
      <c r="C42" s="6">
        <v>-1.5</v>
      </c>
    </row>
    <row r="43" spans="1:3" x14ac:dyDescent="0.2">
      <c r="A43" t="s">
        <v>1165</v>
      </c>
      <c r="B43" t="s">
        <v>1203</v>
      </c>
      <c r="C43" s="6">
        <v>4</v>
      </c>
    </row>
    <row r="44" spans="1:3" x14ac:dyDescent="0.2">
      <c r="A44" t="s">
        <v>1165</v>
      </c>
      <c r="B44" t="s">
        <v>1204</v>
      </c>
      <c r="C44" s="6">
        <v>4.4000000000000004</v>
      </c>
    </row>
    <row r="45" spans="1:3" x14ac:dyDescent="0.2">
      <c r="A45" t="s">
        <v>1165</v>
      </c>
      <c r="B45" t="s">
        <v>1205</v>
      </c>
      <c r="C45" s="6">
        <v>6</v>
      </c>
    </row>
    <row r="46" spans="1:3" x14ac:dyDescent="0.2">
      <c r="A46" t="s">
        <v>1165</v>
      </c>
      <c r="B46" t="s">
        <v>1206</v>
      </c>
      <c r="C46" s="6">
        <v>4.7</v>
      </c>
    </row>
    <row r="47" spans="1:3" x14ac:dyDescent="0.2">
      <c r="A47" t="s">
        <v>1165</v>
      </c>
      <c r="B47" t="s">
        <v>1207</v>
      </c>
      <c r="C47" s="6">
        <v>-8.3000000000000007</v>
      </c>
    </row>
    <row r="48" spans="1:3" x14ac:dyDescent="0.2">
      <c r="A48" t="s">
        <v>1165</v>
      </c>
      <c r="B48" t="s">
        <v>1208</v>
      </c>
      <c r="C48" s="6">
        <v>-11.7</v>
      </c>
    </row>
    <row r="49" spans="1:5" x14ac:dyDescent="0.2">
      <c r="A49" t="s">
        <v>1165</v>
      </c>
      <c r="B49" t="s">
        <v>1209</v>
      </c>
      <c r="C49" s="6">
        <v>-14.3</v>
      </c>
    </row>
    <row r="50" spans="1:5" x14ac:dyDescent="0.2">
      <c r="A50" t="s">
        <v>1165</v>
      </c>
      <c r="B50" t="s">
        <v>1210</v>
      </c>
      <c r="C50" s="6">
        <v>-14.6</v>
      </c>
    </row>
    <row r="51" spans="1:5" x14ac:dyDescent="0.2">
      <c r="A51" t="s">
        <v>1165</v>
      </c>
      <c r="B51" t="s">
        <v>1211</v>
      </c>
      <c r="C51" s="6">
        <v>-14.6</v>
      </c>
    </row>
    <row r="52" spans="1:5" x14ac:dyDescent="0.2">
      <c r="A52" t="s">
        <v>1165</v>
      </c>
      <c r="B52" t="s">
        <v>1212</v>
      </c>
      <c r="C52" s="6">
        <v>-6.8</v>
      </c>
    </row>
    <row r="53" spans="1:5" x14ac:dyDescent="0.2">
      <c r="A53" t="s">
        <v>1165</v>
      </c>
      <c r="B53" t="s">
        <v>1213</v>
      </c>
      <c r="C53" s="6">
        <v>-2.2000000000000002</v>
      </c>
    </row>
    <row r="54" spans="1:5" x14ac:dyDescent="0.2">
      <c r="A54" t="s">
        <v>1165</v>
      </c>
      <c r="B54" t="s">
        <v>1214</v>
      </c>
      <c r="C54" s="6">
        <v>-0.7</v>
      </c>
      <c r="D54" s="6">
        <f t="shared" ref="D54:D85" si="0">AVERAGE(C6:C53)</f>
        <v>0.80208333333333337</v>
      </c>
      <c r="E54" s="6">
        <f t="shared" ref="E54:E85" si="1">C54-D54</f>
        <v>-1.5020833333333332</v>
      </c>
    </row>
    <row r="55" spans="1:5" x14ac:dyDescent="0.2">
      <c r="A55" t="s">
        <v>1165</v>
      </c>
      <c r="B55" t="s">
        <v>1215</v>
      </c>
      <c r="C55" s="6">
        <v>-5.0999999999999996</v>
      </c>
      <c r="D55" s="6">
        <f t="shared" si="0"/>
        <v>0.70000000000000073</v>
      </c>
      <c r="E55" s="6">
        <f t="shared" si="1"/>
        <v>-5.8000000000000007</v>
      </c>
    </row>
    <row r="56" spans="1:5" x14ac:dyDescent="0.2">
      <c r="A56" t="s">
        <v>1165</v>
      </c>
      <c r="B56" t="s">
        <v>1216</v>
      </c>
      <c r="C56" s="6">
        <v>5</v>
      </c>
      <c r="D56" s="6">
        <f t="shared" si="0"/>
        <v>0.19791666666666752</v>
      </c>
      <c r="E56" s="6">
        <f t="shared" si="1"/>
        <v>4.8020833333333321</v>
      </c>
    </row>
    <row r="57" spans="1:5" x14ac:dyDescent="0.2">
      <c r="A57" t="s">
        <v>1165</v>
      </c>
      <c r="B57" t="s">
        <v>1217</v>
      </c>
      <c r="C57" s="6">
        <v>-1.7</v>
      </c>
      <c r="D57" s="6">
        <f t="shared" si="0"/>
        <v>0.11666666666666685</v>
      </c>
      <c r="E57" s="6">
        <f t="shared" si="1"/>
        <v>-1.8166666666666669</v>
      </c>
    </row>
    <row r="58" spans="1:5" x14ac:dyDescent="0.2">
      <c r="A58" t="s">
        <v>1165</v>
      </c>
      <c r="B58" t="s">
        <v>1218</v>
      </c>
      <c r="C58" s="6">
        <v>7.6</v>
      </c>
      <c r="D58" s="6">
        <f t="shared" si="0"/>
        <v>1.6666666666666944E-2</v>
      </c>
      <c r="E58" s="6">
        <f t="shared" si="1"/>
        <v>7.583333333333333</v>
      </c>
    </row>
    <row r="59" spans="1:5" x14ac:dyDescent="0.2">
      <c r="A59" t="s">
        <v>1165</v>
      </c>
      <c r="B59" t="s">
        <v>1219</v>
      </c>
      <c r="C59" s="6">
        <v>2</v>
      </c>
      <c r="D59" s="6">
        <f t="shared" si="0"/>
        <v>0.15208333333333371</v>
      </c>
      <c r="E59" s="6">
        <f t="shared" si="1"/>
        <v>1.8479166666666662</v>
      </c>
    </row>
    <row r="60" spans="1:5" x14ac:dyDescent="0.2">
      <c r="A60" t="s">
        <v>1165</v>
      </c>
      <c r="B60" t="s">
        <v>1220</v>
      </c>
      <c r="C60" s="6">
        <v>7.6</v>
      </c>
      <c r="D60" s="6">
        <f t="shared" si="0"/>
        <v>0.11041666666666676</v>
      </c>
      <c r="E60" s="6">
        <f t="shared" si="1"/>
        <v>7.489583333333333</v>
      </c>
    </row>
    <row r="61" spans="1:5" x14ac:dyDescent="0.2">
      <c r="A61" t="s">
        <v>1165</v>
      </c>
      <c r="B61" t="s">
        <v>1221</v>
      </c>
      <c r="C61" s="6">
        <v>15.4</v>
      </c>
      <c r="D61" s="6">
        <f t="shared" si="0"/>
        <v>0.33958333333333296</v>
      </c>
      <c r="E61" s="6">
        <f t="shared" si="1"/>
        <v>15.060416666666667</v>
      </c>
    </row>
    <row r="62" spans="1:5" x14ac:dyDescent="0.2">
      <c r="A62" t="s">
        <v>1165</v>
      </c>
      <c r="B62" t="s">
        <v>1222</v>
      </c>
      <c r="C62" s="6">
        <v>12.1</v>
      </c>
      <c r="D62" s="6">
        <f t="shared" si="0"/>
        <v>0.43749999999999983</v>
      </c>
      <c r="E62" s="6">
        <f t="shared" si="1"/>
        <v>11.6625</v>
      </c>
    </row>
    <row r="63" spans="1:5" x14ac:dyDescent="0.2">
      <c r="A63" t="s">
        <v>1165</v>
      </c>
      <c r="B63" t="s">
        <v>1223</v>
      </c>
      <c r="C63" s="6">
        <v>10.7</v>
      </c>
      <c r="D63" s="6">
        <f t="shared" si="0"/>
        <v>0.59791666666666643</v>
      </c>
      <c r="E63" s="6">
        <f t="shared" si="1"/>
        <v>10.102083333333333</v>
      </c>
    </row>
    <row r="64" spans="1:5" x14ac:dyDescent="0.2">
      <c r="A64" t="s">
        <v>1165</v>
      </c>
      <c r="B64" t="s">
        <v>1224</v>
      </c>
      <c r="C64" s="6">
        <v>12</v>
      </c>
      <c r="D64" s="6">
        <f t="shared" si="0"/>
        <v>0.70000000000000018</v>
      </c>
      <c r="E64" s="6">
        <f t="shared" si="1"/>
        <v>11.3</v>
      </c>
    </row>
    <row r="65" spans="1:5" x14ac:dyDescent="0.2">
      <c r="A65" t="s">
        <v>1165</v>
      </c>
      <c r="B65" t="s">
        <v>1225</v>
      </c>
      <c r="C65" s="6">
        <v>7.8</v>
      </c>
      <c r="D65" s="6">
        <f t="shared" si="0"/>
        <v>1.0250000000000001</v>
      </c>
      <c r="E65" s="6">
        <f t="shared" si="1"/>
        <v>6.7749999999999995</v>
      </c>
    </row>
    <row r="66" spans="1:5" x14ac:dyDescent="0.2">
      <c r="A66" t="s">
        <v>1165</v>
      </c>
      <c r="B66" t="s">
        <v>1226</v>
      </c>
      <c r="C66" s="6">
        <v>2</v>
      </c>
      <c r="D66" s="6">
        <f t="shared" si="0"/>
        <v>1.5666666666666667</v>
      </c>
      <c r="E66" s="6">
        <f t="shared" si="1"/>
        <v>0.43333333333333335</v>
      </c>
    </row>
    <row r="67" spans="1:5" x14ac:dyDescent="0.2">
      <c r="A67" t="s">
        <v>1165</v>
      </c>
      <c r="B67" t="s">
        <v>1227</v>
      </c>
      <c r="C67" s="6">
        <v>3.5</v>
      </c>
      <c r="D67" s="6">
        <f t="shared" si="0"/>
        <v>1.6729166666666666</v>
      </c>
      <c r="E67" s="6">
        <f t="shared" si="1"/>
        <v>1.8270833333333334</v>
      </c>
    </row>
    <row r="68" spans="1:5" x14ac:dyDescent="0.2">
      <c r="A68" t="s">
        <v>1165</v>
      </c>
      <c r="B68" t="s">
        <v>1228</v>
      </c>
      <c r="C68" s="6">
        <v>4.5999999999999996</v>
      </c>
      <c r="D68" s="6">
        <f t="shared" si="0"/>
        <v>1.872916666666667</v>
      </c>
      <c r="E68" s="6">
        <f t="shared" si="1"/>
        <v>2.7270833333333329</v>
      </c>
    </row>
    <row r="69" spans="1:5" x14ac:dyDescent="0.2">
      <c r="A69" t="s">
        <v>1165</v>
      </c>
      <c r="B69" t="s">
        <v>1229</v>
      </c>
      <c r="C69" s="6">
        <v>10.3</v>
      </c>
      <c r="D69" s="6">
        <f t="shared" si="0"/>
        <v>1.9749999999999999</v>
      </c>
      <c r="E69" s="6">
        <f t="shared" si="1"/>
        <v>8.3250000000000011</v>
      </c>
    </row>
    <row r="70" spans="1:5" x14ac:dyDescent="0.2">
      <c r="A70" t="s">
        <v>1165</v>
      </c>
      <c r="B70" t="s">
        <v>1230</v>
      </c>
      <c r="C70" s="6">
        <v>3</v>
      </c>
      <c r="D70" s="6">
        <f t="shared" si="0"/>
        <v>2.1187499999999999</v>
      </c>
      <c r="E70" s="6">
        <f t="shared" si="1"/>
        <v>0.88125000000000009</v>
      </c>
    </row>
    <row r="71" spans="1:5" x14ac:dyDescent="0.2">
      <c r="A71" t="s">
        <v>1165</v>
      </c>
      <c r="B71" t="s">
        <v>1231</v>
      </c>
      <c r="C71" s="6">
        <v>4.5999999999999996</v>
      </c>
      <c r="D71" s="6">
        <f t="shared" si="0"/>
        <v>2.0104166666666665</v>
      </c>
      <c r="E71" s="6">
        <f t="shared" si="1"/>
        <v>2.5895833333333331</v>
      </c>
    </row>
    <row r="72" spans="1:5" x14ac:dyDescent="0.2">
      <c r="A72" t="s">
        <v>1165</v>
      </c>
      <c r="B72" t="s">
        <v>1232</v>
      </c>
      <c r="C72" s="6">
        <v>3.7</v>
      </c>
      <c r="D72" s="6">
        <f t="shared" si="0"/>
        <v>1.9833333333333327</v>
      </c>
      <c r="E72" s="6">
        <f t="shared" si="1"/>
        <v>1.7166666666666675</v>
      </c>
    </row>
    <row r="73" spans="1:5" x14ac:dyDescent="0.2">
      <c r="A73" t="s">
        <v>1165</v>
      </c>
      <c r="B73" t="s">
        <v>1233</v>
      </c>
      <c r="C73" s="6">
        <v>-1.7</v>
      </c>
      <c r="D73" s="6">
        <f t="shared" si="0"/>
        <v>1.9416666666666664</v>
      </c>
      <c r="E73" s="6">
        <f t="shared" si="1"/>
        <v>-3.6416666666666666</v>
      </c>
    </row>
    <row r="74" spans="1:5" x14ac:dyDescent="0.2">
      <c r="A74" t="s">
        <v>1165</v>
      </c>
      <c r="B74" t="s">
        <v>1234</v>
      </c>
      <c r="C74" s="6">
        <v>0.9</v>
      </c>
      <c r="D74" s="6">
        <f t="shared" si="0"/>
        <v>1.5812499999999998</v>
      </c>
      <c r="E74" s="6">
        <f t="shared" si="1"/>
        <v>-0.6812499999999998</v>
      </c>
    </row>
    <row r="75" spans="1:5" x14ac:dyDescent="0.2">
      <c r="A75" t="s">
        <v>1165</v>
      </c>
      <c r="B75" t="s">
        <v>1235</v>
      </c>
      <c r="C75" s="6">
        <v>-1.8</v>
      </c>
      <c r="D75" s="6">
        <f t="shared" si="0"/>
        <v>1.4458333333333335</v>
      </c>
      <c r="E75" s="6">
        <f t="shared" si="1"/>
        <v>-3.2458333333333336</v>
      </c>
    </row>
    <row r="76" spans="1:5" x14ac:dyDescent="0.2">
      <c r="A76" t="s">
        <v>1165</v>
      </c>
      <c r="B76" t="s">
        <v>1236</v>
      </c>
      <c r="C76" s="6">
        <v>0.3</v>
      </c>
      <c r="D76" s="6">
        <f t="shared" si="0"/>
        <v>1.1041666666666667</v>
      </c>
      <c r="E76" s="6">
        <f t="shared" si="1"/>
        <v>-0.8041666666666667</v>
      </c>
    </row>
    <row r="77" spans="1:5" x14ac:dyDescent="0.2">
      <c r="A77" t="s">
        <v>1165</v>
      </c>
      <c r="B77" t="s">
        <v>1237</v>
      </c>
      <c r="C77" s="6">
        <v>3.1</v>
      </c>
      <c r="D77" s="6">
        <f t="shared" si="0"/>
        <v>0.39791666666666642</v>
      </c>
      <c r="E77" s="6">
        <f t="shared" si="1"/>
        <v>2.7020833333333338</v>
      </c>
    </row>
    <row r="78" spans="1:5" x14ac:dyDescent="0.2">
      <c r="A78" t="s">
        <v>1165</v>
      </c>
      <c r="B78" t="s">
        <v>1238</v>
      </c>
      <c r="C78" s="6">
        <v>5.6</v>
      </c>
      <c r="D78" s="6">
        <f t="shared" si="0"/>
        <v>-1.875000000000009E-2</v>
      </c>
      <c r="E78" s="6">
        <f t="shared" si="1"/>
        <v>5.6187499999999995</v>
      </c>
    </row>
    <row r="79" spans="1:5" x14ac:dyDescent="0.2">
      <c r="A79" t="s">
        <v>1165</v>
      </c>
      <c r="B79" t="s">
        <v>1239</v>
      </c>
      <c r="C79" s="6">
        <v>2.2000000000000002</v>
      </c>
      <c r="D79" s="6">
        <f t="shared" si="0"/>
        <v>-8.749999999999987E-2</v>
      </c>
      <c r="E79" s="6">
        <f t="shared" si="1"/>
        <v>2.2875000000000001</v>
      </c>
    </row>
    <row r="80" spans="1:5" x14ac:dyDescent="0.2">
      <c r="A80" t="s">
        <v>1165</v>
      </c>
      <c r="B80" t="s">
        <v>1240</v>
      </c>
      <c r="C80" s="6">
        <v>5.2</v>
      </c>
      <c r="D80" s="6">
        <f t="shared" si="0"/>
        <v>-4.7916666666666476E-2</v>
      </c>
      <c r="E80" s="6">
        <f t="shared" si="1"/>
        <v>5.2479166666666668</v>
      </c>
    </row>
    <row r="81" spans="1:5" x14ac:dyDescent="0.2">
      <c r="A81" t="s">
        <v>1165</v>
      </c>
      <c r="B81" t="s">
        <v>1241</v>
      </c>
      <c r="C81" s="6">
        <v>0.4</v>
      </c>
      <c r="D81" s="6">
        <f t="shared" si="0"/>
        <v>0.22499999999999995</v>
      </c>
      <c r="E81" s="6">
        <f t="shared" si="1"/>
        <v>0.17500000000000007</v>
      </c>
    </row>
    <row r="82" spans="1:5" x14ac:dyDescent="0.2">
      <c r="A82" t="s">
        <v>1165</v>
      </c>
      <c r="B82" t="s">
        <v>1242</v>
      </c>
      <c r="C82" s="6">
        <v>3.7</v>
      </c>
      <c r="D82" s="6">
        <f t="shared" si="0"/>
        <v>0.42916666666666675</v>
      </c>
      <c r="E82" s="6">
        <f t="shared" si="1"/>
        <v>3.2708333333333335</v>
      </c>
    </row>
    <row r="83" spans="1:5" x14ac:dyDescent="0.2">
      <c r="A83" t="s">
        <v>1165</v>
      </c>
      <c r="B83" t="s">
        <v>1243</v>
      </c>
      <c r="C83" s="6">
        <v>5.6</v>
      </c>
      <c r="D83" s="6">
        <f t="shared" si="0"/>
        <v>0.73749999999999971</v>
      </c>
      <c r="E83" s="6">
        <f t="shared" si="1"/>
        <v>4.8624999999999998</v>
      </c>
    </row>
    <row r="84" spans="1:5" x14ac:dyDescent="0.2">
      <c r="A84" t="s">
        <v>1165</v>
      </c>
      <c r="B84" t="s">
        <v>1244</v>
      </c>
      <c r="C84" s="6">
        <v>3.4</v>
      </c>
      <c r="D84" s="6">
        <f t="shared" si="0"/>
        <v>0.83750000000000002</v>
      </c>
      <c r="E84" s="6">
        <f t="shared" si="1"/>
        <v>2.5625</v>
      </c>
    </row>
    <row r="85" spans="1:5" x14ac:dyDescent="0.2">
      <c r="A85" t="s">
        <v>1165</v>
      </c>
      <c r="B85" t="s">
        <v>1245</v>
      </c>
      <c r="C85" s="6">
        <v>4.3</v>
      </c>
      <c r="D85" s="6">
        <f t="shared" si="0"/>
        <v>0.86249999999999993</v>
      </c>
      <c r="E85" s="6">
        <f t="shared" si="1"/>
        <v>3.4375</v>
      </c>
    </row>
    <row r="86" spans="1:5" x14ac:dyDescent="0.2">
      <c r="A86" t="s">
        <v>1165</v>
      </c>
      <c r="B86" t="s">
        <v>1246</v>
      </c>
      <c r="C86" s="6">
        <v>7.5</v>
      </c>
      <c r="D86" s="6">
        <f t="shared" ref="D86:D117" si="2">AVERAGE(C38:C85)</f>
        <v>0.92916666666666659</v>
      </c>
      <c r="E86" s="6">
        <f t="shared" ref="E86:E117" si="3">C86-D86</f>
        <v>6.5708333333333337</v>
      </c>
    </row>
    <row r="87" spans="1:5" x14ac:dyDescent="0.2">
      <c r="A87" t="s">
        <v>1165</v>
      </c>
      <c r="B87" t="s">
        <v>1247</v>
      </c>
      <c r="C87" s="6">
        <v>10.9</v>
      </c>
      <c r="D87" s="6">
        <f t="shared" si="2"/>
        <v>1.1020833333333333</v>
      </c>
      <c r="E87" s="6">
        <f t="shared" si="3"/>
        <v>9.7979166666666675</v>
      </c>
    </row>
    <row r="88" spans="1:5" x14ac:dyDescent="0.2">
      <c r="A88" t="s">
        <v>1165</v>
      </c>
      <c r="B88" t="s">
        <v>1248</v>
      </c>
      <c r="C88" s="6">
        <v>14.4</v>
      </c>
      <c r="D88" s="6">
        <f t="shared" si="2"/>
        <v>1.4354166666666666</v>
      </c>
      <c r="E88" s="6">
        <f t="shared" si="3"/>
        <v>12.964583333333334</v>
      </c>
    </row>
    <row r="89" spans="1:5" x14ac:dyDescent="0.2">
      <c r="A89" t="s">
        <v>1165</v>
      </c>
      <c r="B89" t="s">
        <v>1249</v>
      </c>
      <c r="C89" s="6">
        <v>21.5</v>
      </c>
      <c r="D89" s="6">
        <f t="shared" si="2"/>
        <v>2.1291666666666669</v>
      </c>
      <c r="E89" s="6">
        <f t="shared" si="3"/>
        <v>19.370833333333334</v>
      </c>
    </row>
    <row r="90" spans="1:5" x14ac:dyDescent="0.2">
      <c r="A90" t="s">
        <v>1165</v>
      </c>
      <c r="B90" t="s">
        <v>1250</v>
      </c>
      <c r="C90" s="6">
        <v>26.5</v>
      </c>
      <c r="D90" s="6">
        <f t="shared" si="2"/>
        <v>2.8125</v>
      </c>
      <c r="E90" s="6">
        <f t="shared" si="3"/>
        <v>23.6875</v>
      </c>
    </row>
    <row r="91" spans="1:5" x14ac:dyDescent="0.2">
      <c r="A91" t="s">
        <v>1165</v>
      </c>
      <c r="B91" t="s">
        <v>1251</v>
      </c>
      <c r="C91" s="6">
        <v>14.5</v>
      </c>
      <c r="D91" s="6">
        <f t="shared" si="2"/>
        <v>3.3958333333333335</v>
      </c>
      <c r="E91" s="6">
        <f t="shared" si="3"/>
        <v>11.104166666666666</v>
      </c>
    </row>
    <row r="92" spans="1:5" x14ac:dyDescent="0.2">
      <c r="A92" t="s">
        <v>1165</v>
      </c>
      <c r="B92" t="s">
        <v>1252</v>
      </c>
      <c r="C92" s="6">
        <v>3.6</v>
      </c>
      <c r="D92" s="6">
        <f t="shared" si="2"/>
        <v>3.6145833333333335</v>
      </c>
      <c r="E92" s="6">
        <f t="shared" si="3"/>
        <v>-1.4583333333333393E-2</v>
      </c>
    </row>
    <row r="93" spans="1:5" x14ac:dyDescent="0.2">
      <c r="A93" t="s">
        <v>1165</v>
      </c>
      <c r="B93" t="s">
        <v>1253</v>
      </c>
      <c r="C93" s="6">
        <v>1</v>
      </c>
      <c r="D93" s="6">
        <f t="shared" si="2"/>
        <v>3.5979166666666669</v>
      </c>
      <c r="E93" s="6">
        <f t="shared" si="3"/>
        <v>-2.5979166666666669</v>
      </c>
    </row>
    <row r="94" spans="1:5" x14ac:dyDescent="0.2">
      <c r="A94" t="s">
        <v>1165</v>
      </c>
      <c r="B94" t="s">
        <v>1254</v>
      </c>
      <c r="C94" s="6">
        <v>-8.8000000000000007</v>
      </c>
      <c r="D94" s="6">
        <f t="shared" si="2"/>
        <v>3.4937500000000004</v>
      </c>
      <c r="E94" s="6">
        <f t="shared" si="3"/>
        <v>-12.293750000000001</v>
      </c>
    </row>
    <row r="95" spans="1:5" x14ac:dyDescent="0.2">
      <c r="A95" t="s">
        <v>1165</v>
      </c>
      <c r="B95" t="s">
        <v>1255</v>
      </c>
      <c r="C95" s="6">
        <v>-3.9</v>
      </c>
      <c r="D95" s="6">
        <f t="shared" si="2"/>
        <v>3.2124999999999999</v>
      </c>
      <c r="E95" s="6">
        <f t="shared" si="3"/>
        <v>-7.1124999999999998</v>
      </c>
    </row>
    <row r="96" spans="1:5" x14ac:dyDescent="0.2">
      <c r="A96" t="s">
        <v>1165</v>
      </c>
      <c r="B96" t="s">
        <v>1256</v>
      </c>
      <c r="C96" s="6">
        <v>-10.8</v>
      </c>
      <c r="D96" s="6">
        <f t="shared" si="2"/>
        <v>3.3041666666666667</v>
      </c>
      <c r="E96" s="6">
        <f t="shared" si="3"/>
        <v>-14.104166666666668</v>
      </c>
    </row>
    <row r="97" spans="1:5" x14ac:dyDescent="0.2">
      <c r="A97" t="s">
        <v>1165</v>
      </c>
      <c r="B97" t="s">
        <v>1257</v>
      </c>
      <c r="C97" s="6">
        <v>-9.8000000000000007</v>
      </c>
      <c r="D97" s="6">
        <f t="shared" si="2"/>
        <v>3.3229166666666665</v>
      </c>
      <c r="E97" s="6">
        <f t="shared" si="3"/>
        <v>-13.122916666666667</v>
      </c>
    </row>
    <row r="98" spans="1:5" x14ac:dyDescent="0.2">
      <c r="A98" t="s">
        <v>1165</v>
      </c>
      <c r="B98" t="s">
        <v>1258</v>
      </c>
      <c r="C98" s="6">
        <v>-10.6</v>
      </c>
      <c r="D98" s="6">
        <f t="shared" si="2"/>
        <v>3.4166666666666656</v>
      </c>
      <c r="E98" s="6">
        <f t="shared" si="3"/>
        <v>-14.016666666666666</v>
      </c>
    </row>
    <row r="99" spans="1:5" x14ac:dyDescent="0.2">
      <c r="A99" t="s">
        <v>1165</v>
      </c>
      <c r="B99" t="s">
        <v>1259</v>
      </c>
      <c r="C99" s="6">
        <v>-12</v>
      </c>
      <c r="D99" s="6">
        <f t="shared" si="2"/>
        <v>3.4999999999999996</v>
      </c>
      <c r="E99" s="6">
        <f t="shared" si="3"/>
        <v>-15.5</v>
      </c>
    </row>
    <row r="100" spans="1:5" x14ac:dyDescent="0.2">
      <c r="A100" t="s">
        <v>1165</v>
      </c>
      <c r="B100" t="s">
        <v>1260</v>
      </c>
      <c r="C100" s="6">
        <v>-19.600000000000001</v>
      </c>
      <c r="D100" s="6">
        <f t="shared" si="2"/>
        <v>3.5541666666666658</v>
      </c>
      <c r="E100" s="6">
        <f t="shared" si="3"/>
        <v>-23.154166666666669</v>
      </c>
    </row>
    <row r="101" spans="1:5" x14ac:dyDescent="0.2">
      <c r="A101" t="s">
        <v>1165</v>
      </c>
      <c r="B101" t="s">
        <v>1261</v>
      </c>
      <c r="C101" s="6">
        <v>-3.2</v>
      </c>
      <c r="D101" s="6">
        <f t="shared" si="2"/>
        <v>3.2874999999999996</v>
      </c>
      <c r="E101" s="6">
        <f t="shared" si="3"/>
        <v>-6.4874999999999998</v>
      </c>
    </row>
    <row r="102" spans="1:5" x14ac:dyDescent="0.2">
      <c r="A102" t="s">
        <v>1165</v>
      </c>
      <c r="B102" t="s">
        <v>1262</v>
      </c>
      <c r="C102" s="6">
        <v>-16.8</v>
      </c>
      <c r="D102" s="6">
        <f t="shared" si="2"/>
        <v>3.2666666666666662</v>
      </c>
      <c r="E102" s="6">
        <f t="shared" si="3"/>
        <v>-20.066666666666666</v>
      </c>
    </row>
    <row r="103" spans="1:5" x14ac:dyDescent="0.2">
      <c r="A103" t="s">
        <v>1165</v>
      </c>
      <c r="B103" t="s">
        <v>1263</v>
      </c>
      <c r="C103" s="6">
        <v>-20.5</v>
      </c>
      <c r="D103" s="6">
        <f t="shared" si="2"/>
        <v>2.9312499999999999</v>
      </c>
      <c r="E103" s="6">
        <f t="shared" si="3"/>
        <v>-23.431249999999999</v>
      </c>
    </row>
    <row r="104" spans="1:5" x14ac:dyDescent="0.2">
      <c r="A104" t="s">
        <v>1165</v>
      </c>
      <c r="B104" t="s">
        <v>1264</v>
      </c>
      <c r="C104" s="6">
        <v>-48.5</v>
      </c>
      <c r="D104" s="6">
        <f t="shared" si="2"/>
        <v>2.6104166666666662</v>
      </c>
      <c r="E104" s="6">
        <f t="shared" si="3"/>
        <v>-51.110416666666666</v>
      </c>
    </row>
    <row r="105" spans="1:5" x14ac:dyDescent="0.2">
      <c r="A105" t="s">
        <v>1165</v>
      </c>
      <c r="B105" t="s">
        <v>1265</v>
      </c>
      <c r="C105" s="6">
        <v>-53.7</v>
      </c>
      <c r="D105" s="6">
        <f t="shared" si="2"/>
        <v>1.4958333333333329</v>
      </c>
      <c r="E105" s="6">
        <f t="shared" si="3"/>
        <v>-55.195833333333333</v>
      </c>
    </row>
    <row r="106" spans="1:5" x14ac:dyDescent="0.2">
      <c r="A106" t="s">
        <v>1165</v>
      </c>
      <c r="B106" t="s">
        <v>1266</v>
      </c>
      <c r="C106" s="6">
        <v>-44.6</v>
      </c>
      <c r="D106" s="6">
        <f t="shared" si="2"/>
        <v>0.41249999999999992</v>
      </c>
      <c r="E106" s="6">
        <f t="shared" si="3"/>
        <v>-45.012500000000003</v>
      </c>
    </row>
    <row r="107" spans="1:5" x14ac:dyDescent="0.2">
      <c r="A107" t="s">
        <v>1165</v>
      </c>
      <c r="B107" t="s">
        <v>1267</v>
      </c>
      <c r="C107" s="6">
        <v>-38.700000000000003</v>
      </c>
      <c r="D107" s="6">
        <f t="shared" si="2"/>
        <v>-0.6750000000000006</v>
      </c>
      <c r="E107" s="6">
        <f t="shared" si="3"/>
        <v>-38.025000000000006</v>
      </c>
    </row>
    <row r="108" spans="1:5" x14ac:dyDescent="0.2">
      <c r="A108" t="s">
        <v>1165</v>
      </c>
      <c r="B108" t="s">
        <v>1268</v>
      </c>
      <c r="C108" s="6">
        <v>-38.200000000000003</v>
      </c>
      <c r="D108" s="6">
        <f t="shared" si="2"/>
        <v>-1.5229166666666671</v>
      </c>
      <c r="E108" s="6">
        <f t="shared" si="3"/>
        <v>-36.677083333333336</v>
      </c>
    </row>
    <row r="109" spans="1:5" x14ac:dyDescent="0.2">
      <c r="A109" t="s">
        <v>1165</v>
      </c>
      <c r="B109" t="s">
        <v>1269</v>
      </c>
      <c r="C109" s="6">
        <v>-39.5</v>
      </c>
      <c r="D109" s="6">
        <f t="shared" si="2"/>
        <v>-2.4770833333333342</v>
      </c>
      <c r="E109" s="6">
        <f t="shared" si="3"/>
        <v>-37.022916666666667</v>
      </c>
    </row>
    <row r="110" spans="1:5" x14ac:dyDescent="0.2">
      <c r="A110" t="s">
        <v>1165</v>
      </c>
      <c r="B110" t="s">
        <v>1270</v>
      </c>
      <c r="C110" s="6">
        <v>-40.6</v>
      </c>
      <c r="D110" s="6">
        <f t="shared" si="2"/>
        <v>-3.6208333333333336</v>
      </c>
      <c r="E110" s="6">
        <f t="shared" si="3"/>
        <v>-36.979166666666671</v>
      </c>
    </row>
    <row r="111" spans="1:5" x14ac:dyDescent="0.2">
      <c r="A111" t="s">
        <v>1165</v>
      </c>
      <c r="B111" t="s">
        <v>1271</v>
      </c>
      <c r="C111" s="6">
        <v>-40.299999999999997</v>
      </c>
      <c r="D111" s="6">
        <f t="shared" si="2"/>
        <v>-4.71875</v>
      </c>
      <c r="E111" s="6">
        <f t="shared" si="3"/>
        <v>-35.581249999999997</v>
      </c>
    </row>
    <row r="112" spans="1:5" x14ac:dyDescent="0.2">
      <c r="A112" t="s">
        <v>1165</v>
      </c>
      <c r="B112" t="s">
        <v>1272</v>
      </c>
      <c r="C112" s="6">
        <v>-40</v>
      </c>
      <c r="D112" s="6">
        <f t="shared" si="2"/>
        <v>-5.78125</v>
      </c>
      <c r="E112" s="6">
        <f t="shared" si="3"/>
        <v>-34.21875</v>
      </c>
    </row>
    <row r="113" spans="1:5" x14ac:dyDescent="0.2">
      <c r="A113" t="s">
        <v>1165</v>
      </c>
      <c r="B113" t="s">
        <v>1273</v>
      </c>
      <c r="C113" s="6">
        <v>-53</v>
      </c>
      <c r="D113" s="6">
        <f t="shared" si="2"/>
        <v>-6.864583333333333</v>
      </c>
      <c r="E113" s="6">
        <f t="shared" si="3"/>
        <v>-46.135416666666664</v>
      </c>
    </row>
    <row r="114" spans="1:5" x14ac:dyDescent="0.2">
      <c r="A114" t="s">
        <v>1165</v>
      </c>
      <c r="B114" t="s">
        <v>1274</v>
      </c>
      <c r="C114" s="6">
        <v>-51</v>
      </c>
      <c r="D114" s="6">
        <f t="shared" si="2"/>
        <v>-8.1312500000000014</v>
      </c>
      <c r="E114" s="6">
        <f t="shared" si="3"/>
        <v>-42.868749999999999</v>
      </c>
    </row>
    <row r="115" spans="1:5" x14ac:dyDescent="0.2">
      <c r="A115" t="s">
        <v>1165</v>
      </c>
      <c r="B115" t="s">
        <v>1275</v>
      </c>
      <c r="C115" s="6">
        <v>-41.9</v>
      </c>
      <c r="D115" s="6">
        <f t="shared" si="2"/>
        <v>-9.2354166666666675</v>
      </c>
      <c r="E115" s="6">
        <f t="shared" si="3"/>
        <v>-32.664583333333333</v>
      </c>
    </row>
    <row r="116" spans="1:5" x14ac:dyDescent="0.2">
      <c r="A116" t="s">
        <v>1165</v>
      </c>
      <c r="B116" t="s">
        <v>1276</v>
      </c>
      <c r="C116" s="6">
        <v>-7.8</v>
      </c>
      <c r="D116" s="6">
        <f t="shared" si="2"/>
        <v>-10.18125</v>
      </c>
      <c r="E116" s="6">
        <f t="shared" si="3"/>
        <v>2.3812500000000005</v>
      </c>
    </row>
    <row r="117" spans="1:5" x14ac:dyDescent="0.2">
      <c r="A117" t="s">
        <v>1165</v>
      </c>
      <c r="B117" t="s">
        <v>1277</v>
      </c>
      <c r="C117" s="6">
        <v>8.4</v>
      </c>
      <c r="D117" s="6">
        <f t="shared" si="2"/>
        <v>-10.439583333333333</v>
      </c>
      <c r="E117" s="6">
        <f t="shared" si="3"/>
        <v>18.839583333333334</v>
      </c>
    </row>
    <row r="118" spans="1:5" x14ac:dyDescent="0.2">
      <c r="A118" t="s">
        <v>1165</v>
      </c>
      <c r="B118" t="s">
        <v>1278</v>
      </c>
      <c r="C118" s="6">
        <v>-20</v>
      </c>
      <c r="D118" s="6">
        <f t="shared" ref="D118:D149" si="4">AVERAGE(C70:C117)</f>
        <v>-10.479166666666668</v>
      </c>
      <c r="E118" s="6">
        <f t="shared" ref="E118:E149" si="5">C118-D118</f>
        <v>-9.5208333333333321</v>
      </c>
    </row>
    <row r="119" spans="1:5" x14ac:dyDescent="0.2">
      <c r="A119" t="s">
        <v>1165</v>
      </c>
      <c r="B119" t="s">
        <v>1279</v>
      </c>
      <c r="C119" s="6">
        <v>-16.3</v>
      </c>
      <c r="D119" s="6">
        <f t="shared" si="4"/>
        <v>-10.958333333333334</v>
      </c>
      <c r="E119" s="6">
        <f t="shared" si="5"/>
        <v>-5.3416666666666668</v>
      </c>
    </row>
    <row r="120" spans="1:5" x14ac:dyDescent="0.2">
      <c r="A120" t="s">
        <v>1165</v>
      </c>
      <c r="B120" t="s">
        <v>1280</v>
      </c>
      <c r="C120" s="6">
        <v>-12.6</v>
      </c>
      <c r="D120" s="6">
        <f t="shared" si="4"/>
        <v>-11.393749999999999</v>
      </c>
      <c r="E120" s="6">
        <f t="shared" si="5"/>
        <v>-1.2062500000000007</v>
      </c>
    </row>
    <row r="121" spans="1:5" x14ac:dyDescent="0.2">
      <c r="A121" t="s">
        <v>1165</v>
      </c>
      <c r="B121" t="s">
        <v>1281</v>
      </c>
      <c r="C121" s="6">
        <v>-12</v>
      </c>
      <c r="D121" s="6">
        <f t="shared" si="4"/>
        <v>-11.733333333333334</v>
      </c>
      <c r="E121" s="6">
        <f t="shared" si="5"/>
        <v>-0.26666666666666572</v>
      </c>
    </row>
    <row r="122" spans="1:5" x14ac:dyDescent="0.2">
      <c r="A122" t="s">
        <v>1165</v>
      </c>
      <c r="B122" t="s">
        <v>1282</v>
      </c>
      <c r="C122" s="6">
        <v>-14.4</v>
      </c>
      <c r="D122" s="6">
        <f t="shared" si="4"/>
        <v>-11.947916666666666</v>
      </c>
      <c r="E122" s="6">
        <f t="shared" si="5"/>
        <v>-2.4520833333333343</v>
      </c>
    </row>
    <row r="123" spans="1:5" x14ac:dyDescent="0.2">
      <c r="A123" t="s">
        <v>1165</v>
      </c>
      <c r="B123" t="s">
        <v>1283</v>
      </c>
      <c r="C123" s="6">
        <v>-11.9</v>
      </c>
      <c r="D123" s="6">
        <f t="shared" si="4"/>
        <v>-12.266666666666666</v>
      </c>
      <c r="E123" s="6">
        <f t="shared" si="5"/>
        <v>0.36666666666666536</v>
      </c>
    </row>
    <row r="124" spans="1:5" x14ac:dyDescent="0.2">
      <c r="A124" t="s">
        <v>1165</v>
      </c>
      <c r="B124" t="s">
        <v>1284</v>
      </c>
      <c r="C124" s="6">
        <v>-3.9</v>
      </c>
      <c r="D124" s="6">
        <f t="shared" si="4"/>
        <v>-12.477083333333333</v>
      </c>
      <c r="E124" s="6">
        <f t="shared" si="5"/>
        <v>8.5770833333333325</v>
      </c>
    </row>
    <row r="125" spans="1:5" x14ac:dyDescent="0.2">
      <c r="A125" t="s">
        <v>1165</v>
      </c>
      <c r="B125" t="s">
        <v>1285</v>
      </c>
      <c r="C125" s="6">
        <v>-0.2</v>
      </c>
      <c r="D125" s="6">
        <f t="shared" si="4"/>
        <v>-12.564583333333331</v>
      </c>
      <c r="E125" s="6">
        <f t="shared" si="5"/>
        <v>12.364583333333332</v>
      </c>
    </row>
    <row r="126" spans="1:5" x14ac:dyDescent="0.2">
      <c r="A126" t="s">
        <v>1165</v>
      </c>
      <c r="B126" t="s">
        <v>1286</v>
      </c>
      <c r="C126" s="6">
        <v>-1.4</v>
      </c>
      <c r="D126" s="6">
        <f t="shared" si="4"/>
        <v>-12.633333333333333</v>
      </c>
      <c r="E126" s="6">
        <f t="shared" si="5"/>
        <v>11.233333333333333</v>
      </c>
    </row>
    <row r="127" spans="1:5" x14ac:dyDescent="0.2">
      <c r="A127" t="s">
        <v>1165</v>
      </c>
      <c r="B127" t="s">
        <v>1287</v>
      </c>
      <c r="C127" s="6">
        <v>0</v>
      </c>
      <c r="D127" s="6">
        <f t="shared" si="4"/>
        <v>-12.779166666666667</v>
      </c>
      <c r="E127" s="6">
        <f t="shared" si="5"/>
        <v>12.779166666666667</v>
      </c>
    </row>
    <row r="128" spans="1:5" x14ac:dyDescent="0.2">
      <c r="A128" t="s">
        <v>1165</v>
      </c>
      <c r="B128" t="s">
        <v>1288</v>
      </c>
      <c r="C128" s="6">
        <v>9.6</v>
      </c>
      <c r="D128" s="6">
        <f t="shared" si="4"/>
        <v>-12.824999999999998</v>
      </c>
      <c r="E128" s="6">
        <f t="shared" si="5"/>
        <v>22.424999999999997</v>
      </c>
    </row>
    <row r="129" spans="1:5" x14ac:dyDescent="0.2">
      <c r="A129" t="s">
        <v>1165</v>
      </c>
      <c r="B129" t="s">
        <v>1289</v>
      </c>
      <c r="C129" s="6">
        <v>7.1</v>
      </c>
      <c r="D129" s="6">
        <f t="shared" si="4"/>
        <v>-12.733333333333333</v>
      </c>
      <c r="E129" s="6">
        <f t="shared" si="5"/>
        <v>19.833333333333332</v>
      </c>
    </row>
    <row r="130" spans="1:5" x14ac:dyDescent="0.2">
      <c r="A130" t="s">
        <v>1165</v>
      </c>
      <c r="B130" t="s">
        <v>1290</v>
      </c>
      <c r="C130" s="6">
        <v>3.7</v>
      </c>
      <c r="D130" s="6">
        <f t="shared" si="4"/>
        <v>-12.593749999999998</v>
      </c>
      <c r="E130" s="6">
        <f t="shared" si="5"/>
        <v>16.293749999999999</v>
      </c>
    </row>
    <row r="131" spans="1:5" x14ac:dyDescent="0.2">
      <c r="A131" t="s">
        <v>1165</v>
      </c>
      <c r="B131" t="s">
        <v>1291</v>
      </c>
      <c r="C131" s="6">
        <v>5.8</v>
      </c>
      <c r="D131" s="6">
        <f t="shared" si="4"/>
        <v>-12.593749999999998</v>
      </c>
      <c r="E131" s="6">
        <f t="shared" si="5"/>
        <v>18.393749999999997</v>
      </c>
    </row>
    <row r="132" spans="1:5" x14ac:dyDescent="0.2">
      <c r="A132" t="s">
        <v>1165</v>
      </c>
      <c r="B132" t="s">
        <v>1292</v>
      </c>
      <c r="C132" s="6">
        <v>8.1999999999999993</v>
      </c>
      <c r="D132" s="6">
        <f t="shared" si="4"/>
        <v>-12.589583333333332</v>
      </c>
      <c r="E132" s="6">
        <f t="shared" si="5"/>
        <v>20.789583333333333</v>
      </c>
    </row>
    <row r="133" spans="1:5" x14ac:dyDescent="0.2">
      <c r="A133" t="s">
        <v>1165</v>
      </c>
      <c r="B133" t="s">
        <v>1293</v>
      </c>
      <c r="C133" s="6">
        <v>-0.7</v>
      </c>
      <c r="D133" s="6">
        <f t="shared" si="4"/>
        <v>-12.48958333333333</v>
      </c>
      <c r="E133" s="6">
        <f t="shared" si="5"/>
        <v>11.789583333333331</v>
      </c>
    </row>
    <row r="134" spans="1:5" x14ac:dyDescent="0.2">
      <c r="A134" t="s">
        <v>1165</v>
      </c>
      <c r="B134" t="s">
        <v>1294</v>
      </c>
      <c r="C134" s="6">
        <v>-2.2000000000000002</v>
      </c>
      <c r="D134" s="6">
        <f t="shared" si="4"/>
        <v>-12.593749999999998</v>
      </c>
      <c r="E134" s="6">
        <f t="shared" si="5"/>
        <v>10.393749999999997</v>
      </c>
    </row>
    <row r="135" spans="1:5" x14ac:dyDescent="0.2">
      <c r="A135" t="s">
        <v>1165</v>
      </c>
      <c r="B135" t="s">
        <v>1295</v>
      </c>
      <c r="C135" s="6">
        <v>1.1000000000000001</v>
      </c>
      <c r="D135" s="6">
        <f t="shared" si="4"/>
        <v>-12.795833333333333</v>
      </c>
      <c r="E135" s="6">
        <f t="shared" si="5"/>
        <v>13.895833333333332</v>
      </c>
    </row>
    <row r="136" spans="1:5" x14ac:dyDescent="0.2">
      <c r="A136" t="s">
        <v>1165</v>
      </c>
      <c r="B136" t="s">
        <v>1296</v>
      </c>
      <c r="C136" s="6">
        <v>9.9</v>
      </c>
      <c r="D136" s="6">
        <f t="shared" si="4"/>
        <v>-12.999999999999998</v>
      </c>
      <c r="E136" s="6">
        <f t="shared" si="5"/>
        <v>22.9</v>
      </c>
    </row>
    <row r="137" spans="1:5" x14ac:dyDescent="0.2">
      <c r="A137" t="s">
        <v>1165</v>
      </c>
      <c r="B137" t="s">
        <v>1297</v>
      </c>
      <c r="C137" s="6">
        <v>-6.6</v>
      </c>
      <c r="D137" s="6">
        <f t="shared" si="4"/>
        <v>-13.093749999999998</v>
      </c>
      <c r="E137" s="6">
        <f t="shared" si="5"/>
        <v>6.4937499999999986</v>
      </c>
    </row>
    <row r="138" spans="1:5" x14ac:dyDescent="0.2">
      <c r="A138" t="s">
        <v>1165</v>
      </c>
      <c r="B138" t="s">
        <v>1298</v>
      </c>
      <c r="C138" s="6">
        <v>-3.7</v>
      </c>
      <c r="D138" s="6">
        <f t="shared" si="4"/>
        <v>-13.679166666666665</v>
      </c>
      <c r="E138" s="6">
        <f t="shared" si="5"/>
        <v>9.9791666666666643</v>
      </c>
    </row>
    <row r="139" spans="1:5" x14ac:dyDescent="0.2">
      <c r="A139" t="s">
        <v>1165</v>
      </c>
      <c r="B139" t="s">
        <v>1299</v>
      </c>
      <c r="C139" s="6">
        <v>-4.7</v>
      </c>
      <c r="D139" s="6">
        <f t="shared" si="4"/>
        <v>-14.308333333333332</v>
      </c>
      <c r="E139" s="6">
        <f t="shared" si="5"/>
        <v>9.6083333333333307</v>
      </c>
    </row>
    <row r="140" spans="1:5" x14ac:dyDescent="0.2">
      <c r="A140" t="s">
        <v>1165</v>
      </c>
      <c r="B140" t="s">
        <v>1300</v>
      </c>
      <c r="C140" s="6">
        <v>-5.2</v>
      </c>
      <c r="D140" s="6">
        <f t="shared" si="4"/>
        <v>-14.708333333333334</v>
      </c>
      <c r="E140" s="6">
        <f t="shared" si="5"/>
        <v>9.5083333333333329</v>
      </c>
    </row>
    <row r="141" spans="1:5" x14ac:dyDescent="0.2">
      <c r="A141" t="s">
        <v>1165</v>
      </c>
      <c r="B141" t="s">
        <v>1301</v>
      </c>
      <c r="C141" s="6">
        <v>-8.4</v>
      </c>
      <c r="D141" s="6">
        <f t="shared" si="4"/>
        <v>-14.891666666666667</v>
      </c>
      <c r="E141" s="6">
        <f t="shared" si="5"/>
        <v>6.4916666666666671</v>
      </c>
    </row>
    <row r="142" spans="1:5" x14ac:dyDescent="0.2">
      <c r="A142" t="s">
        <v>1165</v>
      </c>
      <c r="B142" t="s">
        <v>1302</v>
      </c>
      <c r="C142" s="6">
        <v>-7.1</v>
      </c>
      <c r="D142" s="6">
        <f t="shared" si="4"/>
        <v>-15.0875</v>
      </c>
      <c r="E142" s="6">
        <f t="shared" si="5"/>
        <v>7.9875000000000007</v>
      </c>
    </row>
    <row r="143" spans="1:5" x14ac:dyDescent="0.2">
      <c r="A143" t="s">
        <v>1165</v>
      </c>
      <c r="B143" t="s">
        <v>1303</v>
      </c>
      <c r="C143" s="6">
        <v>-5.4</v>
      </c>
      <c r="D143" s="6">
        <f t="shared" si="4"/>
        <v>-15.052083333333334</v>
      </c>
      <c r="E143" s="6">
        <f t="shared" si="5"/>
        <v>9.6520833333333336</v>
      </c>
    </row>
    <row r="144" spans="1:5" x14ac:dyDescent="0.2">
      <c r="A144" t="s">
        <v>1165</v>
      </c>
      <c r="B144" t="s">
        <v>1304</v>
      </c>
      <c r="C144" s="6">
        <v>-9.9</v>
      </c>
      <c r="D144" s="6">
        <f t="shared" si="4"/>
        <v>-15.083333333333336</v>
      </c>
      <c r="E144" s="6">
        <f t="shared" si="5"/>
        <v>5.1833333333333353</v>
      </c>
    </row>
    <row r="145" spans="1:5" x14ac:dyDescent="0.2">
      <c r="A145" t="s">
        <v>1165</v>
      </c>
      <c r="B145" t="s">
        <v>1305</v>
      </c>
      <c r="C145" s="6">
        <v>-9.8000000000000007</v>
      </c>
      <c r="D145" s="6">
        <f t="shared" si="4"/>
        <v>-15.064583333333333</v>
      </c>
      <c r="E145" s="6">
        <f t="shared" si="5"/>
        <v>5.2645833333333325</v>
      </c>
    </row>
    <row r="146" spans="1:5" x14ac:dyDescent="0.2">
      <c r="A146" t="s">
        <v>1165</v>
      </c>
      <c r="B146" t="s">
        <v>1306</v>
      </c>
      <c r="C146" s="6">
        <v>-0.8</v>
      </c>
      <c r="D146" s="6">
        <f t="shared" si="4"/>
        <v>-15.064583333333331</v>
      </c>
      <c r="E146" s="6">
        <f t="shared" si="5"/>
        <v>14.264583333333331</v>
      </c>
    </row>
    <row r="147" spans="1:5" x14ac:dyDescent="0.2">
      <c r="A147" t="s">
        <v>1165</v>
      </c>
      <c r="B147" t="s">
        <v>1307</v>
      </c>
      <c r="C147" s="6">
        <v>-2.4</v>
      </c>
      <c r="D147" s="6">
        <f t="shared" si="4"/>
        <v>-14.860416666666666</v>
      </c>
      <c r="E147" s="6">
        <f t="shared" si="5"/>
        <v>12.460416666666665</v>
      </c>
    </row>
    <row r="148" spans="1:5" x14ac:dyDescent="0.2">
      <c r="A148" t="s">
        <v>1165</v>
      </c>
      <c r="B148" t="s">
        <v>1308</v>
      </c>
      <c r="C148" s="6">
        <v>0.9</v>
      </c>
      <c r="D148" s="6">
        <f t="shared" si="4"/>
        <v>-14.660416666666665</v>
      </c>
      <c r="E148" s="6">
        <f t="shared" si="5"/>
        <v>15.560416666666665</v>
      </c>
    </row>
    <row r="149" spans="1:5" x14ac:dyDescent="0.2">
      <c r="A149" t="s">
        <v>1165</v>
      </c>
      <c r="B149" t="s">
        <v>1309</v>
      </c>
      <c r="C149" s="6">
        <v>1.9</v>
      </c>
      <c r="D149" s="6">
        <f t="shared" si="4"/>
        <v>-14.233333333333333</v>
      </c>
      <c r="E149" s="6">
        <f t="shared" si="5"/>
        <v>16.133333333333333</v>
      </c>
    </row>
    <row r="150" spans="1:5" x14ac:dyDescent="0.2">
      <c r="A150" t="s">
        <v>1165</v>
      </c>
      <c r="B150" t="s">
        <v>1310</v>
      </c>
      <c r="C150" s="6">
        <v>7.5</v>
      </c>
      <c r="D150" s="6">
        <f t="shared" ref="D150:D181" si="6">AVERAGE(C102:C149)</f>
        <v>-14.127083333333333</v>
      </c>
      <c r="E150" s="6">
        <f t="shared" ref="E150:E181" si="7">C150-D150</f>
        <v>21.627083333333331</v>
      </c>
    </row>
    <row r="151" spans="1:5" x14ac:dyDescent="0.2">
      <c r="A151" t="s">
        <v>1165</v>
      </c>
      <c r="B151" t="s">
        <v>1311</v>
      </c>
      <c r="C151" s="6">
        <v>9.1999999999999993</v>
      </c>
      <c r="D151" s="6">
        <f t="shared" si="6"/>
        <v>-13.620833333333332</v>
      </c>
      <c r="E151" s="6">
        <f t="shared" si="7"/>
        <v>22.820833333333333</v>
      </c>
    </row>
    <row r="152" spans="1:5" x14ac:dyDescent="0.2">
      <c r="A152" t="s">
        <v>1165</v>
      </c>
      <c r="B152" t="s">
        <v>1312</v>
      </c>
      <c r="C152" s="6">
        <v>3.6</v>
      </c>
      <c r="D152" s="6">
        <f t="shared" si="6"/>
        <v>-13.002083333333331</v>
      </c>
      <c r="E152" s="6">
        <f t="shared" si="7"/>
        <v>16.602083333333333</v>
      </c>
    </row>
    <row r="153" spans="1:5" x14ac:dyDescent="0.2">
      <c r="A153" t="s">
        <v>1165</v>
      </c>
      <c r="B153" t="s">
        <v>1313</v>
      </c>
      <c r="C153" s="6">
        <v>4.7</v>
      </c>
      <c r="D153" s="6">
        <f t="shared" si="6"/>
        <v>-11.916666666666664</v>
      </c>
      <c r="E153" s="6">
        <f t="shared" si="7"/>
        <v>16.616666666666664</v>
      </c>
    </row>
    <row r="154" spans="1:5" x14ac:dyDescent="0.2">
      <c r="A154" t="s">
        <v>1165</v>
      </c>
      <c r="B154" t="s">
        <v>1314</v>
      </c>
      <c r="C154" s="6">
        <v>6.7</v>
      </c>
      <c r="D154" s="6">
        <f t="shared" si="6"/>
        <v>-10.699999999999994</v>
      </c>
      <c r="E154" s="6">
        <f t="shared" si="7"/>
        <v>17.399999999999995</v>
      </c>
    </row>
    <row r="155" spans="1:5" x14ac:dyDescent="0.2">
      <c r="A155" t="s">
        <v>1165</v>
      </c>
      <c r="B155" t="s">
        <v>1315</v>
      </c>
      <c r="C155" s="6">
        <v>8.1</v>
      </c>
      <c r="D155" s="6">
        <f t="shared" si="6"/>
        <v>-9.6312499999999979</v>
      </c>
      <c r="E155" s="6">
        <f t="shared" si="7"/>
        <v>17.731249999999996</v>
      </c>
    </row>
    <row r="156" spans="1:5" x14ac:dyDescent="0.2">
      <c r="A156" t="s">
        <v>1165</v>
      </c>
      <c r="B156" t="s">
        <v>1316</v>
      </c>
      <c r="C156" s="6">
        <v>5.2</v>
      </c>
      <c r="D156" s="6">
        <f t="shared" si="6"/>
        <v>-8.6562499999999982</v>
      </c>
      <c r="E156" s="6">
        <f t="shared" si="7"/>
        <v>13.856249999999999</v>
      </c>
    </row>
    <row r="157" spans="1:5" x14ac:dyDescent="0.2">
      <c r="A157" t="s">
        <v>1165</v>
      </c>
      <c r="B157" t="s">
        <v>1317</v>
      </c>
      <c r="C157" s="6">
        <v>15.9</v>
      </c>
      <c r="D157" s="6">
        <f t="shared" si="6"/>
        <v>-7.7520833333333306</v>
      </c>
      <c r="E157" s="6">
        <f t="shared" si="7"/>
        <v>23.65208333333333</v>
      </c>
    </row>
    <row r="158" spans="1:5" x14ac:dyDescent="0.2">
      <c r="A158" t="s">
        <v>1165</v>
      </c>
      <c r="B158" t="s">
        <v>1318</v>
      </c>
      <c r="C158" s="6">
        <v>10.1</v>
      </c>
      <c r="D158" s="6">
        <f t="shared" si="6"/>
        <v>-6.5979166666666655</v>
      </c>
      <c r="E158" s="6">
        <f t="shared" si="7"/>
        <v>16.697916666666664</v>
      </c>
    </row>
    <row r="159" spans="1:5" x14ac:dyDescent="0.2">
      <c r="A159" t="s">
        <v>1165</v>
      </c>
      <c r="B159" t="s">
        <v>1319</v>
      </c>
      <c r="C159" s="6">
        <v>14.8</v>
      </c>
      <c r="D159" s="6">
        <f t="shared" si="6"/>
        <v>-5.5416666666666643</v>
      </c>
      <c r="E159" s="6">
        <f t="shared" si="7"/>
        <v>20.341666666666665</v>
      </c>
    </row>
    <row r="160" spans="1:5" x14ac:dyDescent="0.2">
      <c r="A160" t="s">
        <v>1165</v>
      </c>
      <c r="B160" t="s">
        <v>1320</v>
      </c>
      <c r="C160" s="6">
        <v>-14.1</v>
      </c>
      <c r="D160" s="6">
        <f t="shared" si="6"/>
        <v>-4.3937499999999972</v>
      </c>
      <c r="E160" s="6">
        <f t="shared" si="7"/>
        <v>-9.7062500000000025</v>
      </c>
    </row>
    <row r="161" spans="1:5" x14ac:dyDescent="0.2">
      <c r="A161" t="s">
        <v>1165</v>
      </c>
      <c r="B161" t="s">
        <v>16</v>
      </c>
      <c r="C161" s="6">
        <v>-0.1</v>
      </c>
      <c r="D161" s="6">
        <f t="shared" si="6"/>
        <v>-3.8541666666666683</v>
      </c>
      <c r="E161" s="6">
        <f t="shared" si="7"/>
        <v>3.7541666666666682</v>
      </c>
    </row>
    <row r="162" spans="1:5" x14ac:dyDescent="0.2">
      <c r="A162" t="s">
        <v>1321</v>
      </c>
      <c r="B162" t="s">
        <v>1166</v>
      </c>
      <c r="C162" s="6">
        <v>15.1</v>
      </c>
    </row>
    <row r="163" spans="1:5" x14ac:dyDescent="0.2">
      <c r="A163" t="s">
        <v>1321</v>
      </c>
      <c r="B163" t="s">
        <v>1167</v>
      </c>
      <c r="C163" s="6">
        <v>11.4</v>
      </c>
    </row>
    <row r="164" spans="1:5" x14ac:dyDescent="0.2">
      <c r="A164" t="s">
        <v>1321</v>
      </c>
      <c r="B164" t="s">
        <v>1168</v>
      </c>
      <c r="C164" s="6">
        <v>13.4</v>
      </c>
    </row>
    <row r="165" spans="1:5" x14ac:dyDescent="0.2">
      <c r="A165" t="s">
        <v>1321</v>
      </c>
      <c r="B165" t="s">
        <v>1169</v>
      </c>
      <c r="C165" s="6">
        <v>9.9</v>
      </c>
    </row>
    <row r="166" spans="1:5" x14ac:dyDescent="0.2">
      <c r="A166" t="s">
        <v>1321</v>
      </c>
      <c r="B166" t="s">
        <v>1170</v>
      </c>
      <c r="C166" s="6">
        <v>5.0999999999999996</v>
      </c>
    </row>
    <row r="167" spans="1:5" x14ac:dyDescent="0.2">
      <c r="A167" t="s">
        <v>1321</v>
      </c>
      <c r="B167" t="s">
        <v>1171</v>
      </c>
      <c r="C167" s="6">
        <v>11.8</v>
      </c>
    </row>
    <row r="168" spans="1:5" x14ac:dyDescent="0.2">
      <c r="A168" t="s">
        <v>1321</v>
      </c>
      <c r="B168" t="s">
        <v>1172</v>
      </c>
      <c r="C168" s="6">
        <v>19.899999999999999</v>
      </c>
    </row>
    <row r="169" spans="1:5" x14ac:dyDescent="0.2">
      <c r="A169" t="s">
        <v>1321</v>
      </c>
      <c r="B169" t="s">
        <v>1173</v>
      </c>
      <c r="C169" s="6">
        <v>6.7</v>
      </c>
    </row>
    <row r="170" spans="1:5" x14ac:dyDescent="0.2">
      <c r="A170" t="s">
        <v>1321</v>
      </c>
      <c r="B170" t="s">
        <v>1174</v>
      </c>
      <c r="C170" s="6">
        <v>19.899999999999999</v>
      </c>
    </row>
    <row r="171" spans="1:5" x14ac:dyDescent="0.2">
      <c r="A171" t="s">
        <v>1321</v>
      </c>
      <c r="B171" t="s">
        <v>1175</v>
      </c>
      <c r="C171" s="6">
        <v>16.5</v>
      </c>
    </row>
    <row r="172" spans="1:5" x14ac:dyDescent="0.2">
      <c r="A172" t="s">
        <v>1321</v>
      </c>
      <c r="B172" t="s">
        <v>1176</v>
      </c>
      <c r="C172" s="6">
        <v>14.8</v>
      </c>
    </row>
    <row r="173" spans="1:5" x14ac:dyDescent="0.2">
      <c r="A173" t="s">
        <v>1321</v>
      </c>
      <c r="B173" t="s">
        <v>1177</v>
      </c>
      <c r="C173" s="6">
        <v>15</v>
      </c>
    </row>
    <row r="174" spans="1:5" x14ac:dyDescent="0.2">
      <c r="A174" t="s">
        <v>1321</v>
      </c>
      <c r="B174" t="s">
        <v>1178</v>
      </c>
      <c r="C174" s="6">
        <v>7.9</v>
      </c>
    </row>
    <row r="175" spans="1:5" x14ac:dyDescent="0.2">
      <c r="A175" t="s">
        <v>1321</v>
      </c>
      <c r="B175" t="s">
        <v>1179</v>
      </c>
      <c r="C175" s="6">
        <v>10.8</v>
      </c>
    </row>
    <row r="176" spans="1:5" x14ac:dyDescent="0.2">
      <c r="A176" t="s">
        <v>1321</v>
      </c>
      <c r="B176" t="s">
        <v>1180</v>
      </c>
      <c r="C176" s="6">
        <v>2.5</v>
      </c>
    </row>
    <row r="177" spans="1:3" x14ac:dyDescent="0.2">
      <c r="A177" t="s">
        <v>1321</v>
      </c>
      <c r="B177" t="s">
        <v>1181</v>
      </c>
      <c r="C177" s="6">
        <v>0.3</v>
      </c>
    </row>
    <row r="178" spans="1:3" x14ac:dyDescent="0.2">
      <c r="A178" t="s">
        <v>1321</v>
      </c>
      <c r="B178" t="s">
        <v>1182</v>
      </c>
      <c r="C178" s="6">
        <v>3.6</v>
      </c>
    </row>
    <row r="179" spans="1:3" x14ac:dyDescent="0.2">
      <c r="A179" t="s">
        <v>1321</v>
      </c>
      <c r="B179" t="s">
        <v>1183</v>
      </c>
      <c r="C179" s="6">
        <v>11.6</v>
      </c>
    </row>
    <row r="180" spans="1:3" x14ac:dyDescent="0.2">
      <c r="A180" t="s">
        <v>1321</v>
      </c>
      <c r="B180" t="s">
        <v>1184</v>
      </c>
      <c r="C180" s="6">
        <v>6.7</v>
      </c>
    </row>
    <row r="181" spans="1:3" x14ac:dyDescent="0.2">
      <c r="A181" t="s">
        <v>1321</v>
      </c>
      <c r="B181" t="s">
        <v>1185</v>
      </c>
      <c r="C181" s="6">
        <v>-4.5</v>
      </c>
    </row>
    <row r="182" spans="1:3" x14ac:dyDescent="0.2">
      <c r="A182" t="s">
        <v>1321</v>
      </c>
      <c r="B182" t="s">
        <v>1186</v>
      </c>
      <c r="C182" s="6">
        <v>6</v>
      </c>
    </row>
    <row r="183" spans="1:3" x14ac:dyDescent="0.2">
      <c r="A183" t="s">
        <v>1321</v>
      </c>
      <c r="B183" t="s">
        <v>1187</v>
      </c>
      <c r="C183" s="6">
        <v>10.3</v>
      </c>
    </row>
    <row r="184" spans="1:3" x14ac:dyDescent="0.2">
      <c r="A184" t="s">
        <v>1321</v>
      </c>
      <c r="B184" t="s">
        <v>1188</v>
      </c>
      <c r="C184" s="6">
        <v>10.9</v>
      </c>
    </row>
    <row r="185" spans="1:3" x14ac:dyDescent="0.2">
      <c r="A185" t="s">
        <v>1321</v>
      </c>
      <c r="B185" t="s">
        <v>1189</v>
      </c>
      <c r="C185" s="6">
        <v>17.600000000000001</v>
      </c>
    </row>
    <row r="186" spans="1:3" x14ac:dyDescent="0.2">
      <c r="A186" t="s">
        <v>1321</v>
      </c>
      <c r="B186" t="s">
        <v>1190</v>
      </c>
      <c r="C186" s="6">
        <v>15.8</v>
      </c>
    </row>
    <row r="187" spans="1:3" x14ac:dyDescent="0.2">
      <c r="A187" t="s">
        <v>1321</v>
      </c>
      <c r="B187" t="s">
        <v>1191</v>
      </c>
      <c r="C187" s="6">
        <v>19.100000000000001</v>
      </c>
    </row>
    <row r="188" spans="1:3" x14ac:dyDescent="0.2">
      <c r="A188" t="s">
        <v>1321</v>
      </c>
      <c r="B188" t="s">
        <v>1192</v>
      </c>
      <c r="C188" s="6">
        <v>20.7</v>
      </c>
    </row>
    <row r="189" spans="1:3" x14ac:dyDescent="0.2">
      <c r="A189" t="s">
        <v>1321</v>
      </c>
      <c r="B189" t="s">
        <v>1193</v>
      </c>
      <c r="C189" s="6">
        <v>17.7</v>
      </c>
    </row>
    <row r="190" spans="1:3" x14ac:dyDescent="0.2">
      <c r="A190" t="s">
        <v>1321</v>
      </c>
      <c r="B190" t="s">
        <v>1194</v>
      </c>
      <c r="C190" s="6">
        <v>7.4</v>
      </c>
    </row>
    <row r="191" spans="1:3" x14ac:dyDescent="0.2">
      <c r="A191" t="s">
        <v>1321</v>
      </c>
      <c r="B191" t="s">
        <v>1195</v>
      </c>
      <c r="C191" s="6">
        <v>25.2</v>
      </c>
    </row>
    <row r="192" spans="1:3" x14ac:dyDescent="0.2">
      <c r="A192" t="s">
        <v>1321</v>
      </c>
      <c r="B192" t="s">
        <v>1196</v>
      </c>
      <c r="C192" s="6">
        <v>11</v>
      </c>
    </row>
    <row r="193" spans="1:3" x14ac:dyDescent="0.2">
      <c r="A193" t="s">
        <v>1321</v>
      </c>
      <c r="B193" t="s">
        <v>1197</v>
      </c>
      <c r="C193" s="6">
        <v>18.399999999999999</v>
      </c>
    </row>
    <row r="194" spans="1:3" x14ac:dyDescent="0.2">
      <c r="A194" t="s">
        <v>1321</v>
      </c>
      <c r="B194" t="s">
        <v>1198</v>
      </c>
      <c r="C194" s="6">
        <v>17.2</v>
      </c>
    </row>
    <row r="195" spans="1:3" x14ac:dyDescent="0.2">
      <c r="A195" t="s">
        <v>1321</v>
      </c>
      <c r="B195" t="s">
        <v>1199</v>
      </c>
      <c r="C195" s="6">
        <v>15.3</v>
      </c>
    </row>
    <row r="196" spans="1:3" x14ac:dyDescent="0.2">
      <c r="A196" t="s">
        <v>1321</v>
      </c>
      <c r="B196" t="s">
        <v>1200</v>
      </c>
      <c r="C196" s="6">
        <v>5.3</v>
      </c>
    </row>
    <row r="197" spans="1:3" x14ac:dyDescent="0.2">
      <c r="A197" t="s">
        <v>1321</v>
      </c>
      <c r="B197" t="s">
        <v>1201</v>
      </c>
      <c r="C197" s="6">
        <v>16.399999999999999</v>
      </c>
    </row>
    <row r="198" spans="1:3" x14ac:dyDescent="0.2">
      <c r="A198" t="s">
        <v>1321</v>
      </c>
      <c r="B198" t="s">
        <v>1202</v>
      </c>
      <c r="C198" s="6">
        <v>24.6</v>
      </c>
    </row>
    <row r="199" spans="1:3" x14ac:dyDescent="0.2">
      <c r="A199" t="s">
        <v>1321</v>
      </c>
      <c r="B199" t="s">
        <v>1203</v>
      </c>
      <c r="C199" s="6">
        <v>25.2</v>
      </c>
    </row>
    <row r="200" spans="1:3" x14ac:dyDescent="0.2">
      <c r="A200" t="s">
        <v>1321</v>
      </c>
      <c r="B200" t="s">
        <v>1204</v>
      </c>
      <c r="C200" s="6">
        <v>31.4</v>
      </c>
    </row>
    <row r="201" spans="1:3" x14ac:dyDescent="0.2">
      <c r="A201" t="s">
        <v>1321</v>
      </c>
      <c r="B201" t="s">
        <v>1205</v>
      </c>
      <c r="C201" s="6">
        <v>29.4</v>
      </c>
    </row>
    <row r="202" spans="1:3" x14ac:dyDescent="0.2">
      <c r="A202" t="s">
        <v>1321</v>
      </c>
      <c r="B202" t="s">
        <v>1206</v>
      </c>
      <c r="C202" s="6">
        <v>30.4</v>
      </c>
    </row>
    <row r="203" spans="1:3" x14ac:dyDescent="0.2">
      <c r="A203" t="s">
        <v>1321</v>
      </c>
      <c r="B203" t="s">
        <v>1207</v>
      </c>
      <c r="C203" s="6">
        <v>10</v>
      </c>
    </row>
    <row r="204" spans="1:3" x14ac:dyDescent="0.2">
      <c r="A204" t="s">
        <v>1321</v>
      </c>
      <c r="B204" t="s">
        <v>1208</v>
      </c>
      <c r="C204" s="6">
        <v>8</v>
      </c>
    </row>
    <row r="205" spans="1:3" x14ac:dyDescent="0.2">
      <c r="A205" t="s">
        <v>1321</v>
      </c>
      <c r="B205" t="s">
        <v>1209</v>
      </c>
      <c r="C205" s="6">
        <v>9.1</v>
      </c>
    </row>
    <row r="206" spans="1:3" x14ac:dyDescent="0.2">
      <c r="A206" t="s">
        <v>1321</v>
      </c>
      <c r="B206" t="s">
        <v>1210</v>
      </c>
      <c r="C206" s="6">
        <v>13</v>
      </c>
    </row>
    <row r="207" spans="1:3" x14ac:dyDescent="0.2">
      <c r="A207" t="s">
        <v>1321</v>
      </c>
      <c r="B207" t="s">
        <v>1211</v>
      </c>
      <c r="C207" s="6">
        <v>13.5</v>
      </c>
    </row>
    <row r="208" spans="1:3" x14ac:dyDescent="0.2">
      <c r="A208" t="s">
        <v>1321</v>
      </c>
      <c r="B208" t="s">
        <v>1212</v>
      </c>
      <c r="C208" s="6">
        <v>13.3</v>
      </c>
    </row>
    <row r="209" spans="1:5" x14ac:dyDescent="0.2">
      <c r="A209" t="s">
        <v>1321</v>
      </c>
      <c r="B209" t="s">
        <v>1213</v>
      </c>
      <c r="C209" s="6">
        <v>13.5</v>
      </c>
    </row>
    <row r="210" spans="1:5" x14ac:dyDescent="0.2">
      <c r="A210" t="s">
        <v>1321</v>
      </c>
      <c r="B210" t="s">
        <v>1214</v>
      </c>
      <c r="C210" s="6">
        <v>10.6</v>
      </c>
      <c r="D210" s="6">
        <f t="shared" ref="D210:D241" si="8">AVERAGE(C162:C209)</f>
        <v>13.627083333333331</v>
      </c>
      <c r="E210" s="6">
        <f t="shared" ref="E210:E241" si="9">C210-D210</f>
        <v>-3.0270833333333318</v>
      </c>
    </row>
    <row r="211" spans="1:5" x14ac:dyDescent="0.2">
      <c r="A211" t="s">
        <v>1321</v>
      </c>
      <c r="B211" t="s">
        <v>1215</v>
      </c>
      <c r="C211" s="6">
        <v>10.3</v>
      </c>
      <c r="D211" s="6">
        <f t="shared" si="8"/>
        <v>13.533333333333331</v>
      </c>
      <c r="E211" s="6">
        <f t="shared" si="9"/>
        <v>-3.2333333333333307</v>
      </c>
    </row>
    <row r="212" spans="1:5" x14ac:dyDescent="0.2">
      <c r="A212" t="s">
        <v>1321</v>
      </c>
      <c r="B212" t="s">
        <v>1216</v>
      </c>
      <c r="C212" s="6">
        <v>9.3000000000000007</v>
      </c>
      <c r="D212" s="6">
        <f t="shared" si="8"/>
        <v>13.510416666666664</v>
      </c>
      <c r="E212" s="6">
        <f t="shared" si="9"/>
        <v>-4.2104166666666636</v>
      </c>
    </row>
    <row r="213" spans="1:5" x14ac:dyDescent="0.2">
      <c r="A213" t="s">
        <v>1321</v>
      </c>
      <c r="B213" t="s">
        <v>1217</v>
      </c>
      <c r="C213" s="6">
        <v>11.6</v>
      </c>
      <c r="D213" s="6">
        <f t="shared" si="8"/>
        <v>13.424999999999997</v>
      </c>
      <c r="E213" s="6">
        <f t="shared" si="9"/>
        <v>-1.8249999999999975</v>
      </c>
    </row>
    <row r="214" spans="1:5" x14ac:dyDescent="0.2">
      <c r="A214" t="s">
        <v>1321</v>
      </c>
      <c r="B214" t="s">
        <v>1218</v>
      </c>
      <c r="C214" s="6">
        <v>15.2</v>
      </c>
      <c r="D214" s="6">
        <f t="shared" si="8"/>
        <v>13.460416666666662</v>
      </c>
      <c r="E214" s="6">
        <f t="shared" si="9"/>
        <v>1.7395833333333375</v>
      </c>
    </row>
    <row r="215" spans="1:5" x14ac:dyDescent="0.2">
      <c r="A215" t="s">
        <v>1321</v>
      </c>
      <c r="B215" t="s">
        <v>1219</v>
      </c>
      <c r="C215" s="6">
        <v>5.7</v>
      </c>
      <c r="D215" s="6">
        <f t="shared" si="8"/>
        <v>13.670833333333329</v>
      </c>
      <c r="E215" s="6">
        <f t="shared" si="9"/>
        <v>-7.9708333333333288</v>
      </c>
    </row>
    <row r="216" spans="1:5" x14ac:dyDescent="0.2">
      <c r="A216" t="s">
        <v>1321</v>
      </c>
      <c r="B216" t="s">
        <v>1220</v>
      </c>
      <c r="C216" s="6">
        <v>10.9</v>
      </c>
      <c r="D216" s="6">
        <f t="shared" si="8"/>
        <v>13.543749999999998</v>
      </c>
      <c r="E216" s="6">
        <f t="shared" si="9"/>
        <v>-2.6437499999999972</v>
      </c>
    </row>
    <row r="217" spans="1:5" x14ac:dyDescent="0.2">
      <c r="A217" t="s">
        <v>1321</v>
      </c>
      <c r="B217" t="s">
        <v>1221</v>
      </c>
      <c r="C217" s="6">
        <v>9.9</v>
      </c>
      <c r="D217" s="6">
        <f t="shared" si="8"/>
        <v>13.356249999999998</v>
      </c>
      <c r="E217" s="6">
        <f t="shared" si="9"/>
        <v>-3.4562499999999972</v>
      </c>
    </row>
    <row r="218" spans="1:5" x14ac:dyDescent="0.2">
      <c r="A218" t="s">
        <v>1321</v>
      </c>
      <c r="B218" t="s">
        <v>1222</v>
      </c>
      <c r="C218" s="6">
        <v>4.2</v>
      </c>
      <c r="D218" s="6">
        <f t="shared" si="8"/>
        <v>13.422916666666664</v>
      </c>
      <c r="E218" s="6">
        <f t="shared" si="9"/>
        <v>-9.2229166666666629</v>
      </c>
    </row>
    <row r="219" spans="1:5" x14ac:dyDescent="0.2">
      <c r="A219" t="s">
        <v>1321</v>
      </c>
      <c r="B219" t="s">
        <v>1223</v>
      </c>
      <c r="C219" s="6">
        <v>8.4</v>
      </c>
      <c r="D219" s="6">
        <f t="shared" si="8"/>
        <v>13.095833333333331</v>
      </c>
      <c r="E219" s="6">
        <f t="shared" si="9"/>
        <v>-4.6958333333333311</v>
      </c>
    </row>
    <row r="220" spans="1:5" x14ac:dyDescent="0.2">
      <c r="A220" t="s">
        <v>1321</v>
      </c>
      <c r="B220" t="s">
        <v>1224</v>
      </c>
      <c r="C220" s="6">
        <v>10.5</v>
      </c>
      <c r="D220" s="6">
        <f t="shared" si="8"/>
        <v>12.927083333333334</v>
      </c>
      <c r="E220" s="6">
        <f t="shared" si="9"/>
        <v>-2.4270833333333339</v>
      </c>
    </row>
    <row r="221" spans="1:5" x14ac:dyDescent="0.2">
      <c r="A221" t="s">
        <v>1321</v>
      </c>
      <c r="B221" t="s">
        <v>1225</v>
      </c>
      <c r="C221" s="6">
        <v>7.3</v>
      </c>
      <c r="D221" s="6">
        <f t="shared" si="8"/>
        <v>12.837499999999999</v>
      </c>
      <c r="E221" s="6">
        <f t="shared" si="9"/>
        <v>-5.5374999999999988</v>
      </c>
    </row>
    <row r="222" spans="1:5" x14ac:dyDescent="0.2">
      <c r="A222" t="s">
        <v>1321</v>
      </c>
      <c r="B222" t="s">
        <v>1226</v>
      </c>
      <c r="C222" s="6">
        <v>5.0999999999999996</v>
      </c>
      <c r="D222" s="6">
        <f t="shared" si="8"/>
        <v>12.677083333333334</v>
      </c>
      <c r="E222" s="6">
        <f t="shared" si="9"/>
        <v>-7.5770833333333343</v>
      </c>
    </row>
    <row r="223" spans="1:5" x14ac:dyDescent="0.2">
      <c r="A223" t="s">
        <v>1321</v>
      </c>
      <c r="B223" t="s">
        <v>1227</v>
      </c>
      <c r="C223" s="6">
        <v>7.1</v>
      </c>
      <c r="D223" s="6">
        <f t="shared" si="8"/>
        <v>12.61875</v>
      </c>
      <c r="E223" s="6">
        <f t="shared" si="9"/>
        <v>-5.5187500000000007</v>
      </c>
    </row>
    <row r="224" spans="1:5" x14ac:dyDescent="0.2">
      <c r="A224" t="s">
        <v>1321</v>
      </c>
      <c r="B224" t="s">
        <v>1228</v>
      </c>
      <c r="C224" s="6">
        <v>8.4</v>
      </c>
      <c r="D224" s="6">
        <f t="shared" si="8"/>
        <v>12.54166666666667</v>
      </c>
      <c r="E224" s="6">
        <f t="shared" si="9"/>
        <v>-4.1416666666666693</v>
      </c>
    </row>
    <row r="225" spans="1:5" x14ac:dyDescent="0.2">
      <c r="A225" t="s">
        <v>1321</v>
      </c>
      <c r="B225" t="s">
        <v>1229</v>
      </c>
      <c r="C225" s="6">
        <v>9.6999999999999993</v>
      </c>
      <c r="D225" s="6">
        <f t="shared" si="8"/>
        <v>12.664583333333335</v>
      </c>
      <c r="E225" s="6">
        <f t="shared" si="9"/>
        <v>-2.9645833333333353</v>
      </c>
    </row>
    <row r="226" spans="1:5" x14ac:dyDescent="0.2">
      <c r="A226" t="s">
        <v>1321</v>
      </c>
      <c r="B226" t="s">
        <v>1230</v>
      </c>
      <c r="C226" s="6">
        <v>10.5</v>
      </c>
      <c r="D226" s="6">
        <f t="shared" si="8"/>
        <v>12.860416666666667</v>
      </c>
      <c r="E226" s="6">
        <f t="shared" si="9"/>
        <v>-2.3604166666666675</v>
      </c>
    </row>
    <row r="227" spans="1:5" x14ac:dyDescent="0.2">
      <c r="A227" t="s">
        <v>1321</v>
      </c>
      <c r="B227" t="s">
        <v>1231</v>
      </c>
      <c r="C227" s="6">
        <v>-0.3</v>
      </c>
      <c r="D227" s="6">
        <f t="shared" si="8"/>
        <v>13.00416666666667</v>
      </c>
      <c r="E227" s="6">
        <f t="shared" si="9"/>
        <v>-13.304166666666671</v>
      </c>
    </row>
    <row r="228" spans="1:5" x14ac:dyDescent="0.2">
      <c r="A228" t="s">
        <v>1321</v>
      </c>
      <c r="B228" t="s">
        <v>1232</v>
      </c>
      <c r="C228" s="6">
        <v>7.9</v>
      </c>
      <c r="D228" s="6">
        <f t="shared" si="8"/>
        <v>12.756250000000003</v>
      </c>
      <c r="E228" s="6">
        <f t="shared" si="9"/>
        <v>-4.8562500000000028</v>
      </c>
    </row>
    <row r="229" spans="1:5" x14ac:dyDescent="0.2">
      <c r="A229" t="s">
        <v>1321</v>
      </c>
      <c r="B229" t="s">
        <v>1233</v>
      </c>
      <c r="C229" s="6">
        <v>7.6</v>
      </c>
      <c r="D229" s="6">
        <f t="shared" si="8"/>
        <v>12.781250000000002</v>
      </c>
      <c r="E229" s="6">
        <f t="shared" si="9"/>
        <v>-5.1812500000000021</v>
      </c>
    </row>
    <row r="230" spans="1:5" x14ac:dyDescent="0.2">
      <c r="A230" t="s">
        <v>1321</v>
      </c>
      <c r="B230" t="s">
        <v>1234</v>
      </c>
      <c r="C230" s="6">
        <v>9.9</v>
      </c>
      <c r="D230" s="6">
        <f t="shared" si="8"/>
        <v>13.033333333333337</v>
      </c>
      <c r="E230" s="6">
        <f t="shared" si="9"/>
        <v>-3.1333333333333364</v>
      </c>
    </row>
    <row r="231" spans="1:5" x14ac:dyDescent="0.2">
      <c r="A231" t="s">
        <v>1321</v>
      </c>
      <c r="B231" t="s">
        <v>1235</v>
      </c>
      <c r="C231" s="6">
        <v>7.8</v>
      </c>
      <c r="D231" s="6">
        <f t="shared" si="8"/>
        <v>13.114583333333336</v>
      </c>
      <c r="E231" s="6">
        <f t="shared" si="9"/>
        <v>-5.3145833333333359</v>
      </c>
    </row>
    <row r="232" spans="1:5" x14ac:dyDescent="0.2">
      <c r="A232" t="s">
        <v>1321</v>
      </c>
      <c r="B232" t="s">
        <v>1236</v>
      </c>
      <c r="C232" s="6">
        <v>8.1</v>
      </c>
      <c r="D232" s="6">
        <f t="shared" si="8"/>
        <v>13.0625</v>
      </c>
      <c r="E232" s="6">
        <f t="shared" si="9"/>
        <v>-4.9625000000000004</v>
      </c>
    </row>
    <row r="233" spans="1:5" x14ac:dyDescent="0.2">
      <c r="A233" t="s">
        <v>1321</v>
      </c>
      <c r="B233" t="s">
        <v>1237</v>
      </c>
      <c r="C233" s="6">
        <v>2</v>
      </c>
      <c r="D233" s="6">
        <f t="shared" si="8"/>
        <v>13.004166666666668</v>
      </c>
      <c r="E233" s="6">
        <f t="shared" si="9"/>
        <v>-11.004166666666668</v>
      </c>
    </row>
    <row r="234" spans="1:5" x14ac:dyDescent="0.2">
      <c r="A234" t="s">
        <v>1321</v>
      </c>
      <c r="B234" t="s">
        <v>1238</v>
      </c>
      <c r="C234" s="6">
        <v>4.9000000000000004</v>
      </c>
      <c r="D234" s="6">
        <f t="shared" si="8"/>
        <v>12.679166666666667</v>
      </c>
      <c r="E234" s="6">
        <f t="shared" si="9"/>
        <v>-7.7791666666666668</v>
      </c>
    </row>
    <row r="235" spans="1:5" x14ac:dyDescent="0.2">
      <c r="A235" t="s">
        <v>1321</v>
      </c>
      <c r="B235" t="s">
        <v>1239</v>
      </c>
      <c r="C235" s="6">
        <v>6.8</v>
      </c>
      <c r="D235" s="6">
        <f t="shared" si="8"/>
        <v>12.452083333333334</v>
      </c>
      <c r="E235" s="6">
        <f t="shared" si="9"/>
        <v>-5.6520833333333345</v>
      </c>
    </row>
    <row r="236" spans="1:5" x14ac:dyDescent="0.2">
      <c r="A236" t="s">
        <v>1321</v>
      </c>
      <c r="B236" t="s">
        <v>1240</v>
      </c>
      <c r="C236" s="6">
        <v>7.7</v>
      </c>
      <c r="D236" s="6">
        <f t="shared" si="8"/>
        <v>12.195833333333333</v>
      </c>
      <c r="E236" s="6">
        <f t="shared" si="9"/>
        <v>-4.4958333333333327</v>
      </c>
    </row>
    <row r="237" spans="1:5" x14ac:dyDescent="0.2">
      <c r="A237" t="s">
        <v>1321</v>
      </c>
      <c r="B237" t="s">
        <v>1241</v>
      </c>
      <c r="C237" s="6">
        <v>11.3</v>
      </c>
      <c r="D237" s="6">
        <f t="shared" si="8"/>
        <v>11.924999999999999</v>
      </c>
      <c r="E237" s="6">
        <f t="shared" si="9"/>
        <v>-0.62499999999999822</v>
      </c>
    </row>
    <row r="238" spans="1:5" x14ac:dyDescent="0.2">
      <c r="A238" t="s">
        <v>1321</v>
      </c>
      <c r="B238" t="s">
        <v>1242</v>
      </c>
      <c r="C238" s="6">
        <v>6.6</v>
      </c>
      <c r="D238" s="6">
        <f t="shared" si="8"/>
        <v>11.791666666666664</v>
      </c>
      <c r="E238" s="6">
        <f t="shared" si="9"/>
        <v>-5.1916666666666647</v>
      </c>
    </row>
    <row r="239" spans="1:5" x14ac:dyDescent="0.2">
      <c r="A239" t="s">
        <v>1321</v>
      </c>
      <c r="B239" t="s">
        <v>1243</v>
      </c>
      <c r="C239" s="6">
        <v>5</v>
      </c>
      <c r="D239" s="6">
        <f t="shared" si="8"/>
        <v>11.774999999999999</v>
      </c>
      <c r="E239" s="6">
        <f t="shared" si="9"/>
        <v>-6.7749999999999986</v>
      </c>
    </row>
    <row r="240" spans="1:5" x14ac:dyDescent="0.2">
      <c r="A240" t="s">
        <v>1321</v>
      </c>
      <c r="B240" t="s">
        <v>1244</v>
      </c>
      <c r="C240" s="6">
        <v>8.1</v>
      </c>
      <c r="D240" s="6">
        <f t="shared" si="8"/>
        <v>11.354166666666666</v>
      </c>
      <c r="E240" s="6">
        <f t="shared" si="9"/>
        <v>-3.2541666666666664</v>
      </c>
    </row>
    <row r="241" spans="1:5" x14ac:dyDescent="0.2">
      <c r="A241" t="s">
        <v>1321</v>
      </c>
      <c r="B241" t="s">
        <v>1245</v>
      </c>
      <c r="C241" s="6">
        <v>6.1</v>
      </c>
      <c r="D241" s="6">
        <f t="shared" si="8"/>
        <v>11.293750000000001</v>
      </c>
      <c r="E241" s="6">
        <f t="shared" si="9"/>
        <v>-5.1937500000000014</v>
      </c>
    </row>
    <row r="242" spans="1:5" x14ac:dyDescent="0.2">
      <c r="A242" t="s">
        <v>1321</v>
      </c>
      <c r="B242" t="s">
        <v>1246</v>
      </c>
      <c r="C242" s="6">
        <v>3.3</v>
      </c>
      <c r="D242" s="6">
        <f t="shared" ref="D242:D273" si="10">AVERAGE(C194:C241)</f>
        <v>11.037500000000001</v>
      </c>
      <c r="E242" s="6">
        <f t="shared" ref="E242:E273" si="11">C242-D242</f>
        <v>-7.7375000000000016</v>
      </c>
    </row>
    <row r="243" spans="1:5" x14ac:dyDescent="0.2">
      <c r="A243" t="s">
        <v>1321</v>
      </c>
      <c r="B243" t="s">
        <v>1247</v>
      </c>
      <c r="C243" s="6">
        <v>3.7</v>
      </c>
      <c r="D243" s="6">
        <f t="shared" si="10"/>
        <v>10.747916666666667</v>
      </c>
      <c r="E243" s="6">
        <f t="shared" si="11"/>
        <v>-7.0479166666666666</v>
      </c>
    </row>
    <row r="244" spans="1:5" x14ac:dyDescent="0.2">
      <c r="A244" t="s">
        <v>1321</v>
      </c>
      <c r="B244" t="s">
        <v>1248</v>
      </c>
      <c r="C244" s="6">
        <v>9.1</v>
      </c>
      <c r="D244" s="6">
        <f t="shared" si="10"/>
        <v>10.50625</v>
      </c>
      <c r="E244" s="6">
        <f t="shared" si="11"/>
        <v>-1.40625</v>
      </c>
    </row>
    <row r="245" spans="1:5" x14ac:dyDescent="0.2">
      <c r="A245" t="s">
        <v>1321</v>
      </c>
      <c r="B245" t="s">
        <v>1249</v>
      </c>
      <c r="C245" s="6">
        <v>8.9</v>
      </c>
      <c r="D245" s="6">
        <f t="shared" si="10"/>
        <v>10.585416666666667</v>
      </c>
      <c r="E245" s="6">
        <f t="shared" si="11"/>
        <v>-1.6854166666666668</v>
      </c>
    </row>
    <row r="246" spans="1:5" x14ac:dyDescent="0.2">
      <c r="A246" t="s">
        <v>1321</v>
      </c>
      <c r="B246" t="s">
        <v>1250</v>
      </c>
      <c r="C246" s="6">
        <v>10.8</v>
      </c>
      <c r="D246" s="6">
        <f t="shared" si="10"/>
        <v>10.429166666666667</v>
      </c>
      <c r="E246" s="6">
        <f t="shared" si="11"/>
        <v>0.37083333333333357</v>
      </c>
    </row>
    <row r="247" spans="1:5" x14ac:dyDescent="0.2">
      <c r="A247" t="s">
        <v>1321</v>
      </c>
      <c r="B247" t="s">
        <v>1251</v>
      </c>
      <c r="C247" s="6">
        <v>10.9</v>
      </c>
      <c r="D247" s="6">
        <f t="shared" si="10"/>
        <v>10.141666666666667</v>
      </c>
      <c r="E247" s="6">
        <f t="shared" si="11"/>
        <v>0.75833333333333286</v>
      </c>
    </row>
    <row r="248" spans="1:5" x14ac:dyDescent="0.2">
      <c r="A248" t="s">
        <v>1321</v>
      </c>
      <c r="B248" t="s">
        <v>1252</v>
      </c>
      <c r="C248" s="6">
        <v>5.8</v>
      </c>
      <c r="D248" s="6">
        <f t="shared" si="10"/>
        <v>9.8437500000000018</v>
      </c>
      <c r="E248" s="6">
        <f t="shared" si="11"/>
        <v>-4.043750000000002</v>
      </c>
    </row>
    <row r="249" spans="1:5" x14ac:dyDescent="0.2">
      <c r="A249" t="s">
        <v>1321</v>
      </c>
      <c r="B249" t="s">
        <v>1253</v>
      </c>
      <c r="C249" s="6">
        <v>6.4</v>
      </c>
      <c r="D249" s="6">
        <f t="shared" si="10"/>
        <v>9.3104166666666668</v>
      </c>
      <c r="E249" s="6">
        <f t="shared" si="11"/>
        <v>-2.9104166666666664</v>
      </c>
    </row>
    <row r="250" spans="1:5" x14ac:dyDescent="0.2">
      <c r="A250" t="s">
        <v>1321</v>
      </c>
      <c r="B250" t="s">
        <v>1254</v>
      </c>
      <c r="C250" s="6">
        <v>-3.4</v>
      </c>
      <c r="D250" s="6">
        <f t="shared" si="10"/>
        <v>8.8312500000000007</v>
      </c>
      <c r="E250" s="6">
        <f t="shared" si="11"/>
        <v>-12.231250000000001</v>
      </c>
    </row>
    <row r="251" spans="1:5" x14ac:dyDescent="0.2">
      <c r="A251" t="s">
        <v>1321</v>
      </c>
      <c r="B251" t="s">
        <v>1255</v>
      </c>
      <c r="C251" s="6">
        <v>2.7</v>
      </c>
      <c r="D251" s="6">
        <f t="shared" si="10"/>
        <v>8.1270833333333332</v>
      </c>
      <c r="E251" s="6">
        <f t="shared" si="11"/>
        <v>-5.427083333333333</v>
      </c>
    </row>
    <row r="252" spans="1:5" x14ac:dyDescent="0.2">
      <c r="A252" t="s">
        <v>1321</v>
      </c>
      <c r="B252" t="s">
        <v>1256</v>
      </c>
      <c r="C252" s="6">
        <v>0.3</v>
      </c>
      <c r="D252" s="6">
        <f t="shared" si="10"/>
        <v>7.9750000000000014</v>
      </c>
      <c r="E252" s="6">
        <f t="shared" si="11"/>
        <v>-7.6750000000000016</v>
      </c>
    </row>
    <row r="253" spans="1:5" x14ac:dyDescent="0.2">
      <c r="A253" t="s">
        <v>1321</v>
      </c>
      <c r="B253" t="s">
        <v>1257</v>
      </c>
      <c r="C253" s="6">
        <v>1.4</v>
      </c>
      <c r="D253" s="6">
        <f t="shared" si="10"/>
        <v>7.814583333333335</v>
      </c>
      <c r="E253" s="6">
        <f t="shared" si="11"/>
        <v>-6.4145833333333346</v>
      </c>
    </row>
    <row r="254" spans="1:5" x14ac:dyDescent="0.2">
      <c r="A254" t="s">
        <v>1321</v>
      </c>
      <c r="B254" t="s">
        <v>1258</v>
      </c>
      <c r="C254" s="6">
        <v>6.7</v>
      </c>
      <c r="D254" s="6">
        <f t="shared" si="10"/>
        <v>7.6541666666666677</v>
      </c>
      <c r="E254" s="6">
        <f t="shared" si="11"/>
        <v>-0.9541666666666675</v>
      </c>
    </row>
    <row r="255" spans="1:5" x14ac:dyDescent="0.2">
      <c r="A255" t="s">
        <v>1321</v>
      </c>
      <c r="B255" t="s">
        <v>1259</v>
      </c>
      <c r="C255" s="6">
        <v>4.5999999999999996</v>
      </c>
      <c r="D255" s="6">
        <f t="shared" si="10"/>
        <v>7.522916666666668</v>
      </c>
      <c r="E255" s="6">
        <f t="shared" si="11"/>
        <v>-2.9229166666666684</v>
      </c>
    </row>
    <row r="256" spans="1:5" x14ac:dyDescent="0.2">
      <c r="A256" t="s">
        <v>1321</v>
      </c>
      <c r="B256" t="s">
        <v>1260</v>
      </c>
      <c r="C256" s="6">
        <v>0.9</v>
      </c>
      <c r="D256" s="6">
        <f t="shared" si="10"/>
        <v>7.3375000000000021</v>
      </c>
      <c r="E256" s="6">
        <f t="shared" si="11"/>
        <v>-6.4375000000000018</v>
      </c>
    </row>
    <row r="257" spans="1:5" x14ac:dyDescent="0.2">
      <c r="A257" t="s">
        <v>1321</v>
      </c>
      <c r="B257" t="s">
        <v>1261</v>
      </c>
      <c r="C257" s="6">
        <v>3.5</v>
      </c>
      <c r="D257" s="6">
        <f t="shared" si="10"/>
        <v>7.0791666666666666</v>
      </c>
      <c r="E257" s="6">
        <f t="shared" si="11"/>
        <v>-3.5791666666666666</v>
      </c>
    </row>
    <row r="258" spans="1:5" x14ac:dyDescent="0.2">
      <c r="A258" t="s">
        <v>1321</v>
      </c>
      <c r="B258" t="s">
        <v>1262</v>
      </c>
      <c r="C258" s="6">
        <v>3.2</v>
      </c>
      <c r="D258" s="6">
        <f t="shared" si="10"/>
        <v>6.8708333333333327</v>
      </c>
      <c r="E258" s="6">
        <f t="shared" si="11"/>
        <v>-3.6708333333333325</v>
      </c>
    </row>
    <row r="259" spans="1:5" x14ac:dyDescent="0.2">
      <c r="A259" t="s">
        <v>1321</v>
      </c>
      <c r="B259" t="s">
        <v>1263</v>
      </c>
      <c r="C259" s="6">
        <v>3.7</v>
      </c>
      <c r="D259" s="6">
        <f t="shared" si="10"/>
        <v>6.716666666666665</v>
      </c>
      <c r="E259" s="6">
        <f t="shared" si="11"/>
        <v>-3.0166666666666648</v>
      </c>
    </row>
    <row r="260" spans="1:5" x14ac:dyDescent="0.2">
      <c r="A260" t="s">
        <v>1321</v>
      </c>
      <c r="B260" t="s">
        <v>1264</v>
      </c>
      <c r="C260" s="6">
        <v>-7.7</v>
      </c>
      <c r="D260" s="6">
        <f t="shared" si="10"/>
        <v>6.5791666666666657</v>
      </c>
      <c r="E260" s="6">
        <f t="shared" si="11"/>
        <v>-14.279166666666665</v>
      </c>
    </row>
    <row r="261" spans="1:5" x14ac:dyDescent="0.2">
      <c r="A261" t="s">
        <v>1321</v>
      </c>
      <c r="B261" t="s">
        <v>1265</v>
      </c>
      <c r="C261" s="6">
        <v>-9.6999999999999993</v>
      </c>
      <c r="D261" s="6">
        <f t="shared" si="10"/>
        <v>6.2249999999999988</v>
      </c>
      <c r="E261" s="6">
        <f t="shared" si="11"/>
        <v>-15.924999999999997</v>
      </c>
    </row>
    <row r="262" spans="1:5" x14ac:dyDescent="0.2">
      <c r="A262" t="s">
        <v>1321</v>
      </c>
      <c r="B262" t="s">
        <v>1266</v>
      </c>
      <c r="C262" s="6">
        <v>-7.6</v>
      </c>
      <c r="D262" s="6">
        <f t="shared" si="10"/>
        <v>5.78125</v>
      </c>
      <c r="E262" s="6">
        <f t="shared" si="11"/>
        <v>-13.38125</v>
      </c>
    </row>
    <row r="263" spans="1:5" x14ac:dyDescent="0.2">
      <c r="A263" t="s">
        <v>1321</v>
      </c>
      <c r="B263" t="s">
        <v>1267</v>
      </c>
      <c r="C263" s="6">
        <v>-1.9</v>
      </c>
      <c r="D263" s="6">
        <f t="shared" si="10"/>
        <v>5.3062500000000004</v>
      </c>
      <c r="E263" s="6">
        <f t="shared" si="11"/>
        <v>-7.2062500000000007</v>
      </c>
    </row>
    <row r="264" spans="1:5" x14ac:dyDescent="0.2">
      <c r="A264" t="s">
        <v>1321</v>
      </c>
      <c r="B264" t="s">
        <v>1268</v>
      </c>
      <c r="C264" s="6">
        <v>2.7</v>
      </c>
      <c r="D264" s="6">
        <f t="shared" si="10"/>
        <v>5.1479166666666671</v>
      </c>
      <c r="E264" s="6">
        <f t="shared" si="11"/>
        <v>-2.447916666666667</v>
      </c>
    </row>
    <row r="265" spans="1:5" x14ac:dyDescent="0.2">
      <c r="A265" t="s">
        <v>1321</v>
      </c>
      <c r="B265" t="s">
        <v>1269</v>
      </c>
      <c r="C265" s="6">
        <v>3.1</v>
      </c>
      <c r="D265" s="6">
        <f t="shared" si="10"/>
        <v>4.9770833333333337</v>
      </c>
      <c r="E265" s="6">
        <f t="shared" si="11"/>
        <v>-1.8770833333333337</v>
      </c>
    </row>
    <row r="266" spans="1:5" x14ac:dyDescent="0.2">
      <c r="A266" t="s">
        <v>1321</v>
      </c>
      <c r="B266" t="s">
        <v>1270</v>
      </c>
      <c r="C266" s="6">
        <v>-5.6</v>
      </c>
      <c r="D266" s="6">
        <f t="shared" si="10"/>
        <v>4.8354166666666663</v>
      </c>
      <c r="E266" s="6">
        <f t="shared" si="11"/>
        <v>-10.435416666666665</v>
      </c>
    </row>
    <row r="267" spans="1:5" x14ac:dyDescent="0.2">
      <c r="A267" t="s">
        <v>1321</v>
      </c>
      <c r="B267" t="s">
        <v>1271</v>
      </c>
      <c r="C267" s="6">
        <v>-6.6</v>
      </c>
      <c r="D267" s="6">
        <f t="shared" si="10"/>
        <v>4.6312500000000005</v>
      </c>
      <c r="E267" s="6">
        <f t="shared" si="11"/>
        <v>-11.231249999999999</v>
      </c>
    </row>
    <row r="268" spans="1:5" x14ac:dyDescent="0.2">
      <c r="A268" t="s">
        <v>1321</v>
      </c>
      <c r="B268" t="s">
        <v>1272</v>
      </c>
      <c r="C268" s="6">
        <v>-10.3</v>
      </c>
      <c r="D268" s="6">
        <f t="shared" si="10"/>
        <v>4.3187500000000005</v>
      </c>
      <c r="E268" s="6">
        <f t="shared" si="11"/>
        <v>-14.618750000000002</v>
      </c>
    </row>
    <row r="269" spans="1:5" x14ac:dyDescent="0.2">
      <c r="A269" t="s">
        <v>1321</v>
      </c>
      <c r="B269" t="s">
        <v>1273</v>
      </c>
      <c r="C269" s="6">
        <v>-7</v>
      </c>
      <c r="D269" s="6">
        <f t="shared" si="10"/>
        <v>3.8854166666666665</v>
      </c>
      <c r="E269" s="6">
        <f t="shared" si="11"/>
        <v>-10.885416666666666</v>
      </c>
    </row>
    <row r="270" spans="1:5" x14ac:dyDescent="0.2">
      <c r="A270" t="s">
        <v>1321</v>
      </c>
      <c r="B270" t="s">
        <v>1274</v>
      </c>
      <c r="C270" s="6">
        <v>-9.8000000000000007</v>
      </c>
      <c r="D270" s="6">
        <f t="shared" si="10"/>
        <v>3.5874999999999999</v>
      </c>
      <c r="E270" s="6">
        <f t="shared" si="11"/>
        <v>-13.387500000000001</v>
      </c>
    </row>
    <row r="271" spans="1:5" x14ac:dyDescent="0.2">
      <c r="A271" t="s">
        <v>1321</v>
      </c>
      <c r="B271" t="s">
        <v>1275</v>
      </c>
      <c r="C271" s="6">
        <v>-9</v>
      </c>
      <c r="D271" s="6">
        <f t="shared" si="10"/>
        <v>3.2770833333333331</v>
      </c>
      <c r="E271" s="6">
        <f t="shared" si="11"/>
        <v>-12.277083333333334</v>
      </c>
    </row>
    <row r="272" spans="1:5" x14ac:dyDescent="0.2">
      <c r="A272" t="s">
        <v>1321</v>
      </c>
      <c r="B272" t="s">
        <v>1276</v>
      </c>
      <c r="C272" s="6">
        <v>26.7</v>
      </c>
      <c r="D272" s="6">
        <f t="shared" si="10"/>
        <v>2.9416666666666664</v>
      </c>
      <c r="E272" s="6">
        <f t="shared" si="11"/>
        <v>23.758333333333333</v>
      </c>
    </row>
    <row r="273" spans="1:5" x14ac:dyDescent="0.2">
      <c r="A273" t="s">
        <v>1321</v>
      </c>
      <c r="B273" t="s">
        <v>1277</v>
      </c>
      <c r="C273" s="6">
        <v>22</v>
      </c>
      <c r="D273" s="6">
        <f t="shared" si="10"/>
        <v>3.3229166666666661</v>
      </c>
      <c r="E273" s="6">
        <f t="shared" si="11"/>
        <v>18.677083333333336</v>
      </c>
    </row>
    <row r="274" spans="1:5" x14ac:dyDescent="0.2">
      <c r="A274" t="s">
        <v>1321</v>
      </c>
      <c r="B274" t="s">
        <v>1278</v>
      </c>
      <c r="C274" s="6">
        <v>6.7</v>
      </c>
      <c r="D274" s="6">
        <f t="shared" ref="D274:D305" si="12">AVERAGE(C226:C273)</f>
        <v>3.5791666666666657</v>
      </c>
      <c r="E274" s="6">
        <f t="shared" ref="E274:E305" si="13">C274-D274</f>
        <v>3.1208333333333345</v>
      </c>
    </row>
    <row r="275" spans="1:5" x14ac:dyDescent="0.2">
      <c r="A275" t="s">
        <v>1321</v>
      </c>
      <c r="B275" t="s">
        <v>1279</v>
      </c>
      <c r="C275" s="6">
        <v>5.8</v>
      </c>
      <c r="D275" s="6">
        <f t="shared" si="12"/>
        <v>3.4999999999999996</v>
      </c>
      <c r="E275" s="6">
        <f t="shared" si="13"/>
        <v>2.3000000000000003</v>
      </c>
    </row>
    <row r="276" spans="1:5" x14ac:dyDescent="0.2">
      <c r="A276" t="s">
        <v>1321</v>
      </c>
      <c r="B276" t="s">
        <v>1280</v>
      </c>
      <c r="C276" s="6">
        <v>5.3</v>
      </c>
      <c r="D276" s="6">
        <f t="shared" si="12"/>
        <v>3.6270833333333332</v>
      </c>
      <c r="E276" s="6">
        <f t="shared" si="13"/>
        <v>1.6729166666666666</v>
      </c>
    </row>
    <row r="277" spans="1:5" x14ac:dyDescent="0.2">
      <c r="A277" t="s">
        <v>1321</v>
      </c>
      <c r="B277" t="s">
        <v>1281</v>
      </c>
      <c r="C277" s="6">
        <v>14.5</v>
      </c>
      <c r="D277" s="6">
        <f t="shared" si="12"/>
        <v>3.5729166666666661</v>
      </c>
      <c r="E277" s="6">
        <f t="shared" si="13"/>
        <v>10.927083333333334</v>
      </c>
    </row>
    <row r="278" spans="1:5" x14ac:dyDescent="0.2">
      <c r="A278" t="s">
        <v>1321</v>
      </c>
      <c r="B278" t="s">
        <v>1282</v>
      </c>
      <c r="C278" s="6">
        <v>19.100000000000001</v>
      </c>
      <c r="D278" s="6">
        <f t="shared" si="12"/>
        <v>3.7166666666666663</v>
      </c>
      <c r="E278" s="6">
        <f t="shared" si="13"/>
        <v>15.383333333333335</v>
      </c>
    </row>
    <row r="279" spans="1:5" x14ac:dyDescent="0.2">
      <c r="A279" t="s">
        <v>1321</v>
      </c>
      <c r="B279" t="s">
        <v>1283</v>
      </c>
      <c r="C279" s="6">
        <v>23.9</v>
      </c>
      <c r="D279" s="6">
        <f t="shared" si="12"/>
        <v>3.9083333333333332</v>
      </c>
      <c r="E279" s="6">
        <f t="shared" si="13"/>
        <v>19.991666666666667</v>
      </c>
    </row>
    <row r="280" spans="1:5" x14ac:dyDescent="0.2">
      <c r="A280" t="s">
        <v>1321</v>
      </c>
      <c r="B280" t="s">
        <v>1284</v>
      </c>
      <c r="C280" s="6">
        <v>23.8</v>
      </c>
      <c r="D280" s="6">
        <f t="shared" si="12"/>
        <v>4.2437500000000004</v>
      </c>
      <c r="E280" s="6">
        <f t="shared" si="13"/>
        <v>19.556249999999999</v>
      </c>
    </row>
    <row r="281" spans="1:5" x14ac:dyDescent="0.2">
      <c r="A281" t="s">
        <v>1321</v>
      </c>
      <c r="B281" t="s">
        <v>1285</v>
      </c>
      <c r="C281" s="6">
        <v>21.3</v>
      </c>
      <c r="D281" s="6">
        <f t="shared" si="12"/>
        <v>4.5708333333333346</v>
      </c>
      <c r="E281" s="6">
        <f t="shared" si="13"/>
        <v>16.729166666666664</v>
      </c>
    </row>
    <row r="282" spans="1:5" x14ac:dyDescent="0.2">
      <c r="A282" t="s">
        <v>1321</v>
      </c>
      <c r="B282" t="s">
        <v>1286</v>
      </c>
      <c r="C282" s="6">
        <v>15.7</v>
      </c>
      <c r="D282" s="6">
        <f t="shared" si="12"/>
        <v>4.9729166666666673</v>
      </c>
      <c r="E282" s="6">
        <f t="shared" si="13"/>
        <v>10.727083333333333</v>
      </c>
    </row>
    <row r="283" spans="1:5" x14ac:dyDescent="0.2">
      <c r="A283" t="s">
        <v>1321</v>
      </c>
      <c r="B283" t="s">
        <v>1287</v>
      </c>
      <c r="C283" s="6">
        <v>12.9</v>
      </c>
      <c r="D283" s="6">
        <f t="shared" si="12"/>
        <v>5.197916666666667</v>
      </c>
      <c r="E283" s="6">
        <f t="shared" si="13"/>
        <v>7.7020833333333334</v>
      </c>
    </row>
    <row r="284" spans="1:5" x14ac:dyDescent="0.2">
      <c r="A284" t="s">
        <v>1321</v>
      </c>
      <c r="B284" t="s">
        <v>1288</v>
      </c>
      <c r="C284" s="6">
        <v>7.8</v>
      </c>
      <c r="D284" s="6">
        <f t="shared" si="12"/>
        <v>5.3250000000000011</v>
      </c>
      <c r="E284" s="6">
        <f t="shared" si="13"/>
        <v>2.4749999999999988</v>
      </c>
    </row>
    <row r="285" spans="1:5" x14ac:dyDescent="0.2">
      <c r="A285" t="s">
        <v>1321</v>
      </c>
      <c r="B285" t="s">
        <v>1289</v>
      </c>
      <c r="C285" s="6">
        <v>8.1</v>
      </c>
      <c r="D285" s="6">
        <f t="shared" si="12"/>
        <v>5.3270833333333352</v>
      </c>
      <c r="E285" s="6">
        <f t="shared" si="13"/>
        <v>2.7729166666666645</v>
      </c>
    </row>
    <row r="286" spans="1:5" x14ac:dyDescent="0.2">
      <c r="A286" t="s">
        <v>1321</v>
      </c>
      <c r="B286" t="s">
        <v>1290</v>
      </c>
      <c r="C286" s="6">
        <v>8</v>
      </c>
      <c r="D286" s="6">
        <f t="shared" si="12"/>
        <v>5.2604166666666679</v>
      </c>
      <c r="E286" s="6">
        <f t="shared" si="13"/>
        <v>2.7395833333333321</v>
      </c>
    </row>
    <row r="287" spans="1:5" x14ac:dyDescent="0.2">
      <c r="A287" t="s">
        <v>1321</v>
      </c>
      <c r="B287" t="s">
        <v>1291</v>
      </c>
      <c r="C287" s="6">
        <v>4.8</v>
      </c>
      <c r="D287" s="6">
        <f t="shared" si="12"/>
        <v>5.2895833333333346</v>
      </c>
      <c r="E287" s="6">
        <f t="shared" si="13"/>
        <v>-0.48958333333333481</v>
      </c>
    </row>
    <row r="288" spans="1:5" x14ac:dyDescent="0.2">
      <c r="A288" t="s">
        <v>1321</v>
      </c>
      <c r="B288" t="s">
        <v>1292</v>
      </c>
      <c r="C288" s="6">
        <v>0.5</v>
      </c>
      <c r="D288" s="6">
        <f t="shared" si="12"/>
        <v>5.2854166666666673</v>
      </c>
      <c r="E288" s="6">
        <f t="shared" si="13"/>
        <v>-4.7854166666666673</v>
      </c>
    </row>
    <row r="289" spans="1:5" x14ac:dyDescent="0.2">
      <c r="A289" t="s">
        <v>1321</v>
      </c>
      <c r="B289" t="s">
        <v>1293</v>
      </c>
      <c r="C289" s="6">
        <v>1.5</v>
      </c>
      <c r="D289" s="6">
        <f t="shared" si="12"/>
        <v>5.1270833333333341</v>
      </c>
      <c r="E289" s="6">
        <f t="shared" si="13"/>
        <v>-3.6270833333333341</v>
      </c>
    </row>
    <row r="290" spans="1:5" x14ac:dyDescent="0.2">
      <c r="A290" t="s">
        <v>1321</v>
      </c>
      <c r="B290" t="s">
        <v>1294</v>
      </c>
      <c r="C290" s="6">
        <v>3.5</v>
      </c>
      <c r="D290" s="6">
        <f t="shared" si="12"/>
        <v>5.0312500000000009</v>
      </c>
      <c r="E290" s="6">
        <f t="shared" si="13"/>
        <v>-1.5312500000000009</v>
      </c>
    </row>
    <row r="291" spans="1:5" x14ac:dyDescent="0.2">
      <c r="A291" t="s">
        <v>1321</v>
      </c>
      <c r="B291" t="s">
        <v>1295</v>
      </c>
      <c r="C291" s="6">
        <v>9.4</v>
      </c>
      <c r="D291" s="6">
        <f t="shared" si="12"/>
        <v>5.0354166666666673</v>
      </c>
      <c r="E291" s="6">
        <f t="shared" si="13"/>
        <v>4.364583333333333</v>
      </c>
    </row>
    <row r="292" spans="1:5" x14ac:dyDescent="0.2">
      <c r="A292" t="s">
        <v>1321</v>
      </c>
      <c r="B292" t="s">
        <v>1296</v>
      </c>
      <c r="C292" s="6">
        <v>4.5999999999999996</v>
      </c>
      <c r="D292" s="6">
        <f t="shared" si="12"/>
        <v>5.1541666666666677</v>
      </c>
      <c r="E292" s="6">
        <f t="shared" si="13"/>
        <v>-0.55416666666666803</v>
      </c>
    </row>
    <row r="293" spans="1:5" x14ac:dyDescent="0.2">
      <c r="A293" t="s">
        <v>1321</v>
      </c>
      <c r="B293" t="s">
        <v>1297</v>
      </c>
      <c r="C293" s="6">
        <v>-2.7</v>
      </c>
      <c r="D293" s="6">
        <f t="shared" si="12"/>
        <v>5.0604166666666677</v>
      </c>
      <c r="E293" s="6">
        <f t="shared" si="13"/>
        <v>-7.7604166666666679</v>
      </c>
    </row>
    <row r="294" spans="1:5" x14ac:dyDescent="0.2">
      <c r="A294" t="s">
        <v>1321</v>
      </c>
      <c r="B294" t="s">
        <v>1298</v>
      </c>
      <c r="C294" s="6">
        <v>2.9</v>
      </c>
      <c r="D294" s="6">
        <f t="shared" si="12"/>
        <v>4.8187500000000014</v>
      </c>
      <c r="E294" s="6">
        <f t="shared" si="13"/>
        <v>-1.9187500000000015</v>
      </c>
    </row>
    <row r="295" spans="1:5" x14ac:dyDescent="0.2">
      <c r="A295" t="s">
        <v>1321</v>
      </c>
      <c r="B295" t="s">
        <v>1299</v>
      </c>
      <c r="C295" s="6">
        <v>2.6</v>
      </c>
      <c r="D295" s="6">
        <f t="shared" si="12"/>
        <v>4.6541666666666677</v>
      </c>
      <c r="E295" s="6">
        <f t="shared" si="13"/>
        <v>-2.0541666666666676</v>
      </c>
    </row>
    <row r="296" spans="1:5" x14ac:dyDescent="0.2">
      <c r="A296" t="s">
        <v>1321</v>
      </c>
      <c r="B296" t="s">
        <v>1300</v>
      </c>
      <c r="C296" s="6">
        <v>3.4</v>
      </c>
      <c r="D296" s="6">
        <f t="shared" si="12"/>
        <v>4.4812500000000002</v>
      </c>
      <c r="E296" s="6">
        <f t="shared" si="13"/>
        <v>-1.0812500000000003</v>
      </c>
    </row>
    <row r="297" spans="1:5" x14ac:dyDescent="0.2">
      <c r="A297" t="s">
        <v>1321</v>
      </c>
      <c r="B297" t="s">
        <v>1301</v>
      </c>
      <c r="C297" s="6">
        <v>3.1</v>
      </c>
      <c r="D297" s="6">
        <f t="shared" si="12"/>
        <v>4.4312500000000004</v>
      </c>
      <c r="E297" s="6">
        <f t="shared" si="13"/>
        <v>-1.3312500000000003</v>
      </c>
    </row>
    <row r="298" spans="1:5" x14ac:dyDescent="0.2">
      <c r="A298" t="s">
        <v>1321</v>
      </c>
      <c r="B298" t="s">
        <v>1302</v>
      </c>
      <c r="C298" s="6">
        <v>9.1</v>
      </c>
      <c r="D298" s="6">
        <f t="shared" si="12"/>
        <v>4.3625000000000007</v>
      </c>
      <c r="E298" s="6">
        <f t="shared" si="13"/>
        <v>4.7374999999999989</v>
      </c>
    </row>
    <row r="299" spans="1:5" x14ac:dyDescent="0.2">
      <c r="A299" t="s">
        <v>1321</v>
      </c>
      <c r="B299" t="s">
        <v>1303</v>
      </c>
      <c r="C299" s="6">
        <v>10.4</v>
      </c>
      <c r="D299" s="6">
        <f t="shared" si="12"/>
        <v>4.6229166666666668</v>
      </c>
      <c r="E299" s="6">
        <f t="shared" si="13"/>
        <v>5.7770833333333336</v>
      </c>
    </row>
    <row r="300" spans="1:5" x14ac:dyDescent="0.2">
      <c r="A300" t="s">
        <v>1321</v>
      </c>
      <c r="B300" t="s">
        <v>1304</v>
      </c>
      <c r="C300" s="6">
        <v>-2.4</v>
      </c>
      <c r="D300" s="6">
        <f t="shared" si="12"/>
        <v>4.7833333333333341</v>
      </c>
      <c r="E300" s="6">
        <f t="shared" si="13"/>
        <v>-7.1833333333333336</v>
      </c>
    </row>
    <row r="301" spans="1:5" x14ac:dyDescent="0.2">
      <c r="A301" t="s">
        <v>1321</v>
      </c>
      <c r="B301" t="s">
        <v>1305</v>
      </c>
      <c r="C301" s="6">
        <v>2.6</v>
      </c>
      <c r="D301" s="6">
        <f t="shared" si="12"/>
        <v>4.7270833333333337</v>
      </c>
      <c r="E301" s="6">
        <f t="shared" si="13"/>
        <v>-2.1270833333333337</v>
      </c>
    </row>
    <row r="302" spans="1:5" x14ac:dyDescent="0.2">
      <c r="A302" t="s">
        <v>1321</v>
      </c>
      <c r="B302" t="s">
        <v>1306</v>
      </c>
      <c r="C302" s="6">
        <v>3.3</v>
      </c>
      <c r="D302" s="6">
        <f t="shared" si="12"/>
        <v>4.7520833333333341</v>
      </c>
      <c r="E302" s="6">
        <f t="shared" si="13"/>
        <v>-1.4520833333333343</v>
      </c>
    </row>
    <row r="303" spans="1:5" x14ac:dyDescent="0.2">
      <c r="A303" t="s">
        <v>1321</v>
      </c>
      <c r="B303" t="s">
        <v>1307</v>
      </c>
      <c r="C303" s="6">
        <v>2.5</v>
      </c>
      <c r="D303" s="6">
        <f t="shared" si="12"/>
        <v>4.6812500000000004</v>
      </c>
      <c r="E303" s="6">
        <f t="shared" si="13"/>
        <v>-2.1812500000000004</v>
      </c>
    </row>
    <row r="304" spans="1:5" x14ac:dyDescent="0.2">
      <c r="A304" t="s">
        <v>1321</v>
      </c>
      <c r="B304" t="s">
        <v>1308</v>
      </c>
      <c r="C304" s="6">
        <v>2.2999999999999998</v>
      </c>
      <c r="D304" s="6">
        <f t="shared" si="12"/>
        <v>4.6375000000000002</v>
      </c>
      <c r="E304" s="6">
        <f t="shared" si="13"/>
        <v>-2.3375000000000004</v>
      </c>
    </row>
    <row r="305" spans="1:5" x14ac:dyDescent="0.2">
      <c r="A305" t="s">
        <v>1321</v>
      </c>
      <c r="B305" t="s">
        <v>1309</v>
      </c>
      <c r="C305" s="6">
        <v>0.9</v>
      </c>
      <c r="D305" s="6">
        <f t="shared" si="12"/>
        <v>4.666666666666667</v>
      </c>
      <c r="E305" s="6">
        <f t="shared" si="13"/>
        <v>-3.7666666666666671</v>
      </c>
    </row>
    <row r="306" spans="1:5" x14ac:dyDescent="0.2">
      <c r="A306" t="s">
        <v>1321</v>
      </c>
      <c r="B306" t="s">
        <v>1310</v>
      </c>
      <c r="C306" s="6">
        <v>1.8</v>
      </c>
      <c r="D306" s="6">
        <f t="shared" ref="D306:D337" si="14">AVERAGE(C258:C305)</f>
        <v>4.6125000000000016</v>
      </c>
      <c r="E306" s="6">
        <f t="shared" ref="E306:E337" si="15">C306-D306</f>
        <v>-2.8125000000000018</v>
      </c>
    </row>
    <row r="307" spans="1:5" x14ac:dyDescent="0.2">
      <c r="A307" t="s">
        <v>1321</v>
      </c>
      <c r="B307" t="s">
        <v>1311</v>
      </c>
      <c r="C307" s="6">
        <v>6.8</v>
      </c>
      <c r="D307" s="6">
        <f t="shared" si="14"/>
        <v>4.5833333333333348</v>
      </c>
      <c r="E307" s="6">
        <f t="shared" si="15"/>
        <v>2.216666666666665</v>
      </c>
    </row>
    <row r="308" spans="1:5" x14ac:dyDescent="0.2">
      <c r="A308" t="s">
        <v>1321</v>
      </c>
      <c r="B308" t="s">
        <v>1312</v>
      </c>
      <c r="C308" s="6">
        <v>1.2</v>
      </c>
      <c r="D308" s="6">
        <f t="shared" si="14"/>
        <v>4.647916666666668</v>
      </c>
      <c r="E308" s="6">
        <f t="shared" si="15"/>
        <v>-3.4479166666666679</v>
      </c>
    </row>
    <row r="309" spans="1:5" x14ac:dyDescent="0.2">
      <c r="A309" t="s">
        <v>1321</v>
      </c>
      <c r="B309" t="s">
        <v>1313</v>
      </c>
      <c r="C309" s="6">
        <v>4</v>
      </c>
      <c r="D309" s="6">
        <f t="shared" si="14"/>
        <v>4.8333333333333348</v>
      </c>
      <c r="E309" s="6">
        <f t="shared" si="15"/>
        <v>-0.83333333333333481</v>
      </c>
    </row>
    <row r="310" spans="1:5" x14ac:dyDescent="0.2">
      <c r="A310" t="s">
        <v>1321</v>
      </c>
      <c r="B310" t="s">
        <v>1314</v>
      </c>
      <c r="C310" s="6">
        <v>6.4</v>
      </c>
      <c r="D310" s="6">
        <f t="shared" si="14"/>
        <v>5.1187500000000012</v>
      </c>
      <c r="E310" s="6">
        <f t="shared" si="15"/>
        <v>1.2812499999999991</v>
      </c>
    </row>
    <row r="311" spans="1:5" x14ac:dyDescent="0.2">
      <c r="A311" t="s">
        <v>1321</v>
      </c>
      <c r="B311" t="s">
        <v>1315</v>
      </c>
      <c r="C311" s="6">
        <v>8.5</v>
      </c>
      <c r="D311" s="6">
        <f t="shared" si="14"/>
        <v>5.4104166666666673</v>
      </c>
      <c r="E311" s="6">
        <f t="shared" si="15"/>
        <v>3.0895833333333327</v>
      </c>
    </row>
    <row r="312" spans="1:5" x14ac:dyDescent="0.2">
      <c r="A312" t="s">
        <v>1321</v>
      </c>
      <c r="B312" t="s">
        <v>1316</v>
      </c>
      <c r="C312" s="6">
        <v>5.9</v>
      </c>
      <c r="D312" s="6">
        <f t="shared" si="14"/>
        <v>5.6270833333333341</v>
      </c>
      <c r="E312" s="6">
        <f t="shared" si="15"/>
        <v>0.27291666666666625</v>
      </c>
    </row>
    <row r="313" spans="1:5" x14ac:dyDescent="0.2">
      <c r="A313" t="s">
        <v>1321</v>
      </c>
      <c r="B313" t="s">
        <v>1317</v>
      </c>
      <c r="C313" s="6">
        <v>8.1</v>
      </c>
      <c r="D313" s="6">
        <f t="shared" si="14"/>
        <v>5.6937500000000005</v>
      </c>
      <c r="E313" s="6">
        <f t="shared" si="15"/>
        <v>2.4062499999999991</v>
      </c>
    </row>
    <row r="314" spans="1:5" x14ac:dyDescent="0.2">
      <c r="A314" t="s">
        <v>1321</v>
      </c>
      <c r="B314" t="s">
        <v>1318</v>
      </c>
      <c r="C314" s="6">
        <v>8.8000000000000007</v>
      </c>
      <c r="D314" s="6">
        <f t="shared" si="14"/>
        <v>5.7979166666666684</v>
      </c>
      <c r="E314" s="6">
        <f t="shared" si="15"/>
        <v>3.0020833333333323</v>
      </c>
    </row>
    <row r="315" spans="1:5" x14ac:dyDescent="0.2">
      <c r="A315" t="s">
        <v>1321</v>
      </c>
      <c r="B315" t="s">
        <v>1319</v>
      </c>
      <c r="C315" s="6">
        <v>4.7</v>
      </c>
      <c r="D315" s="6">
        <f t="shared" si="14"/>
        <v>6.0979166666666673</v>
      </c>
      <c r="E315" s="6">
        <f t="shared" si="15"/>
        <v>-1.3979166666666671</v>
      </c>
    </row>
    <row r="316" spans="1:5" x14ac:dyDescent="0.2">
      <c r="A316" t="s">
        <v>1321</v>
      </c>
      <c r="B316" t="s">
        <v>1320</v>
      </c>
      <c r="C316" s="6">
        <v>-8.6</v>
      </c>
      <c r="D316" s="6">
        <f t="shared" si="14"/>
        <v>6.333333333333333</v>
      </c>
      <c r="E316" s="6">
        <f t="shared" si="15"/>
        <v>-14.933333333333334</v>
      </c>
    </row>
    <row r="317" spans="1:5" x14ac:dyDescent="0.2">
      <c r="A317" t="s">
        <v>1321</v>
      </c>
      <c r="B317" t="s">
        <v>16</v>
      </c>
      <c r="C317" s="6">
        <v>-0.1</v>
      </c>
      <c r="D317" s="6">
        <f t="shared" si="14"/>
        <v>6.3687499999999986</v>
      </c>
      <c r="E317" s="6">
        <f t="shared" si="15"/>
        <v>-6.4687499999999982</v>
      </c>
    </row>
    <row r="318" spans="1:5" x14ac:dyDescent="0.2">
      <c r="A318" t="s">
        <v>1322</v>
      </c>
      <c r="B318" t="s">
        <v>1166</v>
      </c>
      <c r="C318" s="6">
        <v>11.8</v>
      </c>
    </row>
    <row r="319" spans="1:5" x14ac:dyDescent="0.2">
      <c r="A319" t="s">
        <v>1322</v>
      </c>
      <c r="B319" t="s">
        <v>1167</v>
      </c>
      <c r="C319" s="6">
        <v>0.8</v>
      </c>
    </row>
    <row r="320" spans="1:5" x14ac:dyDescent="0.2">
      <c r="A320" t="s">
        <v>1322</v>
      </c>
      <c r="B320" t="s">
        <v>1168</v>
      </c>
      <c r="C320" s="6">
        <v>-5.6</v>
      </c>
    </row>
    <row r="321" spans="1:3" x14ac:dyDescent="0.2">
      <c r="A321" t="s">
        <v>1322</v>
      </c>
      <c r="B321" t="s">
        <v>1169</v>
      </c>
      <c r="C321" s="6">
        <v>-2.6</v>
      </c>
    </row>
    <row r="322" spans="1:3" x14ac:dyDescent="0.2">
      <c r="A322" t="s">
        <v>1322</v>
      </c>
      <c r="B322" t="s">
        <v>1170</v>
      </c>
      <c r="C322" s="6">
        <v>-9.4</v>
      </c>
    </row>
    <row r="323" spans="1:3" x14ac:dyDescent="0.2">
      <c r="A323" t="s">
        <v>1322</v>
      </c>
      <c r="B323" t="s">
        <v>1171</v>
      </c>
      <c r="C323" s="6">
        <v>-8.1999999999999993</v>
      </c>
    </row>
    <row r="324" spans="1:3" x14ac:dyDescent="0.2">
      <c r="A324" t="s">
        <v>1322</v>
      </c>
      <c r="B324" t="s">
        <v>1172</v>
      </c>
      <c r="C324" s="6">
        <v>-5.5</v>
      </c>
    </row>
    <row r="325" spans="1:3" x14ac:dyDescent="0.2">
      <c r="A325" t="s">
        <v>1322</v>
      </c>
      <c r="B325" t="s">
        <v>1173</v>
      </c>
      <c r="C325" s="6">
        <v>1.5</v>
      </c>
    </row>
    <row r="326" spans="1:3" x14ac:dyDescent="0.2">
      <c r="A326" t="s">
        <v>1322</v>
      </c>
      <c r="B326" t="s">
        <v>1174</v>
      </c>
      <c r="C326" s="6">
        <v>-0.5</v>
      </c>
    </row>
    <row r="327" spans="1:3" x14ac:dyDescent="0.2">
      <c r="A327" t="s">
        <v>1322</v>
      </c>
      <c r="B327" t="s">
        <v>1175</v>
      </c>
      <c r="C327" s="6">
        <v>-9</v>
      </c>
    </row>
    <row r="328" spans="1:3" x14ac:dyDescent="0.2">
      <c r="A328" t="s">
        <v>1322</v>
      </c>
      <c r="B328" t="s">
        <v>1176</v>
      </c>
      <c r="C328" s="6">
        <v>-6</v>
      </c>
    </row>
    <row r="329" spans="1:3" x14ac:dyDescent="0.2">
      <c r="A329" t="s">
        <v>1322</v>
      </c>
      <c r="B329" t="s">
        <v>1177</v>
      </c>
      <c r="C329" s="6">
        <v>-5.3</v>
      </c>
    </row>
    <row r="330" spans="1:3" x14ac:dyDescent="0.2">
      <c r="A330" t="s">
        <v>1322</v>
      </c>
      <c r="B330" t="s">
        <v>1178</v>
      </c>
      <c r="C330" s="6">
        <v>1.8</v>
      </c>
    </row>
    <row r="331" spans="1:3" x14ac:dyDescent="0.2">
      <c r="A331" t="s">
        <v>1322</v>
      </c>
      <c r="B331" t="s">
        <v>1179</v>
      </c>
      <c r="C331" s="6">
        <v>5.7</v>
      </c>
    </row>
    <row r="332" spans="1:3" x14ac:dyDescent="0.2">
      <c r="A332" t="s">
        <v>1322</v>
      </c>
      <c r="B332" t="s">
        <v>1180</v>
      </c>
      <c r="C332" s="6">
        <v>6.7</v>
      </c>
    </row>
    <row r="333" spans="1:3" x14ac:dyDescent="0.2">
      <c r="A333" t="s">
        <v>1322</v>
      </c>
      <c r="B333" t="s">
        <v>1181</v>
      </c>
      <c r="C333" s="6">
        <v>6.1</v>
      </c>
    </row>
    <row r="334" spans="1:3" x14ac:dyDescent="0.2">
      <c r="A334" t="s">
        <v>1322</v>
      </c>
      <c r="B334" t="s">
        <v>1182</v>
      </c>
      <c r="C334" s="6">
        <v>12</v>
      </c>
    </row>
    <row r="335" spans="1:3" x14ac:dyDescent="0.2">
      <c r="A335" t="s">
        <v>1322</v>
      </c>
      <c r="B335" t="s">
        <v>1183</v>
      </c>
      <c r="C335" s="6">
        <v>18.8</v>
      </c>
    </row>
    <row r="336" spans="1:3" x14ac:dyDescent="0.2">
      <c r="A336" t="s">
        <v>1322</v>
      </c>
      <c r="B336" t="s">
        <v>1184</v>
      </c>
      <c r="C336" s="6">
        <v>21.7</v>
      </c>
    </row>
    <row r="337" spans="1:3" x14ac:dyDescent="0.2">
      <c r="A337" t="s">
        <v>1322</v>
      </c>
      <c r="B337" t="s">
        <v>1185</v>
      </c>
      <c r="C337" s="6">
        <v>13.5</v>
      </c>
    </row>
    <row r="338" spans="1:3" x14ac:dyDescent="0.2">
      <c r="A338" t="s">
        <v>1322</v>
      </c>
      <c r="B338" t="s">
        <v>1186</v>
      </c>
      <c r="C338" s="6">
        <v>17.100000000000001</v>
      </c>
    </row>
    <row r="339" spans="1:3" x14ac:dyDescent="0.2">
      <c r="A339" t="s">
        <v>1322</v>
      </c>
      <c r="B339" t="s">
        <v>1187</v>
      </c>
      <c r="C339" s="6">
        <v>12.3</v>
      </c>
    </row>
    <row r="340" spans="1:3" x14ac:dyDescent="0.2">
      <c r="A340" t="s">
        <v>1322</v>
      </c>
      <c r="B340" t="s">
        <v>1188</v>
      </c>
      <c r="C340" s="6">
        <v>13.8</v>
      </c>
    </row>
    <row r="341" spans="1:3" x14ac:dyDescent="0.2">
      <c r="A341" t="s">
        <v>1322</v>
      </c>
      <c r="B341" t="s">
        <v>1189</v>
      </c>
      <c r="C341" s="6">
        <v>13.7</v>
      </c>
    </row>
    <row r="342" spans="1:3" x14ac:dyDescent="0.2">
      <c r="A342" t="s">
        <v>1322</v>
      </c>
      <c r="B342" t="s">
        <v>1190</v>
      </c>
      <c r="C342" s="6">
        <v>17.600000000000001</v>
      </c>
    </row>
    <row r="343" spans="1:3" x14ac:dyDescent="0.2">
      <c r="A343" t="s">
        <v>1322</v>
      </c>
      <c r="B343" t="s">
        <v>1191</v>
      </c>
      <c r="C343" s="6">
        <v>16.100000000000001</v>
      </c>
    </row>
    <row r="344" spans="1:3" x14ac:dyDescent="0.2">
      <c r="A344" t="s">
        <v>1322</v>
      </c>
      <c r="B344" t="s">
        <v>1192</v>
      </c>
      <c r="C344" s="6">
        <v>14.5</v>
      </c>
    </row>
    <row r="345" spans="1:3" x14ac:dyDescent="0.2">
      <c r="A345" t="s">
        <v>1322</v>
      </c>
      <c r="B345" t="s">
        <v>1193</v>
      </c>
      <c r="C345" s="6">
        <v>19.2</v>
      </c>
    </row>
    <row r="346" spans="1:3" x14ac:dyDescent="0.2">
      <c r="A346" t="s">
        <v>1322</v>
      </c>
      <c r="B346" t="s">
        <v>1194</v>
      </c>
      <c r="C346" s="6">
        <v>6.6</v>
      </c>
    </row>
    <row r="347" spans="1:3" x14ac:dyDescent="0.2">
      <c r="A347" t="s">
        <v>1322</v>
      </c>
      <c r="B347" t="s">
        <v>1195</v>
      </c>
      <c r="C347" s="6">
        <v>2.5</v>
      </c>
    </row>
    <row r="348" spans="1:3" x14ac:dyDescent="0.2">
      <c r="A348" t="s">
        <v>1322</v>
      </c>
      <c r="B348" t="s">
        <v>1196</v>
      </c>
      <c r="C348" s="6">
        <v>4.3</v>
      </c>
    </row>
    <row r="349" spans="1:3" x14ac:dyDescent="0.2">
      <c r="A349" t="s">
        <v>1322</v>
      </c>
      <c r="B349" t="s">
        <v>1197</v>
      </c>
      <c r="C349" s="6">
        <v>5.6</v>
      </c>
    </row>
    <row r="350" spans="1:3" x14ac:dyDescent="0.2">
      <c r="A350" t="s">
        <v>1322</v>
      </c>
      <c r="B350" t="s">
        <v>1198</v>
      </c>
      <c r="C350" s="6">
        <v>12.1</v>
      </c>
    </row>
    <row r="351" spans="1:3" x14ac:dyDescent="0.2">
      <c r="A351" t="s">
        <v>1322</v>
      </c>
      <c r="B351" t="s">
        <v>1199</v>
      </c>
      <c r="C351" s="6">
        <v>14.7</v>
      </c>
    </row>
    <row r="352" spans="1:3" x14ac:dyDescent="0.2">
      <c r="A352" t="s">
        <v>1322</v>
      </c>
      <c r="B352" t="s">
        <v>1200</v>
      </c>
      <c r="C352" s="6">
        <v>-10.1</v>
      </c>
    </row>
    <row r="353" spans="1:5" x14ac:dyDescent="0.2">
      <c r="A353" t="s">
        <v>1322</v>
      </c>
      <c r="B353" t="s">
        <v>1201</v>
      </c>
      <c r="C353" s="6">
        <v>-14.2</v>
      </c>
    </row>
    <row r="354" spans="1:5" x14ac:dyDescent="0.2">
      <c r="A354" t="s">
        <v>1322</v>
      </c>
      <c r="B354" t="s">
        <v>1202</v>
      </c>
      <c r="C354" s="6">
        <v>-20.6</v>
      </c>
    </row>
    <row r="355" spans="1:5" x14ac:dyDescent="0.2">
      <c r="A355" t="s">
        <v>1322</v>
      </c>
      <c r="B355" t="s">
        <v>1203</v>
      </c>
      <c r="C355" s="6">
        <v>-19.100000000000001</v>
      </c>
    </row>
    <row r="356" spans="1:5" x14ac:dyDescent="0.2">
      <c r="A356" t="s">
        <v>1322</v>
      </c>
      <c r="B356" t="s">
        <v>1204</v>
      </c>
      <c r="C356" s="6">
        <v>-17.100000000000001</v>
      </c>
    </row>
    <row r="357" spans="1:5" x14ac:dyDescent="0.2">
      <c r="A357" t="s">
        <v>1322</v>
      </c>
      <c r="B357" t="s">
        <v>1205</v>
      </c>
      <c r="C357" s="6">
        <v>-19.7</v>
      </c>
    </row>
    <row r="358" spans="1:5" x14ac:dyDescent="0.2">
      <c r="A358" t="s">
        <v>1322</v>
      </c>
      <c r="B358" t="s">
        <v>1206</v>
      </c>
      <c r="C358" s="6">
        <v>-18.5</v>
      </c>
    </row>
    <row r="359" spans="1:5" x14ac:dyDescent="0.2">
      <c r="A359" t="s">
        <v>1322</v>
      </c>
      <c r="B359" t="s">
        <v>1207</v>
      </c>
      <c r="C359" s="6">
        <v>-24.7</v>
      </c>
    </row>
    <row r="360" spans="1:5" x14ac:dyDescent="0.2">
      <c r="A360" t="s">
        <v>1322</v>
      </c>
      <c r="B360" t="s">
        <v>1208</v>
      </c>
      <c r="C360" s="6">
        <v>-26.7</v>
      </c>
    </row>
    <row r="361" spans="1:5" x14ac:dyDescent="0.2">
      <c r="A361" t="s">
        <v>1322</v>
      </c>
      <c r="B361" t="s">
        <v>1209</v>
      </c>
      <c r="C361" s="6">
        <v>-28.9</v>
      </c>
    </row>
    <row r="362" spans="1:5" x14ac:dyDescent="0.2">
      <c r="A362" t="s">
        <v>1322</v>
      </c>
      <c r="B362" t="s">
        <v>1210</v>
      </c>
      <c r="C362" s="6">
        <v>-30.8</v>
      </c>
    </row>
    <row r="363" spans="1:5" x14ac:dyDescent="0.2">
      <c r="A363" t="s">
        <v>1322</v>
      </c>
      <c r="B363" t="s">
        <v>1211</v>
      </c>
      <c r="C363" s="6">
        <v>-32.700000000000003</v>
      </c>
    </row>
    <row r="364" spans="1:5" x14ac:dyDescent="0.2">
      <c r="A364" t="s">
        <v>1322</v>
      </c>
      <c r="B364" t="s">
        <v>1212</v>
      </c>
      <c r="C364" s="6">
        <v>-22.2</v>
      </c>
    </row>
    <row r="365" spans="1:5" x14ac:dyDescent="0.2">
      <c r="A365" t="s">
        <v>1322</v>
      </c>
      <c r="B365" t="s">
        <v>1213</v>
      </c>
      <c r="C365" s="6">
        <v>-16.899999999999999</v>
      </c>
    </row>
    <row r="366" spans="1:5" x14ac:dyDescent="0.2">
      <c r="A366" t="s">
        <v>1322</v>
      </c>
      <c r="B366" t="s">
        <v>1214</v>
      </c>
      <c r="C366" s="6">
        <v>-11.6</v>
      </c>
      <c r="D366" s="6">
        <f t="shared" ref="D366:D397" si="16">AVERAGE(C318:C365)</f>
        <v>-1.7458333333333336</v>
      </c>
      <c r="E366" s="6">
        <f t="shared" ref="E366:E397" si="17">C366-D366</f>
        <v>-9.8541666666666661</v>
      </c>
    </row>
    <row r="367" spans="1:5" x14ac:dyDescent="0.2">
      <c r="A367" t="s">
        <v>1322</v>
      </c>
      <c r="B367" t="s">
        <v>1215</v>
      </c>
      <c r="C367" s="6">
        <v>-14.4</v>
      </c>
      <c r="D367" s="6">
        <f t="shared" si="16"/>
        <v>-2.2333333333333338</v>
      </c>
      <c r="E367" s="6">
        <f t="shared" si="17"/>
        <v>-12.166666666666666</v>
      </c>
    </row>
    <row r="368" spans="1:5" x14ac:dyDescent="0.2">
      <c r="A368" t="s">
        <v>1322</v>
      </c>
      <c r="B368" t="s">
        <v>1216</v>
      </c>
      <c r="C368" s="6">
        <v>-17.600000000000001</v>
      </c>
      <c r="D368" s="6">
        <f t="shared" si="16"/>
        <v>-2.5500000000000003</v>
      </c>
      <c r="E368" s="6">
        <f t="shared" si="17"/>
        <v>-15.05</v>
      </c>
    </row>
    <row r="369" spans="1:5" x14ac:dyDescent="0.2">
      <c r="A369" t="s">
        <v>1322</v>
      </c>
      <c r="B369" t="s">
        <v>1217</v>
      </c>
      <c r="C369" s="6">
        <v>-21.4</v>
      </c>
      <c r="D369" s="6">
        <f t="shared" si="16"/>
        <v>-2.8000000000000003</v>
      </c>
      <c r="E369" s="6">
        <f t="shared" si="17"/>
        <v>-18.599999999999998</v>
      </c>
    </row>
    <row r="370" spans="1:5" x14ac:dyDescent="0.2">
      <c r="A370" t="s">
        <v>1322</v>
      </c>
      <c r="B370" t="s">
        <v>1218</v>
      </c>
      <c r="C370" s="6">
        <v>-24.6</v>
      </c>
      <c r="D370" s="6">
        <f t="shared" si="16"/>
        <v>-3.1916666666666669</v>
      </c>
      <c r="E370" s="6">
        <f t="shared" si="17"/>
        <v>-21.408333333333335</v>
      </c>
    </row>
    <row r="371" spans="1:5" x14ac:dyDescent="0.2">
      <c r="A371" t="s">
        <v>1322</v>
      </c>
      <c r="B371" t="s">
        <v>1219</v>
      </c>
      <c r="C371" s="6">
        <v>-17.8</v>
      </c>
      <c r="D371" s="6">
        <f t="shared" si="16"/>
        <v>-3.5083333333333333</v>
      </c>
      <c r="E371" s="6">
        <f t="shared" si="17"/>
        <v>-14.291666666666668</v>
      </c>
    </row>
    <row r="372" spans="1:5" x14ac:dyDescent="0.2">
      <c r="A372" t="s">
        <v>1322</v>
      </c>
      <c r="B372" t="s">
        <v>1220</v>
      </c>
      <c r="C372" s="6">
        <v>-13.1</v>
      </c>
      <c r="D372" s="6">
        <f t="shared" si="16"/>
        <v>-3.7083333333333335</v>
      </c>
      <c r="E372" s="6">
        <f t="shared" si="17"/>
        <v>-9.3916666666666657</v>
      </c>
    </row>
    <row r="373" spans="1:5" x14ac:dyDescent="0.2">
      <c r="A373" t="s">
        <v>1322</v>
      </c>
      <c r="B373" t="s">
        <v>1221</v>
      </c>
      <c r="C373" s="6">
        <v>-12.5</v>
      </c>
      <c r="D373" s="6">
        <f t="shared" si="16"/>
        <v>-3.8666666666666667</v>
      </c>
      <c r="E373" s="6">
        <f t="shared" si="17"/>
        <v>-8.6333333333333329</v>
      </c>
    </row>
    <row r="374" spans="1:5" x14ac:dyDescent="0.2">
      <c r="A374" t="s">
        <v>1322</v>
      </c>
      <c r="B374" t="s">
        <v>1222</v>
      </c>
      <c r="C374" s="6">
        <v>-13.2</v>
      </c>
      <c r="D374" s="6">
        <f t="shared" si="16"/>
        <v>-4.1583333333333332</v>
      </c>
      <c r="E374" s="6">
        <f t="shared" si="17"/>
        <v>-9.0416666666666661</v>
      </c>
    </row>
    <row r="375" spans="1:5" x14ac:dyDescent="0.2">
      <c r="A375" t="s">
        <v>1322</v>
      </c>
      <c r="B375" t="s">
        <v>1223</v>
      </c>
      <c r="C375" s="6">
        <v>-13.2</v>
      </c>
      <c r="D375" s="6">
        <f t="shared" si="16"/>
        <v>-4.4229166666666666</v>
      </c>
      <c r="E375" s="6">
        <f t="shared" si="17"/>
        <v>-8.7770833333333336</v>
      </c>
    </row>
    <row r="376" spans="1:5" x14ac:dyDescent="0.2">
      <c r="A376" t="s">
        <v>1322</v>
      </c>
      <c r="B376" t="s">
        <v>1224</v>
      </c>
      <c r="C376" s="6">
        <v>-9.3000000000000007</v>
      </c>
      <c r="D376" s="6">
        <f t="shared" si="16"/>
        <v>-4.510416666666667</v>
      </c>
      <c r="E376" s="6">
        <f t="shared" si="17"/>
        <v>-4.7895833333333337</v>
      </c>
    </row>
    <row r="377" spans="1:5" x14ac:dyDescent="0.2">
      <c r="A377" t="s">
        <v>1322</v>
      </c>
      <c r="B377" t="s">
        <v>1225</v>
      </c>
      <c r="C377" s="6">
        <v>-9.9</v>
      </c>
      <c r="D377" s="6">
        <f t="shared" si="16"/>
        <v>-4.5791666666666666</v>
      </c>
      <c r="E377" s="6">
        <f t="shared" si="17"/>
        <v>-5.3208333333333337</v>
      </c>
    </row>
    <row r="378" spans="1:5" x14ac:dyDescent="0.2">
      <c r="A378" t="s">
        <v>1322</v>
      </c>
      <c r="B378" t="s">
        <v>1226</v>
      </c>
      <c r="C378" s="6">
        <v>-10.199999999999999</v>
      </c>
      <c r="D378" s="6">
        <f t="shared" si="16"/>
        <v>-4.6749999999999998</v>
      </c>
      <c r="E378" s="6">
        <f t="shared" si="17"/>
        <v>-5.5249999999999995</v>
      </c>
    </row>
    <row r="379" spans="1:5" x14ac:dyDescent="0.2">
      <c r="A379" t="s">
        <v>1322</v>
      </c>
      <c r="B379" t="s">
        <v>1227</v>
      </c>
      <c r="C379" s="6">
        <v>-10.7</v>
      </c>
      <c r="D379" s="6">
        <f t="shared" si="16"/>
        <v>-4.9249999999999998</v>
      </c>
      <c r="E379" s="6">
        <f t="shared" si="17"/>
        <v>-5.7749999999999995</v>
      </c>
    </row>
    <row r="380" spans="1:5" x14ac:dyDescent="0.2">
      <c r="A380" t="s">
        <v>1322</v>
      </c>
      <c r="B380" t="s">
        <v>1228</v>
      </c>
      <c r="C380" s="6">
        <v>-6.4</v>
      </c>
      <c r="D380" s="6">
        <f t="shared" si="16"/>
        <v>-5.2666666666666666</v>
      </c>
      <c r="E380" s="6">
        <f t="shared" si="17"/>
        <v>-1.1333333333333337</v>
      </c>
    </row>
    <row r="381" spans="1:5" x14ac:dyDescent="0.2">
      <c r="A381" t="s">
        <v>1322</v>
      </c>
      <c r="B381" t="s">
        <v>1229</v>
      </c>
      <c r="C381" s="6">
        <v>-0.8</v>
      </c>
      <c r="D381" s="6">
        <f t="shared" si="16"/>
        <v>-5.5395833333333329</v>
      </c>
      <c r="E381" s="6">
        <f t="shared" si="17"/>
        <v>4.739583333333333</v>
      </c>
    </row>
    <row r="382" spans="1:5" x14ac:dyDescent="0.2">
      <c r="A382" t="s">
        <v>1322</v>
      </c>
      <c r="B382" t="s">
        <v>1230</v>
      </c>
      <c r="C382" s="6">
        <v>1</v>
      </c>
      <c r="D382" s="6">
        <f t="shared" si="16"/>
        <v>-5.6833333333333327</v>
      </c>
      <c r="E382" s="6">
        <f t="shared" si="17"/>
        <v>6.6833333333333327</v>
      </c>
    </row>
    <row r="383" spans="1:5" x14ac:dyDescent="0.2">
      <c r="A383" t="s">
        <v>1322</v>
      </c>
      <c r="B383" t="s">
        <v>1231</v>
      </c>
      <c r="C383" s="6">
        <v>-1.2</v>
      </c>
      <c r="D383" s="6">
        <f t="shared" si="16"/>
        <v>-5.9124999999999988</v>
      </c>
      <c r="E383" s="6">
        <f t="shared" si="17"/>
        <v>4.7124999999999986</v>
      </c>
    </row>
    <row r="384" spans="1:5" x14ac:dyDescent="0.2">
      <c r="A384" t="s">
        <v>1322</v>
      </c>
      <c r="B384" t="s">
        <v>1232</v>
      </c>
      <c r="C384" s="6">
        <v>3.4</v>
      </c>
      <c r="D384" s="6">
        <f t="shared" si="16"/>
        <v>-6.3291666666666657</v>
      </c>
      <c r="E384" s="6">
        <f t="shared" si="17"/>
        <v>9.7291666666666661</v>
      </c>
    </row>
    <row r="385" spans="1:5" x14ac:dyDescent="0.2">
      <c r="A385" t="s">
        <v>1322</v>
      </c>
      <c r="B385" t="s">
        <v>1233</v>
      </c>
      <c r="C385" s="6">
        <v>-0.1</v>
      </c>
      <c r="D385" s="6">
        <f t="shared" si="16"/>
        <v>-6.7104166666666663</v>
      </c>
      <c r="E385" s="6">
        <f t="shared" si="17"/>
        <v>6.6104166666666666</v>
      </c>
    </row>
    <row r="386" spans="1:5" x14ac:dyDescent="0.2">
      <c r="A386" t="s">
        <v>1322</v>
      </c>
      <c r="B386" t="s">
        <v>1234</v>
      </c>
      <c r="C386" s="6">
        <v>4.3</v>
      </c>
      <c r="D386" s="6">
        <f t="shared" si="16"/>
        <v>-6.9937499999999986</v>
      </c>
      <c r="E386" s="6">
        <f t="shared" si="17"/>
        <v>11.293749999999999</v>
      </c>
    </row>
    <row r="387" spans="1:5" x14ac:dyDescent="0.2">
      <c r="A387" t="s">
        <v>1322</v>
      </c>
      <c r="B387" t="s">
        <v>1235</v>
      </c>
      <c r="C387" s="6">
        <v>5.8</v>
      </c>
      <c r="D387" s="6">
        <f t="shared" si="16"/>
        <v>-7.2604166666666652</v>
      </c>
      <c r="E387" s="6">
        <f t="shared" si="17"/>
        <v>13.060416666666665</v>
      </c>
    </row>
    <row r="388" spans="1:5" x14ac:dyDescent="0.2">
      <c r="A388" t="s">
        <v>1322</v>
      </c>
      <c r="B388" t="s">
        <v>1236</v>
      </c>
      <c r="C388" s="6">
        <v>4.3</v>
      </c>
      <c r="D388" s="6">
        <f t="shared" si="16"/>
        <v>-7.3958333333333321</v>
      </c>
      <c r="E388" s="6">
        <f t="shared" si="17"/>
        <v>11.695833333333333</v>
      </c>
    </row>
    <row r="389" spans="1:5" x14ac:dyDescent="0.2">
      <c r="A389" t="s">
        <v>1322</v>
      </c>
      <c r="B389" t="s">
        <v>1237</v>
      </c>
      <c r="C389" s="6">
        <v>4</v>
      </c>
      <c r="D389" s="6">
        <f t="shared" si="16"/>
        <v>-7.5937499999999991</v>
      </c>
      <c r="E389" s="6">
        <f t="shared" si="17"/>
        <v>11.59375</v>
      </c>
    </row>
    <row r="390" spans="1:5" x14ac:dyDescent="0.2">
      <c r="A390" t="s">
        <v>1322</v>
      </c>
      <c r="B390" t="s">
        <v>1238</v>
      </c>
      <c r="C390" s="6">
        <v>-0.7</v>
      </c>
      <c r="D390" s="6">
        <f t="shared" si="16"/>
        <v>-7.7958333333333334</v>
      </c>
      <c r="E390" s="6">
        <f t="shared" si="17"/>
        <v>7.0958333333333332</v>
      </c>
    </row>
    <row r="391" spans="1:5" x14ac:dyDescent="0.2">
      <c r="A391" t="s">
        <v>1322</v>
      </c>
      <c r="B391" t="s">
        <v>1239</v>
      </c>
      <c r="C391" s="6">
        <v>5.9</v>
      </c>
      <c r="D391" s="6">
        <f t="shared" si="16"/>
        <v>-8.1770833333333321</v>
      </c>
      <c r="E391" s="6">
        <f t="shared" si="17"/>
        <v>14.077083333333333</v>
      </c>
    </row>
    <row r="392" spans="1:5" x14ac:dyDescent="0.2">
      <c r="A392" t="s">
        <v>1322</v>
      </c>
      <c r="B392" t="s">
        <v>1240</v>
      </c>
      <c r="C392" s="6">
        <v>11.5</v>
      </c>
      <c r="D392" s="6">
        <f t="shared" si="16"/>
        <v>-8.3895833333333325</v>
      </c>
      <c r="E392" s="6">
        <f t="shared" si="17"/>
        <v>19.889583333333334</v>
      </c>
    </row>
    <row r="393" spans="1:5" x14ac:dyDescent="0.2">
      <c r="A393" t="s">
        <v>1322</v>
      </c>
      <c r="B393" t="s">
        <v>1241</v>
      </c>
      <c r="C393" s="6">
        <v>9.3000000000000007</v>
      </c>
      <c r="D393" s="6">
        <f t="shared" si="16"/>
        <v>-8.4520833333333325</v>
      </c>
      <c r="E393" s="6">
        <f t="shared" si="17"/>
        <v>17.752083333333331</v>
      </c>
    </row>
    <row r="394" spans="1:5" x14ac:dyDescent="0.2">
      <c r="A394" t="s">
        <v>1322</v>
      </c>
      <c r="B394" t="s">
        <v>1242</v>
      </c>
      <c r="C394" s="6">
        <v>10.7</v>
      </c>
      <c r="D394" s="6">
        <f t="shared" si="16"/>
        <v>-8.6583333333333332</v>
      </c>
      <c r="E394" s="6">
        <f t="shared" si="17"/>
        <v>19.358333333333334</v>
      </c>
    </row>
    <row r="395" spans="1:5" x14ac:dyDescent="0.2">
      <c r="A395" t="s">
        <v>1322</v>
      </c>
      <c r="B395" t="s">
        <v>1243</v>
      </c>
      <c r="C395" s="6">
        <v>15.4</v>
      </c>
      <c r="D395" s="6">
        <f t="shared" si="16"/>
        <v>-8.5729166666666661</v>
      </c>
      <c r="E395" s="6">
        <f t="shared" si="17"/>
        <v>23.972916666666666</v>
      </c>
    </row>
    <row r="396" spans="1:5" x14ac:dyDescent="0.2">
      <c r="A396" t="s">
        <v>1322</v>
      </c>
      <c r="B396" t="s">
        <v>1244</v>
      </c>
      <c r="C396" s="6">
        <v>12.2</v>
      </c>
      <c r="D396" s="6">
        <f t="shared" si="16"/>
        <v>-8.3041666666666671</v>
      </c>
      <c r="E396" s="6">
        <f t="shared" si="17"/>
        <v>20.504166666666666</v>
      </c>
    </row>
    <row r="397" spans="1:5" x14ac:dyDescent="0.2">
      <c r="A397" t="s">
        <v>1322</v>
      </c>
      <c r="B397" t="s">
        <v>1245</v>
      </c>
      <c r="C397" s="6">
        <v>17.5</v>
      </c>
      <c r="D397" s="6">
        <f t="shared" si="16"/>
        <v>-8.1395833333333343</v>
      </c>
      <c r="E397" s="6">
        <f t="shared" si="17"/>
        <v>25.639583333333334</v>
      </c>
    </row>
    <row r="398" spans="1:5" x14ac:dyDescent="0.2">
      <c r="A398" t="s">
        <v>1322</v>
      </c>
      <c r="B398" t="s">
        <v>1246</v>
      </c>
      <c r="C398" s="6">
        <v>17.899999999999999</v>
      </c>
      <c r="D398" s="6">
        <f t="shared" ref="D398:D429" si="18">AVERAGE(C350:C397)</f>
        <v>-7.8916666666666666</v>
      </c>
      <c r="E398" s="6">
        <f t="shared" ref="E398:E429" si="19">C398-D398</f>
        <v>25.791666666666664</v>
      </c>
    </row>
    <row r="399" spans="1:5" x14ac:dyDescent="0.2">
      <c r="A399" t="s">
        <v>1322</v>
      </c>
      <c r="B399" t="s">
        <v>1247</v>
      </c>
      <c r="C399" s="6">
        <v>18</v>
      </c>
      <c r="D399" s="6">
        <f t="shared" si="18"/>
        <v>-7.7708333333333348</v>
      </c>
      <c r="E399" s="6">
        <f t="shared" si="19"/>
        <v>25.770833333333336</v>
      </c>
    </row>
    <row r="400" spans="1:5" x14ac:dyDescent="0.2">
      <c r="A400" t="s">
        <v>1322</v>
      </c>
      <c r="B400" t="s">
        <v>1248</v>
      </c>
      <c r="C400" s="6">
        <v>13.7</v>
      </c>
      <c r="D400" s="6">
        <f t="shared" si="18"/>
        <v>-7.7020833333333343</v>
      </c>
      <c r="E400" s="6">
        <f t="shared" si="19"/>
        <v>21.402083333333334</v>
      </c>
    </row>
    <row r="401" spans="1:5" x14ac:dyDescent="0.2">
      <c r="A401" t="s">
        <v>1322</v>
      </c>
      <c r="B401" t="s">
        <v>1249</v>
      </c>
      <c r="C401" s="6">
        <v>11.1</v>
      </c>
      <c r="D401" s="6">
        <f t="shared" si="18"/>
        <v>-7.2062500000000007</v>
      </c>
      <c r="E401" s="6">
        <f t="shared" si="19"/>
        <v>18.306249999999999</v>
      </c>
    </row>
    <row r="402" spans="1:5" x14ac:dyDescent="0.2">
      <c r="A402" t="s">
        <v>1322</v>
      </c>
      <c r="B402" t="s">
        <v>1250</v>
      </c>
      <c r="C402" s="6">
        <v>11.5</v>
      </c>
      <c r="D402" s="6">
        <f t="shared" si="18"/>
        <v>-6.6791666666666671</v>
      </c>
      <c r="E402" s="6">
        <f t="shared" si="19"/>
        <v>18.179166666666667</v>
      </c>
    </row>
    <row r="403" spans="1:5" x14ac:dyDescent="0.2">
      <c r="A403" t="s">
        <v>1322</v>
      </c>
      <c r="B403" t="s">
        <v>1251</v>
      </c>
      <c r="C403" s="6">
        <v>3.9</v>
      </c>
      <c r="D403" s="6">
        <f t="shared" si="18"/>
        <v>-6.0104166666666679</v>
      </c>
      <c r="E403" s="6">
        <f t="shared" si="19"/>
        <v>9.9104166666666682</v>
      </c>
    </row>
    <row r="404" spans="1:5" x14ac:dyDescent="0.2">
      <c r="A404" t="s">
        <v>1322</v>
      </c>
      <c r="B404" t="s">
        <v>1252</v>
      </c>
      <c r="C404" s="6">
        <v>-0.1</v>
      </c>
      <c r="D404" s="6">
        <f t="shared" si="18"/>
        <v>-5.5312500000000009</v>
      </c>
      <c r="E404" s="6">
        <f t="shared" si="19"/>
        <v>5.4312500000000012</v>
      </c>
    </row>
    <row r="405" spans="1:5" x14ac:dyDescent="0.2">
      <c r="A405" t="s">
        <v>1322</v>
      </c>
      <c r="B405" t="s">
        <v>1253</v>
      </c>
      <c r="C405" s="6">
        <v>0.8</v>
      </c>
      <c r="D405" s="6">
        <f t="shared" si="18"/>
        <v>-5.177083333333333</v>
      </c>
      <c r="E405" s="6">
        <f t="shared" si="19"/>
        <v>5.9770833333333329</v>
      </c>
    </row>
    <row r="406" spans="1:5" x14ac:dyDescent="0.2">
      <c r="A406" t="s">
        <v>1322</v>
      </c>
      <c r="B406" t="s">
        <v>1254</v>
      </c>
      <c r="C406" s="6">
        <v>-10.9</v>
      </c>
      <c r="D406" s="6">
        <f t="shared" si="18"/>
        <v>-4.7500000000000009</v>
      </c>
      <c r="E406" s="6">
        <f t="shared" si="19"/>
        <v>-6.1499999999999995</v>
      </c>
    </row>
    <row r="407" spans="1:5" x14ac:dyDescent="0.2">
      <c r="A407" t="s">
        <v>1322</v>
      </c>
      <c r="B407" t="s">
        <v>1255</v>
      </c>
      <c r="C407" s="6">
        <v>-7.7</v>
      </c>
      <c r="D407" s="6">
        <f t="shared" si="18"/>
        <v>-4.5916666666666677</v>
      </c>
      <c r="E407" s="6">
        <f t="shared" si="19"/>
        <v>-3.1083333333333325</v>
      </c>
    </row>
    <row r="408" spans="1:5" x14ac:dyDescent="0.2">
      <c r="A408" t="s">
        <v>1322</v>
      </c>
      <c r="B408" t="s">
        <v>1256</v>
      </c>
      <c r="C408" s="6">
        <v>-5.9</v>
      </c>
      <c r="D408" s="6">
        <f t="shared" si="18"/>
        <v>-4.2374999999999989</v>
      </c>
      <c r="E408" s="6">
        <f t="shared" si="19"/>
        <v>-1.6625000000000014</v>
      </c>
    </row>
    <row r="409" spans="1:5" x14ac:dyDescent="0.2">
      <c r="A409" t="s">
        <v>1322</v>
      </c>
      <c r="B409" t="s">
        <v>1257</v>
      </c>
      <c r="C409" s="6">
        <v>-10.199999999999999</v>
      </c>
      <c r="D409" s="6">
        <f t="shared" si="18"/>
        <v>-3.8041666666666658</v>
      </c>
      <c r="E409" s="6">
        <f t="shared" si="19"/>
        <v>-6.3958333333333339</v>
      </c>
    </row>
    <row r="410" spans="1:5" x14ac:dyDescent="0.2">
      <c r="A410" t="s">
        <v>1322</v>
      </c>
      <c r="B410" t="s">
        <v>1258</v>
      </c>
      <c r="C410" s="6">
        <v>-10.9</v>
      </c>
      <c r="D410" s="6">
        <f t="shared" si="18"/>
        <v>-3.4145833333333324</v>
      </c>
      <c r="E410" s="6">
        <f t="shared" si="19"/>
        <v>-7.4854166666666675</v>
      </c>
    </row>
    <row r="411" spans="1:5" x14ac:dyDescent="0.2">
      <c r="A411" t="s">
        <v>1322</v>
      </c>
      <c r="B411" t="s">
        <v>1259</v>
      </c>
      <c r="C411" s="6">
        <v>-11.5</v>
      </c>
      <c r="D411" s="6">
        <f t="shared" si="18"/>
        <v>-3</v>
      </c>
      <c r="E411" s="6">
        <f t="shared" si="19"/>
        <v>-8.5</v>
      </c>
    </row>
    <row r="412" spans="1:5" x14ac:dyDescent="0.2">
      <c r="A412" t="s">
        <v>1322</v>
      </c>
      <c r="B412" t="s">
        <v>1260</v>
      </c>
      <c r="C412" s="6">
        <v>-9.4</v>
      </c>
      <c r="D412" s="6">
        <f t="shared" si="18"/>
        <v>-2.5583333333333318</v>
      </c>
      <c r="E412" s="6">
        <f t="shared" si="19"/>
        <v>-6.8416666666666686</v>
      </c>
    </row>
    <row r="413" spans="1:5" x14ac:dyDescent="0.2">
      <c r="A413" t="s">
        <v>1322</v>
      </c>
      <c r="B413" t="s">
        <v>1261</v>
      </c>
      <c r="C413" s="6">
        <v>-7.3</v>
      </c>
      <c r="D413" s="6">
        <f t="shared" si="18"/>
        <v>-2.2916666666666656</v>
      </c>
      <c r="E413" s="6">
        <f t="shared" si="19"/>
        <v>-5.0083333333333346</v>
      </c>
    </row>
    <row r="414" spans="1:5" x14ac:dyDescent="0.2">
      <c r="A414" t="s">
        <v>1322</v>
      </c>
      <c r="B414" t="s">
        <v>1262</v>
      </c>
      <c r="C414" s="6">
        <v>-4.5999999999999996</v>
      </c>
      <c r="D414" s="6">
        <f t="shared" si="18"/>
        <v>-2.091666666666665</v>
      </c>
      <c r="E414" s="6">
        <f t="shared" si="19"/>
        <v>-2.5083333333333346</v>
      </c>
    </row>
    <row r="415" spans="1:5" x14ac:dyDescent="0.2">
      <c r="A415" t="s">
        <v>1322</v>
      </c>
      <c r="B415" t="s">
        <v>1263</v>
      </c>
      <c r="C415" s="6">
        <v>-18.7</v>
      </c>
      <c r="D415" s="6">
        <f t="shared" si="18"/>
        <v>-1.9458333333333313</v>
      </c>
      <c r="E415" s="6">
        <f t="shared" si="19"/>
        <v>-16.754166666666666</v>
      </c>
    </row>
    <row r="416" spans="1:5" x14ac:dyDescent="0.2">
      <c r="A416" t="s">
        <v>1322</v>
      </c>
      <c r="B416" t="s">
        <v>1264</v>
      </c>
      <c r="C416" s="6">
        <v>-39</v>
      </c>
      <c r="D416" s="6">
        <f t="shared" si="18"/>
        <v>-2.0354166666666651</v>
      </c>
      <c r="E416" s="6">
        <f t="shared" si="19"/>
        <v>-36.964583333333337</v>
      </c>
    </row>
    <row r="417" spans="1:5" x14ac:dyDescent="0.2">
      <c r="A417" t="s">
        <v>1322</v>
      </c>
      <c r="B417" t="s">
        <v>1265</v>
      </c>
      <c r="C417" s="6">
        <v>-45.4</v>
      </c>
      <c r="D417" s="6">
        <f t="shared" si="18"/>
        <v>-2.481249999999998</v>
      </c>
      <c r="E417" s="6">
        <f t="shared" si="19"/>
        <v>-42.918750000000003</v>
      </c>
    </row>
    <row r="418" spans="1:5" x14ac:dyDescent="0.2">
      <c r="A418" t="s">
        <v>1322</v>
      </c>
      <c r="B418" t="s">
        <v>1266</v>
      </c>
      <c r="C418" s="6">
        <v>-27</v>
      </c>
      <c r="D418" s="6">
        <f t="shared" si="18"/>
        <v>-2.9812499999999993</v>
      </c>
      <c r="E418" s="6">
        <f t="shared" si="19"/>
        <v>-24.018750000000001</v>
      </c>
    </row>
    <row r="419" spans="1:5" x14ac:dyDescent="0.2">
      <c r="A419" t="s">
        <v>1322</v>
      </c>
      <c r="B419" t="s">
        <v>1267</v>
      </c>
      <c r="C419" s="6">
        <v>-26.1</v>
      </c>
      <c r="D419" s="6">
        <f t="shared" si="18"/>
        <v>-3.0312500000000004</v>
      </c>
      <c r="E419" s="6">
        <f t="shared" si="19"/>
        <v>-23.068750000000001</v>
      </c>
    </row>
    <row r="420" spans="1:5" x14ac:dyDescent="0.2">
      <c r="A420" t="s">
        <v>1322</v>
      </c>
      <c r="B420" t="s">
        <v>1268</v>
      </c>
      <c r="C420" s="6">
        <v>-23.5</v>
      </c>
      <c r="D420" s="6">
        <f t="shared" si="18"/>
        <v>-3.2041666666666671</v>
      </c>
      <c r="E420" s="6">
        <f t="shared" si="19"/>
        <v>-20.295833333333334</v>
      </c>
    </row>
    <row r="421" spans="1:5" x14ac:dyDescent="0.2">
      <c r="A421" t="s">
        <v>1322</v>
      </c>
      <c r="B421" t="s">
        <v>1269</v>
      </c>
      <c r="C421" s="6">
        <v>-18.7</v>
      </c>
      <c r="D421" s="6">
        <f t="shared" si="18"/>
        <v>-3.4208333333333338</v>
      </c>
      <c r="E421" s="6">
        <f t="shared" si="19"/>
        <v>-15.279166666666665</v>
      </c>
    </row>
    <row r="422" spans="1:5" x14ac:dyDescent="0.2">
      <c r="A422" t="s">
        <v>1322</v>
      </c>
      <c r="B422" t="s">
        <v>1270</v>
      </c>
      <c r="C422" s="6">
        <v>-17.3</v>
      </c>
      <c r="D422" s="6">
        <f t="shared" si="18"/>
        <v>-3.5500000000000003</v>
      </c>
      <c r="E422" s="6">
        <f t="shared" si="19"/>
        <v>-13.75</v>
      </c>
    </row>
    <row r="423" spans="1:5" x14ac:dyDescent="0.2">
      <c r="A423" t="s">
        <v>1322</v>
      </c>
      <c r="B423" t="s">
        <v>1271</v>
      </c>
      <c r="C423" s="6">
        <v>-14.3</v>
      </c>
      <c r="D423" s="6">
        <f t="shared" si="18"/>
        <v>-3.6354166666666674</v>
      </c>
      <c r="E423" s="6">
        <f t="shared" si="19"/>
        <v>-10.664583333333333</v>
      </c>
    </row>
    <row r="424" spans="1:5" x14ac:dyDescent="0.2">
      <c r="A424" t="s">
        <v>1322</v>
      </c>
      <c r="B424" t="s">
        <v>1272</v>
      </c>
      <c r="C424" s="6">
        <v>-12</v>
      </c>
      <c r="D424" s="6">
        <f t="shared" si="18"/>
        <v>-3.6583333333333337</v>
      </c>
      <c r="E424" s="6">
        <f t="shared" si="19"/>
        <v>-8.3416666666666668</v>
      </c>
    </row>
    <row r="425" spans="1:5" x14ac:dyDescent="0.2">
      <c r="A425" t="s">
        <v>1322</v>
      </c>
      <c r="B425" t="s">
        <v>1273</v>
      </c>
      <c r="C425" s="6">
        <v>-17.100000000000001</v>
      </c>
      <c r="D425" s="6">
        <f t="shared" si="18"/>
        <v>-3.7145833333333336</v>
      </c>
      <c r="E425" s="6">
        <f t="shared" si="19"/>
        <v>-13.385416666666668</v>
      </c>
    </row>
    <row r="426" spans="1:5" x14ac:dyDescent="0.2">
      <c r="A426" t="s">
        <v>1322</v>
      </c>
      <c r="B426" t="s">
        <v>1274</v>
      </c>
      <c r="C426" s="6">
        <v>-17.5</v>
      </c>
      <c r="D426" s="6">
        <f t="shared" si="18"/>
        <v>-3.8645833333333335</v>
      </c>
      <c r="E426" s="6">
        <f t="shared" si="19"/>
        <v>-13.635416666666666</v>
      </c>
    </row>
    <row r="427" spans="1:5" x14ac:dyDescent="0.2">
      <c r="A427" t="s">
        <v>1322</v>
      </c>
      <c r="B427" t="s">
        <v>1275</v>
      </c>
      <c r="C427" s="6">
        <v>3.2</v>
      </c>
      <c r="D427" s="6">
        <f t="shared" si="18"/>
        <v>-4.0166666666666675</v>
      </c>
      <c r="E427" s="6">
        <f t="shared" si="19"/>
        <v>7.2166666666666677</v>
      </c>
    </row>
    <row r="428" spans="1:5" x14ac:dyDescent="0.2">
      <c r="A428" t="s">
        <v>1322</v>
      </c>
      <c r="B428" t="s">
        <v>1276</v>
      </c>
      <c r="C428" s="6">
        <v>37.299999999999997</v>
      </c>
      <c r="D428" s="6">
        <f t="shared" si="18"/>
        <v>-3.7270833333333333</v>
      </c>
      <c r="E428" s="6">
        <f t="shared" si="19"/>
        <v>41.02708333333333</v>
      </c>
    </row>
    <row r="429" spans="1:5" x14ac:dyDescent="0.2">
      <c r="A429" t="s">
        <v>1322</v>
      </c>
      <c r="B429" t="s">
        <v>1277</v>
      </c>
      <c r="C429" s="6">
        <v>53.5</v>
      </c>
      <c r="D429" s="6">
        <f t="shared" si="18"/>
        <v>-2.8166666666666664</v>
      </c>
      <c r="E429" s="6">
        <f t="shared" si="19"/>
        <v>56.316666666666663</v>
      </c>
    </row>
    <row r="430" spans="1:5" x14ac:dyDescent="0.2">
      <c r="A430" t="s">
        <v>1322</v>
      </c>
      <c r="B430" t="s">
        <v>1278</v>
      </c>
      <c r="C430" s="6">
        <v>4.5</v>
      </c>
      <c r="D430" s="6">
        <f t="shared" ref="D430:D461" si="20">AVERAGE(C382:C429)</f>
        <v>-1.6854166666666661</v>
      </c>
      <c r="E430" s="6">
        <f t="shared" ref="E430:E461" si="21">C430-D430</f>
        <v>6.1854166666666659</v>
      </c>
    </row>
    <row r="431" spans="1:5" x14ac:dyDescent="0.2">
      <c r="A431" t="s">
        <v>1322</v>
      </c>
      <c r="B431" t="s">
        <v>1279</v>
      </c>
      <c r="C431" s="6">
        <v>5.9</v>
      </c>
      <c r="D431" s="6">
        <f t="shared" si="20"/>
        <v>-1.6124999999999996</v>
      </c>
      <c r="E431" s="6">
        <f t="shared" si="21"/>
        <v>7.5125000000000002</v>
      </c>
    </row>
    <row r="432" spans="1:5" x14ac:dyDescent="0.2">
      <c r="A432" t="s">
        <v>1322</v>
      </c>
      <c r="B432" t="s">
        <v>1280</v>
      </c>
      <c r="C432" s="6">
        <v>22.8</v>
      </c>
      <c r="D432" s="6">
        <f t="shared" si="20"/>
        <v>-1.4645833333333329</v>
      </c>
      <c r="E432" s="6">
        <f t="shared" si="21"/>
        <v>24.264583333333334</v>
      </c>
    </row>
    <row r="433" spans="1:5" x14ac:dyDescent="0.2">
      <c r="A433" t="s">
        <v>1322</v>
      </c>
      <c r="B433" t="s">
        <v>1281</v>
      </c>
      <c r="C433" s="6">
        <v>29.4</v>
      </c>
      <c r="D433" s="6">
        <f t="shared" si="20"/>
        <v>-1.060416666666667</v>
      </c>
      <c r="E433" s="6">
        <f t="shared" si="21"/>
        <v>30.460416666666667</v>
      </c>
    </row>
    <row r="434" spans="1:5" x14ac:dyDescent="0.2">
      <c r="A434" t="s">
        <v>1322</v>
      </c>
      <c r="B434" t="s">
        <v>1282</v>
      </c>
      <c r="C434" s="6">
        <v>33.799999999999997</v>
      </c>
      <c r="D434" s="6">
        <f t="shared" si="20"/>
        <v>-0.4458333333333333</v>
      </c>
      <c r="E434" s="6">
        <f t="shared" si="21"/>
        <v>34.24583333333333</v>
      </c>
    </row>
    <row r="435" spans="1:5" x14ac:dyDescent="0.2">
      <c r="A435" t="s">
        <v>1322</v>
      </c>
      <c r="B435" t="s">
        <v>1283</v>
      </c>
      <c r="C435" s="6">
        <v>37.9</v>
      </c>
      <c r="D435" s="6">
        <f t="shared" si="20"/>
        <v>0.16874999999999973</v>
      </c>
      <c r="E435" s="6">
        <f t="shared" si="21"/>
        <v>37.731249999999996</v>
      </c>
    </row>
    <row r="436" spans="1:5" x14ac:dyDescent="0.2">
      <c r="A436" t="s">
        <v>1322</v>
      </c>
      <c r="B436" t="s">
        <v>1284</v>
      </c>
      <c r="C436" s="6">
        <v>55.6</v>
      </c>
      <c r="D436" s="6">
        <f t="shared" si="20"/>
        <v>0.83749999999999947</v>
      </c>
      <c r="E436" s="6">
        <f t="shared" si="21"/>
        <v>54.762500000000003</v>
      </c>
    </row>
    <row r="437" spans="1:5" x14ac:dyDescent="0.2">
      <c r="A437" t="s">
        <v>1322</v>
      </c>
      <c r="B437" t="s">
        <v>1285</v>
      </c>
      <c r="C437" s="6">
        <v>55.1</v>
      </c>
      <c r="D437" s="6">
        <f t="shared" si="20"/>
        <v>1.9062499999999993</v>
      </c>
      <c r="E437" s="6">
        <f t="shared" si="21"/>
        <v>53.193750000000001</v>
      </c>
    </row>
    <row r="438" spans="1:5" x14ac:dyDescent="0.2">
      <c r="A438" t="s">
        <v>1322</v>
      </c>
      <c r="B438" t="s">
        <v>1286</v>
      </c>
      <c r="C438" s="6">
        <v>48.5</v>
      </c>
      <c r="D438" s="6">
        <f t="shared" si="20"/>
        <v>2.9708333333333328</v>
      </c>
      <c r="E438" s="6">
        <f t="shared" si="21"/>
        <v>45.529166666666669</v>
      </c>
    </row>
    <row r="439" spans="1:5" x14ac:dyDescent="0.2">
      <c r="A439" t="s">
        <v>1322</v>
      </c>
      <c r="B439" t="s">
        <v>1287</v>
      </c>
      <c r="C439" s="6">
        <v>39.6</v>
      </c>
      <c r="D439" s="6">
        <f t="shared" si="20"/>
        <v>3.9958333333333322</v>
      </c>
      <c r="E439" s="6">
        <f t="shared" si="21"/>
        <v>35.604166666666671</v>
      </c>
    </row>
    <row r="440" spans="1:5" x14ac:dyDescent="0.2">
      <c r="A440" t="s">
        <v>1322</v>
      </c>
      <c r="B440" t="s">
        <v>1288</v>
      </c>
      <c r="C440" s="6">
        <v>39.299999999999997</v>
      </c>
      <c r="D440" s="6">
        <f t="shared" si="20"/>
        <v>4.6979166666666661</v>
      </c>
      <c r="E440" s="6">
        <f t="shared" si="21"/>
        <v>34.602083333333333</v>
      </c>
    </row>
    <row r="441" spans="1:5" x14ac:dyDescent="0.2">
      <c r="A441" t="s">
        <v>1322</v>
      </c>
      <c r="B441" t="s">
        <v>1289</v>
      </c>
      <c r="C441" s="6">
        <v>8</v>
      </c>
      <c r="D441" s="6">
        <f t="shared" si="20"/>
        <v>5.2770833333333327</v>
      </c>
      <c r="E441" s="6">
        <f t="shared" si="21"/>
        <v>2.7229166666666673</v>
      </c>
    </row>
    <row r="442" spans="1:5" x14ac:dyDescent="0.2">
      <c r="A442" t="s">
        <v>1322</v>
      </c>
      <c r="B442" t="s">
        <v>1290</v>
      </c>
      <c r="C442" s="6">
        <v>0.5</v>
      </c>
      <c r="D442" s="6">
        <f t="shared" si="20"/>
        <v>5.2499999999999991</v>
      </c>
      <c r="E442" s="6">
        <f t="shared" si="21"/>
        <v>-4.7499999999999991</v>
      </c>
    </row>
    <row r="443" spans="1:5" x14ac:dyDescent="0.2">
      <c r="A443" t="s">
        <v>1322</v>
      </c>
      <c r="B443" t="s">
        <v>1291</v>
      </c>
      <c r="C443" s="6">
        <v>-5.7</v>
      </c>
      <c r="D443" s="6">
        <f t="shared" si="20"/>
        <v>5.0374999999999988</v>
      </c>
      <c r="E443" s="6">
        <f t="shared" si="21"/>
        <v>-10.737499999999999</v>
      </c>
    </row>
    <row r="444" spans="1:5" x14ac:dyDescent="0.2">
      <c r="A444" t="s">
        <v>1322</v>
      </c>
      <c r="B444" t="s">
        <v>1292</v>
      </c>
      <c r="C444" s="6">
        <v>-10.4</v>
      </c>
      <c r="D444" s="6">
        <f t="shared" si="20"/>
        <v>4.5979166666666655</v>
      </c>
      <c r="E444" s="6">
        <f t="shared" si="21"/>
        <v>-14.997916666666665</v>
      </c>
    </row>
    <row r="445" spans="1:5" x14ac:dyDescent="0.2">
      <c r="A445" t="s">
        <v>1322</v>
      </c>
      <c r="B445" t="s">
        <v>1293</v>
      </c>
      <c r="C445" s="6">
        <v>-11.3</v>
      </c>
      <c r="D445" s="6">
        <f t="shared" si="20"/>
        <v>4.1270833333333332</v>
      </c>
      <c r="E445" s="6">
        <f t="shared" si="21"/>
        <v>-15.427083333333334</v>
      </c>
    </row>
    <row r="446" spans="1:5" x14ac:dyDescent="0.2">
      <c r="A446" t="s">
        <v>1322</v>
      </c>
      <c r="B446" t="s">
        <v>1294</v>
      </c>
      <c r="C446" s="6">
        <v>-9.8000000000000007</v>
      </c>
      <c r="D446" s="6">
        <f t="shared" si="20"/>
        <v>3.527083333333334</v>
      </c>
      <c r="E446" s="6">
        <f t="shared" si="21"/>
        <v>-13.327083333333334</v>
      </c>
    </row>
    <row r="447" spans="1:5" x14ac:dyDescent="0.2">
      <c r="A447" t="s">
        <v>1322</v>
      </c>
      <c r="B447" t="s">
        <v>1295</v>
      </c>
      <c r="C447" s="6">
        <v>-12.5</v>
      </c>
      <c r="D447" s="6">
        <f t="shared" si="20"/>
        <v>2.9499999999999997</v>
      </c>
      <c r="E447" s="6">
        <f t="shared" si="21"/>
        <v>-15.45</v>
      </c>
    </row>
    <row r="448" spans="1:5" x14ac:dyDescent="0.2">
      <c r="A448" t="s">
        <v>1322</v>
      </c>
      <c r="B448" t="s">
        <v>1296</v>
      </c>
      <c r="C448" s="6">
        <v>-8.3000000000000007</v>
      </c>
      <c r="D448" s="6">
        <f t="shared" si="20"/>
        <v>2.3145833333333337</v>
      </c>
      <c r="E448" s="6">
        <f t="shared" si="21"/>
        <v>-10.614583333333334</v>
      </c>
    </row>
    <row r="449" spans="1:5" x14ac:dyDescent="0.2">
      <c r="A449" t="s">
        <v>1322</v>
      </c>
      <c r="B449" t="s">
        <v>1297</v>
      </c>
      <c r="C449" s="6">
        <v>-8.4</v>
      </c>
      <c r="D449" s="6">
        <f t="shared" si="20"/>
        <v>1.8562500000000008</v>
      </c>
      <c r="E449" s="6">
        <f t="shared" si="21"/>
        <v>-10.256250000000001</v>
      </c>
    </row>
    <row r="450" spans="1:5" x14ac:dyDescent="0.2">
      <c r="A450" t="s">
        <v>1322</v>
      </c>
      <c r="B450" t="s">
        <v>1298</v>
      </c>
      <c r="C450" s="6">
        <v>9.4</v>
      </c>
      <c r="D450" s="6">
        <f t="shared" si="20"/>
        <v>1.4500000000000002</v>
      </c>
      <c r="E450" s="6">
        <f t="shared" si="21"/>
        <v>7.95</v>
      </c>
    </row>
    <row r="451" spans="1:5" x14ac:dyDescent="0.2">
      <c r="A451" t="s">
        <v>1322</v>
      </c>
      <c r="B451" t="s">
        <v>1299</v>
      </c>
      <c r="C451" s="6">
        <v>10.9</v>
      </c>
      <c r="D451" s="6">
        <f t="shared" si="20"/>
        <v>1.40625</v>
      </c>
      <c r="E451" s="6">
        <f t="shared" si="21"/>
        <v>9.4937500000000004</v>
      </c>
    </row>
    <row r="452" spans="1:5" x14ac:dyDescent="0.2">
      <c r="A452" t="s">
        <v>1322</v>
      </c>
      <c r="B452" t="s">
        <v>1300</v>
      </c>
      <c r="C452" s="6">
        <v>17.2</v>
      </c>
      <c r="D452" s="6">
        <f t="shared" si="20"/>
        <v>1.5520833333333339</v>
      </c>
      <c r="E452" s="6">
        <f t="shared" si="21"/>
        <v>15.647916666666665</v>
      </c>
    </row>
    <row r="453" spans="1:5" x14ac:dyDescent="0.2">
      <c r="A453" t="s">
        <v>1322</v>
      </c>
      <c r="B453" t="s">
        <v>1301</v>
      </c>
      <c r="C453" s="6">
        <v>14.6</v>
      </c>
      <c r="D453" s="6">
        <f t="shared" si="20"/>
        <v>1.9124999999999999</v>
      </c>
      <c r="E453" s="6">
        <f t="shared" si="21"/>
        <v>12.6875</v>
      </c>
    </row>
    <row r="454" spans="1:5" x14ac:dyDescent="0.2">
      <c r="A454" t="s">
        <v>1322</v>
      </c>
      <c r="B454" t="s">
        <v>1302</v>
      </c>
      <c r="C454" s="6">
        <v>10.7</v>
      </c>
      <c r="D454" s="6">
        <f t="shared" si="20"/>
        <v>2.1999999999999997</v>
      </c>
      <c r="E454" s="6">
        <f t="shared" si="21"/>
        <v>8.5</v>
      </c>
    </row>
    <row r="455" spans="1:5" x14ac:dyDescent="0.2">
      <c r="A455" t="s">
        <v>1322</v>
      </c>
      <c r="B455" t="s">
        <v>1303</v>
      </c>
      <c r="C455" s="6">
        <v>7.1</v>
      </c>
      <c r="D455" s="6">
        <f t="shared" si="20"/>
        <v>2.6500000000000004</v>
      </c>
      <c r="E455" s="6">
        <f t="shared" si="21"/>
        <v>4.4499999999999993</v>
      </c>
    </row>
    <row r="456" spans="1:5" x14ac:dyDescent="0.2">
      <c r="A456" t="s">
        <v>1322</v>
      </c>
      <c r="B456" t="s">
        <v>1304</v>
      </c>
      <c r="C456" s="6">
        <v>3.3</v>
      </c>
      <c r="D456" s="6">
        <f t="shared" si="20"/>
        <v>2.9583333333333335</v>
      </c>
      <c r="E456" s="6">
        <f t="shared" si="21"/>
        <v>0.34166666666666634</v>
      </c>
    </row>
    <row r="457" spans="1:5" x14ac:dyDescent="0.2">
      <c r="A457" t="s">
        <v>1322</v>
      </c>
      <c r="B457" t="s">
        <v>1305</v>
      </c>
      <c r="C457" s="6">
        <v>6.5</v>
      </c>
      <c r="D457" s="6">
        <f t="shared" si="20"/>
        <v>3.1500000000000008</v>
      </c>
      <c r="E457" s="6">
        <f t="shared" si="21"/>
        <v>3.3499999999999992</v>
      </c>
    </row>
    <row r="458" spans="1:5" x14ac:dyDescent="0.2">
      <c r="A458" t="s">
        <v>1322</v>
      </c>
      <c r="B458" t="s">
        <v>1306</v>
      </c>
      <c r="C458" s="6">
        <v>9.3000000000000007</v>
      </c>
      <c r="D458" s="6">
        <f t="shared" si="20"/>
        <v>3.4979166666666672</v>
      </c>
      <c r="E458" s="6">
        <f t="shared" si="21"/>
        <v>5.8020833333333339</v>
      </c>
    </row>
    <row r="459" spans="1:5" x14ac:dyDescent="0.2">
      <c r="A459" t="s">
        <v>1322</v>
      </c>
      <c r="B459" t="s">
        <v>1307</v>
      </c>
      <c r="C459" s="6">
        <v>8.8000000000000007</v>
      </c>
      <c r="D459" s="6">
        <f t="shared" si="20"/>
        <v>3.9187499999999997</v>
      </c>
      <c r="E459" s="6">
        <f t="shared" si="21"/>
        <v>4.8812500000000014</v>
      </c>
    </row>
    <row r="460" spans="1:5" x14ac:dyDescent="0.2">
      <c r="A460" t="s">
        <v>1322</v>
      </c>
      <c r="B460" t="s">
        <v>1308</v>
      </c>
      <c r="C460" s="6">
        <v>3.9</v>
      </c>
      <c r="D460" s="6">
        <f t="shared" si="20"/>
        <v>4.3416666666666659</v>
      </c>
      <c r="E460" s="6">
        <f t="shared" si="21"/>
        <v>-0.44166666666666599</v>
      </c>
    </row>
    <row r="461" spans="1:5" x14ac:dyDescent="0.2">
      <c r="A461" t="s">
        <v>1322</v>
      </c>
      <c r="B461" t="s">
        <v>1309</v>
      </c>
      <c r="C461" s="6">
        <v>-1.4</v>
      </c>
      <c r="D461" s="6">
        <f t="shared" si="20"/>
        <v>4.6187500000000004</v>
      </c>
      <c r="E461" s="6">
        <f t="shared" si="21"/>
        <v>-6.0187500000000007</v>
      </c>
    </row>
    <row r="462" spans="1:5" x14ac:dyDescent="0.2">
      <c r="A462" t="s">
        <v>1322</v>
      </c>
      <c r="B462" t="s">
        <v>1310</v>
      </c>
      <c r="C462" s="6">
        <v>3.3</v>
      </c>
      <c r="D462" s="6">
        <f t="shared" ref="D462:D493" si="22">AVERAGE(C414:C461)</f>
        <v>4.7416666666666671</v>
      </c>
      <c r="E462" s="6">
        <f t="shared" ref="E462:E493" si="23">C462-D462</f>
        <v>-1.4416666666666673</v>
      </c>
    </row>
    <row r="463" spans="1:5" x14ac:dyDescent="0.2">
      <c r="A463" t="s">
        <v>1322</v>
      </c>
      <c r="B463" t="s">
        <v>1311</v>
      </c>
      <c r="C463" s="6">
        <v>3.3</v>
      </c>
      <c r="D463" s="6">
        <f t="shared" si="22"/>
        <v>4.90625</v>
      </c>
      <c r="E463" s="6">
        <f t="shared" si="23"/>
        <v>-1.6062500000000002</v>
      </c>
    </row>
    <row r="464" spans="1:5" x14ac:dyDescent="0.2">
      <c r="A464" t="s">
        <v>1322</v>
      </c>
      <c r="B464" t="s">
        <v>1312</v>
      </c>
      <c r="C464" s="6">
        <v>8.3000000000000007</v>
      </c>
      <c r="D464" s="6">
        <f t="shared" si="22"/>
        <v>5.3645833333333348</v>
      </c>
      <c r="E464" s="6">
        <f t="shared" si="23"/>
        <v>2.9354166666666659</v>
      </c>
    </row>
    <row r="465" spans="1:5" x14ac:dyDescent="0.2">
      <c r="A465" t="s">
        <v>1322</v>
      </c>
      <c r="B465" t="s">
        <v>1313</v>
      </c>
      <c r="C465" s="6">
        <v>5.3</v>
      </c>
      <c r="D465" s="6">
        <f t="shared" si="22"/>
        <v>6.3499999999999988</v>
      </c>
      <c r="E465" s="6">
        <f t="shared" si="23"/>
        <v>-1.0499999999999989</v>
      </c>
    </row>
    <row r="466" spans="1:5" x14ac:dyDescent="0.2">
      <c r="A466" t="s">
        <v>1322</v>
      </c>
      <c r="B466" t="s">
        <v>1314</v>
      </c>
      <c r="C466" s="6">
        <v>-1</v>
      </c>
      <c r="D466" s="6">
        <f t="shared" si="22"/>
        <v>7.4062500000000027</v>
      </c>
      <c r="E466" s="6">
        <f t="shared" si="23"/>
        <v>-8.4062500000000036</v>
      </c>
    </row>
    <row r="467" spans="1:5" x14ac:dyDescent="0.2">
      <c r="A467" t="s">
        <v>1322</v>
      </c>
      <c r="B467" t="s">
        <v>1315</v>
      </c>
      <c r="C467" s="6">
        <v>0.8</v>
      </c>
      <c r="D467" s="6">
        <f t="shared" si="22"/>
        <v>7.9479166666666679</v>
      </c>
      <c r="E467" s="6">
        <f t="shared" si="23"/>
        <v>-7.147916666666668</v>
      </c>
    </row>
    <row r="468" spans="1:5" x14ac:dyDescent="0.2">
      <c r="A468" t="s">
        <v>1322</v>
      </c>
      <c r="B468" t="s">
        <v>1316</v>
      </c>
      <c r="C468" s="6">
        <v>-7.1</v>
      </c>
      <c r="D468" s="6">
        <f t="shared" si="22"/>
        <v>8.5083333333333346</v>
      </c>
      <c r="E468" s="6">
        <f t="shared" si="23"/>
        <v>-15.608333333333334</v>
      </c>
    </row>
    <row r="469" spans="1:5" x14ac:dyDescent="0.2">
      <c r="A469" t="s">
        <v>1322</v>
      </c>
      <c r="B469" t="s">
        <v>1317</v>
      </c>
      <c r="C469" s="6">
        <v>-5.3</v>
      </c>
      <c r="D469" s="6">
        <f t="shared" si="22"/>
        <v>8.8500000000000032</v>
      </c>
      <c r="E469" s="6">
        <f t="shared" si="23"/>
        <v>-14.150000000000002</v>
      </c>
    </row>
    <row r="470" spans="1:5" x14ac:dyDescent="0.2">
      <c r="A470" t="s">
        <v>1322</v>
      </c>
      <c r="B470" t="s">
        <v>1318</v>
      </c>
      <c r="C470" s="6">
        <v>-9.3000000000000007</v>
      </c>
      <c r="D470" s="6">
        <f t="shared" si="22"/>
        <v>9.1291666666666682</v>
      </c>
      <c r="E470" s="6">
        <f t="shared" si="23"/>
        <v>-18.429166666666667</v>
      </c>
    </row>
    <row r="471" spans="1:5" x14ac:dyDescent="0.2">
      <c r="A471" t="s">
        <v>1322</v>
      </c>
      <c r="B471" t="s">
        <v>1319</v>
      </c>
      <c r="C471" s="6">
        <v>2.1</v>
      </c>
      <c r="D471" s="6">
        <f t="shared" si="22"/>
        <v>9.2958333333333361</v>
      </c>
      <c r="E471" s="6">
        <f t="shared" si="23"/>
        <v>-7.1958333333333364</v>
      </c>
    </row>
    <row r="472" spans="1:5" x14ac:dyDescent="0.2">
      <c r="A472" t="s">
        <v>1322</v>
      </c>
      <c r="B472" t="s">
        <v>1320</v>
      </c>
      <c r="C472" s="6">
        <v>-2.9</v>
      </c>
      <c r="D472" s="6">
        <f t="shared" si="22"/>
        <v>9.6375000000000028</v>
      </c>
      <c r="E472" s="6">
        <f t="shared" si="23"/>
        <v>-12.537500000000003</v>
      </c>
    </row>
    <row r="473" spans="1:5" x14ac:dyDescent="0.2">
      <c r="A473" t="s">
        <v>1322</v>
      </c>
      <c r="B473" t="s">
        <v>16</v>
      </c>
      <c r="C473" s="6">
        <v>-1.4</v>
      </c>
      <c r="D473" s="6">
        <f t="shared" si="22"/>
        <v>9.8270833333333361</v>
      </c>
      <c r="E473" s="6">
        <f t="shared" si="23"/>
        <v>-11.227083333333336</v>
      </c>
    </row>
    <row r="474" spans="1:5" x14ac:dyDescent="0.2">
      <c r="A474" t="s">
        <v>1323</v>
      </c>
      <c r="B474" t="s">
        <v>1166</v>
      </c>
      <c r="C474" s="6">
        <v>26.7</v>
      </c>
    </row>
    <row r="475" spans="1:5" x14ac:dyDescent="0.2">
      <c r="A475" t="s">
        <v>1323</v>
      </c>
      <c r="B475" t="s">
        <v>1167</v>
      </c>
      <c r="C475" s="6">
        <v>31.3</v>
      </c>
    </row>
    <row r="476" spans="1:5" x14ac:dyDescent="0.2">
      <c r="A476" t="s">
        <v>1323</v>
      </c>
      <c r="B476" t="s">
        <v>1168</v>
      </c>
      <c r="C476" s="6">
        <v>31.3</v>
      </c>
    </row>
    <row r="477" spans="1:5" x14ac:dyDescent="0.2">
      <c r="A477" t="s">
        <v>1323</v>
      </c>
      <c r="B477" t="s">
        <v>1169</v>
      </c>
      <c r="C477" s="6">
        <v>40.5</v>
      </c>
    </row>
    <row r="478" spans="1:5" x14ac:dyDescent="0.2">
      <c r="A478" t="s">
        <v>1323</v>
      </c>
      <c r="B478" t="s">
        <v>1170</v>
      </c>
      <c r="C478" s="6">
        <v>34.6</v>
      </c>
    </row>
    <row r="479" spans="1:5" x14ac:dyDescent="0.2">
      <c r="A479" t="s">
        <v>1323</v>
      </c>
      <c r="B479" t="s">
        <v>1171</v>
      </c>
      <c r="C479" s="6">
        <v>45.5</v>
      </c>
    </row>
    <row r="480" spans="1:5" x14ac:dyDescent="0.2">
      <c r="A480" t="s">
        <v>1323</v>
      </c>
      <c r="B480" t="s">
        <v>1172</v>
      </c>
      <c r="C480" s="6">
        <v>37.799999999999997</v>
      </c>
    </row>
    <row r="481" spans="1:3" x14ac:dyDescent="0.2">
      <c r="A481" t="s">
        <v>1323</v>
      </c>
      <c r="B481" t="s">
        <v>1173</v>
      </c>
      <c r="C481" s="6">
        <v>35.799999999999997</v>
      </c>
    </row>
    <row r="482" spans="1:3" x14ac:dyDescent="0.2">
      <c r="A482" t="s">
        <v>1323</v>
      </c>
      <c r="B482" t="s">
        <v>1174</v>
      </c>
      <c r="C482" s="6">
        <v>36.4</v>
      </c>
    </row>
    <row r="483" spans="1:3" x14ac:dyDescent="0.2">
      <c r="A483" t="s">
        <v>1323</v>
      </c>
      <c r="B483" t="s">
        <v>1175</v>
      </c>
      <c r="C483" s="6">
        <v>32.700000000000003</v>
      </c>
    </row>
    <row r="484" spans="1:3" x14ac:dyDescent="0.2">
      <c r="A484" t="s">
        <v>1323</v>
      </c>
      <c r="B484" t="s">
        <v>1176</v>
      </c>
      <c r="C484" s="6">
        <v>30.4</v>
      </c>
    </row>
    <row r="485" spans="1:3" x14ac:dyDescent="0.2">
      <c r="A485" t="s">
        <v>1323</v>
      </c>
      <c r="B485" t="s">
        <v>1177</v>
      </c>
      <c r="C485" s="6">
        <v>24.3</v>
      </c>
    </row>
    <row r="486" spans="1:3" x14ac:dyDescent="0.2">
      <c r="A486" t="s">
        <v>1323</v>
      </c>
      <c r="B486" t="s">
        <v>1178</v>
      </c>
      <c r="C486" s="6">
        <v>8.1999999999999993</v>
      </c>
    </row>
    <row r="487" spans="1:3" x14ac:dyDescent="0.2">
      <c r="A487" t="s">
        <v>1323</v>
      </c>
      <c r="B487" t="s">
        <v>1179</v>
      </c>
      <c r="C487" s="6">
        <v>8</v>
      </c>
    </row>
    <row r="488" spans="1:3" x14ac:dyDescent="0.2">
      <c r="A488" t="s">
        <v>1323</v>
      </c>
      <c r="B488" t="s">
        <v>1180</v>
      </c>
      <c r="C488" s="6">
        <v>9.9</v>
      </c>
    </row>
    <row r="489" spans="1:3" x14ac:dyDescent="0.2">
      <c r="A489" t="s">
        <v>1323</v>
      </c>
      <c r="B489" t="s">
        <v>1181</v>
      </c>
      <c r="C489" s="6">
        <v>10.199999999999999</v>
      </c>
    </row>
    <row r="490" spans="1:3" x14ac:dyDescent="0.2">
      <c r="A490" t="s">
        <v>1323</v>
      </c>
      <c r="B490" t="s">
        <v>1182</v>
      </c>
      <c r="C490" s="6">
        <v>7.9</v>
      </c>
    </row>
    <row r="491" spans="1:3" x14ac:dyDescent="0.2">
      <c r="A491" t="s">
        <v>1323</v>
      </c>
      <c r="B491" t="s">
        <v>1183</v>
      </c>
      <c r="C491" s="6">
        <v>-3.1</v>
      </c>
    </row>
    <row r="492" spans="1:3" x14ac:dyDescent="0.2">
      <c r="A492" t="s">
        <v>1323</v>
      </c>
      <c r="B492" t="s">
        <v>1184</v>
      </c>
      <c r="C492" s="6">
        <v>10.4</v>
      </c>
    </row>
    <row r="493" spans="1:3" x14ac:dyDescent="0.2">
      <c r="A493" t="s">
        <v>1323</v>
      </c>
      <c r="B493" t="s">
        <v>1185</v>
      </c>
      <c r="C493" s="6">
        <v>1.1000000000000001</v>
      </c>
    </row>
    <row r="494" spans="1:3" x14ac:dyDescent="0.2">
      <c r="A494" t="s">
        <v>1323</v>
      </c>
      <c r="B494" t="s">
        <v>1186</v>
      </c>
      <c r="C494" s="6">
        <v>-0.6</v>
      </c>
    </row>
    <row r="495" spans="1:3" x14ac:dyDescent="0.2">
      <c r="A495" t="s">
        <v>1323</v>
      </c>
      <c r="B495" t="s">
        <v>1187</v>
      </c>
      <c r="C495" s="6">
        <v>-2.2999999999999998</v>
      </c>
    </row>
    <row r="496" spans="1:3" x14ac:dyDescent="0.2">
      <c r="A496" t="s">
        <v>1323</v>
      </c>
      <c r="B496" t="s">
        <v>1188</v>
      </c>
      <c r="C496" s="6">
        <v>18</v>
      </c>
    </row>
    <row r="497" spans="1:3" x14ac:dyDescent="0.2">
      <c r="A497" t="s">
        <v>1323</v>
      </c>
      <c r="B497" t="s">
        <v>1189</v>
      </c>
      <c r="C497" s="6">
        <v>28.6</v>
      </c>
    </row>
    <row r="498" spans="1:3" x14ac:dyDescent="0.2">
      <c r="A498" t="s">
        <v>1323</v>
      </c>
      <c r="B498" t="s">
        <v>1190</v>
      </c>
      <c r="C498" s="6">
        <v>10.5</v>
      </c>
    </row>
    <row r="499" spans="1:3" x14ac:dyDescent="0.2">
      <c r="A499" t="s">
        <v>1323</v>
      </c>
      <c r="B499" t="s">
        <v>1191</v>
      </c>
      <c r="C499" s="6">
        <v>-10.9</v>
      </c>
    </row>
    <row r="500" spans="1:3" x14ac:dyDescent="0.2">
      <c r="A500" t="s">
        <v>1323</v>
      </c>
      <c r="B500" t="s">
        <v>1192</v>
      </c>
      <c r="C500" s="6">
        <v>-10.9</v>
      </c>
    </row>
    <row r="501" spans="1:3" x14ac:dyDescent="0.2">
      <c r="A501" t="s">
        <v>1323</v>
      </c>
      <c r="B501" t="s">
        <v>1193</v>
      </c>
      <c r="C501" s="6">
        <v>-9.6</v>
      </c>
    </row>
    <row r="502" spans="1:3" x14ac:dyDescent="0.2">
      <c r="A502" t="s">
        <v>1323</v>
      </c>
      <c r="B502" t="s">
        <v>1194</v>
      </c>
      <c r="C502" s="6">
        <v>-9.5</v>
      </c>
    </row>
    <row r="503" spans="1:3" x14ac:dyDescent="0.2">
      <c r="A503" t="s">
        <v>1323</v>
      </c>
      <c r="B503" t="s">
        <v>1195</v>
      </c>
      <c r="C503" s="6">
        <v>2.1</v>
      </c>
    </row>
    <row r="504" spans="1:3" x14ac:dyDescent="0.2">
      <c r="A504" t="s">
        <v>1323</v>
      </c>
      <c r="B504" t="s">
        <v>1196</v>
      </c>
      <c r="C504" s="6">
        <v>-8</v>
      </c>
    </row>
    <row r="505" spans="1:3" x14ac:dyDescent="0.2">
      <c r="A505" t="s">
        <v>1323</v>
      </c>
      <c r="B505" t="s">
        <v>1197</v>
      </c>
      <c r="C505" s="6">
        <v>2.6</v>
      </c>
    </row>
    <row r="506" spans="1:3" x14ac:dyDescent="0.2">
      <c r="A506" t="s">
        <v>1323</v>
      </c>
      <c r="B506" t="s">
        <v>1198</v>
      </c>
      <c r="C506" s="6">
        <v>1.3</v>
      </c>
    </row>
    <row r="507" spans="1:3" x14ac:dyDescent="0.2">
      <c r="A507" t="s">
        <v>1323</v>
      </c>
      <c r="B507" t="s">
        <v>1199</v>
      </c>
      <c r="C507" s="6">
        <v>-18.5</v>
      </c>
    </row>
    <row r="508" spans="1:3" x14ac:dyDescent="0.2">
      <c r="A508" t="s">
        <v>1323</v>
      </c>
      <c r="B508" t="s">
        <v>1200</v>
      </c>
      <c r="C508" s="6">
        <v>-21.2</v>
      </c>
    </row>
    <row r="509" spans="1:3" x14ac:dyDescent="0.2">
      <c r="A509" t="s">
        <v>1323</v>
      </c>
      <c r="B509" t="s">
        <v>1201</v>
      </c>
      <c r="C509" s="6">
        <v>-13.2</v>
      </c>
    </row>
    <row r="510" spans="1:3" x14ac:dyDescent="0.2">
      <c r="A510" t="s">
        <v>1323</v>
      </c>
      <c r="B510" t="s">
        <v>1202</v>
      </c>
      <c r="C510" s="6">
        <v>-2.6</v>
      </c>
    </row>
    <row r="511" spans="1:3" x14ac:dyDescent="0.2">
      <c r="A511" t="s">
        <v>1323</v>
      </c>
      <c r="B511" t="s">
        <v>1203</v>
      </c>
      <c r="C511" s="6">
        <v>17</v>
      </c>
    </row>
    <row r="512" spans="1:3" x14ac:dyDescent="0.2">
      <c r="A512" t="s">
        <v>1323</v>
      </c>
      <c r="B512" t="s">
        <v>1204</v>
      </c>
      <c r="C512" s="6">
        <v>12.3</v>
      </c>
    </row>
    <row r="513" spans="1:5" x14ac:dyDescent="0.2">
      <c r="A513" t="s">
        <v>1323</v>
      </c>
      <c r="B513" t="s">
        <v>1205</v>
      </c>
      <c r="C513" s="6">
        <v>10.6</v>
      </c>
    </row>
    <row r="514" spans="1:5" x14ac:dyDescent="0.2">
      <c r="A514" t="s">
        <v>1323</v>
      </c>
      <c r="B514" t="s">
        <v>1206</v>
      </c>
      <c r="C514" s="6">
        <v>13.2</v>
      </c>
    </row>
    <row r="515" spans="1:5" x14ac:dyDescent="0.2">
      <c r="A515" t="s">
        <v>1323</v>
      </c>
      <c r="B515" t="s">
        <v>1207</v>
      </c>
      <c r="C515" s="6">
        <v>-1.7</v>
      </c>
    </row>
    <row r="516" spans="1:5" x14ac:dyDescent="0.2">
      <c r="A516" t="s">
        <v>1323</v>
      </c>
      <c r="B516" t="s">
        <v>1208</v>
      </c>
      <c r="C516" s="6">
        <v>-0.3</v>
      </c>
    </row>
    <row r="517" spans="1:5" x14ac:dyDescent="0.2">
      <c r="A517" t="s">
        <v>1323</v>
      </c>
      <c r="B517" t="s">
        <v>1209</v>
      </c>
      <c r="C517" s="6">
        <v>0.9</v>
      </c>
    </row>
    <row r="518" spans="1:5" x14ac:dyDescent="0.2">
      <c r="A518" t="s">
        <v>1323</v>
      </c>
      <c r="B518" t="s">
        <v>1210</v>
      </c>
      <c r="C518" s="6">
        <v>-0.8</v>
      </c>
    </row>
    <row r="519" spans="1:5" x14ac:dyDescent="0.2">
      <c r="A519" t="s">
        <v>1323</v>
      </c>
      <c r="B519" t="s">
        <v>1211</v>
      </c>
      <c r="C519" s="6">
        <v>6.4</v>
      </c>
    </row>
    <row r="520" spans="1:5" x14ac:dyDescent="0.2">
      <c r="A520" t="s">
        <v>1323</v>
      </c>
      <c r="B520" t="s">
        <v>1212</v>
      </c>
      <c r="C520" s="6">
        <v>15.1</v>
      </c>
    </row>
    <row r="521" spans="1:5" x14ac:dyDescent="0.2">
      <c r="A521" t="s">
        <v>1323</v>
      </c>
      <c r="B521" t="s">
        <v>1213</v>
      </c>
      <c r="C521" s="6">
        <v>6.4</v>
      </c>
    </row>
    <row r="522" spans="1:5" x14ac:dyDescent="0.2">
      <c r="A522" t="s">
        <v>1323</v>
      </c>
      <c r="B522" t="s">
        <v>1214</v>
      </c>
      <c r="C522" s="6">
        <v>5.7</v>
      </c>
      <c r="D522" s="6">
        <f t="shared" ref="D522:D553" si="24">AVERAGE(C474:C521)</f>
        <v>10.308333333333332</v>
      </c>
      <c r="E522" s="6">
        <f t="shared" ref="E522:E553" si="25">C522-D522</f>
        <v>-4.6083333333333316</v>
      </c>
    </row>
    <row r="523" spans="1:5" x14ac:dyDescent="0.2">
      <c r="A523" t="s">
        <v>1323</v>
      </c>
      <c r="B523" t="s">
        <v>1215</v>
      </c>
      <c r="C523" s="6">
        <v>7</v>
      </c>
      <c r="D523" s="6">
        <f t="shared" si="24"/>
        <v>9.8708333333333318</v>
      </c>
      <c r="E523" s="6">
        <f t="shared" si="25"/>
        <v>-2.8708333333333318</v>
      </c>
    </row>
    <row r="524" spans="1:5" x14ac:dyDescent="0.2">
      <c r="A524" t="s">
        <v>1323</v>
      </c>
      <c r="B524" t="s">
        <v>1216</v>
      </c>
      <c r="C524" s="6">
        <v>14.8</v>
      </c>
      <c r="D524" s="6">
        <f t="shared" si="24"/>
        <v>9.3645833333333304</v>
      </c>
      <c r="E524" s="6">
        <f t="shared" si="25"/>
        <v>5.4354166666666703</v>
      </c>
    </row>
    <row r="525" spans="1:5" x14ac:dyDescent="0.2">
      <c r="A525" t="s">
        <v>1323</v>
      </c>
      <c r="B525" t="s">
        <v>1217</v>
      </c>
      <c r="C525" s="6">
        <v>16.600000000000001</v>
      </c>
      <c r="D525" s="6">
        <f t="shared" si="24"/>
        <v>9.0208333333333321</v>
      </c>
      <c r="E525" s="6">
        <f t="shared" si="25"/>
        <v>7.5791666666666693</v>
      </c>
    </row>
    <row r="526" spans="1:5" x14ac:dyDescent="0.2">
      <c r="A526" t="s">
        <v>1323</v>
      </c>
      <c r="B526" t="s">
        <v>1218</v>
      </c>
      <c r="C526" s="6">
        <v>16.3</v>
      </c>
      <c r="D526" s="6">
        <f t="shared" si="24"/>
        <v>8.5229166666666654</v>
      </c>
      <c r="E526" s="6">
        <f t="shared" si="25"/>
        <v>7.7770833333333353</v>
      </c>
    </row>
    <row r="527" spans="1:5" x14ac:dyDescent="0.2">
      <c r="A527" t="s">
        <v>1323</v>
      </c>
      <c r="B527" t="s">
        <v>1219</v>
      </c>
      <c r="C527" s="6">
        <v>10.7</v>
      </c>
      <c r="D527" s="6">
        <f t="shared" si="24"/>
        <v>8.1416666666666675</v>
      </c>
      <c r="E527" s="6">
        <f t="shared" si="25"/>
        <v>2.5583333333333318</v>
      </c>
    </row>
    <row r="528" spans="1:5" x14ac:dyDescent="0.2">
      <c r="A528" t="s">
        <v>1323</v>
      </c>
      <c r="B528" t="s">
        <v>1220</v>
      </c>
      <c r="C528" s="6">
        <v>8.1999999999999993</v>
      </c>
      <c r="D528" s="6">
        <f t="shared" si="24"/>
        <v>7.4166666666666687</v>
      </c>
      <c r="E528" s="6">
        <f t="shared" si="25"/>
        <v>0.78333333333333055</v>
      </c>
    </row>
    <row r="529" spans="1:5" x14ac:dyDescent="0.2">
      <c r="A529" t="s">
        <v>1323</v>
      </c>
      <c r="B529" t="s">
        <v>1221</v>
      </c>
      <c r="C529" s="6">
        <v>10.4</v>
      </c>
      <c r="D529" s="6">
        <f t="shared" si="24"/>
        <v>6.8</v>
      </c>
      <c r="E529" s="6">
        <f t="shared" si="25"/>
        <v>3.6000000000000005</v>
      </c>
    </row>
    <row r="530" spans="1:5" x14ac:dyDescent="0.2">
      <c r="A530" t="s">
        <v>1323</v>
      </c>
      <c r="B530" t="s">
        <v>1222</v>
      </c>
      <c r="C530" s="6">
        <v>13.6</v>
      </c>
      <c r="D530" s="6">
        <f t="shared" si="24"/>
        <v>6.2708333333333321</v>
      </c>
      <c r="E530" s="6">
        <f t="shared" si="25"/>
        <v>7.3291666666666675</v>
      </c>
    </row>
    <row r="531" spans="1:5" x14ac:dyDescent="0.2">
      <c r="A531" t="s">
        <v>1323</v>
      </c>
      <c r="B531" t="s">
        <v>1223</v>
      </c>
      <c r="C531" s="6">
        <v>10.199999999999999</v>
      </c>
      <c r="D531" s="6">
        <f t="shared" si="24"/>
        <v>5.7958333333333334</v>
      </c>
      <c r="E531" s="6">
        <f t="shared" si="25"/>
        <v>4.4041666666666659</v>
      </c>
    </row>
    <row r="532" spans="1:5" x14ac:dyDescent="0.2">
      <c r="A532" t="s">
        <v>1323</v>
      </c>
      <c r="B532" t="s">
        <v>1224</v>
      </c>
      <c r="C532" s="6">
        <v>0.8</v>
      </c>
      <c r="D532" s="6">
        <f t="shared" si="24"/>
        <v>5.3270833333333334</v>
      </c>
      <c r="E532" s="6">
        <f t="shared" si="25"/>
        <v>-4.5270833333333336</v>
      </c>
    </row>
    <row r="533" spans="1:5" x14ac:dyDescent="0.2">
      <c r="A533" t="s">
        <v>1323</v>
      </c>
      <c r="B533" t="s">
        <v>1225</v>
      </c>
      <c r="C533" s="6">
        <v>2.2000000000000002</v>
      </c>
      <c r="D533" s="6">
        <f t="shared" si="24"/>
        <v>4.7104166666666663</v>
      </c>
      <c r="E533" s="6">
        <f t="shared" si="25"/>
        <v>-2.5104166666666661</v>
      </c>
    </row>
    <row r="534" spans="1:5" x14ac:dyDescent="0.2">
      <c r="A534" t="s">
        <v>1323</v>
      </c>
      <c r="B534" t="s">
        <v>1226</v>
      </c>
      <c r="C534" s="6">
        <v>1.4</v>
      </c>
      <c r="D534" s="6">
        <f t="shared" si="24"/>
        <v>4.2499999999999991</v>
      </c>
      <c r="E534" s="6">
        <f t="shared" si="25"/>
        <v>-2.8499999999999992</v>
      </c>
    </row>
    <row r="535" spans="1:5" x14ac:dyDescent="0.2">
      <c r="A535" t="s">
        <v>1323</v>
      </c>
      <c r="B535" t="s">
        <v>1227</v>
      </c>
      <c r="C535" s="6">
        <v>1.2</v>
      </c>
      <c r="D535" s="6">
        <f t="shared" si="24"/>
        <v>4.1083333333333325</v>
      </c>
      <c r="E535" s="6">
        <f t="shared" si="25"/>
        <v>-2.9083333333333323</v>
      </c>
    </row>
    <row r="536" spans="1:5" x14ac:dyDescent="0.2">
      <c r="A536" t="s">
        <v>1323</v>
      </c>
      <c r="B536" t="s">
        <v>1228</v>
      </c>
      <c r="C536" s="6">
        <v>-4.5999999999999996</v>
      </c>
      <c r="D536" s="6">
        <f t="shared" si="24"/>
        <v>3.9666666666666655</v>
      </c>
      <c r="E536" s="6">
        <f t="shared" si="25"/>
        <v>-8.5666666666666647</v>
      </c>
    </row>
    <row r="537" spans="1:5" x14ac:dyDescent="0.2">
      <c r="A537" t="s">
        <v>1323</v>
      </c>
      <c r="B537" t="s">
        <v>1229</v>
      </c>
      <c r="C537" s="6">
        <v>-7.5</v>
      </c>
      <c r="D537" s="6">
        <f t="shared" si="24"/>
        <v>3.6645833333333329</v>
      </c>
      <c r="E537" s="6">
        <f t="shared" si="25"/>
        <v>-11.164583333333333</v>
      </c>
    </row>
    <row r="538" spans="1:5" x14ac:dyDescent="0.2">
      <c r="A538" t="s">
        <v>1323</v>
      </c>
      <c r="B538" t="s">
        <v>1230</v>
      </c>
      <c r="C538" s="6">
        <v>-4.9000000000000004</v>
      </c>
      <c r="D538" s="6">
        <f t="shared" si="24"/>
        <v>3.2958333333333329</v>
      </c>
      <c r="E538" s="6">
        <f t="shared" si="25"/>
        <v>-8.1958333333333329</v>
      </c>
    </row>
    <row r="539" spans="1:5" x14ac:dyDescent="0.2">
      <c r="A539" t="s">
        <v>1323</v>
      </c>
      <c r="B539" t="s">
        <v>1231</v>
      </c>
      <c r="C539" s="6">
        <v>-17.2</v>
      </c>
      <c r="D539" s="6">
        <f t="shared" si="24"/>
        <v>3.0291666666666663</v>
      </c>
      <c r="E539" s="6">
        <f t="shared" si="25"/>
        <v>-20.229166666666664</v>
      </c>
    </row>
    <row r="540" spans="1:5" x14ac:dyDescent="0.2">
      <c r="A540" t="s">
        <v>1323</v>
      </c>
      <c r="B540" t="s">
        <v>1232</v>
      </c>
      <c r="C540" s="6">
        <v>-9.6999999999999993</v>
      </c>
      <c r="D540" s="6">
        <f t="shared" si="24"/>
        <v>2.7354166666666671</v>
      </c>
      <c r="E540" s="6">
        <f t="shared" si="25"/>
        <v>-12.435416666666667</v>
      </c>
    </row>
    <row r="541" spans="1:5" x14ac:dyDescent="0.2">
      <c r="A541" t="s">
        <v>1323</v>
      </c>
      <c r="B541" t="s">
        <v>1233</v>
      </c>
      <c r="C541" s="6">
        <v>-9.6999999999999993</v>
      </c>
      <c r="D541" s="6">
        <f t="shared" si="24"/>
        <v>2.3166666666666664</v>
      </c>
      <c r="E541" s="6">
        <f t="shared" si="25"/>
        <v>-12.016666666666666</v>
      </c>
    </row>
    <row r="542" spans="1:5" x14ac:dyDescent="0.2">
      <c r="A542" t="s">
        <v>1323</v>
      </c>
      <c r="B542" t="s">
        <v>1234</v>
      </c>
      <c r="C542" s="6">
        <v>-9.5</v>
      </c>
      <c r="D542" s="6">
        <f t="shared" si="24"/>
        <v>2.0916666666666663</v>
      </c>
      <c r="E542" s="6">
        <f t="shared" si="25"/>
        <v>-11.591666666666667</v>
      </c>
    </row>
    <row r="543" spans="1:5" x14ac:dyDescent="0.2">
      <c r="A543" t="s">
        <v>1323</v>
      </c>
      <c r="B543" t="s">
        <v>1235</v>
      </c>
      <c r="C543" s="6">
        <v>-10.5</v>
      </c>
      <c r="D543" s="6">
        <f t="shared" si="24"/>
        <v>1.9062499999999998</v>
      </c>
      <c r="E543" s="6">
        <f t="shared" si="25"/>
        <v>-12.40625</v>
      </c>
    </row>
    <row r="544" spans="1:5" x14ac:dyDescent="0.2">
      <c r="A544" t="s">
        <v>1323</v>
      </c>
      <c r="B544" t="s">
        <v>1236</v>
      </c>
      <c r="C544" s="6">
        <v>-13.5</v>
      </c>
      <c r="D544" s="6">
        <f t="shared" si="24"/>
        <v>1.7354166666666666</v>
      </c>
      <c r="E544" s="6">
        <f t="shared" si="25"/>
        <v>-15.235416666666666</v>
      </c>
    </row>
    <row r="545" spans="1:5" x14ac:dyDescent="0.2">
      <c r="A545" t="s">
        <v>1323</v>
      </c>
      <c r="B545" t="s">
        <v>1237</v>
      </c>
      <c r="C545" s="6">
        <v>-10</v>
      </c>
      <c r="D545" s="6">
        <f t="shared" si="24"/>
        <v>1.0791666666666666</v>
      </c>
      <c r="E545" s="6">
        <f t="shared" si="25"/>
        <v>-11.079166666666666</v>
      </c>
    </row>
    <row r="546" spans="1:5" x14ac:dyDescent="0.2">
      <c r="A546" t="s">
        <v>1323</v>
      </c>
      <c r="B546" t="s">
        <v>1238</v>
      </c>
      <c r="C546" s="6">
        <v>-4.0999999999999996</v>
      </c>
      <c r="D546" s="6">
        <f t="shared" si="24"/>
        <v>0.27500000000000036</v>
      </c>
      <c r="E546" s="6">
        <f t="shared" si="25"/>
        <v>-4.375</v>
      </c>
    </row>
    <row r="547" spans="1:5" x14ac:dyDescent="0.2">
      <c r="A547" t="s">
        <v>1323</v>
      </c>
      <c r="B547" t="s">
        <v>1239</v>
      </c>
      <c r="C547" s="6">
        <v>0.1</v>
      </c>
      <c r="D547" s="6">
        <f t="shared" si="24"/>
        <v>-2.9166666666666303E-2</v>
      </c>
      <c r="E547" s="6">
        <f t="shared" si="25"/>
        <v>0.12916666666666632</v>
      </c>
    </row>
    <row r="548" spans="1:5" x14ac:dyDescent="0.2">
      <c r="A548" t="s">
        <v>1323</v>
      </c>
      <c r="B548" t="s">
        <v>1240</v>
      </c>
      <c r="C548" s="6">
        <v>2.4</v>
      </c>
      <c r="D548" s="6">
        <f t="shared" si="24"/>
        <v>0.20000000000000018</v>
      </c>
      <c r="E548" s="6">
        <f t="shared" si="25"/>
        <v>2.1999999999999997</v>
      </c>
    </row>
    <row r="549" spans="1:5" x14ac:dyDescent="0.2">
      <c r="A549" t="s">
        <v>1323</v>
      </c>
      <c r="B549" t="s">
        <v>1241</v>
      </c>
      <c r="C549" s="6">
        <v>6.7</v>
      </c>
      <c r="D549" s="6">
        <f t="shared" si="24"/>
        <v>0.47708333333333358</v>
      </c>
      <c r="E549" s="6">
        <f t="shared" si="25"/>
        <v>6.2229166666666664</v>
      </c>
    </row>
    <row r="550" spans="1:5" x14ac:dyDescent="0.2">
      <c r="A550" t="s">
        <v>1323</v>
      </c>
      <c r="B550" t="s">
        <v>1242</v>
      </c>
      <c r="C550" s="6">
        <v>-0.5</v>
      </c>
      <c r="D550" s="6">
        <f t="shared" si="24"/>
        <v>0.81666666666666632</v>
      </c>
      <c r="E550" s="6">
        <f t="shared" si="25"/>
        <v>-1.3166666666666664</v>
      </c>
    </row>
    <row r="551" spans="1:5" x14ac:dyDescent="0.2">
      <c r="A551" t="s">
        <v>1323</v>
      </c>
      <c r="B551" t="s">
        <v>1243</v>
      </c>
      <c r="C551" s="6">
        <v>5.3</v>
      </c>
      <c r="D551" s="6">
        <f t="shared" si="24"/>
        <v>1.0041666666666662</v>
      </c>
      <c r="E551" s="6">
        <f t="shared" si="25"/>
        <v>4.2958333333333334</v>
      </c>
    </row>
    <row r="552" spans="1:5" x14ac:dyDescent="0.2">
      <c r="A552" t="s">
        <v>1323</v>
      </c>
      <c r="B552" t="s">
        <v>1244</v>
      </c>
      <c r="C552" s="6">
        <v>11.8</v>
      </c>
      <c r="D552" s="6">
        <f t="shared" si="24"/>
        <v>1.0708333333333331</v>
      </c>
      <c r="E552" s="6">
        <f t="shared" si="25"/>
        <v>10.729166666666668</v>
      </c>
    </row>
    <row r="553" spans="1:5" x14ac:dyDescent="0.2">
      <c r="A553" t="s">
        <v>1323</v>
      </c>
      <c r="B553" t="s">
        <v>1245</v>
      </c>
      <c r="C553" s="6">
        <v>8.1</v>
      </c>
      <c r="D553" s="6">
        <f t="shared" si="24"/>
        <v>1.4833333333333332</v>
      </c>
      <c r="E553" s="6">
        <f t="shared" si="25"/>
        <v>6.6166666666666663</v>
      </c>
    </row>
    <row r="554" spans="1:5" x14ac:dyDescent="0.2">
      <c r="A554" t="s">
        <v>1323</v>
      </c>
      <c r="B554" t="s">
        <v>1246</v>
      </c>
      <c r="C554" s="6">
        <v>7.7</v>
      </c>
      <c r="D554" s="6">
        <f t="shared" ref="D554:D585" si="26">AVERAGE(C506:C553)</f>
        <v>1.5979166666666664</v>
      </c>
      <c r="E554" s="6">
        <f t="shared" ref="E554:E585" si="27">C554-D554</f>
        <v>6.1020833333333337</v>
      </c>
    </row>
    <row r="555" spans="1:5" x14ac:dyDescent="0.2">
      <c r="A555" t="s">
        <v>1323</v>
      </c>
      <c r="B555" t="s">
        <v>1247</v>
      </c>
      <c r="C555" s="6">
        <v>6.2</v>
      </c>
      <c r="D555" s="6">
        <f t="shared" si="26"/>
        <v>1.7312499999999995</v>
      </c>
      <c r="E555" s="6">
        <f t="shared" si="27"/>
        <v>4.4687500000000009</v>
      </c>
    </row>
    <row r="556" spans="1:5" x14ac:dyDescent="0.2">
      <c r="A556" t="s">
        <v>1323</v>
      </c>
      <c r="B556" t="s">
        <v>1248</v>
      </c>
      <c r="C556" s="6">
        <v>8.4</v>
      </c>
      <c r="D556" s="6">
        <f t="shared" si="26"/>
        <v>2.2458333333333327</v>
      </c>
      <c r="E556" s="6">
        <f t="shared" si="27"/>
        <v>6.1541666666666677</v>
      </c>
    </row>
    <row r="557" spans="1:5" x14ac:dyDescent="0.2">
      <c r="A557" t="s">
        <v>1323</v>
      </c>
      <c r="B557" t="s">
        <v>1249</v>
      </c>
      <c r="C557" s="6">
        <v>8.1999999999999993</v>
      </c>
      <c r="D557" s="6">
        <f t="shared" si="26"/>
        <v>2.8625000000000003</v>
      </c>
      <c r="E557" s="6">
        <f t="shared" si="27"/>
        <v>5.3374999999999986</v>
      </c>
    </row>
    <row r="558" spans="1:5" x14ac:dyDescent="0.2">
      <c r="A558" t="s">
        <v>1323</v>
      </c>
      <c r="B558" t="s">
        <v>1250</v>
      </c>
      <c r="C558" s="6">
        <v>6.2</v>
      </c>
      <c r="D558" s="6">
        <f t="shared" si="26"/>
        <v>3.3083333333333331</v>
      </c>
      <c r="E558" s="6">
        <f t="shared" si="27"/>
        <v>2.8916666666666671</v>
      </c>
    </row>
    <row r="559" spans="1:5" x14ac:dyDescent="0.2">
      <c r="A559" t="s">
        <v>1323</v>
      </c>
      <c r="B559" t="s">
        <v>1251</v>
      </c>
      <c r="C559" s="6">
        <v>8.1999999999999993</v>
      </c>
      <c r="D559" s="6">
        <f t="shared" si="26"/>
        <v>3.4916666666666658</v>
      </c>
      <c r="E559" s="6">
        <f t="shared" si="27"/>
        <v>4.7083333333333339</v>
      </c>
    </row>
    <row r="560" spans="1:5" x14ac:dyDescent="0.2">
      <c r="A560" t="s">
        <v>1323</v>
      </c>
      <c r="B560" t="s">
        <v>1252</v>
      </c>
      <c r="C560" s="6">
        <v>10.5</v>
      </c>
      <c r="D560" s="6">
        <f t="shared" si="26"/>
        <v>3.3083333333333322</v>
      </c>
      <c r="E560" s="6">
        <f t="shared" si="27"/>
        <v>7.1916666666666682</v>
      </c>
    </row>
    <row r="561" spans="1:5" x14ac:dyDescent="0.2">
      <c r="A561" t="s">
        <v>1323</v>
      </c>
      <c r="B561" t="s">
        <v>1253</v>
      </c>
      <c r="C561" s="6">
        <v>7</v>
      </c>
      <c r="D561" s="6">
        <f t="shared" si="26"/>
        <v>3.2708333333333326</v>
      </c>
      <c r="E561" s="6">
        <f t="shared" si="27"/>
        <v>3.7291666666666674</v>
      </c>
    </row>
    <row r="562" spans="1:5" x14ac:dyDescent="0.2">
      <c r="A562" t="s">
        <v>1323</v>
      </c>
      <c r="B562" t="s">
        <v>1254</v>
      </c>
      <c r="C562" s="6">
        <v>5.4</v>
      </c>
      <c r="D562" s="6">
        <f t="shared" si="26"/>
        <v>3.1958333333333329</v>
      </c>
      <c r="E562" s="6">
        <f t="shared" si="27"/>
        <v>2.2041666666666675</v>
      </c>
    </row>
    <row r="563" spans="1:5" x14ac:dyDescent="0.2">
      <c r="A563" t="s">
        <v>1323</v>
      </c>
      <c r="B563" t="s">
        <v>1255</v>
      </c>
      <c r="C563" s="6">
        <v>4</v>
      </c>
      <c r="D563" s="6">
        <f t="shared" si="26"/>
        <v>3.0333333333333332</v>
      </c>
      <c r="E563" s="6">
        <f t="shared" si="27"/>
        <v>0.96666666666666679</v>
      </c>
    </row>
    <row r="564" spans="1:5" x14ac:dyDescent="0.2">
      <c r="A564" t="s">
        <v>1323</v>
      </c>
      <c r="B564" t="s">
        <v>1256</v>
      </c>
      <c r="C564" s="6">
        <v>8.3000000000000007</v>
      </c>
      <c r="D564" s="6">
        <f t="shared" si="26"/>
        <v>3.152083333333334</v>
      </c>
      <c r="E564" s="6">
        <f t="shared" si="27"/>
        <v>5.1479166666666671</v>
      </c>
    </row>
    <row r="565" spans="1:5" x14ac:dyDescent="0.2">
      <c r="A565" t="s">
        <v>1323</v>
      </c>
      <c r="B565" t="s">
        <v>1257</v>
      </c>
      <c r="C565" s="6">
        <v>11.1</v>
      </c>
      <c r="D565" s="6">
        <f t="shared" si="26"/>
        <v>3.3312500000000003</v>
      </c>
      <c r="E565" s="6">
        <f t="shared" si="27"/>
        <v>7.7687499999999989</v>
      </c>
    </row>
    <row r="566" spans="1:5" x14ac:dyDescent="0.2">
      <c r="A566" t="s">
        <v>1323</v>
      </c>
      <c r="B566" t="s">
        <v>1258</v>
      </c>
      <c r="C566" s="6">
        <v>4</v>
      </c>
      <c r="D566" s="6">
        <f t="shared" si="26"/>
        <v>3.5437500000000006</v>
      </c>
      <c r="E566" s="6">
        <f t="shared" si="27"/>
        <v>0.45624999999999938</v>
      </c>
    </row>
    <row r="567" spans="1:5" x14ac:dyDescent="0.2">
      <c r="A567" t="s">
        <v>1323</v>
      </c>
      <c r="B567" t="s">
        <v>1259</v>
      </c>
      <c r="C567" s="6">
        <v>5.5</v>
      </c>
      <c r="D567" s="6">
        <f t="shared" si="26"/>
        <v>3.6437500000000007</v>
      </c>
      <c r="E567" s="6">
        <f t="shared" si="27"/>
        <v>1.8562499999999993</v>
      </c>
    </row>
    <row r="568" spans="1:5" x14ac:dyDescent="0.2">
      <c r="A568" t="s">
        <v>1323</v>
      </c>
      <c r="B568" t="s">
        <v>1260</v>
      </c>
      <c r="C568" s="6">
        <v>4.9000000000000004</v>
      </c>
      <c r="D568" s="6">
        <f t="shared" si="26"/>
        <v>3.625</v>
      </c>
      <c r="E568" s="6">
        <f t="shared" si="27"/>
        <v>1.2750000000000004</v>
      </c>
    </row>
    <row r="569" spans="1:5" x14ac:dyDescent="0.2">
      <c r="A569" t="s">
        <v>1323</v>
      </c>
      <c r="B569" t="s">
        <v>1261</v>
      </c>
      <c r="C569" s="6">
        <v>2</v>
      </c>
      <c r="D569" s="6">
        <f t="shared" si="26"/>
        <v>3.4125000000000014</v>
      </c>
      <c r="E569" s="6">
        <f t="shared" si="27"/>
        <v>-1.4125000000000014</v>
      </c>
    </row>
    <row r="570" spans="1:5" x14ac:dyDescent="0.2">
      <c r="A570" t="s">
        <v>1323</v>
      </c>
      <c r="B570" t="s">
        <v>1262</v>
      </c>
      <c r="C570" s="6">
        <v>3.7</v>
      </c>
      <c r="D570" s="6">
        <f t="shared" si="26"/>
        <v>3.3208333333333342</v>
      </c>
      <c r="E570" s="6">
        <f t="shared" si="27"/>
        <v>0.37916666666666599</v>
      </c>
    </row>
    <row r="571" spans="1:5" x14ac:dyDescent="0.2">
      <c r="A571" t="s">
        <v>1323</v>
      </c>
      <c r="B571" t="s">
        <v>1263</v>
      </c>
      <c r="C571" s="6">
        <v>-5.5</v>
      </c>
      <c r="D571" s="6">
        <f t="shared" si="26"/>
        <v>3.2791666666666672</v>
      </c>
      <c r="E571" s="6">
        <f t="shared" si="27"/>
        <v>-8.7791666666666668</v>
      </c>
    </row>
    <row r="572" spans="1:5" x14ac:dyDescent="0.2">
      <c r="A572" t="s">
        <v>1323</v>
      </c>
      <c r="B572" t="s">
        <v>1264</v>
      </c>
      <c r="C572" s="6">
        <v>-20.8</v>
      </c>
      <c r="D572" s="6">
        <f t="shared" si="26"/>
        <v>3.0187500000000007</v>
      </c>
      <c r="E572" s="6">
        <f t="shared" si="27"/>
        <v>-23.818750000000001</v>
      </c>
    </row>
    <row r="573" spans="1:5" x14ac:dyDescent="0.2">
      <c r="A573" t="s">
        <v>1323</v>
      </c>
      <c r="B573" t="s">
        <v>1265</v>
      </c>
      <c r="C573" s="6">
        <v>-21.9</v>
      </c>
      <c r="D573" s="6">
        <f t="shared" si="26"/>
        <v>2.277083333333334</v>
      </c>
      <c r="E573" s="6">
        <f t="shared" si="27"/>
        <v>-24.177083333333332</v>
      </c>
    </row>
    <row r="574" spans="1:5" x14ac:dyDescent="0.2">
      <c r="A574" t="s">
        <v>1323</v>
      </c>
      <c r="B574" t="s">
        <v>1266</v>
      </c>
      <c r="C574" s="6">
        <v>-23.1</v>
      </c>
      <c r="D574" s="6">
        <f t="shared" si="26"/>
        <v>1.4750000000000008</v>
      </c>
      <c r="E574" s="6">
        <f t="shared" si="27"/>
        <v>-24.575000000000003</v>
      </c>
    </row>
    <row r="575" spans="1:5" x14ac:dyDescent="0.2">
      <c r="A575" t="s">
        <v>1323</v>
      </c>
      <c r="B575" t="s">
        <v>1267</v>
      </c>
      <c r="C575" s="6">
        <v>-21.3</v>
      </c>
      <c r="D575" s="6">
        <f t="shared" si="26"/>
        <v>0.65416666666666679</v>
      </c>
      <c r="E575" s="6">
        <f t="shared" si="27"/>
        <v>-21.954166666666666</v>
      </c>
    </row>
    <row r="576" spans="1:5" x14ac:dyDescent="0.2">
      <c r="A576" t="s">
        <v>1323</v>
      </c>
      <c r="B576" t="s">
        <v>1268</v>
      </c>
      <c r="C576" s="6">
        <v>-24.5</v>
      </c>
      <c r="D576" s="6">
        <f t="shared" si="26"/>
        <v>-1.2499999999999956E-2</v>
      </c>
      <c r="E576" s="6">
        <f t="shared" si="27"/>
        <v>-24.487500000000001</v>
      </c>
    </row>
    <row r="577" spans="1:5" x14ac:dyDescent="0.2">
      <c r="A577" t="s">
        <v>1323</v>
      </c>
      <c r="B577" t="s">
        <v>1269</v>
      </c>
      <c r="C577" s="6">
        <v>-26.2</v>
      </c>
      <c r="D577" s="6">
        <f t="shared" si="26"/>
        <v>-0.69374999999999931</v>
      </c>
      <c r="E577" s="6">
        <f t="shared" si="27"/>
        <v>-25.506250000000001</v>
      </c>
    </row>
    <row r="578" spans="1:5" x14ac:dyDescent="0.2">
      <c r="A578" t="s">
        <v>1323</v>
      </c>
      <c r="B578" t="s">
        <v>1270</v>
      </c>
      <c r="C578" s="6">
        <v>-23.3</v>
      </c>
      <c r="D578" s="6">
        <f t="shared" si="26"/>
        <v>-1.4562499999999998</v>
      </c>
      <c r="E578" s="6">
        <f t="shared" si="27"/>
        <v>-21.84375</v>
      </c>
    </row>
    <row r="579" spans="1:5" x14ac:dyDescent="0.2">
      <c r="A579" t="s">
        <v>1323</v>
      </c>
      <c r="B579" t="s">
        <v>1271</v>
      </c>
      <c r="C579" s="6">
        <v>-26.3</v>
      </c>
      <c r="D579" s="6">
        <f t="shared" si="26"/>
        <v>-2.2249999999999996</v>
      </c>
      <c r="E579" s="6">
        <f t="shared" si="27"/>
        <v>-24.075000000000003</v>
      </c>
    </row>
    <row r="580" spans="1:5" x14ac:dyDescent="0.2">
      <c r="A580" t="s">
        <v>1323</v>
      </c>
      <c r="B580" t="s">
        <v>1272</v>
      </c>
      <c r="C580" s="6">
        <v>-25</v>
      </c>
      <c r="D580" s="6">
        <f t="shared" si="26"/>
        <v>-2.9854166666666671</v>
      </c>
      <c r="E580" s="6">
        <f t="shared" si="27"/>
        <v>-22.014583333333334</v>
      </c>
    </row>
    <row r="581" spans="1:5" x14ac:dyDescent="0.2">
      <c r="A581" t="s">
        <v>1323</v>
      </c>
      <c r="B581" t="s">
        <v>1273</v>
      </c>
      <c r="C581" s="6">
        <v>-25.8</v>
      </c>
      <c r="D581" s="6">
        <f t="shared" si="26"/>
        <v>-3.5229166666666667</v>
      </c>
      <c r="E581" s="6">
        <f t="shared" si="27"/>
        <v>-22.277083333333334</v>
      </c>
    </row>
    <row r="582" spans="1:5" x14ac:dyDescent="0.2">
      <c r="A582" t="s">
        <v>1323</v>
      </c>
      <c r="B582" t="s">
        <v>1274</v>
      </c>
      <c r="C582" s="6">
        <v>-27.4</v>
      </c>
      <c r="D582" s="6">
        <f t="shared" si="26"/>
        <v>-4.1062500000000002</v>
      </c>
      <c r="E582" s="6">
        <f t="shared" si="27"/>
        <v>-23.293749999999999</v>
      </c>
    </row>
    <row r="583" spans="1:5" x14ac:dyDescent="0.2">
      <c r="A583" t="s">
        <v>1323</v>
      </c>
      <c r="B583" t="s">
        <v>1275</v>
      </c>
      <c r="C583" s="6">
        <v>-23.3</v>
      </c>
      <c r="D583" s="6">
        <f t="shared" si="26"/>
        <v>-4.7062500000000007</v>
      </c>
      <c r="E583" s="6">
        <f t="shared" si="27"/>
        <v>-18.59375</v>
      </c>
    </row>
    <row r="584" spans="1:5" x14ac:dyDescent="0.2">
      <c r="A584" t="s">
        <v>1323</v>
      </c>
      <c r="B584" t="s">
        <v>1276</v>
      </c>
      <c r="C584" s="6">
        <v>-10.8</v>
      </c>
      <c r="D584" s="6">
        <f t="shared" si="26"/>
        <v>-5.2166666666666677</v>
      </c>
      <c r="E584" s="6">
        <f t="shared" si="27"/>
        <v>-5.583333333333333</v>
      </c>
    </row>
    <row r="585" spans="1:5" x14ac:dyDescent="0.2">
      <c r="A585" t="s">
        <v>1323</v>
      </c>
      <c r="B585" t="s">
        <v>1277</v>
      </c>
      <c r="C585" s="6">
        <v>-7.4</v>
      </c>
      <c r="D585" s="6">
        <f t="shared" si="26"/>
        <v>-5.3458333333333341</v>
      </c>
      <c r="E585" s="6">
        <f t="shared" si="27"/>
        <v>-2.0541666666666663</v>
      </c>
    </row>
    <row r="586" spans="1:5" x14ac:dyDescent="0.2">
      <c r="A586" t="s">
        <v>1323</v>
      </c>
      <c r="B586" t="s">
        <v>1278</v>
      </c>
      <c r="C586" s="6">
        <v>-22.3</v>
      </c>
      <c r="D586" s="6">
        <f t="shared" ref="D586:D617" si="28">AVERAGE(C538:C585)</f>
        <v>-5.34375</v>
      </c>
      <c r="E586" s="6">
        <f t="shared" ref="E586:E617" si="29">C586-D586</f>
        <v>-16.956250000000001</v>
      </c>
    </row>
    <row r="587" spans="1:5" x14ac:dyDescent="0.2">
      <c r="A587" t="s">
        <v>1323</v>
      </c>
      <c r="B587" t="s">
        <v>1279</v>
      </c>
      <c r="C587" s="6">
        <v>-20.3</v>
      </c>
      <c r="D587" s="6">
        <f t="shared" si="28"/>
        <v>-5.7062500000000007</v>
      </c>
      <c r="E587" s="6">
        <f t="shared" si="29"/>
        <v>-14.59375</v>
      </c>
    </row>
    <row r="588" spans="1:5" x14ac:dyDescent="0.2">
      <c r="A588" t="s">
        <v>1323</v>
      </c>
      <c r="B588" t="s">
        <v>1280</v>
      </c>
      <c r="C588" s="6">
        <v>-24.9</v>
      </c>
      <c r="D588" s="6">
        <f t="shared" si="28"/>
        <v>-5.7708333333333348</v>
      </c>
      <c r="E588" s="6">
        <f t="shared" si="29"/>
        <v>-19.129166666666663</v>
      </c>
    </row>
    <row r="589" spans="1:5" x14ac:dyDescent="0.2">
      <c r="A589" t="s">
        <v>1323</v>
      </c>
      <c r="B589" t="s">
        <v>1281</v>
      </c>
      <c r="C589" s="6">
        <v>-20.3</v>
      </c>
      <c r="D589" s="6">
        <f t="shared" si="28"/>
        <v>-6.0875000000000012</v>
      </c>
      <c r="E589" s="6">
        <f t="shared" si="29"/>
        <v>-14.212499999999999</v>
      </c>
    </row>
    <row r="590" spans="1:5" x14ac:dyDescent="0.2">
      <c r="A590" t="s">
        <v>1323</v>
      </c>
      <c r="B590" t="s">
        <v>1282</v>
      </c>
      <c r="C590" s="6">
        <v>-16.399999999999999</v>
      </c>
      <c r="D590" s="6">
        <f t="shared" si="28"/>
        <v>-6.3083333333333336</v>
      </c>
      <c r="E590" s="6">
        <f t="shared" si="29"/>
        <v>-10.091666666666665</v>
      </c>
    </row>
    <row r="591" spans="1:5" x14ac:dyDescent="0.2">
      <c r="A591" t="s">
        <v>1323</v>
      </c>
      <c r="B591" t="s">
        <v>1283</v>
      </c>
      <c r="C591" s="6">
        <v>-24</v>
      </c>
      <c r="D591" s="6">
        <f t="shared" si="28"/>
        <v>-6.4520833333333343</v>
      </c>
      <c r="E591" s="6">
        <f t="shared" si="29"/>
        <v>-17.547916666666666</v>
      </c>
    </row>
    <row r="592" spans="1:5" x14ac:dyDescent="0.2">
      <c r="A592" t="s">
        <v>1323</v>
      </c>
      <c r="B592" t="s">
        <v>1284</v>
      </c>
      <c r="C592" s="6">
        <v>-20.399999999999999</v>
      </c>
      <c r="D592" s="6">
        <f t="shared" si="28"/>
        <v>-6.7333333333333343</v>
      </c>
      <c r="E592" s="6">
        <f t="shared" si="29"/>
        <v>-13.666666666666664</v>
      </c>
    </row>
    <row r="593" spans="1:5" x14ac:dyDescent="0.2">
      <c r="A593" t="s">
        <v>1323</v>
      </c>
      <c r="B593" t="s">
        <v>1285</v>
      </c>
      <c r="C593" s="6">
        <v>-22.8</v>
      </c>
      <c r="D593" s="6">
        <f t="shared" si="28"/>
        <v>-6.8770833333333341</v>
      </c>
      <c r="E593" s="6">
        <f t="shared" si="29"/>
        <v>-15.922916666666666</v>
      </c>
    </row>
    <row r="594" spans="1:5" x14ac:dyDescent="0.2">
      <c r="A594" t="s">
        <v>1323</v>
      </c>
      <c r="B594" t="s">
        <v>1286</v>
      </c>
      <c r="C594" s="6">
        <v>-18.8</v>
      </c>
      <c r="D594" s="6">
        <f t="shared" si="28"/>
        <v>-7.1437499999999998</v>
      </c>
      <c r="E594" s="6">
        <f t="shared" si="29"/>
        <v>-11.65625</v>
      </c>
    </row>
    <row r="595" spans="1:5" x14ac:dyDescent="0.2">
      <c r="A595" t="s">
        <v>1323</v>
      </c>
      <c r="B595" t="s">
        <v>1287</v>
      </c>
      <c r="C595" s="6">
        <v>-21</v>
      </c>
      <c r="D595" s="6">
        <f t="shared" si="28"/>
        <v>-7.45</v>
      </c>
      <c r="E595" s="6">
        <f t="shared" si="29"/>
        <v>-13.55</v>
      </c>
    </row>
    <row r="596" spans="1:5" x14ac:dyDescent="0.2">
      <c r="A596" t="s">
        <v>1323</v>
      </c>
      <c r="B596" t="s">
        <v>1288</v>
      </c>
      <c r="C596" s="6">
        <v>-24.7</v>
      </c>
      <c r="D596" s="6">
        <f t="shared" si="28"/>
        <v>-7.8895833333333343</v>
      </c>
      <c r="E596" s="6">
        <f t="shared" si="29"/>
        <v>-16.810416666666665</v>
      </c>
    </row>
    <row r="597" spans="1:5" x14ac:dyDescent="0.2">
      <c r="A597" t="s">
        <v>1323</v>
      </c>
      <c r="B597" t="s">
        <v>1289</v>
      </c>
      <c r="C597" s="6">
        <v>-6.8</v>
      </c>
      <c r="D597" s="6">
        <f t="shared" si="28"/>
        <v>-8.4541666666666657</v>
      </c>
      <c r="E597" s="6">
        <f t="shared" si="29"/>
        <v>1.6541666666666659</v>
      </c>
    </row>
    <row r="598" spans="1:5" x14ac:dyDescent="0.2">
      <c r="A598" t="s">
        <v>1323</v>
      </c>
      <c r="B598" t="s">
        <v>1290</v>
      </c>
      <c r="C598" s="6">
        <v>-14.8</v>
      </c>
      <c r="D598" s="6">
        <f t="shared" si="28"/>
        <v>-8.7354166666666675</v>
      </c>
      <c r="E598" s="6">
        <f t="shared" si="29"/>
        <v>-6.0645833333333332</v>
      </c>
    </row>
    <row r="599" spans="1:5" x14ac:dyDescent="0.2">
      <c r="A599" t="s">
        <v>1323</v>
      </c>
      <c r="B599" t="s">
        <v>1291</v>
      </c>
      <c r="C599" s="6">
        <v>-14.2</v>
      </c>
      <c r="D599" s="6">
        <f t="shared" si="28"/>
        <v>-9.0333333333333332</v>
      </c>
      <c r="E599" s="6">
        <f t="shared" si="29"/>
        <v>-5.1666666666666661</v>
      </c>
    </row>
    <row r="600" spans="1:5" x14ac:dyDescent="0.2">
      <c r="A600" t="s">
        <v>1323</v>
      </c>
      <c r="B600" t="s">
        <v>1292</v>
      </c>
      <c r="C600" s="6">
        <v>-10.199999999999999</v>
      </c>
      <c r="D600" s="6">
        <f t="shared" si="28"/>
        <v>-9.4395833333333332</v>
      </c>
      <c r="E600" s="6">
        <f t="shared" si="29"/>
        <v>-0.76041666666666607</v>
      </c>
    </row>
    <row r="601" spans="1:5" x14ac:dyDescent="0.2">
      <c r="A601" t="s">
        <v>1323</v>
      </c>
      <c r="B601" t="s">
        <v>1293</v>
      </c>
      <c r="C601" s="6">
        <v>-11.5</v>
      </c>
      <c r="D601" s="6">
        <f t="shared" si="28"/>
        <v>-9.8979166666666671</v>
      </c>
      <c r="E601" s="6">
        <f t="shared" si="29"/>
        <v>-1.6020833333333329</v>
      </c>
    </row>
    <row r="602" spans="1:5" x14ac:dyDescent="0.2">
      <c r="A602" t="s">
        <v>1323</v>
      </c>
      <c r="B602" t="s">
        <v>1294</v>
      </c>
      <c r="C602" s="6">
        <v>-6.8</v>
      </c>
      <c r="D602" s="6">
        <f t="shared" si="28"/>
        <v>-10.30625</v>
      </c>
      <c r="E602" s="6">
        <f t="shared" si="29"/>
        <v>3.5062500000000005</v>
      </c>
    </row>
    <row r="603" spans="1:5" x14ac:dyDescent="0.2">
      <c r="A603" t="s">
        <v>1323</v>
      </c>
      <c r="B603" t="s">
        <v>1295</v>
      </c>
      <c r="C603" s="6">
        <v>-9</v>
      </c>
      <c r="D603" s="6">
        <f t="shared" si="28"/>
        <v>-10.608333333333334</v>
      </c>
      <c r="E603" s="6">
        <f t="shared" si="29"/>
        <v>1.6083333333333343</v>
      </c>
    </row>
    <row r="604" spans="1:5" x14ac:dyDescent="0.2">
      <c r="A604" t="s">
        <v>1323</v>
      </c>
      <c r="B604" t="s">
        <v>1296</v>
      </c>
      <c r="C604" s="6">
        <v>-2.9</v>
      </c>
      <c r="D604" s="6">
        <f t="shared" si="28"/>
        <v>-10.924999999999999</v>
      </c>
      <c r="E604" s="6">
        <f t="shared" si="29"/>
        <v>8.0249999999999986</v>
      </c>
    </row>
    <row r="605" spans="1:5" x14ac:dyDescent="0.2">
      <c r="A605" t="s">
        <v>1323</v>
      </c>
      <c r="B605" t="s">
        <v>1297</v>
      </c>
      <c r="C605" s="6">
        <v>-8.4</v>
      </c>
      <c r="D605" s="6">
        <f t="shared" si="28"/>
        <v>-11.160416666666665</v>
      </c>
      <c r="E605" s="6">
        <f t="shared" si="29"/>
        <v>2.7604166666666643</v>
      </c>
    </row>
    <row r="606" spans="1:5" x14ac:dyDescent="0.2">
      <c r="A606" t="s">
        <v>1323</v>
      </c>
      <c r="B606" t="s">
        <v>1298</v>
      </c>
      <c r="C606" s="6">
        <v>3.6</v>
      </c>
      <c r="D606" s="6">
        <f t="shared" si="28"/>
        <v>-11.50625</v>
      </c>
      <c r="E606" s="6">
        <f t="shared" si="29"/>
        <v>15.106249999999999</v>
      </c>
    </row>
    <row r="607" spans="1:5" x14ac:dyDescent="0.2">
      <c r="A607" t="s">
        <v>1323</v>
      </c>
      <c r="B607" t="s">
        <v>1299</v>
      </c>
      <c r="C607" s="6">
        <v>2.4</v>
      </c>
      <c r="D607" s="6">
        <f t="shared" si="28"/>
        <v>-11.560416666666663</v>
      </c>
      <c r="E607" s="6">
        <f t="shared" si="29"/>
        <v>13.960416666666664</v>
      </c>
    </row>
    <row r="608" spans="1:5" x14ac:dyDescent="0.2">
      <c r="A608" t="s">
        <v>1323</v>
      </c>
      <c r="B608" t="s">
        <v>1300</v>
      </c>
      <c r="C608" s="6">
        <v>3.4</v>
      </c>
      <c r="D608" s="6">
        <f t="shared" si="28"/>
        <v>-11.68125</v>
      </c>
      <c r="E608" s="6">
        <f t="shared" si="29"/>
        <v>15.081250000000001</v>
      </c>
    </row>
    <row r="609" spans="1:5" x14ac:dyDescent="0.2">
      <c r="A609" t="s">
        <v>1323</v>
      </c>
      <c r="B609" t="s">
        <v>1301</v>
      </c>
      <c r="C609" s="6">
        <v>5.8</v>
      </c>
      <c r="D609" s="6">
        <f t="shared" si="28"/>
        <v>-11.829166666666667</v>
      </c>
      <c r="E609" s="6">
        <f t="shared" si="29"/>
        <v>17.629166666666666</v>
      </c>
    </row>
    <row r="610" spans="1:5" x14ac:dyDescent="0.2">
      <c r="A610" t="s">
        <v>1323</v>
      </c>
      <c r="B610" t="s">
        <v>1302</v>
      </c>
      <c r="C610" s="6">
        <v>0.5</v>
      </c>
      <c r="D610" s="6">
        <f t="shared" si="28"/>
        <v>-11.854166666666666</v>
      </c>
      <c r="E610" s="6">
        <f t="shared" si="29"/>
        <v>12.354166666666666</v>
      </c>
    </row>
    <row r="611" spans="1:5" x14ac:dyDescent="0.2">
      <c r="A611" t="s">
        <v>1323</v>
      </c>
      <c r="B611" t="s">
        <v>1303</v>
      </c>
      <c r="C611" s="6">
        <v>2.9</v>
      </c>
      <c r="D611" s="6">
        <f t="shared" si="28"/>
        <v>-11.956250000000002</v>
      </c>
      <c r="E611" s="6">
        <f t="shared" si="29"/>
        <v>14.856250000000003</v>
      </c>
    </row>
    <row r="612" spans="1:5" x14ac:dyDescent="0.2">
      <c r="A612" t="s">
        <v>1323</v>
      </c>
      <c r="B612" t="s">
        <v>1304</v>
      </c>
      <c r="C612" s="6">
        <v>-6</v>
      </c>
      <c r="D612" s="6">
        <f t="shared" si="28"/>
        <v>-11.979166666666666</v>
      </c>
      <c r="E612" s="6">
        <f t="shared" si="29"/>
        <v>5.9791666666666661</v>
      </c>
    </row>
    <row r="613" spans="1:5" x14ac:dyDescent="0.2">
      <c r="A613" t="s">
        <v>1323</v>
      </c>
      <c r="B613" t="s">
        <v>1305</v>
      </c>
      <c r="C613" s="6">
        <v>-3.4</v>
      </c>
      <c r="D613" s="6">
        <f t="shared" si="28"/>
        <v>-12.277083333333335</v>
      </c>
      <c r="E613" s="6">
        <f t="shared" si="29"/>
        <v>8.877083333333335</v>
      </c>
    </row>
    <row r="614" spans="1:5" x14ac:dyDescent="0.2">
      <c r="A614" t="s">
        <v>1323</v>
      </c>
      <c r="B614" t="s">
        <v>1306</v>
      </c>
      <c r="C614" s="6">
        <v>-6.5</v>
      </c>
      <c r="D614" s="6">
        <f t="shared" si="28"/>
        <v>-12.579166666666666</v>
      </c>
      <c r="E614" s="6">
        <f t="shared" si="29"/>
        <v>6.0791666666666657</v>
      </c>
    </row>
    <row r="615" spans="1:5" x14ac:dyDescent="0.2">
      <c r="A615" t="s">
        <v>1323</v>
      </c>
      <c r="B615" t="s">
        <v>1307</v>
      </c>
      <c r="C615" s="6">
        <v>-7.2</v>
      </c>
      <c r="D615" s="6">
        <f t="shared" si="28"/>
        <v>-12.797916666666666</v>
      </c>
      <c r="E615" s="6">
        <f t="shared" si="29"/>
        <v>5.5979166666666655</v>
      </c>
    </row>
    <row r="616" spans="1:5" x14ac:dyDescent="0.2">
      <c r="A616" t="s">
        <v>1323</v>
      </c>
      <c r="B616" t="s">
        <v>1308</v>
      </c>
      <c r="C616" s="6">
        <v>-6.8</v>
      </c>
      <c r="D616" s="6">
        <f t="shared" si="28"/>
        <v>-13.062500000000002</v>
      </c>
      <c r="E616" s="6">
        <f t="shared" si="29"/>
        <v>6.262500000000002</v>
      </c>
    </row>
    <row r="617" spans="1:5" x14ac:dyDescent="0.2">
      <c r="A617" t="s">
        <v>1323</v>
      </c>
      <c r="B617" t="s">
        <v>1309</v>
      </c>
      <c r="C617" s="6">
        <v>-9.1</v>
      </c>
      <c r="D617" s="6">
        <f t="shared" si="28"/>
        <v>-13.30625</v>
      </c>
      <c r="E617" s="6">
        <f t="shared" si="29"/>
        <v>4.2062500000000007</v>
      </c>
    </row>
    <row r="618" spans="1:5" x14ac:dyDescent="0.2">
      <c r="A618" t="s">
        <v>1323</v>
      </c>
      <c r="B618" t="s">
        <v>1310</v>
      </c>
      <c r="C618" s="6">
        <v>-4.2</v>
      </c>
      <c r="D618" s="6">
        <f t="shared" ref="D618:D649" si="30">AVERAGE(C570:C617)</f>
        <v>-13.537500000000001</v>
      </c>
      <c r="E618" s="6">
        <f t="shared" ref="E618:E649" si="31">C618-D618</f>
        <v>9.3375000000000021</v>
      </c>
    </row>
    <row r="619" spans="1:5" x14ac:dyDescent="0.2">
      <c r="A619" t="s">
        <v>1323</v>
      </c>
      <c r="B619" t="s">
        <v>1311</v>
      </c>
      <c r="C619" s="6">
        <v>-5.7</v>
      </c>
      <c r="D619" s="6">
        <f t="shared" si="30"/>
        <v>-13.702083333333334</v>
      </c>
      <c r="E619" s="6">
        <f t="shared" si="31"/>
        <v>8.002083333333335</v>
      </c>
    </row>
    <row r="620" spans="1:5" x14ac:dyDescent="0.2">
      <c r="A620" t="s">
        <v>1323</v>
      </c>
      <c r="B620" t="s">
        <v>1312</v>
      </c>
      <c r="C620" s="6">
        <v>-10.5</v>
      </c>
      <c r="D620" s="6">
        <f t="shared" si="30"/>
        <v>-13.706250000000002</v>
      </c>
      <c r="E620" s="6">
        <f t="shared" si="31"/>
        <v>3.2062500000000025</v>
      </c>
    </row>
    <row r="621" spans="1:5" x14ac:dyDescent="0.2">
      <c r="A621" t="s">
        <v>1323</v>
      </c>
      <c r="B621" t="s">
        <v>1313</v>
      </c>
      <c r="C621" s="6">
        <v>-5.8</v>
      </c>
      <c r="D621" s="6">
        <f t="shared" si="30"/>
        <v>-13.491666666666669</v>
      </c>
      <c r="E621" s="6">
        <f t="shared" si="31"/>
        <v>7.6916666666666691</v>
      </c>
    </row>
    <row r="622" spans="1:5" x14ac:dyDescent="0.2">
      <c r="A622" t="s">
        <v>1323</v>
      </c>
      <c r="B622" t="s">
        <v>1314</v>
      </c>
      <c r="C622" s="6">
        <v>-2.2999999999999998</v>
      </c>
      <c r="D622" s="6">
        <f t="shared" si="30"/>
        <v>-13.156250000000002</v>
      </c>
      <c r="E622" s="6">
        <f t="shared" si="31"/>
        <v>10.856250000000003</v>
      </c>
    </row>
    <row r="623" spans="1:5" x14ac:dyDescent="0.2">
      <c r="A623" t="s">
        <v>1323</v>
      </c>
      <c r="B623" t="s">
        <v>1315</v>
      </c>
      <c r="C623" s="6">
        <v>-1.6</v>
      </c>
      <c r="D623" s="6">
        <f t="shared" si="30"/>
        <v>-12.722916666666668</v>
      </c>
      <c r="E623" s="6">
        <f t="shared" si="31"/>
        <v>11.122916666666669</v>
      </c>
    </row>
    <row r="624" spans="1:5" x14ac:dyDescent="0.2">
      <c r="A624" t="s">
        <v>1323</v>
      </c>
      <c r="B624" t="s">
        <v>1316</v>
      </c>
      <c r="C624" s="6">
        <v>-2.8</v>
      </c>
      <c r="D624" s="6">
        <f t="shared" si="30"/>
        <v>-12.3125</v>
      </c>
      <c r="E624" s="6">
        <f t="shared" si="31"/>
        <v>9.5124999999999993</v>
      </c>
    </row>
    <row r="625" spans="1:5" x14ac:dyDescent="0.2">
      <c r="A625" t="s">
        <v>1323</v>
      </c>
      <c r="B625" t="s">
        <v>1317</v>
      </c>
      <c r="C625" s="6">
        <v>0.4</v>
      </c>
      <c r="D625" s="6">
        <f t="shared" si="30"/>
        <v>-11.860416666666666</v>
      </c>
      <c r="E625" s="6">
        <f t="shared" si="31"/>
        <v>12.260416666666666</v>
      </c>
    </row>
    <row r="626" spans="1:5" x14ac:dyDescent="0.2">
      <c r="A626" t="s">
        <v>1323</v>
      </c>
      <c r="B626" t="s">
        <v>1318</v>
      </c>
      <c r="C626" s="6">
        <v>0.5</v>
      </c>
      <c r="D626" s="6">
        <f t="shared" si="30"/>
        <v>-11.306249999999999</v>
      </c>
      <c r="E626" s="6">
        <f t="shared" si="31"/>
        <v>11.806249999999999</v>
      </c>
    </row>
    <row r="627" spans="1:5" x14ac:dyDescent="0.2">
      <c r="A627" t="s">
        <v>1323</v>
      </c>
      <c r="B627" t="s">
        <v>1319</v>
      </c>
      <c r="C627" s="6">
        <v>-3.5</v>
      </c>
      <c r="D627" s="6">
        <f t="shared" si="30"/>
        <v>-10.810416666666667</v>
      </c>
      <c r="E627" s="6">
        <f t="shared" si="31"/>
        <v>7.3104166666666668</v>
      </c>
    </row>
    <row r="628" spans="1:5" x14ac:dyDescent="0.2">
      <c r="A628" t="s">
        <v>1323</v>
      </c>
      <c r="B628" t="s">
        <v>1320</v>
      </c>
      <c r="C628" s="6">
        <v>4.0999999999999996</v>
      </c>
      <c r="D628" s="6">
        <f t="shared" si="30"/>
        <v>-10.335416666666669</v>
      </c>
      <c r="E628" s="6">
        <f t="shared" si="31"/>
        <v>14.435416666666669</v>
      </c>
    </row>
    <row r="629" spans="1:5" x14ac:dyDescent="0.2">
      <c r="A629" t="s">
        <v>1323</v>
      </c>
      <c r="B629" t="s">
        <v>16</v>
      </c>
      <c r="C629" s="6">
        <v>1.2</v>
      </c>
      <c r="D629" s="6">
        <f t="shared" si="30"/>
        <v>-9.7291666666666679</v>
      </c>
      <c r="E629" s="6">
        <f t="shared" si="31"/>
        <v>10.929166666666667</v>
      </c>
    </row>
    <row r="630" spans="1:5" x14ac:dyDescent="0.2">
      <c r="A630" t="s">
        <v>1324</v>
      </c>
      <c r="B630" t="s">
        <v>1166</v>
      </c>
      <c r="C630" s="6">
        <v>10.8</v>
      </c>
    </row>
    <row r="631" spans="1:5" x14ac:dyDescent="0.2">
      <c r="A631" t="s">
        <v>1324</v>
      </c>
      <c r="B631" t="s">
        <v>1167</v>
      </c>
      <c r="C631" s="6">
        <v>3.6</v>
      </c>
    </row>
    <row r="632" spans="1:5" x14ac:dyDescent="0.2">
      <c r="A632" t="s">
        <v>1324</v>
      </c>
      <c r="B632" t="s">
        <v>1168</v>
      </c>
      <c r="C632" s="6">
        <v>5</v>
      </c>
    </row>
    <row r="633" spans="1:5" x14ac:dyDescent="0.2">
      <c r="A633" t="s">
        <v>1324</v>
      </c>
      <c r="B633" t="s">
        <v>1169</v>
      </c>
      <c r="C633" s="6">
        <v>11.7</v>
      </c>
    </row>
    <row r="634" spans="1:5" x14ac:dyDescent="0.2">
      <c r="A634" t="s">
        <v>1324</v>
      </c>
      <c r="B634" t="s">
        <v>1170</v>
      </c>
      <c r="C634" s="6">
        <v>4.0999999999999996</v>
      </c>
    </row>
    <row r="635" spans="1:5" x14ac:dyDescent="0.2">
      <c r="A635" t="s">
        <v>1324</v>
      </c>
      <c r="B635" t="s">
        <v>1171</v>
      </c>
      <c r="C635" s="6">
        <v>6.3</v>
      </c>
    </row>
    <row r="636" spans="1:5" x14ac:dyDescent="0.2">
      <c r="A636" t="s">
        <v>1324</v>
      </c>
      <c r="B636" t="s">
        <v>1172</v>
      </c>
      <c r="C636" s="6">
        <v>12.2</v>
      </c>
    </row>
    <row r="637" spans="1:5" x14ac:dyDescent="0.2">
      <c r="A637" t="s">
        <v>1324</v>
      </c>
      <c r="B637" t="s">
        <v>1173</v>
      </c>
      <c r="C637" s="6">
        <v>22.7</v>
      </c>
    </row>
    <row r="638" spans="1:5" x14ac:dyDescent="0.2">
      <c r="A638" t="s">
        <v>1324</v>
      </c>
      <c r="B638" t="s">
        <v>1174</v>
      </c>
      <c r="C638" s="6">
        <v>13</v>
      </c>
    </row>
    <row r="639" spans="1:5" x14ac:dyDescent="0.2">
      <c r="A639" t="s">
        <v>1324</v>
      </c>
      <c r="B639" t="s">
        <v>1175</v>
      </c>
      <c r="C639" s="6">
        <v>35.5</v>
      </c>
    </row>
    <row r="640" spans="1:5" x14ac:dyDescent="0.2">
      <c r="A640" t="s">
        <v>1324</v>
      </c>
      <c r="B640" t="s">
        <v>1176</v>
      </c>
      <c r="C640" s="6">
        <v>24.4</v>
      </c>
    </row>
    <row r="641" spans="1:3" x14ac:dyDescent="0.2">
      <c r="A641" t="s">
        <v>1324</v>
      </c>
      <c r="B641" t="s">
        <v>1177</v>
      </c>
      <c r="C641" s="6">
        <v>19</v>
      </c>
    </row>
    <row r="642" spans="1:3" x14ac:dyDescent="0.2">
      <c r="A642" t="s">
        <v>1324</v>
      </c>
      <c r="B642" t="s">
        <v>1178</v>
      </c>
      <c r="C642" s="6">
        <v>12.9</v>
      </c>
    </row>
    <row r="643" spans="1:3" x14ac:dyDescent="0.2">
      <c r="A643" t="s">
        <v>1324</v>
      </c>
      <c r="B643" t="s">
        <v>1179</v>
      </c>
      <c r="C643" s="6">
        <v>35.700000000000003</v>
      </c>
    </row>
    <row r="644" spans="1:3" x14ac:dyDescent="0.2">
      <c r="A644" t="s">
        <v>1324</v>
      </c>
      <c r="B644" t="s">
        <v>1180</v>
      </c>
      <c r="C644" s="6">
        <v>41.4</v>
      </c>
    </row>
    <row r="645" spans="1:3" x14ac:dyDescent="0.2">
      <c r="A645" t="s">
        <v>1324</v>
      </c>
      <c r="B645" t="s">
        <v>1181</v>
      </c>
      <c r="C645" s="6">
        <v>48.2</v>
      </c>
    </row>
    <row r="646" spans="1:3" x14ac:dyDescent="0.2">
      <c r="A646" t="s">
        <v>1324</v>
      </c>
      <c r="B646" t="s">
        <v>1182</v>
      </c>
      <c r="C646" s="6">
        <v>57.3</v>
      </c>
    </row>
    <row r="647" spans="1:3" x14ac:dyDescent="0.2">
      <c r="A647" t="s">
        <v>1324</v>
      </c>
      <c r="B647" t="s">
        <v>1183</v>
      </c>
      <c r="C647" s="6">
        <v>53.8</v>
      </c>
    </row>
    <row r="648" spans="1:3" x14ac:dyDescent="0.2">
      <c r="A648" t="s">
        <v>1324</v>
      </c>
      <c r="B648" t="s">
        <v>1184</v>
      </c>
      <c r="C648" s="6">
        <v>58.9</v>
      </c>
    </row>
    <row r="649" spans="1:3" x14ac:dyDescent="0.2">
      <c r="A649" t="s">
        <v>1324</v>
      </c>
      <c r="B649" t="s">
        <v>1185</v>
      </c>
      <c r="C649" s="6">
        <v>36.200000000000003</v>
      </c>
    </row>
    <row r="650" spans="1:3" x14ac:dyDescent="0.2">
      <c r="A650" t="s">
        <v>1324</v>
      </c>
      <c r="B650" t="s">
        <v>1186</v>
      </c>
      <c r="C650" s="6">
        <v>59.8</v>
      </c>
    </row>
    <row r="651" spans="1:3" x14ac:dyDescent="0.2">
      <c r="A651" t="s">
        <v>1324</v>
      </c>
      <c r="B651" t="s">
        <v>1187</v>
      </c>
      <c r="C651" s="6">
        <v>45</v>
      </c>
    </row>
    <row r="652" spans="1:3" x14ac:dyDescent="0.2">
      <c r="A652" t="s">
        <v>1324</v>
      </c>
      <c r="B652" t="s">
        <v>1188</v>
      </c>
      <c r="C652" s="6">
        <v>59.3</v>
      </c>
    </row>
    <row r="653" spans="1:3" x14ac:dyDescent="0.2">
      <c r="A653" t="s">
        <v>1324</v>
      </c>
      <c r="B653" t="s">
        <v>1189</v>
      </c>
      <c r="C653" s="6">
        <v>56</v>
      </c>
    </row>
    <row r="654" spans="1:3" x14ac:dyDescent="0.2">
      <c r="A654" t="s">
        <v>1324</v>
      </c>
      <c r="B654" t="s">
        <v>1190</v>
      </c>
      <c r="C654" s="6">
        <v>32</v>
      </c>
    </row>
    <row r="655" spans="1:3" x14ac:dyDescent="0.2">
      <c r="A655" t="s">
        <v>1324</v>
      </c>
      <c r="B655" t="s">
        <v>1191</v>
      </c>
      <c r="C655" s="6">
        <v>36.1</v>
      </c>
    </row>
    <row r="656" spans="1:3" x14ac:dyDescent="0.2">
      <c r="A656" t="s">
        <v>1324</v>
      </c>
      <c r="B656" t="s">
        <v>1192</v>
      </c>
      <c r="C656" s="6">
        <v>28.3</v>
      </c>
    </row>
    <row r="657" spans="1:3" x14ac:dyDescent="0.2">
      <c r="A657" t="s">
        <v>1324</v>
      </c>
      <c r="B657" t="s">
        <v>1193</v>
      </c>
      <c r="C657" s="6">
        <v>30.5</v>
      </c>
    </row>
    <row r="658" spans="1:3" x14ac:dyDescent="0.2">
      <c r="A658" t="s">
        <v>1324</v>
      </c>
      <c r="B658" t="s">
        <v>1194</v>
      </c>
      <c r="C658" s="6">
        <v>33.5</v>
      </c>
    </row>
    <row r="659" spans="1:3" x14ac:dyDescent="0.2">
      <c r="A659" t="s">
        <v>1324</v>
      </c>
      <c r="B659" t="s">
        <v>1195</v>
      </c>
      <c r="C659" s="6">
        <v>27</v>
      </c>
    </row>
    <row r="660" spans="1:3" x14ac:dyDescent="0.2">
      <c r="A660" t="s">
        <v>1324</v>
      </c>
      <c r="B660" t="s">
        <v>1196</v>
      </c>
      <c r="C660" s="6">
        <v>39.1</v>
      </c>
    </row>
    <row r="661" spans="1:3" x14ac:dyDescent="0.2">
      <c r="A661" t="s">
        <v>1324</v>
      </c>
      <c r="B661" t="s">
        <v>1197</v>
      </c>
      <c r="C661" s="6">
        <v>37.6</v>
      </c>
    </row>
    <row r="662" spans="1:3" x14ac:dyDescent="0.2">
      <c r="A662" t="s">
        <v>1324</v>
      </c>
      <c r="B662" t="s">
        <v>1198</v>
      </c>
      <c r="C662" s="6">
        <v>38.9</v>
      </c>
    </row>
    <row r="663" spans="1:3" x14ac:dyDescent="0.2">
      <c r="A663" t="s">
        <v>1324</v>
      </c>
      <c r="B663" t="s">
        <v>1199</v>
      </c>
      <c r="C663" s="6">
        <v>27</v>
      </c>
    </row>
    <row r="664" spans="1:3" x14ac:dyDescent="0.2">
      <c r="A664" t="s">
        <v>1324</v>
      </c>
      <c r="B664" t="s">
        <v>1200</v>
      </c>
      <c r="C664" s="6">
        <v>29.8</v>
      </c>
    </row>
    <row r="665" spans="1:3" x14ac:dyDescent="0.2">
      <c r="A665" t="s">
        <v>1324</v>
      </c>
      <c r="B665" t="s">
        <v>1201</v>
      </c>
      <c r="C665" s="6">
        <v>30.3</v>
      </c>
    </row>
    <row r="666" spans="1:3" x14ac:dyDescent="0.2">
      <c r="A666" t="s">
        <v>1324</v>
      </c>
      <c r="B666" t="s">
        <v>1202</v>
      </c>
      <c r="C666" s="6">
        <v>28.8</v>
      </c>
    </row>
    <row r="667" spans="1:3" x14ac:dyDescent="0.2">
      <c r="A667" t="s">
        <v>1324</v>
      </c>
      <c r="B667" t="s">
        <v>1203</v>
      </c>
      <c r="C667" s="6">
        <v>31.9</v>
      </c>
    </row>
    <row r="668" spans="1:3" x14ac:dyDescent="0.2">
      <c r="A668" t="s">
        <v>1324</v>
      </c>
      <c r="B668" t="s">
        <v>1204</v>
      </c>
      <c r="C668" s="6">
        <v>36.1</v>
      </c>
    </row>
    <row r="669" spans="1:3" x14ac:dyDescent="0.2">
      <c r="A669" t="s">
        <v>1324</v>
      </c>
      <c r="B669" t="s">
        <v>1205</v>
      </c>
      <c r="C669" s="6">
        <v>29.6</v>
      </c>
    </row>
    <row r="670" spans="1:3" x14ac:dyDescent="0.2">
      <c r="A670" t="s">
        <v>1324</v>
      </c>
      <c r="B670" t="s">
        <v>1206</v>
      </c>
      <c r="C670" s="6">
        <v>31.7</v>
      </c>
    </row>
    <row r="671" spans="1:3" x14ac:dyDescent="0.2">
      <c r="A671" t="s">
        <v>1324</v>
      </c>
      <c r="B671" t="s">
        <v>1207</v>
      </c>
      <c r="C671" s="6">
        <v>29.1</v>
      </c>
    </row>
    <row r="672" spans="1:3" x14ac:dyDescent="0.2">
      <c r="A672" t="s">
        <v>1324</v>
      </c>
      <c r="B672" t="s">
        <v>1208</v>
      </c>
      <c r="C672" s="6">
        <v>18.100000000000001</v>
      </c>
    </row>
    <row r="673" spans="1:5" x14ac:dyDescent="0.2">
      <c r="A673" t="s">
        <v>1324</v>
      </c>
      <c r="B673" t="s">
        <v>1209</v>
      </c>
      <c r="C673" s="6">
        <v>24.2</v>
      </c>
    </row>
    <row r="674" spans="1:5" x14ac:dyDescent="0.2">
      <c r="A674" t="s">
        <v>1324</v>
      </c>
      <c r="B674" t="s">
        <v>1210</v>
      </c>
      <c r="C674" s="6">
        <v>23.8</v>
      </c>
    </row>
    <row r="675" spans="1:5" x14ac:dyDescent="0.2">
      <c r="A675" t="s">
        <v>1324</v>
      </c>
      <c r="B675" t="s">
        <v>1211</v>
      </c>
      <c r="C675" s="6">
        <v>23.7</v>
      </c>
    </row>
    <row r="676" spans="1:5" x14ac:dyDescent="0.2">
      <c r="A676" t="s">
        <v>1324</v>
      </c>
      <c r="B676" t="s">
        <v>1212</v>
      </c>
      <c r="C676" s="6">
        <v>19.8</v>
      </c>
    </row>
    <row r="677" spans="1:5" x14ac:dyDescent="0.2">
      <c r="A677" t="s">
        <v>1324</v>
      </c>
      <c r="B677" t="s">
        <v>1213</v>
      </c>
      <c r="C677" s="6">
        <v>34.9</v>
      </c>
    </row>
    <row r="678" spans="1:5" x14ac:dyDescent="0.2">
      <c r="A678" t="s">
        <v>1324</v>
      </c>
      <c r="B678" t="s">
        <v>1214</v>
      </c>
      <c r="C678" s="6">
        <v>32.1</v>
      </c>
      <c r="D678" s="6">
        <f t="shared" ref="D678:D709" si="32">AVERAGE(C630:C677)</f>
        <v>30.30416666666666</v>
      </c>
      <c r="E678" s="6">
        <f t="shared" ref="E678:E709" si="33">C678-D678</f>
        <v>1.7958333333333414</v>
      </c>
    </row>
    <row r="679" spans="1:5" x14ac:dyDescent="0.2">
      <c r="A679" t="s">
        <v>1324</v>
      </c>
      <c r="B679" t="s">
        <v>1215</v>
      </c>
      <c r="C679" s="6">
        <v>33.700000000000003</v>
      </c>
      <c r="D679" s="6">
        <f t="shared" si="32"/>
        <v>30.747916666666658</v>
      </c>
      <c r="E679" s="6">
        <f t="shared" si="33"/>
        <v>2.9520833333333449</v>
      </c>
    </row>
    <row r="680" spans="1:5" x14ac:dyDescent="0.2">
      <c r="A680" t="s">
        <v>1324</v>
      </c>
      <c r="B680" t="s">
        <v>1216</v>
      </c>
      <c r="C680" s="6">
        <v>33.6</v>
      </c>
      <c r="D680" s="6">
        <f t="shared" si="32"/>
        <v>31.374999999999996</v>
      </c>
      <c r="E680" s="6">
        <f t="shared" si="33"/>
        <v>2.225000000000005</v>
      </c>
    </row>
    <row r="681" spans="1:5" x14ac:dyDescent="0.2">
      <c r="A681" t="s">
        <v>1324</v>
      </c>
      <c r="B681" t="s">
        <v>1217</v>
      </c>
      <c r="C681" s="6">
        <v>37.4</v>
      </c>
      <c r="D681" s="6">
        <f t="shared" si="32"/>
        <v>31.970833333333328</v>
      </c>
      <c r="E681" s="6">
        <f t="shared" si="33"/>
        <v>5.4291666666666707</v>
      </c>
    </row>
    <row r="682" spans="1:5" x14ac:dyDescent="0.2">
      <c r="A682" t="s">
        <v>1324</v>
      </c>
      <c r="B682" t="s">
        <v>1218</v>
      </c>
      <c r="C682" s="6">
        <v>30.8</v>
      </c>
      <c r="D682" s="6">
        <f t="shared" si="32"/>
        <v>32.506249999999987</v>
      </c>
      <c r="E682" s="6">
        <f t="shared" si="33"/>
        <v>-1.7062499999999865</v>
      </c>
    </row>
    <row r="683" spans="1:5" x14ac:dyDescent="0.2">
      <c r="A683" t="s">
        <v>1324</v>
      </c>
      <c r="B683" t="s">
        <v>1219</v>
      </c>
      <c r="C683" s="6">
        <v>26.3</v>
      </c>
      <c r="D683" s="6">
        <f t="shared" si="32"/>
        <v>33.062499999999993</v>
      </c>
      <c r="E683" s="6">
        <f t="shared" si="33"/>
        <v>-6.7624999999999922</v>
      </c>
    </row>
    <row r="684" spans="1:5" x14ac:dyDescent="0.2">
      <c r="A684" t="s">
        <v>1324</v>
      </c>
      <c r="B684" t="s">
        <v>1220</v>
      </c>
      <c r="C684" s="6">
        <v>23.6</v>
      </c>
      <c r="D684" s="6">
        <f t="shared" si="32"/>
        <v>33.479166666666657</v>
      </c>
      <c r="E684" s="6">
        <f t="shared" si="33"/>
        <v>-9.8791666666666558</v>
      </c>
    </row>
    <row r="685" spans="1:5" x14ac:dyDescent="0.2">
      <c r="A685" t="s">
        <v>1324</v>
      </c>
      <c r="B685" t="s">
        <v>1221</v>
      </c>
      <c r="C685" s="6">
        <v>18.7</v>
      </c>
      <c r="D685" s="6">
        <f t="shared" si="32"/>
        <v>33.716666666666654</v>
      </c>
      <c r="E685" s="6">
        <f t="shared" si="33"/>
        <v>-15.016666666666655</v>
      </c>
    </row>
    <row r="686" spans="1:5" x14ac:dyDescent="0.2">
      <c r="A686" t="s">
        <v>1324</v>
      </c>
      <c r="B686" t="s">
        <v>1222</v>
      </c>
      <c r="C686" s="6">
        <v>22.7</v>
      </c>
      <c r="D686" s="6">
        <f t="shared" si="32"/>
        <v>33.633333333333326</v>
      </c>
      <c r="E686" s="6">
        <f t="shared" si="33"/>
        <v>-10.933333333333326</v>
      </c>
    </row>
    <row r="687" spans="1:5" x14ac:dyDescent="0.2">
      <c r="A687" t="s">
        <v>1324</v>
      </c>
      <c r="B687" t="s">
        <v>1223</v>
      </c>
      <c r="C687" s="6">
        <v>19.2</v>
      </c>
      <c r="D687" s="6">
        <f t="shared" si="32"/>
        <v>33.83541666666666</v>
      </c>
      <c r="E687" s="6">
        <f t="shared" si="33"/>
        <v>-14.635416666666661</v>
      </c>
    </row>
    <row r="688" spans="1:5" x14ac:dyDescent="0.2">
      <c r="A688" t="s">
        <v>1324</v>
      </c>
      <c r="B688" t="s">
        <v>1224</v>
      </c>
      <c r="C688" s="6">
        <v>21.4</v>
      </c>
      <c r="D688" s="6">
        <f t="shared" si="32"/>
        <v>33.49583333333333</v>
      </c>
      <c r="E688" s="6">
        <f t="shared" si="33"/>
        <v>-12.095833333333331</v>
      </c>
    </row>
    <row r="689" spans="1:5" x14ac:dyDescent="0.2">
      <c r="A689" t="s">
        <v>1324</v>
      </c>
      <c r="B689" t="s">
        <v>1225</v>
      </c>
      <c r="C689" s="6">
        <v>12.5</v>
      </c>
      <c r="D689" s="6">
        <f t="shared" si="32"/>
        <v>33.43333333333333</v>
      </c>
      <c r="E689" s="6">
        <f t="shared" si="33"/>
        <v>-20.93333333333333</v>
      </c>
    </row>
    <row r="690" spans="1:5" x14ac:dyDescent="0.2">
      <c r="A690" t="s">
        <v>1324</v>
      </c>
      <c r="B690" t="s">
        <v>1226</v>
      </c>
      <c r="C690" s="6">
        <v>6.1</v>
      </c>
      <c r="D690" s="6">
        <f t="shared" si="32"/>
        <v>33.297916666666659</v>
      </c>
      <c r="E690" s="6">
        <f t="shared" si="33"/>
        <v>-27.197916666666657</v>
      </c>
    </row>
    <row r="691" spans="1:5" x14ac:dyDescent="0.2">
      <c r="A691" t="s">
        <v>1324</v>
      </c>
      <c r="B691" t="s">
        <v>1227</v>
      </c>
      <c r="C691" s="6">
        <v>2.2999999999999998</v>
      </c>
      <c r="D691" s="6">
        <f t="shared" si="32"/>
        <v>33.156249999999993</v>
      </c>
      <c r="E691" s="6">
        <f t="shared" si="33"/>
        <v>-30.856249999999992</v>
      </c>
    </row>
    <row r="692" spans="1:5" x14ac:dyDescent="0.2">
      <c r="A692" t="s">
        <v>1324</v>
      </c>
      <c r="B692" t="s">
        <v>1228</v>
      </c>
      <c r="C692" s="6">
        <v>0.2</v>
      </c>
      <c r="D692" s="6">
        <f t="shared" si="32"/>
        <v>32.46041666666666</v>
      </c>
      <c r="E692" s="6">
        <f t="shared" si="33"/>
        <v>-32.260416666666657</v>
      </c>
    </row>
    <row r="693" spans="1:5" x14ac:dyDescent="0.2">
      <c r="A693" t="s">
        <v>1324</v>
      </c>
      <c r="B693" t="s">
        <v>1229</v>
      </c>
      <c r="C693" s="6">
        <v>-3.8</v>
      </c>
      <c r="D693" s="6">
        <f t="shared" si="32"/>
        <v>31.602083333333329</v>
      </c>
      <c r="E693" s="6">
        <f t="shared" si="33"/>
        <v>-35.40208333333333</v>
      </c>
    </row>
    <row r="694" spans="1:5" x14ac:dyDescent="0.2">
      <c r="A694" t="s">
        <v>1324</v>
      </c>
      <c r="B694" t="s">
        <v>1230</v>
      </c>
      <c r="C694" s="6">
        <v>-0.4</v>
      </c>
      <c r="D694" s="6">
        <f t="shared" si="32"/>
        <v>30.518750000000001</v>
      </c>
      <c r="E694" s="6">
        <f t="shared" si="33"/>
        <v>-30.918749999999999</v>
      </c>
    </row>
    <row r="695" spans="1:5" x14ac:dyDescent="0.2">
      <c r="A695" t="s">
        <v>1324</v>
      </c>
      <c r="B695" t="s">
        <v>1231</v>
      </c>
      <c r="C695" s="6">
        <v>-2.5</v>
      </c>
      <c r="D695" s="6">
        <f t="shared" si="32"/>
        <v>29.316666666666666</v>
      </c>
      <c r="E695" s="6">
        <f t="shared" si="33"/>
        <v>-31.816666666666666</v>
      </c>
    </row>
    <row r="696" spans="1:5" x14ac:dyDescent="0.2">
      <c r="A696" t="s">
        <v>1324</v>
      </c>
      <c r="B696" t="s">
        <v>1232</v>
      </c>
      <c r="C696" s="6">
        <v>-7.7</v>
      </c>
      <c r="D696" s="6">
        <f t="shared" si="32"/>
        <v>28.143749999999997</v>
      </c>
      <c r="E696" s="6">
        <f t="shared" si="33"/>
        <v>-35.84375</v>
      </c>
    </row>
    <row r="697" spans="1:5" x14ac:dyDescent="0.2">
      <c r="A697" t="s">
        <v>1324</v>
      </c>
      <c r="B697" t="s">
        <v>1233</v>
      </c>
      <c r="C697" s="6">
        <v>-6.5</v>
      </c>
      <c r="D697" s="6">
        <f t="shared" si="32"/>
        <v>26.756249999999998</v>
      </c>
      <c r="E697" s="6">
        <f t="shared" si="33"/>
        <v>-33.256249999999994</v>
      </c>
    </row>
    <row r="698" spans="1:5" x14ac:dyDescent="0.2">
      <c r="A698" t="s">
        <v>1324</v>
      </c>
      <c r="B698" t="s">
        <v>1234</v>
      </c>
      <c r="C698" s="6">
        <v>-11.9</v>
      </c>
      <c r="D698" s="6">
        <f t="shared" si="32"/>
        <v>25.866666666666664</v>
      </c>
      <c r="E698" s="6">
        <f t="shared" si="33"/>
        <v>-37.766666666666666</v>
      </c>
    </row>
    <row r="699" spans="1:5" x14ac:dyDescent="0.2">
      <c r="A699" t="s">
        <v>1324</v>
      </c>
      <c r="B699" t="s">
        <v>1235</v>
      </c>
      <c r="C699" s="6">
        <v>-4.8</v>
      </c>
      <c r="D699" s="6">
        <f t="shared" si="32"/>
        <v>24.372916666666665</v>
      </c>
      <c r="E699" s="6">
        <f t="shared" si="33"/>
        <v>-29.172916666666666</v>
      </c>
    </row>
    <row r="700" spans="1:5" x14ac:dyDescent="0.2">
      <c r="A700" t="s">
        <v>1324</v>
      </c>
      <c r="B700" t="s">
        <v>1236</v>
      </c>
      <c r="C700" s="6">
        <v>-11.4</v>
      </c>
      <c r="D700" s="6">
        <f t="shared" si="32"/>
        <v>23.335416666666671</v>
      </c>
      <c r="E700" s="6">
        <f t="shared" si="33"/>
        <v>-34.735416666666673</v>
      </c>
    </row>
    <row r="701" spans="1:5" x14ac:dyDescent="0.2">
      <c r="A701" t="s">
        <v>1324</v>
      </c>
      <c r="B701" t="s">
        <v>1237</v>
      </c>
      <c r="C701" s="6">
        <v>-12.7</v>
      </c>
      <c r="D701" s="6">
        <f t="shared" si="32"/>
        <v>21.862499999999997</v>
      </c>
      <c r="E701" s="6">
        <f t="shared" si="33"/>
        <v>-34.5625</v>
      </c>
    </row>
    <row r="702" spans="1:5" x14ac:dyDescent="0.2">
      <c r="A702" t="s">
        <v>1324</v>
      </c>
      <c r="B702" t="s">
        <v>1238</v>
      </c>
      <c r="C702" s="6">
        <v>-11.7</v>
      </c>
      <c r="D702" s="6">
        <f t="shared" si="32"/>
        <v>20.431250000000002</v>
      </c>
      <c r="E702" s="6">
        <f t="shared" si="33"/>
        <v>-32.131250000000001</v>
      </c>
    </row>
    <row r="703" spans="1:5" x14ac:dyDescent="0.2">
      <c r="A703" t="s">
        <v>1324</v>
      </c>
      <c r="B703" t="s">
        <v>1239</v>
      </c>
      <c r="C703" s="6">
        <v>-16.3</v>
      </c>
      <c r="D703" s="6">
        <f t="shared" si="32"/>
        <v>19.520833333333339</v>
      </c>
      <c r="E703" s="6">
        <f t="shared" si="33"/>
        <v>-35.82083333333334</v>
      </c>
    </row>
    <row r="704" spans="1:5" x14ac:dyDescent="0.2">
      <c r="A704" t="s">
        <v>1324</v>
      </c>
      <c r="B704" t="s">
        <v>1240</v>
      </c>
      <c r="C704" s="6">
        <v>-12.7</v>
      </c>
      <c r="D704" s="6">
        <f t="shared" si="32"/>
        <v>18.429166666666671</v>
      </c>
      <c r="E704" s="6">
        <f t="shared" si="33"/>
        <v>-31.12916666666667</v>
      </c>
    </row>
    <row r="705" spans="1:5" x14ac:dyDescent="0.2">
      <c r="A705" t="s">
        <v>1324</v>
      </c>
      <c r="B705" t="s">
        <v>1241</v>
      </c>
      <c r="C705" s="6">
        <v>-9.5</v>
      </c>
      <c r="D705" s="6">
        <f t="shared" si="32"/>
        <v>17.575000000000003</v>
      </c>
      <c r="E705" s="6">
        <f t="shared" si="33"/>
        <v>-27.075000000000003</v>
      </c>
    </row>
    <row r="706" spans="1:5" x14ac:dyDescent="0.2">
      <c r="A706" t="s">
        <v>1324</v>
      </c>
      <c r="B706" t="s">
        <v>1242</v>
      </c>
      <c r="C706" s="6">
        <v>-14.4</v>
      </c>
      <c r="D706" s="6">
        <f t="shared" si="32"/>
        <v>16.741666666666671</v>
      </c>
      <c r="E706" s="6">
        <f t="shared" si="33"/>
        <v>-31.141666666666673</v>
      </c>
    </row>
    <row r="707" spans="1:5" x14ac:dyDescent="0.2">
      <c r="A707" t="s">
        <v>1324</v>
      </c>
      <c r="B707" t="s">
        <v>1243</v>
      </c>
      <c r="C707" s="6">
        <v>-13.9</v>
      </c>
      <c r="D707" s="6">
        <f t="shared" si="32"/>
        <v>15.743750000000004</v>
      </c>
      <c r="E707" s="6">
        <f t="shared" si="33"/>
        <v>-29.643750000000004</v>
      </c>
    </row>
    <row r="708" spans="1:5" x14ac:dyDescent="0.2">
      <c r="A708" t="s">
        <v>1324</v>
      </c>
      <c r="B708" t="s">
        <v>1244</v>
      </c>
      <c r="C708" s="6">
        <v>-13.2</v>
      </c>
      <c r="D708" s="6">
        <f t="shared" si="32"/>
        <v>14.891666666666673</v>
      </c>
      <c r="E708" s="6">
        <f t="shared" si="33"/>
        <v>-28.091666666666672</v>
      </c>
    </row>
    <row r="709" spans="1:5" x14ac:dyDescent="0.2">
      <c r="A709" t="s">
        <v>1324</v>
      </c>
      <c r="B709" t="s">
        <v>1245</v>
      </c>
      <c r="C709" s="6">
        <v>-13.7</v>
      </c>
      <c r="D709" s="6">
        <f t="shared" si="32"/>
        <v>13.802083333333337</v>
      </c>
      <c r="E709" s="6">
        <f t="shared" si="33"/>
        <v>-27.502083333333339</v>
      </c>
    </row>
    <row r="710" spans="1:5" x14ac:dyDescent="0.2">
      <c r="A710" t="s">
        <v>1324</v>
      </c>
      <c r="B710" t="s">
        <v>1246</v>
      </c>
      <c r="C710" s="6">
        <v>-15.7</v>
      </c>
      <c r="D710" s="6">
        <f t="shared" ref="D710:D741" si="34">AVERAGE(C662:C709)</f>
        <v>12.733333333333336</v>
      </c>
      <c r="E710" s="6">
        <f t="shared" ref="E710:E741" si="35">C710-D710</f>
        <v>-28.433333333333337</v>
      </c>
    </row>
    <row r="711" spans="1:5" x14ac:dyDescent="0.2">
      <c r="A711" t="s">
        <v>1324</v>
      </c>
      <c r="B711" t="s">
        <v>1247</v>
      </c>
      <c r="C711" s="6">
        <v>-15</v>
      </c>
      <c r="D711" s="6">
        <f t="shared" si="34"/>
        <v>11.595833333333331</v>
      </c>
      <c r="E711" s="6">
        <f t="shared" si="35"/>
        <v>-26.595833333333331</v>
      </c>
    </row>
    <row r="712" spans="1:5" x14ac:dyDescent="0.2">
      <c r="A712" t="s">
        <v>1324</v>
      </c>
      <c r="B712" t="s">
        <v>1248</v>
      </c>
      <c r="C712" s="6">
        <v>-10.3</v>
      </c>
      <c r="D712" s="6">
        <f t="shared" si="34"/>
        <v>10.720833333333333</v>
      </c>
      <c r="E712" s="6">
        <f t="shared" si="35"/>
        <v>-21.020833333333336</v>
      </c>
    </row>
    <row r="713" spans="1:5" x14ac:dyDescent="0.2">
      <c r="A713" t="s">
        <v>1324</v>
      </c>
      <c r="B713" t="s">
        <v>1249</v>
      </c>
      <c r="C713" s="6">
        <v>-14.2</v>
      </c>
      <c r="D713" s="6">
        <f t="shared" si="34"/>
        <v>9.8854166666666661</v>
      </c>
      <c r="E713" s="6">
        <f t="shared" si="35"/>
        <v>-24.085416666666667</v>
      </c>
    </row>
    <row r="714" spans="1:5" x14ac:dyDescent="0.2">
      <c r="A714" t="s">
        <v>1324</v>
      </c>
      <c r="B714" t="s">
        <v>1250</v>
      </c>
      <c r="C714" s="6">
        <v>-8.6999999999999993</v>
      </c>
      <c r="D714" s="6">
        <f t="shared" si="34"/>
        <v>8.9583333333333393</v>
      </c>
      <c r="E714" s="6">
        <f t="shared" si="35"/>
        <v>-17.658333333333339</v>
      </c>
    </row>
    <row r="715" spans="1:5" x14ac:dyDescent="0.2">
      <c r="A715" t="s">
        <v>1324</v>
      </c>
      <c r="B715" t="s">
        <v>1251</v>
      </c>
      <c r="C715" s="6">
        <v>-6.3</v>
      </c>
      <c r="D715" s="6">
        <f t="shared" si="34"/>
        <v>8.1770833333333375</v>
      </c>
      <c r="E715" s="6">
        <f t="shared" si="35"/>
        <v>-14.477083333333336</v>
      </c>
    </row>
    <row r="716" spans="1:5" x14ac:dyDescent="0.2">
      <c r="A716" t="s">
        <v>1324</v>
      </c>
      <c r="B716" t="s">
        <v>1252</v>
      </c>
      <c r="C716" s="6">
        <v>-7.9</v>
      </c>
      <c r="D716" s="6">
        <f t="shared" si="34"/>
        <v>7.381250000000005</v>
      </c>
      <c r="E716" s="6">
        <f t="shared" si="35"/>
        <v>-15.281250000000005</v>
      </c>
    </row>
    <row r="717" spans="1:5" x14ac:dyDescent="0.2">
      <c r="A717" t="s">
        <v>1324</v>
      </c>
      <c r="B717" t="s">
        <v>1253</v>
      </c>
      <c r="C717" s="6">
        <v>-9.6</v>
      </c>
      <c r="D717" s="6">
        <f t="shared" si="34"/>
        <v>6.464583333333338</v>
      </c>
      <c r="E717" s="6">
        <f t="shared" si="35"/>
        <v>-16.064583333333339</v>
      </c>
    </row>
    <row r="718" spans="1:5" x14ac:dyDescent="0.2">
      <c r="A718" t="s">
        <v>1324</v>
      </c>
      <c r="B718" t="s">
        <v>1254</v>
      </c>
      <c r="C718" s="6">
        <v>-8.1999999999999993</v>
      </c>
      <c r="D718" s="6">
        <f t="shared" si="34"/>
        <v>5.6479166666666707</v>
      </c>
      <c r="E718" s="6">
        <f t="shared" si="35"/>
        <v>-13.84791666666667</v>
      </c>
    </row>
    <row r="719" spans="1:5" x14ac:dyDescent="0.2">
      <c r="A719" t="s">
        <v>1324</v>
      </c>
      <c r="B719" t="s">
        <v>1255</v>
      </c>
      <c r="C719" s="6">
        <v>-5.2</v>
      </c>
      <c r="D719" s="6">
        <f t="shared" si="34"/>
        <v>4.8166666666666709</v>
      </c>
      <c r="E719" s="6">
        <f t="shared" si="35"/>
        <v>-10.016666666666671</v>
      </c>
    </row>
    <row r="720" spans="1:5" x14ac:dyDescent="0.2">
      <c r="A720" t="s">
        <v>1324</v>
      </c>
      <c r="B720" t="s">
        <v>1256</v>
      </c>
      <c r="C720" s="6">
        <v>-2.6</v>
      </c>
      <c r="D720" s="6">
        <f t="shared" si="34"/>
        <v>4.1020833333333373</v>
      </c>
      <c r="E720" s="6">
        <f t="shared" si="35"/>
        <v>-6.7020833333333378</v>
      </c>
    </row>
    <row r="721" spans="1:5" x14ac:dyDescent="0.2">
      <c r="A721" t="s">
        <v>1324</v>
      </c>
      <c r="B721" t="s">
        <v>1257</v>
      </c>
      <c r="C721" s="6">
        <v>-4.0999999999999996</v>
      </c>
      <c r="D721" s="6">
        <f t="shared" si="34"/>
        <v>3.6708333333333374</v>
      </c>
      <c r="E721" s="6">
        <f t="shared" si="35"/>
        <v>-7.7708333333333375</v>
      </c>
    </row>
    <row r="722" spans="1:5" x14ac:dyDescent="0.2">
      <c r="A722" t="s">
        <v>1324</v>
      </c>
      <c r="B722" t="s">
        <v>1258</v>
      </c>
      <c r="C722" s="6">
        <v>-1.6</v>
      </c>
      <c r="D722" s="6">
        <f t="shared" si="34"/>
        <v>3.0812500000000043</v>
      </c>
      <c r="E722" s="6">
        <f t="shared" si="35"/>
        <v>-4.6812500000000039</v>
      </c>
    </row>
    <row r="723" spans="1:5" x14ac:dyDescent="0.2">
      <c r="A723" t="s">
        <v>1324</v>
      </c>
      <c r="B723" t="s">
        <v>1259</v>
      </c>
      <c r="C723" s="6">
        <v>-5.2</v>
      </c>
      <c r="D723" s="6">
        <f t="shared" si="34"/>
        <v>2.5520833333333375</v>
      </c>
      <c r="E723" s="6">
        <f t="shared" si="35"/>
        <v>-7.7520833333333377</v>
      </c>
    </row>
    <row r="724" spans="1:5" x14ac:dyDescent="0.2">
      <c r="A724" t="s">
        <v>1324</v>
      </c>
      <c r="B724" t="s">
        <v>1260</v>
      </c>
      <c r="C724" s="6">
        <v>-7</v>
      </c>
      <c r="D724" s="6">
        <f t="shared" si="34"/>
        <v>1.9500000000000026</v>
      </c>
      <c r="E724" s="6">
        <f t="shared" si="35"/>
        <v>-8.9500000000000028</v>
      </c>
    </row>
    <row r="725" spans="1:5" x14ac:dyDescent="0.2">
      <c r="A725" t="s">
        <v>1324</v>
      </c>
      <c r="B725" t="s">
        <v>1261</v>
      </c>
      <c r="C725" s="6">
        <v>-3.1</v>
      </c>
      <c r="D725" s="6">
        <f t="shared" si="34"/>
        <v>1.391666666666669</v>
      </c>
      <c r="E725" s="6">
        <f t="shared" si="35"/>
        <v>-4.4916666666666689</v>
      </c>
    </row>
    <row r="726" spans="1:5" x14ac:dyDescent="0.2">
      <c r="A726" t="s">
        <v>1324</v>
      </c>
      <c r="B726" t="s">
        <v>1262</v>
      </c>
      <c r="C726" s="6">
        <v>-4</v>
      </c>
      <c r="D726" s="6">
        <f t="shared" si="34"/>
        <v>0.60000000000000231</v>
      </c>
      <c r="E726" s="6">
        <f t="shared" si="35"/>
        <v>-4.6000000000000023</v>
      </c>
    </row>
    <row r="727" spans="1:5" x14ac:dyDescent="0.2">
      <c r="A727" t="s">
        <v>1324</v>
      </c>
      <c r="B727" t="s">
        <v>1263</v>
      </c>
      <c r="C727" s="6">
        <v>-7.6</v>
      </c>
      <c r="D727" s="6">
        <f t="shared" si="34"/>
        <v>-0.15208333333333299</v>
      </c>
      <c r="E727" s="6">
        <f t="shared" si="35"/>
        <v>-7.447916666666667</v>
      </c>
    </row>
    <row r="728" spans="1:5" x14ac:dyDescent="0.2">
      <c r="A728" t="s">
        <v>1324</v>
      </c>
      <c r="B728" t="s">
        <v>1264</v>
      </c>
      <c r="C728" s="6">
        <v>-17.5</v>
      </c>
      <c r="D728" s="6">
        <f t="shared" si="34"/>
        <v>-1.0125000000000017</v>
      </c>
      <c r="E728" s="6">
        <f t="shared" si="35"/>
        <v>-16.487499999999997</v>
      </c>
    </row>
    <row r="729" spans="1:5" x14ac:dyDescent="0.2">
      <c r="A729" t="s">
        <v>1324</v>
      </c>
      <c r="B729" t="s">
        <v>1265</v>
      </c>
      <c r="C729" s="6">
        <v>-19.7</v>
      </c>
      <c r="D729" s="6">
        <f t="shared" si="34"/>
        <v>-2.0770833333333347</v>
      </c>
      <c r="E729" s="6">
        <f t="shared" si="35"/>
        <v>-17.622916666666665</v>
      </c>
    </row>
    <row r="730" spans="1:5" x14ac:dyDescent="0.2">
      <c r="A730" t="s">
        <v>1324</v>
      </c>
      <c r="B730" t="s">
        <v>1266</v>
      </c>
      <c r="C730" s="6">
        <v>-16.3</v>
      </c>
      <c r="D730" s="6">
        <f t="shared" si="34"/>
        <v>-3.2666666666666662</v>
      </c>
      <c r="E730" s="6">
        <f t="shared" si="35"/>
        <v>-13.033333333333335</v>
      </c>
    </row>
    <row r="731" spans="1:5" x14ac:dyDescent="0.2">
      <c r="A731" t="s">
        <v>1324</v>
      </c>
      <c r="B731" t="s">
        <v>1267</v>
      </c>
      <c r="C731" s="6">
        <v>-17.3</v>
      </c>
      <c r="D731" s="6">
        <f t="shared" si="34"/>
        <v>-4.2479166666666668</v>
      </c>
      <c r="E731" s="6">
        <f t="shared" si="35"/>
        <v>-13.052083333333334</v>
      </c>
    </row>
    <row r="732" spans="1:5" x14ac:dyDescent="0.2">
      <c r="A732" t="s">
        <v>1324</v>
      </c>
      <c r="B732" t="s">
        <v>1268</v>
      </c>
      <c r="C732" s="6">
        <v>-19.2</v>
      </c>
      <c r="D732" s="6">
        <f t="shared" si="34"/>
        <v>-5.1562499999999991</v>
      </c>
      <c r="E732" s="6">
        <f t="shared" si="35"/>
        <v>-14.043749999999999</v>
      </c>
    </row>
    <row r="733" spans="1:5" x14ac:dyDescent="0.2">
      <c r="A733" t="s">
        <v>1324</v>
      </c>
      <c r="B733" t="s">
        <v>1269</v>
      </c>
      <c r="C733" s="6">
        <v>-22.2</v>
      </c>
      <c r="D733" s="6">
        <f t="shared" si="34"/>
        <v>-6.0479166666666657</v>
      </c>
      <c r="E733" s="6">
        <f t="shared" si="35"/>
        <v>-16.152083333333334</v>
      </c>
    </row>
    <row r="734" spans="1:5" x14ac:dyDescent="0.2">
      <c r="A734" t="s">
        <v>1324</v>
      </c>
      <c r="B734" t="s">
        <v>1270</v>
      </c>
      <c r="C734" s="6">
        <v>-30.9</v>
      </c>
      <c r="D734" s="6">
        <f t="shared" si="34"/>
        <v>-6.8999999999999986</v>
      </c>
      <c r="E734" s="6">
        <f t="shared" si="35"/>
        <v>-24</v>
      </c>
    </row>
    <row r="735" spans="1:5" x14ac:dyDescent="0.2">
      <c r="A735" t="s">
        <v>1324</v>
      </c>
      <c r="B735" t="s">
        <v>1271</v>
      </c>
      <c r="C735" s="6">
        <v>-36.299999999999997</v>
      </c>
      <c r="D735" s="6">
        <f t="shared" si="34"/>
        <v>-8.0166666666666639</v>
      </c>
      <c r="E735" s="6">
        <f t="shared" si="35"/>
        <v>-28.283333333333331</v>
      </c>
    </row>
    <row r="736" spans="1:5" x14ac:dyDescent="0.2">
      <c r="A736" t="s">
        <v>1324</v>
      </c>
      <c r="B736" t="s">
        <v>1272</v>
      </c>
      <c r="C736" s="6">
        <v>-39.200000000000003</v>
      </c>
      <c r="D736" s="6">
        <f t="shared" si="34"/>
        <v>-9.1729166666666657</v>
      </c>
      <c r="E736" s="6">
        <f t="shared" si="35"/>
        <v>-30.027083333333337</v>
      </c>
    </row>
    <row r="737" spans="1:5" x14ac:dyDescent="0.2">
      <c r="A737" t="s">
        <v>1324</v>
      </c>
      <c r="B737" t="s">
        <v>1273</v>
      </c>
      <c r="C737" s="6">
        <v>-38.799999999999997</v>
      </c>
      <c r="D737" s="6">
        <f t="shared" si="34"/>
        <v>-10.435416666666667</v>
      </c>
      <c r="E737" s="6">
        <f t="shared" si="35"/>
        <v>-28.364583333333329</v>
      </c>
    </row>
    <row r="738" spans="1:5" x14ac:dyDescent="0.2">
      <c r="A738" t="s">
        <v>1324</v>
      </c>
      <c r="B738" t="s">
        <v>1274</v>
      </c>
      <c r="C738" s="6">
        <v>-39.700000000000003</v>
      </c>
      <c r="D738" s="6">
        <f t="shared" si="34"/>
        <v>-11.504166666666668</v>
      </c>
      <c r="E738" s="6">
        <f t="shared" si="35"/>
        <v>-28.195833333333333</v>
      </c>
    </row>
    <row r="739" spans="1:5" x14ac:dyDescent="0.2">
      <c r="A739" t="s">
        <v>1324</v>
      </c>
      <c r="B739" t="s">
        <v>1275</v>
      </c>
      <c r="C739" s="6">
        <v>-38.799999999999997</v>
      </c>
      <c r="D739" s="6">
        <f t="shared" si="34"/>
        <v>-12.458333333333334</v>
      </c>
      <c r="E739" s="6">
        <f t="shared" si="35"/>
        <v>-26.341666666666661</v>
      </c>
    </row>
    <row r="740" spans="1:5" x14ac:dyDescent="0.2">
      <c r="A740" t="s">
        <v>1324</v>
      </c>
      <c r="B740" t="s">
        <v>1276</v>
      </c>
      <c r="C740" s="6">
        <v>-31.1</v>
      </c>
      <c r="D740" s="6">
        <f t="shared" si="34"/>
        <v>-13.314583333333333</v>
      </c>
      <c r="E740" s="6">
        <f t="shared" si="35"/>
        <v>-17.78541666666667</v>
      </c>
    </row>
    <row r="741" spans="1:5" x14ac:dyDescent="0.2">
      <c r="A741" t="s">
        <v>1324</v>
      </c>
      <c r="B741" t="s">
        <v>1277</v>
      </c>
      <c r="C741" s="6">
        <v>-28.6</v>
      </c>
      <c r="D741" s="6">
        <f t="shared" si="34"/>
        <v>-13.966666666666667</v>
      </c>
      <c r="E741" s="6">
        <f t="shared" si="35"/>
        <v>-14.633333333333335</v>
      </c>
    </row>
    <row r="742" spans="1:5" x14ac:dyDescent="0.2">
      <c r="A742" t="s">
        <v>1324</v>
      </c>
      <c r="B742" t="s">
        <v>1278</v>
      </c>
      <c r="C742" s="6">
        <v>-36.5</v>
      </c>
      <c r="D742" s="6">
        <f t="shared" ref="D742:D773" si="36">AVERAGE(C694:C741)</f>
        <v>-14.483333333333334</v>
      </c>
      <c r="E742" s="6">
        <f t="shared" ref="E742:E773" si="37">C742-D742</f>
        <v>-22.016666666666666</v>
      </c>
    </row>
    <row r="743" spans="1:5" x14ac:dyDescent="0.2">
      <c r="A743" t="s">
        <v>1324</v>
      </c>
      <c r="B743" t="s">
        <v>1279</v>
      </c>
      <c r="C743" s="6">
        <v>-32.4</v>
      </c>
      <c r="D743" s="6">
        <f t="shared" si="36"/>
        <v>-15.235416666666667</v>
      </c>
      <c r="E743" s="6">
        <f t="shared" si="37"/>
        <v>-17.164583333333333</v>
      </c>
    </row>
    <row r="744" spans="1:5" x14ac:dyDescent="0.2">
      <c r="A744" t="s">
        <v>1324</v>
      </c>
      <c r="B744" t="s">
        <v>1280</v>
      </c>
      <c r="C744" s="6">
        <v>-28.8</v>
      </c>
      <c r="D744" s="6">
        <f t="shared" si="36"/>
        <v>-15.858333333333334</v>
      </c>
      <c r="E744" s="6">
        <f t="shared" si="37"/>
        <v>-12.941666666666666</v>
      </c>
    </row>
    <row r="745" spans="1:5" x14ac:dyDescent="0.2">
      <c r="A745" t="s">
        <v>1324</v>
      </c>
      <c r="B745" t="s">
        <v>1281</v>
      </c>
      <c r="C745" s="6">
        <v>-18.899999999999999</v>
      </c>
      <c r="D745" s="6">
        <f t="shared" si="36"/>
        <v>-16.297916666666666</v>
      </c>
      <c r="E745" s="6">
        <f t="shared" si="37"/>
        <v>-2.6020833333333329</v>
      </c>
    </row>
    <row r="746" spans="1:5" x14ac:dyDescent="0.2">
      <c r="A746" t="s">
        <v>1324</v>
      </c>
      <c r="B746" t="s">
        <v>1282</v>
      </c>
      <c r="C746" s="6">
        <v>-15.7</v>
      </c>
      <c r="D746" s="6">
        <f t="shared" si="36"/>
        <v>-16.556249999999999</v>
      </c>
      <c r="E746" s="6">
        <f t="shared" si="37"/>
        <v>0.85624999999999929</v>
      </c>
    </row>
    <row r="747" spans="1:5" x14ac:dyDescent="0.2">
      <c r="A747" t="s">
        <v>1324</v>
      </c>
      <c r="B747" t="s">
        <v>1283</v>
      </c>
      <c r="C747" s="6">
        <v>-16.2</v>
      </c>
      <c r="D747" s="6">
        <f t="shared" si="36"/>
        <v>-16.635416666666664</v>
      </c>
      <c r="E747" s="6">
        <f t="shared" si="37"/>
        <v>0.43541666666666501</v>
      </c>
    </row>
    <row r="748" spans="1:5" x14ac:dyDescent="0.2">
      <c r="A748" t="s">
        <v>1324</v>
      </c>
      <c r="B748" t="s">
        <v>1284</v>
      </c>
      <c r="C748" s="6">
        <v>-14.7</v>
      </c>
      <c r="D748" s="6">
        <f t="shared" si="36"/>
        <v>-16.872916666666665</v>
      </c>
      <c r="E748" s="6">
        <f t="shared" si="37"/>
        <v>2.1729166666666657</v>
      </c>
    </row>
    <row r="749" spans="1:5" x14ac:dyDescent="0.2">
      <c r="A749" t="s">
        <v>1324</v>
      </c>
      <c r="B749" t="s">
        <v>1285</v>
      </c>
      <c r="C749" s="6">
        <v>-15.5</v>
      </c>
      <c r="D749" s="6">
        <f t="shared" si="36"/>
        <v>-16.941666666666666</v>
      </c>
      <c r="E749" s="6">
        <f t="shared" si="37"/>
        <v>1.4416666666666664</v>
      </c>
    </row>
    <row r="750" spans="1:5" x14ac:dyDescent="0.2">
      <c r="A750" t="s">
        <v>1324</v>
      </c>
      <c r="B750" t="s">
        <v>1286</v>
      </c>
      <c r="C750" s="6">
        <v>-18</v>
      </c>
      <c r="D750" s="6">
        <f t="shared" si="36"/>
        <v>-17</v>
      </c>
      <c r="E750" s="6">
        <f t="shared" si="37"/>
        <v>-1</v>
      </c>
    </row>
    <row r="751" spans="1:5" x14ac:dyDescent="0.2">
      <c r="A751" t="s">
        <v>1324</v>
      </c>
      <c r="B751" t="s">
        <v>1287</v>
      </c>
      <c r="C751" s="6">
        <v>-8.8000000000000007</v>
      </c>
      <c r="D751" s="6">
        <f t="shared" si="36"/>
        <v>-17.131249999999998</v>
      </c>
      <c r="E751" s="6">
        <f t="shared" si="37"/>
        <v>8.3312499999999972</v>
      </c>
    </row>
    <row r="752" spans="1:5" x14ac:dyDescent="0.2">
      <c r="A752" t="s">
        <v>1324</v>
      </c>
      <c r="B752" t="s">
        <v>1288</v>
      </c>
      <c r="C752" s="6">
        <v>-12.8</v>
      </c>
      <c r="D752" s="6">
        <f t="shared" si="36"/>
        <v>-16.974999999999998</v>
      </c>
      <c r="E752" s="6">
        <f t="shared" si="37"/>
        <v>4.1749999999999972</v>
      </c>
    </row>
    <row r="753" spans="1:5" x14ac:dyDescent="0.2">
      <c r="A753" t="s">
        <v>1324</v>
      </c>
      <c r="B753" t="s">
        <v>1289</v>
      </c>
      <c r="C753" s="6">
        <v>-22.1</v>
      </c>
      <c r="D753" s="6">
        <f t="shared" si="36"/>
        <v>-16.977083333333329</v>
      </c>
      <c r="E753" s="6">
        <f t="shared" si="37"/>
        <v>-5.1229166666666721</v>
      </c>
    </row>
    <row r="754" spans="1:5" x14ac:dyDescent="0.2">
      <c r="A754" t="s">
        <v>1324</v>
      </c>
      <c r="B754" t="s">
        <v>1290</v>
      </c>
      <c r="C754" s="6">
        <v>-20.7</v>
      </c>
      <c r="D754" s="6">
        <f t="shared" si="36"/>
        <v>-17.239583333333332</v>
      </c>
      <c r="E754" s="6">
        <f t="shared" si="37"/>
        <v>-3.4604166666666671</v>
      </c>
    </row>
    <row r="755" spans="1:5" x14ac:dyDescent="0.2">
      <c r="A755" t="s">
        <v>1324</v>
      </c>
      <c r="B755" t="s">
        <v>1291</v>
      </c>
      <c r="C755" s="6">
        <v>-16.3</v>
      </c>
      <c r="D755" s="6">
        <f t="shared" si="36"/>
        <v>-17.370833333333334</v>
      </c>
      <c r="E755" s="6">
        <f t="shared" si="37"/>
        <v>1.0708333333333329</v>
      </c>
    </row>
    <row r="756" spans="1:5" x14ac:dyDescent="0.2">
      <c r="A756" t="s">
        <v>1324</v>
      </c>
      <c r="B756" t="s">
        <v>1292</v>
      </c>
      <c r="C756" s="6">
        <v>16.600000000000001</v>
      </c>
      <c r="D756" s="6">
        <f t="shared" si="36"/>
        <v>-17.420833333333331</v>
      </c>
      <c r="E756" s="6">
        <f t="shared" si="37"/>
        <v>34.020833333333329</v>
      </c>
    </row>
    <row r="757" spans="1:5" x14ac:dyDescent="0.2">
      <c r="A757" t="s">
        <v>1324</v>
      </c>
      <c r="B757" t="s">
        <v>1293</v>
      </c>
      <c r="C757" s="6">
        <v>-4.0999999999999996</v>
      </c>
      <c r="D757" s="6">
        <f t="shared" si="36"/>
        <v>-16.8</v>
      </c>
      <c r="E757" s="6">
        <f t="shared" si="37"/>
        <v>12.700000000000001</v>
      </c>
    </row>
    <row r="758" spans="1:5" x14ac:dyDescent="0.2">
      <c r="A758" t="s">
        <v>1324</v>
      </c>
      <c r="B758" t="s">
        <v>1294</v>
      </c>
      <c r="C758" s="6">
        <v>-18.899999999999999</v>
      </c>
      <c r="D758" s="6">
        <f t="shared" si="36"/>
        <v>-16.599999999999998</v>
      </c>
      <c r="E758" s="6">
        <f t="shared" si="37"/>
        <v>-2.3000000000000007</v>
      </c>
    </row>
    <row r="759" spans="1:5" x14ac:dyDescent="0.2">
      <c r="A759" t="s">
        <v>1324</v>
      </c>
      <c r="B759" t="s">
        <v>1295</v>
      </c>
      <c r="C759" s="6">
        <v>-18.399999999999999</v>
      </c>
      <c r="D759" s="6">
        <f t="shared" si="36"/>
        <v>-16.666666666666664</v>
      </c>
      <c r="E759" s="6">
        <f t="shared" si="37"/>
        <v>-1.7333333333333343</v>
      </c>
    </row>
    <row r="760" spans="1:5" x14ac:dyDescent="0.2">
      <c r="A760" t="s">
        <v>1324</v>
      </c>
      <c r="B760" t="s">
        <v>1296</v>
      </c>
      <c r="C760" s="6">
        <v>-23.5</v>
      </c>
      <c r="D760" s="6">
        <f t="shared" si="36"/>
        <v>-16.737500000000001</v>
      </c>
      <c r="E760" s="6">
        <f t="shared" si="37"/>
        <v>-6.7624999999999993</v>
      </c>
    </row>
    <row r="761" spans="1:5" x14ac:dyDescent="0.2">
      <c r="A761" t="s">
        <v>1324</v>
      </c>
      <c r="B761" t="s">
        <v>1297</v>
      </c>
      <c r="C761" s="6">
        <v>-25.3</v>
      </c>
      <c r="D761" s="6">
        <f t="shared" si="36"/>
        <v>-17.012499999999999</v>
      </c>
      <c r="E761" s="6">
        <f t="shared" si="37"/>
        <v>-8.2875000000000014</v>
      </c>
    </row>
    <row r="762" spans="1:5" x14ac:dyDescent="0.2">
      <c r="A762" t="s">
        <v>1324</v>
      </c>
      <c r="B762" t="s">
        <v>1298</v>
      </c>
      <c r="C762" s="6">
        <v>-9.9</v>
      </c>
      <c r="D762" s="6">
        <f t="shared" si="36"/>
        <v>-17.243749999999999</v>
      </c>
      <c r="E762" s="6">
        <f t="shared" si="37"/>
        <v>7.3437499999999982</v>
      </c>
    </row>
    <row r="763" spans="1:5" x14ac:dyDescent="0.2">
      <c r="A763" t="s">
        <v>1324</v>
      </c>
      <c r="B763" t="s">
        <v>1299</v>
      </c>
      <c r="C763" s="6">
        <v>-11.3</v>
      </c>
      <c r="D763" s="6">
        <f t="shared" si="36"/>
        <v>-17.268750000000001</v>
      </c>
      <c r="E763" s="6">
        <f t="shared" si="37"/>
        <v>5.96875</v>
      </c>
    </row>
    <row r="764" spans="1:5" x14ac:dyDescent="0.2">
      <c r="A764" t="s">
        <v>1324</v>
      </c>
      <c r="B764" t="s">
        <v>1300</v>
      </c>
      <c r="C764" s="6">
        <v>-39</v>
      </c>
      <c r="D764" s="6">
        <f t="shared" si="36"/>
        <v>-17.372916666666665</v>
      </c>
      <c r="E764" s="6">
        <f t="shared" si="37"/>
        <v>-21.627083333333335</v>
      </c>
    </row>
    <row r="765" spans="1:5" x14ac:dyDescent="0.2">
      <c r="A765" t="s">
        <v>1324</v>
      </c>
      <c r="B765" t="s">
        <v>1301</v>
      </c>
      <c r="C765" s="6">
        <v>-33.299999999999997</v>
      </c>
      <c r="D765" s="6">
        <f t="shared" si="36"/>
        <v>-18.020833333333332</v>
      </c>
      <c r="E765" s="6">
        <f t="shared" si="37"/>
        <v>-15.279166666666665</v>
      </c>
    </row>
    <row r="766" spans="1:5" x14ac:dyDescent="0.2">
      <c r="A766" t="s">
        <v>1324</v>
      </c>
      <c r="B766" t="s">
        <v>1302</v>
      </c>
      <c r="C766" s="6">
        <v>-21.9</v>
      </c>
      <c r="D766" s="6">
        <f t="shared" si="36"/>
        <v>-18.514583333333331</v>
      </c>
      <c r="E766" s="6">
        <f t="shared" si="37"/>
        <v>-3.3854166666666679</v>
      </c>
    </row>
    <row r="767" spans="1:5" x14ac:dyDescent="0.2">
      <c r="A767" t="s">
        <v>1324</v>
      </c>
      <c r="B767" t="s">
        <v>1303</v>
      </c>
      <c r="C767" s="6">
        <v>-5.9</v>
      </c>
      <c r="D767" s="6">
        <f t="shared" si="36"/>
        <v>-18.799999999999994</v>
      </c>
      <c r="E767" s="6">
        <f t="shared" si="37"/>
        <v>12.899999999999993</v>
      </c>
    </row>
    <row r="768" spans="1:5" x14ac:dyDescent="0.2">
      <c r="A768" t="s">
        <v>1324</v>
      </c>
      <c r="B768" t="s">
        <v>1304</v>
      </c>
      <c r="C768" s="6">
        <v>-6</v>
      </c>
      <c r="D768" s="6">
        <f t="shared" si="36"/>
        <v>-18.814583333333328</v>
      </c>
      <c r="E768" s="6">
        <f t="shared" si="37"/>
        <v>12.814583333333328</v>
      </c>
    </row>
    <row r="769" spans="1:5" x14ac:dyDescent="0.2">
      <c r="A769" t="s">
        <v>1324</v>
      </c>
      <c r="B769" t="s">
        <v>1305</v>
      </c>
      <c r="C769" s="6">
        <v>-6.4</v>
      </c>
      <c r="D769" s="6">
        <f t="shared" si="36"/>
        <v>-18.885416666666661</v>
      </c>
      <c r="E769" s="6">
        <f t="shared" si="37"/>
        <v>12.48541666666666</v>
      </c>
    </row>
    <row r="770" spans="1:5" x14ac:dyDescent="0.2">
      <c r="A770" t="s">
        <v>1324</v>
      </c>
      <c r="B770" t="s">
        <v>1306</v>
      </c>
      <c r="C770" s="6">
        <v>-25.1</v>
      </c>
      <c r="D770" s="6">
        <f t="shared" si="36"/>
        <v>-18.933333333333326</v>
      </c>
      <c r="E770" s="6">
        <f t="shared" si="37"/>
        <v>-6.166666666666675</v>
      </c>
    </row>
    <row r="771" spans="1:5" x14ac:dyDescent="0.2">
      <c r="A771" t="s">
        <v>1324</v>
      </c>
      <c r="B771" t="s">
        <v>1307</v>
      </c>
      <c r="C771" s="6">
        <v>-23.1</v>
      </c>
      <c r="D771" s="6">
        <f t="shared" si="36"/>
        <v>-19.422916666666662</v>
      </c>
      <c r="E771" s="6">
        <f t="shared" si="37"/>
        <v>-3.6770833333333393</v>
      </c>
    </row>
    <row r="772" spans="1:5" x14ac:dyDescent="0.2">
      <c r="A772" t="s">
        <v>1324</v>
      </c>
      <c r="B772" t="s">
        <v>1308</v>
      </c>
      <c r="C772" s="6">
        <v>-5.9</v>
      </c>
      <c r="D772" s="6">
        <f t="shared" si="36"/>
        <v>-19.795833333333331</v>
      </c>
      <c r="E772" s="6">
        <f t="shared" si="37"/>
        <v>13.89583333333333</v>
      </c>
    </row>
    <row r="773" spans="1:5" x14ac:dyDescent="0.2">
      <c r="A773" t="s">
        <v>1324</v>
      </c>
      <c r="B773" t="s">
        <v>1309</v>
      </c>
      <c r="C773" s="6">
        <v>-3.4</v>
      </c>
      <c r="D773" s="6">
        <f t="shared" si="36"/>
        <v>-19.772916666666664</v>
      </c>
      <c r="E773" s="6">
        <f t="shared" si="37"/>
        <v>16.372916666666665</v>
      </c>
    </row>
    <row r="774" spans="1:5" x14ac:dyDescent="0.2">
      <c r="A774" t="s">
        <v>1324</v>
      </c>
      <c r="B774" t="s">
        <v>1310</v>
      </c>
      <c r="C774" s="6">
        <v>-2.2999999999999998</v>
      </c>
      <c r="D774" s="6">
        <f t="shared" ref="D774:D805" si="38">AVERAGE(C726:C773)</f>
        <v>-19.779166666666665</v>
      </c>
      <c r="E774" s="6">
        <f t="shared" ref="E774:E805" si="39">C774-D774</f>
        <v>17.479166666666664</v>
      </c>
    </row>
    <row r="775" spans="1:5" x14ac:dyDescent="0.2">
      <c r="A775" t="s">
        <v>1324</v>
      </c>
      <c r="B775" t="s">
        <v>1311</v>
      </c>
      <c r="C775" s="6">
        <v>-12.9</v>
      </c>
      <c r="D775" s="6">
        <f t="shared" si="38"/>
        <v>-19.743749999999995</v>
      </c>
      <c r="E775" s="6">
        <f t="shared" si="39"/>
        <v>6.8437499999999947</v>
      </c>
    </row>
    <row r="776" spans="1:5" x14ac:dyDescent="0.2">
      <c r="A776" t="s">
        <v>1324</v>
      </c>
      <c r="B776" t="s">
        <v>1312</v>
      </c>
      <c r="C776" s="6">
        <v>-25.1</v>
      </c>
      <c r="D776" s="6">
        <f t="shared" si="38"/>
        <v>-19.854166666666661</v>
      </c>
      <c r="E776" s="6">
        <f t="shared" si="39"/>
        <v>-5.2458333333333407</v>
      </c>
    </row>
    <row r="777" spans="1:5" x14ac:dyDescent="0.2">
      <c r="A777" t="s">
        <v>1324</v>
      </c>
      <c r="B777" t="s">
        <v>1313</v>
      </c>
      <c r="C777" s="6">
        <v>-27.4</v>
      </c>
      <c r="D777" s="6">
        <f t="shared" si="38"/>
        <v>-20.012499999999992</v>
      </c>
      <c r="E777" s="6">
        <f t="shared" si="39"/>
        <v>-7.3875000000000064</v>
      </c>
    </row>
    <row r="778" spans="1:5" x14ac:dyDescent="0.2">
      <c r="A778" t="s">
        <v>1324</v>
      </c>
      <c r="B778" t="s">
        <v>1314</v>
      </c>
      <c r="C778" s="6">
        <v>-28.3</v>
      </c>
      <c r="D778" s="6">
        <f t="shared" si="38"/>
        <v>-20.172916666666659</v>
      </c>
      <c r="E778" s="6">
        <f t="shared" si="39"/>
        <v>-8.1270833333333421</v>
      </c>
    </row>
    <row r="779" spans="1:5" x14ac:dyDescent="0.2">
      <c r="A779" t="s">
        <v>1324</v>
      </c>
      <c r="B779" t="s">
        <v>1315</v>
      </c>
      <c r="C779" s="6">
        <v>-27.4</v>
      </c>
      <c r="D779" s="6">
        <f t="shared" si="38"/>
        <v>-20.422916666666655</v>
      </c>
      <c r="E779" s="6">
        <f t="shared" si="39"/>
        <v>-6.9770833333333435</v>
      </c>
    </row>
    <row r="780" spans="1:5" x14ac:dyDescent="0.2">
      <c r="A780" t="s">
        <v>1324</v>
      </c>
      <c r="B780" t="s">
        <v>1316</v>
      </c>
      <c r="C780" s="6">
        <v>-30</v>
      </c>
      <c r="D780" s="6">
        <f t="shared" si="38"/>
        <v>-20.633333333333322</v>
      </c>
      <c r="E780" s="6">
        <f t="shared" si="39"/>
        <v>-9.3666666666666778</v>
      </c>
    </row>
    <row r="781" spans="1:5" x14ac:dyDescent="0.2">
      <c r="A781" t="s">
        <v>1324</v>
      </c>
      <c r="B781" t="s">
        <v>1317</v>
      </c>
      <c r="C781" s="6">
        <v>-27.1</v>
      </c>
      <c r="D781" s="6">
        <f t="shared" si="38"/>
        <v>-20.858333333333324</v>
      </c>
      <c r="E781" s="6">
        <f t="shared" si="39"/>
        <v>-6.2416666666666778</v>
      </c>
    </row>
    <row r="782" spans="1:5" x14ac:dyDescent="0.2">
      <c r="A782" t="s">
        <v>1324</v>
      </c>
      <c r="B782" t="s">
        <v>1318</v>
      </c>
      <c r="C782" s="6">
        <v>-28.3</v>
      </c>
      <c r="D782" s="6">
        <f t="shared" si="38"/>
        <v>-20.960416666666656</v>
      </c>
      <c r="E782" s="6">
        <f t="shared" si="39"/>
        <v>-7.3395833333333442</v>
      </c>
    </row>
    <row r="783" spans="1:5" x14ac:dyDescent="0.2">
      <c r="A783" t="s">
        <v>1324</v>
      </c>
      <c r="B783" t="s">
        <v>1319</v>
      </c>
      <c r="C783" s="6">
        <v>-26.4</v>
      </c>
      <c r="D783" s="6">
        <f t="shared" si="38"/>
        <v>-20.906249999999989</v>
      </c>
      <c r="E783" s="6">
        <f t="shared" si="39"/>
        <v>-5.4937500000000092</v>
      </c>
    </row>
    <row r="784" spans="1:5" x14ac:dyDescent="0.2">
      <c r="A784" t="s">
        <v>1324</v>
      </c>
      <c r="B784" t="s">
        <v>1320</v>
      </c>
      <c r="C784" s="6">
        <v>0</v>
      </c>
      <c r="D784" s="6">
        <f t="shared" si="38"/>
        <v>-20.699999999999992</v>
      </c>
      <c r="E784" s="6">
        <f t="shared" si="39"/>
        <v>20.699999999999992</v>
      </c>
    </row>
    <row r="785" spans="1:5" x14ac:dyDescent="0.2">
      <c r="A785" t="s">
        <v>1324</v>
      </c>
      <c r="B785" t="s">
        <v>16</v>
      </c>
      <c r="C785" s="6">
        <v>8.9</v>
      </c>
      <c r="D785" s="6">
        <f t="shared" si="38"/>
        <v>-19.883333333333322</v>
      </c>
      <c r="E785" s="6">
        <f t="shared" si="39"/>
        <v>28.783333333333324</v>
      </c>
    </row>
    <row r="786" spans="1:5" x14ac:dyDescent="0.2">
      <c r="A786" t="s">
        <v>1325</v>
      </c>
      <c r="B786" t="s">
        <v>1166</v>
      </c>
      <c r="C786" s="6">
        <v>18.399999999999999</v>
      </c>
    </row>
    <row r="787" spans="1:5" x14ac:dyDescent="0.2">
      <c r="A787" t="s">
        <v>1325</v>
      </c>
      <c r="B787" t="s">
        <v>1167</v>
      </c>
      <c r="C787" s="6">
        <v>17.5</v>
      </c>
    </row>
    <row r="788" spans="1:5" x14ac:dyDescent="0.2">
      <c r="A788" t="s">
        <v>1325</v>
      </c>
      <c r="B788" t="s">
        <v>1168</v>
      </c>
      <c r="C788" s="6">
        <v>18.899999999999999</v>
      </c>
    </row>
    <row r="789" spans="1:5" x14ac:dyDescent="0.2">
      <c r="A789" t="s">
        <v>1325</v>
      </c>
      <c r="B789" t="s">
        <v>1169</v>
      </c>
      <c r="C789" s="6">
        <v>17.5</v>
      </c>
    </row>
    <row r="790" spans="1:5" x14ac:dyDescent="0.2">
      <c r="A790" t="s">
        <v>1325</v>
      </c>
      <c r="B790" t="s">
        <v>1170</v>
      </c>
      <c r="C790" s="6">
        <v>24.8</v>
      </c>
    </row>
    <row r="791" spans="1:5" x14ac:dyDescent="0.2">
      <c r="A791" t="s">
        <v>1325</v>
      </c>
      <c r="B791" t="s">
        <v>1171</v>
      </c>
      <c r="C791" s="6">
        <v>24.8</v>
      </c>
    </row>
    <row r="792" spans="1:5" x14ac:dyDescent="0.2">
      <c r="A792" t="s">
        <v>1325</v>
      </c>
      <c r="B792" t="s">
        <v>1172</v>
      </c>
      <c r="C792" s="6">
        <v>31.1</v>
      </c>
    </row>
    <row r="793" spans="1:5" x14ac:dyDescent="0.2">
      <c r="A793" t="s">
        <v>1325</v>
      </c>
      <c r="B793" t="s">
        <v>1173</v>
      </c>
      <c r="C793" s="6">
        <v>14.1</v>
      </c>
    </row>
    <row r="794" spans="1:5" x14ac:dyDescent="0.2">
      <c r="A794" t="s">
        <v>1325</v>
      </c>
      <c r="B794" t="s">
        <v>1174</v>
      </c>
      <c r="C794" s="6">
        <v>30.5</v>
      </c>
    </row>
    <row r="795" spans="1:5" x14ac:dyDescent="0.2">
      <c r="A795" t="s">
        <v>1325</v>
      </c>
      <c r="B795" t="s">
        <v>1175</v>
      </c>
      <c r="C795" s="6">
        <v>31.4</v>
      </c>
    </row>
    <row r="796" spans="1:5" x14ac:dyDescent="0.2">
      <c r="A796" t="s">
        <v>1325</v>
      </c>
      <c r="B796" t="s">
        <v>1176</v>
      </c>
      <c r="C796" s="6">
        <v>28.7</v>
      </c>
    </row>
    <row r="797" spans="1:5" x14ac:dyDescent="0.2">
      <c r="A797" t="s">
        <v>1325</v>
      </c>
      <c r="B797" t="s">
        <v>1177</v>
      </c>
      <c r="C797" s="6">
        <v>20.2</v>
      </c>
    </row>
    <row r="798" spans="1:5" x14ac:dyDescent="0.2">
      <c r="A798" t="s">
        <v>1325</v>
      </c>
      <c r="B798" t="s">
        <v>1178</v>
      </c>
      <c r="C798" s="6">
        <v>6.1</v>
      </c>
    </row>
    <row r="799" spans="1:5" x14ac:dyDescent="0.2">
      <c r="A799" t="s">
        <v>1325</v>
      </c>
      <c r="B799" t="s">
        <v>1179</v>
      </c>
      <c r="C799" s="6">
        <v>14.6</v>
      </c>
    </row>
    <row r="800" spans="1:5" x14ac:dyDescent="0.2">
      <c r="A800" t="s">
        <v>1325</v>
      </c>
      <c r="B800" t="s">
        <v>1180</v>
      </c>
      <c r="C800" s="6">
        <v>14.3</v>
      </c>
    </row>
    <row r="801" spans="1:3" x14ac:dyDescent="0.2">
      <c r="A801" t="s">
        <v>1325</v>
      </c>
      <c r="B801" t="s">
        <v>1181</v>
      </c>
      <c r="C801" s="6">
        <v>21</v>
      </c>
    </row>
    <row r="802" spans="1:3" x14ac:dyDescent="0.2">
      <c r="A802" t="s">
        <v>1325</v>
      </c>
      <c r="B802" t="s">
        <v>1182</v>
      </c>
      <c r="C802" s="6">
        <v>20.100000000000001</v>
      </c>
    </row>
    <row r="803" spans="1:3" x14ac:dyDescent="0.2">
      <c r="A803" t="s">
        <v>1325</v>
      </c>
      <c r="B803" t="s">
        <v>1183</v>
      </c>
      <c r="C803" s="6">
        <v>27</v>
      </c>
    </row>
    <row r="804" spans="1:3" x14ac:dyDescent="0.2">
      <c r="A804" t="s">
        <v>1325</v>
      </c>
      <c r="B804" t="s">
        <v>1184</v>
      </c>
      <c r="C804" s="6">
        <v>47.9</v>
      </c>
    </row>
    <row r="805" spans="1:3" x14ac:dyDescent="0.2">
      <c r="A805" t="s">
        <v>1325</v>
      </c>
      <c r="B805" t="s">
        <v>1185</v>
      </c>
      <c r="C805" s="6">
        <v>7.3</v>
      </c>
    </row>
    <row r="806" spans="1:3" x14ac:dyDescent="0.2">
      <c r="A806" t="s">
        <v>1325</v>
      </c>
      <c r="B806" t="s">
        <v>1186</v>
      </c>
      <c r="C806" s="6">
        <v>18.3</v>
      </c>
    </row>
    <row r="807" spans="1:3" x14ac:dyDescent="0.2">
      <c r="A807" t="s">
        <v>1325</v>
      </c>
      <c r="B807" t="s">
        <v>1187</v>
      </c>
      <c r="C807" s="6">
        <v>26.2</v>
      </c>
    </row>
    <row r="808" spans="1:3" x14ac:dyDescent="0.2">
      <c r="A808" t="s">
        <v>1325</v>
      </c>
      <c r="B808" t="s">
        <v>1188</v>
      </c>
      <c r="C808" s="6">
        <v>31.9</v>
      </c>
    </row>
    <row r="809" spans="1:3" x14ac:dyDescent="0.2">
      <c r="A809" t="s">
        <v>1325</v>
      </c>
      <c r="B809" t="s">
        <v>1189</v>
      </c>
      <c r="C809" s="6">
        <v>41</v>
      </c>
    </row>
    <row r="810" spans="1:3" x14ac:dyDescent="0.2">
      <c r="A810" t="s">
        <v>1325</v>
      </c>
      <c r="B810" t="s">
        <v>1190</v>
      </c>
      <c r="C810" s="6">
        <v>41.5</v>
      </c>
    </row>
    <row r="811" spans="1:3" x14ac:dyDescent="0.2">
      <c r="A811" t="s">
        <v>1325</v>
      </c>
      <c r="B811" t="s">
        <v>1191</v>
      </c>
      <c r="C811" s="6">
        <v>30.9</v>
      </c>
    </row>
    <row r="812" spans="1:3" x14ac:dyDescent="0.2">
      <c r="A812" t="s">
        <v>1325</v>
      </c>
      <c r="B812" t="s">
        <v>1192</v>
      </c>
      <c r="C812" s="6">
        <v>23.6</v>
      </c>
    </row>
    <row r="813" spans="1:3" x14ac:dyDescent="0.2">
      <c r="A813" t="s">
        <v>1325</v>
      </c>
      <c r="B813" t="s">
        <v>1193</v>
      </c>
      <c r="C813" s="6">
        <v>20.3</v>
      </c>
    </row>
    <row r="814" spans="1:3" x14ac:dyDescent="0.2">
      <c r="A814" t="s">
        <v>1325</v>
      </c>
      <c r="B814" t="s">
        <v>1194</v>
      </c>
      <c r="C814" s="6">
        <v>16.100000000000001</v>
      </c>
    </row>
    <row r="815" spans="1:3" x14ac:dyDescent="0.2">
      <c r="A815" t="s">
        <v>1325</v>
      </c>
      <c r="B815" t="s">
        <v>1195</v>
      </c>
      <c r="C815" s="6">
        <v>8.9</v>
      </c>
    </row>
    <row r="816" spans="1:3" x14ac:dyDescent="0.2">
      <c r="A816" t="s">
        <v>1325</v>
      </c>
      <c r="B816" t="s">
        <v>1196</v>
      </c>
      <c r="C816" s="6">
        <v>-17.100000000000001</v>
      </c>
    </row>
    <row r="817" spans="1:3" x14ac:dyDescent="0.2">
      <c r="A817" t="s">
        <v>1325</v>
      </c>
      <c r="B817" t="s">
        <v>1197</v>
      </c>
      <c r="C817" s="6">
        <v>14.6</v>
      </c>
    </row>
    <row r="818" spans="1:3" x14ac:dyDescent="0.2">
      <c r="A818" t="s">
        <v>1325</v>
      </c>
      <c r="B818" t="s">
        <v>1198</v>
      </c>
      <c r="C818" s="6">
        <v>12</v>
      </c>
    </row>
    <row r="819" spans="1:3" x14ac:dyDescent="0.2">
      <c r="A819" t="s">
        <v>1325</v>
      </c>
      <c r="B819" t="s">
        <v>1199</v>
      </c>
      <c r="C819" s="6">
        <v>6.5</v>
      </c>
    </row>
    <row r="820" spans="1:3" x14ac:dyDescent="0.2">
      <c r="A820" t="s">
        <v>1325</v>
      </c>
      <c r="B820" t="s">
        <v>1200</v>
      </c>
      <c r="C820" s="6">
        <v>1.7</v>
      </c>
    </row>
    <row r="821" spans="1:3" x14ac:dyDescent="0.2">
      <c r="A821" t="s">
        <v>1325</v>
      </c>
      <c r="B821" t="s">
        <v>1201</v>
      </c>
      <c r="C821" s="6">
        <v>-2.5</v>
      </c>
    </row>
    <row r="822" spans="1:3" x14ac:dyDescent="0.2">
      <c r="A822" t="s">
        <v>1325</v>
      </c>
      <c r="B822" t="s">
        <v>1202</v>
      </c>
      <c r="C822" s="6">
        <v>-5.2</v>
      </c>
    </row>
    <row r="823" spans="1:3" x14ac:dyDescent="0.2">
      <c r="A823" t="s">
        <v>1325</v>
      </c>
      <c r="B823" t="s">
        <v>1203</v>
      </c>
      <c r="C823" s="6">
        <v>-0.2</v>
      </c>
    </row>
    <row r="824" spans="1:3" x14ac:dyDescent="0.2">
      <c r="A824" t="s">
        <v>1325</v>
      </c>
      <c r="B824" t="s">
        <v>1204</v>
      </c>
      <c r="C824" s="6">
        <v>4.4000000000000004</v>
      </c>
    </row>
    <row r="825" spans="1:3" x14ac:dyDescent="0.2">
      <c r="A825" t="s">
        <v>1325</v>
      </c>
      <c r="B825" t="s">
        <v>1205</v>
      </c>
      <c r="C825" s="6">
        <v>0.2</v>
      </c>
    </row>
    <row r="826" spans="1:3" x14ac:dyDescent="0.2">
      <c r="A826" t="s">
        <v>1325</v>
      </c>
      <c r="B826" t="s">
        <v>1206</v>
      </c>
      <c r="C826" s="6">
        <v>0.4</v>
      </c>
    </row>
    <row r="827" spans="1:3" x14ac:dyDescent="0.2">
      <c r="A827" t="s">
        <v>1325</v>
      </c>
      <c r="B827" t="s">
        <v>1207</v>
      </c>
      <c r="C827" s="6">
        <v>2.6</v>
      </c>
    </row>
    <row r="828" spans="1:3" x14ac:dyDescent="0.2">
      <c r="A828" t="s">
        <v>1325</v>
      </c>
      <c r="B828" t="s">
        <v>1208</v>
      </c>
      <c r="C828" s="6">
        <v>-4.0999999999999996</v>
      </c>
    </row>
    <row r="829" spans="1:3" x14ac:dyDescent="0.2">
      <c r="A829" t="s">
        <v>1325</v>
      </c>
      <c r="B829" t="s">
        <v>1209</v>
      </c>
      <c r="C829" s="6">
        <v>-4.4000000000000004</v>
      </c>
    </row>
    <row r="830" spans="1:3" x14ac:dyDescent="0.2">
      <c r="A830" t="s">
        <v>1325</v>
      </c>
      <c r="B830" t="s">
        <v>1210</v>
      </c>
      <c r="C830" s="6">
        <v>-7.3</v>
      </c>
    </row>
    <row r="831" spans="1:3" x14ac:dyDescent="0.2">
      <c r="A831" t="s">
        <v>1325</v>
      </c>
      <c r="B831" t="s">
        <v>1211</v>
      </c>
      <c r="C831" s="6">
        <v>-9.3000000000000007</v>
      </c>
    </row>
    <row r="832" spans="1:3" x14ac:dyDescent="0.2">
      <c r="A832" t="s">
        <v>1325</v>
      </c>
      <c r="B832" t="s">
        <v>1212</v>
      </c>
      <c r="C832" s="6">
        <v>-5.2</v>
      </c>
    </row>
    <row r="833" spans="1:5" x14ac:dyDescent="0.2">
      <c r="A833" t="s">
        <v>1325</v>
      </c>
      <c r="B833" t="s">
        <v>1213</v>
      </c>
      <c r="C833" s="6">
        <v>-6.6</v>
      </c>
    </row>
    <row r="834" spans="1:5" x14ac:dyDescent="0.2">
      <c r="A834" t="s">
        <v>1325</v>
      </c>
      <c r="B834" t="s">
        <v>1214</v>
      </c>
      <c r="C834" s="6">
        <v>-14</v>
      </c>
      <c r="D834" s="6">
        <f t="shared" ref="D834:D865" si="40">AVERAGE(C786:C833)</f>
        <v>14.070833333333333</v>
      </c>
      <c r="E834" s="6">
        <f t="shared" ref="E834:E865" si="41">C834-D834</f>
        <v>-28.070833333333333</v>
      </c>
    </row>
    <row r="835" spans="1:5" x14ac:dyDescent="0.2">
      <c r="A835" t="s">
        <v>1325</v>
      </c>
      <c r="B835" t="s">
        <v>1215</v>
      </c>
      <c r="C835" s="6">
        <v>-12.4</v>
      </c>
      <c r="D835" s="6">
        <f t="shared" si="40"/>
        <v>13.395833333333334</v>
      </c>
      <c r="E835" s="6">
        <f t="shared" si="41"/>
        <v>-25.795833333333334</v>
      </c>
    </row>
    <row r="836" spans="1:5" x14ac:dyDescent="0.2">
      <c r="A836" t="s">
        <v>1325</v>
      </c>
      <c r="B836" t="s">
        <v>1216</v>
      </c>
      <c r="C836" s="6">
        <v>-15.3</v>
      </c>
      <c r="D836" s="6">
        <f t="shared" si="40"/>
        <v>12.772916666666667</v>
      </c>
      <c r="E836" s="6">
        <f t="shared" si="41"/>
        <v>-28.072916666666668</v>
      </c>
    </row>
    <row r="837" spans="1:5" x14ac:dyDescent="0.2">
      <c r="A837" t="s">
        <v>1325</v>
      </c>
      <c r="B837" t="s">
        <v>1217</v>
      </c>
      <c r="C837" s="6">
        <v>-11.1</v>
      </c>
      <c r="D837" s="6">
        <f t="shared" si="40"/>
        <v>12.060416666666667</v>
      </c>
      <c r="E837" s="6">
        <f t="shared" si="41"/>
        <v>-23.160416666666666</v>
      </c>
    </row>
    <row r="838" spans="1:5" x14ac:dyDescent="0.2">
      <c r="A838" t="s">
        <v>1325</v>
      </c>
      <c r="B838" t="s">
        <v>1218</v>
      </c>
      <c r="C838" s="6">
        <v>6.2</v>
      </c>
      <c r="D838" s="6">
        <f t="shared" si="40"/>
        <v>11.464583333333332</v>
      </c>
      <c r="E838" s="6">
        <f t="shared" si="41"/>
        <v>-5.2645833333333316</v>
      </c>
    </row>
    <row r="839" spans="1:5" x14ac:dyDescent="0.2">
      <c r="A839" t="s">
        <v>1325</v>
      </c>
      <c r="B839" t="s">
        <v>1219</v>
      </c>
      <c r="C839" s="6">
        <v>-24.5</v>
      </c>
      <c r="D839" s="6">
        <f t="shared" si="40"/>
        <v>11.077083333333334</v>
      </c>
      <c r="E839" s="6">
        <f t="shared" si="41"/>
        <v>-35.577083333333334</v>
      </c>
    </row>
    <row r="840" spans="1:5" x14ac:dyDescent="0.2">
      <c r="A840" t="s">
        <v>1325</v>
      </c>
      <c r="B840" t="s">
        <v>1220</v>
      </c>
      <c r="C840" s="6">
        <v>-6.9</v>
      </c>
      <c r="D840" s="6">
        <f t="shared" si="40"/>
        <v>10.049999999999997</v>
      </c>
      <c r="E840" s="6">
        <f t="shared" si="41"/>
        <v>-16.949999999999996</v>
      </c>
    </row>
    <row r="841" spans="1:5" x14ac:dyDescent="0.2">
      <c r="A841" t="s">
        <v>1325</v>
      </c>
      <c r="B841" t="s">
        <v>1221</v>
      </c>
      <c r="C841" s="6">
        <v>-3.7</v>
      </c>
      <c r="D841" s="6">
        <f t="shared" si="40"/>
        <v>9.2583333333333329</v>
      </c>
      <c r="E841" s="6">
        <f t="shared" si="41"/>
        <v>-12.958333333333332</v>
      </c>
    </row>
    <row r="842" spans="1:5" x14ac:dyDescent="0.2">
      <c r="A842" t="s">
        <v>1325</v>
      </c>
      <c r="B842" t="s">
        <v>1222</v>
      </c>
      <c r="C842" s="6">
        <v>-4.2</v>
      </c>
      <c r="D842" s="6">
        <f t="shared" si="40"/>
        <v>8.8874999999999993</v>
      </c>
      <c r="E842" s="6">
        <f t="shared" si="41"/>
        <v>-13.087499999999999</v>
      </c>
    </row>
    <row r="843" spans="1:5" x14ac:dyDescent="0.2">
      <c r="A843" t="s">
        <v>1325</v>
      </c>
      <c r="B843" t="s">
        <v>1223</v>
      </c>
      <c r="C843" s="6">
        <v>-3.6</v>
      </c>
      <c r="D843" s="6">
        <f t="shared" si="40"/>
        <v>8.1645833333333346</v>
      </c>
      <c r="E843" s="6">
        <f t="shared" si="41"/>
        <v>-11.764583333333334</v>
      </c>
    </row>
    <row r="844" spans="1:5" x14ac:dyDescent="0.2">
      <c r="A844" t="s">
        <v>1325</v>
      </c>
      <c r="B844" t="s">
        <v>1224</v>
      </c>
      <c r="C844" s="6">
        <v>-6.4</v>
      </c>
      <c r="D844" s="6">
        <f t="shared" si="40"/>
        <v>7.4354166666666659</v>
      </c>
      <c r="E844" s="6">
        <f t="shared" si="41"/>
        <v>-13.835416666666667</v>
      </c>
    </row>
    <row r="845" spans="1:5" x14ac:dyDescent="0.2">
      <c r="A845" t="s">
        <v>1325</v>
      </c>
      <c r="B845" t="s">
        <v>1225</v>
      </c>
      <c r="C845" s="6">
        <v>-14.4</v>
      </c>
      <c r="D845" s="6">
        <f t="shared" si="40"/>
        <v>6.7041666666666666</v>
      </c>
      <c r="E845" s="6">
        <f t="shared" si="41"/>
        <v>-21.104166666666668</v>
      </c>
    </row>
    <row r="846" spans="1:5" x14ac:dyDescent="0.2">
      <c r="A846" t="s">
        <v>1325</v>
      </c>
      <c r="B846" t="s">
        <v>1226</v>
      </c>
      <c r="C846" s="6">
        <v>-12.4</v>
      </c>
      <c r="D846" s="6">
        <f t="shared" si="40"/>
        <v>5.9833333333333343</v>
      </c>
      <c r="E846" s="6">
        <f t="shared" si="41"/>
        <v>-18.383333333333333</v>
      </c>
    </row>
    <row r="847" spans="1:5" x14ac:dyDescent="0.2">
      <c r="A847" t="s">
        <v>1325</v>
      </c>
      <c r="B847" t="s">
        <v>1227</v>
      </c>
      <c r="C847" s="6">
        <v>-9.1999999999999993</v>
      </c>
      <c r="D847" s="6">
        <f t="shared" si="40"/>
        <v>5.5979166666666673</v>
      </c>
      <c r="E847" s="6">
        <f t="shared" si="41"/>
        <v>-14.797916666666666</v>
      </c>
    </row>
    <row r="848" spans="1:5" x14ac:dyDescent="0.2">
      <c r="A848" t="s">
        <v>1325</v>
      </c>
      <c r="B848" t="s">
        <v>1228</v>
      </c>
      <c r="C848" s="6">
        <v>-8.8000000000000007</v>
      </c>
      <c r="D848" s="6">
        <f t="shared" si="40"/>
        <v>5.1020833333333337</v>
      </c>
      <c r="E848" s="6">
        <f t="shared" si="41"/>
        <v>-13.902083333333334</v>
      </c>
    </row>
    <row r="849" spans="1:5" x14ac:dyDescent="0.2">
      <c r="A849" t="s">
        <v>1325</v>
      </c>
      <c r="B849" t="s">
        <v>1229</v>
      </c>
      <c r="C849" s="6">
        <v>-4</v>
      </c>
      <c r="D849" s="6">
        <f t="shared" si="40"/>
        <v>4.6208333333333327</v>
      </c>
      <c r="E849" s="6">
        <f t="shared" si="41"/>
        <v>-8.6208333333333336</v>
      </c>
    </row>
    <row r="850" spans="1:5" x14ac:dyDescent="0.2">
      <c r="A850" t="s">
        <v>1325</v>
      </c>
      <c r="B850" t="s">
        <v>1230</v>
      </c>
      <c r="C850" s="6">
        <v>5.3</v>
      </c>
      <c r="D850" s="6">
        <f t="shared" si="40"/>
        <v>4.0999999999999988</v>
      </c>
      <c r="E850" s="6">
        <f t="shared" si="41"/>
        <v>1.2000000000000011</v>
      </c>
    </row>
    <row r="851" spans="1:5" x14ac:dyDescent="0.2">
      <c r="A851" t="s">
        <v>1325</v>
      </c>
      <c r="B851" t="s">
        <v>1231</v>
      </c>
      <c r="C851" s="6">
        <v>-16</v>
      </c>
      <c r="D851" s="6">
        <f t="shared" si="40"/>
        <v>3.7916666666666661</v>
      </c>
      <c r="E851" s="6">
        <f t="shared" si="41"/>
        <v>-19.791666666666664</v>
      </c>
    </row>
    <row r="852" spans="1:5" x14ac:dyDescent="0.2">
      <c r="A852" t="s">
        <v>1325</v>
      </c>
      <c r="B852" t="s">
        <v>1232</v>
      </c>
      <c r="C852" s="6">
        <v>-2.8</v>
      </c>
      <c r="D852" s="6">
        <f t="shared" si="40"/>
        <v>2.8958333333333335</v>
      </c>
      <c r="E852" s="6">
        <f t="shared" si="41"/>
        <v>-5.6958333333333329</v>
      </c>
    </row>
    <row r="853" spans="1:5" x14ac:dyDescent="0.2">
      <c r="A853" t="s">
        <v>1325</v>
      </c>
      <c r="B853" t="s">
        <v>1233</v>
      </c>
      <c r="C853" s="6">
        <v>-7.3</v>
      </c>
      <c r="D853" s="6">
        <f t="shared" si="40"/>
        <v>1.8395833333333325</v>
      </c>
      <c r="E853" s="6">
        <f t="shared" si="41"/>
        <v>-9.1395833333333325</v>
      </c>
    </row>
    <row r="854" spans="1:5" x14ac:dyDescent="0.2">
      <c r="A854" t="s">
        <v>1325</v>
      </c>
      <c r="B854" t="s">
        <v>1234</v>
      </c>
      <c r="C854" s="6">
        <v>-4.8</v>
      </c>
      <c r="D854" s="6">
        <f t="shared" si="40"/>
        <v>1.5354166666666655</v>
      </c>
      <c r="E854" s="6">
        <f t="shared" si="41"/>
        <v>-6.3354166666666654</v>
      </c>
    </row>
    <row r="855" spans="1:5" x14ac:dyDescent="0.2">
      <c r="A855" t="s">
        <v>1325</v>
      </c>
      <c r="B855" t="s">
        <v>1235</v>
      </c>
      <c r="C855" s="6">
        <v>-4.2</v>
      </c>
      <c r="D855" s="6">
        <f t="shared" si="40"/>
        <v>1.0541666666666665</v>
      </c>
      <c r="E855" s="6">
        <f t="shared" si="41"/>
        <v>-5.2541666666666664</v>
      </c>
    </row>
    <row r="856" spans="1:5" x14ac:dyDescent="0.2">
      <c r="A856" t="s">
        <v>1325</v>
      </c>
      <c r="B856" t="s">
        <v>1236</v>
      </c>
      <c r="C856" s="6">
        <v>-6.2</v>
      </c>
      <c r="D856" s="6">
        <f t="shared" si="40"/>
        <v>0.42083333333333273</v>
      </c>
      <c r="E856" s="6">
        <f t="shared" si="41"/>
        <v>-6.6208333333333327</v>
      </c>
    </row>
    <row r="857" spans="1:5" x14ac:dyDescent="0.2">
      <c r="A857" t="s">
        <v>1325</v>
      </c>
      <c r="B857" t="s">
        <v>1237</v>
      </c>
      <c r="C857" s="6">
        <v>5</v>
      </c>
      <c r="D857" s="6">
        <f t="shared" si="40"/>
        <v>-0.37291666666666651</v>
      </c>
      <c r="E857" s="6">
        <f t="shared" si="41"/>
        <v>5.3729166666666668</v>
      </c>
    </row>
    <row r="858" spans="1:5" x14ac:dyDescent="0.2">
      <c r="A858" t="s">
        <v>1325</v>
      </c>
      <c r="B858" t="s">
        <v>1238</v>
      </c>
      <c r="C858" s="6">
        <v>16.2</v>
      </c>
      <c r="D858" s="6">
        <f t="shared" si="40"/>
        <v>-1.1229166666666663</v>
      </c>
      <c r="E858" s="6">
        <f t="shared" si="41"/>
        <v>17.322916666666664</v>
      </c>
    </row>
    <row r="859" spans="1:5" x14ac:dyDescent="0.2">
      <c r="A859" t="s">
        <v>1325</v>
      </c>
      <c r="B859" t="s">
        <v>1239</v>
      </c>
      <c r="C859" s="6">
        <v>20</v>
      </c>
      <c r="D859" s="6">
        <f t="shared" si="40"/>
        <v>-1.6499999999999995</v>
      </c>
      <c r="E859" s="6">
        <f t="shared" si="41"/>
        <v>21.65</v>
      </c>
    </row>
    <row r="860" spans="1:5" x14ac:dyDescent="0.2">
      <c r="A860" t="s">
        <v>1325</v>
      </c>
      <c r="B860" t="s">
        <v>1240</v>
      </c>
      <c r="C860" s="6">
        <v>21.4</v>
      </c>
      <c r="D860" s="6">
        <f t="shared" si="40"/>
        <v>-1.877083333333333</v>
      </c>
      <c r="E860" s="6">
        <f t="shared" si="41"/>
        <v>23.27708333333333</v>
      </c>
    </row>
    <row r="861" spans="1:5" x14ac:dyDescent="0.2">
      <c r="A861" t="s">
        <v>1325</v>
      </c>
      <c r="B861" t="s">
        <v>1241</v>
      </c>
      <c r="C861" s="6">
        <v>34.9</v>
      </c>
      <c r="D861" s="6">
        <f t="shared" si="40"/>
        <v>-1.9229166666666675</v>
      </c>
      <c r="E861" s="6">
        <f t="shared" si="41"/>
        <v>36.822916666666664</v>
      </c>
    </row>
    <row r="862" spans="1:5" x14ac:dyDescent="0.2">
      <c r="A862" t="s">
        <v>1325</v>
      </c>
      <c r="B862" t="s">
        <v>1242</v>
      </c>
      <c r="C862" s="6">
        <v>8.1</v>
      </c>
      <c r="D862" s="6">
        <f t="shared" si="40"/>
        <v>-1.6187500000000004</v>
      </c>
      <c r="E862" s="6">
        <f t="shared" si="41"/>
        <v>9.71875</v>
      </c>
    </row>
    <row r="863" spans="1:5" x14ac:dyDescent="0.2">
      <c r="A863" t="s">
        <v>1325</v>
      </c>
      <c r="B863" t="s">
        <v>1243</v>
      </c>
      <c r="C863" s="6">
        <v>25.9</v>
      </c>
      <c r="D863" s="6">
        <f t="shared" si="40"/>
        <v>-1.7854166666666671</v>
      </c>
      <c r="E863" s="6">
        <f t="shared" si="41"/>
        <v>27.685416666666665</v>
      </c>
    </row>
    <row r="864" spans="1:5" x14ac:dyDescent="0.2">
      <c r="A864" t="s">
        <v>1325</v>
      </c>
      <c r="B864" t="s">
        <v>1244</v>
      </c>
      <c r="C864" s="6">
        <v>36.5</v>
      </c>
      <c r="D864" s="6">
        <f t="shared" si="40"/>
        <v>-1.4312500000000004</v>
      </c>
      <c r="E864" s="6">
        <f t="shared" si="41"/>
        <v>37.931249999999999</v>
      </c>
    </row>
    <row r="865" spans="1:5" x14ac:dyDescent="0.2">
      <c r="A865" t="s">
        <v>1325</v>
      </c>
      <c r="B865" t="s">
        <v>1245</v>
      </c>
      <c r="C865" s="6">
        <v>43</v>
      </c>
      <c r="D865" s="6">
        <f t="shared" si="40"/>
        <v>-0.31458333333333394</v>
      </c>
      <c r="E865" s="6">
        <f t="shared" si="41"/>
        <v>43.314583333333331</v>
      </c>
    </row>
    <row r="866" spans="1:5" x14ac:dyDescent="0.2">
      <c r="A866" t="s">
        <v>1325</v>
      </c>
      <c r="B866" t="s">
        <v>1246</v>
      </c>
      <c r="C866" s="6">
        <v>44.3</v>
      </c>
      <c r="D866" s="6">
        <f t="shared" ref="D866:D897" si="42">AVERAGE(C818:C865)</f>
        <v>0.27708333333333296</v>
      </c>
      <c r="E866" s="6">
        <f t="shared" ref="E866:E897" si="43">C866-D866</f>
        <v>44.022916666666667</v>
      </c>
    </row>
    <row r="867" spans="1:5" x14ac:dyDescent="0.2">
      <c r="A867" t="s">
        <v>1325</v>
      </c>
      <c r="B867" t="s">
        <v>1247</v>
      </c>
      <c r="C867" s="6">
        <v>51.2</v>
      </c>
      <c r="D867" s="6">
        <f t="shared" si="42"/>
        <v>0.94999999999999962</v>
      </c>
      <c r="E867" s="6">
        <f t="shared" si="43"/>
        <v>50.25</v>
      </c>
    </row>
    <row r="868" spans="1:5" x14ac:dyDescent="0.2">
      <c r="A868" t="s">
        <v>1325</v>
      </c>
      <c r="B868" t="s">
        <v>1248</v>
      </c>
      <c r="C868" s="6">
        <v>48.3</v>
      </c>
      <c r="D868" s="6">
        <f t="shared" si="42"/>
        <v>1.8812499999999996</v>
      </c>
      <c r="E868" s="6">
        <f t="shared" si="43"/>
        <v>46.418749999999996</v>
      </c>
    </row>
    <row r="869" spans="1:5" x14ac:dyDescent="0.2">
      <c r="A869" t="s">
        <v>1325</v>
      </c>
      <c r="B869" t="s">
        <v>1249</v>
      </c>
      <c r="C869" s="6">
        <v>51.1</v>
      </c>
      <c r="D869" s="6">
        <f t="shared" si="42"/>
        <v>2.8520833333333329</v>
      </c>
      <c r="E869" s="6">
        <f t="shared" si="43"/>
        <v>48.247916666666669</v>
      </c>
    </row>
    <row r="870" spans="1:5" x14ac:dyDescent="0.2">
      <c r="A870" t="s">
        <v>1325</v>
      </c>
      <c r="B870" t="s">
        <v>1250</v>
      </c>
      <c r="C870" s="6">
        <v>41.6</v>
      </c>
      <c r="D870" s="6">
        <f t="shared" si="42"/>
        <v>3.9687499999999996</v>
      </c>
      <c r="E870" s="6">
        <f t="shared" si="43"/>
        <v>37.631250000000001</v>
      </c>
    </row>
    <row r="871" spans="1:5" x14ac:dyDescent="0.2">
      <c r="A871" t="s">
        <v>1325</v>
      </c>
      <c r="B871" t="s">
        <v>1251</v>
      </c>
      <c r="C871" s="6">
        <v>42</v>
      </c>
      <c r="D871" s="6">
        <f t="shared" si="42"/>
        <v>4.9437499999999988</v>
      </c>
      <c r="E871" s="6">
        <f t="shared" si="43"/>
        <v>37.056249999999999</v>
      </c>
    </row>
    <row r="872" spans="1:5" x14ac:dyDescent="0.2">
      <c r="A872" t="s">
        <v>1325</v>
      </c>
      <c r="B872" t="s">
        <v>1252</v>
      </c>
      <c r="C872" s="6">
        <v>38.4</v>
      </c>
      <c r="D872" s="6">
        <f t="shared" si="42"/>
        <v>5.822916666666667</v>
      </c>
      <c r="E872" s="6">
        <f t="shared" si="43"/>
        <v>32.577083333333334</v>
      </c>
    </row>
    <row r="873" spans="1:5" x14ac:dyDescent="0.2">
      <c r="A873" t="s">
        <v>1325</v>
      </c>
      <c r="B873" t="s">
        <v>1253</v>
      </c>
      <c r="C873" s="6">
        <v>50.7</v>
      </c>
      <c r="D873" s="6">
        <f t="shared" si="42"/>
        <v>6.5312499999999991</v>
      </c>
      <c r="E873" s="6">
        <f t="shared" si="43"/>
        <v>44.168750000000003</v>
      </c>
    </row>
    <row r="874" spans="1:5" x14ac:dyDescent="0.2">
      <c r="A874" t="s">
        <v>1325</v>
      </c>
      <c r="B874" t="s">
        <v>1254</v>
      </c>
      <c r="C874" s="6">
        <v>8.6</v>
      </c>
      <c r="D874" s="6">
        <f t="shared" si="42"/>
        <v>7.5833333333333321</v>
      </c>
      <c r="E874" s="6">
        <f t="shared" si="43"/>
        <v>1.0166666666666675</v>
      </c>
    </row>
    <row r="875" spans="1:5" x14ac:dyDescent="0.2">
      <c r="A875" t="s">
        <v>1325</v>
      </c>
      <c r="B875" t="s">
        <v>1255</v>
      </c>
      <c r="C875" s="6">
        <v>6.1</v>
      </c>
      <c r="D875" s="6">
        <f t="shared" si="42"/>
        <v>7.7541666666666664</v>
      </c>
      <c r="E875" s="6">
        <f t="shared" si="43"/>
        <v>-1.6541666666666668</v>
      </c>
    </row>
    <row r="876" spans="1:5" x14ac:dyDescent="0.2">
      <c r="A876" t="s">
        <v>1325</v>
      </c>
      <c r="B876" t="s">
        <v>1256</v>
      </c>
      <c r="C876" s="6">
        <v>-3.1</v>
      </c>
      <c r="D876" s="6">
        <f t="shared" si="42"/>
        <v>7.8270833333333334</v>
      </c>
      <c r="E876" s="6">
        <f t="shared" si="43"/>
        <v>-10.927083333333334</v>
      </c>
    </row>
    <row r="877" spans="1:5" x14ac:dyDescent="0.2">
      <c r="A877" t="s">
        <v>1325</v>
      </c>
      <c r="B877" t="s">
        <v>1257</v>
      </c>
      <c r="C877" s="6">
        <v>-13.3</v>
      </c>
      <c r="D877" s="6">
        <f t="shared" si="42"/>
        <v>7.8479166666666664</v>
      </c>
      <c r="E877" s="6">
        <f t="shared" si="43"/>
        <v>-21.147916666666667</v>
      </c>
    </row>
    <row r="878" spans="1:5" x14ac:dyDescent="0.2">
      <c r="A878" t="s">
        <v>1325</v>
      </c>
      <c r="B878" t="s">
        <v>1258</v>
      </c>
      <c r="C878" s="6">
        <v>-13.6</v>
      </c>
      <c r="D878" s="6">
        <f t="shared" si="42"/>
        <v>7.6624999999999988</v>
      </c>
      <c r="E878" s="6">
        <f t="shared" si="43"/>
        <v>-21.262499999999999</v>
      </c>
    </row>
    <row r="879" spans="1:5" x14ac:dyDescent="0.2">
      <c r="A879" t="s">
        <v>1325</v>
      </c>
      <c r="B879" t="s">
        <v>1259</v>
      </c>
      <c r="C879" s="6">
        <v>-19.899999999999999</v>
      </c>
      <c r="D879" s="6">
        <f t="shared" si="42"/>
        <v>7.5312499999999991</v>
      </c>
      <c r="E879" s="6">
        <f t="shared" si="43"/>
        <v>-27.431249999999999</v>
      </c>
    </row>
    <row r="880" spans="1:5" x14ac:dyDescent="0.2">
      <c r="A880" t="s">
        <v>1325</v>
      </c>
      <c r="B880" t="s">
        <v>1260</v>
      </c>
      <c r="C880" s="6">
        <v>-10.3</v>
      </c>
      <c r="D880" s="6">
        <f t="shared" si="42"/>
        <v>7.3104166666666659</v>
      </c>
      <c r="E880" s="6">
        <f t="shared" si="43"/>
        <v>-17.610416666666666</v>
      </c>
    </row>
    <row r="881" spans="1:5" x14ac:dyDescent="0.2">
      <c r="A881" t="s">
        <v>1325</v>
      </c>
      <c r="B881" t="s">
        <v>1261</v>
      </c>
      <c r="C881" s="6">
        <v>-28.4</v>
      </c>
      <c r="D881" s="6">
        <f t="shared" si="42"/>
        <v>7.2041666666666657</v>
      </c>
      <c r="E881" s="6">
        <f t="shared" si="43"/>
        <v>-35.604166666666664</v>
      </c>
    </row>
    <row r="882" spans="1:5" x14ac:dyDescent="0.2">
      <c r="A882" t="s">
        <v>1325</v>
      </c>
      <c r="B882" t="s">
        <v>1262</v>
      </c>
      <c r="C882" s="6">
        <v>-32.4</v>
      </c>
      <c r="D882" s="6">
        <f t="shared" si="42"/>
        <v>6.7499999999999991</v>
      </c>
      <c r="E882" s="6">
        <f t="shared" si="43"/>
        <v>-39.15</v>
      </c>
    </row>
    <row r="883" spans="1:5" x14ac:dyDescent="0.2">
      <c r="A883" t="s">
        <v>1325</v>
      </c>
      <c r="B883" t="s">
        <v>1263</v>
      </c>
      <c r="C883" s="6">
        <v>-52.2</v>
      </c>
      <c r="D883" s="6">
        <f t="shared" si="42"/>
        <v>6.3666666666666663</v>
      </c>
      <c r="E883" s="6">
        <f t="shared" si="43"/>
        <v>-58.56666666666667</v>
      </c>
    </row>
    <row r="884" spans="1:5" x14ac:dyDescent="0.2">
      <c r="A884" t="s">
        <v>1325</v>
      </c>
      <c r="B884" t="s">
        <v>1264</v>
      </c>
      <c r="C884" s="6">
        <v>-68.5</v>
      </c>
      <c r="D884" s="6">
        <f t="shared" si="42"/>
        <v>5.5374999999999988</v>
      </c>
      <c r="E884" s="6">
        <f t="shared" si="43"/>
        <v>-74.037499999999994</v>
      </c>
    </row>
    <row r="885" spans="1:5" x14ac:dyDescent="0.2">
      <c r="A885" t="s">
        <v>1325</v>
      </c>
      <c r="B885" t="s">
        <v>1265</v>
      </c>
      <c r="C885" s="6">
        <v>-72.900000000000006</v>
      </c>
      <c r="D885" s="6">
        <f t="shared" si="42"/>
        <v>4.429166666666668</v>
      </c>
      <c r="E885" s="6">
        <f t="shared" si="43"/>
        <v>-77.32916666666668</v>
      </c>
    </row>
    <row r="886" spans="1:5" x14ac:dyDescent="0.2">
      <c r="A886" t="s">
        <v>1325</v>
      </c>
      <c r="B886" t="s">
        <v>1266</v>
      </c>
      <c r="C886" s="6">
        <v>-69.099999999999994</v>
      </c>
      <c r="D886" s="6">
        <f t="shared" si="42"/>
        <v>3.1416666666666675</v>
      </c>
      <c r="E886" s="6">
        <f t="shared" si="43"/>
        <v>-72.24166666666666</v>
      </c>
    </row>
    <row r="887" spans="1:5" x14ac:dyDescent="0.2">
      <c r="A887" t="s">
        <v>1325</v>
      </c>
      <c r="B887" t="s">
        <v>1267</v>
      </c>
      <c r="C887" s="6">
        <v>-60.3</v>
      </c>
      <c r="D887" s="6">
        <f t="shared" si="42"/>
        <v>1.5729166666666679</v>
      </c>
      <c r="E887" s="6">
        <f t="shared" si="43"/>
        <v>-61.872916666666669</v>
      </c>
    </row>
    <row r="888" spans="1:5" x14ac:dyDescent="0.2">
      <c r="A888" t="s">
        <v>1325</v>
      </c>
      <c r="B888" t="s">
        <v>1268</v>
      </c>
      <c r="C888" s="6">
        <v>-56.7</v>
      </c>
      <c r="D888" s="6">
        <f t="shared" si="42"/>
        <v>0.82708333333333461</v>
      </c>
      <c r="E888" s="6">
        <f t="shared" si="43"/>
        <v>-57.527083333333337</v>
      </c>
    </row>
    <row r="889" spans="1:5" x14ac:dyDescent="0.2">
      <c r="A889" t="s">
        <v>1325</v>
      </c>
      <c r="B889" t="s">
        <v>1269</v>
      </c>
      <c r="C889" s="6">
        <v>-51.8</v>
      </c>
      <c r="D889" s="6">
        <f t="shared" si="42"/>
        <v>-0.21041666666666478</v>
      </c>
      <c r="E889" s="6">
        <f t="shared" si="43"/>
        <v>-51.58958333333333</v>
      </c>
    </row>
    <row r="890" spans="1:5" x14ac:dyDescent="0.2">
      <c r="A890" t="s">
        <v>1325</v>
      </c>
      <c r="B890" t="s">
        <v>1270</v>
      </c>
      <c r="C890" s="6">
        <v>-53.5</v>
      </c>
      <c r="D890" s="6">
        <f t="shared" si="42"/>
        <v>-1.2124999999999984</v>
      </c>
      <c r="E890" s="6">
        <f t="shared" si="43"/>
        <v>-52.287500000000001</v>
      </c>
    </row>
    <row r="891" spans="1:5" x14ac:dyDescent="0.2">
      <c r="A891" t="s">
        <v>1325</v>
      </c>
      <c r="B891" t="s">
        <v>1271</v>
      </c>
      <c r="C891" s="6">
        <v>-51.3</v>
      </c>
      <c r="D891" s="6">
        <f t="shared" si="42"/>
        <v>-2.2395833333333317</v>
      </c>
      <c r="E891" s="6">
        <f t="shared" si="43"/>
        <v>-49.060416666666669</v>
      </c>
    </row>
    <row r="892" spans="1:5" x14ac:dyDescent="0.2">
      <c r="A892" t="s">
        <v>1325</v>
      </c>
      <c r="B892" t="s">
        <v>1272</v>
      </c>
      <c r="C892" s="6">
        <v>-55</v>
      </c>
      <c r="D892" s="6">
        <f t="shared" si="42"/>
        <v>-3.2333333333333312</v>
      </c>
      <c r="E892" s="6">
        <f t="shared" si="43"/>
        <v>-51.766666666666666</v>
      </c>
    </row>
    <row r="893" spans="1:5" x14ac:dyDescent="0.2">
      <c r="A893" t="s">
        <v>1325</v>
      </c>
      <c r="B893" t="s">
        <v>1273</v>
      </c>
      <c r="C893" s="6">
        <v>-44.5</v>
      </c>
      <c r="D893" s="6">
        <f t="shared" si="42"/>
        <v>-4.2458333333333318</v>
      </c>
      <c r="E893" s="6">
        <f t="shared" si="43"/>
        <v>-40.25416666666667</v>
      </c>
    </row>
    <row r="894" spans="1:5" x14ac:dyDescent="0.2">
      <c r="A894" t="s">
        <v>1325</v>
      </c>
      <c r="B894" t="s">
        <v>1274</v>
      </c>
      <c r="C894" s="6">
        <v>-44.1</v>
      </c>
      <c r="D894" s="6">
        <f t="shared" si="42"/>
        <v>-4.8729166666666668</v>
      </c>
      <c r="E894" s="6">
        <f t="shared" si="43"/>
        <v>-39.227083333333333</v>
      </c>
    </row>
    <row r="895" spans="1:5" x14ac:dyDescent="0.2">
      <c r="A895" t="s">
        <v>1325</v>
      </c>
      <c r="B895" t="s">
        <v>1275</v>
      </c>
      <c r="C895" s="6">
        <v>-17.100000000000001</v>
      </c>
      <c r="D895" s="6">
        <f t="shared" si="42"/>
        <v>-5.5333333333333306</v>
      </c>
      <c r="E895" s="6">
        <f t="shared" si="43"/>
        <v>-11.56666666666667</v>
      </c>
    </row>
    <row r="896" spans="1:5" x14ac:dyDescent="0.2">
      <c r="A896" t="s">
        <v>1325</v>
      </c>
      <c r="B896" t="s">
        <v>1276</v>
      </c>
      <c r="C896" s="6">
        <v>48.2</v>
      </c>
      <c r="D896" s="6">
        <f t="shared" si="42"/>
        <v>-5.6979166666666634</v>
      </c>
      <c r="E896" s="6">
        <f t="shared" si="43"/>
        <v>53.897916666666667</v>
      </c>
    </row>
    <row r="897" spans="1:5" x14ac:dyDescent="0.2">
      <c r="A897" t="s">
        <v>1325</v>
      </c>
      <c r="B897" t="s">
        <v>1277</v>
      </c>
      <c r="C897" s="6">
        <v>43.1</v>
      </c>
      <c r="D897" s="6">
        <f t="shared" si="42"/>
        <v>-4.5104166666666643</v>
      </c>
      <c r="E897" s="6">
        <f t="shared" si="43"/>
        <v>47.610416666666666</v>
      </c>
    </row>
    <row r="898" spans="1:5" x14ac:dyDescent="0.2">
      <c r="A898" t="s">
        <v>1325</v>
      </c>
      <c r="B898" t="s">
        <v>1278</v>
      </c>
      <c r="C898" s="6">
        <v>-16.8</v>
      </c>
      <c r="D898" s="6">
        <f t="shared" ref="D898:D929" si="44">AVERAGE(C850:C897)</f>
        <v>-3.5291666666666646</v>
      </c>
      <c r="E898" s="6">
        <f t="shared" ref="E898:E929" si="45">C898-D898</f>
        <v>-13.270833333333336</v>
      </c>
    </row>
    <row r="899" spans="1:5" x14ac:dyDescent="0.2">
      <c r="A899" t="s">
        <v>1325</v>
      </c>
      <c r="B899" t="s">
        <v>1279</v>
      </c>
      <c r="C899" s="6">
        <v>-16.600000000000001</v>
      </c>
      <c r="D899" s="6">
        <f t="shared" si="44"/>
        <v>-3.9895833333333304</v>
      </c>
      <c r="E899" s="6">
        <f t="shared" si="45"/>
        <v>-12.610416666666671</v>
      </c>
    </row>
    <row r="900" spans="1:5" x14ac:dyDescent="0.2">
      <c r="A900" t="s">
        <v>1325</v>
      </c>
      <c r="B900" t="s">
        <v>1280</v>
      </c>
      <c r="C900" s="6">
        <v>-15.7</v>
      </c>
      <c r="D900" s="6">
        <f t="shared" si="44"/>
        <v>-4.0020833333333288</v>
      </c>
      <c r="E900" s="6">
        <f t="shared" si="45"/>
        <v>-11.697916666666671</v>
      </c>
    </row>
    <row r="901" spans="1:5" x14ac:dyDescent="0.2">
      <c r="A901" t="s">
        <v>1325</v>
      </c>
      <c r="B901" t="s">
        <v>1281</v>
      </c>
      <c r="C901" s="6">
        <v>-7.8</v>
      </c>
      <c r="D901" s="6">
        <f t="shared" si="44"/>
        <v>-4.2708333333333295</v>
      </c>
      <c r="E901" s="6">
        <f t="shared" si="45"/>
        <v>-3.5291666666666703</v>
      </c>
    </row>
    <row r="902" spans="1:5" x14ac:dyDescent="0.2">
      <c r="A902" t="s">
        <v>1325</v>
      </c>
      <c r="B902" t="s">
        <v>1282</v>
      </c>
      <c r="C902" s="6">
        <v>-8.3000000000000007</v>
      </c>
      <c r="D902" s="6">
        <f t="shared" si="44"/>
        <v>-4.2812499999999956</v>
      </c>
      <c r="E902" s="6">
        <f t="shared" si="45"/>
        <v>-4.0187500000000052</v>
      </c>
    </row>
    <row r="903" spans="1:5" x14ac:dyDescent="0.2">
      <c r="A903" t="s">
        <v>1325</v>
      </c>
      <c r="B903" t="s">
        <v>1283</v>
      </c>
      <c r="C903" s="6">
        <v>-5.0999999999999996</v>
      </c>
      <c r="D903" s="6">
        <f t="shared" si="44"/>
        <v>-4.3541666666666634</v>
      </c>
      <c r="E903" s="6">
        <f t="shared" si="45"/>
        <v>-0.74583333333333623</v>
      </c>
    </row>
    <row r="904" spans="1:5" x14ac:dyDescent="0.2">
      <c r="A904" t="s">
        <v>1325</v>
      </c>
      <c r="B904" t="s">
        <v>1284</v>
      </c>
      <c r="C904" s="6">
        <v>-1.5</v>
      </c>
      <c r="D904" s="6">
        <f t="shared" si="44"/>
        <v>-4.3729166666666623</v>
      </c>
      <c r="E904" s="6">
        <f t="shared" si="45"/>
        <v>2.8729166666666623</v>
      </c>
    </row>
    <row r="905" spans="1:5" x14ac:dyDescent="0.2">
      <c r="A905" t="s">
        <v>1325</v>
      </c>
      <c r="B905" t="s">
        <v>1285</v>
      </c>
      <c r="C905" s="6">
        <v>5.4</v>
      </c>
      <c r="D905" s="6">
        <f t="shared" si="44"/>
        <v>-4.2749999999999941</v>
      </c>
      <c r="E905" s="6">
        <f t="shared" si="45"/>
        <v>9.6749999999999936</v>
      </c>
    </row>
    <row r="906" spans="1:5" x14ac:dyDescent="0.2">
      <c r="A906" t="s">
        <v>1325</v>
      </c>
      <c r="B906" t="s">
        <v>1286</v>
      </c>
      <c r="C906" s="6">
        <v>-6.2</v>
      </c>
      <c r="D906" s="6">
        <f t="shared" si="44"/>
        <v>-4.2666666666666613</v>
      </c>
      <c r="E906" s="6">
        <f t="shared" si="45"/>
        <v>-1.9333333333333389</v>
      </c>
    </row>
    <row r="907" spans="1:5" x14ac:dyDescent="0.2">
      <c r="A907" t="s">
        <v>1325</v>
      </c>
      <c r="B907" t="s">
        <v>1287</v>
      </c>
      <c r="C907" s="6">
        <v>2.8</v>
      </c>
      <c r="D907" s="6">
        <f t="shared" si="44"/>
        <v>-4.7333333333333307</v>
      </c>
      <c r="E907" s="6">
        <f t="shared" si="45"/>
        <v>7.5333333333333306</v>
      </c>
    </row>
    <row r="908" spans="1:5" x14ac:dyDescent="0.2">
      <c r="A908" t="s">
        <v>1325</v>
      </c>
      <c r="B908" t="s">
        <v>1288</v>
      </c>
      <c r="C908" s="6">
        <v>-24.7</v>
      </c>
      <c r="D908" s="6">
        <f t="shared" si="44"/>
        <v>-5.091666666666665</v>
      </c>
      <c r="E908" s="6">
        <f t="shared" si="45"/>
        <v>-19.608333333333334</v>
      </c>
    </row>
    <row r="909" spans="1:5" x14ac:dyDescent="0.2">
      <c r="A909" t="s">
        <v>1325</v>
      </c>
      <c r="B909" t="s">
        <v>1289</v>
      </c>
      <c r="C909" s="6">
        <v>18</v>
      </c>
      <c r="D909" s="6">
        <f t="shared" si="44"/>
        <v>-6.0520833333333321</v>
      </c>
      <c r="E909" s="6">
        <f t="shared" si="45"/>
        <v>24.052083333333332</v>
      </c>
    </row>
    <row r="910" spans="1:5" x14ac:dyDescent="0.2">
      <c r="A910" t="s">
        <v>1325</v>
      </c>
      <c r="B910" t="s">
        <v>1290</v>
      </c>
      <c r="C910" s="6">
        <v>14</v>
      </c>
      <c r="D910" s="6">
        <f t="shared" si="44"/>
        <v>-6.4041666666666659</v>
      </c>
      <c r="E910" s="6">
        <f t="shared" si="45"/>
        <v>20.404166666666665</v>
      </c>
    </row>
    <row r="911" spans="1:5" x14ac:dyDescent="0.2">
      <c r="A911" t="s">
        <v>1325</v>
      </c>
      <c r="B911" t="s">
        <v>1291</v>
      </c>
      <c r="C911" s="6">
        <v>8.1</v>
      </c>
      <c r="D911" s="6">
        <f t="shared" si="44"/>
        <v>-6.28125</v>
      </c>
      <c r="E911" s="6">
        <f t="shared" si="45"/>
        <v>14.38125</v>
      </c>
    </row>
    <row r="912" spans="1:5" x14ac:dyDescent="0.2">
      <c r="A912" t="s">
        <v>1325</v>
      </c>
      <c r="B912" t="s">
        <v>1292</v>
      </c>
      <c r="C912" s="6">
        <v>3.5</v>
      </c>
      <c r="D912" s="6">
        <f t="shared" si="44"/>
        <v>-6.6520833333333336</v>
      </c>
      <c r="E912" s="6">
        <f t="shared" si="45"/>
        <v>10.152083333333334</v>
      </c>
    </row>
    <row r="913" spans="1:5" x14ac:dyDescent="0.2">
      <c r="A913" t="s">
        <v>1325</v>
      </c>
      <c r="B913" t="s">
        <v>1293</v>
      </c>
      <c r="C913" s="6">
        <v>-3.4</v>
      </c>
      <c r="D913" s="6">
        <f t="shared" si="44"/>
        <v>-7.3395833333333345</v>
      </c>
      <c r="E913" s="6">
        <f t="shared" si="45"/>
        <v>3.9395833333333345</v>
      </c>
    </row>
    <row r="914" spans="1:5" x14ac:dyDescent="0.2">
      <c r="A914" t="s">
        <v>1325</v>
      </c>
      <c r="B914" t="s">
        <v>1294</v>
      </c>
      <c r="C914" s="6">
        <v>0.6</v>
      </c>
      <c r="D914" s="6">
        <f t="shared" si="44"/>
        <v>-8.3062500000000004</v>
      </c>
      <c r="E914" s="6">
        <f t="shared" si="45"/>
        <v>8.90625</v>
      </c>
    </row>
    <row r="915" spans="1:5" x14ac:dyDescent="0.2">
      <c r="A915" t="s">
        <v>1325</v>
      </c>
      <c r="B915" t="s">
        <v>1295</v>
      </c>
      <c r="C915" s="6">
        <v>4.2</v>
      </c>
      <c r="D915" s="6">
        <f t="shared" si="44"/>
        <v>-9.2166666666666686</v>
      </c>
      <c r="E915" s="6">
        <f t="shared" si="45"/>
        <v>13.416666666666668</v>
      </c>
    </row>
    <row r="916" spans="1:5" x14ac:dyDescent="0.2">
      <c r="A916" t="s">
        <v>1325</v>
      </c>
      <c r="B916" t="s">
        <v>1296</v>
      </c>
      <c r="C916" s="6">
        <v>0.5</v>
      </c>
      <c r="D916" s="6">
        <f t="shared" si="44"/>
        <v>-10.195833333333335</v>
      </c>
      <c r="E916" s="6">
        <f t="shared" si="45"/>
        <v>10.695833333333335</v>
      </c>
    </row>
    <row r="917" spans="1:5" x14ac:dyDescent="0.2">
      <c r="A917" t="s">
        <v>1325</v>
      </c>
      <c r="B917" t="s">
        <v>1297</v>
      </c>
      <c r="C917" s="6">
        <v>0.3</v>
      </c>
      <c r="D917" s="6">
        <f t="shared" si="44"/>
        <v>-11.191666666666668</v>
      </c>
      <c r="E917" s="6">
        <f t="shared" si="45"/>
        <v>11.491666666666669</v>
      </c>
    </row>
    <row r="918" spans="1:5" x14ac:dyDescent="0.2">
      <c r="A918" t="s">
        <v>1325</v>
      </c>
      <c r="B918" t="s">
        <v>1298</v>
      </c>
      <c r="C918" s="6">
        <v>-1.6</v>
      </c>
      <c r="D918" s="6">
        <f t="shared" si="44"/>
        <v>-12.250000000000002</v>
      </c>
      <c r="E918" s="6">
        <f t="shared" si="45"/>
        <v>10.650000000000002</v>
      </c>
    </row>
    <row r="919" spans="1:5" x14ac:dyDescent="0.2">
      <c r="A919" t="s">
        <v>1325</v>
      </c>
      <c r="B919" t="s">
        <v>1299</v>
      </c>
      <c r="C919" s="6">
        <v>3.1</v>
      </c>
      <c r="D919" s="6">
        <f t="shared" si="44"/>
        <v>-13.15</v>
      </c>
      <c r="E919" s="6">
        <f t="shared" si="45"/>
        <v>16.25</v>
      </c>
    </row>
    <row r="920" spans="1:5" x14ac:dyDescent="0.2">
      <c r="A920" t="s">
        <v>1325</v>
      </c>
      <c r="B920" t="s">
        <v>1300</v>
      </c>
      <c r="C920" s="6">
        <v>4.0999999999999996</v>
      </c>
      <c r="D920" s="6">
        <f t="shared" si="44"/>
        <v>-13.960416666666667</v>
      </c>
      <c r="E920" s="6">
        <f t="shared" si="45"/>
        <v>18.060416666666669</v>
      </c>
    </row>
    <row r="921" spans="1:5" x14ac:dyDescent="0.2">
      <c r="A921" t="s">
        <v>1325</v>
      </c>
      <c r="B921" t="s">
        <v>1301</v>
      </c>
      <c r="C921" s="6">
        <v>5.0999999999999996</v>
      </c>
      <c r="D921" s="6">
        <f t="shared" si="44"/>
        <v>-14.674999999999999</v>
      </c>
      <c r="E921" s="6">
        <f t="shared" si="45"/>
        <v>19.774999999999999</v>
      </c>
    </row>
    <row r="922" spans="1:5" x14ac:dyDescent="0.2">
      <c r="A922" t="s">
        <v>1325</v>
      </c>
      <c r="B922" t="s">
        <v>1302</v>
      </c>
      <c r="C922" s="6">
        <v>-1.1000000000000001</v>
      </c>
      <c r="D922" s="6">
        <f t="shared" si="44"/>
        <v>-15.624999999999998</v>
      </c>
      <c r="E922" s="6">
        <f t="shared" si="45"/>
        <v>14.524999999999999</v>
      </c>
    </row>
    <row r="923" spans="1:5" x14ac:dyDescent="0.2">
      <c r="A923" t="s">
        <v>1325</v>
      </c>
      <c r="B923" t="s">
        <v>1303</v>
      </c>
      <c r="C923" s="6">
        <v>11.4</v>
      </c>
      <c r="D923" s="6">
        <f t="shared" si="44"/>
        <v>-15.827083333333333</v>
      </c>
      <c r="E923" s="6">
        <f t="shared" si="45"/>
        <v>27.227083333333333</v>
      </c>
    </row>
    <row r="924" spans="1:5" x14ac:dyDescent="0.2">
      <c r="A924" t="s">
        <v>1325</v>
      </c>
      <c r="B924" t="s">
        <v>1304</v>
      </c>
      <c r="C924" s="6">
        <v>-12.7</v>
      </c>
      <c r="D924" s="6">
        <f t="shared" si="44"/>
        <v>-15.716666666666667</v>
      </c>
      <c r="E924" s="6">
        <f t="shared" si="45"/>
        <v>3.0166666666666675</v>
      </c>
    </row>
    <row r="925" spans="1:5" x14ac:dyDescent="0.2">
      <c r="A925" t="s">
        <v>1325</v>
      </c>
      <c r="B925" t="s">
        <v>1305</v>
      </c>
      <c r="C925" s="6">
        <v>-0.9</v>
      </c>
      <c r="D925" s="6">
        <f t="shared" si="44"/>
        <v>-15.916666666666666</v>
      </c>
      <c r="E925" s="6">
        <f t="shared" si="45"/>
        <v>15.016666666666666</v>
      </c>
    </row>
    <row r="926" spans="1:5" x14ac:dyDescent="0.2">
      <c r="A926" t="s">
        <v>1325</v>
      </c>
      <c r="B926" t="s">
        <v>1306</v>
      </c>
      <c r="C926" s="6">
        <v>2</v>
      </c>
      <c r="D926" s="6">
        <f t="shared" si="44"/>
        <v>-15.658333333333333</v>
      </c>
      <c r="E926" s="6">
        <f t="shared" si="45"/>
        <v>17.658333333333331</v>
      </c>
    </row>
    <row r="927" spans="1:5" x14ac:dyDescent="0.2">
      <c r="A927" t="s">
        <v>1325</v>
      </c>
      <c r="B927" t="s">
        <v>1307</v>
      </c>
      <c r="C927" s="6">
        <v>1.7</v>
      </c>
      <c r="D927" s="6">
        <f t="shared" si="44"/>
        <v>-15.333333333333334</v>
      </c>
      <c r="E927" s="6">
        <f t="shared" si="45"/>
        <v>17.033333333333335</v>
      </c>
    </row>
    <row r="928" spans="1:5" x14ac:dyDescent="0.2">
      <c r="A928" t="s">
        <v>1325</v>
      </c>
      <c r="B928" t="s">
        <v>1308</v>
      </c>
      <c r="C928" s="6">
        <v>-0.1</v>
      </c>
      <c r="D928" s="6">
        <f t="shared" si="44"/>
        <v>-14.883333333333335</v>
      </c>
      <c r="E928" s="6">
        <f t="shared" si="45"/>
        <v>14.783333333333335</v>
      </c>
    </row>
    <row r="929" spans="1:5" x14ac:dyDescent="0.2">
      <c r="A929" t="s">
        <v>1325</v>
      </c>
      <c r="B929" t="s">
        <v>1309</v>
      </c>
      <c r="C929" s="6">
        <v>-3.6</v>
      </c>
      <c r="D929" s="6">
        <f t="shared" si="44"/>
        <v>-14.670833333333333</v>
      </c>
      <c r="E929" s="6">
        <f t="shared" si="45"/>
        <v>11.070833333333333</v>
      </c>
    </row>
    <row r="930" spans="1:5" x14ac:dyDescent="0.2">
      <c r="A930" t="s">
        <v>1325</v>
      </c>
      <c r="B930" t="s">
        <v>1310</v>
      </c>
      <c r="C930" s="6">
        <v>6.6</v>
      </c>
      <c r="D930" s="6">
        <f t="shared" ref="D930:D961" si="46">AVERAGE(C882:C929)</f>
        <v>-14.154166666666669</v>
      </c>
      <c r="E930" s="6">
        <f t="shared" ref="E930:E961" si="47">C930-D930</f>
        <v>20.75416666666667</v>
      </c>
    </row>
    <row r="931" spans="1:5" x14ac:dyDescent="0.2">
      <c r="A931" t="s">
        <v>1325</v>
      </c>
      <c r="B931" t="s">
        <v>1311</v>
      </c>
      <c r="C931" s="6">
        <v>10.8</v>
      </c>
      <c r="D931" s="6">
        <f t="shared" si="46"/>
        <v>-13.341666666666669</v>
      </c>
      <c r="E931" s="6">
        <f t="shared" si="47"/>
        <v>24.141666666666669</v>
      </c>
    </row>
    <row r="932" spans="1:5" x14ac:dyDescent="0.2">
      <c r="A932" t="s">
        <v>1325</v>
      </c>
      <c r="B932" t="s">
        <v>1312</v>
      </c>
      <c r="C932" s="6">
        <v>-2.2999999999999998</v>
      </c>
      <c r="D932" s="6">
        <f t="shared" si="46"/>
        <v>-12.029166666666669</v>
      </c>
      <c r="E932" s="6">
        <f t="shared" si="47"/>
        <v>9.7291666666666679</v>
      </c>
    </row>
    <row r="933" spans="1:5" x14ac:dyDescent="0.2">
      <c r="A933" t="s">
        <v>1325</v>
      </c>
      <c r="B933" t="s">
        <v>1313</v>
      </c>
      <c r="C933" s="6">
        <v>0.5</v>
      </c>
      <c r="D933" s="6">
        <f t="shared" si="46"/>
        <v>-10.65</v>
      </c>
      <c r="E933" s="6">
        <f t="shared" si="47"/>
        <v>11.15</v>
      </c>
    </row>
    <row r="934" spans="1:5" x14ac:dyDescent="0.2">
      <c r="A934" t="s">
        <v>1325</v>
      </c>
      <c r="B934" t="s">
        <v>1314</v>
      </c>
      <c r="C934" s="6">
        <v>-1.6</v>
      </c>
      <c r="D934" s="6">
        <f t="shared" si="46"/>
        <v>-9.1208333333333336</v>
      </c>
      <c r="E934" s="6">
        <f t="shared" si="47"/>
        <v>7.5208333333333339</v>
      </c>
    </row>
    <row r="935" spans="1:5" x14ac:dyDescent="0.2">
      <c r="A935" t="s">
        <v>1325</v>
      </c>
      <c r="B935" t="s">
        <v>1315</v>
      </c>
      <c r="C935" s="6">
        <v>0.7</v>
      </c>
      <c r="D935" s="6">
        <f t="shared" si="46"/>
        <v>-7.7145833333333345</v>
      </c>
      <c r="E935" s="6">
        <f t="shared" si="47"/>
        <v>8.4145833333333346</v>
      </c>
    </row>
    <row r="936" spans="1:5" x14ac:dyDescent="0.2">
      <c r="A936" t="s">
        <v>1325</v>
      </c>
      <c r="B936" t="s">
        <v>1316</v>
      </c>
      <c r="C936" s="6">
        <v>-1.2</v>
      </c>
      <c r="D936" s="6">
        <f t="shared" si="46"/>
        <v>-6.4437500000000014</v>
      </c>
      <c r="E936" s="6">
        <f t="shared" si="47"/>
        <v>5.2437500000000012</v>
      </c>
    </row>
    <row r="937" spans="1:5" x14ac:dyDescent="0.2">
      <c r="A937" t="s">
        <v>1325</v>
      </c>
      <c r="B937" t="s">
        <v>1317</v>
      </c>
      <c r="C937" s="6">
        <v>7</v>
      </c>
      <c r="D937" s="6">
        <f t="shared" si="46"/>
        <v>-5.2875000000000005</v>
      </c>
      <c r="E937" s="6">
        <f t="shared" si="47"/>
        <v>12.287500000000001</v>
      </c>
    </row>
    <row r="938" spans="1:5" x14ac:dyDescent="0.2">
      <c r="A938" t="s">
        <v>1325</v>
      </c>
      <c r="B938" t="s">
        <v>1318</v>
      </c>
      <c r="C938" s="6">
        <v>5.7</v>
      </c>
      <c r="D938" s="6">
        <f t="shared" si="46"/>
        <v>-4.0625</v>
      </c>
      <c r="E938" s="6">
        <f t="shared" si="47"/>
        <v>9.7624999999999993</v>
      </c>
    </row>
    <row r="939" spans="1:5" x14ac:dyDescent="0.2">
      <c r="A939" t="s">
        <v>1325</v>
      </c>
      <c r="B939" t="s">
        <v>1319</v>
      </c>
      <c r="C939" s="6">
        <v>-0.2</v>
      </c>
      <c r="D939" s="6">
        <f t="shared" si="46"/>
        <v>-2.8291666666666671</v>
      </c>
      <c r="E939" s="6">
        <f t="shared" si="47"/>
        <v>2.6291666666666669</v>
      </c>
    </row>
    <row r="940" spans="1:5" x14ac:dyDescent="0.2">
      <c r="A940" t="s">
        <v>1325</v>
      </c>
      <c r="B940" t="s">
        <v>1320</v>
      </c>
      <c r="C940" s="6">
        <v>-2.2000000000000002</v>
      </c>
      <c r="D940" s="6">
        <f t="shared" si="46"/>
        <v>-1.7645833333333325</v>
      </c>
      <c r="E940" s="6">
        <f t="shared" si="47"/>
        <v>-0.43541666666666767</v>
      </c>
    </row>
    <row r="941" spans="1:5" x14ac:dyDescent="0.2">
      <c r="A941" t="s">
        <v>1325</v>
      </c>
      <c r="B941" t="s">
        <v>16</v>
      </c>
      <c r="C941" s="6">
        <v>3.1</v>
      </c>
      <c r="D941" s="6">
        <f t="shared" si="46"/>
        <v>-0.66458333333333297</v>
      </c>
      <c r="E941" s="6">
        <f t="shared" si="47"/>
        <v>3.7645833333333329</v>
      </c>
    </row>
    <row r="942" spans="1:5" x14ac:dyDescent="0.2">
      <c r="A942" t="s">
        <v>1326</v>
      </c>
      <c r="B942" t="s">
        <v>1166</v>
      </c>
      <c r="C942" s="6">
        <v>24.6</v>
      </c>
    </row>
    <row r="943" spans="1:5" x14ac:dyDescent="0.2">
      <c r="A943" t="s">
        <v>1326</v>
      </c>
      <c r="B943" t="s">
        <v>1167</v>
      </c>
      <c r="C943" s="6">
        <v>23.5</v>
      </c>
    </row>
    <row r="944" spans="1:5" x14ac:dyDescent="0.2">
      <c r="A944" t="s">
        <v>1326</v>
      </c>
      <c r="B944" t="s">
        <v>1168</v>
      </c>
      <c r="C944" s="6">
        <v>25.5</v>
      </c>
    </row>
    <row r="945" spans="1:3" x14ac:dyDescent="0.2">
      <c r="A945" t="s">
        <v>1326</v>
      </c>
      <c r="B945" t="s">
        <v>1169</v>
      </c>
      <c r="C945" s="6">
        <v>21.2</v>
      </c>
    </row>
    <row r="946" spans="1:3" x14ac:dyDescent="0.2">
      <c r="A946" t="s">
        <v>1326</v>
      </c>
      <c r="B946" t="s">
        <v>1170</v>
      </c>
      <c r="C946" s="6">
        <v>31.6</v>
      </c>
    </row>
    <row r="947" spans="1:3" x14ac:dyDescent="0.2">
      <c r="A947" t="s">
        <v>1326</v>
      </c>
      <c r="B947" t="s">
        <v>1171</v>
      </c>
      <c r="C947" s="6">
        <v>29.9</v>
      </c>
    </row>
    <row r="948" spans="1:3" x14ac:dyDescent="0.2">
      <c r="A948" t="s">
        <v>1326</v>
      </c>
      <c r="B948" t="s">
        <v>1172</v>
      </c>
      <c r="C948" s="6">
        <v>38.700000000000003</v>
      </c>
    </row>
    <row r="949" spans="1:3" x14ac:dyDescent="0.2">
      <c r="A949" t="s">
        <v>1326</v>
      </c>
      <c r="B949" t="s">
        <v>1173</v>
      </c>
      <c r="C949" s="6">
        <v>20.2</v>
      </c>
    </row>
    <row r="950" spans="1:3" x14ac:dyDescent="0.2">
      <c r="A950" t="s">
        <v>1326</v>
      </c>
      <c r="B950" t="s">
        <v>1174</v>
      </c>
      <c r="C950" s="6">
        <v>35.200000000000003</v>
      </c>
    </row>
    <row r="951" spans="1:3" x14ac:dyDescent="0.2">
      <c r="A951" t="s">
        <v>1326</v>
      </c>
      <c r="B951" t="s">
        <v>1175</v>
      </c>
      <c r="C951" s="6">
        <v>35.200000000000003</v>
      </c>
    </row>
    <row r="952" spans="1:3" x14ac:dyDescent="0.2">
      <c r="A952" t="s">
        <v>1326</v>
      </c>
      <c r="B952" t="s">
        <v>1176</v>
      </c>
      <c r="C952" s="6">
        <v>32.299999999999997</v>
      </c>
    </row>
    <row r="953" spans="1:3" x14ac:dyDescent="0.2">
      <c r="A953" t="s">
        <v>1326</v>
      </c>
      <c r="B953" t="s">
        <v>1177</v>
      </c>
      <c r="C953" s="6">
        <v>22.9</v>
      </c>
    </row>
    <row r="954" spans="1:3" x14ac:dyDescent="0.2">
      <c r="A954" t="s">
        <v>1326</v>
      </c>
      <c r="B954" t="s">
        <v>1178</v>
      </c>
      <c r="C954" s="6">
        <v>3.5</v>
      </c>
    </row>
    <row r="955" spans="1:3" x14ac:dyDescent="0.2">
      <c r="A955" t="s">
        <v>1326</v>
      </c>
      <c r="B955" t="s">
        <v>1179</v>
      </c>
      <c r="C955" s="6">
        <v>13.6</v>
      </c>
    </row>
    <row r="956" spans="1:3" x14ac:dyDescent="0.2">
      <c r="A956" t="s">
        <v>1326</v>
      </c>
      <c r="B956" t="s">
        <v>1180</v>
      </c>
      <c r="C956" s="6">
        <v>14.4</v>
      </c>
    </row>
    <row r="957" spans="1:3" x14ac:dyDescent="0.2">
      <c r="A957" t="s">
        <v>1326</v>
      </c>
      <c r="B957" t="s">
        <v>1181</v>
      </c>
      <c r="C957" s="6">
        <v>23.7</v>
      </c>
    </row>
    <row r="958" spans="1:3" x14ac:dyDescent="0.2">
      <c r="A958" t="s">
        <v>1326</v>
      </c>
      <c r="B958" t="s">
        <v>1182</v>
      </c>
      <c r="C958" s="6">
        <v>24.4</v>
      </c>
    </row>
    <row r="959" spans="1:3" x14ac:dyDescent="0.2">
      <c r="A959" t="s">
        <v>1326</v>
      </c>
      <c r="B959" t="s">
        <v>1183</v>
      </c>
      <c r="C959" s="6">
        <v>32.299999999999997</v>
      </c>
    </row>
    <row r="960" spans="1:3" x14ac:dyDescent="0.2">
      <c r="A960" t="s">
        <v>1326</v>
      </c>
      <c r="B960" t="s">
        <v>1184</v>
      </c>
      <c r="C960" s="6">
        <v>55.7</v>
      </c>
    </row>
    <row r="961" spans="1:3" x14ac:dyDescent="0.2">
      <c r="A961" t="s">
        <v>1326</v>
      </c>
      <c r="B961" t="s">
        <v>1185</v>
      </c>
      <c r="C961" s="6">
        <v>4.5999999999999996</v>
      </c>
    </row>
    <row r="962" spans="1:3" x14ac:dyDescent="0.2">
      <c r="A962" t="s">
        <v>1326</v>
      </c>
      <c r="B962" t="s">
        <v>1186</v>
      </c>
      <c r="C962" s="6">
        <v>16.3</v>
      </c>
    </row>
    <row r="963" spans="1:3" x14ac:dyDescent="0.2">
      <c r="A963" t="s">
        <v>1326</v>
      </c>
      <c r="B963" t="s">
        <v>1187</v>
      </c>
      <c r="C963" s="6">
        <v>25.9</v>
      </c>
    </row>
    <row r="964" spans="1:3" x14ac:dyDescent="0.2">
      <c r="A964" t="s">
        <v>1326</v>
      </c>
      <c r="B964" t="s">
        <v>1188</v>
      </c>
      <c r="C964" s="6">
        <v>24.9</v>
      </c>
    </row>
    <row r="965" spans="1:3" x14ac:dyDescent="0.2">
      <c r="A965" t="s">
        <v>1326</v>
      </c>
      <c r="B965" t="s">
        <v>1189</v>
      </c>
      <c r="C965" s="6">
        <v>28.5</v>
      </c>
    </row>
    <row r="966" spans="1:3" x14ac:dyDescent="0.2">
      <c r="A966" t="s">
        <v>1326</v>
      </c>
      <c r="B966" t="s">
        <v>1190</v>
      </c>
      <c r="C966" s="6">
        <v>25.4</v>
      </c>
    </row>
    <row r="967" spans="1:3" x14ac:dyDescent="0.2">
      <c r="A967" t="s">
        <v>1326</v>
      </c>
      <c r="B967" t="s">
        <v>1191</v>
      </c>
      <c r="C967" s="6">
        <v>29.4</v>
      </c>
    </row>
    <row r="968" spans="1:3" x14ac:dyDescent="0.2">
      <c r="A968" t="s">
        <v>1326</v>
      </c>
      <c r="B968" t="s">
        <v>1192</v>
      </c>
      <c r="C968" s="6">
        <v>21.2</v>
      </c>
    </row>
    <row r="969" spans="1:3" x14ac:dyDescent="0.2">
      <c r="A969" t="s">
        <v>1326</v>
      </c>
      <c r="B969" t="s">
        <v>1193</v>
      </c>
      <c r="C969" s="6">
        <v>16.399999999999999</v>
      </c>
    </row>
    <row r="970" spans="1:3" x14ac:dyDescent="0.2">
      <c r="A970" t="s">
        <v>1326</v>
      </c>
      <c r="B970" t="s">
        <v>1194</v>
      </c>
      <c r="C970" s="6">
        <v>11.8</v>
      </c>
    </row>
    <row r="971" spans="1:3" x14ac:dyDescent="0.2">
      <c r="A971" t="s">
        <v>1326</v>
      </c>
      <c r="B971" t="s">
        <v>1195</v>
      </c>
      <c r="C971" s="6">
        <v>2</v>
      </c>
    </row>
    <row r="972" spans="1:3" x14ac:dyDescent="0.2">
      <c r="A972" t="s">
        <v>1326</v>
      </c>
      <c r="B972" t="s">
        <v>1196</v>
      </c>
      <c r="C972" s="6">
        <v>-21.6</v>
      </c>
    </row>
    <row r="973" spans="1:3" x14ac:dyDescent="0.2">
      <c r="A973" t="s">
        <v>1326</v>
      </c>
      <c r="B973" t="s">
        <v>1197</v>
      </c>
      <c r="C973" s="6">
        <v>10.5</v>
      </c>
    </row>
    <row r="974" spans="1:3" x14ac:dyDescent="0.2">
      <c r="A974" t="s">
        <v>1326</v>
      </c>
      <c r="B974" t="s">
        <v>1198</v>
      </c>
      <c r="C974" s="6">
        <v>8.6999999999999993</v>
      </c>
    </row>
    <row r="975" spans="1:3" x14ac:dyDescent="0.2">
      <c r="A975" t="s">
        <v>1326</v>
      </c>
      <c r="B975" t="s">
        <v>1199</v>
      </c>
      <c r="C975" s="6">
        <v>10</v>
      </c>
    </row>
    <row r="976" spans="1:3" x14ac:dyDescent="0.2">
      <c r="A976" t="s">
        <v>1326</v>
      </c>
      <c r="B976" t="s">
        <v>1200</v>
      </c>
      <c r="C976" s="6">
        <v>6.7</v>
      </c>
    </row>
    <row r="977" spans="1:5" x14ac:dyDescent="0.2">
      <c r="A977" t="s">
        <v>1326</v>
      </c>
      <c r="B977" t="s">
        <v>1201</v>
      </c>
      <c r="C977" s="6">
        <v>0.5</v>
      </c>
    </row>
    <row r="978" spans="1:5" x14ac:dyDescent="0.2">
      <c r="A978" t="s">
        <v>1326</v>
      </c>
      <c r="B978" t="s">
        <v>1202</v>
      </c>
      <c r="C978" s="6">
        <v>1.9</v>
      </c>
    </row>
    <row r="979" spans="1:5" x14ac:dyDescent="0.2">
      <c r="A979" t="s">
        <v>1326</v>
      </c>
      <c r="B979" t="s">
        <v>1203</v>
      </c>
      <c r="C979" s="6">
        <v>-5.7</v>
      </c>
    </row>
    <row r="980" spans="1:5" x14ac:dyDescent="0.2">
      <c r="A980" t="s">
        <v>1326</v>
      </c>
      <c r="B980" t="s">
        <v>1204</v>
      </c>
      <c r="C980" s="6">
        <v>-1.9</v>
      </c>
    </row>
    <row r="981" spans="1:5" x14ac:dyDescent="0.2">
      <c r="A981" t="s">
        <v>1326</v>
      </c>
      <c r="B981" t="s">
        <v>1205</v>
      </c>
      <c r="C981" s="6">
        <v>-5.6</v>
      </c>
    </row>
    <row r="982" spans="1:5" x14ac:dyDescent="0.2">
      <c r="A982" t="s">
        <v>1326</v>
      </c>
      <c r="B982" t="s">
        <v>1206</v>
      </c>
      <c r="C982" s="6">
        <v>-9.8000000000000007</v>
      </c>
    </row>
    <row r="983" spans="1:5" x14ac:dyDescent="0.2">
      <c r="A983" t="s">
        <v>1326</v>
      </c>
      <c r="B983" t="s">
        <v>1207</v>
      </c>
      <c r="C983" s="6">
        <v>-3.1</v>
      </c>
    </row>
    <row r="984" spans="1:5" x14ac:dyDescent="0.2">
      <c r="A984" t="s">
        <v>1326</v>
      </c>
      <c r="B984" t="s">
        <v>1208</v>
      </c>
      <c r="C984" s="6">
        <v>-5.9</v>
      </c>
    </row>
    <row r="985" spans="1:5" x14ac:dyDescent="0.2">
      <c r="A985" t="s">
        <v>1326</v>
      </c>
      <c r="B985" t="s">
        <v>1209</v>
      </c>
      <c r="C985" s="6">
        <v>-12.5</v>
      </c>
    </row>
    <row r="986" spans="1:5" x14ac:dyDescent="0.2">
      <c r="A986" t="s">
        <v>1326</v>
      </c>
      <c r="B986" t="s">
        <v>1210</v>
      </c>
      <c r="C986" s="6">
        <v>-10.4</v>
      </c>
    </row>
    <row r="987" spans="1:5" x14ac:dyDescent="0.2">
      <c r="A987" t="s">
        <v>1326</v>
      </c>
      <c r="B987" t="s">
        <v>1211</v>
      </c>
      <c r="C987" s="6">
        <v>-14</v>
      </c>
    </row>
    <row r="988" spans="1:5" x14ac:dyDescent="0.2">
      <c r="A988" t="s">
        <v>1326</v>
      </c>
      <c r="B988" t="s">
        <v>1212</v>
      </c>
      <c r="C988" s="6">
        <v>-14.9</v>
      </c>
    </row>
    <row r="989" spans="1:5" x14ac:dyDescent="0.2">
      <c r="A989" t="s">
        <v>1326</v>
      </c>
      <c r="B989" t="s">
        <v>1213</v>
      </c>
      <c r="C989" s="6">
        <v>-9.4</v>
      </c>
    </row>
    <row r="990" spans="1:5" x14ac:dyDescent="0.2">
      <c r="A990" t="s">
        <v>1326</v>
      </c>
      <c r="B990" t="s">
        <v>1214</v>
      </c>
      <c r="C990" s="6">
        <v>-18.2</v>
      </c>
      <c r="D990" s="6">
        <f t="shared" ref="D990:D1021" si="48">AVERAGE(C942:C989)</f>
        <v>13.297916666666664</v>
      </c>
      <c r="E990" s="6">
        <f t="shared" ref="E990:E1021" si="49">C990-D990</f>
        <v>-31.497916666666661</v>
      </c>
    </row>
    <row r="991" spans="1:5" x14ac:dyDescent="0.2">
      <c r="A991" t="s">
        <v>1326</v>
      </c>
      <c r="B991" t="s">
        <v>1215</v>
      </c>
      <c r="C991" s="6">
        <v>-15.8</v>
      </c>
      <c r="D991" s="6">
        <f t="shared" si="48"/>
        <v>12.40625</v>
      </c>
      <c r="E991" s="6">
        <f t="shared" si="49"/>
        <v>-28.206250000000001</v>
      </c>
    </row>
    <row r="992" spans="1:5" x14ac:dyDescent="0.2">
      <c r="A992" t="s">
        <v>1326</v>
      </c>
      <c r="B992" t="s">
        <v>1216</v>
      </c>
      <c r="C992" s="6">
        <v>-18.100000000000001</v>
      </c>
      <c r="D992" s="6">
        <f t="shared" si="48"/>
        <v>11.5875</v>
      </c>
      <c r="E992" s="6">
        <f t="shared" si="49"/>
        <v>-29.6875</v>
      </c>
    </row>
    <row r="993" spans="1:5" x14ac:dyDescent="0.2">
      <c r="A993" t="s">
        <v>1326</v>
      </c>
      <c r="B993" t="s">
        <v>1217</v>
      </c>
      <c r="C993" s="6">
        <v>-14.8</v>
      </c>
      <c r="D993" s="6">
        <f t="shared" si="48"/>
        <v>10.679166666666667</v>
      </c>
      <c r="E993" s="6">
        <f t="shared" si="49"/>
        <v>-25.479166666666668</v>
      </c>
    </row>
    <row r="994" spans="1:5" x14ac:dyDescent="0.2">
      <c r="A994" t="s">
        <v>1326</v>
      </c>
      <c r="B994" t="s">
        <v>1218</v>
      </c>
      <c r="C994" s="6">
        <v>3.9</v>
      </c>
      <c r="D994" s="6">
        <f t="shared" si="48"/>
        <v>9.9291666666666654</v>
      </c>
      <c r="E994" s="6">
        <f t="shared" si="49"/>
        <v>-6.029166666666665</v>
      </c>
    </row>
    <row r="995" spans="1:5" x14ac:dyDescent="0.2">
      <c r="A995" t="s">
        <v>1326</v>
      </c>
      <c r="B995" t="s">
        <v>1219</v>
      </c>
      <c r="C995" s="6">
        <v>-29.8</v>
      </c>
      <c r="D995" s="6">
        <f t="shared" si="48"/>
        <v>9.3520833333333346</v>
      </c>
      <c r="E995" s="6">
        <f t="shared" si="49"/>
        <v>-39.152083333333337</v>
      </c>
    </row>
    <row r="996" spans="1:5" x14ac:dyDescent="0.2">
      <c r="A996" t="s">
        <v>1326</v>
      </c>
      <c r="B996" t="s">
        <v>1220</v>
      </c>
      <c r="C996" s="6">
        <v>-11.5</v>
      </c>
      <c r="D996" s="6">
        <f t="shared" si="48"/>
        <v>8.1083333333333325</v>
      </c>
      <c r="E996" s="6">
        <f t="shared" si="49"/>
        <v>-19.608333333333334</v>
      </c>
    </row>
    <row r="997" spans="1:5" x14ac:dyDescent="0.2">
      <c r="A997" t="s">
        <v>1326</v>
      </c>
      <c r="B997" t="s">
        <v>1221</v>
      </c>
      <c r="C997" s="6">
        <v>1.3</v>
      </c>
      <c r="D997" s="6">
        <f t="shared" si="48"/>
        <v>7.0624999999999973</v>
      </c>
      <c r="E997" s="6">
        <f t="shared" si="49"/>
        <v>-5.7624999999999975</v>
      </c>
    </row>
    <row r="998" spans="1:5" x14ac:dyDescent="0.2">
      <c r="A998" t="s">
        <v>1326</v>
      </c>
      <c r="B998" t="s">
        <v>1222</v>
      </c>
      <c r="C998" s="6">
        <v>-5.4</v>
      </c>
      <c r="D998" s="6">
        <f t="shared" si="48"/>
        <v>6.6687499999999966</v>
      </c>
      <c r="E998" s="6">
        <f t="shared" si="49"/>
        <v>-12.068749999999998</v>
      </c>
    </row>
    <row r="999" spans="1:5" x14ac:dyDescent="0.2">
      <c r="A999" t="s">
        <v>1326</v>
      </c>
      <c r="B999" t="s">
        <v>1223</v>
      </c>
      <c r="C999" s="6">
        <v>-5</v>
      </c>
      <c r="D999" s="6">
        <f t="shared" si="48"/>
        <v>5.8229166666666643</v>
      </c>
      <c r="E999" s="6">
        <f t="shared" si="49"/>
        <v>-10.822916666666664</v>
      </c>
    </row>
    <row r="1000" spans="1:5" x14ac:dyDescent="0.2">
      <c r="A1000" t="s">
        <v>1326</v>
      </c>
      <c r="B1000" t="s">
        <v>1224</v>
      </c>
      <c r="C1000" s="6">
        <v>-3.2</v>
      </c>
      <c r="D1000" s="6">
        <f t="shared" si="48"/>
        <v>4.9854166666666639</v>
      </c>
      <c r="E1000" s="6">
        <f t="shared" si="49"/>
        <v>-8.185416666666665</v>
      </c>
    </row>
    <row r="1001" spans="1:5" x14ac:dyDescent="0.2">
      <c r="A1001" t="s">
        <v>1326</v>
      </c>
      <c r="B1001" t="s">
        <v>1225</v>
      </c>
      <c r="C1001" s="6">
        <v>-8.6999999999999993</v>
      </c>
      <c r="D1001" s="6">
        <f t="shared" si="48"/>
        <v>4.2458333333333309</v>
      </c>
      <c r="E1001" s="6">
        <f t="shared" si="49"/>
        <v>-12.945833333333329</v>
      </c>
    </row>
    <row r="1002" spans="1:5" x14ac:dyDescent="0.2">
      <c r="A1002" t="s">
        <v>1326</v>
      </c>
      <c r="B1002" t="s">
        <v>1226</v>
      </c>
      <c r="C1002" s="6">
        <v>-4.7</v>
      </c>
      <c r="D1002" s="6">
        <f t="shared" si="48"/>
        <v>3.587499999999999</v>
      </c>
      <c r="E1002" s="6">
        <f t="shared" si="49"/>
        <v>-8.2874999999999996</v>
      </c>
    </row>
    <row r="1003" spans="1:5" x14ac:dyDescent="0.2">
      <c r="A1003" t="s">
        <v>1326</v>
      </c>
      <c r="B1003" t="s">
        <v>1227</v>
      </c>
      <c r="C1003" s="6">
        <v>-3.3</v>
      </c>
      <c r="D1003" s="6">
        <f t="shared" si="48"/>
        <v>3.4166666666666661</v>
      </c>
      <c r="E1003" s="6">
        <f t="shared" si="49"/>
        <v>-6.7166666666666659</v>
      </c>
    </row>
    <row r="1004" spans="1:5" x14ac:dyDescent="0.2">
      <c r="A1004" t="s">
        <v>1326</v>
      </c>
      <c r="B1004" t="s">
        <v>1228</v>
      </c>
      <c r="C1004" s="6">
        <v>-3.2</v>
      </c>
      <c r="D1004" s="6">
        <f t="shared" si="48"/>
        <v>3.0645833333333332</v>
      </c>
      <c r="E1004" s="6">
        <f t="shared" si="49"/>
        <v>-6.2645833333333334</v>
      </c>
    </row>
    <row r="1005" spans="1:5" x14ac:dyDescent="0.2">
      <c r="A1005" t="s">
        <v>1326</v>
      </c>
      <c r="B1005" t="s">
        <v>1229</v>
      </c>
      <c r="C1005" s="6">
        <v>-0.6</v>
      </c>
      <c r="D1005" s="6">
        <f t="shared" si="48"/>
        <v>2.6979166666666661</v>
      </c>
      <c r="E1005" s="6">
        <f t="shared" si="49"/>
        <v>-3.2979166666666662</v>
      </c>
    </row>
    <row r="1006" spans="1:5" x14ac:dyDescent="0.2">
      <c r="A1006" t="s">
        <v>1326</v>
      </c>
      <c r="B1006" t="s">
        <v>1230</v>
      </c>
      <c r="C1006" s="6">
        <v>15.7</v>
      </c>
      <c r="D1006" s="6">
        <f t="shared" si="48"/>
        <v>2.1916666666666655</v>
      </c>
      <c r="E1006" s="6">
        <f t="shared" si="49"/>
        <v>13.508333333333333</v>
      </c>
    </row>
    <row r="1007" spans="1:5" x14ac:dyDescent="0.2">
      <c r="A1007" t="s">
        <v>1326</v>
      </c>
      <c r="B1007" t="s">
        <v>1231</v>
      </c>
      <c r="C1007" s="6">
        <v>-9.3000000000000007</v>
      </c>
      <c r="D1007" s="6">
        <f t="shared" si="48"/>
        <v>2.0104166666666647</v>
      </c>
      <c r="E1007" s="6">
        <f t="shared" si="49"/>
        <v>-11.310416666666665</v>
      </c>
    </row>
    <row r="1008" spans="1:5" x14ac:dyDescent="0.2">
      <c r="A1008" t="s">
        <v>1326</v>
      </c>
      <c r="B1008" t="s">
        <v>1232</v>
      </c>
      <c r="C1008" s="6">
        <v>3</v>
      </c>
      <c r="D1008" s="6">
        <f t="shared" si="48"/>
        <v>1.1437499999999998</v>
      </c>
      <c r="E1008" s="6">
        <f t="shared" si="49"/>
        <v>1.8562500000000002</v>
      </c>
    </row>
    <row r="1009" spans="1:5" x14ac:dyDescent="0.2">
      <c r="A1009" t="s">
        <v>1326</v>
      </c>
      <c r="B1009" t="s">
        <v>1233</v>
      </c>
      <c r="C1009" s="6">
        <v>-1.6</v>
      </c>
      <c r="D1009" s="6">
        <f t="shared" si="48"/>
        <v>4.5833333333333171E-2</v>
      </c>
      <c r="E1009" s="6">
        <f t="shared" si="49"/>
        <v>-1.6458333333333333</v>
      </c>
    </row>
    <row r="1010" spans="1:5" x14ac:dyDescent="0.2">
      <c r="A1010" t="s">
        <v>1326</v>
      </c>
      <c r="B1010" t="s">
        <v>1234</v>
      </c>
      <c r="C1010" s="6">
        <v>0</v>
      </c>
      <c r="D1010" s="6">
        <f t="shared" si="48"/>
        <v>-8.3333333333333634E-2</v>
      </c>
      <c r="E1010" s="6">
        <f t="shared" si="49"/>
        <v>8.3333333333333634E-2</v>
      </c>
    </row>
    <row r="1011" spans="1:5" x14ac:dyDescent="0.2">
      <c r="A1011" t="s">
        <v>1326</v>
      </c>
      <c r="B1011" t="s">
        <v>1235</v>
      </c>
      <c r="C1011" s="6">
        <v>2.2000000000000002</v>
      </c>
      <c r="D1011" s="6">
        <f t="shared" si="48"/>
        <v>-0.4229166666666675</v>
      </c>
      <c r="E1011" s="6">
        <f t="shared" si="49"/>
        <v>2.6229166666666677</v>
      </c>
    </row>
    <row r="1012" spans="1:5" x14ac:dyDescent="0.2">
      <c r="A1012" t="s">
        <v>1326</v>
      </c>
      <c r="B1012" t="s">
        <v>1236</v>
      </c>
      <c r="C1012" s="6">
        <v>-1.7</v>
      </c>
      <c r="D1012" s="6">
        <f t="shared" si="48"/>
        <v>-0.91666666666666774</v>
      </c>
      <c r="E1012" s="6">
        <f t="shared" si="49"/>
        <v>-0.78333333333333222</v>
      </c>
    </row>
    <row r="1013" spans="1:5" x14ac:dyDescent="0.2">
      <c r="A1013" t="s">
        <v>1326</v>
      </c>
      <c r="B1013" t="s">
        <v>1237</v>
      </c>
      <c r="C1013" s="6">
        <v>5</v>
      </c>
      <c r="D1013" s="6">
        <f t="shared" si="48"/>
        <v>-1.4708333333333332</v>
      </c>
      <c r="E1013" s="6">
        <f t="shared" si="49"/>
        <v>6.4708333333333332</v>
      </c>
    </row>
    <row r="1014" spans="1:5" x14ac:dyDescent="0.2">
      <c r="A1014" t="s">
        <v>1326</v>
      </c>
      <c r="B1014" t="s">
        <v>1238</v>
      </c>
      <c r="C1014" s="6">
        <v>10.199999999999999</v>
      </c>
      <c r="D1014" s="6">
        <f t="shared" si="48"/>
        <v>-1.9604166666666669</v>
      </c>
      <c r="E1014" s="6">
        <f t="shared" si="49"/>
        <v>12.160416666666666</v>
      </c>
    </row>
    <row r="1015" spans="1:5" x14ac:dyDescent="0.2">
      <c r="A1015" t="s">
        <v>1326</v>
      </c>
      <c r="B1015" t="s">
        <v>1239</v>
      </c>
      <c r="C1015" s="6">
        <v>7.9</v>
      </c>
      <c r="D1015" s="6">
        <f t="shared" si="48"/>
        <v>-2.2770833333333331</v>
      </c>
      <c r="E1015" s="6">
        <f t="shared" si="49"/>
        <v>10.177083333333334</v>
      </c>
    </row>
    <row r="1016" spans="1:5" x14ac:dyDescent="0.2">
      <c r="A1016" t="s">
        <v>1326</v>
      </c>
      <c r="B1016" t="s">
        <v>1240</v>
      </c>
      <c r="C1016" s="6">
        <v>10</v>
      </c>
      <c r="D1016" s="6">
        <f t="shared" si="48"/>
        <v>-2.7249999999999996</v>
      </c>
      <c r="E1016" s="6">
        <f t="shared" si="49"/>
        <v>12.725</v>
      </c>
    </row>
    <row r="1017" spans="1:5" x14ac:dyDescent="0.2">
      <c r="A1017" t="s">
        <v>1326</v>
      </c>
      <c r="B1017" t="s">
        <v>1241</v>
      </c>
      <c r="C1017" s="6">
        <v>16.5</v>
      </c>
      <c r="D1017" s="6">
        <f t="shared" si="48"/>
        <v>-2.9583333333333326</v>
      </c>
      <c r="E1017" s="6">
        <f t="shared" si="49"/>
        <v>19.458333333333332</v>
      </c>
    </row>
    <row r="1018" spans="1:5" x14ac:dyDescent="0.2">
      <c r="A1018" t="s">
        <v>1326</v>
      </c>
      <c r="B1018" t="s">
        <v>1242</v>
      </c>
      <c r="C1018" s="6">
        <v>-11.2</v>
      </c>
      <c r="D1018" s="6">
        <f t="shared" si="48"/>
        <v>-2.9562500000000003</v>
      </c>
      <c r="E1018" s="6">
        <f t="shared" si="49"/>
        <v>-8.2437499999999986</v>
      </c>
    </row>
    <row r="1019" spans="1:5" x14ac:dyDescent="0.2">
      <c r="A1019" t="s">
        <v>1326</v>
      </c>
      <c r="B1019" t="s">
        <v>1243</v>
      </c>
      <c r="C1019" s="6">
        <v>13</v>
      </c>
      <c r="D1019" s="6">
        <f t="shared" si="48"/>
        <v>-3.4354166666666668</v>
      </c>
      <c r="E1019" s="6">
        <f t="shared" si="49"/>
        <v>16.435416666666669</v>
      </c>
    </row>
    <row r="1020" spans="1:5" x14ac:dyDescent="0.2">
      <c r="A1020" t="s">
        <v>1326</v>
      </c>
      <c r="B1020" t="s">
        <v>1244</v>
      </c>
      <c r="C1020" s="6">
        <v>20.399999999999999</v>
      </c>
      <c r="D1020" s="6">
        <f t="shared" si="48"/>
        <v>-3.2062500000000003</v>
      </c>
      <c r="E1020" s="6">
        <f t="shared" si="49"/>
        <v>23.606249999999999</v>
      </c>
    </row>
    <row r="1021" spans="1:5" x14ac:dyDescent="0.2">
      <c r="A1021" t="s">
        <v>1326</v>
      </c>
      <c r="B1021" t="s">
        <v>1245</v>
      </c>
      <c r="C1021" s="6">
        <v>28.1</v>
      </c>
      <c r="D1021" s="6">
        <f t="shared" si="48"/>
        <v>-2.3312499999999989</v>
      </c>
      <c r="E1021" s="6">
        <f t="shared" si="49"/>
        <v>30.431249999999999</v>
      </c>
    </row>
    <row r="1022" spans="1:5" x14ac:dyDescent="0.2">
      <c r="A1022" t="s">
        <v>1326</v>
      </c>
      <c r="B1022" t="s">
        <v>1246</v>
      </c>
      <c r="C1022" s="6">
        <v>24.6</v>
      </c>
      <c r="D1022" s="6">
        <f t="shared" ref="D1022:D1053" si="50">AVERAGE(C974:C1021)</f>
        <v>-1.9645833333333329</v>
      </c>
      <c r="E1022" s="6">
        <f t="shared" ref="E1022:E1053" si="51">C1022-D1022</f>
        <v>26.564583333333335</v>
      </c>
    </row>
    <row r="1023" spans="1:5" x14ac:dyDescent="0.2">
      <c r="A1023" t="s">
        <v>1326</v>
      </c>
      <c r="B1023" t="s">
        <v>1247</v>
      </c>
      <c r="C1023" s="6">
        <v>29</v>
      </c>
      <c r="D1023" s="6">
        <f t="shared" si="50"/>
        <v>-1.6333333333333335</v>
      </c>
      <c r="E1023" s="6">
        <f t="shared" si="51"/>
        <v>30.633333333333333</v>
      </c>
    </row>
    <row r="1024" spans="1:5" x14ac:dyDescent="0.2">
      <c r="A1024" t="s">
        <v>1326</v>
      </c>
      <c r="B1024" t="s">
        <v>1248</v>
      </c>
      <c r="C1024" s="6">
        <v>27.9</v>
      </c>
      <c r="D1024" s="6">
        <f t="shared" si="50"/>
        <v>-1.2375</v>
      </c>
      <c r="E1024" s="6">
        <f t="shared" si="51"/>
        <v>29.137499999999999</v>
      </c>
    </row>
    <row r="1025" spans="1:5" x14ac:dyDescent="0.2">
      <c r="A1025" t="s">
        <v>1326</v>
      </c>
      <c r="B1025" t="s">
        <v>1249</v>
      </c>
      <c r="C1025" s="6">
        <v>27.9</v>
      </c>
      <c r="D1025" s="6">
        <f t="shared" si="50"/>
        <v>-0.79583333333333328</v>
      </c>
      <c r="E1025" s="6">
        <f t="shared" si="51"/>
        <v>28.695833333333333</v>
      </c>
    </row>
    <row r="1026" spans="1:5" x14ac:dyDescent="0.2">
      <c r="A1026" t="s">
        <v>1326</v>
      </c>
      <c r="B1026" t="s">
        <v>1250</v>
      </c>
      <c r="C1026" s="6">
        <v>33.700000000000003</v>
      </c>
      <c r="D1026" s="6">
        <f t="shared" si="50"/>
        <v>-0.22499999999999995</v>
      </c>
      <c r="E1026" s="6">
        <f t="shared" si="51"/>
        <v>33.925000000000004</v>
      </c>
    </row>
    <row r="1027" spans="1:5" x14ac:dyDescent="0.2">
      <c r="A1027" t="s">
        <v>1326</v>
      </c>
      <c r="B1027" t="s">
        <v>1251</v>
      </c>
      <c r="C1027" s="6">
        <v>41.2</v>
      </c>
      <c r="D1027" s="6">
        <f t="shared" si="50"/>
        <v>0.4375</v>
      </c>
      <c r="E1027" s="6">
        <f t="shared" si="51"/>
        <v>40.762500000000003</v>
      </c>
    </row>
    <row r="1028" spans="1:5" x14ac:dyDescent="0.2">
      <c r="A1028" t="s">
        <v>1326</v>
      </c>
      <c r="B1028" t="s">
        <v>1252</v>
      </c>
      <c r="C1028" s="6">
        <v>22.8</v>
      </c>
      <c r="D1028" s="6">
        <f t="shared" si="50"/>
        <v>1.4145833333333331</v>
      </c>
      <c r="E1028" s="6">
        <f t="shared" si="51"/>
        <v>21.385416666666668</v>
      </c>
    </row>
    <row r="1029" spans="1:5" x14ac:dyDescent="0.2">
      <c r="A1029" t="s">
        <v>1326</v>
      </c>
      <c r="B1029" t="s">
        <v>1253</v>
      </c>
      <c r="C1029" s="6">
        <v>43.9</v>
      </c>
      <c r="D1029" s="6">
        <f t="shared" si="50"/>
        <v>1.9291666666666665</v>
      </c>
      <c r="E1029" s="6">
        <f t="shared" si="51"/>
        <v>41.970833333333331</v>
      </c>
    </row>
    <row r="1030" spans="1:5" x14ac:dyDescent="0.2">
      <c r="A1030" t="s">
        <v>1326</v>
      </c>
      <c r="B1030" t="s">
        <v>1254</v>
      </c>
      <c r="C1030" s="6">
        <v>15.8</v>
      </c>
      <c r="D1030" s="6">
        <f t="shared" si="50"/>
        <v>2.9604166666666667</v>
      </c>
      <c r="E1030" s="6">
        <f t="shared" si="51"/>
        <v>12.839583333333334</v>
      </c>
    </row>
    <row r="1031" spans="1:5" x14ac:dyDescent="0.2">
      <c r="A1031" t="s">
        <v>1326</v>
      </c>
      <c r="B1031" t="s">
        <v>1255</v>
      </c>
      <c r="C1031" s="6">
        <v>6.3</v>
      </c>
      <c r="D1031" s="6">
        <f t="shared" si="50"/>
        <v>3.4937500000000004</v>
      </c>
      <c r="E1031" s="6">
        <f t="shared" si="51"/>
        <v>2.8062499999999995</v>
      </c>
    </row>
    <row r="1032" spans="1:5" x14ac:dyDescent="0.2">
      <c r="A1032" t="s">
        <v>1326</v>
      </c>
      <c r="B1032" t="s">
        <v>1256</v>
      </c>
      <c r="C1032" s="6">
        <v>2.8</v>
      </c>
      <c r="D1032" s="6">
        <f t="shared" si="50"/>
        <v>3.6895833333333345</v>
      </c>
      <c r="E1032" s="6">
        <f t="shared" si="51"/>
        <v>-0.88958333333333472</v>
      </c>
    </row>
    <row r="1033" spans="1:5" x14ac:dyDescent="0.2">
      <c r="A1033" t="s">
        <v>1326</v>
      </c>
      <c r="B1033" t="s">
        <v>1257</v>
      </c>
      <c r="C1033" s="6">
        <v>-9.9</v>
      </c>
      <c r="D1033" s="6">
        <f t="shared" si="50"/>
        <v>3.8708333333333349</v>
      </c>
      <c r="E1033" s="6">
        <f t="shared" si="51"/>
        <v>-13.770833333333336</v>
      </c>
    </row>
    <row r="1034" spans="1:5" x14ac:dyDescent="0.2">
      <c r="A1034" t="s">
        <v>1326</v>
      </c>
      <c r="B1034" t="s">
        <v>1258</v>
      </c>
      <c r="C1034" s="6">
        <v>-8.6</v>
      </c>
      <c r="D1034" s="6">
        <f t="shared" si="50"/>
        <v>3.925000000000002</v>
      </c>
      <c r="E1034" s="6">
        <f t="shared" si="51"/>
        <v>-12.525000000000002</v>
      </c>
    </row>
    <row r="1035" spans="1:5" x14ac:dyDescent="0.2">
      <c r="A1035" t="s">
        <v>1326</v>
      </c>
      <c r="B1035" t="s">
        <v>1259</v>
      </c>
      <c r="C1035" s="6">
        <v>-9.4</v>
      </c>
      <c r="D1035" s="6">
        <f t="shared" si="50"/>
        <v>3.9625000000000017</v>
      </c>
      <c r="E1035" s="6">
        <f t="shared" si="51"/>
        <v>-13.362500000000002</v>
      </c>
    </row>
    <row r="1036" spans="1:5" x14ac:dyDescent="0.2">
      <c r="A1036" t="s">
        <v>1326</v>
      </c>
      <c r="B1036" t="s">
        <v>1260</v>
      </c>
      <c r="C1036" s="6">
        <v>0.7</v>
      </c>
      <c r="D1036" s="6">
        <f t="shared" si="50"/>
        <v>4.0583333333333345</v>
      </c>
      <c r="E1036" s="6">
        <f t="shared" si="51"/>
        <v>-3.3583333333333343</v>
      </c>
    </row>
    <row r="1037" spans="1:5" x14ac:dyDescent="0.2">
      <c r="A1037" t="s">
        <v>1326</v>
      </c>
      <c r="B1037" t="s">
        <v>1261</v>
      </c>
      <c r="C1037" s="6">
        <v>-27.5</v>
      </c>
      <c r="D1037" s="6">
        <f t="shared" si="50"/>
        <v>4.3833333333333337</v>
      </c>
      <c r="E1037" s="6">
        <f t="shared" si="51"/>
        <v>-31.883333333333333</v>
      </c>
    </row>
    <row r="1038" spans="1:5" x14ac:dyDescent="0.2">
      <c r="A1038" t="s">
        <v>1326</v>
      </c>
      <c r="B1038" t="s">
        <v>1262</v>
      </c>
      <c r="C1038" s="6">
        <v>-40.4</v>
      </c>
      <c r="D1038" s="6">
        <f t="shared" si="50"/>
        <v>4.0062500000000005</v>
      </c>
      <c r="E1038" s="6">
        <f t="shared" si="51"/>
        <v>-44.40625</v>
      </c>
    </row>
    <row r="1039" spans="1:5" x14ac:dyDescent="0.2">
      <c r="A1039" t="s">
        <v>1326</v>
      </c>
      <c r="B1039" t="s">
        <v>1263</v>
      </c>
      <c r="C1039" s="6">
        <v>-60.5</v>
      </c>
      <c r="D1039" s="6">
        <f t="shared" si="50"/>
        <v>3.5437499999999993</v>
      </c>
      <c r="E1039" s="6">
        <f t="shared" si="51"/>
        <v>-64.043750000000003</v>
      </c>
    </row>
    <row r="1040" spans="1:5" x14ac:dyDescent="0.2">
      <c r="A1040" t="s">
        <v>1326</v>
      </c>
      <c r="B1040" t="s">
        <v>1264</v>
      </c>
      <c r="C1040" s="6">
        <v>-70.900000000000006</v>
      </c>
      <c r="D1040" s="6">
        <f t="shared" si="50"/>
        <v>2.6124999999999994</v>
      </c>
      <c r="E1040" s="6">
        <f t="shared" si="51"/>
        <v>-73.512500000000003</v>
      </c>
    </row>
    <row r="1041" spans="1:5" x14ac:dyDescent="0.2">
      <c r="A1041" t="s">
        <v>1326</v>
      </c>
      <c r="B1041" t="s">
        <v>1265</v>
      </c>
      <c r="C1041" s="6">
        <v>-74</v>
      </c>
      <c r="D1041" s="6">
        <f t="shared" si="50"/>
        <v>1.5125000000000004</v>
      </c>
      <c r="E1041" s="6">
        <f t="shared" si="51"/>
        <v>-75.512500000000003</v>
      </c>
    </row>
    <row r="1042" spans="1:5" x14ac:dyDescent="0.2">
      <c r="A1042" t="s">
        <v>1326</v>
      </c>
      <c r="B1042" t="s">
        <v>1266</v>
      </c>
      <c r="C1042" s="6">
        <v>-73.7</v>
      </c>
      <c r="D1042" s="6">
        <f t="shared" si="50"/>
        <v>0.2791666666666674</v>
      </c>
      <c r="E1042" s="6">
        <f t="shared" si="51"/>
        <v>-73.979166666666671</v>
      </c>
    </row>
    <row r="1043" spans="1:5" x14ac:dyDescent="0.2">
      <c r="A1043" t="s">
        <v>1326</v>
      </c>
      <c r="B1043" t="s">
        <v>1267</v>
      </c>
      <c r="C1043" s="6">
        <v>-66.5</v>
      </c>
      <c r="D1043" s="6">
        <f t="shared" si="50"/>
        <v>-1.3374999999999988</v>
      </c>
      <c r="E1043" s="6">
        <f t="shared" si="51"/>
        <v>-65.162499999999994</v>
      </c>
    </row>
    <row r="1044" spans="1:5" x14ac:dyDescent="0.2">
      <c r="A1044" t="s">
        <v>1326</v>
      </c>
      <c r="B1044" t="s">
        <v>1268</v>
      </c>
      <c r="C1044" s="6">
        <v>-64.900000000000006</v>
      </c>
      <c r="D1044" s="6">
        <f t="shared" si="50"/>
        <v>-2.1020833333333333</v>
      </c>
      <c r="E1044" s="6">
        <f t="shared" si="51"/>
        <v>-62.797916666666673</v>
      </c>
    </row>
    <row r="1045" spans="1:5" x14ac:dyDescent="0.2">
      <c r="A1045" t="s">
        <v>1326</v>
      </c>
      <c r="B1045" t="s">
        <v>1269</v>
      </c>
      <c r="C1045" s="6">
        <v>-59.7</v>
      </c>
      <c r="D1045" s="6">
        <f t="shared" si="50"/>
        <v>-3.2145833333333322</v>
      </c>
      <c r="E1045" s="6">
        <f t="shared" si="51"/>
        <v>-56.485416666666673</v>
      </c>
    </row>
    <row r="1046" spans="1:5" x14ac:dyDescent="0.2">
      <c r="A1046" t="s">
        <v>1326</v>
      </c>
      <c r="B1046" t="s">
        <v>1270</v>
      </c>
      <c r="C1046" s="6">
        <v>-58.1</v>
      </c>
      <c r="D1046" s="6">
        <f t="shared" si="50"/>
        <v>-4.4854166666666666</v>
      </c>
      <c r="E1046" s="6">
        <f t="shared" si="51"/>
        <v>-53.614583333333336</v>
      </c>
    </row>
    <row r="1047" spans="1:5" x14ac:dyDescent="0.2">
      <c r="A1047" t="s">
        <v>1326</v>
      </c>
      <c r="B1047" t="s">
        <v>1271</v>
      </c>
      <c r="C1047" s="6">
        <v>-56.6</v>
      </c>
      <c r="D1047" s="6">
        <f t="shared" si="50"/>
        <v>-5.5833333333333321</v>
      </c>
      <c r="E1047" s="6">
        <f t="shared" si="51"/>
        <v>-51.016666666666666</v>
      </c>
    </row>
    <row r="1048" spans="1:5" x14ac:dyDescent="0.2">
      <c r="A1048" t="s">
        <v>1326</v>
      </c>
      <c r="B1048" t="s">
        <v>1272</v>
      </c>
      <c r="C1048" s="6">
        <v>-59.7</v>
      </c>
      <c r="D1048" s="6">
        <f t="shared" si="50"/>
        <v>-6.6583333333333323</v>
      </c>
      <c r="E1048" s="6">
        <f t="shared" si="51"/>
        <v>-53.041666666666671</v>
      </c>
    </row>
    <row r="1049" spans="1:5" x14ac:dyDescent="0.2">
      <c r="A1049" t="s">
        <v>1326</v>
      </c>
      <c r="B1049" t="s">
        <v>1273</v>
      </c>
      <c r="C1049" s="6">
        <v>-46.3</v>
      </c>
      <c r="D1049" s="6">
        <f t="shared" si="50"/>
        <v>-7.8354166666666663</v>
      </c>
      <c r="E1049" s="6">
        <f t="shared" si="51"/>
        <v>-38.46458333333333</v>
      </c>
    </row>
    <row r="1050" spans="1:5" x14ac:dyDescent="0.2">
      <c r="A1050" t="s">
        <v>1326</v>
      </c>
      <c r="B1050" t="s">
        <v>1274</v>
      </c>
      <c r="C1050" s="6">
        <v>-41.3</v>
      </c>
      <c r="D1050" s="6">
        <f t="shared" si="50"/>
        <v>-8.6187499999999986</v>
      </c>
      <c r="E1050" s="6">
        <f t="shared" si="51"/>
        <v>-32.681249999999999</v>
      </c>
    </row>
    <row r="1051" spans="1:5" x14ac:dyDescent="0.2">
      <c r="A1051" t="s">
        <v>1326</v>
      </c>
      <c r="B1051" t="s">
        <v>1275</v>
      </c>
      <c r="C1051" s="6">
        <v>-10.8</v>
      </c>
      <c r="D1051" s="6">
        <f t="shared" si="50"/>
        <v>-9.3812499999999996</v>
      </c>
      <c r="E1051" s="6">
        <f t="shared" si="51"/>
        <v>-1.4187500000000011</v>
      </c>
    </row>
    <row r="1052" spans="1:5" x14ac:dyDescent="0.2">
      <c r="A1052" t="s">
        <v>1326</v>
      </c>
      <c r="B1052" t="s">
        <v>1276</v>
      </c>
      <c r="C1052" s="6">
        <v>55.2</v>
      </c>
      <c r="D1052" s="6">
        <f t="shared" si="50"/>
        <v>-9.5374999999999996</v>
      </c>
      <c r="E1052" s="6">
        <f t="shared" si="51"/>
        <v>64.737499999999997</v>
      </c>
    </row>
    <row r="1053" spans="1:5" x14ac:dyDescent="0.2">
      <c r="A1053" t="s">
        <v>1326</v>
      </c>
      <c r="B1053" t="s">
        <v>1277</v>
      </c>
      <c r="C1053" s="6">
        <v>52.2</v>
      </c>
      <c r="D1053" s="6">
        <f t="shared" si="50"/>
        <v>-8.3208333333333346</v>
      </c>
      <c r="E1053" s="6">
        <f t="shared" si="51"/>
        <v>60.520833333333336</v>
      </c>
    </row>
    <row r="1054" spans="1:5" x14ac:dyDescent="0.2">
      <c r="A1054" t="s">
        <v>1326</v>
      </c>
      <c r="B1054" t="s">
        <v>1278</v>
      </c>
      <c r="C1054" s="6">
        <v>-16</v>
      </c>
      <c r="D1054" s="6">
        <f t="shared" ref="D1054:D1085" si="52">AVERAGE(C1006:C1053)</f>
        <v>-7.2208333333333341</v>
      </c>
      <c r="E1054" s="6">
        <f t="shared" ref="E1054:E1085" si="53">C1054-D1054</f>
        <v>-8.779166666666665</v>
      </c>
    </row>
    <row r="1055" spans="1:5" x14ac:dyDescent="0.2">
      <c r="A1055" t="s">
        <v>1326</v>
      </c>
      <c r="B1055" t="s">
        <v>1279</v>
      </c>
      <c r="C1055" s="6">
        <v>-14.6</v>
      </c>
      <c r="D1055" s="6">
        <f t="shared" si="52"/>
        <v>-7.8812499999999988</v>
      </c>
      <c r="E1055" s="6">
        <f t="shared" si="53"/>
        <v>-6.7187500000000009</v>
      </c>
    </row>
    <row r="1056" spans="1:5" x14ac:dyDescent="0.2">
      <c r="A1056" t="s">
        <v>1326</v>
      </c>
      <c r="B1056" t="s">
        <v>1280</v>
      </c>
      <c r="C1056" s="6">
        <v>-12</v>
      </c>
      <c r="D1056" s="6">
        <f t="shared" si="52"/>
        <v>-7.991666666666668</v>
      </c>
      <c r="E1056" s="6">
        <f t="shared" si="53"/>
        <v>-4.008333333333332</v>
      </c>
    </row>
    <row r="1057" spans="1:5" x14ac:dyDescent="0.2">
      <c r="A1057" t="s">
        <v>1326</v>
      </c>
      <c r="B1057" t="s">
        <v>1281</v>
      </c>
      <c r="C1057" s="6">
        <v>-4.2</v>
      </c>
      <c r="D1057" s="6">
        <f t="shared" si="52"/>
        <v>-8.3041666666666671</v>
      </c>
      <c r="E1057" s="6">
        <f t="shared" si="53"/>
        <v>4.104166666666667</v>
      </c>
    </row>
    <row r="1058" spans="1:5" x14ac:dyDescent="0.2">
      <c r="A1058" t="s">
        <v>1326</v>
      </c>
      <c r="B1058" t="s">
        <v>1282</v>
      </c>
      <c r="C1058" s="6">
        <v>-4.9000000000000004</v>
      </c>
      <c r="D1058" s="6">
        <f t="shared" si="52"/>
        <v>-8.3583333333333325</v>
      </c>
      <c r="E1058" s="6">
        <f t="shared" si="53"/>
        <v>3.4583333333333321</v>
      </c>
    </row>
    <row r="1059" spans="1:5" x14ac:dyDescent="0.2">
      <c r="A1059" t="s">
        <v>1326</v>
      </c>
      <c r="B1059" t="s">
        <v>1283</v>
      </c>
      <c r="C1059" s="6">
        <v>-0.1</v>
      </c>
      <c r="D1059" s="6">
        <f t="shared" si="52"/>
        <v>-8.4604166666666654</v>
      </c>
      <c r="E1059" s="6">
        <f t="shared" si="53"/>
        <v>8.3604166666666657</v>
      </c>
    </row>
    <row r="1060" spans="1:5" x14ac:dyDescent="0.2">
      <c r="A1060" t="s">
        <v>1326</v>
      </c>
      <c r="B1060" t="s">
        <v>1284</v>
      </c>
      <c r="C1060" s="6">
        <v>5.6</v>
      </c>
      <c r="D1060" s="6">
        <f t="shared" si="52"/>
        <v>-8.5083333333333329</v>
      </c>
      <c r="E1060" s="6">
        <f t="shared" si="53"/>
        <v>14.108333333333333</v>
      </c>
    </row>
    <row r="1061" spans="1:5" x14ac:dyDescent="0.2">
      <c r="A1061" t="s">
        <v>1326</v>
      </c>
      <c r="B1061" t="s">
        <v>1285</v>
      </c>
      <c r="C1061" s="6">
        <v>10.199999999999999</v>
      </c>
      <c r="D1061" s="6">
        <f t="shared" si="52"/>
        <v>-8.3562499999999993</v>
      </c>
      <c r="E1061" s="6">
        <f t="shared" si="53"/>
        <v>18.556249999999999</v>
      </c>
    </row>
    <row r="1062" spans="1:5" x14ac:dyDescent="0.2">
      <c r="A1062" t="s">
        <v>1326</v>
      </c>
      <c r="B1062" t="s">
        <v>1286</v>
      </c>
      <c r="C1062" s="6">
        <v>6.4</v>
      </c>
      <c r="D1062" s="6">
        <f t="shared" si="52"/>
        <v>-8.2479166666666668</v>
      </c>
      <c r="E1062" s="6">
        <f t="shared" si="53"/>
        <v>14.647916666666667</v>
      </c>
    </row>
    <row r="1063" spans="1:5" x14ac:dyDescent="0.2">
      <c r="A1063" t="s">
        <v>1326</v>
      </c>
      <c r="B1063" t="s">
        <v>1287</v>
      </c>
      <c r="C1063" s="6">
        <v>26.9</v>
      </c>
      <c r="D1063" s="6">
        <f t="shared" si="52"/>
        <v>-8.3270833333333343</v>
      </c>
      <c r="E1063" s="6">
        <f t="shared" si="53"/>
        <v>35.227083333333333</v>
      </c>
    </row>
    <row r="1064" spans="1:5" x14ac:dyDescent="0.2">
      <c r="A1064" t="s">
        <v>1326</v>
      </c>
      <c r="B1064" t="s">
        <v>1288</v>
      </c>
      <c r="C1064" s="6">
        <v>-13.7</v>
      </c>
      <c r="D1064" s="6">
        <f t="shared" si="52"/>
        <v>-7.9312500000000012</v>
      </c>
      <c r="E1064" s="6">
        <f t="shared" si="53"/>
        <v>-5.768749999999998</v>
      </c>
    </row>
    <row r="1065" spans="1:5" x14ac:dyDescent="0.2">
      <c r="A1065" t="s">
        <v>1326</v>
      </c>
      <c r="B1065" t="s">
        <v>1289</v>
      </c>
      <c r="C1065" s="6">
        <v>34.6</v>
      </c>
      <c r="D1065" s="6">
        <f t="shared" si="52"/>
        <v>-8.4250000000000025</v>
      </c>
      <c r="E1065" s="6">
        <f t="shared" si="53"/>
        <v>43.025000000000006</v>
      </c>
    </row>
    <row r="1066" spans="1:5" x14ac:dyDescent="0.2">
      <c r="A1066" t="s">
        <v>1326</v>
      </c>
      <c r="B1066" t="s">
        <v>1290</v>
      </c>
      <c r="C1066" s="6">
        <v>25.3</v>
      </c>
      <c r="D1066" s="6">
        <f t="shared" si="52"/>
        <v>-8.0479166666666675</v>
      </c>
      <c r="E1066" s="6">
        <f t="shared" si="53"/>
        <v>33.34791666666667</v>
      </c>
    </row>
    <row r="1067" spans="1:5" x14ac:dyDescent="0.2">
      <c r="A1067" t="s">
        <v>1326</v>
      </c>
      <c r="B1067" t="s">
        <v>1291</v>
      </c>
      <c r="C1067" s="6">
        <v>17.100000000000001</v>
      </c>
      <c r="D1067" s="6">
        <f t="shared" si="52"/>
        <v>-7.2875000000000014</v>
      </c>
      <c r="E1067" s="6">
        <f t="shared" si="53"/>
        <v>24.387500000000003</v>
      </c>
    </row>
    <row r="1068" spans="1:5" x14ac:dyDescent="0.2">
      <c r="A1068" t="s">
        <v>1326</v>
      </c>
      <c r="B1068" t="s">
        <v>1292</v>
      </c>
      <c r="C1068" s="6">
        <v>12.7</v>
      </c>
      <c r="D1068" s="6">
        <f t="shared" si="52"/>
        <v>-7.2020833333333343</v>
      </c>
      <c r="E1068" s="6">
        <f t="shared" si="53"/>
        <v>19.902083333333334</v>
      </c>
    </row>
    <row r="1069" spans="1:5" x14ac:dyDescent="0.2">
      <c r="A1069" t="s">
        <v>1326</v>
      </c>
      <c r="B1069" t="s">
        <v>1293</v>
      </c>
      <c r="C1069" s="6">
        <v>7.2</v>
      </c>
      <c r="D1069" s="6">
        <f t="shared" si="52"/>
        <v>-7.3625000000000007</v>
      </c>
      <c r="E1069" s="6">
        <f t="shared" si="53"/>
        <v>14.5625</v>
      </c>
    </row>
    <row r="1070" spans="1:5" x14ac:dyDescent="0.2">
      <c r="A1070" t="s">
        <v>1326</v>
      </c>
      <c r="B1070" t="s">
        <v>1294</v>
      </c>
      <c r="C1070" s="6">
        <v>16.600000000000001</v>
      </c>
      <c r="D1070" s="6">
        <f t="shared" si="52"/>
        <v>-7.7979166666666684</v>
      </c>
      <c r="E1070" s="6">
        <f t="shared" si="53"/>
        <v>24.397916666666671</v>
      </c>
    </row>
    <row r="1071" spans="1:5" x14ac:dyDescent="0.2">
      <c r="A1071" t="s">
        <v>1326</v>
      </c>
      <c r="B1071" t="s">
        <v>1295</v>
      </c>
      <c r="C1071" s="6">
        <v>17.3</v>
      </c>
      <c r="D1071" s="6">
        <f t="shared" si="52"/>
        <v>-7.9645833333333327</v>
      </c>
      <c r="E1071" s="6">
        <f t="shared" si="53"/>
        <v>25.264583333333334</v>
      </c>
    </row>
    <row r="1072" spans="1:5" x14ac:dyDescent="0.2">
      <c r="A1072" t="s">
        <v>1326</v>
      </c>
      <c r="B1072" t="s">
        <v>1296</v>
      </c>
      <c r="C1072" s="6">
        <v>17.600000000000001</v>
      </c>
      <c r="D1072" s="6">
        <f t="shared" si="52"/>
        <v>-8.2083333333333304</v>
      </c>
      <c r="E1072" s="6">
        <f t="shared" si="53"/>
        <v>25.80833333333333</v>
      </c>
    </row>
    <row r="1073" spans="1:5" x14ac:dyDescent="0.2">
      <c r="A1073" t="s">
        <v>1326</v>
      </c>
      <c r="B1073" t="s">
        <v>1297</v>
      </c>
      <c r="C1073" s="6">
        <v>7.1</v>
      </c>
      <c r="D1073" s="6">
        <f t="shared" si="52"/>
        <v>-8.4229166666666639</v>
      </c>
      <c r="E1073" s="6">
        <f t="shared" si="53"/>
        <v>15.522916666666664</v>
      </c>
    </row>
    <row r="1074" spans="1:5" x14ac:dyDescent="0.2">
      <c r="A1074" t="s">
        <v>1326</v>
      </c>
      <c r="B1074" t="s">
        <v>1298</v>
      </c>
      <c r="C1074" s="6">
        <v>8.6999999999999993</v>
      </c>
      <c r="D1074" s="6">
        <f t="shared" si="52"/>
        <v>-8.8562499999999975</v>
      </c>
      <c r="E1074" s="6">
        <f t="shared" si="53"/>
        <v>17.556249999999999</v>
      </c>
    </row>
    <row r="1075" spans="1:5" x14ac:dyDescent="0.2">
      <c r="A1075" t="s">
        <v>1326</v>
      </c>
      <c r="B1075" t="s">
        <v>1299</v>
      </c>
      <c r="C1075" s="6">
        <v>11.4</v>
      </c>
      <c r="D1075" s="6">
        <f t="shared" si="52"/>
        <v>-9.3770833333333261</v>
      </c>
      <c r="E1075" s="6">
        <f t="shared" si="53"/>
        <v>20.777083333333326</v>
      </c>
    </row>
    <row r="1076" spans="1:5" x14ac:dyDescent="0.2">
      <c r="A1076" t="s">
        <v>1326</v>
      </c>
      <c r="B1076" t="s">
        <v>1300</v>
      </c>
      <c r="C1076" s="6">
        <v>11</v>
      </c>
      <c r="D1076" s="6">
        <f t="shared" si="52"/>
        <v>-9.9979166666666632</v>
      </c>
      <c r="E1076" s="6">
        <f t="shared" si="53"/>
        <v>20.997916666666661</v>
      </c>
    </row>
    <row r="1077" spans="1:5" x14ac:dyDescent="0.2">
      <c r="A1077" t="s">
        <v>1326</v>
      </c>
      <c r="B1077" t="s">
        <v>1301</v>
      </c>
      <c r="C1077" s="6">
        <v>10.7</v>
      </c>
      <c r="D1077" s="6">
        <f t="shared" si="52"/>
        <v>-10.243749999999993</v>
      </c>
      <c r="E1077" s="6">
        <f t="shared" si="53"/>
        <v>20.943749999999994</v>
      </c>
    </row>
    <row r="1078" spans="1:5" x14ac:dyDescent="0.2">
      <c r="A1078" t="s">
        <v>1326</v>
      </c>
      <c r="B1078" t="s">
        <v>1302</v>
      </c>
      <c r="C1078" s="6">
        <v>0.3</v>
      </c>
      <c r="D1078" s="6">
        <f t="shared" si="52"/>
        <v>-10.935416666666663</v>
      </c>
      <c r="E1078" s="6">
        <f t="shared" si="53"/>
        <v>11.235416666666664</v>
      </c>
    </row>
    <row r="1079" spans="1:5" x14ac:dyDescent="0.2">
      <c r="A1079" t="s">
        <v>1326</v>
      </c>
      <c r="B1079" t="s">
        <v>1303</v>
      </c>
      <c r="C1079" s="6">
        <v>20.6</v>
      </c>
      <c r="D1079" s="6">
        <f t="shared" si="52"/>
        <v>-11.258333333333331</v>
      </c>
      <c r="E1079" s="6">
        <f t="shared" si="53"/>
        <v>31.858333333333334</v>
      </c>
    </row>
    <row r="1080" spans="1:5" x14ac:dyDescent="0.2">
      <c r="A1080" t="s">
        <v>1326</v>
      </c>
      <c r="B1080" t="s">
        <v>1304</v>
      </c>
      <c r="C1080" s="6">
        <v>-15.7</v>
      </c>
      <c r="D1080" s="6">
        <f t="shared" si="52"/>
        <v>-10.960416666666665</v>
      </c>
      <c r="E1080" s="6">
        <f t="shared" si="53"/>
        <v>-4.7395833333333339</v>
      </c>
    </row>
    <row r="1081" spans="1:5" x14ac:dyDescent="0.2">
      <c r="A1081" t="s">
        <v>1326</v>
      </c>
      <c r="B1081" t="s">
        <v>1305</v>
      </c>
      <c r="C1081" s="6">
        <v>2.6</v>
      </c>
      <c r="D1081" s="6">
        <f t="shared" si="52"/>
        <v>-11.345833333333331</v>
      </c>
      <c r="E1081" s="6">
        <f t="shared" si="53"/>
        <v>13.945833333333331</v>
      </c>
    </row>
    <row r="1082" spans="1:5" x14ac:dyDescent="0.2">
      <c r="A1082" t="s">
        <v>1326</v>
      </c>
      <c r="B1082" t="s">
        <v>1306</v>
      </c>
      <c r="C1082" s="6">
        <v>1.7</v>
      </c>
      <c r="D1082" s="6">
        <f t="shared" si="52"/>
        <v>-11.085416666666665</v>
      </c>
      <c r="E1082" s="6">
        <f t="shared" si="53"/>
        <v>12.785416666666665</v>
      </c>
    </row>
    <row r="1083" spans="1:5" x14ac:dyDescent="0.2">
      <c r="A1083" t="s">
        <v>1326</v>
      </c>
      <c r="B1083" t="s">
        <v>1307</v>
      </c>
      <c r="C1083" s="6">
        <v>0.6</v>
      </c>
      <c r="D1083" s="6">
        <f t="shared" si="52"/>
        <v>-10.87083333333333</v>
      </c>
      <c r="E1083" s="6">
        <f t="shared" si="53"/>
        <v>11.47083333333333</v>
      </c>
    </row>
    <row r="1084" spans="1:5" x14ac:dyDescent="0.2">
      <c r="A1084" t="s">
        <v>1326</v>
      </c>
      <c r="B1084" t="s">
        <v>1308</v>
      </c>
      <c r="C1084" s="6">
        <v>0.6</v>
      </c>
      <c r="D1084" s="6">
        <f t="shared" si="52"/>
        <v>-10.662499999999996</v>
      </c>
      <c r="E1084" s="6">
        <f t="shared" si="53"/>
        <v>11.262499999999996</v>
      </c>
    </row>
    <row r="1085" spans="1:5" x14ac:dyDescent="0.2">
      <c r="A1085" t="s">
        <v>1326</v>
      </c>
      <c r="B1085" t="s">
        <v>1309</v>
      </c>
      <c r="C1085" s="6">
        <v>-5.8</v>
      </c>
      <c r="D1085" s="6">
        <f t="shared" si="52"/>
        <v>-10.664583333333328</v>
      </c>
      <c r="E1085" s="6">
        <f t="shared" si="53"/>
        <v>4.8645833333333277</v>
      </c>
    </row>
    <row r="1086" spans="1:5" x14ac:dyDescent="0.2">
      <c r="A1086" t="s">
        <v>1326</v>
      </c>
      <c r="B1086" t="s">
        <v>1310</v>
      </c>
      <c r="C1086" s="6">
        <v>4.9000000000000004</v>
      </c>
      <c r="D1086" s="6">
        <f t="shared" ref="D1086:D1117" si="54">AVERAGE(C1038:C1085)</f>
        <v>-10.212499999999993</v>
      </c>
      <c r="E1086" s="6">
        <f t="shared" ref="E1086:E1117" si="55">C1086-D1086</f>
        <v>15.112499999999994</v>
      </c>
    </row>
    <row r="1087" spans="1:5" x14ac:dyDescent="0.2">
      <c r="A1087" t="s">
        <v>1326</v>
      </c>
      <c r="B1087" t="s">
        <v>1311</v>
      </c>
      <c r="C1087" s="6">
        <v>12.4</v>
      </c>
      <c r="D1087" s="6">
        <f t="shared" si="54"/>
        <v>-9.2687499999999954</v>
      </c>
      <c r="E1087" s="6">
        <f t="shared" si="55"/>
        <v>21.668749999999996</v>
      </c>
    </row>
    <row r="1088" spans="1:5" x14ac:dyDescent="0.2">
      <c r="A1088" t="s">
        <v>1326</v>
      </c>
      <c r="B1088" t="s">
        <v>1312</v>
      </c>
      <c r="C1088" s="6">
        <v>-5.4</v>
      </c>
      <c r="D1088" s="6">
        <f t="shared" si="54"/>
        <v>-7.7499999999999964</v>
      </c>
      <c r="E1088" s="6">
        <f t="shared" si="55"/>
        <v>2.3499999999999961</v>
      </c>
    </row>
    <row r="1089" spans="1:5" x14ac:dyDescent="0.2">
      <c r="A1089" t="s">
        <v>1326</v>
      </c>
      <c r="B1089" t="s">
        <v>1313</v>
      </c>
      <c r="C1089" s="6">
        <v>-0.3</v>
      </c>
      <c r="D1089" s="6">
        <f t="shared" si="54"/>
        <v>-6.3854166666666616</v>
      </c>
      <c r="E1089" s="6">
        <f t="shared" si="55"/>
        <v>6.0854166666666618</v>
      </c>
    </row>
    <row r="1090" spans="1:5" x14ac:dyDescent="0.2">
      <c r="A1090" t="s">
        <v>1326</v>
      </c>
      <c r="B1090" t="s">
        <v>1314</v>
      </c>
      <c r="C1090" s="6">
        <v>-5.8</v>
      </c>
      <c r="D1090" s="6">
        <f t="shared" si="54"/>
        <v>-4.8500000000000005</v>
      </c>
      <c r="E1090" s="6">
        <f t="shared" si="55"/>
        <v>-0.94999999999999929</v>
      </c>
    </row>
    <row r="1091" spans="1:5" x14ac:dyDescent="0.2">
      <c r="A1091" t="s">
        <v>1326</v>
      </c>
      <c r="B1091" t="s">
        <v>1315</v>
      </c>
      <c r="C1091" s="6">
        <v>-3</v>
      </c>
      <c r="D1091" s="6">
        <f t="shared" si="54"/>
        <v>-3.4354166666666686</v>
      </c>
      <c r="E1091" s="6">
        <f t="shared" si="55"/>
        <v>0.43541666666666856</v>
      </c>
    </row>
    <row r="1092" spans="1:5" x14ac:dyDescent="0.2">
      <c r="A1092" t="s">
        <v>1326</v>
      </c>
      <c r="B1092" t="s">
        <v>1316</v>
      </c>
      <c r="C1092" s="6">
        <v>-7</v>
      </c>
      <c r="D1092" s="6">
        <f t="shared" si="54"/>
        <v>-2.112500000000002</v>
      </c>
      <c r="E1092" s="6">
        <f t="shared" si="55"/>
        <v>-4.8874999999999975</v>
      </c>
    </row>
    <row r="1093" spans="1:5" x14ac:dyDescent="0.2">
      <c r="A1093" t="s">
        <v>1326</v>
      </c>
      <c r="B1093" t="s">
        <v>1317</v>
      </c>
      <c r="C1093" s="6">
        <v>3.4</v>
      </c>
      <c r="D1093" s="6">
        <f t="shared" si="54"/>
        <v>-0.90625000000000011</v>
      </c>
      <c r="E1093" s="6">
        <f t="shared" si="55"/>
        <v>4.3062500000000004</v>
      </c>
    </row>
    <row r="1094" spans="1:5" x14ac:dyDescent="0.2">
      <c r="A1094" t="s">
        <v>1326</v>
      </c>
      <c r="B1094" t="s">
        <v>1318</v>
      </c>
      <c r="C1094" s="6">
        <v>4.9000000000000004</v>
      </c>
      <c r="D1094" s="6">
        <f t="shared" si="54"/>
        <v>0.40833333333333321</v>
      </c>
      <c r="E1094" s="6">
        <f t="shared" si="55"/>
        <v>4.4916666666666671</v>
      </c>
    </row>
    <row r="1095" spans="1:5" x14ac:dyDescent="0.2">
      <c r="A1095" t="s">
        <v>1326</v>
      </c>
      <c r="B1095" t="s">
        <v>1319</v>
      </c>
      <c r="C1095" s="6">
        <v>-2.4</v>
      </c>
      <c r="D1095" s="6">
        <f t="shared" si="54"/>
        <v>1.7208333333333323</v>
      </c>
      <c r="E1095" s="6">
        <f t="shared" si="55"/>
        <v>-4.1208333333333318</v>
      </c>
    </row>
    <row r="1096" spans="1:5" x14ac:dyDescent="0.2">
      <c r="A1096" t="s">
        <v>1326</v>
      </c>
      <c r="B1096" t="s">
        <v>1320</v>
      </c>
      <c r="C1096" s="6">
        <v>-4.7</v>
      </c>
      <c r="D1096" s="6">
        <f t="shared" si="54"/>
        <v>2.8499999999999992</v>
      </c>
      <c r="E1096" s="6">
        <f t="shared" si="55"/>
        <v>-7.5499999999999989</v>
      </c>
    </row>
    <row r="1097" spans="1:5" x14ac:dyDescent="0.2">
      <c r="A1097" t="s">
        <v>1326</v>
      </c>
      <c r="B1097" t="s">
        <v>16</v>
      </c>
      <c r="C1097" s="6">
        <v>6.1</v>
      </c>
      <c r="D1097" s="6">
        <f t="shared" si="54"/>
        <v>3.9958333333333331</v>
      </c>
      <c r="E1097" s="6">
        <f t="shared" si="55"/>
        <v>2.1041666666666665</v>
      </c>
    </row>
    <row r="1098" spans="1:5" x14ac:dyDescent="0.2">
      <c r="A1098" t="s">
        <v>1327</v>
      </c>
      <c r="B1098" t="s">
        <v>1166</v>
      </c>
      <c r="C1098" s="6">
        <v>1.2</v>
      </c>
    </row>
    <row r="1099" spans="1:5" x14ac:dyDescent="0.2">
      <c r="A1099" t="s">
        <v>1327</v>
      </c>
      <c r="B1099" t="s">
        <v>1167</v>
      </c>
      <c r="C1099" s="6">
        <v>-5.4</v>
      </c>
    </row>
    <row r="1100" spans="1:5" x14ac:dyDescent="0.2">
      <c r="A1100" t="s">
        <v>1327</v>
      </c>
      <c r="B1100" t="s">
        <v>1168</v>
      </c>
      <c r="C1100" s="6">
        <v>-7</v>
      </c>
    </row>
    <row r="1101" spans="1:5" x14ac:dyDescent="0.2">
      <c r="A1101" t="s">
        <v>1327</v>
      </c>
      <c r="B1101" t="s">
        <v>1169</v>
      </c>
      <c r="C1101" s="6">
        <v>-12</v>
      </c>
    </row>
    <row r="1102" spans="1:5" x14ac:dyDescent="0.2">
      <c r="A1102" t="s">
        <v>1327</v>
      </c>
      <c r="B1102" t="s">
        <v>1170</v>
      </c>
      <c r="C1102" s="6">
        <v>-6.7</v>
      </c>
    </row>
    <row r="1103" spans="1:5" x14ac:dyDescent="0.2">
      <c r="A1103" t="s">
        <v>1327</v>
      </c>
      <c r="B1103" t="s">
        <v>1171</v>
      </c>
      <c r="C1103" s="6">
        <v>1.7</v>
      </c>
    </row>
    <row r="1104" spans="1:5" x14ac:dyDescent="0.2">
      <c r="A1104" t="s">
        <v>1327</v>
      </c>
      <c r="B1104" t="s">
        <v>1172</v>
      </c>
      <c r="C1104" s="6">
        <v>8.6</v>
      </c>
    </row>
    <row r="1105" spans="1:3" x14ac:dyDescent="0.2">
      <c r="A1105" t="s">
        <v>1327</v>
      </c>
      <c r="B1105" t="s">
        <v>1173</v>
      </c>
      <c r="C1105" s="6">
        <v>-10.6</v>
      </c>
    </row>
    <row r="1106" spans="1:3" x14ac:dyDescent="0.2">
      <c r="A1106" t="s">
        <v>1327</v>
      </c>
      <c r="B1106" t="s">
        <v>1174</v>
      </c>
      <c r="C1106" s="6">
        <v>-3.6</v>
      </c>
    </row>
    <row r="1107" spans="1:3" x14ac:dyDescent="0.2">
      <c r="A1107" t="s">
        <v>1327</v>
      </c>
      <c r="B1107" t="s">
        <v>1175</v>
      </c>
      <c r="C1107" s="6">
        <v>8.3000000000000007</v>
      </c>
    </row>
    <row r="1108" spans="1:3" x14ac:dyDescent="0.2">
      <c r="A1108" t="s">
        <v>1327</v>
      </c>
      <c r="B1108" t="s">
        <v>1176</v>
      </c>
      <c r="C1108" s="6">
        <v>12.7</v>
      </c>
    </row>
    <row r="1109" spans="1:3" x14ac:dyDescent="0.2">
      <c r="A1109" t="s">
        <v>1327</v>
      </c>
      <c r="B1109" t="s">
        <v>1177</v>
      </c>
      <c r="C1109" s="6">
        <v>5.0999999999999996</v>
      </c>
    </row>
    <row r="1110" spans="1:3" x14ac:dyDescent="0.2">
      <c r="A1110" t="s">
        <v>1327</v>
      </c>
      <c r="B1110" t="s">
        <v>1178</v>
      </c>
      <c r="C1110" s="6">
        <v>8.8000000000000007</v>
      </c>
    </row>
    <row r="1111" spans="1:3" x14ac:dyDescent="0.2">
      <c r="A1111" t="s">
        <v>1327</v>
      </c>
      <c r="B1111" t="s">
        <v>1179</v>
      </c>
      <c r="C1111" s="6">
        <v>14.9</v>
      </c>
    </row>
    <row r="1112" spans="1:3" x14ac:dyDescent="0.2">
      <c r="A1112" t="s">
        <v>1327</v>
      </c>
      <c r="B1112" t="s">
        <v>1180</v>
      </c>
      <c r="C1112" s="6">
        <v>18.8</v>
      </c>
    </row>
    <row r="1113" spans="1:3" x14ac:dyDescent="0.2">
      <c r="A1113" t="s">
        <v>1327</v>
      </c>
      <c r="B1113" t="s">
        <v>1181</v>
      </c>
      <c r="C1113" s="6">
        <v>32.9</v>
      </c>
    </row>
    <row r="1114" spans="1:3" x14ac:dyDescent="0.2">
      <c r="A1114" t="s">
        <v>1327</v>
      </c>
      <c r="B1114" t="s">
        <v>1182</v>
      </c>
      <c r="C1114" s="6">
        <v>22.6</v>
      </c>
    </row>
    <row r="1115" spans="1:3" x14ac:dyDescent="0.2">
      <c r="A1115" t="s">
        <v>1327</v>
      </c>
      <c r="B1115" t="s">
        <v>1183</v>
      </c>
      <c r="C1115" s="6">
        <v>10</v>
      </c>
    </row>
    <row r="1116" spans="1:3" x14ac:dyDescent="0.2">
      <c r="A1116" t="s">
        <v>1327</v>
      </c>
      <c r="B1116" t="s">
        <v>1184</v>
      </c>
      <c r="C1116" s="6">
        <v>-3.8</v>
      </c>
    </row>
    <row r="1117" spans="1:3" x14ac:dyDescent="0.2">
      <c r="A1117" t="s">
        <v>1327</v>
      </c>
      <c r="B1117" t="s">
        <v>1185</v>
      </c>
      <c r="C1117" s="6">
        <v>0.5</v>
      </c>
    </row>
    <row r="1118" spans="1:3" x14ac:dyDescent="0.2">
      <c r="A1118" t="s">
        <v>1327</v>
      </c>
      <c r="B1118" t="s">
        <v>1186</v>
      </c>
      <c r="C1118" s="6">
        <v>2.2999999999999998</v>
      </c>
    </row>
    <row r="1119" spans="1:3" x14ac:dyDescent="0.2">
      <c r="A1119" t="s">
        <v>1327</v>
      </c>
      <c r="B1119" t="s">
        <v>1187</v>
      </c>
      <c r="C1119" s="6">
        <v>-2</v>
      </c>
    </row>
    <row r="1120" spans="1:3" x14ac:dyDescent="0.2">
      <c r="A1120" t="s">
        <v>1327</v>
      </c>
      <c r="B1120" t="s">
        <v>1188</v>
      </c>
      <c r="C1120" s="6">
        <v>-7.1</v>
      </c>
    </row>
    <row r="1121" spans="1:3" x14ac:dyDescent="0.2">
      <c r="A1121" t="s">
        <v>1327</v>
      </c>
      <c r="B1121" t="s">
        <v>1189</v>
      </c>
      <c r="C1121" s="6">
        <v>1.8</v>
      </c>
    </row>
    <row r="1122" spans="1:3" x14ac:dyDescent="0.2">
      <c r="A1122" t="s">
        <v>1327</v>
      </c>
      <c r="B1122" t="s">
        <v>1190</v>
      </c>
      <c r="C1122" s="6">
        <v>6.5</v>
      </c>
    </row>
    <row r="1123" spans="1:3" x14ac:dyDescent="0.2">
      <c r="A1123" t="s">
        <v>1327</v>
      </c>
      <c r="B1123" t="s">
        <v>1191</v>
      </c>
      <c r="C1123" s="6">
        <v>-2.4</v>
      </c>
    </row>
    <row r="1124" spans="1:3" x14ac:dyDescent="0.2">
      <c r="A1124" t="s">
        <v>1327</v>
      </c>
      <c r="B1124" t="s">
        <v>1192</v>
      </c>
      <c r="C1124" s="6">
        <v>-3.6</v>
      </c>
    </row>
    <row r="1125" spans="1:3" x14ac:dyDescent="0.2">
      <c r="A1125" t="s">
        <v>1327</v>
      </c>
      <c r="B1125" t="s">
        <v>1193</v>
      </c>
      <c r="C1125" s="6">
        <v>-4.2</v>
      </c>
    </row>
    <row r="1126" spans="1:3" x14ac:dyDescent="0.2">
      <c r="A1126" t="s">
        <v>1327</v>
      </c>
      <c r="B1126" t="s">
        <v>1194</v>
      </c>
      <c r="C1126" s="6">
        <v>-4.2</v>
      </c>
    </row>
    <row r="1127" spans="1:3" x14ac:dyDescent="0.2">
      <c r="A1127" t="s">
        <v>1327</v>
      </c>
      <c r="B1127" t="s">
        <v>1195</v>
      </c>
      <c r="C1127" s="6">
        <v>11.8</v>
      </c>
    </row>
    <row r="1128" spans="1:3" x14ac:dyDescent="0.2">
      <c r="A1128" t="s">
        <v>1327</v>
      </c>
      <c r="B1128" t="s">
        <v>1196</v>
      </c>
      <c r="C1128" s="6">
        <v>11.6</v>
      </c>
    </row>
    <row r="1129" spans="1:3" x14ac:dyDescent="0.2">
      <c r="A1129" t="s">
        <v>1327</v>
      </c>
      <c r="B1129" t="s">
        <v>1197</v>
      </c>
      <c r="C1129" s="6">
        <v>13.7</v>
      </c>
    </row>
    <row r="1130" spans="1:3" x14ac:dyDescent="0.2">
      <c r="A1130" t="s">
        <v>1327</v>
      </c>
      <c r="B1130" t="s">
        <v>1198</v>
      </c>
      <c r="C1130" s="6">
        <v>20.5</v>
      </c>
    </row>
    <row r="1131" spans="1:3" x14ac:dyDescent="0.2">
      <c r="A1131" t="s">
        <v>1327</v>
      </c>
      <c r="B1131" t="s">
        <v>1199</v>
      </c>
      <c r="C1131" s="6">
        <v>15.3</v>
      </c>
    </row>
    <row r="1132" spans="1:3" x14ac:dyDescent="0.2">
      <c r="A1132" t="s">
        <v>1327</v>
      </c>
      <c r="B1132" t="s">
        <v>1200</v>
      </c>
      <c r="C1132" s="6">
        <v>-2.1</v>
      </c>
    </row>
    <row r="1133" spans="1:3" x14ac:dyDescent="0.2">
      <c r="A1133" t="s">
        <v>1327</v>
      </c>
      <c r="B1133" t="s">
        <v>1201</v>
      </c>
      <c r="C1133" s="6">
        <v>5.7</v>
      </c>
    </row>
    <row r="1134" spans="1:3" x14ac:dyDescent="0.2">
      <c r="A1134" t="s">
        <v>1327</v>
      </c>
      <c r="B1134" t="s">
        <v>1202</v>
      </c>
      <c r="C1134" s="6">
        <v>1</v>
      </c>
    </row>
    <row r="1135" spans="1:3" x14ac:dyDescent="0.2">
      <c r="A1135" t="s">
        <v>1327</v>
      </c>
      <c r="B1135" t="s">
        <v>1203</v>
      </c>
      <c r="C1135" s="6">
        <v>-1.8</v>
      </c>
    </row>
    <row r="1136" spans="1:3" x14ac:dyDescent="0.2">
      <c r="A1136" t="s">
        <v>1327</v>
      </c>
      <c r="B1136" t="s">
        <v>1204</v>
      </c>
      <c r="C1136" s="6">
        <v>-12.8</v>
      </c>
    </row>
    <row r="1137" spans="1:5" x14ac:dyDescent="0.2">
      <c r="A1137" t="s">
        <v>1327</v>
      </c>
      <c r="B1137" t="s">
        <v>1205</v>
      </c>
      <c r="C1137" s="6">
        <v>-11.4</v>
      </c>
    </row>
    <row r="1138" spans="1:5" x14ac:dyDescent="0.2">
      <c r="A1138" t="s">
        <v>1327</v>
      </c>
      <c r="B1138" t="s">
        <v>1206</v>
      </c>
      <c r="C1138" s="6">
        <v>-2.6</v>
      </c>
    </row>
    <row r="1139" spans="1:5" x14ac:dyDescent="0.2">
      <c r="A1139" t="s">
        <v>1327</v>
      </c>
      <c r="B1139" t="s">
        <v>1207</v>
      </c>
      <c r="C1139" s="6">
        <v>-8.3000000000000007</v>
      </c>
    </row>
    <row r="1140" spans="1:5" x14ac:dyDescent="0.2">
      <c r="A1140" t="s">
        <v>1327</v>
      </c>
      <c r="B1140" t="s">
        <v>1208</v>
      </c>
      <c r="C1140" s="6">
        <v>-4.3</v>
      </c>
    </row>
    <row r="1141" spans="1:5" x14ac:dyDescent="0.2">
      <c r="A1141" t="s">
        <v>1327</v>
      </c>
      <c r="B1141" t="s">
        <v>1209</v>
      </c>
      <c r="C1141" s="6">
        <v>-11</v>
      </c>
    </row>
    <row r="1142" spans="1:5" x14ac:dyDescent="0.2">
      <c r="A1142" t="s">
        <v>1327</v>
      </c>
      <c r="B1142" t="s">
        <v>1210</v>
      </c>
      <c r="C1142" s="6">
        <v>-11.5</v>
      </c>
    </row>
    <row r="1143" spans="1:5" x14ac:dyDescent="0.2">
      <c r="A1143" t="s">
        <v>1327</v>
      </c>
      <c r="B1143" t="s">
        <v>1211</v>
      </c>
      <c r="C1143" s="6">
        <v>-6</v>
      </c>
    </row>
    <row r="1144" spans="1:5" x14ac:dyDescent="0.2">
      <c r="A1144" t="s">
        <v>1327</v>
      </c>
      <c r="B1144" t="s">
        <v>1212</v>
      </c>
      <c r="C1144" s="6">
        <v>1.4</v>
      </c>
    </row>
    <row r="1145" spans="1:5" x14ac:dyDescent="0.2">
      <c r="A1145" t="s">
        <v>1327</v>
      </c>
      <c r="B1145" t="s">
        <v>1213</v>
      </c>
      <c r="C1145" s="6">
        <v>-2.4</v>
      </c>
    </row>
    <row r="1146" spans="1:5" x14ac:dyDescent="0.2">
      <c r="A1146" t="s">
        <v>1327</v>
      </c>
      <c r="B1146" t="s">
        <v>1214</v>
      </c>
      <c r="C1146" s="6">
        <v>0.2</v>
      </c>
      <c r="D1146" s="6">
        <f t="shared" ref="D1146:D1177" si="56">AVERAGE(C1098:C1145)</f>
        <v>1.8937499999999996</v>
      </c>
      <c r="E1146" s="6">
        <f t="shared" ref="E1146:E1177" si="57">C1146-D1146</f>
        <v>-1.6937499999999996</v>
      </c>
    </row>
    <row r="1147" spans="1:5" x14ac:dyDescent="0.2">
      <c r="A1147" t="s">
        <v>1327</v>
      </c>
      <c r="B1147" t="s">
        <v>1215</v>
      </c>
      <c r="C1147" s="6">
        <v>3.7</v>
      </c>
      <c r="D1147" s="6">
        <f t="shared" si="56"/>
        <v>1.8729166666666666</v>
      </c>
      <c r="E1147" s="6">
        <f t="shared" si="57"/>
        <v>1.8270833333333336</v>
      </c>
    </row>
    <row r="1148" spans="1:5" x14ac:dyDescent="0.2">
      <c r="A1148" t="s">
        <v>1327</v>
      </c>
      <c r="B1148" t="s">
        <v>1216</v>
      </c>
      <c r="C1148" s="6">
        <v>13.5</v>
      </c>
      <c r="D1148" s="6">
        <f t="shared" si="56"/>
        <v>2.0624999999999991</v>
      </c>
      <c r="E1148" s="6">
        <f t="shared" si="57"/>
        <v>11.4375</v>
      </c>
    </row>
    <row r="1149" spans="1:5" x14ac:dyDescent="0.2">
      <c r="A1149" t="s">
        <v>1327</v>
      </c>
      <c r="B1149" t="s">
        <v>1217</v>
      </c>
      <c r="C1149" s="6">
        <v>16</v>
      </c>
      <c r="D1149" s="6">
        <f t="shared" si="56"/>
        <v>2.4895833333333321</v>
      </c>
      <c r="E1149" s="6">
        <f t="shared" si="57"/>
        <v>13.510416666666668</v>
      </c>
    </row>
    <row r="1150" spans="1:5" x14ac:dyDescent="0.2">
      <c r="A1150" t="s">
        <v>1327</v>
      </c>
      <c r="B1150" t="s">
        <v>1218</v>
      </c>
      <c r="C1150" s="6">
        <v>23.6</v>
      </c>
      <c r="D1150" s="6">
        <f t="shared" si="56"/>
        <v>3.0729166666666656</v>
      </c>
      <c r="E1150" s="6">
        <f t="shared" si="57"/>
        <v>20.527083333333337</v>
      </c>
    </row>
    <row r="1151" spans="1:5" x14ac:dyDescent="0.2">
      <c r="A1151" t="s">
        <v>1327</v>
      </c>
      <c r="B1151" t="s">
        <v>1219</v>
      </c>
      <c r="C1151" s="6">
        <v>21.7</v>
      </c>
      <c r="D1151" s="6">
        <f t="shared" si="56"/>
        <v>3.7041666666666653</v>
      </c>
      <c r="E1151" s="6">
        <f t="shared" si="57"/>
        <v>17.995833333333334</v>
      </c>
    </row>
    <row r="1152" spans="1:5" x14ac:dyDescent="0.2">
      <c r="A1152" t="s">
        <v>1327</v>
      </c>
      <c r="B1152" t="s">
        <v>1220</v>
      </c>
      <c r="C1152" s="6">
        <v>23.9</v>
      </c>
      <c r="D1152" s="6">
        <f t="shared" si="56"/>
        <v>4.1208333333333318</v>
      </c>
      <c r="E1152" s="6">
        <f t="shared" si="57"/>
        <v>19.779166666666669</v>
      </c>
    </row>
    <row r="1153" spans="1:5" x14ac:dyDescent="0.2">
      <c r="A1153" t="s">
        <v>1327</v>
      </c>
      <c r="B1153" t="s">
        <v>1221</v>
      </c>
      <c r="C1153" s="6">
        <v>26</v>
      </c>
      <c r="D1153" s="6">
        <f t="shared" si="56"/>
        <v>4.4395833333333323</v>
      </c>
      <c r="E1153" s="6">
        <f t="shared" si="57"/>
        <v>21.560416666666669</v>
      </c>
    </row>
    <row r="1154" spans="1:5" x14ac:dyDescent="0.2">
      <c r="A1154" t="s">
        <v>1327</v>
      </c>
      <c r="B1154" t="s">
        <v>1222</v>
      </c>
      <c r="C1154" s="6">
        <v>23.2</v>
      </c>
      <c r="D1154" s="6">
        <f t="shared" si="56"/>
        <v>5.2020833333333316</v>
      </c>
      <c r="E1154" s="6">
        <f t="shared" si="57"/>
        <v>17.997916666666669</v>
      </c>
    </row>
    <row r="1155" spans="1:5" x14ac:dyDescent="0.2">
      <c r="A1155" t="s">
        <v>1327</v>
      </c>
      <c r="B1155" t="s">
        <v>1223</v>
      </c>
      <c r="C1155" s="6">
        <v>27.6</v>
      </c>
      <c r="D1155" s="6">
        <f t="shared" si="56"/>
        <v>5.7604166666666652</v>
      </c>
      <c r="E1155" s="6">
        <f t="shared" si="57"/>
        <v>21.839583333333337</v>
      </c>
    </row>
    <row r="1156" spans="1:5" x14ac:dyDescent="0.2">
      <c r="A1156" t="s">
        <v>1327</v>
      </c>
      <c r="B1156" t="s">
        <v>1224</v>
      </c>
      <c r="C1156" s="6">
        <v>27.2</v>
      </c>
      <c r="D1156" s="6">
        <f t="shared" si="56"/>
        <v>6.1624999999999988</v>
      </c>
      <c r="E1156" s="6">
        <f t="shared" si="57"/>
        <v>21.037500000000001</v>
      </c>
    </row>
    <row r="1157" spans="1:5" x14ac:dyDescent="0.2">
      <c r="A1157" t="s">
        <v>1327</v>
      </c>
      <c r="B1157" t="s">
        <v>1225</v>
      </c>
      <c r="C1157" s="6">
        <v>16.600000000000001</v>
      </c>
      <c r="D1157" s="6">
        <f t="shared" si="56"/>
        <v>6.4645833333333309</v>
      </c>
      <c r="E1157" s="6">
        <f t="shared" si="57"/>
        <v>10.135416666666671</v>
      </c>
    </row>
    <row r="1158" spans="1:5" x14ac:dyDescent="0.2">
      <c r="A1158" t="s">
        <v>1327</v>
      </c>
      <c r="B1158" t="s">
        <v>1226</v>
      </c>
      <c r="C1158" s="6">
        <v>10.9</v>
      </c>
      <c r="D1158" s="6">
        <f t="shared" si="56"/>
        <v>6.7041666666666657</v>
      </c>
      <c r="E1158" s="6">
        <f t="shared" si="57"/>
        <v>4.1958333333333346</v>
      </c>
    </row>
    <row r="1159" spans="1:5" x14ac:dyDescent="0.2">
      <c r="A1159" t="s">
        <v>1327</v>
      </c>
      <c r="B1159" t="s">
        <v>1227</v>
      </c>
      <c r="C1159" s="6">
        <v>8.3000000000000007</v>
      </c>
      <c r="D1159" s="6">
        <f t="shared" si="56"/>
        <v>6.747916666666665</v>
      </c>
      <c r="E1159" s="6">
        <f t="shared" si="57"/>
        <v>1.5520833333333357</v>
      </c>
    </row>
    <row r="1160" spans="1:5" x14ac:dyDescent="0.2">
      <c r="A1160" t="s">
        <v>1327</v>
      </c>
      <c r="B1160" t="s">
        <v>1228</v>
      </c>
      <c r="C1160" s="6">
        <v>9.1999999999999993</v>
      </c>
      <c r="D1160" s="6">
        <f t="shared" si="56"/>
        <v>6.6104166666666657</v>
      </c>
      <c r="E1160" s="6">
        <f t="shared" si="57"/>
        <v>2.5895833333333336</v>
      </c>
    </row>
    <row r="1161" spans="1:5" x14ac:dyDescent="0.2">
      <c r="A1161" t="s">
        <v>1327</v>
      </c>
      <c r="B1161" t="s">
        <v>1229</v>
      </c>
      <c r="C1161" s="6">
        <v>8.6999999999999993</v>
      </c>
      <c r="D1161" s="6">
        <f t="shared" si="56"/>
        <v>6.4104166666666664</v>
      </c>
      <c r="E1161" s="6">
        <f t="shared" si="57"/>
        <v>2.2895833333333329</v>
      </c>
    </row>
    <row r="1162" spans="1:5" x14ac:dyDescent="0.2">
      <c r="A1162" t="s">
        <v>1327</v>
      </c>
      <c r="B1162" t="s">
        <v>1230</v>
      </c>
      <c r="C1162" s="6">
        <v>4.5999999999999996</v>
      </c>
      <c r="D1162" s="6">
        <f t="shared" si="56"/>
        <v>5.9062499999999991</v>
      </c>
      <c r="E1162" s="6">
        <f t="shared" si="57"/>
        <v>-1.3062499999999995</v>
      </c>
    </row>
    <row r="1163" spans="1:5" x14ac:dyDescent="0.2">
      <c r="A1163" t="s">
        <v>1327</v>
      </c>
      <c r="B1163" t="s">
        <v>1231</v>
      </c>
      <c r="C1163" s="6">
        <v>1.8</v>
      </c>
      <c r="D1163" s="6">
        <f t="shared" si="56"/>
        <v>5.53125</v>
      </c>
      <c r="E1163" s="6">
        <f t="shared" si="57"/>
        <v>-3.7312500000000002</v>
      </c>
    </row>
    <row r="1164" spans="1:5" x14ac:dyDescent="0.2">
      <c r="A1164" t="s">
        <v>1327</v>
      </c>
      <c r="B1164" t="s">
        <v>1232</v>
      </c>
      <c r="C1164" s="6">
        <v>1</v>
      </c>
      <c r="D1164" s="6">
        <f t="shared" si="56"/>
        <v>5.3604166666666657</v>
      </c>
      <c r="E1164" s="6">
        <f t="shared" si="57"/>
        <v>-4.3604166666666657</v>
      </c>
    </row>
    <row r="1165" spans="1:5" x14ac:dyDescent="0.2">
      <c r="A1165" t="s">
        <v>1327</v>
      </c>
      <c r="B1165" t="s">
        <v>1233</v>
      </c>
      <c r="C1165" s="6">
        <v>1.4</v>
      </c>
      <c r="D1165" s="6">
        <f t="shared" si="56"/>
        <v>5.4604166666666663</v>
      </c>
      <c r="E1165" s="6">
        <f t="shared" si="57"/>
        <v>-4.0604166666666668</v>
      </c>
    </row>
    <row r="1166" spans="1:5" x14ac:dyDescent="0.2">
      <c r="A1166" t="s">
        <v>1327</v>
      </c>
      <c r="B1166" t="s">
        <v>1234</v>
      </c>
      <c r="C1166" s="6">
        <v>1.7</v>
      </c>
      <c r="D1166" s="6">
        <f t="shared" si="56"/>
        <v>5.4791666666666652</v>
      </c>
      <c r="E1166" s="6">
        <f t="shared" si="57"/>
        <v>-3.779166666666665</v>
      </c>
    </row>
    <row r="1167" spans="1:5" x14ac:dyDescent="0.2">
      <c r="A1167" t="s">
        <v>1327</v>
      </c>
      <c r="B1167" t="s">
        <v>1235</v>
      </c>
      <c r="C1167" s="6">
        <v>-0.4</v>
      </c>
      <c r="D1167" s="6">
        <f t="shared" si="56"/>
        <v>5.466666666666665</v>
      </c>
      <c r="E1167" s="6">
        <f t="shared" si="57"/>
        <v>-5.8666666666666654</v>
      </c>
    </row>
    <row r="1168" spans="1:5" x14ac:dyDescent="0.2">
      <c r="A1168" t="s">
        <v>1327</v>
      </c>
      <c r="B1168" t="s">
        <v>1236</v>
      </c>
      <c r="C1168" s="6">
        <v>-3.1</v>
      </c>
      <c r="D1168" s="6">
        <f t="shared" si="56"/>
        <v>5.5</v>
      </c>
      <c r="E1168" s="6">
        <f t="shared" si="57"/>
        <v>-8.6</v>
      </c>
    </row>
    <row r="1169" spans="1:5" x14ac:dyDescent="0.2">
      <c r="A1169" t="s">
        <v>1327</v>
      </c>
      <c r="B1169" t="s">
        <v>1237</v>
      </c>
      <c r="C1169" s="6">
        <v>3.7</v>
      </c>
      <c r="D1169" s="6">
        <f t="shared" si="56"/>
        <v>5.583333333333333</v>
      </c>
      <c r="E1169" s="6">
        <f t="shared" si="57"/>
        <v>-1.8833333333333329</v>
      </c>
    </row>
    <row r="1170" spans="1:5" x14ac:dyDescent="0.2">
      <c r="A1170" t="s">
        <v>1327</v>
      </c>
      <c r="B1170" t="s">
        <v>1238</v>
      </c>
      <c r="C1170" s="6">
        <v>9.5</v>
      </c>
      <c r="D1170" s="6">
        <f t="shared" si="56"/>
        <v>5.6229166666666659</v>
      </c>
      <c r="E1170" s="6">
        <f t="shared" si="57"/>
        <v>3.8770833333333341</v>
      </c>
    </row>
    <row r="1171" spans="1:5" x14ac:dyDescent="0.2">
      <c r="A1171" t="s">
        <v>1327</v>
      </c>
      <c r="B1171" t="s">
        <v>1239</v>
      </c>
      <c r="C1171" s="6">
        <v>11</v>
      </c>
      <c r="D1171" s="6">
        <f t="shared" si="56"/>
        <v>5.685416666666665</v>
      </c>
      <c r="E1171" s="6">
        <f t="shared" si="57"/>
        <v>5.314583333333335</v>
      </c>
    </row>
    <row r="1172" spans="1:5" x14ac:dyDescent="0.2">
      <c r="A1172" t="s">
        <v>1327</v>
      </c>
      <c r="B1172" t="s">
        <v>1240</v>
      </c>
      <c r="C1172" s="6">
        <v>8.4</v>
      </c>
      <c r="D1172" s="6">
        <f t="shared" si="56"/>
        <v>5.9645833333333327</v>
      </c>
      <c r="E1172" s="6">
        <f t="shared" si="57"/>
        <v>2.4354166666666677</v>
      </c>
    </row>
    <row r="1173" spans="1:5" x14ac:dyDescent="0.2">
      <c r="A1173" t="s">
        <v>1327</v>
      </c>
      <c r="B1173" t="s">
        <v>1241</v>
      </c>
      <c r="C1173" s="6">
        <v>8.3000000000000007</v>
      </c>
      <c r="D1173" s="6">
        <f t="shared" si="56"/>
        <v>6.2145833333333327</v>
      </c>
      <c r="E1173" s="6">
        <f t="shared" si="57"/>
        <v>2.085416666666668</v>
      </c>
    </row>
    <row r="1174" spans="1:5" x14ac:dyDescent="0.2">
      <c r="A1174" t="s">
        <v>1327</v>
      </c>
      <c r="B1174" t="s">
        <v>1242</v>
      </c>
      <c r="C1174" s="6">
        <v>1.1000000000000001</v>
      </c>
      <c r="D1174" s="6">
        <f t="shared" si="56"/>
        <v>6.4749999999999988</v>
      </c>
      <c r="E1174" s="6">
        <f t="shared" si="57"/>
        <v>-5.3749999999999982</v>
      </c>
    </row>
    <row r="1175" spans="1:5" x14ac:dyDescent="0.2">
      <c r="A1175" t="s">
        <v>1327</v>
      </c>
      <c r="B1175" t="s">
        <v>1243</v>
      </c>
      <c r="C1175" s="6">
        <v>1.6</v>
      </c>
      <c r="D1175" s="6">
        <f t="shared" si="56"/>
        <v>6.5854166666666663</v>
      </c>
      <c r="E1175" s="6">
        <f t="shared" si="57"/>
        <v>-4.9854166666666657</v>
      </c>
    </row>
    <row r="1176" spans="1:5" x14ac:dyDescent="0.2">
      <c r="A1176" t="s">
        <v>1327</v>
      </c>
      <c r="B1176" t="s">
        <v>1244</v>
      </c>
      <c r="C1176" s="6">
        <v>0.1</v>
      </c>
      <c r="D1176" s="6">
        <f t="shared" si="56"/>
        <v>6.3729166666666659</v>
      </c>
      <c r="E1176" s="6">
        <f t="shared" si="57"/>
        <v>-6.2729166666666663</v>
      </c>
    </row>
    <row r="1177" spans="1:5" x14ac:dyDescent="0.2">
      <c r="A1177" t="s">
        <v>1327</v>
      </c>
      <c r="B1177" t="s">
        <v>1245</v>
      </c>
      <c r="C1177" s="6">
        <v>1.3</v>
      </c>
      <c r="D1177" s="6">
        <f t="shared" si="56"/>
        <v>6.1333333333333337</v>
      </c>
      <c r="E1177" s="6">
        <f t="shared" si="57"/>
        <v>-4.8333333333333339</v>
      </c>
    </row>
    <row r="1178" spans="1:5" x14ac:dyDescent="0.2">
      <c r="A1178" t="s">
        <v>1327</v>
      </c>
      <c r="B1178" t="s">
        <v>1246</v>
      </c>
      <c r="C1178" s="6">
        <v>2.1</v>
      </c>
      <c r="D1178" s="6">
        <f t="shared" ref="D1178:D1209" si="58">AVERAGE(C1130:C1177)</f>
        <v>5.875</v>
      </c>
      <c r="E1178" s="6">
        <f t="shared" ref="E1178:E1209" si="59">C1178-D1178</f>
        <v>-3.7749999999999999</v>
      </c>
    </row>
    <row r="1179" spans="1:5" x14ac:dyDescent="0.2">
      <c r="A1179" t="s">
        <v>1327</v>
      </c>
      <c r="B1179" t="s">
        <v>1247</v>
      </c>
      <c r="C1179" s="6">
        <v>2</v>
      </c>
      <c r="D1179" s="6">
        <f t="shared" si="58"/>
        <v>5.491666666666668</v>
      </c>
      <c r="E1179" s="6">
        <f t="shared" si="59"/>
        <v>-3.491666666666668</v>
      </c>
    </row>
    <row r="1180" spans="1:5" x14ac:dyDescent="0.2">
      <c r="A1180" t="s">
        <v>1327</v>
      </c>
      <c r="B1180" t="s">
        <v>1248</v>
      </c>
      <c r="C1180" s="6">
        <v>3.7</v>
      </c>
      <c r="D1180" s="6">
        <f t="shared" si="58"/>
        <v>5.2145833333333327</v>
      </c>
      <c r="E1180" s="6">
        <f t="shared" si="59"/>
        <v>-1.5145833333333325</v>
      </c>
    </row>
    <row r="1181" spans="1:5" x14ac:dyDescent="0.2">
      <c r="A1181" t="s">
        <v>1327</v>
      </c>
      <c r="B1181" t="s">
        <v>1249</v>
      </c>
      <c r="C1181" s="6">
        <v>9.4</v>
      </c>
      <c r="D1181" s="6">
        <f t="shared" si="58"/>
        <v>5.3354166666666663</v>
      </c>
      <c r="E1181" s="6">
        <f t="shared" si="59"/>
        <v>4.0645833333333341</v>
      </c>
    </row>
    <row r="1182" spans="1:5" x14ac:dyDescent="0.2">
      <c r="A1182" t="s">
        <v>1327</v>
      </c>
      <c r="B1182" t="s">
        <v>1250</v>
      </c>
      <c r="C1182" s="6">
        <v>14</v>
      </c>
      <c r="D1182" s="6">
        <f t="shared" si="58"/>
        <v>5.4124999999999988</v>
      </c>
      <c r="E1182" s="6">
        <f t="shared" si="59"/>
        <v>8.5875000000000021</v>
      </c>
    </row>
    <row r="1183" spans="1:5" x14ac:dyDescent="0.2">
      <c r="A1183" t="s">
        <v>1327</v>
      </c>
      <c r="B1183" t="s">
        <v>1251</v>
      </c>
      <c r="C1183" s="6">
        <v>20.7</v>
      </c>
      <c r="D1183" s="6">
        <f t="shared" si="58"/>
        <v>5.6833333333333327</v>
      </c>
      <c r="E1183" s="6">
        <f t="shared" si="59"/>
        <v>15.016666666666666</v>
      </c>
    </row>
    <row r="1184" spans="1:5" x14ac:dyDescent="0.2">
      <c r="A1184" t="s">
        <v>1327</v>
      </c>
      <c r="B1184" t="s">
        <v>1252</v>
      </c>
      <c r="C1184" s="6">
        <v>25.8</v>
      </c>
      <c r="D1184" s="6">
        <f t="shared" si="58"/>
        <v>6.1520833333333327</v>
      </c>
      <c r="E1184" s="6">
        <f t="shared" si="59"/>
        <v>19.647916666666667</v>
      </c>
    </row>
    <row r="1185" spans="1:5" x14ac:dyDescent="0.2">
      <c r="A1185" t="s">
        <v>1327</v>
      </c>
      <c r="B1185" t="s">
        <v>1253</v>
      </c>
      <c r="C1185" s="6">
        <v>25.4</v>
      </c>
      <c r="D1185" s="6">
        <f t="shared" si="58"/>
        <v>6.9562499999999998</v>
      </c>
      <c r="E1185" s="6">
        <f t="shared" si="59"/>
        <v>18.443749999999998</v>
      </c>
    </row>
    <row r="1186" spans="1:5" x14ac:dyDescent="0.2">
      <c r="A1186" t="s">
        <v>1327</v>
      </c>
      <c r="B1186" t="s">
        <v>1254</v>
      </c>
      <c r="C1186" s="6">
        <v>20</v>
      </c>
      <c r="D1186" s="6">
        <f t="shared" si="58"/>
        <v>7.7229166666666673</v>
      </c>
      <c r="E1186" s="6">
        <f t="shared" si="59"/>
        <v>12.277083333333334</v>
      </c>
    </row>
    <row r="1187" spans="1:5" x14ac:dyDescent="0.2">
      <c r="A1187" t="s">
        <v>1327</v>
      </c>
      <c r="B1187" t="s">
        <v>1255</v>
      </c>
      <c r="C1187" s="6">
        <v>23.5</v>
      </c>
      <c r="D1187" s="6">
        <f t="shared" si="58"/>
        <v>8.1937499999999996</v>
      </c>
      <c r="E1187" s="6">
        <f t="shared" si="59"/>
        <v>15.30625</v>
      </c>
    </row>
    <row r="1188" spans="1:5" x14ac:dyDescent="0.2">
      <c r="A1188" t="s">
        <v>1327</v>
      </c>
      <c r="B1188" t="s">
        <v>1256</v>
      </c>
      <c r="C1188" s="6">
        <v>23</v>
      </c>
      <c r="D1188" s="6">
        <f t="shared" si="58"/>
        <v>8.8562500000000011</v>
      </c>
      <c r="E1188" s="6">
        <f t="shared" si="59"/>
        <v>14.143749999999999</v>
      </c>
    </row>
    <row r="1189" spans="1:5" x14ac:dyDescent="0.2">
      <c r="A1189" t="s">
        <v>1327</v>
      </c>
      <c r="B1189" t="s">
        <v>1257</v>
      </c>
      <c r="C1189" s="6">
        <v>19</v>
      </c>
      <c r="D1189" s="6">
        <f t="shared" si="58"/>
        <v>9.4250000000000007</v>
      </c>
      <c r="E1189" s="6">
        <f t="shared" si="59"/>
        <v>9.5749999999999993</v>
      </c>
    </row>
    <row r="1190" spans="1:5" x14ac:dyDescent="0.2">
      <c r="A1190" t="s">
        <v>1327</v>
      </c>
      <c r="B1190" t="s">
        <v>1258</v>
      </c>
      <c r="C1190" s="6">
        <v>18</v>
      </c>
      <c r="D1190" s="6">
        <f t="shared" si="58"/>
        <v>10.049999999999999</v>
      </c>
      <c r="E1190" s="6">
        <f t="shared" si="59"/>
        <v>7.9500000000000011</v>
      </c>
    </row>
    <row r="1191" spans="1:5" x14ac:dyDescent="0.2">
      <c r="A1191" t="s">
        <v>1327</v>
      </c>
      <c r="B1191" t="s">
        <v>1259</v>
      </c>
      <c r="C1191" s="6">
        <v>17</v>
      </c>
      <c r="D1191" s="6">
        <f t="shared" si="58"/>
        <v>10.664583333333333</v>
      </c>
      <c r="E1191" s="6">
        <f t="shared" si="59"/>
        <v>6.3354166666666671</v>
      </c>
    </row>
    <row r="1192" spans="1:5" x14ac:dyDescent="0.2">
      <c r="A1192" t="s">
        <v>1327</v>
      </c>
      <c r="B1192" t="s">
        <v>1260</v>
      </c>
      <c r="C1192" s="6">
        <v>15.7</v>
      </c>
      <c r="D1192" s="6">
        <f t="shared" si="58"/>
        <v>11.143749999999999</v>
      </c>
      <c r="E1192" s="6">
        <f t="shared" si="59"/>
        <v>4.5562500000000004</v>
      </c>
    </row>
    <row r="1193" spans="1:5" x14ac:dyDescent="0.2">
      <c r="A1193" t="s">
        <v>1327</v>
      </c>
      <c r="B1193" t="s">
        <v>1261</v>
      </c>
      <c r="C1193" s="6">
        <v>6.2</v>
      </c>
      <c r="D1193" s="6">
        <f t="shared" si="58"/>
        <v>11.441666666666668</v>
      </c>
      <c r="E1193" s="6">
        <f t="shared" si="59"/>
        <v>-5.241666666666668</v>
      </c>
    </row>
    <row r="1194" spans="1:5" x14ac:dyDescent="0.2">
      <c r="A1194" t="s">
        <v>1327</v>
      </c>
      <c r="B1194" t="s">
        <v>1262</v>
      </c>
      <c r="C1194" s="6">
        <v>0.2</v>
      </c>
      <c r="D1194" s="6">
        <f t="shared" si="58"/>
        <v>11.620833333333335</v>
      </c>
      <c r="E1194" s="6">
        <f t="shared" si="59"/>
        <v>-11.420833333333336</v>
      </c>
    </row>
    <row r="1195" spans="1:5" x14ac:dyDescent="0.2">
      <c r="A1195" t="s">
        <v>1327</v>
      </c>
      <c r="B1195" t="s">
        <v>1263</v>
      </c>
      <c r="C1195" s="6">
        <v>-14.7</v>
      </c>
      <c r="D1195" s="6">
        <f t="shared" si="58"/>
        <v>11.620833333333337</v>
      </c>
      <c r="E1195" s="6">
        <f t="shared" si="59"/>
        <v>-26.320833333333336</v>
      </c>
    </row>
    <row r="1196" spans="1:5" x14ac:dyDescent="0.2">
      <c r="A1196" t="s">
        <v>1327</v>
      </c>
      <c r="B1196" t="s">
        <v>1264</v>
      </c>
      <c r="C1196" s="6">
        <v>-30.8</v>
      </c>
      <c r="D1196" s="6">
        <f t="shared" si="58"/>
        <v>11.237500000000002</v>
      </c>
      <c r="E1196" s="6">
        <f t="shared" si="59"/>
        <v>-42.037500000000001</v>
      </c>
    </row>
    <row r="1197" spans="1:5" x14ac:dyDescent="0.2">
      <c r="A1197" t="s">
        <v>1327</v>
      </c>
      <c r="B1197" t="s">
        <v>1265</v>
      </c>
      <c r="C1197" s="6">
        <v>-46.9</v>
      </c>
      <c r="D1197" s="6">
        <f t="shared" si="58"/>
        <v>10.314583333333335</v>
      </c>
      <c r="E1197" s="6">
        <f t="shared" si="59"/>
        <v>-57.214583333333337</v>
      </c>
    </row>
    <row r="1198" spans="1:5" x14ac:dyDescent="0.2">
      <c r="A1198" t="s">
        <v>1327</v>
      </c>
      <c r="B1198" t="s">
        <v>1266</v>
      </c>
      <c r="C1198" s="6">
        <v>-37.799999999999997</v>
      </c>
      <c r="D1198" s="6">
        <f t="shared" si="58"/>
        <v>9.00416666666667</v>
      </c>
      <c r="E1198" s="6">
        <f t="shared" si="59"/>
        <v>-46.804166666666667</v>
      </c>
    </row>
    <row r="1199" spans="1:5" x14ac:dyDescent="0.2">
      <c r="A1199" t="s">
        <v>1327</v>
      </c>
      <c r="B1199" t="s">
        <v>1267</v>
      </c>
      <c r="C1199" s="6">
        <v>-33.700000000000003</v>
      </c>
      <c r="D1199" s="6">
        <f t="shared" si="58"/>
        <v>7.7249999999999979</v>
      </c>
      <c r="E1199" s="6">
        <f t="shared" si="59"/>
        <v>-41.424999999999997</v>
      </c>
    </row>
    <row r="1200" spans="1:5" x14ac:dyDescent="0.2">
      <c r="A1200" t="s">
        <v>1327</v>
      </c>
      <c r="B1200" t="s">
        <v>1268</v>
      </c>
      <c r="C1200" s="6">
        <v>-25.2</v>
      </c>
      <c r="D1200" s="6">
        <f t="shared" si="58"/>
        <v>6.570833333333332</v>
      </c>
      <c r="E1200" s="6">
        <f t="shared" si="59"/>
        <v>-31.770833333333332</v>
      </c>
    </row>
    <row r="1201" spans="1:5" x14ac:dyDescent="0.2">
      <c r="A1201" t="s">
        <v>1327</v>
      </c>
      <c r="B1201" t="s">
        <v>1269</v>
      </c>
      <c r="C1201" s="6">
        <v>-23.3</v>
      </c>
      <c r="D1201" s="6">
        <f t="shared" si="58"/>
        <v>5.5479166666666666</v>
      </c>
      <c r="E1201" s="6">
        <f t="shared" si="59"/>
        <v>-28.847916666666666</v>
      </c>
    </row>
    <row r="1202" spans="1:5" x14ac:dyDescent="0.2">
      <c r="A1202" t="s">
        <v>1327</v>
      </c>
      <c r="B1202" t="s">
        <v>1270</v>
      </c>
      <c r="C1202" s="6">
        <v>-22.9</v>
      </c>
      <c r="D1202" s="6">
        <f t="shared" si="58"/>
        <v>4.5208333333333321</v>
      </c>
      <c r="E1202" s="6">
        <f t="shared" si="59"/>
        <v>-27.420833333333331</v>
      </c>
    </row>
    <row r="1203" spans="1:5" x14ac:dyDescent="0.2">
      <c r="A1203" t="s">
        <v>1327</v>
      </c>
      <c r="B1203" t="s">
        <v>1271</v>
      </c>
      <c r="C1203" s="6">
        <v>-21.6</v>
      </c>
      <c r="D1203" s="6">
        <f t="shared" si="58"/>
        <v>3.5604166666666668</v>
      </c>
      <c r="E1203" s="6">
        <f t="shared" si="59"/>
        <v>-25.16041666666667</v>
      </c>
    </row>
    <row r="1204" spans="1:5" x14ac:dyDescent="0.2">
      <c r="A1204" t="s">
        <v>1327</v>
      </c>
      <c r="B1204" t="s">
        <v>1272</v>
      </c>
      <c r="C1204" s="6">
        <v>-20</v>
      </c>
      <c r="D1204" s="6">
        <f t="shared" si="58"/>
        <v>2.5354166666666664</v>
      </c>
      <c r="E1204" s="6">
        <f t="shared" si="59"/>
        <v>-22.535416666666666</v>
      </c>
    </row>
    <row r="1205" spans="1:5" x14ac:dyDescent="0.2">
      <c r="A1205" t="s">
        <v>1327</v>
      </c>
      <c r="B1205" t="s">
        <v>1273</v>
      </c>
      <c r="C1205" s="6">
        <v>-22.1</v>
      </c>
      <c r="D1205" s="6">
        <f t="shared" si="58"/>
        <v>1.5520833333333321</v>
      </c>
      <c r="E1205" s="6">
        <f t="shared" si="59"/>
        <v>-23.652083333333334</v>
      </c>
    </row>
    <row r="1206" spans="1:5" x14ac:dyDescent="0.2">
      <c r="A1206" t="s">
        <v>1327</v>
      </c>
      <c r="B1206" t="s">
        <v>1274</v>
      </c>
      <c r="C1206" s="6">
        <v>-21</v>
      </c>
      <c r="D1206" s="6">
        <f t="shared" si="58"/>
        <v>0.74583333333333457</v>
      </c>
      <c r="E1206" s="6">
        <f t="shared" si="59"/>
        <v>-21.745833333333334</v>
      </c>
    </row>
    <row r="1207" spans="1:5" x14ac:dyDescent="0.2">
      <c r="A1207" t="s">
        <v>1327</v>
      </c>
      <c r="B1207" t="s">
        <v>1275</v>
      </c>
      <c r="C1207" s="6">
        <v>-13.2</v>
      </c>
      <c r="D1207" s="6">
        <f t="shared" si="58"/>
        <v>8.1249999999999378E-2</v>
      </c>
      <c r="E1207" s="6">
        <f t="shared" si="59"/>
        <v>-13.281249999999998</v>
      </c>
    </row>
    <row r="1208" spans="1:5" x14ac:dyDescent="0.2">
      <c r="A1208" t="s">
        <v>1327</v>
      </c>
      <c r="B1208" t="s">
        <v>1276</v>
      </c>
      <c r="C1208" s="6">
        <v>8.1</v>
      </c>
      <c r="D1208" s="6">
        <f t="shared" si="58"/>
        <v>-0.36666666666666708</v>
      </c>
      <c r="E1208" s="6">
        <f t="shared" si="59"/>
        <v>8.4666666666666668</v>
      </c>
    </row>
    <row r="1209" spans="1:5" x14ac:dyDescent="0.2">
      <c r="A1209" t="s">
        <v>1327</v>
      </c>
      <c r="B1209" t="s">
        <v>1277</v>
      </c>
      <c r="C1209" s="6">
        <v>39.6</v>
      </c>
      <c r="D1209" s="6">
        <f t="shared" si="58"/>
        <v>-0.38958333333333234</v>
      </c>
      <c r="E1209" s="6">
        <f t="shared" si="59"/>
        <v>39.989583333333336</v>
      </c>
    </row>
    <row r="1210" spans="1:5" x14ac:dyDescent="0.2">
      <c r="A1210" t="s">
        <v>1327</v>
      </c>
      <c r="B1210" t="s">
        <v>1278</v>
      </c>
      <c r="C1210" s="6">
        <v>-13.5</v>
      </c>
      <c r="D1210" s="6">
        <f t="shared" ref="D1210:D1241" si="60">AVERAGE(C1162:C1209)</f>
        <v>0.25416666666666704</v>
      </c>
      <c r="E1210" s="6">
        <f t="shared" ref="E1210:E1241" si="61">C1210-D1210</f>
        <v>-13.754166666666666</v>
      </c>
    </row>
    <row r="1211" spans="1:5" x14ac:dyDescent="0.2">
      <c r="A1211" t="s">
        <v>1327</v>
      </c>
      <c r="B1211" t="s">
        <v>1279</v>
      </c>
      <c r="C1211" s="6">
        <v>-3.7</v>
      </c>
      <c r="D1211" s="6">
        <f t="shared" si="60"/>
        <v>-0.12291666666666679</v>
      </c>
      <c r="E1211" s="6">
        <f t="shared" si="61"/>
        <v>-3.5770833333333334</v>
      </c>
    </row>
    <row r="1212" spans="1:5" x14ac:dyDescent="0.2">
      <c r="A1212" t="s">
        <v>1327</v>
      </c>
      <c r="B1212" t="s">
        <v>1280</v>
      </c>
      <c r="C1212" s="6">
        <v>-10.1</v>
      </c>
      <c r="D1212" s="6">
        <f t="shared" si="60"/>
        <v>-0.23749999999999946</v>
      </c>
      <c r="E1212" s="6">
        <f t="shared" si="61"/>
        <v>-9.8625000000000007</v>
      </c>
    </row>
    <row r="1213" spans="1:5" x14ac:dyDescent="0.2">
      <c r="A1213" t="s">
        <v>1327</v>
      </c>
      <c r="B1213" t="s">
        <v>1281</v>
      </c>
      <c r="C1213" s="6">
        <v>-6.6</v>
      </c>
      <c r="D1213" s="6">
        <f t="shared" si="60"/>
        <v>-0.46874999999999939</v>
      </c>
      <c r="E1213" s="6">
        <f t="shared" si="61"/>
        <v>-6.1312500000000005</v>
      </c>
    </row>
    <row r="1214" spans="1:5" x14ac:dyDescent="0.2">
      <c r="A1214" t="s">
        <v>1327</v>
      </c>
      <c r="B1214" t="s">
        <v>1282</v>
      </c>
      <c r="C1214" s="6">
        <v>-3.3</v>
      </c>
      <c r="D1214" s="6">
        <f t="shared" si="60"/>
        <v>-0.63541666666666685</v>
      </c>
      <c r="E1214" s="6">
        <f t="shared" si="61"/>
        <v>-2.6645833333333329</v>
      </c>
    </row>
    <row r="1215" spans="1:5" x14ac:dyDescent="0.2">
      <c r="A1215" t="s">
        <v>1327</v>
      </c>
      <c r="B1215" t="s">
        <v>1283</v>
      </c>
      <c r="C1215" s="6">
        <v>-3.4</v>
      </c>
      <c r="D1215" s="6">
        <f t="shared" si="60"/>
        <v>-0.73958333333333315</v>
      </c>
      <c r="E1215" s="6">
        <f t="shared" si="61"/>
        <v>-2.6604166666666669</v>
      </c>
    </row>
    <row r="1216" spans="1:5" x14ac:dyDescent="0.2">
      <c r="A1216" t="s">
        <v>1327</v>
      </c>
      <c r="B1216" t="s">
        <v>1284</v>
      </c>
      <c r="C1216" s="6">
        <v>4.8</v>
      </c>
      <c r="D1216" s="6">
        <f t="shared" si="60"/>
        <v>-0.80208333333333359</v>
      </c>
      <c r="E1216" s="6">
        <f t="shared" si="61"/>
        <v>5.6020833333333337</v>
      </c>
    </row>
    <row r="1217" spans="1:5" x14ac:dyDescent="0.2">
      <c r="A1217" t="s">
        <v>1327</v>
      </c>
      <c r="B1217" t="s">
        <v>1285</v>
      </c>
      <c r="C1217" s="6">
        <v>-5.3</v>
      </c>
      <c r="D1217" s="6">
        <f t="shared" si="60"/>
        <v>-0.63749999999999996</v>
      </c>
      <c r="E1217" s="6">
        <f t="shared" si="61"/>
        <v>-4.6624999999999996</v>
      </c>
    </row>
    <row r="1218" spans="1:5" x14ac:dyDescent="0.2">
      <c r="A1218" t="s">
        <v>1327</v>
      </c>
      <c r="B1218" t="s">
        <v>1286</v>
      </c>
      <c r="C1218" s="6">
        <v>6.2</v>
      </c>
      <c r="D1218" s="6">
        <f t="shared" si="60"/>
        <v>-0.82500000000000073</v>
      </c>
      <c r="E1218" s="6">
        <f t="shared" si="61"/>
        <v>7.0250000000000012</v>
      </c>
    </row>
    <row r="1219" spans="1:5" x14ac:dyDescent="0.2">
      <c r="A1219" t="s">
        <v>1327</v>
      </c>
      <c r="B1219" t="s">
        <v>1287</v>
      </c>
      <c r="C1219" s="6">
        <v>1.6</v>
      </c>
      <c r="D1219" s="6">
        <f t="shared" si="60"/>
        <v>-0.89374999999999949</v>
      </c>
      <c r="E1219" s="6">
        <f t="shared" si="61"/>
        <v>2.4937499999999995</v>
      </c>
    </row>
    <row r="1220" spans="1:5" x14ac:dyDescent="0.2">
      <c r="A1220" t="s">
        <v>1327</v>
      </c>
      <c r="B1220" t="s">
        <v>1288</v>
      </c>
      <c r="C1220" s="6">
        <v>-1.3</v>
      </c>
      <c r="D1220" s="6">
        <f t="shared" si="60"/>
        <v>-1.0895833333333329</v>
      </c>
      <c r="E1220" s="6">
        <f t="shared" si="61"/>
        <v>-0.21041666666666714</v>
      </c>
    </row>
    <row r="1221" spans="1:5" x14ac:dyDescent="0.2">
      <c r="A1221" t="s">
        <v>1327</v>
      </c>
      <c r="B1221" t="s">
        <v>1289</v>
      </c>
      <c r="C1221" s="6">
        <v>-0.1</v>
      </c>
      <c r="D1221" s="6">
        <f t="shared" si="60"/>
        <v>-1.2916666666666676</v>
      </c>
      <c r="E1221" s="6">
        <f t="shared" si="61"/>
        <v>1.1916666666666675</v>
      </c>
    </row>
    <row r="1222" spans="1:5" x14ac:dyDescent="0.2">
      <c r="A1222" t="s">
        <v>1327</v>
      </c>
      <c r="B1222" t="s">
        <v>1290</v>
      </c>
      <c r="C1222" s="6">
        <v>-5.2</v>
      </c>
      <c r="D1222" s="6">
        <f t="shared" si="60"/>
        <v>-1.4666666666666677</v>
      </c>
      <c r="E1222" s="6">
        <f t="shared" si="61"/>
        <v>-3.7333333333333325</v>
      </c>
    </row>
    <row r="1223" spans="1:5" x14ac:dyDescent="0.2">
      <c r="A1223" t="s">
        <v>1327</v>
      </c>
      <c r="B1223" t="s">
        <v>1291</v>
      </c>
      <c r="C1223" s="6">
        <v>-9.5</v>
      </c>
      <c r="D1223" s="6">
        <f t="shared" si="60"/>
        <v>-1.5979166666666675</v>
      </c>
      <c r="E1223" s="6">
        <f t="shared" si="61"/>
        <v>-7.9020833333333327</v>
      </c>
    </row>
    <row r="1224" spans="1:5" x14ac:dyDescent="0.2">
      <c r="A1224" t="s">
        <v>1327</v>
      </c>
      <c r="B1224" t="s">
        <v>1292</v>
      </c>
      <c r="C1224" s="6">
        <v>-8.1999999999999993</v>
      </c>
      <c r="D1224" s="6">
        <f t="shared" si="60"/>
        <v>-1.8291666666666675</v>
      </c>
      <c r="E1224" s="6">
        <f t="shared" si="61"/>
        <v>-6.3708333333333318</v>
      </c>
    </row>
    <row r="1225" spans="1:5" x14ac:dyDescent="0.2">
      <c r="A1225" t="s">
        <v>1327</v>
      </c>
      <c r="B1225" t="s">
        <v>1293</v>
      </c>
      <c r="C1225" s="6">
        <v>-10.8</v>
      </c>
      <c r="D1225" s="6">
        <f t="shared" si="60"/>
        <v>-2.0020833333333341</v>
      </c>
      <c r="E1225" s="6">
        <f t="shared" si="61"/>
        <v>-8.7979166666666657</v>
      </c>
    </row>
    <row r="1226" spans="1:5" x14ac:dyDescent="0.2">
      <c r="A1226" t="s">
        <v>1327</v>
      </c>
      <c r="B1226" t="s">
        <v>1294</v>
      </c>
      <c r="C1226" s="6">
        <v>-1.5</v>
      </c>
      <c r="D1226" s="6">
        <f t="shared" si="60"/>
        <v>-2.2541666666666678</v>
      </c>
      <c r="E1226" s="6">
        <f t="shared" si="61"/>
        <v>0.75416666666666776</v>
      </c>
    </row>
    <row r="1227" spans="1:5" x14ac:dyDescent="0.2">
      <c r="A1227" t="s">
        <v>1327</v>
      </c>
      <c r="B1227" t="s">
        <v>1295</v>
      </c>
      <c r="C1227" s="6">
        <v>-9.5</v>
      </c>
      <c r="D1227" s="6">
        <f t="shared" si="60"/>
        <v>-2.3291666666666675</v>
      </c>
      <c r="E1227" s="6">
        <f t="shared" si="61"/>
        <v>-7.1708333333333325</v>
      </c>
    </row>
    <row r="1228" spans="1:5" x14ac:dyDescent="0.2">
      <c r="A1228" t="s">
        <v>1327</v>
      </c>
      <c r="B1228" t="s">
        <v>1296</v>
      </c>
      <c r="C1228" s="6">
        <v>-4.9000000000000004</v>
      </c>
      <c r="D1228" s="6">
        <f t="shared" si="60"/>
        <v>-2.568750000000001</v>
      </c>
      <c r="E1228" s="6">
        <f t="shared" si="61"/>
        <v>-2.3312499999999994</v>
      </c>
    </row>
    <row r="1229" spans="1:5" x14ac:dyDescent="0.2">
      <c r="A1229" t="s">
        <v>1327</v>
      </c>
      <c r="B1229" t="s">
        <v>1297</v>
      </c>
      <c r="C1229" s="6">
        <v>-1.2</v>
      </c>
      <c r="D1229" s="6">
        <f t="shared" si="60"/>
        <v>-2.7479166666666672</v>
      </c>
      <c r="E1229" s="6">
        <f t="shared" si="61"/>
        <v>1.5479166666666673</v>
      </c>
    </row>
    <row r="1230" spans="1:5" x14ac:dyDescent="0.2">
      <c r="A1230" t="s">
        <v>1327</v>
      </c>
      <c r="B1230" t="s">
        <v>1298</v>
      </c>
      <c r="C1230" s="6">
        <v>11</v>
      </c>
      <c r="D1230" s="6">
        <f t="shared" si="60"/>
        <v>-2.9687500000000004</v>
      </c>
      <c r="E1230" s="6">
        <f t="shared" si="61"/>
        <v>13.96875</v>
      </c>
    </row>
    <row r="1231" spans="1:5" x14ac:dyDescent="0.2">
      <c r="A1231" t="s">
        <v>1327</v>
      </c>
      <c r="B1231" t="s">
        <v>1299</v>
      </c>
      <c r="C1231" s="6">
        <v>10.8</v>
      </c>
      <c r="D1231" s="6">
        <f t="shared" si="60"/>
        <v>-3.0312500000000004</v>
      </c>
      <c r="E1231" s="6">
        <f t="shared" si="61"/>
        <v>13.831250000000001</v>
      </c>
    </row>
    <row r="1232" spans="1:5" x14ac:dyDescent="0.2">
      <c r="A1232" t="s">
        <v>1327</v>
      </c>
      <c r="B1232" t="s">
        <v>1300</v>
      </c>
      <c r="C1232" s="6">
        <v>9</v>
      </c>
      <c r="D1232" s="6">
        <f t="shared" si="60"/>
        <v>-3.2375000000000003</v>
      </c>
      <c r="E1232" s="6">
        <f t="shared" si="61"/>
        <v>12.237500000000001</v>
      </c>
    </row>
    <row r="1233" spans="1:5" x14ac:dyDescent="0.2">
      <c r="A1233" t="s">
        <v>1327</v>
      </c>
      <c r="B1233" t="s">
        <v>1301</v>
      </c>
      <c r="C1233" s="6">
        <v>9.8000000000000007</v>
      </c>
      <c r="D1233" s="6">
        <f t="shared" si="60"/>
        <v>-3.5874999999999999</v>
      </c>
      <c r="E1233" s="6">
        <f t="shared" si="61"/>
        <v>13.387500000000001</v>
      </c>
    </row>
    <row r="1234" spans="1:5" x14ac:dyDescent="0.2">
      <c r="A1234" t="s">
        <v>1327</v>
      </c>
      <c r="B1234" t="s">
        <v>1302</v>
      </c>
      <c r="C1234" s="6">
        <v>9</v>
      </c>
      <c r="D1234" s="6">
        <f t="shared" si="60"/>
        <v>-3.9124999999999996</v>
      </c>
      <c r="E1234" s="6">
        <f t="shared" si="61"/>
        <v>12.9125</v>
      </c>
    </row>
    <row r="1235" spans="1:5" x14ac:dyDescent="0.2">
      <c r="A1235" t="s">
        <v>1327</v>
      </c>
      <c r="B1235" t="s">
        <v>1303</v>
      </c>
      <c r="C1235" s="6">
        <v>17.3</v>
      </c>
      <c r="D1235" s="6">
        <f t="shared" si="60"/>
        <v>-4.1416666666666657</v>
      </c>
      <c r="E1235" s="6">
        <f t="shared" si="61"/>
        <v>21.441666666666666</v>
      </c>
    </row>
    <row r="1236" spans="1:5" x14ac:dyDescent="0.2">
      <c r="A1236" t="s">
        <v>1327</v>
      </c>
      <c r="B1236" t="s">
        <v>1304</v>
      </c>
      <c r="C1236" s="6">
        <v>6.5</v>
      </c>
      <c r="D1236" s="6">
        <f t="shared" si="60"/>
        <v>-4.2708333333333313</v>
      </c>
      <c r="E1236" s="6">
        <f t="shared" si="61"/>
        <v>10.770833333333332</v>
      </c>
    </row>
    <row r="1237" spans="1:5" x14ac:dyDescent="0.2">
      <c r="A1237" t="s">
        <v>1327</v>
      </c>
      <c r="B1237" t="s">
        <v>1305</v>
      </c>
      <c r="C1237" s="6">
        <v>11</v>
      </c>
      <c r="D1237" s="6">
        <f t="shared" si="60"/>
        <v>-4.614583333333333</v>
      </c>
      <c r="E1237" s="6">
        <f t="shared" si="61"/>
        <v>15.614583333333332</v>
      </c>
    </row>
    <row r="1238" spans="1:5" x14ac:dyDescent="0.2">
      <c r="A1238" t="s">
        <v>1327</v>
      </c>
      <c r="B1238" t="s">
        <v>1306</v>
      </c>
      <c r="C1238" s="6">
        <v>8.8000000000000007</v>
      </c>
      <c r="D1238" s="6">
        <f t="shared" si="60"/>
        <v>-4.7812499999999973</v>
      </c>
      <c r="E1238" s="6">
        <f t="shared" si="61"/>
        <v>13.581249999999997</v>
      </c>
    </row>
    <row r="1239" spans="1:5" x14ac:dyDescent="0.2">
      <c r="A1239" t="s">
        <v>1327</v>
      </c>
      <c r="B1239" t="s">
        <v>1307</v>
      </c>
      <c r="C1239" s="6">
        <v>7.2</v>
      </c>
      <c r="D1239" s="6">
        <f t="shared" si="60"/>
        <v>-4.9729166666666655</v>
      </c>
      <c r="E1239" s="6">
        <f t="shared" si="61"/>
        <v>12.172916666666666</v>
      </c>
    </row>
    <row r="1240" spans="1:5" x14ac:dyDescent="0.2">
      <c r="A1240" t="s">
        <v>1327</v>
      </c>
      <c r="B1240" t="s">
        <v>1308</v>
      </c>
      <c r="C1240" s="6">
        <v>13</v>
      </c>
      <c r="D1240" s="6">
        <f t="shared" si="60"/>
        <v>-5.1770833333333321</v>
      </c>
      <c r="E1240" s="6">
        <f t="shared" si="61"/>
        <v>18.177083333333332</v>
      </c>
    </row>
    <row r="1241" spans="1:5" x14ac:dyDescent="0.2">
      <c r="A1241" t="s">
        <v>1327</v>
      </c>
      <c r="B1241" t="s">
        <v>1309</v>
      </c>
      <c r="C1241" s="6">
        <v>15.2</v>
      </c>
      <c r="D1241" s="6">
        <f t="shared" si="60"/>
        <v>-5.2333333333333316</v>
      </c>
      <c r="E1241" s="6">
        <f t="shared" si="61"/>
        <v>20.43333333333333</v>
      </c>
    </row>
    <row r="1242" spans="1:5" x14ac:dyDescent="0.2">
      <c r="A1242" t="s">
        <v>1327</v>
      </c>
      <c r="B1242" t="s">
        <v>1310</v>
      </c>
      <c r="C1242" s="6">
        <v>16.100000000000001</v>
      </c>
      <c r="D1242" s="6">
        <f t="shared" ref="D1242:D1273" si="62">AVERAGE(C1194:C1241)</f>
        <v>-5.0458333333333316</v>
      </c>
      <c r="E1242" s="6">
        <f t="shared" ref="E1242:E1273" si="63">C1242-D1242</f>
        <v>21.145833333333332</v>
      </c>
    </row>
    <row r="1243" spans="1:5" x14ac:dyDescent="0.2">
      <c r="A1243" t="s">
        <v>1327</v>
      </c>
      <c r="B1243" t="s">
        <v>1311</v>
      </c>
      <c r="C1243" s="6">
        <v>9.5</v>
      </c>
      <c r="D1243" s="6">
        <f t="shared" si="62"/>
        <v>-4.7145833333333318</v>
      </c>
      <c r="E1243" s="6">
        <f t="shared" si="63"/>
        <v>14.214583333333332</v>
      </c>
    </row>
    <row r="1244" spans="1:5" x14ac:dyDescent="0.2">
      <c r="A1244" t="s">
        <v>1327</v>
      </c>
      <c r="B1244" t="s">
        <v>1312</v>
      </c>
      <c r="C1244" s="6">
        <v>8.6999999999999993</v>
      </c>
      <c r="D1244" s="6">
        <f t="shared" si="62"/>
        <v>-4.2104166666666654</v>
      </c>
      <c r="E1244" s="6">
        <f t="shared" si="63"/>
        <v>12.910416666666665</v>
      </c>
    </row>
    <row r="1245" spans="1:5" x14ac:dyDescent="0.2">
      <c r="A1245" t="s">
        <v>1327</v>
      </c>
      <c r="B1245" t="s">
        <v>1313</v>
      </c>
      <c r="C1245" s="6">
        <v>1.6</v>
      </c>
      <c r="D1245" s="6">
        <f t="shared" si="62"/>
        <v>-3.3874999999999997</v>
      </c>
      <c r="E1245" s="6">
        <f t="shared" si="63"/>
        <v>4.9874999999999998</v>
      </c>
    </row>
    <row r="1246" spans="1:5" x14ac:dyDescent="0.2">
      <c r="A1246" t="s">
        <v>1327</v>
      </c>
      <c r="B1246" t="s">
        <v>1314</v>
      </c>
      <c r="C1246" s="6">
        <v>12</v>
      </c>
      <c r="D1246" s="6">
        <f t="shared" si="62"/>
        <v>-2.3770833333333323</v>
      </c>
      <c r="E1246" s="6">
        <f t="shared" si="63"/>
        <v>14.377083333333331</v>
      </c>
    </row>
    <row r="1247" spans="1:5" x14ac:dyDescent="0.2">
      <c r="A1247" t="s">
        <v>1327</v>
      </c>
      <c r="B1247" t="s">
        <v>1315</v>
      </c>
      <c r="C1247" s="6">
        <v>17.7</v>
      </c>
      <c r="D1247" s="6">
        <f t="shared" si="62"/>
        <v>-1.339583333333332</v>
      </c>
      <c r="E1247" s="6">
        <f t="shared" si="63"/>
        <v>19.039583333333333</v>
      </c>
    </row>
    <row r="1248" spans="1:5" x14ac:dyDescent="0.2">
      <c r="A1248" t="s">
        <v>1327</v>
      </c>
      <c r="B1248" t="s">
        <v>1316</v>
      </c>
      <c r="C1248" s="6">
        <v>14.8</v>
      </c>
      <c r="D1248" s="6">
        <f t="shared" si="62"/>
        <v>-0.26874999999999916</v>
      </c>
      <c r="E1248" s="6">
        <f t="shared" si="63"/>
        <v>15.06875</v>
      </c>
    </row>
    <row r="1249" spans="1:5" x14ac:dyDescent="0.2">
      <c r="A1249" t="s">
        <v>1327</v>
      </c>
      <c r="B1249" t="s">
        <v>1317</v>
      </c>
      <c r="C1249" s="6">
        <v>7.4</v>
      </c>
      <c r="D1249" s="6">
        <f t="shared" si="62"/>
        <v>0.5645833333333331</v>
      </c>
      <c r="E1249" s="6">
        <f t="shared" si="63"/>
        <v>6.8354166666666671</v>
      </c>
    </row>
    <row r="1250" spans="1:5" x14ac:dyDescent="0.2">
      <c r="A1250" t="s">
        <v>1327</v>
      </c>
      <c r="B1250" t="s">
        <v>1318</v>
      </c>
      <c r="C1250" s="6">
        <v>13.1</v>
      </c>
      <c r="D1250" s="6">
        <f t="shared" si="62"/>
        <v>1.2041666666666668</v>
      </c>
      <c r="E1250" s="6">
        <f t="shared" si="63"/>
        <v>11.895833333333332</v>
      </c>
    </row>
    <row r="1251" spans="1:5" x14ac:dyDescent="0.2">
      <c r="A1251" t="s">
        <v>1327</v>
      </c>
      <c r="B1251" t="s">
        <v>1319</v>
      </c>
      <c r="C1251" s="6">
        <v>15.5</v>
      </c>
      <c r="D1251" s="6">
        <f t="shared" si="62"/>
        <v>1.9541666666666666</v>
      </c>
      <c r="E1251" s="6">
        <f t="shared" si="63"/>
        <v>13.545833333333334</v>
      </c>
    </row>
    <row r="1252" spans="1:5" x14ac:dyDescent="0.2">
      <c r="A1252" t="s">
        <v>1327</v>
      </c>
      <c r="B1252" t="s">
        <v>1320</v>
      </c>
      <c r="C1252" s="6">
        <v>-0.8</v>
      </c>
      <c r="D1252" s="6">
        <f t="shared" si="62"/>
        <v>2.7270833333333329</v>
      </c>
      <c r="E1252" s="6">
        <f t="shared" si="63"/>
        <v>-3.5270833333333327</v>
      </c>
    </row>
    <row r="1253" spans="1:5" x14ac:dyDescent="0.2">
      <c r="A1253" t="s">
        <v>1327</v>
      </c>
      <c r="B1253" t="s">
        <v>16</v>
      </c>
      <c r="C1253" s="6">
        <v>1.9</v>
      </c>
      <c r="D1253" s="6">
        <f t="shared" si="62"/>
        <v>3.1270833333333332</v>
      </c>
      <c r="E1253" s="6">
        <f t="shared" si="63"/>
        <v>-1.2270833333333333</v>
      </c>
    </row>
    <row r="1254" spans="1:5" x14ac:dyDescent="0.2">
      <c r="A1254" t="s">
        <v>1328</v>
      </c>
      <c r="B1254" t="s">
        <v>1166</v>
      </c>
      <c r="C1254" s="6">
        <v>15.1</v>
      </c>
    </row>
    <row r="1255" spans="1:5" x14ac:dyDescent="0.2">
      <c r="A1255" t="s">
        <v>1328</v>
      </c>
      <c r="B1255" t="s">
        <v>1167</v>
      </c>
      <c r="C1255" s="6">
        <v>11.6</v>
      </c>
    </row>
    <row r="1256" spans="1:5" x14ac:dyDescent="0.2">
      <c r="A1256" t="s">
        <v>1328</v>
      </c>
      <c r="B1256" t="s">
        <v>1168</v>
      </c>
      <c r="C1256" s="6">
        <v>12.5</v>
      </c>
    </row>
    <row r="1257" spans="1:5" x14ac:dyDescent="0.2">
      <c r="A1257" t="s">
        <v>1328</v>
      </c>
      <c r="B1257" t="s">
        <v>1169</v>
      </c>
      <c r="C1257" s="6">
        <v>11.7</v>
      </c>
    </row>
    <row r="1258" spans="1:5" x14ac:dyDescent="0.2">
      <c r="A1258" t="s">
        <v>1328</v>
      </c>
      <c r="B1258" t="s">
        <v>1170</v>
      </c>
      <c r="C1258" s="6">
        <v>8</v>
      </c>
    </row>
    <row r="1259" spans="1:5" x14ac:dyDescent="0.2">
      <c r="A1259" t="s">
        <v>1328</v>
      </c>
      <c r="B1259" t="s">
        <v>1171</v>
      </c>
      <c r="C1259" s="6">
        <v>14.3</v>
      </c>
    </row>
    <row r="1260" spans="1:5" x14ac:dyDescent="0.2">
      <c r="A1260" t="s">
        <v>1328</v>
      </c>
      <c r="B1260" t="s">
        <v>1172</v>
      </c>
      <c r="C1260" s="6">
        <v>20</v>
      </c>
    </row>
    <row r="1261" spans="1:5" x14ac:dyDescent="0.2">
      <c r="A1261" t="s">
        <v>1328</v>
      </c>
      <c r="B1261" t="s">
        <v>1173</v>
      </c>
      <c r="C1261" s="6">
        <v>10.6</v>
      </c>
    </row>
    <row r="1262" spans="1:5" x14ac:dyDescent="0.2">
      <c r="A1262" t="s">
        <v>1328</v>
      </c>
      <c r="B1262" t="s">
        <v>1174</v>
      </c>
      <c r="C1262" s="6">
        <v>19.2</v>
      </c>
    </row>
    <row r="1263" spans="1:5" x14ac:dyDescent="0.2">
      <c r="A1263" t="s">
        <v>1328</v>
      </c>
      <c r="B1263" t="s">
        <v>1175</v>
      </c>
      <c r="C1263" s="6">
        <v>19.3</v>
      </c>
    </row>
    <row r="1264" spans="1:5" x14ac:dyDescent="0.2">
      <c r="A1264" t="s">
        <v>1328</v>
      </c>
      <c r="B1264" t="s">
        <v>1176</v>
      </c>
      <c r="C1264" s="6">
        <v>17.2</v>
      </c>
    </row>
    <row r="1265" spans="1:3" x14ac:dyDescent="0.2">
      <c r="A1265" t="s">
        <v>1328</v>
      </c>
      <c r="B1265" t="s">
        <v>1177</v>
      </c>
      <c r="C1265" s="6">
        <v>15.1</v>
      </c>
    </row>
    <row r="1266" spans="1:3" x14ac:dyDescent="0.2">
      <c r="A1266" t="s">
        <v>1328</v>
      </c>
      <c r="B1266" t="s">
        <v>1178</v>
      </c>
      <c r="C1266" s="6">
        <v>8</v>
      </c>
    </row>
    <row r="1267" spans="1:3" x14ac:dyDescent="0.2">
      <c r="A1267" t="s">
        <v>1328</v>
      </c>
      <c r="B1267" t="s">
        <v>1179</v>
      </c>
      <c r="C1267" s="6">
        <v>13.3</v>
      </c>
    </row>
    <row r="1268" spans="1:3" x14ac:dyDescent="0.2">
      <c r="A1268" t="s">
        <v>1328</v>
      </c>
      <c r="B1268" t="s">
        <v>1180</v>
      </c>
      <c r="C1268" s="6">
        <v>9.3000000000000007</v>
      </c>
    </row>
    <row r="1269" spans="1:3" x14ac:dyDescent="0.2">
      <c r="A1269" t="s">
        <v>1328</v>
      </c>
      <c r="B1269" t="s">
        <v>1181</v>
      </c>
      <c r="C1269" s="6">
        <v>10</v>
      </c>
    </row>
    <row r="1270" spans="1:3" x14ac:dyDescent="0.2">
      <c r="A1270" t="s">
        <v>1328</v>
      </c>
      <c r="B1270" t="s">
        <v>1182</v>
      </c>
      <c r="C1270" s="6">
        <v>12</v>
      </c>
    </row>
    <row r="1271" spans="1:3" x14ac:dyDescent="0.2">
      <c r="A1271" t="s">
        <v>1328</v>
      </c>
      <c r="B1271" t="s">
        <v>1183</v>
      </c>
      <c r="C1271" s="6">
        <v>14.9</v>
      </c>
    </row>
    <row r="1272" spans="1:3" x14ac:dyDescent="0.2">
      <c r="A1272" t="s">
        <v>1328</v>
      </c>
      <c r="B1272" t="s">
        <v>1184</v>
      </c>
      <c r="C1272" s="6">
        <v>15.2</v>
      </c>
    </row>
    <row r="1273" spans="1:3" x14ac:dyDescent="0.2">
      <c r="A1273" t="s">
        <v>1328</v>
      </c>
      <c r="B1273" t="s">
        <v>1185</v>
      </c>
      <c r="C1273" s="6">
        <v>2</v>
      </c>
    </row>
    <row r="1274" spans="1:3" x14ac:dyDescent="0.2">
      <c r="A1274" t="s">
        <v>1328</v>
      </c>
      <c r="B1274" t="s">
        <v>1186</v>
      </c>
      <c r="C1274" s="6">
        <v>11.4</v>
      </c>
    </row>
    <row r="1275" spans="1:3" x14ac:dyDescent="0.2">
      <c r="A1275" t="s">
        <v>1328</v>
      </c>
      <c r="B1275" t="s">
        <v>1187</v>
      </c>
      <c r="C1275" s="6">
        <v>12.9</v>
      </c>
    </row>
    <row r="1276" spans="1:3" x14ac:dyDescent="0.2">
      <c r="A1276" t="s">
        <v>1328</v>
      </c>
      <c r="B1276" t="s">
        <v>1188</v>
      </c>
      <c r="C1276" s="6">
        <v>17.7</v>
      </c>
    </row>
    <row r="1277" spans="1:3" x14ac:dyDescent="0.2">
      <c r="A1277" t="s">
        <v>1328</v>
      </c>
      <c r="B1277" t="s">
        <v>1189</v>
      </c>
      <c r="C1277" s="6">
        <v>24</v>
      </c>
    </row>
    <row r="1278" spans="1:3" x14ac:dyDescent="0.2">
      <c r="A1278" t="s">
        <v>1328</v>
      </c>
      <c r="B1278" t="s">
        <v>1190</v>
      </c>
      <c r="C1278" s="6">
        <v>18.8</v>
      </c>
    </row>
    <row r="1279" spans="1:3" x14ac:dyDescent="0.2">
      <c r="A1279" t="s">
        <v>1328</v>
      </c>
      <c r="B1279" t="s">
        <v>1191</v>
      </c>
      <c r="C1279" s="6">
        <v>16.899999999999999</v>
      </c>
    </row>
    <row r="1280" spans="1:3" x14ac:dyDescent="0.2">
      <c r="A1280" t="s">
        <v>1328</v>
      </c>
      <c r="B1280" t="s">
        <v>1192</v>
      </c>
      <c r="C1280" s="6">
        <v>15.9</v>
      </c>
    </row>
    <row r="1281" spans="1:3" x14ac:dyDescent="0.2">
      <c r="A1281" t="s">
        <v>1328</v>
      </c>
      <c r="B1281" t="s">
        <v>1193</v>
      </c>
      <c r="C1281" s="6">
        <v>14.8</v>
      </c>
    </row>
    <row r="1282" spans="1:3" x14ac:dyDescent="0.2">
      <c r="A1282" t="s">
        <v>1328</v>
      </c>
      <c r="B1282" t="s">
        <v>1194</v>
      </c>
      <c r="C1282" s="6">
        <v>8.6999999999999993</v>
      </c>
    </row>
    <row r="1283" spans="1:3" x14ac:dyDescent="0.2">
      <c r="A1283" t="s">
        <v>1328</v>
      </c>
      <c r="B1283" t="s">
        <v>1195</v>
      </c>
      <c r="C1283" s="6">
        <v>19.2</v>
      </c>
    </row>
    <row r="1284" spans="1:3" x14ac:dyDescent="0.2">
      <c r="A1284" t="s">
        <v>1328</v>
      </c>
      <c r="B1284" t="s">
        <v>1196</v>
      </c>
      <c r="C1284" s="6">
        <v>8.9</v>
      </c>
    </row>
    <row r="1285" spans="1:3" x14ac:dyDescent="0.2">
      <c r="A1285" t="s">
        <v>1328</v>
      </c>
      <c r="B1285" t="s">
        <v>1197</v>
      </c>
      <c r="C1285" s="6">
        <v>17.899999999999999</v>
      </c>
    </row>
    <row r="1286" spans="1:3" x14ac:dyDescent="0.2">
      <c r="A1286" t="s">
        <v>1328</v>
      </c>
      <c r="B1286" t="s">
        <v>1198</v>
      </c>
      <c r="C1286" s="6">
        <v>17.600000000000001</v>
      </c>
    </row>
    <row r="1287" spans="1:3" x14ac:dyDescent="0.2">
      <c r="A1287" t="s">
        <v>1328</v>
      </c>
      <c r="B1287" t="s">
        <v>1199</v>
      </c>
      <c r="C1287" s="6">
        <v>11.4</v>
      </c>
    </row>
    <row r="1288" spans="1:3" x14ac:dyDescent="0.2">
      <c r="A1288" t="s">
        <v>1328</v>
      </c>
      <c r="B1288" t="s">
        <v>1200</v>
      </c>
      <c r="C1288" s="6">
        <v>3.8</v>
      </c>
    </row>
    <row r="1289" spans="1:3" x14ac:dyDescent="0.2">
      <c r="A1289" t="s">
        <v>1328</v>
      </c>
      <c r="B1289" t="s">
        <v>1201</v>
      </c>
      <c r="C1289" s="6">
        <v>10.9</v>
      </c>
    </row>
    <row r="1290" spans="1:3" x14ac:dyDescent="0.2">
      <c r="A1290" t="s">
        <v>1328</v>
      </c>
      <c r="B1290" t="s">
        <v>1202</v>
      </c>
      <c r="C1290" s="6">
        <v>16</v>
      </c>
    </row>
    <row r="1291" spans="1:3" x14ac:dyDescent="0.2">
      <c r="A1291" t="s">
        <v>1328</v>
      </c>
      <c r="B1291" t="s">
        <v>1203</v>
      </c>
      <c r="C1291" s="6">
        <v>19.7</v>
      </c>
    </row>
    <row r="1292" spans="1:3" x14ac:dyDescent="0.2">
      <c r="A1292" t="s">
        <v>1328</v>
      </c>
      <c r="B1292" t="s">
        <v>1204</v>
      </c>
      <c r="C1292" s="6">
        <v>23.1</v>
      </c>
    </row>
    <row r="1293" spans="1:3" x14ac:dyDescent="0.2">
      <c r="A1293" t="s">
        <v>1328</v>
      </c>
      <c r="B1293" t="s">
        <v>1205</v>
      </c>
      <c r="C1293" s="6">
        <v>20.6</v>
      </c>
    </row>
    <row r="1294" spans="1:3" x14ac:dyDescent="0.2">
      <c r="A1294" t="s">
        <v>1328</v>
      </c>
      <c r="B1294" t="s">
        <v>1206</v>
      </c>
      <c r="C1294" s="6">
        <v>22.3</v>
      </c>
    </row>
    <row r="1295" spans="1:3" x14ac:dyDescent="0.2">
      <c r="A1295" t="s">
        <v>1328</v>
      </c>
      <c r="B1295" t="s">
        <v>1207</v>
      </c>
      <c r="C1295" s="6">
        <v>8.5</v>
      </c>
    </row>
    <row r="1296" spans="1:3" x14ac:dyDescent="0.2">
      <c r="A1296" t="s">
        <v>1328</v>
      </c>
      <c r="B1296" t="s">
        <v>1208</v>
      </c>
      <c r="C1296" s="6">
        <v>5.8</v>
      </c>
    </row>
    <row r="1297" spans="1:5" x14ac:dyDescent="0.2">
      <c r="A1297" t="s">
        <v>1328</v>
      </c>
      <c r="B1297" t="s">
        <v>1209</v>
      </c>
      <c r="C1297" s="6">
        <v>7.1</v>
      </c>
    </row>
    <row r="1298" spans="1:5" x14ac:dyDescent="0.2">
      <c r="A1298" t="s">
        <v>1328</v>
      </c>
      <c r="B1298" t="s">
        <v>1210</v>
      </c>
      <c r="C1298" s="6">
        <v>8.6999999999999993</v>
      </c>
    </row>
    <row r="1299" spans="1:5" x14ac:dyDescent="0.2">
      <c r="A1299" t="s">
        <v>1328</v>
      </c>
      <c r="B1299" t="s">
        <v>1211</v>
      </c>
      <c r="C1299" s="6">
        <v>9.6999999999999993</v>
      </c>
    </row>
    <row r="1300" spans="1:5" x14ac:dyDescent="0.2">
      <c r="A1300" t="s">
        <v>1328</v>
      </c>
      <c r="B1300" t="s">
        <v>1212</v>
      </c>
      <c r="C1300" s="6">
        <v>11.4</v>
      </c>
    </row>
    <row r="1301" spans="1:5" x14ac:dyDescent="0.2">
      <c r="A1301" t="s">
        <v>1328</v>
      </c>
      <c r="B1301" t="s">
        <v>1213</v>
      </c>
      <c r="C1301" s="6">
        <v>12.9</v>
      </c>
    </row>
    <row r="1302" spans="1:5" x14ac:dyDescent="0.2">
      <c r="A1302" t="s">
        <v>1328</v>
      </c>
      <c r="B1302" t="s">
        <v>1214</v>
      </c>
      <c r="C1302" s="6">
        <v>10.6</v>
      </c>
      <c r="D1302" s="6">
        <f t="shared" ref="D1302:D1333" si="64">AVERAGE(C1254:C1301)</f>
        <v>13.664583333333331</v>
      </c>
      <c r="E1302" s="6">
        <f t="shared" ref="E1302:E1333" si="65">C1302-D1302</f>
        <v>-3.0645833333333314</v>
      </c>
    </row>
    <row r="1303" spans="1:5" x14ac:dyDescent="0.2">
      <c r="A1303" t="s">
        <v>1328</v>
      </c>
      <c r="B1303" t="s">
        <v>1215</v>
      </c>
      <c r="C1303" s="6">
        <v>11.1</v>
      </c>
      <c r="D1303" s="6">
        <f t="shared" si="64"/>
        <v>13.570833333333331</v>
      </c>
      <c r="E1303" s="6">
        <f t="shared" si="65"/>
        <v>-2.4708333333333314</v>
      </c>
    </row>
    <row r="1304" spans="1:5" x14ac:dyDescent="0.2">
      <c r="A1304" t="s">
        <v>1328</v>
      </c>
      <c r="B1304" t="s">
        <v>1216</v>
      </c>
      <c r="C1304" s="6">
        <v>11.2</v>
      </c>
      <c r="D1304" s="6">
        <f t="shared" si="64"/>
        <v>13.560416666666663</v>
      </c>
      <c r="E1304" s="6">
        <f t="shared" si="65"/>
        <v>-2.3604166666666639</v>
      </c>
    </row>
    <row r="1305" spans="1:5" x14ac:dyDescent="0.2">
      <c r="A1305" t="s">
        <v>1328</v>
      </c>
      <c r="B1305" t="s">
        <v>1217</v>
      </c>
      <c r="C1305" s="6">
        <v>13.6</v>
      </c>
      <c r="D1305" s="6">
        <f t="shared" si="64"/>
        <v>13.533333333333333</v>
      </c>
      <c r="E1305" s="6">
        <f t="shared" si="65"/>
        <v>6.666666666666643E-2</v>
      </c>
    </row>
    <row r="1306" spans="1:5" x14ac:dyDescent="0.2">
      <c r="A1306" t="s">
        <v>1328</v>
      </c>
      <c r="B1306" t="s">
        <v>1218</v>
      </c>
      <c r="C1306" s="6">
        <v>16.3</v>
      </c>
      <c r="D1306" s="6">
        <f t="shared" si="64"/>
        <v>13.572916666666666</v>
      </c>
      <c r="E1306" s="6">
        <f t="shared" si="65"/>
        <v>2.7270833333333346</v>
      </c>
    </row>
    <row r="1307" spans="1:5" x14ac:dyDescent="0.2">
      <c r="A1307" t="s">
        <v>1328</v>
      </c>
      <c r="B1307" t="s">
        <v>1219</v>
      </c>
      <c r="C1307" s="6">
        <v>6.3</v>
      </c>
      <c r="D1307" s="6">
        <f t="shared" si="64"/>
        <v>13.745833333333332</v>
      </c>
      <c r="E1307" s="6">
        <f t="shared" si="65"/>
        <v>-7.445833333333332</v>
      </c>
    </row>
    <row r="1308" spans="1:5" x14ac:dyDescent="0.2">
      <c r="A1308" t="s">
        <v>1328</v>
      </c>
      <c r="B1308" t="s">
        <v>1220</v>
      </c>
      <c r="C1308" s="6">
        <v>11.4</v>
      </c>
      <c r="D1308" s="6">
        <f t="shared" si="64"/>
        <v>13.579166666666666</v>
      </c>
      <c r="E1308" s="6">
        <f t="shared" si="65"/>
        <v>-2.1791666666666654</v>
      </c>
    </row>
    <row r="1309" spans="1:5" x14ac:dyDescent="0.2">
      <c r="A1309" t="s">
        <v>1328</v>
      </c>
      <c r="B1309" t="s">
        <v>1221</v>
      </c>
      <c r="C1309" s="6">
        <v>10.6</v>
      </c>
      <c r="D1309" s="6">
        <f t="shared" si="64"/>
        <v>13.4</v>
      </c>
      <c r="E1309" s="6">
        <f t="shared" si="65"/>
        <v>-2.8000000000000007</v>
      </c>
    </row>
    <row r="1310" spans="1:5" x14ac:dyDescent="0.2">
      <c r="A1310" t="s">
        <v>1328</v>
      </c>
      <c r="B1310" t="s">
        <v>1222</v>
      </c>
      <c r="C1310" s="6">
        <v>8.1</v>
      </c>
      <c r="D1310" s="6">
        <f t="shared" si="64"/>
        <v>13.4</v>
      </c>
      <c r="E1310" s="6">
        <f t="shared" si="65"/>
        <v>-5.3000000000000007</v>
      </c>
    </row>
    <row r="1311" spans="1:5" x14ac:dyDescent="0.2">
      <c r="A1311" t="s">
        <v>1328</v>
      </c>
      <c r="B1311" t="s">
        <v>1223</v>
      </c>
      <c r="C1311" s="6">
        <v>9.9</v>
      </c>
      <c r="D1311" s="6">
        <f t="shared" si="64"/>
        <v>13.168750000000001</v>
      </c>
      <c r="E1311" s="6">
        <f t="shared" si="65"/>
        <v>-3.2687500000000007</v>
      </c>
    </row>
    <row r="1312" spans="1:5" x14ac:dyDescent="0.2">
      <c r="A1312" t="s">
        <v>1328</v>
      </c>
      <c r="B1312" t="s">
        <v>1224</v>
      </c>
      <c r="C1312" s="6">
        <v>10.5</v>
      </c>
      <c r="D1312" s="6">
        <f t="shared" si="64"/>
        <v>12.972916666666668</v>
      </c>
      <c r="E1312" s="6">
        <f t="shared" si="65"/>
        <v>-2.4729166666666682</v>
      </c>
    </row>
    <row r="1313" spans="1:5" x14ac:dyDescent="0.2">
      <c r="A1313" t="s">
        <v>1328</v>
      </c>
      <c r="B1313" t="s">
        <v>1225</v>
      </c>
      <c r="C1313" s="6">
        <v>6.3</v>
      </c>
      <c r="D1313" s="6">
        <f t="shared" si="64"/>
        <v>12.833333333333334</v>
      </c>
      <c r="E1313" s="6">
        <f t="shared" si="65"/>
        <v>-6.5333333333333341</v>
      </c>
    </row>
    <row r="1314" spans="1:5" x14ac:dyDescent="0.2">
      <c r="A1314" t="s">
        <v>1328</v>
      </c>
      <c r="B1314" t="s">
        <v>1226</v>
      </c>
      <c r="C1314" s="6">
        <v>3.7</v>
      </c>
      <c r="D1314" s="6">
        <f t="shared" si="64"/>
        <v>12.649999999999999</v>
      </c>
      <c r="E1314" s="6">
        <f t="shared" si="65"/>
        <v>-8.9499999999999993</v>
      </c>
    </row>
    <row r="1315" spans="1:5" x14ac:dyDescent="0.2">
      <c r="A1315" t="s">
        <v>1328</v>
      </c>
      <c r="B1315" t="s">
        <v>1227</v>
      </c>
      <c r="C1315" s="6">
        <v>4.2</v>
      </c>
      <c r="D1315" s="6">
        <f t="shared" si="64"/>
        <v>12.560416666666667</v>
      </c>
      <c r="E1315" s="6">
        <f t="shared" si="65"/>
        <v>-8.3604166666666657</v>
      </c>
    </row>
    <row r="1316" spans="1:5" x14ac:dyDescent="0.2">
      <c r="A1316" t="s">
        <v>1328</v>
      </c>
      <c r="B1316" t="s">
        <v>1228</v>
      </c>
      <c r="C1316" s="6">
        <v>4.2</v>
      </c>
      <c r="D1316" s="6">
        <f t="shared" si="64"/>
        <v>12.370833333333335</v>
      </c>
      <c r="E1316" s="6">
        <f t="shared" si="65"/>
        <v>-8.1708333333333343</v>
      </c>
    </row>
    <row r="1317" spans="1:5" x14ac:dyDescent="0.2">
      <c r="A1317" t="s">
        <v>1328</v>
      </c>
      <c r="B1317" t="s">
        <v>1229</v>
      </c>
      <c r="C1317" s="6">
        <v>4.3</v>
      </c>
      <c r="D1317" s="6">
        <f t="shared" si="64"/>
        <v>12.264583333333334</v>
      </c>
      <c r="E1317" s="6">
        <f t="shared" si="65"/>
        <v>-7.9645833333333345</v>
      </c>
    </row>
    <row r="1318" spans="1:5" x14ac:dyDescent="0.2">
      <c r="A1318" t="s">
        <v>1328</v>
      </c>
      <c r="B1318" t="s">
        <v>1230</v>
      </c>
      <c r="C1318" s="6">
        <v>6.3</v>
      </c>
      <c r="D1318" s="6">
        <f t="shared" si="64"/>
        <v>12.145833333333336</v>
      </c>
      <c r="E1318" s="6">
        <f t="shared" si="65"/>
        <v>-5.8458333333333359</v>
      </c>
    </row>
    <row r="1319" spans="1:5" x14ac:dyDescent="0.2">
      <c r="A1319" t="s">
        <v>1328</v>
      </c>
      <c r="B1319" t="s">
        <v>1231</v>
      </c>
      <c r="C1319" s="6">
        <v>-3.3</v>
      </c>
      <c r="D1319" s="6">
        <f t="shared" si="64"/>
        <v>12.027083333333335</v>
      </c>
      <c r="E1319" s="6">
        <f t="shared" si="65"/>
        <v>-15.327083333333334</v>
      </c>
    </row>
    <row r="1320" spans="1:5" x14ac:dyDescent="0.2">
      <c r="A1320" t="s">
        <v>1328</v>
      </c>
      <c r="B1320" t="s">
        <v>1232</v>
      </c>
      <c r="C1320" s="6">
        <v>2.2000000000000002</v>
      </c>
      <c r="D1320" s="6">
        <f t="shared" si="64"/>
        <v>11.647916666666669</v>
      </c>
      <c r="E1320" s="6">
        <f t="shared" si="65"/>
        <v>-9.4479166666666679</v>
      </c>
    </row>
    <row r="1321" spans="1:5" x14ac:dyDescent="0.2">
      <c r="A1321" t="s">
        <v>1328</v>
      </c>
      <c r="B1321" t="s">
        <v>1233</v>
      </c>
      <c r="C1321" s="6">
        <v>1.8</v>
      </c>
      <c r="D1321" s="6">
        <f t="shared" si="64"/>
        <v>11.377083333333337</v>
      </c>
      <c r="E1321" s="6">
        <f t="shared" si="65"/>
        <v>-9.5770833333333361</v>
      </c>
    </row>
    <row r="1322" spans="1:5" x14ac:dyDescent="0.2">
      <c r="A1322" t="s">
        <v>1328</v>
      </c>
      <c r="B1322" t="s">
        <v>1234</v>
      </c>
      <c r="C1322" s="6">
        <v>2.2000000000000002</v>
      </c>
      <c r="D1322" s="6">
        <f t="shared" si="64"/>
        <v>11.372916666666669</v>
      </c>
      <c r="E1322" s="6">
        <f t="shared" si="65"/>
        <v>-9.1729166666666693</v>
      </c>
    </row>
    <row r="1323" spans="1:5" x14ac:dyDescent="0.2">
      <c r="A1323" t="s">
        <v>1328</v>
      </c>
      <c r="B1323" t="s">
        <v>1235</v>
      </c>
      <c r="C1323" s="6">
        <v>2.5</v>
      </c>
      <c r="D1323" s="6">
        <f t="shared" si="64"/>
        <v>11.181250000000006</v>
      </c>
      <c r="E1323" s="6">
        <f t="shared" si="65"/>
        <v>-8.6812500000000057</v>
      </c>
    </row>
    <row r="1324" spans="1:5" x14ac:dyDescent="0.2">
      <c r="A1324" t="s">
        <v>1328</v>
      </c>
      <c r="B1324" t="s">
        <v>1236</v>
      </c>
      <c r="C1324" s="6">
        <v>0.7</v>
      </c>
      <c r="D1324" s="6">
        <f t="shared" si="64"/>
        <v>10.964583333333335</v>
      </c>
      <c r="E1324" s="6">
        <f t="shared" si="65"/>
        <v>-10.264583333333336</v>
      </c>
    </row>
    <row r="1325" spans="1:5" x14ac:dyDescent="0.2">
      <c r="A1325" t="s">
        <v>1328</v>
      </c>
      <c r="B1325" t="s">
        <v>1237</v>
      </c>
      <c r="C1325" s="6">
        <v>-1.8</v>
      </c>
      <c r="D1325" s="6">
        <f t="shared" si="64"/>
        <v>10.610416666666667</v>
      </c>
      <c r="E1325" s="6">
        <f t="shared" si="65"/>
        <v>-12.410416666666668</v>
      </c>
    </row>
    <row r="1326" spans="1:5" x14ac:dyDescent="0.2">
      <c r="A1326" t="s">
        <v>1328</v>
      </c>
      <c r="B1326" t="s">
        <v>1238</v>
      </c>
      <c r="C1326" s="6">
        <v>1.5</v>
      </c>
      <c r="D1326" s="6">
        <f t="shared" si="64"/>
        <v>10.072916666666666</v>
      </c>
      <c r="E1326" s="6">
        <f t="shared" si="65"/>
        <v>-8.5729166666666661</v>
      </c>
    </row>
    <row r="1327" spans="1:5" x14ac:dyDescent="0.2">
      <c r="A1327" t="s">
        <v>1328</v>
      </c>
      <c r="B1327" t="s">
        <v>1239</v>
      </c>
      <c r="C1327" s="6">
        <v>2.5</v>
      </c>
      <c r="D1327" s="6">
        <f t="shared" si="64"/>
        <v>9.7125000000000004</v>
      </c>
      <c r="E1327" s="6">
        <f t="shared" si="65"/>
        <v>-7.2125000000000004</v>
      </c>
    </row>
    <row r="1328" spans="1:5" x14ac:dyDescent="0.2">
      <c r="A1328" t="s">
        <v>1328</v>
      </c>
      <c r="B1328" t="s">
        <v>1240</v>
      </c>
      <c r="C1328" s="6">
        <v>4.0999999999999996</v>
      </c>
      <c r="D1328" s="6">
        <f t="shared" si="64"/>
        <v>9.4124999999999996</v>
      </c>
      <c r="E1328" s="6">
        <f t="shared" si="65"/>
        <v>-5.3125</v>
      </c>
    </row>
    <row r="1329" spans="1:5" x14ac:dyDescent="0.2">
      <c r="A1329" t="s">
        <v>1328</v>
      </c>
      <c r="B1329" t="s">
        <v>1241</v>
      </c>
      <c r="C1329" s="6">
        <v>8.3000000000000007</v>
      </c>
      <c r="D1329" s="6">
        <f t="shared" si="64"/>
        <v>9.1666666666666661</v>
      </c>
      <c r="E1329" s="6">
        <f t="shared" si="65"/>
        <v>-0.86666666666666536</v>
      </c>
    </row>
    <row r="1330" spans="1:5" x14ac:dyDescent="0.2">
      <c r="A1330" t="s">
        <v>1328</v>
      </c>
      <c r="B1330" t="s">
        <v>1242</v>
      </c>
      <c r="C1330" s="6">
        <v>2.2999999999999998</v>
      </c>
      <c r="D1330" s="6">
        <f t="shared" si="64"/>
        <v>9.0312500000000018</v>
      </c>
      <c r="E1330" s="6">
        <f t="shared" si="65"/>
        <v>-6.731250000000002</v>
      </c>
    </row>
    <row r="1331" spans="1:5" x14ac:dyDescent="0.2">
      <c r="A1331" t="s">
        <v>1328</v>
      </c>
      <c r="B1331" t="s">
        <v>1243</v>
      </c>
      <c r="C1331" s="6">
        <v>2.9</v>
      </c>
      <c r="D1331" s="6">
        <f t="shared" si="64"/>
        <v>8.8979166666666689</v>
      </c>
      <c r="E1331" s="6">
        <f t="shared" si="65"/>
        <v>-5.9979166666666686</v>
      </c>
    </row>
    <row r="1332" spans="1:5" x14ac:dyDescent="0.2">
      <c r="A1332" t="s">
        <v>1328</v>
      </c>
      <c r="B1332" t="s">
        <v>1244</v>
      </c>
      <c r="C1332" s="6">
        <v>6.1</v>
      </c>
      <c r="D1332" s="6">
        <f t="shared" si="64"/>
        <v>8.5583333333333336</v>
      </c>
      <c r="E1332" s="6">
        <f t="shared" si="65"/>
        <v>-2.4583333333333339</v>
      </c>
    </row>
    <row r="1333" spans="1:5" x14ac:dyDescent="0.2">
      <c r="A1333" t="s">
        <v>1328</v>
      </c>
      <c r="B1333" t="s">
        <v>1245</v>
      </c>
      <c r="C1333" s="6">
        <v>4.8</v>
      </c>
      <c r="D1333" s="6">
        <f t="shared" si="64"/>
        <v>8.5000000000000018</v>
      </c>
      <c r="E1333" s="6">
        <f t="shared" si="65"/>
        <v>-3.700000000000002</v>
      </c>
    </row>
    <row r="1334" spans="1:5" x14ac:dyDescent="0.2">
      <c r="A1334" t="s">
        <v>1328</v>
      </c>
      <c r="B1334" t="s">
        <v>1246</v>
      </c>
      <c r="C1334" s="6">
        <v>2.9</v>
      </c>
      <c r="D1334" s="6">
        <f t="shared" ref="D1334:D1365" si="66">AVERAGE(C1286:C1333)</f>
        <v>8.2270833333333329</v>
      </c>
      <c r="E1334" s="6">
        <f t="shared" ref="E1334:E1365" si="67">C1334-D1334</f>
        <v>-5.3270833333333325</v>
      </c>
    </row>
    <row r="1335" spans="1:5" x14ac:dyDescent="0.2">
      <c r="A1335" t="s">
        <v>1328</v>
      </c>
      <c r="B1335" t="s">
        <v>1247</v>
      </c>
      <c r="C1335" s="6">
        <v>3.4</v>
      </c>
      <c r="D1335" s="6">
        <f t="shared" si="66"/>
        <v>7.9208333333333334</v>
      </c>
      <c r="E1335" s="6">
        <f t="shared" si="67"/>
        <v>-4.5208333333333339</v>
      </c>
    </row>
    <row r="1336" spans="1:5" x14ac:dyDescent="0.2">
      <c r="A1336" t="s">
        <v>1328</v>
      </c>
      <c r="B1336" t="s">
        <v>1248</v>
      </c>
      <c r="C1336" s="6">
        <v>7.7</v>
      </c>
      <c r="D1336" s="6">
        <f t="shared" si="66"/>
        <v>7.7541666666666655</v>
      </c>
      <c r="E1336" s="6">
        <f t="shared" si="67"/>
        <v>-5.4166666666665364E-2</v>
      </c>
    </row>
    <row r="1337" spans="1:5" x14ac:dyDescent="0.2">
      <c r="A1337" t="s">
        <v>1328</v>
      </c>
      <c r="B1337" t="s">
        <v>1249</v>
      </c>
      <c r="C1337" s="6">
        <v>7.2</v>
      </c>
      <c r="D1337" s="6">
        <f t="shared" si="66"/>
        <v>7.8354166666666645</v>
      </c>
      <c r="E1337" s="6">
        <f t="shared" si="67"/>
        <v>-0.6354166666666643</v>
      </c>
    </row>
    <row r="1338" spans="1:5" x14ac:dyDescent="0.2">
      <c r="A1338" t="s">
        <v>1328</v>
      </c>
      <c r="B1338" t="s">
        <v>1250</v>
      </c>
      <c r="C1338" s="6">
        <v>9.1</v>
      </c>
      <c r="D1338" s="6">
        <f t="shared" si="66"/>
        <v>7.758333333333332</v>
      </c>
      <c r="E1338" s="6">
        <f t="shared" si="67"/>
        <v>1.3416666666666677</v>
      </c>
    </row>
    <row r="1339" spans="1:5" x14ac:dyDescent="0.2">
      <c r="A1339" t="s">
        <v>1328</v>
      </c>
      <c r="B1339" t="s">
        <v>1251</v>
      </c>
      <c r="C1339" s="6">
        <v>10.1</v>
      </c>
      <c r="D1339" s="6">
        <f t="shared" si="66"/>
        <v>7.6145833333333321</v>
      </c>
      <c r="E1339" s="6">
        <f t="shared" si="67"/>
        <v>2.4854166666666675</v>
      </c>
    </row>
    <row r="1340" spans="1:5" x14ac:dyDescent="0.2">
      <c r="A1340" t="s">
        <v>1328</v>
      </c>
      <c r="B1340" t="s">
        <v>1252</v>
      </c>
      <c r="C1340" s="6">
        <v>6.7</v>
      </c>
      <c r="D1340" s="6">
        <f t="shared" si="66"/>
        <v>7.4145833333333329</v>
      </c>
      <c r="E1340" s="6">
        <f t="shared" si="67"/>
        <v>-0.71458333333333268</v>
      </c>
    </row>
    <row r="1341" spans="1:5" x14ac:dyDescent="0.2">
      <c r="A1341" t="s">
        <v>1328</v>
      </c>
      <c r="B1341" t="s">
        <v>1253</v>
      </c>
      <c r="C1341" s="6">
        <v>7.7</v>
      </c>
      <c r="D1341" s="6">
        <f t="shared" si="66"/>
        <v>7.072916666666667</v>
      </c>
      <c r="E1341" s="6">
        <f t="shared" si="67"/>
        <v>0.62708333333333321</v>
      </c>
    </row>
    <row r="1342" spans="1:5" x14ac:dyDescent="0.2">
      <c r="A1342" t="s">
        <v>1328</v>
      </c>
      <c r="B1342" t="s">
        <v>1254</v>
      </c>
      <c r="C1342" s="6">
        <v>-1.8</v>
      </c>
      <c r="D1342" s="6">
        <f t="shared" si="66"/>
        <v>6.8041666666666663</v>
      </c>
      <c r="E1342" s="6">
        <f t="shared" si="67"/>
        <v>-8.6041666666666661</v>
      </c>
    </row>
    <row r="1343" spans="1:5" x14ac:dyDescent="0.2">
      <c r="A1343" t="s">
        <v>1328</v>
      </c>
      <c r="B1343" t="s">
        <v>1255</v>
      </c>
      <c r="C1343" s="6">
        <v>2.4</v>
      </c>
      <c r="D1343" s="6">
        <f t="shared" si="66"/>
        <v>6.302083333333333</v>
      </c>
      <c r="E1343" s="6">
        <f t="shared" si="67"/>
        <v>-3.9020833333333331</v>
      </c>
    </row>
    <row r="1344" spans="1:5" x14ac:dyDescent="0.2">
      <c r="A1344" t="s">
        <v>1328</v>
      </c>
      <c r="B1344" t="s">
        <v>1256</v>
      </c>
      <c r="C1344" s="6">
        <v>1.1000000000000001</v>
      </c>
      <c r="D1344" s="6">
        <f t="shared" si="66"/>
        <v>6.174999999999998</v>
      </c>
      <c r="E1344" s="6">
        <f t="shared" si="67"/>
        <v>-5.0749999999999975</v>
      </c>
    </row>
    <row r="1345" spans="1:5" x14ac:dyDescent="0.2">
      <c r="A1345" t="s">
        <v>1328</v>
      </c>
      <c r="B1345" t="s">
        <v>1257</v>
      </c>
      <c r="C1345" s="6">
        <v>0.7</v>
      </c>
      <c r="D1345" s="6">
        <f t="shared" si="66"/>
        <v>6.0770833333333334</v>
      </c>
      <c r="E1345" s="6">
        <f t="shared" si="67"/>
        <v>-5.3770833333333332</v>
      </c>
    </row>
    <row r="1346" spans="1:5" x14ac:dyDescent="0.2">
      <c r="A1346" t="s">
        <v>1328</v>
      </c>
      <c r="B1346" t="s">
        <v>1258</v>
      </c>
      <c r="C1346" s="6">
        <v>3.6</v>
      </c>
      <c r="D1346" s="6">
        <f t="shared" si="66"/>
        <v>5.9437499999999988</v>
      </c>
      <c r="E1346" s="6">
        <f t="shared" si="67"/>
        <v>-2.3437499999999987</v>
      </c>
    </row>
    <row r="1347" spans="1:5" x14ac:dyDescent="0.2">
      <c r="A1347" t="s">
        <v>1328</v>
      </c>
      <c r="B1347" t="s">
        <v>1259</v>
      </c>
      <c r="C1347" s="6">
        <v>1.3</v>
      </c>
      <c r="D1347" s="6">
        <f t="shared" si="66"/>
        <v>5.8374999999999986</v>
      </c>
      <c r="E1347" s="6">
        <f t="shared" si="67"/>
        <v>-4.5374999999999988</v>
      </c>
    </row>
    <row r="1348" spans="1:5" x14ac:dyDescent="0.2">
      <c r="A1348" t="s">
        <v>1328</v>
      </c>
      <c r="B1348" t="s">
        <v>1260</v>
      </c>
      <c r="C1348" s="6">
        <v>-0.5</v>
      </c>
      <c r="D1348" s="6">
        <f t="shared" si="66"/>
        <v>5.6624999999999988</v>
      </c>
      <c r="E1348" s="6">
        <f t="shared" si="67"/>
        <v>-6.1624999999999988</v>
      </c>
    </row>
    <row r="1349" spans="1:5" x14ac:dyDescent="0.2">
      <c r="A1349" t="s">
        <v>1328</v>
      </c>
      <c r="B1349" t="s">
        <v>1261</v>
      </c>
      <c r="C1349" s="6">
        <v>-0.3</v>
      </c>
      <c r="D1349" s="6">
        <f t="shared" si="66"/>
        <v>5.414583333333332</v>
      </c>
      <c r="E1349" s="6">
        <f t="shared" si="67"/>
        <v>-5.7145833333333318</v>
      </c>
    </row>
    <row r="1350" spans="1:5" x14ac:dyDescent="0.2">
      <c r="A1350" t="s">
        <v>1328</v>
      </c>
      <c r="B1350" t="s">
        <v>1262</v>
      </c>
      <c r="C1350" s="6">
        <v>-0.8</v>
      </c>
      <c r="D1350" s="6">
        <f t="shared" si="66"/>
        <v>5.1395833333333316</v>
      </c>
      <c r="E1350" s="6">
        <f t="shared" si="67"/>
        <v>-5.9395833333333314</v>
      </c>
    </row>
    <row r="1351" spans="1:5" x14ac:dyDescent="0.2">
      <c r="A1351" t="s">
        <v>1328</v>
      </c>
      <c r="B1351" t="s">
        <v>1263</v>
      </c>
      <c r="C1351" s="6">
        <v>-4.5</v>
      </c>
      <c r="D1351" s="6">
        <f t="shared" si="66"/>
        <v>4.9020833333333318</v>
      </c>
      <c r="E1351" s="6">
        <f t="shared" si="67"/>
        <v>-9.4020833333333318</v>
      </c>
    </row>
    <row r="1352" spans="1:5" x14ac:dyDescent="0.2">
      <c r="A1352" t="s">
        <v>1328</v>
      </c>
      <c r="B1352" t="s">
        <v>1264</v>
      </c>
      <c r="C1352" s="6">
        <v>-16.899999999999999</v>
      </c>
      <c r="D1352" s="6">
        <f t="shared" si="66"/>
        <v>4.5770833333333316</v>
      </c>
      <c r="E1352" s="6">
        <f t="shared" si="67"/>
        <v>-21.477083333333329</v>
      </c>
    </row>
    <row r="1353" spans="1:5" x14ac:dyDescent="0.2">
      <c r="A1353" t="s">
        <v>1328</v>
      </c>
      <c r="B1353" t="s">
        <v>1265</v>
      </c>
      <c r="C1353" s="6">
        <v>-20.6</v>
      </c>
      <c r="D1353" s="6">
        <f t="shared" si="66"/>
        <v>3.9916666666666658</v>
      </c>
      <c r="E1353" s="6">
        <f t="shared" si="67"/>
        <v>-24.591666666666669</v>
      </c>
    </row>
    <row r="1354" spans="1:5" x14ac:dyDescent="0.2">
      <c r="A1354" t="s">
        <v>1328</v>
      </c>
      <c r="B1354" t="s">
        <v>1266</v>
      </c>
      <c r="C1354" s="6">
        <v>-17.100000000000001</v>
      </c>
      <c r="D1354" s="6">
        <f t="shared" si="66"/>
        <v>3.279166666666665</v>
      </c>
      <c r="E1354" s="6">
        <f t="shared" si="67"/>
        <v>-20.379166666666666</v>
      </c>
    </row>
    <row r="1355" spans="1:5" x14ac:dyDescent="0.2">
      <c r="A1355" t="s">
        <v>1328</v>
      </c>
      <c r="B1355" t="s">
        <v>1267</v>
      </c>
      <c r="C1355" s="6">
        <v>-12.3</v>
      </c>
      <c r="D1355" s="6">
        <f t="shared" si="66"/>
        <v>2.5833333333333317</v>
      </c>
      <c r="E1355" s="6">
        <f t="shared" si="67"/>
        <v>-14.883333333333333</v>
      </c>
    </row>
    <row r="1356" spans="1:5" x14ac:dyDescent="0.2">
      <c r="A1356" t="s">
        <v>1328</v>
      </c>
      <c r="B1356" t="s">
        <v>1268</v>
      </c>
      <c r="C1356" s="6">
        <v>-9.1999999999999993</v>
      </c>
      <c r="D1356" s="6">
        <f t="shared" si="66"/>
        <v>2.195833333333332</v>
      </c>
      <c r="E1356" s="6">
        <f t="shared" si="67"/>
        <v>-11.395833333333332</v>
      </c>
    </row>
    <row r="1357" spans="1:5" x14ac:dyDescent="0.2">
      <c r="A1357" t="s">
        <v>1328</v>
      </c>
      <c r="B1357" t="s">
        <v>1269</v>
      </c>
      <c r="C1357" s="6">
        <v>-8.6999999999999993</v>
      </c>
      <c r="D1357" s="6">
        <f t="shared" si="66"/>
        <v>1.7666666666666657</v>
      </c>
      <c r="E1357" s="6">
        <f t="shared" si="67"/>
        <v>-10.466666666666665</v>
      </c>
    </row>
    <row r="1358" spans="1:5" x14ac:dyDescent="0.2">
      <c r="A1358" t="s">
        <v>1328</v>
      </c>
      <c r="B1358" t="s">
        <v>1270</v>
      </c>
      <c r="C1358" s="6">
        <v>-14.9</v>
      </c>
      <c r="D1358" s="6">
        <f t="shared" si="66"/>
        <v>1.3645833333333324</v>
      </c>
      <c r="E1358" s="6">
        <f t="shared" si="67"/>
        <v>-16.264583333333334</v>
      </c>
    </row>
    <row r="1359" spans="1:5" x14ac:dyDescent="0.2">
      <c r="A1359" t="s">
        <v>1328</v>
      </c>
      <c r="B1359" t="s">
        <v>1271</v>
      </c>
      <c r="C1359" s="6">
        <v>-16.3</v>
      </c>
      <c r="D1359" s="6">
        <f t="shared" si="66"/>
        <v>0.88541666666666596</v>
      </c>
      <c r="E1359" s="6">
        <f t="shared" si="67"/>
        <v>-17.185416666666665</v>
      </c>
    </row>
    <row r="1360" spans="1:5" x14ac:dyDescent="0.2">
      <c r="A1360" t="s">
        <v>1328</v>
      </c>
      <c r="B1360" t="s">
        <v>1272</v>
      </c>
      <c r="C1360" s="6">
        <v>-19.2</v>
      </c>
      <c r="D1360" s="6">
        <f t="shared" si="66"/>
        <v>0.33958333333333246</v>
      </c>
      <c r="E1360" s="6">
        <f t="shared" si="67"/>
        <v>-19.539583333333333</v>
      </c>
    </row>
    <row r="1361" spans="1:5" x14ac:dyDescent="0.2">
      <c r="A1361" t="s">
        <v>1328</v>
      </c>
      <c r="B1361" t="s">
        <v>1273</v>
      </c>
      <c r="C1361" s="6">
        <v>-16.399999999999999</v>
      </c>
      <c r="D1361" s="6">
        <f t="shared" si="66"/>
        <v>-0.27916666666666634</v>
      </c>
      <c r="E1361" s="6">
        <f t="shared" si="67"/>
        <v>-16.120833333333334</v>
      </c>
    </row>
    <row r="1362" spans="1:5" x14ac:dyDescent="0.2">
      <c r="A1362" t="s">
        <v>1328</v>
      </c>
      <c r="B1362" t="s">
        <v>1274</v>
      </c>
      <c r="C1362" s="6">
        <v>-18.100000000000001</v>
      </c>
      <c r="D1362" s="6">
        <f t="shared" si="66"/>
        <v>-0.75208333333333355</v>
      </c>
      <c r="E1362" s="6">
        <f t="shared" si="67"/>
        <v>-17.347916666666666</v>
      </c>
    </row>
    <row r="1363" spans="1:5" x14ac:dyDescent="0.2">
      <c r="A1363" t="s">
        <v>1328</v>
      </c>
      <c r="B1363" t="s">
        <v>1275</v>
      </c>
      <c r="C1363" s="6">
        <v>-14.6</v>
      </c>
      <c r="D1363" s="6">
        <f t="shared" si="66"/>
        <v>-1.20625</v>
      </c>
      <c r="E1363" s="6">
        <f t="shared" si="67"/>
        <v>-13.393749999999999</v>
      </c>
    </row>
    <row r="1364" spans="1:5" x14ac:dyDescent="0.2">
      <c r="A1364" t="s">
        <v>1328</v>
      </c>
      <c r="B1364" t="s">
        <v>1276</v>
      </c>
      <c r="C1364" s="6">
        <v>15.6</v>
      </c>
      <c r="D1364" s="6">
        <f t="shared" si="66"/>
        <v>-1.5979166666666667</v>
      </c>
      <c r="E1364" s="6">
        <f t="shared" si="67"/>
        <v>17.197916666666668</v>
      </c>
    </row>
    <row r="1365" spans="1:5" x14ac:dyDescent="0.2">
      <c r="A1365" t="s">
        <v>1328</v>
      </c>
      <c r="B1365" t="s">
        <v>1277</v>
      </c>
      <c r="C1365" s="6">
        <v>14.7</v>
      </c>
      <c r="D1365" s="6">
        <f t="shared" si="66"/>
        <v>-1.3604166666666666</v>
      </c>
      <c r="E1365" s="6">
        <f t="shared" si="67"/>
        <v>16.060416666666665</v>
      </c>
    </row>
    <row r="1366" spans="1:5" x14ac:dyDescent="0.2">
      <c r="A1366" t="s">
        <v>1328</v>
      </c>
      <c r="B1366" t="s">
        <v>1278</v>
      </c>
      <c r="C1366" s="6">
        <v>-2.9</v>
      </c>
      <c r="D1366" s="6">
        <f t="shared" ref="D1366:D1397" si="68">AVERAGE(C1318:C1365)</f>
        <v>-1.14375</v>
      </c>
      <c r="E1366" s="6">
        <f t="shared" ref="E1366:E1397" si="69">C1366-D1366</f>
        <v>-1.7562499999999999</v>
      </c>
    </row>
    <row r="1367" spans="1:5" x14ac:dyDescent="0.2">
      <c r="A1367" t="s">
        <v>1328</v>
      </c>
      <c r="B1367" t="s">
        <v>1279</v>
      </c>
      <c r="C1367" s="6">
        <v>-2.1</v>
      </c>
      <c r="D1367" s="6">
        <f t="shared" si="68"/>
        <v>-1.3354166666666665</v>
      </c>
      <c r="E1367" s="6">
        <f t="shared" si="69"/>
        <v>-0.76458333333333361</v>
      </c>
    </row>
    <row r="1368" spans="1:5" x14ac:dyDescent="0.2">
      <c r="A1368" t="s">
        <v>1328</v>
      </c>
      <c r="B1368" t="s">
        <v>1280</v>
      </c>
      <c r="C1368" s="6">
        <v>-2.2000000000000002</v>
      </c>
      <c r="D1368" s="6">
        <f t="shared" si="68"/>
        <v>-1.3104166666666668</v>
      </c>
      <c r="E1368" s="6">
        <f t="shared" si="69"/>
        <v>-0.88958333333333339</v>
      </c>
    </row>
    <row r="1369" spans="1:5" x14ac:dyDescent="0.2">
      <c r="A1369" t="s">
        <v>1328</v>
      </c>
      <c r="B1369" t="s">
        <v>1281</v>
      </c>
      <c r="C1369" s="6">
        <v>6.5</v>
      </c>
      <c r="D1369" s="6">
        <f t="shared" si="68"/>
        <v>-1.4020833333333333</v>
      </c>
      <c r="E1369" s="6">
        <f t="shared" si="69"/>
        <v>7.9020833333333336</v>
      </c>
    </row>
    <row r="1370" spans="1:5" x14ac:dyDescent="0.2">
      <c r="A1370" t="s">
        <v>1328</v>
      </c>
      <c r="B1370" t="s">
        <v>1282</v>
      </c>
      <c r="C1370" s="6">
        <v>10.8</v>
      </c>
      <c r="D1370" s="6">
        <f t="shared" si="68"/>
        <v>-1.3041666666666669</v>
      </c>
      <c r="E1370" s="6">
        <f t="shared" si="69"/>
        <v>12.104166666666668</v>
      </c>
    </row>
    <row r="1371" spans="1:5" x14ac:dyDescent="0.2">
      <c r="A1371" t="s">
        <v>1328</v>
      </c>
      <c r="B1371" t="s">
        <v>1283</v>
      </c>
      <c r="C1371" s="6">
        <v>13.8</v>
      </c>
      <c r="D1371" s="6">
        <f t="shared" si="68"/>
        <v>-1.125</v>
      </c>
      <c r="E1371" s="6">
        <f t="shared" si="69"/>
        <v>14.925000000000001</v>
      </c>
    </row>
    <row r="1372" spans="1:5" x14ac:dyDescent="0.2">
      <c r="A1372" t="s">
        <v>1328</v>
      </c>
      <c r="B1372" t="s">
        <v>1284</v>
      </c>
      <c r="C1372" s="6">
        <v>15.2</v>
      </c>
      <c r="D1372" s="6">
        <f t="shared" si="68"/>
        <v>-0.8895833333333325</v>
      </c>
      <c r="E1372" s="6">
        <f t="shared" si="69"/>
        <v>16.08958333333333</v>
      </c>
    </row>
    <row r="1373" spans="1:5" x14ac:dyDescent="0.2">
      <c r="A1373" t="s">
        <v>1328</v>
      </c>
      <c r="B1373" t="s">
        <v>1285</v>
      </c>
      <c r="C1373" s="6">
        <v>12.9</v>
      </c>
      <c r="D1373" s="6">
        <f t="shared" si="68"/>
        <v>-0.58749999999999958</v>
      </c>
      <c r="E1373" s="6">
        <f t="shared" si="69"/>
        <v>13.487500000000001</v>
      </c>
    </row>
    <row r="1374" spans="1:5" x14ac:dyDescent="0.2">
      <c r="A1374" t="s">
        <v>1328</v>
      </c>
      <c r="B1374" t="s">
        <v>1286</v>
      </c>
      <c r="C1374" s="6">
        <v>9.3000000000000007</v>
      </c>
      <c r="D1374" s="6">
        <f t="shared" si="68"/>
        <v>-0.28125000000000017</v>
      </c>
      <c r="E1374" s="6">
        <f t="shared" si="69"/>
        <v>9.5812500000000007</v>
      </c>
    </row>
    <row r="1375" spans="1:5" x14ac:dyDescent="0.2">
      <c r="A1375" t="s">
        <v>1328</v>
      </c>
      <c r="B1375" t="s">
        <v>1287</v>
      </c>
      <c r="C1375" s="6">
        <v>8.5</v>
      </c>
      <c r="D1375" s="6">
        <f t="shared" si="68"/>
        <v>-0.11874999999999929</v>
      </c>
      <c r="E1375" s="6">
        <f t="shared" si="69"/>
        <v>8.6187499999999986</v>
      </c>
    </row>
    <row r="1376" spans="1:5" x14ac:dyDescent="0.2">
      <c r="A1376" t="s">
        <v>1328</v>
      </c>
      <c r="B1376" t="s">
        <v>1288</v>
      </c>
      <c r="C1376" s="6">
        <v>2.9</v>
      </c>
      <c r="D1376" s="6">
        <f t="shared" si="68"/>
        <v>6.250000000000755E-3</v>
      </c>
      <c r="E1376" s="6">
        <f t="shared" si="69"/>
        <v>2.8937499999999989</v>
      </c>
    </row>
    <row r="1377" spans="1:5" x14ac:dyDescent="0.2">
      <c r="A1377" t="s">
        <v>1328</v>
      </c>
      <c r="B1377" t="s">
        <v>1289</v>
      </c>
      <c r="C1377" s="6">
        <v>4.5999999999999996</v>
      </c>
      <c r="D1377" s="6">
        <f t="shared" si="68"/>
        <v>-1.8749999999999722E-2</v>
      </c>
      <c r="E1377" s="6">
        <f t="shared" si="69"/>
        <v>4.6187499999999995</v>
      </c>
    </row>
    <row r="1378" spans="1:5" x14ac:dyDescent="0.2">
      <c r="A1378" t="s">
        <v>1328</v>
      </c>
      <c r="B1378" t="s">
        <v>1290</v>
      </c>
      <c r="C1378" s="6">
        <v>3.7</v>
      </c>
      <c r="D1378" s="6">
        <f t="shared" si="68"/>
        <v>-9.5833333333333284E-2</v>
      </c>
      <c r="E1378" s="6">
        <f t="shared" si="69"/>
        <v>3.7958333333333334</v>
      </c>
    </row>
    <row r="1379" spans="1:5" x14ac:dyDescent="0.2">
      <c r="A1379" t="s">
        <v>1328</v>
      </c>
      <c r="B1379" t="s">
        <v>1291</v>
      </c>
      <c r="C1379" s="6">
        <v>1.3</v>
      </c>
      <c r="D1379" s="6">
        <f t="shared" si="68"/>
        <v>-6.6666666666666263E-2</v>
      </c>
      <c r="E1379" s="6">
        <f t="shared" si="69"/>
        <v>1.3666666666666663</v>
      </c>
    </row>
    <row r="1380" spans="1:5" x14ac:dyDescent="0.2">
      <c r="A1380" t="s">
        <v>1328</v>
      </c>
      <c r="B1380" t="s">
        <v>1292</v>
      </c>
      <c r="C1380" s="6">
        <v>0.7</v>
      </c>
      <c r="D1380" s="6">
        <f t="shared" si="68"/>
        <v>-9.9999999999999714E-2</v>
      </c>
      <c r="E1380" s="6">
        <f t="shared" si="69"/>
        <v>0.79999999999999971</v>
      </c>
    </row>
    <row r="1381" spans="1:5" x14ac:dyDescent="0.2">
      <c r="A1381" t="s">
        <v>1328</v>
      </c>
      <c r="B1381" t="s">
        <v>1293</v>
      </c>
      <c r="C1381" s="6">
        <v>-0.6</v>
      </c>
      <c r="D1381" s="6">
        <f t="shared" si="68"/>
        <v>-0.21249999999999961</v>
      </c>
      <c r="E1381" s="6">
        <f t="shared" si="69"/>
        <v>-0.3875000000000004</v>
      </c>
    </row>
    <row r="1382" spans="1:5" x14ac:dyDescent="0.2">
      <c r="A1382" t="s">
        <v>1328</v>
      </c>
      <c r="B1382" t="s">
        <v>1294</v>
      </c>
      <c r="C1382" s="6">
        <v>0.6</v>
      </c>
      <c r="D1382" s="6">
        <f t="shared" si="68"/>
        <v>-0.32499999999999979</v>
      </c>
      <c r="E1382" s="6">
        <f t="shared" si="69"/>
        <v>0.92499999999999982</v>
      </c>
    </row>
    <row r="1383" spans="1:5" x14ac:dyDescent="0.2">
      <c r="A1383" t="s">
        <v>1328</v>
      </c>
      <c r="B1383" t="s">
        <v>1295</v>
      </c>
      <c r="C1383" s="6">
        <v>4.9000000000000004</v>
      </c>
      <c r="D1383" s="6">
        <f t="shared" si="68"/>
        <v>-0.37291666666666656</v>
      </c>
      <c r="E1383" s="6">
        <f t="shared" si="69"/>
        <v>5.2729166666666671</v>
      </c>
    </row>
    <row r="1384" spans="1:5" x14ac:dyDescent="0.2">
      <c r="A1384" t="s">
        <v>1328</v>
      </c>
      <c r="B1384" t="s">
        <v>1296</v>
      </c>
      <c r="C1384" s="6">
        <v>1.5</v>
      </c>
      <c r="D1384" s="6">
        <f t="shared" si="68"/>
        <v>-0.34166666666666606</v>
      </c>
      <c r="E1384" s="6">
        <f t="shared" si="69"/>
        <v>1.8416666666666661</v>
      </c>
    </row>
    <row r="1385" spans="1:5" x14ac:dyDescent="0.2">
      <c r="A1385" t="s">
        <v>1328</v>
      </c>
      <c r="B1385" t="s">
        <v>1297</v>
      </c>
      <c r="C1385" s="6">
        <v>-4.5</v>
      </c>
      <c r="D1385" s="6">
        <f t="shared" si="68"/>
        <v>-0.47083333333333305</v>
      </c>
      <c r="E1385" s="6">
        <f t="shared" si="69"/>
        <v>-4.0291666666666668</v>
      </c>
    </row>
    <row r="1386" spans="1:5" x14ac:dyDescent="0.2">
      <c r="A1386" t="s">
        <v>1328</v>
      </c>
      <c r="B1386" t="s">
        <v>1298</v>
      </c>
      <c r="C1386" s="6">
        <v>2.4</v>
      </c>
      <c r="D1386" s="6">
        <f t="shared" si="68"/>
        <v>-0.71458333333333346</v>
      </c>
      <c r="E1386" s="6">
        <f t="shared" si="69"/>
        <v>3.1145833333333335</v>
      </c>
    </row>
    <row r="1387" spans="1:5" x14ac:dyDescent="0.2">
      <c r="A1387" t="s">
        <v>1328</v>
      </c>
      <c r="B1387" t="s">
        <v>1299</v>
      </c>
      <c r="C1387" s="6">
        <v>2.1</v>
      </c>
      <c r="D1387" s="6">
        <f t="shared" si="68"/>
        <v>-0.85416666666666663</v>
      </c>
      <c r="E1387" s="6">
        <f t="shared" si="69"/>
        <v>2.9541666666666666</v>
      </c>
    </row>
    <row r="1388" spans="1:5" x14ac:dyDescent="0.2">
      <c r="A1388" t="s">
        <v>1328</v>
      </c>
      <c r="B1388" t="s">
        <v>1300</v>
      </c>
      <c r="C1388" s="6">
        <v>0.2</v>
      </c>
      <c r="D1388" s="6">
        <f t="shared" si="68"/>
        <v>-1.0208333333333328</v>
      </c>
      <c r="E1388" s="6">
        <f t="shared" si="69"/>
        <v>1.2208333333333328</v>
      </c>
    </row>
    <row r="1389" spans="1:5" x14ac:dyDescent="0.2">
      <c r="A1389" t="s">
        <v>1328</v>
      </c>
      <c r="B1389" t="s">
        <v>1301</v>
      </c>
      <c r="C1389" s="6">
        <v>1.1000000000000001</v>
      </c>
      <c r="D1389" s="6">
        <f t="shared" si="68"/>
        <v>-1.1562499999999998</v>
      </c>
      <c r="E1389" s="6">
        <f t="shared" si="69"/>
        <v>2.2562499999999996</v>
      </c>
    </row>
    <row r="1390" spans="1:5" x14ac:dyDescent="0.2">
      <c r="A1390" t="s">
        <v>1328</v>
      </c>
      <c r="B1390" t="s">
        <v>1302</v>
      </c>
      <c r="C1390" s="6">
        <v>6.4</v>
      </c>
      <c r="D1390" s="6">
        <f t="shared" si="68"/>
        <v>-1.2937499999999991</v>
      </c>
      <c r="E1390" s="6">
        <f t="shared" si="69"/>
        <v>7.6937499999999996</v>
      </c>
    </row>
    <row r="1391" spans="1:5" x14ac:dyDescent="0.2">
      <c r="A1391" t="s">
        <v>1328</v>
      </c>
      <c r="B1391" t="s">
        <v>1303</v>
      </c>
      <c r="C1391" s="6">
        <v>9.3000000000000007</v>
      </c>
      <c r="D1391" s="6">
        <f t="shared" si="68"/>
        <v>-1.1229166666666666</v>
      </c>
      <c r="E1391" s="6">
        <f t="shared" si="69"/>
        <v>10.422916666666667</v>
      </c>
    </row>
    <row r="1392" spans="1:5" x14ac:dyDescent="0.2">
      <c r="A1392" t="s">
        <v>1328</v>
      </c>
      <c r="B1392" t="s">
        <v>1304</v>
      </c>
      <c r="C1392" s="6">
        <v>-2.7</v>
      </c>
      <c r="D1392" s="6">
        <f t="shared" si="68"/>
        <v>-0.97916666666666552</v>
      </c>
      <c r="E1392" s="6">
        <f t="shared" si="69"/>
        <v>-1.7208333333333345</v>
      </c>
    </row>
    <row r="1393" spans="1:5" x14ac:dyDescent="0.2">
      <c r="A1393" t="s">
        <v>1328</v>
      </c>
      <c r="B1393" t="s">
        <v>1305</v>
      </c>
      <c r="C1393" s="6">
        <v>2.1</v>
      </c>
      <c r="D1393" s="6">
        <f t="shared" si="68"/>
        <v>-1.0583333333333329</v>
      </c>
      <c r="E1393" s="6">
        <f t="shared" si="69"/>
        <v>3.1583333333333332</v>
      </c>
    </row>
    <row r="1394" spans="1:5" x14ac:dyDescent="0.2">
      <c r="A1394" t="s">
        <v>1328</v>
      </c>
      <c r="B1394" t="s">
        <v>1306</v>
      </c>
      <c r="C1394" s="6">
        <v>1.5</v>
      </c>
      <c r="D1394" s="6">
        <f t="shared" si="68"/>
        <v>-1.0291666666666661</v>
      </c>
      <c r="E1394" s="6">
        <f t="shared" si="69"/>
        <v>2.5291666666666659</v>
      </c>
    </row>
    <row r="1395" spans="1:5" x14ac:dyDescent="0.2">
      <c r="A1395" t="s">
        <v>1328</v>
      </c>
      <c r="B1395" t="s">
        <v>1307</v>
      </c>
      <c r="C1395" s="6">
        <v>0.9</v>
      </c>
      <c r="D1395" s="6">
        <f t="shared" si="68"/>
        <v>-1.0729166666666659</v>
      </c>
      <c r="E1395" s="6">
        <f t="shared" si="69"/>
        <v>1.972916666666666</v>
      </c>
    </row>
    <row r="1396" spans="1:5" x14ac:dyDescent="0.2">
      <c r="A1396" t="s">
        <v>1328</v>
      </c>
      <c r="B1396" t="s">
        <v>1308</v>
      </c>
      <c r="C1396" s="6">
        <v>1.8</v>
      </c>
      <c r="D1396" s="6">
        <f t="shared" si="68"/>
        <v>-1.0812499999999996</v>
      </c>
      <c r="E1396" s="6">
        <f t="shared" si="69"/>
        <v>2.8812499999999996</v>
      </c>
    </row>
    <row r="1397" spans="1:5" x14ac:dyDescent="0.2">
      <c r="A1397" t="s">
        <v>1328</v>
      </c>
      <c r="B1397" t="s">
        <v>1309</v>
      </c>
      <c r="C1397" s="6">
        <v>0.5</v>
      </c>
      <c r="D1397" s="6">
        <f t="shared" si="68"/>
        <v>-1.033333333333333</v>
      </c>
      <c r="E1397" s="6">
        <f t="shared" si="69"/>
        <v>1.533333333333333</v>
      </c>
    </row>
    <row r="1398" spans="1:5" x14ac:dyDescent="0.2">
      <c r="A1398" t="s">
        <v>1328</v>
      </c>
      <c r="B1398" t="s">
        <v>1310</v>
      </c>
      <c r="C1398" s="6">
        <v>2</v>
      </c>
      <c r="D1398" s="6">
        <f t="shared" ref="D1398:D1429" si="70">AVERAGE(C1350:C1397)</f>
        <v>-1.0166666666666659</v>
      </c>
      <c r="E1398" s="6">
        <f t="shared" ref="E1398:E1429" si="71">C1398-D1398</f>
        <v>3.0166666666666657</v>
      </c>
    </row>
    <row r="1399" spans="1:5" x14ac:dyDescent="0.2">
      <c r="A1399" t="s">
        <v>1328</v>
      </c>
      <c r="B1399" t="s">
        <v>1311</v>
      </c>
      <c r="C1399" s="6">
        <v>5.5</v>
      </c>
      <c r="D1399" s="6">
        <f t="shared" si="70"/>
        <v>-0.95833333333333304</v>
      </c>
      <c r="E1399" s="6">
        <f t="shared" si="71"/>
        <v>6.458333333333333</v>
      </c>
    </row>
    <row r="1400" spans="1:5" x14ac:dyDescent="0.2">
      <c r="A1400" t="s">
        <v>1328</v>
      </c>
      <c r="B1400" t="s">
        <v>1312</v>
      </c>
      <c r="C1400" s="6">
        <v>-0.3</v>
      </c>
      <c r="D1400" s="6">
        <f t="shared" si="70"/>
        <v>-0.74999999999999967</v>
      </c>
      <c r="E1400" s="6">
        <f t="shared" si="71"/>
        <v>0.44999999999999968</v>
      </c>
    </row>
    <row r="1401" spans="1:5" x14ac:dyDescent="0.2">
      <c r="A1401" t="s">
        <v>1328</v>
      </c>
      <c r="B1401" t="s">
        <v>1313</v>
      </c>
      <c r="C1401" s="6">
        <v>1.9</v>
      </c>
      <c r="D1401" s="6">
        <f t="shared" si="70"/>
        <v>-0.40416666666666662</v>
      </c>
      <c r="E1401" s="6">
        <f t="shared" si="71"/>
        <v>2.3041666666666667</v>
      </c>
    </row>
    <row r="1402" spans="1:5" x14ac:dyDescent="0.2">
      <c r="A1402" t="s">
        <v>1328</v>
      </c>
      <c r="B1402" t="s">
        <v>1314</v>
      </c>
      <c r="C1402" s="6">
        <v>4.3</v>
      </c>
      <c r="D1402" s="6">
        <f t="shared" si="70"/>
        <v>6.4583333333333673E-2</v>
      </c>
      <c r="E1402" s="6">
        <f t="shared" si="71"/>
        <v>4.2354166666666657</v>
      </c>
    </row>
    <row r="1403" spans="1:5" x14ac:dyDescent="0.2">
      <c r="A1403" t="s">
        <v>1328</v>
      </c>
      <c r="B1403" t="s">
        <v>1315</v>
      </c>
      <c r="C1403" s="6">
        <v>6.3</v>
      </c>
      <c r="D1403" s="6">
        <f t="shared" si="70"/>
        <v>0.51041666666666685</v>
      </c>
      <c r="E1403" s="6">
        <f t="shared" si="71"/>
        <v>5.7895833333333329</v>
      </c>
    </row>
    <row r="1404" spans="1:5" x14ac:dyDescent="0.2">
      <c r="A1404" t="s">
        <v>1328</v>
      </c>
      <c r="B1404" t="s">
        <v>1316</v>
      </c>
      <c r="C1404" s="6">
        <v>3.5</v>
      </c>
      <c r="D1404" s="6">
        <f t="shared" si="70"/>
        <v>0.89791666666666681</v>
      </c>
      <c r="E1404" s="6">
        <f t="shared" si="71"/>
        <v>2.6020833333333333</v>
      </c>
    </row>
    <row r="1405" spans="1:5" x14ac:dyDescent="0.2">
      <c r="A1405" t="s">
        <v>1328</v>
      </c>
      <c r="B1405" t="s">
        <v>1317</v>
      </c>
      <c r="C1405" s="6">
        <v>5.7</v>
      </c>
      <c r="D1405" s="6">
        <f t="shared" si="70"/>
        <v>1.1624999999999999</v>
      </c>
      <c r="E1405" s="6">
        <f t="shared" si="71"/>
        <v>4.5375000000000005</v>
      </c>
    </row>
    <row r="1406" spans="1:5" x14ac:dyDescent="0.2">
      <c r="A1406" t="s">
        <v>1328</v>
      </c>
      <c r="B1406" t="s">
        <v>1318</v>
      </c>
      <c r="C1406" s="6">
        <v>6.5</v>
      </c>
      <c r="D1406" s="6">
        <f t="shared" si="70"/>
        <v>1.4624999999999995</v>
      </c>
      <c r="E1406" s="6">
        <f t="shared" si="71"/>
        <v>5.0375000000000005</v>
      </c>
    </row>
    <row r="1407" spans="1:5" x14ac:dyDescent="0.2">
      <c r="A1407" t="s">
        <v>1328</v>
      </c>
      <c r="B1407" t="s">
        <v>1319</v>
      </c>
      <c r="C1407" s="6">
        <v>3.4</v>
      </c>
      <c r="D1407" s="6">
        <f t="shared" si="70"/>
        <v>1.9083333333333334</v>
      </c>
      <c r="E1407" s="6">
        <f t="shared" si="71"/>
        <v>1.4916666666666665</v>
      </c>
    </row>
    <row r="1408" spans="1:5" x14ac:dyDescent="0.2">
      <c r="A1408" t="s">
        <v>1328</v>
      </c>
      <c r="B1408" t="s">
        <v>1320</v>
      </c>
      <c r="C1408" s="6">
        <v>-7</v>
      </c>
      <c r="D1408" s="6">
        <f t="shared" si="70"/>
        <v>2.3187500000000001</v>
      </c>
      <c r="E1408" s="6">
        <f t="shared" si="71"/>
        <v>-9.3187499999999996</v>
      </c>
    </row>
    <row r="1409" spans="1:5" x14ac:dyDescent="0.2">
      <c r="A1409" t="s">
        <v>1328</v>
      </c>
      <c r="B1409" t="s">
        <v>16</v>
      </c>
      <c r="C1409" s="6">
        <v>0.4</v>
      </c>
      <c r="D1409" s="6">
        <f t="shared" si="70"/>
        <v>2.5729166666666665</v>
      </c>
      <c r="E1409" s="6">
        <f t="shared" si="71"/>
        <v>-2.1729166666666666</v>
      </c>
    </row>
    <row r="1412" spans="1:5" x14ac:dyDescent="0.2">
      <c r="A1412" s="10" t="s">
        <v>1329</v>
      </c>
    </row>
    <row r="1413" spans="1:5" ht="30" customHeight="1" x14ac:dyDescent="0.2">
      <c r="A1413" s="5" t="s">
        <v>1160</v>
      </c>
      <c r="B1413" s="5" t="s">
        <v>1330</v>
      </c>
      <c r="C1413" s="5" t="s">
        <v>1155</v>
      </c>
      <c r="D1413" s="5" t="s">
        <v>1156</v>
      </c>
    </row>
    <row r="1414" spans="1:5" x14ac:dyDescent="0.2">
      <c r="A1414" t="s">
        <v>1165</v>
      </c>
      <c r="B1414" s="8">
        <f>LOOKUP(9.99E+307,E6:E161)</f>
        <v>3.7541666666666682</v>
      </c>
      <c r="C1414" s="8">
        <v>3.7541666666666669</v>
      </c>
      <c r="D1414" s="9">
        <f t="shared" ref="D1414:D1422" si="72">IF(ISNUMBER(C1414),B1414-C1414,"")</f>
        <v>1.3322676295501878E-15</v>
      </c>
    </row>
    <row r="1415" spans="1:5" x14ac:dyDescent="0.2">
      <c r="A1415" t="s">
        <v>1321</v>
      </c>
      <c r="B1415" s="8">
        <f>LOOKUP(9.99E+307,E162:E317)</f>
        <v>-6.4687499999999982</v>
      </c>
      <c r="C1415" s="8">
        <v>-6.4687499999999991</v>
      </c>
      <c r="D1415" s="9">
        <f t="shared" si="72"/>
        <v>8.8817841970012523E-16</v>
      </c>
    </row>
    <row r="1416" spans="1:5" x14ac:dyDescent="0.2">
      <c r="A1416" t="s">
        <v>1322</v>
      </c>
      <c r="B1416" s="8">
        <f>LOOKUP(9.99E+307,E318:E473)</f>
        <v>-11.227083333333336</v>
      </c>
      <c r="C1416" s="8">
        <v>-11.227083333333329</v>
      </c>
      <c r="D1416" s="9">
        <f t="shared" si="72"/>
        <v>-7.1054273576010019E-15</v>
      </c>
    </row>
    <row r="1417" spans="1:5" x14ac:dyDescent="0.2">
      <c r="A1417" t="s">
        <v>1323</v>
      </c>
      <c r="B1417" s="8">
        <f>LOOKUP(9.99E+307,E474:E629)</f>
        <v>10.929166666666667</v>
      </c>
      <c r="C1417" s="8">
        <v>10.92916666666666</v>
      </c>
      <c r="D1417" s="9">
        <f t="shared" si="72"/>
        <v>7.1054273576010019E-15</v>
      </c>
    </row>
    <row r="1418" spans="1:5" x14ac:dyDescent="0.2">
      <c r="A1418" t="s">
        <v>1324</v>
      </c>
      <c r="B1418" s="8">
        <f>LOOKUP(9.99E+307,E630:E785)</f>
        <v>28.783333333333324</v>
      </c>
      <c r="C1418" s="8">
        <v>28.783333333333331</v>
      </c>
      <c r="D1418" s="9">
        <f t="shared" si="72"/>
        <v>-7.1054273576010019E-15</v>
      </c>
    </row>
    <row r="1419" spans="1:5" x14ac:dyDescent="0.2">
      <c r="A1419" t="s">
        <v>1325</v>
      </c>
      <c r="B1419" s="8">
        <f>LOOKUP(9.99E+307,E786:E941)</f>
        <v>3.7645833333333329</v>
      </c>
      <c r="C1419" s="8">
        <v>3.7645833333333329</v>
      </c>
      <c r="D1419" s="9">
        <f t="shared" si="72"/>
        <v>0</v>
      </c>
    </row>
    <row r="1420" spans="1:5" x14ac:dyDescent="0.2">
      <c r="A1420" t="s">
        <v>1326</v>
      </c>
      <c r="B1420" s="8">
        <f>LOOKUP(9.99E+307,E942:E1097)</f>
        <v>2.1041666666666665</v>
      </c>
      <c r="C1420" s="8">
        <v>2.1041666666666661</v>
      </c>
      <c r="D1420" s="9">
        <f t="shared" si="72"/>
        <v>4.4408920985006262E-16</v>
      </c>
    </row>
    <row r="1421" spans="1:5" x14ac:dyDescent="0.2">
      <c r="A1421" t="s">
        <v>1327</v>
      </c>
      <c r="B1421" s="8">
        <f>LOOKUP(9.99E+307,E1098:E1253)</f>
        <v>-1.2270833333333333</v>
      </c>
      <c r="C1421" s="8">
        <v>-1.2270833333333331</v>
      </c>
      <c r="D1421" s="9">
        <f t="shared" si="72"/>
        <v>-2.2204460492503131E-16</v>
      </c>
    </row>
    <row r="1422" spans="1:5" x14ac:dyDescent="0.2">
      <c r="A1422" t="s">
        <v>1328</v>
      </c>
      <c r="B1422" s="8">
        <f>LOOKUP(9.99E+307,E1254:E1409)</f>
        <v>-2.1729166666666666</v>
      </c>
      <c r="C1422" s="8" t="s">
        <v>1331</v>
      </c>
      <c r="D1422" s="9" t="str">
        <f t="shared" si="72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6"/>
  <sheetViews>
    <sheetView workbookViewId="0">
      <pane xSplit="1" ySplit="4" topLeftCell="B5" activePane="bottomRight" state="frozen"/>
      <selection pane="topRight"/>
      <selection pane="bottomLeft"/>
      <selection pane="bottomRight" activeCell="E21" sqref="E21"/>
    </sheetView>
  </sheetViews>
  <sheetFormatPr baseColWidth="10" defaultColWidth="8.83203125" defaultRowHeight="15" x14ac:dyDescent="0.2"/>
  <cols>
    <col min="1" max="1" width="20" customWidth="1"/>
    <col min="2" max="35" width="11" customWidth="1"/>
  </cols>
  <sheetData>
    <row r="1" spans="1:35" ht="17" x14ac:dyDescent="0.2">
      <c r="A1" s="1" t="s">
        <v>1332</v>
      </c>
    </row>
    <row r="2" spans="1:35" x14ac:dyDescent="0.2">
      <c r="A2" s="2" t="s">
        <v>1333</v>
      </c>
    </row>
    <row r="4" spans="1:35" ht="30" customHeight="1" x14ac:dyDescent="0.2">
      <c r="A4" s="5" t="s">
        <v>1334</v>
      </c>
      <c r="B4" s="5" t="s">
        <v>1335</v>
      </c>
      <c r="C4" s="5" t="s">
        <v>1336</v>
      </c>
      <c r="D4" s="5" t="s">
        <v>1337</v>
      </c>
      <c r="E4" s="5" t="s">
        <v>1338</v>
      </c>
      <c r="F4" s="5" t="s">
        <v>1339</v>
      </c>
      <c r="G4" s="5" t="s">
        <v>1340</v>
      </c>
      <c r="H4" s="5" t="s">
        <v>1341</v>
      </c>
      <c r="I4" s="5" t="s">
        <v>1342</v>
      </c>
      <c r="J4" s="5" t="s">
        <v>1343</v>
      </c>
      <c r="K4" s="5" t="s">
        <v>1344</v>
      </c>
      <c r="L4" s="5" t="s">
        <v>1345</v>
      </c>
      <c r="M4" s="5" t="s">
        <v>1346</v>
      </c>
      <c r="N4" s="5" t="s">
        <v>1347</v>
      </c>
      <c r="O4" s="5" t="s">
        <v>1348</v>
      </c>
      <c r="P4" s="5" t="s">
        <v>1349</v>
      </c>
      <c r="Q4" s="5" t="s">
        <v>1350</v>
      </c>
      <c r="R4" s="5" t="s">
        <v>1351</v>
      </c>
      <c r="S4" s="5" t="s">
        <v>1352</v>
      </c>
      <c r="T4" s="5" t="s">
        <v>1353</v>
      </c>
      <c r="U4" s="5" t="s">
        <v>1354</v>
      </c>
      <c r="V4" s="5" t="s">
        <v>1355</v>
      </c>
      <c r="W4" s="5" t="s">
        <v>1356</v>
      </c>
      <c r="X4" s="5" t="s">
        <v>1357</v>
      </c>
      <c r="Y4" s="5" t="s">
        <v>1358</v>
      </c>
      <c r="Z4" s="5" t="s">
        <v>1359</v>
      </c>
      <c r="AA4" s="5" t="s">
        <v>1360</v>
      </c>
      <c r="AB4" s="5" t="s">
        <v>1361</v>
      </c>
      <c r="AC4" s="5" t="s">
        <v>1362</v>
      </c>
      <c r="AD4" s="5" t="s">
        <v>1363</v>
      </c>
      <c r="AE4" s="5" t="s">
        <v>1364</v>
      </c>
      <c r="AF4" s="5" t="s">
        <v>1365</v>
      </c>
      <c r="AG4" s="5" t="s">
        <v>1366</v>
      </c>
      <c r="AH4" s="5" t="s">
        <v>1367</v>
      </c>
      <c r="AI4" s="5" t="s">
        <v>1368</v>
      </c>
    </row>
    <row r="5" spans="1:35" x14ac:dyDescent="0.2">
      <c r="A5" s="12" t="s">
        <v>1369</v>
      </c>
      <c r="B5" s="13">
        <v>385372</v>
      </c>
      <c r="C5" s="13">
        <v>947858</v>
      </c>
      <c r="D5" s="13">
        <v>464112</v>
      </c>
      <c r="E5" s="13">
        <v>53193</v>
      </c>
      <c r="F5" s="13">
        <v>97754</v>
      </c>
      <c r="G5" s="13">
        <v>414195</v>
      </c>
      <c r="H5" s="13">
        <v>80738</v>
      </c>
      <c r="I5" s="13">
        <v>805007</v>
      </c>
      <c r="J5" s="13">
        <v>18439</v>
      </c>
      <c r="K5" s="13">
        <v>9627</v>
      </c>
      <c r="L5" s="13">
        <v>1202</v>
      </c>
      <c r="M5" s="13">
        <v>2537240</v>
      </c>
      <c r="N5" s="13">
        <v>2897863</v>
      </c>
      <c r="O5" s="13">
        <v>174812</v>
      </c>
      <c r="P5" s="13">
        <v>3283899</v>
      </c>
      <c r="Q5" s="13">
        <v>561944</v>
      </c>
      <c r="R5" s="13">
        <v>142477</v>
      </c>
      <c r="S5" s="13">
        <v>480467</v>
      </c>
      <c r="T5" s="13">
        <v>759711</v>
      </c>
      <c r="U5" s="13">
        <v>369314</v>
      </c>
      <c r="V5" s="13">
        <v>92917</v>
      </c>
      <c r="W5" s="13">
        <v>266241</v>
      </c>
      <c r="X5" s="13">
        <v>98178</v>
      </c>
      <c r="Y5" s="13">
        <v>42637</v>
      </c>
      <c r="Z5" s="13">
        <v>93055</v>
      </c>
      <c r="AA5" s="13">
        <v>220593</v>
      </c>
      <c r="AB5" s="13">
        <v>875856</v>
      </c>
      <c r="AC5" s="13">
        <v>155487</v>
      </c>
      <c r="AD5" s="13">
        <v>126806</v>
      </c>
      <c r="AE5" s="13">
        <v>102597</v>
      </c>
      <c r="AF5" s="13">
        <v>146055</v>
      </c>
      <c r="AG5" s="13">
        <v>48510</v>
      </c>
      <c r="AH5" s="13">
        <v>90148</v>
      </c>
      <c r="AI5" s="13">
        <v>63576</v>
      </c>
    </row>
    <row r="6" spans="1:35" x14ac:dyDescent="0.2">
      <c r="A6" s="12" t="s">
        <v>1370</v>
      </c>
      <c r="B6" s="13">
        <v>116948</v>
      </c>
      <c r="C6" s="13">
        <v>567920</v>
      </c>
      <c r="D6" s="13">
        <v>231201</v>
      </c>
      <c r="E6" s="13">
        <v>158510</v>
      </c>
      <c r="F6" s="13">
        <v>295748</v>
      </c>
      <c r="G6" s="13">
        <v>896935</v>
      </c>
      <c r="H6" s="13">
        <v>112711</v>
      </c>
      <c r="I6" s="13">
        <v>381173</v>
      </c>
      <c r="J6" s="13">
        <v>48898</v>
      </c>
      <c r="K6" s="13">
        <v>14483</v>
      </c>
      <c r="L6" s="13">
        <v>25</v>
      </c>
      <c r="M6" s="13">
        <v>339616</v>
      </c>
      <c r="N6" s="13">
        <v>519985</v>
      </c>
      <c r="O6" s="13">
        <v>57171</v>
      </c>
      <c r="P6" s="13">
        <v>498743</v>
      </c>
      <c r="Q6" s="13">
        <v>61661</v>
      </c>
      <c r="R6" s="13">
        <v>103427</v>
      </c>
      <c r="S6" s="13">
        <v>58887</v>
      </c>
      <c r="T6" s="13">
        <v>285284</v>
      </c>
      <c r="U6" s="13">
        <v>364028</v>
      </c>
      <c r="V6" s="13">
        <v>102967</v>
      </c>
      <c r="W6" s="13">
        <v>196023</v>
      </c>
      <c r="X6" s="13">
        <v>45780</v>
      </c>
      <c r="Y6" s="13">
        <v>3262</v>
      </c>
      <c r="Z6" s="13">
        <v>140577</v>
      </c>
      <c r="AA6" s="13">
        <v>162644</v>
      </c>
      <c r="AB6" s="13">
        <v>265811</v>
      </c>
      <c r="AC6" s="13">
        <v>152495</v>
      </c>
      <c r="AD6" s="13">
        <v>19106</v>
      </c>
      <c r="AE6" s="13">
        <v>21164</v>
      </c>
      <c r="AF6" s="13">
        <v>69497</v>
      </c>
      <c r="AG6" s="13">
        <v>78099</v>
      </c>
      <c r="AH6" s="13">
        <v>7654</v>
      </c>
      <c r="AI6" s="13">
        <v>17792</v>
      </c>
    </row>
    <row r="7" spans="1:35" x14ac:dyDescent="0.2">
      <c r="A7" s="12" t="s">
        <v>1371</v>
      </c>
      <c r="B7" s="13">
        <v>315856</v>
      </c>
      <c r="C7" s="13">
        <v>733236</v>
      </c>
      <c r="D7" s="13">
        <v>170720</v>
      </c>
      <c r="E7" s="13">
        <v>813721</v>
      </c>
      <c r="F7" s="13">
        <v>370156</v>
      </c>
      <c r="G7" s="13">
        <v>622962</v>
      </c>
      <c r="H7" s="13">
        <v>272238</v>
      </c>
      <c r="I7" s="13">
        <v>373757</v>
      </c>
      <c r="J7" s="13">
        <v>87811</v>
      </c>
      <c r="K7" s="13">
        <v>5668</v>
      </c>
      <c r="L7" s="13">
        <v>3407</v>
      </c>
      <c r="M7" s="13">
        <v>142494</v>
      </c>
      <c r="N7" s="13">
        <v>515521</v>
      </c>
      <c r="O7" s="13">
        <v>7661</v>
      </c>
      <c r="P7" s="13">
        <v>1243147</v>
      </c>
      <c r="Q7" s="13">
        <v>27207</v>
      </c>
      <c r="R7" s="13">
        <v>40989</v>
      </c>
      <c r="S7" s="13">
        <v>226340</v>
      </c>
      <c r="T7" s="13">
        <v>168354</v>
      </c>
      <c r="U7" s="13">
        <v>506422</v>
      </c>
      <c r="V7" s="13">
        <v>231876</v>
      </c>
      <c r="W7" s="13">
        <v>75752</v>
      </c>
      <c r="X7" s="13">
        <v>148250</v>
      </c>
      <c r="Y7" s="13">
        <v>26507</v>
      </c>
      <c r="Z7" s="13">
        <v>68108</v>
      </c>
      <c r="AA7" s="13">
        <v>193202</v>
      </c>
      <c r="AB7" s="13">
        <v>131569</v>
      </c>
      <c r="AC7" s="13">
        <v>65319</v>
      </c>
      <c r="AD7" s="13">
        <v>18850</v>
      </c>
      <c r="AE7" s="13">
        <v>166389</v>
      </c>
      <c r="AF7" s="13">
        <v>40531</v>
      </c>
      <c r="AG7" s="13">
        <v>127835</v>
      </c>
      <c r="AH7" s="13">
        <v>5597</v>
      </c>
      <c r="AI7" s="13">
        <v>6146</v>
      </c>
    </row>
    <row r="8" spans="1:35" x14ac:dyDescent="0.2">
      <c r="A8" s="12" t="s">
        <v>1372</v>
      </c>
      <c r="B8" s="13">
        <v>25115</v>
      </c>
      <c r="C8" s="13">
        <v>131976</v>
      </c>
      <c r="D8" s="13">
        <v>48000</v>
      </c>
      <c r="E8" s="13">
        <v>22978</v>
      </c>
      <c r="F8" s="13">
        <v>8206</v>
      </c>
      <c r="G8" s="13">
        <v>31104</v>
      </c>
      <c r="H8" s="13">
        <v>10377</v>
      </c>
      <c r="I8" s="13">
        <v>271209</v>
      </c>
      <c r="J8" s="13">
        <v>3417</v>
      </c>
      <c r="K8" s="13">
        <v>2690</v>
      </c>
      <c r="L8" s="13">
        <v>4757</v>
      </c>
      <c r="M8" s="13">
        <v>471677</v>
      </c>
      <c r="N8" s="13">
        <v>1091681</v>
      </c>
      <c r="O8" s="13">
        <v>169295</v>
      </c>
      <c r="P8" s="13">
        <v>1957838</v>
      </c>
      <c r="Q8" s="13">
        <v>49725</v>
      </c>
      <c r="R8" s="13">
        <v>174456</v>
      </c>
      <c r="S8" s="13">
        <v>280884</v>
      </c>
      <c r="T8" s="13">
        <v>211110</v>
      </c>
      <c r="U8" s="13">
        <v>20650</v>
      </c>
      <c r="V8" s="13">
        <v>13657</v>
      </c>
      <c r="W8" s="13">
        <v>28653</v>
      </c>
      <c r="X8" s="13">
        <v>8561</v>
      </c>
      <c r="Y8" s="13">
        <v>5016</v>
      </c>
      <c r="Z8" s="13">
        <v>6425</v>
      </c>
      <c r="AA8" s="13">
        <v>15273</v>
      </c>
      <c r="AB8" s="13">
        <v>167986</v>
      </c>
      <c r="AC8" s="13">
        <v>19688</v>
      </c>
      <c r="AD8" s="13">
        <v>8014</v>
      </c>
      <c r="AE8" s="13">
        <v>33477</v>
      </c>
      <c r="AF8" s="13">
        <v>5087</v>
      </c>
      <c r="AG8" s="13">
        <v>943</v>
      </c>
      <c r="AH8" s="13">
        <v>3345</v>
      </c>
      <c r="AI8" s="13">
        <v>7496</v>
      </c>
    </row>
    <row r="9" spans="1:35" x14ac:dyDescent="0.2">
      <c r="A9" s="12" t="s">
        <v>1373</v>
      </c>
      <c r="B9" s="13">
        <v>74074</v>
      </c>
      <c r="C9" s="13">
        <v>153141</v>
      </c>
      <c r="D9" s="13">
        <v>52464</v>
      </c>
      <c r="E9" s="13">
        <v>57369</v>
      </c>
      <c r="F9" s="13">
        <v>21480</v>
      </c>
      <c r="G9" s="13">
        <v>63694</v>
      </c>
      <c r="H9" s="13">
        <v>18297</v>
      </c>
      <c r="I9" s="13">
        <v>102594</v>
      </c>
      <c r="J9" s="13">
        <v>9908</v>
      </c>
      <c r="K9" s="13">
        <v>24997</v>
      </c>
      <c r="L9" s="13">
        <v>89708</v>
      </c>
      <c r="M9" s="13">
        <v>500041</v>
      </c>
      <c r="N9" s="13">
        <v>369838</v>
      </c>
      <c r="O9" s="13">
        <v>15383</v>
      </c>
      <c r="P9" s="13">
        <v>428660</v>
      </c>
      <c r="Q9" s="13">
        <v>139422</v>
      </c>
      <c r="R9" s="13">
        <v>36305</v>
      </c>
      <c r="S9" s="13">
        <v>55066</v>
      </c>
      <c r="T9" s="13">
        <v>20231</v>
      </c>
      <c r="U9" s="13">
        <v>39579</v>
      </c>
      <c r="V9" s="13">
        <v>25308</v>
      </c>
      <c r="W9" s="13">
        <v>50861</v>
      </c>
      <c r="X9" s="13">
        <v>25758</v>
      </c>
      <c r="Y9" s="13">
        <v>5175</v>
      </c>
      <c r="Z9" s="13">
        <v>20458</v>
      </c>
      <c r="AA9" s="13">
        <v>25033</v>
      </c>
      <c r="AB9" s="13">
        <v>68872</v>
      </c>
      <c r="AC9" s="13">
        <v>15241</v>
      </c>
      <c r="AD9" s="13">
        <v>10987</v>
      </c>
      <c r="AE9" s="13">
        <v>8142</v>
      </c>
      <c r="AF9" s="13">
        <v>9199</v>
      </c>
      <c r="AG9" s="13">
        <v>7608</v>
      </c>
      <c r="AH9" s="13">
        <v>2754</v>
      </c>
      <c r="AI9" s="13">
        <v>6224</v>
      </c>
    </row>
    <row r="10" spans="1:35" x14ac:dyDescent="0.2">
      <c r="A10" s="12" t="s">
        <v>1374</v>
      </c>
      <c r="B10" s="13">
        <v>9929</v>
      </c>
      <c r="C10" s="13">
        <v>26247</v>
      </c>
      <c r="D10" s="13">
        <v>13602</v>
      </c>
      <c r="E10" s="13">
        <v>23210</v>
      </c>
      <c r="F10" s="13">
        <v>9809</v>
      </c>
      <c r="G10" s="13">
        <v>17225</v>
      </c>
      <c r="H10" s="13">
        <v>2369</v>
      </c>
      <c r="I10" s="13">
        <v>14671</v>
      </c>
      <c r="J10" s="13">
        <v>2978</v>
      </c>
      <c r="K10" s="13">
        <v>2101</v>
      </c>
      <c r="L10" s="13">
        <v>0</v>
      </c>
      <c r="M10" s="13">
        <v>67539</v>
      </c>
      <c r="N10" s="13">
        <v>116662</v>
      </c>
      <c r="O10" s="13">
        <v>9111</v>
      </c>
      <c r="P10" s="13">
        <v>116866</v>
      </c>
      <c r="Q10" s="13">
        <v>29270</v>
      </c>
      <c r="R10" s="13">
        <v>6138</v>
      </c>
      <c r="S10" s="13">
        <v>11510</v>
      </c>
      <c r="T10" s="13">
        <v>20311</v>
      </c>
      <c r="U10" s="13">
        <v>21866</v>
      </c>
      <c r="V10" s="13">
        <v>20432</v>
      </c>
      <c r="W10" s="13">
        <v>16756</v>
      </c>
      <c r="X10" s="13">
        <v>11001</v>
      </c>
      <c r="Y10" s="13">
        <v>5318</v>
      </c>
      <c r="Z10" s="13">
        <v>3962</v>
      </c>
      <c r="AA10" s="13">
        <v>9936</v>
      </c>
      <c r="AB10" s="13">
        <v>7784</v>
      </c>
      <c r="AC10" s="13">
        <v>10667</v>
      </c>
      <c r="AD10" s="13">
        <v>3156</v>
      </c>
      <c r="AE10" s="13">
        <v>2065</v>
      </c>
      <c r="AF10" s="13">
        <v>3705</v>
      </c>
      <c r="AG10" s="13">
        <v>5168</v>
      </c>
      <c r="AH10" s="13">
        <v>2781</v>
      </c>
      <c r="AI10" s="13">
        <v>4917</v>
      </c>
    </row>
    <row r="11" spans="1:35" x14ac:dyDescent="0.2">
      <c r="A11" s="12" t="s">
        <v>1375</v>
      </c>
      <c r="B11" s="13">
        <v>66429</v>
      </c>
      <c r="C11" s="13">
        <v>129511</v>
      </c>
      <c r="D11" s="13">
        <v>32716</v>
      </c>
      <c r="E11" s="13">
        <v>50137</v>
      </c>
      <c r="F11" s="13">
        <v>20072</v>
      </c>
      <c r="G11" s="13">
        <v>41219</v>
      </c>
      <c r="H11" s="13">
        <v>8332</v>
      </c>
      <c r="I11" s="13">
        <v>73889</v>
      </c>
      <c r="J11" s="13">
        <v>27126</v>
      </c>
      <c r="K11" s="13">
        <v>38050</v>
      </c>
      <c r="L11" s="13">
        <v>15409</v>
      </c>
      <c r="M11" s="13">
        <v>110773</v>
      </c>
      <c r="N11" s="13">
        <v>200564</v>
      </c>
      <c r="O11" s="13">
        <v>7407</v>
      </c>
      <c r="P11" s="13">
        <v>250007</v>
      </c>
      <c r="Q11" s="13">
        <v>39848</v>
      </c>
      <c r="R11" s="13">
        <v>15140</v>
      </c>
      <c r="S11" s="13">
        <v>62213</v>
      </c>
      <c r="T11" s="13">
        <v>72855</v>
      </c>
      <c r="U11" s="13">
        <v>41059</v>
      </c>
      <c r="V11" s="13">
        <v>33268</v>
      </c>
      <c r="W11" s="13">
        <v>39829</v>
      </c>
      <c r="X11" s="13">
        <v>42012</v>
      </c>
      <c r="Y11" s="13">
        <v>37619</v>
      </c>
      <c r="Z11" s="13">
        <v>39613</v>
      </c>
      <c r="AA11" s="13">
        <v>63640</v>
      </c>
      <c r="AB11" s="13">
        <v>188688</v>
      </c>
      <c r="AC11" s="13">
        <v>88906</v>
      </c>
      <c r="AD11" s="13">
        <v>19451</v>
      </c>
      <c r="AE11" s="13">
        <v>26073</v>
      </c>
      <c r="AF11" s="13">
        <v>49332</v>
      </c>
      <c r="AG11" s="13">
        <v>23532</v>
      </c>
      <c r="AH11" s="13">
        <v>13531</v>
      </c>
      <c r="AI11" s="13">
        <v>36084</v>
      </c>
    </row>
    <row r="12" spans="1:35" x14ac:dyDescent="0.2">
      <c r="A12" s="12" t="s">
        <v>1376</v>
      </c>
      <c r="B12" s="13">
        <v>1860</v>
      </c>
      <c r="C12" s="13">
        <v>148</v>
      </c>
      <c r="D12" s="13">
        <v>4210</v>
      </c>
      <c r="E12" s="13">
        <v>3575</v>
      </c>
      <c r="F12" s="13">
        <v>9381</v>
      </c>
      <c r="G12" s="13">
        <v>39037</v>
      </c>
      <c r="H12" s="13">
        <v>4375</v>
      </c>
      <c r="I12" s="13">
        <v>703</v>
      </c>
      <c r="J12" s="13">
        <v>0</v>
      </c>
      <c r="K12" s="13">
        <v>65</v>
      </c>
      <c r="L12" s="13">
        <v>1117</v>
      </c>
      <c r="M12" s="13">
        <v>3770</v>
      </c>
      <c r="N12" s="13">
        <v>2344</v>
      </c>
      <c r="O12" s="13">
        <v>0</v>
      </c>
      <c r="P12" s="13">
        <v>5690</v>
      </c>
      <c r="Q12" s="13">
        <v>5490</v>
      </c>
      <c r="R12" s="13">
        <v>0</v>
      </c>
      <c r="S12" s="13">
        <v>0</v>
      </c>
      <c r="T12" s="13">
        <v>0</v>
      </c>
      <c r="U12" s="13">
        <v>219</v>
      </c>
      <c r="V12" s="13">
        <v>20842</v>
      </c>
      <c r="W12" s="13">
        <v>68642</v>
      </c>
      <c r="X12" s="13">
        <v>134526</v>
      </c>
      <c r="Y12" s="13">
        <v>9056</v>
      </c>
      <c r="Z12" s="13">
        <v>1723</v>
      </c>
      <c r="AA12" s="13">
        <v>151</v>
      </c>
      <c r="AB12" s="13">
        <v>1191</v>
      </c>
      <c r="AC12" s="13">
        <v>0</v>
      </c>
      <c r="AD12" s="13">
        <v>128</v>
      </c>
      <c r="AE12" s="13">
        <v>139</v>
      </c>
      <c r="AF12" s="13">
        <v>0</v>
      </c>
      <c r="AG12" s="13">
        <v>0</v>
      </c>
      <c r="AH12" s="13">
        <v>0</v>
      </c>
      <c r="AI12" s="13">
        <v>0</v>
      </c>
    </row>
    <row r="13" spans="1:35" x14ac:dyDescent="0.2">
      <c r="A13" s="12" t="s">
        <v>1377</v>
      </c>
      <c r="B13" s="13">
        <v>4640</v>
      </c>
      <c r="C13" s="13">
        <v>5175</v>
      </c>
      <c r="D13" s="13">
        <v>1221</v>
      </c>
      <c r="E13" s="13">
        <v>28022</v>
      </c>
      <c r="F13" s="13">
        <v>9526</v>
      </c>
      <c r="G13" s="13">
        <v>24777</v>
      </c>
      <c r="H13" s="13">
        <v>166</v>
      </c>
      <c r="I13" s="13">
        <v>3912</v>
      </c>
      <c r="J13" s="13">
        <v>0</v>
      </c>
      <c r="K13" s="13">
        <v>6460</v>
      </c>
      <c r="L13" s="13">
        <v>1846</v>
      </c>
      <c r="M13" s="13">
        <v>50023</v>
      </c>
      <c r="N13" s="13">
        <v>8820</v>
      </c>
      <c r="O13" s="13">
        <v>893</v>
      </c>
      <c r="P13" s="13">
        <v>14959</v>
      </c>
      <c r="Q13" s="13">
        <v>6790</v>
      </c>
      <c r="R13" s="13">
        <v>231</v>
      </c>
      <c r="S13" s="13">
        <v>296</v>
      </c>
      <c r="T13" s="13">
        <v>0</v>
      </c>
      <c r="U13" s="13">
        <v>116</v>
      </c>
      <c r="V13" s="13">
        <v>531</v>
      </c>
      <c r="W13" s="13">
        <v>465</v>
      </c>
      <c r="X13" s="13">
        <v>12981</v>
      </c>
      <c r="Y13" s="13">
        <v>1887</v>
      </c>
      <c r="Z13" s="13">
        <v>694</v>
      </c>
      <c r="AA13" s="13">
        <v>4144</v>
      </c>
      <c r="AB13" s="13">
        <v>1085</v>
      </c>
      <c r="AC13" s="13">
        <v>88</v>
      </c>
      <c r="AD13" s="13">
        <v>0</v>
      </c>
      <c r="AE13" s="13">
        <v>0</v>
      </c>
      <c r="AF13" s="13">
        <v>563</v>
      </c>
      <c r="AG13" s="13">
        <v>199</v>
      </c>
      <c r="AH13" s="13">
        <v>868</v>
      </c>
      <c r="AI13" s="13">
        <v>238</v>
      </c>
    </row>
    <row r="14" spans="1:35" x14ac:dyDescent="0.2">
      <c r="A14" s="12" t="s">
        <v>1378</v>
      </c>
      <c r="B14" s="13">
        <v>29847</v>
      </c>
      <c r="C14" s="13">
        <v>70154</v>
      </c>
      <c r="D14" s="13">
        <v>56336</v>
      </c>
      <c r="E14" s="13">
        <v>19106</v>
      </c>
      <c r="F14" s="13">
        <v>53641</v>
      </c>
      <c r="G14" s="13">
        <v>38761</v>
      </c>
      <c r="H14" s="13">
        <v>10196</v>
      </c>
      <c r="I14" s="13">
        <v>83835</v>
      </c>
      <c r="J14" s="13">
        <v>117658</v>
      </c>
      <c r="K14" s="13">
        <v>6103</v>
      </c>
      <c r="L14" s="13">
        <v>6159</v>
      </c>
      <c r="M14" s="13">
        <v>161128</v>
      </c>
      <c r="N14" s="13">
        <v>162725</v>
      </c>
      <c r="O14" s="13">
        <v>11934</v>
      </c>
      <c r="P14" s="13">
        <v>169282</v>
      </c>
      <c r="Q14" s="13">
        <v>56286</v>
      </c>
      <c r="R14" s="13">
        <v>11321</v>
      </c>
      <c r="S14" s="13">
        <v>73160</v>
      </c>
      <c r="T14" s="13">
        <v>19898</v>
      </c>
      <c r="U14" s="13">
        <v>77439</v>
      </c>
      <c r="V14" s="13">
        <v>115865</v>
      </c>
      <c r="W14" s="13">
        <v>25588</v>
      </c>
      <c r="X14" s="13">
        <v>17496</v>
      </c>
      <c r="Y14" s="13">
        <v>1208</v>
      </c>
      <c r="Z14" s="13">
        <v>40090</v>
      </c>
      <c r="AA14" s="13">
        <v>29896</v>
      </c>
      <c r="AB14" s="13">
        <v>51051</v>
      </c>
      <c r="AC14" s="13">
        <v>41597</v>
      </c>
      <c r="AD14" s="13">
        <v>19892</v>
      </c>
      <c r="AE14" s="13">
        <v>6574</v>
      </c>
      <c r="AF14" s="13">
        <v>17645</v>
      </c>
      <c r="AG14" s="13">
        <v>15922</v>
      </c>
      <c r="AH14" s="13">
        <v>1841</v>
      </c>
      <c r="AI14" s="13">
        <v>2565</v>
      </c>
    </row>
    <row r="15" spans="1:35" x14ac:dyDescent="0.2">
      <c r="A15" s="12" t="s">
        <v>1379</v>
      </c>
      <c r="B15" s="13">
        <v>384</v>
      </c>
      <c r="C15" s="13">
        <v>824</v>
      </c>
      <c r="D15" s="13">
        <v>0</v>
      </c>
      <c r="E15" s="13">
        <v>7903</v>
      </c>
      <c r="F15" s="13">
        <v>0</v>
      </c>
      <c r="G15" s="13">
        <v>1199</v>
      </c>
      <c r="H15" s="13">
        <v>0</v>
      </c>
      <c r="I15" s="13">
        <v>137</v>
      </c>
      <c r="J15" s="13">
        <v>83</v>
      </c>
      <c r="K15" s="13">
        <v>1011</v>
      </c>
      <c r="L15" s="13">
        <v>3926</v>
      </c>
      <c r="M15" s="13">
        <v>4745</v>
      </c>
      <c r="N15" s="13">
        <v>21770</v>
      </c>
      <c r="O15" s="13">
        <v>0</v>
      </c>
      <c r="P15" s="13">
        <v>20065</v>
      </c>
      <c r="Q15" s="13">
        <v>1372</v>
      </c>
      <c r="R15" s="13">
        <v>745</v>
      </c>
      <c r="S15" s="13">
        <v>2807</v>
      </c>
      <c r="T15" s="13">
        <v>2672</v>
      </c>
      <c r="U15" s="13">
        <v>270</v>
      </c>
      <c r="V15" s="13">
        <v>1148</v>
      </c>
      <c r="W15" s="13">
        <v>2162</v>
      </c>
      <c r="X15" s="13">
        <v>8039</v>
      </c>
      <c r="Y15" s="13">
        <v>276</v>
      </c>
      <c r="Z15" s="13">
        <v>604</v>
      </c>
      <c r="AA15" s="13">
        <v>316</v>
      </c>
      <c r="AB15" s="13">
        <v>6371</v>
      </c>
      <c r="AC15" s="13">
        <v>61</v>
      </c>
      <c r="AD15" s="13">
        <v>107</v>
      </c>
      <c r="AE15" s="13">
        <v>0</v>
      </c>
      <c r="AF15" s="13">
        <v>125</v>
      </c>
      <c r="AG15" s="13">
        <v>369</v>
      </c>
      <c r="AH15" s="13">
        <v>0</v>
      </c>
      <c r="AI15" s="13">
        <v>250</v>
      </c>
    </row>
    <row r="16" spans="1:35" x14ac:dyDescent="0.2">
      <c r="A16" s="12" t="s">
        <v>1380</v>
      </c>
      <c r="B16" s="13">
        <v>76692</v>
      </c>
      <c r="C16" s="13">
        <v>301778</v>
      </c>
      <c r="D16" s="13">
        <v>126078</v>
      </c>
      <c r="E16" s="13">
        <v>143552</v>
      </c>
      <c r="F16" s="13">
        <v>41678</v>
      </c>
      <c r="G16" s="13">
        <v>119592</v>
      </c>
      <c r="H16" s="13">
        <v>32173</v>
      </c>
      <c r="I16" s="13">
        <v>213407</v>
      </c>
      <c r="J16" s="13">
        <v>43721</v>
      </c>
      <c r="K16" s="13">
        <v>43944</v>
      </c>
      <c r="L16" s="13">
        <v>141910</v>
      </c>
      <c r="M16" s="13">
        <v>1184237</v>
      </c>
      <c r="N16" s="13">
        <v>1084016</v>
      </c>
      <c r="O16" s="13">
        <v>119500</v>
      </c>
      <c r="P16" s="13">
        <v>1040643</v>
      </c>
      <c r="Q16" s="13">
        <v>256055</v>
      </c>
      <c r="R16" s="13">
        <v>86834</v>
      </c>
      <c r="S16" s="13">
        <v>96867</v>
      </c>
      <c r="T16" s="13">
        <v>80491</v>
      </c>
      <c r="U16" s="13">
        <v>82300</v>
      </c>
      <c r="V16" s="13">
        <v>42082</v>
      </c>
      <c r="W16" s="13">
        <v>68335</v>
      </c>
      <c r="X16" s="13">
        <v>63413</v>
      </c>
      <c r="Y16" s="13">
        <v>12439</v>
      </c>
      <c r="Z16" s="13">
        <v>65278</v>
      </c>
      <c r="AA16" s="13">
        <v>55342</v>
      </c>
      <c r="AB16" s="13">
        <v>187234</v>
      </c>
      <c r="AC16" s="13">
        <v>56637</v>
      </c>
      <c r="AD16" s="13">
        <v>27767</v>
      </c>
      <c r="AE16" s="13">
        <v>35124</v>
      </c>
      <c r="AF16" s="13">
        <v>58483</v>
      </c>
      <c r="AG16" s="13">
        <v>37145</v>
      </c>
      <c r="AH16" s="13">
        <v>7582</v>
      </c>
      <c r="AI16" s="13">
        <v>11121</v>
      </c>
    </row>
    <row r="17" spans="1:35" x14ac:dyDescent="0.2">
      <c r="A17" s="12" t="s">
        <v>1381</v>
      </c>
      <c r="B17" s="13">
        <v>1139</v>
      </c>
      <c r="C17" s="13">
        <v>7736</v>
      </c>
      <c r="D17" s="13">
        <v>139</v>
      </c>
      <c r="E17" s="13">
        <v>109</v>
      </c>
      <c r="F17" s="13">
        <v>0</v>
      </c>
      <c r="G17" s="13">
        <v>350</v>
      </c>
      <c r="H17" s="13">
        <v>0</v>
      </c>
      <c r="I17" s="13">
        <v>570</v>
      </c>
      <c r="J17" s="13">
        <v>0</v>
      </c>
      <c r="K17" s="13">
        <v>1209</v>
      </c>
      <c r="L17" s="13">
        <v>448</v>
      </c>
      <c r="M17" s="13">
        <v>14780</v>
      </c>
      <c r="N17" s="13">
        <v>195942</v>
      </c>
      <c r="O17" s="13">
        <v>4837</v>
      </c>
      <c r="P17" s="13">
        <v>368187</v>
      </c>
      <c r="Q17" s="13">
        <v>1475</v>
      </c>
      <c r="R17" s="13">
        <v>4387</v>
      </c>
      <c r="S17" s="13">
        <v>41789</v>
      </c>
      <c r="T17" s="13">
        <v>158</v>
      </c>
      <c r="U17" s="13">
        <v>0</v>
      </c>
      <c r="V17" s="13">
        <v>0</v>
      </c>
      <c r="W17" s="13">
        <v>108</v>
      </c>
      <c r="X17" s="13">
        <v>0</v>
      </c>
      <c r="Y17" s="13">
        <v>0</v>
      </c>
      <c r="Z17" s="13">
        <v>0</v>
      </c>
      <c r="AA17" s="13">
        <v>0</v>
      </c>
      <c r="AB17" s="13">
        <v>1137</v>
      </c>
      <c r="AC17" s="13">
        <v>0</v>
      </c>
      <c r="AD17" s="13">
        <v>84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</row>
    <row r="18" spans="1:35" x14ac:dyDescent="0.2">
      <c r="A18" s="12" t="s">
        <v>1382</v>
      </c>
      <c r="B18" s="13">
        <v>30653</v>
      </c>
      <c r="C18" s="13">
        <v>122759</v>
      </c>
      <c r="D18" s="13">
        <v>51374</v>
      </c>
      <c r="E18" s="13">
        <v>29904</v>
      </c>
      <c r="F18" s="13">
        <v>12084</v>
      </c>
      <c r="G18" s="13">
        <v>46215</v>
      </c>
      <c r="H18" s="13">
        <v>7631</v>
      </c>
      <c r="I18" s="13">
        <v>56589</v>
      </c>
      <c r="J18" s="13">
        <v>4302</v>
      </c>
      <c r="K18" s="13">
        <v>17451</v>
      </c>
      <c r="L18" s="13">
        <v>139956</v>
      </c>
      <c r="M18" s="13">
        <v>1386767</v>
      </c>
      <c r="N18" s="13">
        <v>1325025</v>
      </c>
      <c r="O18" s="13">
        <v>99156</v>
      </c>
      <c r="P18" s="13">
        <v>456153</v>
      </c>
      <c r="Q18" s="13">
        <v>204331</v>
      </c>
      <c r="R18" s="13">
        <v>57426</v>
      </c>
      <c r="S18" s="13">
        <v>39228</v>
      </c>
      <c r="T18" s="13">
        <v>134895</v>
      </c>
      <c r="U18" s="13">
        <v>11601</v>
      </c>
      <c r="V18" s="13">
        <v>5666</v>
      </c>
      <c r="W18" s="13">
        <v>21775</v>
      </c>
      <c r="X18" s="13">
        <v>13982</v>
      </c>
      <c r="Y18" s="13">
        <v>2665</v>
      </c>
      <c r="Z18" s="13">
        <v>7093</v>
      </c>
      <c r="AA18" s="13">
        <v>18233</v>
      </c>
      <c r="AB18" s="13">
        <v>53980</v>
      </c>
      <c r="AC18" s="13">
        <v>12530</v>
      </c>
      <c r="AD18" s="13">
        <v>7207</v>
      </c>
      <c r="AE18" s="13">
        <v>11185</v>
      </c>
      <c r="AF18" s="13">
        <v>4472</v>
      </c>
      <c r="AG18" s="13">
        <v>2482</v>
      </c>
      <c r="AH18" s="13">
        <v>775</v>
      </c>
      <c r="AI18" s="13">
        <v>1341</v>
      </c>
    </row>
    <row r="19" spans="1:35" x14ac:dyDescent="0.2">
      <c r="A19" s="12" t="s">
        <v>1383</v>
      </c>
      <c r="B19" s="13">
        <v>475</v>
      </c>
      <c r="C19" s="13">
        <v>3908</v>
      </c>
      <c r="D19" s="13">
        <v>251</v>
      </c>
      <c r="E19" s="13">
        <v>0</v>
      </c>
      <c r="F19" s="13">
        <v>0</v>
      </c>
      <c r="G19" s="13">
        <v>250</v>
      </c>
      <c r="H19" s="13">
        <v>0</v>
      </c>
      <c r="I19" s="13">
        <v>410</v>
      </c>
      <c r="J19" s="13">
        <v>0</v>
      </c>
      <c r="K19" s="13">
        <v>1212</v>
      </c>
      <c r="L19" s="13">
        <v>11043</v>
      </c>
      <c r="M19" s="13">
        <v>343498</v>
      </c>
      <c r="N19" s="13">
        <v>237839</v>
      </c>
      <c r="O19" s="13">
        <v>4255</v>
      </c>
      <c r="P19" s="13">
        <v>158082</v>
      </c>
      <c r="Q19" s="13">
        <v>197929</v>
      </c>
      <c r="R19" s="13">
        <v>1098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170</v>
      </c>
      <c r="Y19" s="13">
        <v>0</v>
      </c>
      <c r="Z19" s="13">
        <v>50</v>
      </c>
      <c r="AA19" s="13">
        <v>0</v>
      </c>
      <c r="AB19" s="13">
        <v>511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</row>
    <row r="20" spans="1:35" x14ac:dyDescent="0.2">
      <c r="A20" s="12" t="s">
        <v>1384</v>
      </c>
      <c r="B20" s="13">
        <v>10933</v>
      </c>
      <c r="C20" s="13">
        <v>21790</v>
      </c>
      <c r="D20" s="13">
        <v>9746</v>
      </c>
      <c r="E20" s="13">
        <v>10699</v>
      </c>
      <c r="F20" s="13">
        <v>6709</v>
      </c>
      <c r="G20" s="13">
        <v>14173</v>
      </c>
      <c r="H20" s="13">
        <v>1690</v>
      </c>
      <c r="I20" s="13">
        <v>18126</v>
      </c>
      <c r="J20" s="13">
        <v>1723</v>
      </c>
      <c r="K20" s="13">
        <v>460</v>
      </c>
      <c r="L20" s="13">
        <v>3037</v>
      </c>
      <c r="M20" s="13">
        <v>140598</v>
      </c>
      <c r="N20" s="13">
        <v>334582</v>
      </c>
      <c r="O20" s="13">
        <v>36872</v>
      </c>
      <c r="P20" s="13">
        <v>361879</v>
      </c>
      <c r="Q20" s="13">
        <v>30933</v>
      </c>
      <c r="R20" s="13">
        <v>65971</v>
      </c>
      <c r="S20" s="13">
        <v>34374</v>
      </c>
      <c r="T20" s="13">
        <v>10816</v>
      </c>
      <c r="U20" s="13">
        <v>8136</v>
      </c>
      <c r="V20" s="13">
        <v>4832</v>
      </c>
      <c r="W20" s="13">
        <v>24044</v>
      </c>
      <c r="X20" s="13">
        <v>4922</v>
      </c>
      <c r="Y20" s="13">
        <v>5265</v>
      </c>
      <c r="Z20" s="13">
        <v>3745</v>
      </c>
      <c r="AA20" s="13">
        <v>7018</v>
      </c>
      <c r="AB20" s="13">
        <v>25855</v>
      </c>
      <c r="AC20" s="13">
        <v>4916</v>
      </c>
      <c r="AD20" s="13">
        <v>2402</v>
      </c>
      <c r="AE20" s="13">
        <v>1807</v>
      </c>
      <c r="AF20" s="13">
        <v>2968</v>
      </c>
      <c r="AG20" s="13">
        <v>974</v>
      </c>
      <c r="AH20" s="13">
        <v>159</v>
      </c>
      <c r="AI20" s="13">
        <v>2438</v>
      </c>
    </row>
    <row r="21" spans="1:35" x14ac:dyDescent="0.2">
      <c r="A21" s="12" t="s">
        <v>1385</v>
      </c>
      <c r="B21" s="13">
        <v>2663</v>
      </c>
      <c r="C21" s="13">
        <v>10758</v>
      </c>
      <c r="D21" s="13">
        <v>8164</v>
      </c>
      <c r="E21" s="13">
        <v>23908</v>
      </c>
      <c r="F21" s="13">
        <v>2020</v>
      </c>
      <c r="G21" s="13">
        <v>7707</v>
      </c>
      <c r="H21" s="13">
        <v>1371</v>
      </c>
      <c r="I21" s="13">
        <v>10051</v>
      </c>
      <c r="J21" s="13">
        <v>1439</v>
      </c>
      <c r="K21" s="13">
        <v>8587</v>
      </c>
      <c r="L21" s="13">
        <v>50677</v>
      </c>
      <c r="M21" s="13">
        <v>151244</v>
      </c>
      <c r="N21" s="13">
        <v>98934</v>
      </c>
      <c r="O21" s="13">
        <v>14094</v>
      </c>
      <c r="P21" s="13">
        <v>103921</v>
      </c>
      <c r="Q21" s="13">
        <v>58925</v>
      </c>
      <c r="R21" s="13">
        <v>4855</v>
      </c>
      <c r="S21" s="13">
        <v>6563</v>
      </c>
      <c r="T21" s="13">
        <v>1474</v>
      </c>
      <c r="U21" s="13">
        <v>3442</v>
      </c>
      <c r="V21" s="13">
        <v>1565</v>
      </c>
      <c r="W21" s="13">
        <v>5297</v>
      </c>
      <c r="X21" s="13">
        <v>3310</v>
      </c>
      <c r="Y21" s="13">
        <v>1528</v>
      </c>
      <c r="Z21" s="13">
        <v>2228</v>
      </c>
      <c r="AA21" s="13">
        <v>3095</v>
      </c>
      <c r="AB21" s="13">
        <v>9918</v>
      </c>
      <c r="AC21" s="13">
        <v>2567</v>
      </c>
      <c r="AD21" s="13">
        <v>1183</v>
      </c>
      <c r="AE21" s="13">
        <v>1142</v>
      </c>
      <c r="AF21" s="13">
        <v>681</v>
      </c>
      <c r="AG21" s="13">
        <v>51</v>
      </c>
      <c r="AH21" s="13">
        <v>413</v>
      </c>
      <c r="AI21" s="13">
        <v>1924</v>
      </c>
    </row>
    <row r="22" spans="1:35" x14ac:dyDescent="0.2">
      <c r="A22" s="12" t="s">
        <v>1386</v>
      </c>
      <c r="B22" s="13">
        <v>3704</v>
      </c>
      <c r="C22" s="13">
        <v>16616</v>
      </c>
      <c r="D22" s="13">
        <v>7656</v>
      </c>
      <c r="E22" s="13">
        <v>6600</v>
      </c>
      <c r="F22" s="13">
        <v>901</v>
      </c>
      <c r="G22" s="13">
        <v>7090</v>
      </c>
      <c r="H22" s="13">
        <v>1552</v>
      </c>
      <c r="I22" s="13">
        <v>10211</v>
      </c>
      <c r="J22" s="13">
        <v>1660</v>
      </c>
      <c r="K22" s="13">
        <v>6069</v>
      </c>
      <c r="L22" s="13">
        <v>4565</v>
      </c>
      <c r="M22" s="13">
        <v>128932</v>
      </c>
      <c r="N22" s="13">
        <v>55851</v>
      </c>
      <c r="O22" s="13">
        <v>11977</v>
      </c>
      <c r="P22" s="13">
        <v>102572</v>
      </c>
      <c r="Q22" s="13">
        <v>34185</v>
      </c>
      <c r="R22" s="13">
        <v>13963</v>
      </c>
      <c r="S22" s="13">
        <v>12975</v>
      </c>
      <c r="T22" s="13">
        <v>7494</v>
      </c>
      <c r="U22" s="13">
        <v>7993</v>
      </c>
      <c r="V22" s="13">
        <v>2503</v>
      </c>
      <c r="W22" s="13">
        <v>6433</v>
      </c>
      <c r="X22" s="13">
        <v>5314</v>
      </c>
      <c r="Y22" s="13">
        <v>259</v>
      </c>
      <c r="Z22" s="13">
        <v>2036</v>
      </c>
      <c r="AA22" s="13">
        <v>3663</v>
      </c>
      <c r="AB22" s="13">
        <v>14189</v>
      </c>
      <c r="AC22" s="13">
        <v>5176</v>
      </c>
      <c r="AD22" s="13">
        <v>1625</v>
      </c>
      <c r="AE22" s="13">
        <v>53</v>
      </c>
      <c r="AF22" s="13">
        <v>1086</v>
      </c>
      <c r="AG22" s="13">
        <v>765</v>
      </c>
      <c r="AH22" s="13">
        <v>719</v>
      </c>
      <c r="AI22" s="13">
        <v>719</v>
      </c>
    </row>
    <row r="23" spans="1:35" x14ac:dyDescent="0.2">
      <c r="A23" s="12" t="s">
        <v>1387</v>
      </c>
      <c r="B23" s="13">
        <v>351</v>
      </c>
      <c r="C23" s="13">
        <v>2370</v>
      </c>
      <c r="D23" s="13">
        <v>781</v>
      </c>
      <c r="E23" s="13">
        <v>1431</v>
      </c>
      <c r="F23" s="13">
        <v>100</v>
      </c>
      <c r="G23" s="13">
        <v>1938</v>
      </c>
      <c r="H23" s="13">
        <v>359</v>
      </c>
      <c r="I23" s="13">
        <v>0</v>
      </c>
      <c r="J23" s="13">
        <v>0</v>
      </c>
      <c r="K23" s="13">
        <v>311</v>
      </c>
      <c r="L23" s="13">
        <v>630</v>
      </c>
      <c r="M23" s="13">
        <v>8948</v>
      </c>
      <c r="N23" s="13">
        <v>4618</v>
      </c>
      <c r="O23" s="13">
        <v>0</v>
      </c>
      <c r="P23" s="13">
        <v>2318</v>
      </c>
      <c r="Q23" s="13">
        <v>2520</v>
      </c>
      <c r="R23" s="13">
        <v>0</v>
      </c>
      <c r="S23" s="13">
        <v>0</v>
      </c>
      <c r="T23" s="13">
        <v>267</v>
      </c>
      <c r="U23" s="13">
        <v>0</v>
      </c>
      <c r="V23" s="13">
        <v>0</v>
      </c>
      <c r="W23" s="13">
        <v>138</v>
      </c>
      <c r="X23" s="13">
        <v>1825</v>
      </c>
      <c r="Y23" s="13">
        <v>412</v>
      </c>
      <c r="Z23" s="13">
        <v>0</v>
      </c>
      <c r="AA23" s="13">
        <v>0</v>
      </c>
      <c r="AB23" s="13">
        <v>676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70</v>
      </c>
      <c r="AI23" s="13">
        <v>0</v>
      </c>
    </row>
    <row r="24" spans="1:35" x14ac:dyDescent="0.2">
      <c r="A24" s="12" t="s">
        <v>1388</v>
      </c>
      <c r="B24" s="13">
        <v>7100</v>
      </c>
      <c r="C24" s="13">
        <v>26077</v>
      </c>
      <c r="D24" s="13">
        <v>9295</v>
      </c>
      <c r="E24" s="13">
        <v>4210</v>
      </c>
      <c r="F24" s="13">
        <v>1858</v>
      </c>
      <c r="G24" s="13">
        <v>10816</v>
      </c>
      <c r="H24" s="13">
        <v>1884</v>
      </c>
      <c r="I24" s="13">
        <v>9535</v>
      </c>
      <c r="J24" s="13">
        <v>346</v>
      </c>
      <c r="K24" s="13">
        <v>8116</v>
      </c>
      <c r="L24" s="13">
        <v>47238</v>
      </c>
      <c r="M24" s="13">
        <v>181987</v>
      </c>
      <c r="N24" s="13">
        <v>107058</v>
      </c>
      <c r="O24" s="13">
        <v>9995</v>
      </c>
      <c r="P24" s="13">
        <v>143706</v>
      </c>
      <c r="Q24" s="13">
        <v>85854</v>
      </c>
      <c r="R24" s="13">
        <v>5577</v>
      </c>
      <c r="S24" s="13">
        <v>2517</v>
      </c>
      <c r="T24" s="13">
        <v>316</v>
      </c>
      <c r="U24" s="13">
        <v>2855</v>
      </c>
      <c r="V24" s="13">
        <v>1977</v>
      </c>
      <c r="W24" s="13">
        <v>5741</v>
      </c>
      <c r="X24" s="13">
        <v>4123</v>
      </c>
      <c r="Y24" s="13">
        <v>354</v>
      </c>
      <c r="Z24" s="13">
        <v>2281</v>
      </c>
      <c r="AA24" s="13">
        <v>2197</v>
      </c>
      <c r="AB24" s="13">
        <v>10050</v>
      </c>
      <c r="AC24" s="13">
        <v>552</v>
      </c>
      <c r="AD24" s="13">
        <v>825</v>
      </c>
      <c r="AE24" s="13">
        <v>1467</v>
      </c>
      <c r="AF24" s="13">
        <v>2507</v>
      </c>
      <c r="AG24" s="13">
        <v>302</v>
      </c>
      <c r="AH24" s="13">
        <v>139</v>
      </c>
      <c r="AI24" s="13">
        <v>129</v>
      </c>
    </row>
    <row r="25" spans="1:35" x14ac:dyDescent="0.2">
      <c r="A25" s="12" t="s">
        <v>1389</v>
      </c>
      <c r="B25" s="13">
        <v>1440</v>
      </c>
      <c r="C25" s="13">
        <v>36611</v>
      </c>
      <c r="D25" s="13">
        <v>1113</v>
      </c>
      <c r="E25" s="13">
        <v>403</v>
      </c>
      <c r="F25" s="13">
        <v>140</v>
      </c>
      <c r="G25" s="13">
        <v>2150</v>
      </c>
      <c r="H25" s="13">
        <v>0</v>
      </c>
      <c r="I25" s="13">
        <v>3321</v>
      </c>
      <c r="J25" s="13">
        <v>0</v>
      </c>
      <c r="K25" s="13">
        <v>9478</v>
      </c>
      <c r="L25" s="13">
        <v>39940</v>
      </c>
      <c r="M25" s="13">
        <v>137560</v>
      </c>
      <c r="N25" s="13">
        <v>104715</v>
      </c>
      <c r="O25" s="13">
        <v>5330</v>
      </c>
      <c r="P25" s="13">
        <v>106314</v>
      </c>
      <c r="Q25" s="13">
        <v>102847</v>
      </c>
      <c r="R25" s="13">
        <v>586</v>
      </c>
      <c r="S25" s="13">
        <v>573</v>
      </c>
      <c r="T25" s="13">
        <v>1562</v>
      </c>
      <c r="U25" s="13">
        <v>0</v>
      </c>
      <c r="V25" s="13">
        <v>0</v>
      </c>
      <c r="W25" s="13">
        <v>765</v>
      </c>
      <c r="X25" s="13">
        <v>0</v>
      </c>
      <c r="Y25" s="13">
        <v>0</v>
      </c>
      <c r="Z25" s="13">
        <v>543</v>
      </c>
      <c r="AA25" s="13">
        <v>808</v>
      </c>
      <c r="AB25" s="13">
        <v>1587</v>
      </c>
      <c r="AC25" s="13">
        <v>131</v>
      </c>
      <c r="AD25" s="13">
        <v>0</v>
      </c>
      <c r="AE25" s="13">
        <v>0</v>
      </c>
      <c r="AF25" s="13">
        <v>132</v>
      </c>
      <c r="AG25" s="13">
        <v>0</v>
      </c>
      <c r="AH25" s="13">
        <v>0</v>
      </c>
      <c r="AI25" s="13">
        <v>0</v>
      </c>
    </row>
    <row r="26" spans="1:35" x14ac:dyDescent="0.2">
      <c r="A26" s="12" t="s">
        <v>1390</v>
      </c>
      <c r="B26" s="13">
        <v>1090</v>
      </c>
      <c r="C26" s="13">
        <v>13785</v>
      </c>
      <c r="D26" s="13">
        <v>2777</v>
      </c>
      <c r="E26" s="13">
        <v>389</v>
      </c>
      <c r="F26" s="13">
        <v>0</v>
      </c>
      <c r="G26" s="13">
        <v>100</v>
      </c>
      <c r="H26" s="13">
        <v>458</v>
      </c>
      <c r="I26" s="13">
        <v>1865</v>
      </c>
      <c r="J26" s="13">
        <v>3670</v>
      </c>
      <c r="K26" s="13">
        <v>8303</v>
      </c>
      <c r="L26" s="13">
        <v>12946</v>
      </c>
      <c r="M26" s="13">
        <v>33994</v>
      </c>
      <c r="N26" s="13">
        <v>12924</v>
      </c>
      <c r="O26" s="13">
        <v>0</v>
      </c>
      <c r="P26" s="13">
        <v>19752</v>
      </c>
      <c r="Q26" s="13">
        <v>35474</v>
      </c>
      <c r="R26" s="13">
        <v>125</v>
      </c>
      <c r="S26" s="13">
        <v>9346</v>
      </c>
      <c r="T26" s="13">
        <v>711</v>
      </c>
      <c r="U26" s="13">
        <v>2047</v>
      </c>
      <c r="V26" s="13">
        <v>852</v>
      </c>
      <c r="W26" s="13">
        <v>748</v>
      </c>
      <c r="X26" s="13">
        <v>764</v>
      </c>
      <c r="Y26" s="13">
        <v>186</v>
      </c>
      <c r="Z26" s="13">
        <v>1756</v>
      </c>
      <c r="AA26" s="13">
        <v>9676</v>
      </c>
      <c r="AB26" s="13">
        <v>5490</v>
      </c>
      <c r="AC26" s="13">
        <v>11512</v>
      </c>
      <c r="AD26" s="13">
        <v>0</v>
      </c>
      <c r="AE26" s="13">
        <v>269</v>
      </c>
      <c r="AF26" s="13">
        <v>394</v>
      </c>
      <c r="AG26" s="13">
        <v>2251</v>
      </c>
      <c r="AH26" s="13">
        <v>0</v>
      </c>
      <c r="AI26" s="13">
        <v>0</v>
      </c>
    </row>
    <row r="27" spans="1:35" x14ac:dyDescent="0.2">
      <c r="A27" s="12" t="s">
        <v>1391</v>
      </c>
      <c r="B27" s="13">
        <v>10268</v>
      </c>
      <c r="C27" s="13">
        <v>44634</v>
      </c>
      <c r="D27" s="13">
        <v>12431</v>
      </c>
      <c r="E27" s="13">
        <v>13989</v>
      </c>
      <c r="F27" s="13">
        <v>7366</v>
      </c>
      <c r="G27" s="13">
        <v>16594</v>
      </c>
      <c r="H27" s="13">
        <v>5144</v>
      </c>
      <c r="I27" s="13">
        <v>21452</v>
      </c>
      <c r="J27" s="13">
        <v>1251</v>
      </c>
      <c r="K27" s="13">
        <v>54891</v>
      </c>
      <c r="L27" s="13">
        <v>53990</v>
      </c>
      <c r="M27" s="13">
        <v>262279</v>
      </c>
      <c r="N27" s="13">
        <v>175713</v>
      </c>
      <c r="O27" s="13">
        <v>17489</v>
      </c>
      <c r="P27" s="13">
        <v>201127</v>
      </c>
      <c r="Q27" s="13">
        <v>119813</v>
      </c>
      <c r="R27" s="13">
        <v>13286</v>
      </c>
      <c r="S27" s="13">
        <v>11340</v>
      </c>
      <c r="T27" s="13">
        <v>5216</v>
      </c>
      <c r="U27" s="13">
        <v>7508</v>
      </c>
      <c r="V27" s="13">
        <v>3467</v>
      </c>
      <c r="W27" s="13">
        <v>11144</v>
      </c>
      <c r="X27" s="13">
        <v>17313</v>
      </c>
      <c r="Y27" s="13">
        <v>1331</v>
      </c>
      <c r="Z27" s="13">
        <v>3926</v>
      </c>
      <c r="AA27" s="13">
        <v>7571</v>
      </c>
      <c r="AB27" s="13">
        <v>25541</v>
      </c>
      <c r="AC27" s="13">
        <v>5326</v>
      </c>
      <c r="AD27" s="13">
        <v>1353</v>
      </c>
      <c r="AE27" s="13">
        <v>1385</v>
      </c>
      <c r="AF27" s="13">
        <v>1361</v>
      </c>
      <c r="AG27" s="13">
        <v>2022</v>
      </c>
      <c r="AH27" s="13">
        <v>413</v>
      </c>
      <c r="AI27" s="13">
        <v>1510</v>
      </c>
    </row>
    <row r="28" spans="1:35" x14ac:dyDescent="0.2">
      <c r="A28" s="12" t="s">
        <v>1392</v>
      </c>
      <c r="B28" s="13">
        <v>5603</v>
      </c>
      <c r="C28" s="13">
        <v>23188</v>
      </c>
      <c r="D28" s="13">
        <v>6193</v>
      </c>
      <c r="E28" s="13">
        <v>6154</v>
      </c>
      <c r="F28" s="13">
        <v>1462</v>
      </c>
      <c r="G28" s="13">
        <v>8231</v>
      </c>
      <c r="H28" s="13">
        <v>1001</v>
      </c>
      <c r="I28" s="13">
        <v>11126</v>
      </c>
      <c r="J28" s="13">
        <v>963</v>
      </c>
      <c r="K28" s="13">
        <v>11316</v>
      </c>
      <c r="L28" s="13">
        <v>26433</v>
      </c>
      <c r="M28" s="13">
        <v>136892</v>
      </c>
      <c r="N28" s="13">
        <v>40443</v>
      </c>
      <c r="O28" s="13">
        <v>4072</v>
      </c>
      <c r="P28" s="13">
        <v>58065</v>
      </c>
      <c r="Q28" s="13">
        <v>33920</v>
      </c>
      <c r="R28" s="13">
        <v>8482</v>
      </c>
      <c r="S28" s="13">
        <v>10438</v>
      </c>
      <c r="T28" s="13">
        <v>3001</v>
      </c>
      <c r="U28" s="13">
        <v>3398</v>
      </c>
      <c r="V28" s="13">
        <v>2899</v>
      </c>
      <c r="W28" s="13">
        <v>5023</v>
      </c>
      <c r="X28" s="13">
        <v>4045</v>
      </c>
      <c r="Y28" s="13">
        <v>693</v>
      </c>
      <c r="Z28" s="13">
        <v>2460</v>
      </c>
      <c r="AA28" s="13">
        <v>2874</v>
      </c>
      <c r="AB28" s="13">
        <v>12285</v>
      </c>
      <c r="AC28" s="13">
        <v>2006</v>
      </c>
      <c r="AD28" s="13">
        <v>815</v>
      </c>
      <c r="AE28" s="13">
        <v>521</v>
      </c>
      <c r="AF28" s="13">
        <v>2298</v>
      </c>
      <c r="AG28" s="13">
        <v>766</v>
      </c>
      <c r="AH28" s="13">
        <v>150</v>
      </c>
      <c r="AI28" s="13">
        <v>1757</v>
      </c>
    </row>
    <row r="29" spans="1:35" x14ac:dyDescent="0.2">
      <c r="A29" s="12" t="s">
        <v>1393</v>
      </c>
      <c r="B29" s="13">
        <v>598</v>
      </c>
      <c r="C29" s="13">
        <v>5162</v>
      </c>
      <c r="D29" s="13">
        <v>171</v>
      </c>
      <c r="E29" s="13">
        <v>1191</v>
      </c>
      <c r="F29" s="13">
        <v>368</v>
      </c>
      <c r="G29" s="13">
        <v>3945</v>
      </c>
      <c r="H29" s="13">
        <v>133</v>
      </c>
      <c r="I29" s="13">
        <v>1093</v>
      </c>
      <c r="J29" s="13">
        <v>921</v>
      </c>
      <c r="K29" s="13">
        <v>62594</v>
      </c>
      <c r="L29" s="13">
        <v>29807</v>
      </c>
      <c r="M29" s="13">
        <v>231158</v>
      </c>
      <c r="N29" s="13">
        <v>25977</v>
      </c>
      <c r="O29" s="13">
        <v>281</v>
      </c>
      <c r="P29" s="13">
        <v>38941</v>
      </c>
      <c r="Q29" s="13">
        <v>23816</v>
      </c>
      <c r="R29" s="13">
        <v>106</v>
      </c>
      <c r="S29" s="13">
        <v>132</v>
      </c>
      <c r="T29" s="13">
        <v>226</v>
      </c>
      <c r="U29" s="13">
        <v>1450</v>
      </c>
      <c r="V29" s="13">
        <v>675</v>
      </c>
      <c r="W29" s="13">
        <v>5454</v>
      </c>
      <c r="X29" s="13">
        <v>9638</v>
      </c>
      <c r="Y29" s="13">
        <v>896</v>
      </c>
      <c r="Z29" s="13">
        <v>1331</v>
      </c>
      <c r="AA29" s="13">
        <v>506</v>
      </c>
      <c r="AB29" s="13">
        <v>2555</v>
      </c>
      <c r="AC29" s="13">
        <v>776</v>
      </c>
      <c r="AD29" s="13">
        <v>72</v>
      </c>
      <c r="AE29" s="13">
        <v>384</v>
      </c>
      <c r="AF29" s="13">
        <v>272</v>
      </c>
      <c r="AG29" s="13">
        <v>214</v>
      </c>
      <c r="AH29" s="13">
        <v>255</v>
      </c>
      <c r="AI29" s="13">
        <v>758</v>
      </c>
    </row>
    <row r="30" spans="1:35" x14ac:dyDescent="0.2">
      <c r="A30" s="12" t="s">
        <v>1394</v>
      </c>
      <c r="B30" s="13">
        <v>15441</v>
      </c>
      <c r="C30" s="13">
        <v>36120</v>
      </c>
      <c r="D30" s="13">
        <v>10570</v>
      </c>
      <c r="E30" s="13">
        <v>5814</v>
      </c>
      <c r="F30" s="13">
        <v>3986</v>
      </c>
      <c r="G30" s="13">
        <v>8985</v>
      </c>
      <c r="H30" s="13">
        <v>2614</v>
      </c>
      <c r="I30" s="13">
        <v>12080</v>
      </c>
      <c r="J30" s="13">
        <v>784</v>
      </c>
      <c r="K30" s="13">
        <v>3788</v>
      </c>
      <c r="L30" s="13">
        <v>12906</v>
      </c>
      <c r="M30" s="13">
        <v>147255</v>
      </c>
      <c r="N30" s="13">
        <v>287399</v>
      </c>
      <c r="O30" s="13">
        <v>20071</v>
      </c>
      <c r="P30" s="13">
        <v>174005</v>
      </c>
      <c r="Q30" s="13">
        <v>37030</v>
      </c>
      <c r="R30" s="13">
        <v>9856</v>
      </c>
      <c r="S30" s="13">
        <v>9291</v>
      </c>
      <c r="T30" s="13">
        <v>8173</v>
      </c>
      <c r="U30" s="13">
        <v>7458</v>
      </c>
      <c r="V30" s="13">
        <v>2833</v>
      </c>
      <c r="W30" s="13">
        <v>4362</v>
      </c>
      <c r="X30" s="13">
        <v>5379</v>
      </c>
      <c r="Y30" s="13">
        <v>448</v>
      </c>
      <c r="Z30" s="13">
        <v>3977</v>
      </c>
      <c r="AA30" s="13">
        <v>3998</v>
      </c>
      <c r="AB30" s="13">
        <v>23466</v>
      </c>
      <c r="AC30" s="13">
        <v>7203</v>
      </c>
      <c r="AD30" s="13">
        <v>4225</v>
      </c>
      <c r="AE30" s="13">
        <v>1489</v>
      </c>
      <c r="AF30" s="13">
        <v>2460</v>
      </c>
      <c r="AG30" s="13">
        <v>1379</v>
      </c>
      <c r="AH30" s="13">
        <v>1410</v>
      </c>
      <c r="AI30" s="13">
        <v>1532</v>
      </c>
    </row>
    <row r="31" spans="1:35" x14ac:dyDescent="0.2">
      <c r="A31" s="12" t="s">
        <v>1395</v>
      </c>
      <c r="B31" s="13">
        <v>13818</v>
      </c>
      <c r="C31" s="13">
        <v>50041</v>
      </c>
      <c r="D31" s="13">
        <v>14068</v>
      </c>
      <c r="E31" s="13">
        <v>13699</v>
      </c>
      <c r="F31" s="13">
        <v>6943</v>
      </c>
      <c r="G31" s="13">
        <v>16944</v>
      </c>
      <c r="H31" s="13">
        <v>4527</v>
      </c>
      <c r="I31" s="13">
        <v>18307</v>
      </c>
      <c r="J31" s="13">
        <v>2823</v>
      </c>
      <c r="K31" s="13">
        <v>24731</v>
      </c>
      <c r="L31" s="13">
        <v>48366</v>
      </c>
      <c r="M31" s="13">
        <v>253150</v>
      </c>
      <c r="N31" s="13">
        <v>274379</v>
      </c>
      <c r="O31" s="13">
        <v>29611</v>
      </c>
      <c r="P31" s="13">
        <v>211267</v>
      </c>
      <c r="Q31" s="13">
        <v>47913</v>
      </c>
      <c r="R31" s="13">
        <v>122209</v>
      </c>
      <c r="S31" s="13">
        <v>19067</v>
      </c>
      <c r="T31" s="13">
        <v>10012</v>
      </c>
      <c r="U31" s="13">
        <v>7836</v>
      </c>
      <c r="V31" s="13">
        <v>2407</v>
      </c>
      <c r="W31" s="13">
        <v>12945</v>
      </c>
      <c r="X31" s="13">
        <v>16546</v>
      </c>
      <c r="Y31" s="13">
        <v>2902</v>
      </c>
      <c r="Z31" s="13">
        <v>4634</v>
      </c>
      <c r="AA31" s="13">
        <v>3726</v>
      </c>
      <c r="AB31" s="13">
        <v>14734</v>
      </c>
      <c r="AC31" s="13">
        <v>3286</v>
      </c>
      <c r="AD31" s="13">
        <v>3167</v>
      </c>
      <c r="AE31" s="13">
        <v>2771</v>
      </c>
      <c r="AF31" s="13">
        <v>4184</v>
      </c>
      <c r="AG31" s="13">
        <v>1747</v>
      </c>
      <c r="AH31" s="13">
        <v>243</v>
      </c>
      <c r="AI31" s="13">
        <v>768</v>
      </c>
    </row>
    <row r="32" spans="1:35" x14ac:dyDescent="0.2">
      <c r="A32" s="12" t="s">
        <v>1396</v>
      </c>
      <c r="B32" s="13">
        <v>4323</v>
      </c>
      <c r="C32" s="13">
        <v>19265</v>
      </c>
      <c r="D32" s="13">
        <v>7162</v>
      </c>
      <c r="E32" s="13">
        <v>7701</v>
      </c>
      <c r="F32" s="13">
        <v>2941</v>
      </c>
      <c r="G32" s="13">
        <v>11380</v>
      </c>
      <c r="H32" s="13">
        <v>2214</v>
      </c>
      <c r="I32" s="13">
        <v>4760</v>
      </c>
      <c r="J32" s="13">
        <v>2402</v>
      </c>
      <c r="K32" s="13">
        <v>4866</v>
      </c>
      <c r="L32" s="13">
        <v>5358</v>
      </c>
      <c r="M32" s="13">
        <v>36997</v>
      </c>
      <c r="N32" s="13">
        <v>20821</v>
      </c>
      <c r="O32" s="13">
        <v>2876</v>
      </c>
      <c r="P32" s="13">
        <v>34250</v>
      </c>
      <c r="Q32" s="13">
        <v>12143</v>
      </c>
      <c r="R32" s="13">
        <v>3411</v>
      </c>
      <c r="S32" s="13">
        <v>6166</v>
      </c>
      <c r="T32" s="13">
        <v>6522</v>
      </c>
      <c r="U32" s="13">
        <v>5434</v>
      </c>
      <c r="V32" s="13">
        <v>2182</v>
      </c>
      <c r="W32" s="13">
        <v>4747</v>
      </c>
      <c r="X32" s="13">
        <v>6469</v>
      </c>
      <c r="Y32" s="13">
        <v>1229</v>
      </c>
      <c r="Z32" s="13">
        <v>2310</v>
      </c>
      <c r="AA32" s="13">
        <v>5417</v>
      </c>
      <c r="AB32" s="13">
        <v>12868</v>
      </c>
      <c r="AC32" s="13">
        <v>4538</v>
      </c>
      <c r="AD32" s="13">
        <v>952</v>
      </c>
      <c r="AE32" s="13">
        <v>1249</v>
      </c>
      <c r="AF32" s="13">
        <v>3924</v>
      </c>
      <c r="AG32" s="13">
        <v>2177</v>
      </c>
      <c r="AH32" s="13">
        <v>426</v>
      </c>
      <c r="AI32" s="13">
        <v>1012</v>
      </c>
    </row>
    <row r="33" spans="1:35" x14ac:dyDescent="0.2">
      <c r="A33" s="12" t="s">
        <v>1397</v>
      </c>
      <c r="B33" s="13">
        <v>1304</v>
      </c>
      <c r="C33" s="13">
        <v>1080</v>
      </c>
      <c r="D33" s="13">
        <v>944</v>
      </c>
      <c r="E33" s="13">
        <v>540</v>
      </c>
      <c r="F33" s="13">
        <v>0</v>
      </c>
      <c r="G33" s="13">
        <v>1715</v>
      </c>
      <c r="H33" s="13">
        <v>81</v>
      </c>
      <c r="I33" s="13">
        <v>1902</v>
      </c>
      <c r="J33" s="13">
        <v>569</v>
      </c>
      <c r="K33" s="13">
        <v>498</v>
      </c>
      <c r="L33" s="13">
        <v>1940</v>
      </c>
      <c r="M33" s="13">
        <v>4784</v>
      </c>
      <c r="N33" s="13">
        <v>8505</v>
      </c>
      <c r="O33" s="13">
        <v>391</v>
      </c>
      <c r="P33" s="13">
        <v>4769</v>
      </c>
      <c r="Q33" s="13">
        <v>521</v>
      </c>
      <c r="R33" s="13">
        <v>0</v>
      </c>
      <c r="S33" s="13">
        <v>99</v>
      </c>
      <c r="T33" s="13">
        <v>665</v>
      </c>
      <c r="U33" s="13">
        <v>440</v>
      </c>
      <c r="V33" s="13">
        <v>1383</v>
      </c>
      <c r="W33" s="13">
        <v>217</v>
      </c>
      <c r="X33" s="13">
        <v>3148</v>
      </c>
      <c r="Y33" s="13">
        <v>195</v>
      </c>
      <c r="Z33" s="13">
        <v>572</v>
      </c>
      <c r="AA33" s="13">
        <v>1313</v>
      </c>
      <c r="AB33" s="13">
        <v>1634</v>
      </c>
      <c r="AC33" s="13">
        <v>1714</v>
      </c>
      <c r="AD33" s="13">
        <v>608</v>
      </c>
      <c r="AE33" s="13">
        <v>1418</v>
      </c>
      <c r="AF33" s="13">
        <v>707</v>
      </c>
      <c r="AG33" s="13">
        <v>795</v>
      </c>
      <c r="AH33" s="13">
        <v>29</v>
      </c>
      <c r="AI33" s="13">
        <v>474</v>
      </c>
    </row>
    <row r="34" spans="1:35" x14ac:dyDescent="0.2">
      <c r="A34" s="12" t="s">
        <v>1398</v>
      </c>
      <c r="B34" s="13">
        <v>6323</v>
      </c>
      <c r="C34" s="13">
        <v>33314</v>
      </c>
      <c r="D34" s="13">
        <v>9384</v>
      </c>
      <c r="E34" s="13">
        <v>13992</v>
      </c>
      <c r="F34" s="13">
        <v>5067</v>
      </c>
      <c r="G34" s="13">
        <v>15001</v>
      </c>
      <c r="H34" s="13">
        <v>3248</v>
      </c>
      <c r="I34" s="13">
        <v>12685</v>
      </c>
      <c r="J34" s="13">
        <v>1514</v>
      </c>
      <c r="K34" s="13">
        <v>5953</v>
      </c>
      <c r="L34" s="13">
        <v>24883</v>
      </c>
      <c r="M34" s="13">
        <v>105880</v>
      </c>
      <c r="N34" s="13">
        <v>87759</v>
      </c>
      <c r="O34" s="13">
        <v>8335</v>
      </c>
      <c r="P34" s="13">
        <v>122376</v>
      </c>
      <c r="Q34" s="13">
        <v>33827</v>
      </c>
      <c r="R34" s="13">
        <v>7113</v>
      </c>
      <c r="S34" s="13">
        <v>8831</v>
      </c>
      <c r="T34" s="13">
        <v>7857</v>
      </c>
      <c r="U34" s="13">
        <v>6337</v>
      </c>
      <c r="V34" s="13">
        <v>4671</v>
      </c>
      <c r="W34" s="13">
        <v>5718</v>
      </c>
      <c r="X34" s="13">
        <v>7459</v>
      </c>
      <c r="Y34" s="13">
        <v>1891</v>
      </c>
      <c r="Z34" s="13">
        <v>2762</v>
      </c>
      <c r="AA34" s="13">
        <v>2782</v>
      </c>
      <c r="AB34" s="13">
        <v>17175</v>
      </c>
      <c r="AC34" s="13">
        <v>6553</v>
      </c>
      <c r="AD34" s="13">
        <v>1445</v>
      </c>
      <c r="AE34" s="13">
        <v>1784</v>
      </c>
      <c r="AF34" s="13">
        <v>2198</v>
      </c>
      <c r="AG34" s="13">
        <v>2054</v>
      </c>
      <c r="AH34" s="13">
        <v>64</v>
      </c>
      <c r="AI34" s="13">
        <v>1139</v>
      </c>
    </row>
    <row r="35" spans="1:35" x14ac:dyDescent="0.2">
      <c r="A35" s="12" t="s">
        <v>1399</v>
      </c>
      <c r="B35" s="13">
        <v>170103</v>
      </c>
      <c r="C35" s="13">
        <v>437021</v>
      </c>
      <c r="D35" s="13">
        <v>137904</v>
      </c>
      <c r="E35" s="13">
        <v>159543</v>
      </c>
      <c r="F35" s="13">
        <v>83666</v>
      </c>
      <c r="G35" s="13">
        <v>209627</v>
      </c>
      <c r="H35" s="13">
        <v>48060</v>
      </c>
      <c r="I35" s="13">
        <v>239709</v>
      </c>
      <c r="J35" s="13">
        <v>33725</v>
      </c>
      <c r="K35" s="13">
        <v>71437</v>
      </c>
      <c r="L35" s="13">
        <v>219273</v>
      </c>
      <c r="M35" s="13">
        <v>1766945</v>
      </c>
      <c r="N35" s="13">
        <v>1711744</v>
      </c>
      <c r="O35" s="13">
        <v>134578</v>
      </c>
      <c r="P35" s="13">
        <v>1459002</v>
      </c>
      <c r="Q35" s="13">
        <v>375020</v>
      </c>
      <c r="R35" s="13">
        <v>190962</v>
      </c>
      <c r="S35" s="13">
        <v>185352</v>
      </c>
      <c r="T35" s="13">
        <v>112698</v>
      </c>
      <c r="U35" s="13">
        <v>171473</v>
      </c>
      <c r="V35" s="13">
        <v>66872</v>
      </c>
      <c r="W35" s="13">
        <v>98527</v>
      </c>
      <c r="X35" s="13">
        <v>132640</v>
      </c>
      <c r="Y35" s="13">
        <v>16486</v>
      </c>
      <c r="Z35" s="13">
        <v>76709</v>
      </c>
      <c r="AA35" s="13">
        <v>81662</v>
      </c>
      <c r="AB35" s="13">
        <v>307955</v>
      </c>
      <c r="AC35" s="13">
        <v>85608</v>
      </c>
      <c r="AD35" s="13">
        <v>33643</v>
      </c>
      <c r="AE35" s="13">
        <v>34265</v>
      </c>
      <c r="AF35" s="13">
        <v>33164</v>
      </c>
      <c r="AG35" s="13">
        <v>25568</v>
      </c>
      <c r="AH35" s="13">
        <v>16268</v>
      </c>
      <c r="AI35" s="13">
        <v>22825</v>
      </c>
    </row>
    <row r="36" spans="1:35" x14ac:dyDescent="0.2">
      <c r="A36" s="12" t="s">
        <v>1400</v>
      </c>
      <c r="B36" s="13">
        <v>1479</v>
      </c>
      <c r="C36" s="13">
        <v>5900</v>
      </c>
      <c r="D36" s="13">
        <v>4614</v>
      </c>
      <c r="E36" s="13">
        <v>5581</v>
      </c>
      <c r="F36" s="13">
        <v>1247</v>
      </c>
      <c r="G36" s="13">
        <v>6914</v>
      </c>
      <c r="H36" s="13">
        <v>1540</v>
      </c>
      <c r="I36" s="13">
        <v>3971</v>
      </c>
      <c r="J36" s="13">
        <v>1923</v>
      </c>
      <c r="K36" s="13">
        <v>2102</v>
      </c>
      <c r="L36" s="13">
        <v>32594</v>
      </c>
      <c r="M36" s="13">
        <v>41060</v>
      </c>
      <c r="N36" s="13">
        <v>26247</v>
      </c>
      <c r="O36" s="13">
        <v>4227</v>
      </c>
      <c r="P36" s="13">
        <v>15883</v>
      </c>
      <c r="Q36" s="13">
        <v>18139</v>
      </c>
      <c r="R36" s="13">
        <v>5215</v>
      </c>
      <c r="S36" s="13">
        <v>2439</v>
      </c>
      <c r="T36" s="13">
        <v>510</v>
      </c>
      <c r="U36" s="13">
        <v>3198</v>
      </c>
      <c r="V36" s="13">
        <v>1034</v>
      </c>
      <c r="W36" s="13">
        <v>2191</v>
      </c>
      <c r="X36" s="13">
        <v>4369</v>
      </c>
      <c r="Y36" s="13">
        <v>111</v>
      </c>
      <c r="Z36" s="13">
        <v>2170</v>
      </c>
      <c r="AA36" s="13">
        <v>938</v>
      </c>
      <c r="AB36" s="13">
        <v>6209</v>
      </c>
      <c r="AC36" s="13">
        <v>1204</v>
      </c>
      <c r="AD36" s="13">
        <v>689</v>
      </c>
      <c r="AE36" s="13">
        <v>909</v>
      </c>
      <c r="AF36" s="13">
        <v>330</v>
      </c>
      <c r="AG36" s="13">
        <v>120</v>
      </c>
      <c r="AH36" s="13">
        <v>0</v>
      </c>
      <c r="AI36" s="13">
        <v>169</v>
      </c>
    </row>
    <row r="37" spans="1:35" x14ac:dyDescent="0.2">
      <c r="A37" s="12" t="s">
        <v>1401</v>
      </c>
      <c r="B37" s="13">
        <v>386790</v>
      </c>
      <c r="C37" s="13">
        <v>1523316</v>
      </c>
      <c r="D37" s="13">
        <v>548481</v>
      </c>
      <c r="E37" s="13">
        <v>574738</v>
      </c>
      <c r="F37" s="13">
        <v>306190</v>
      </c>
      <c r="G37" s="13">
        <v>759265</v>
      </c>
      <c r="H37" s="13">
        <v>172023</v>
      </c>
      <c r="I37" s="13">
        <v>939645</v>
      </c>
      <c r="J37" s="13">
        <v>137929</v>
      </c>
      <c r="K37" s="13">
        <v>169574</v>
      </c>
      <c r="L37" s="13">
        <v>1172817</v>
      </c>
      <c r="M37" s="13">
        <v>5468910</v>
      </c>
      <c r="N37" s="13">
        <v>3723152</v>
      </c>
      <c r="O37" s="13">
        <v>426416</v>
      </c>
      <c r="P37" s="13">
        <v>4285824</v>
      </c>
      <c r="Q37" s="13">
        <v>1177648</v>
      </c>
      <c r="R37" s="13">
        <v>538195</v>
      </c>
      <c r="S37" s="13">
        <v>587014</v>
      </c>
      <c r="T37" s="13">
        <v>362670</v>
      </c>
      <c r="U37" s="13">
        <v>407925</v>
      </c>
      <c r="V37" s="13">
        <v>222779</v>
      </c>
      <c r="W37" s="13">
        <v>413420</v>
      </c>
      <c r="X37" s="13">
        <v>382034</v>
      </c>
      <c r="Y37" s="13">
        <v>63965</v>
      </c>
      <c r="Z37" s="13">
        <v>235587</v>
      </c>
      <c r="AA37" s="13">
        <v>242814</v>
      </c>
      <c r="AB37" s="13">
        <v>853975</v>
      </c>
      <c r="AC37" s="13">
        <v>267490</v>
      </c>
      <c r="AD37" s="13">
        <v>111931</v>
      </c>
      <c r="AE37" s="13">
        <v>120323</v>
      </c>
      <c r="AF37" s="13">
        <v>145922</v>
      </c>
      <c r="AG37" s="13">
        <v>79684</v>
      </c>
      <c r="AH37" s="13">
        <v>44377</v>
      </c>
      <c r="AI37" s="13">
        <v>80908</v>
      </c>
    </row>
    <row r="38" spans="1:35" x14ac:dyDescent="0.2">
      <c r="A38" s="12" t="s">
        <v>1402</v>
      </c>
      <c r="B38" s="13">
        <v>521</v>
      </c>
      <c r="C38" s="13">
        <v>759</v>
      </c>
      <c r="D38" s="13">
        <v>640</v>
      </c>
      <c r="E38" s="13">
        <v>445</v>
      </c>
      <c r="F38" s="13">
        <v>254</v>
      </c>
      <c r="G38" s="13">
        <v>2252</v>
      </c>
      <c r="H38" s="13">
        <v>0</v>
      </c>
      <c r="I38" s="13">
        <v>655</v>
      </c>
      <c r="J38" s="13">
        <v>0</v>
      </c>
      <c r="K38" s="13">
        <v>0</v>
      </c>
      <c r="L38" s="13">
        <v>656</v>
      </c>
      <c r="M38" s="13">
        <v>7766</v>
      </c>
      <c r="N38" s="13">
        <v>3569</v>
      </c>
      <c r="O38" s="13">
        <v>2231</v>
      </c>
      <c r="P38" s="13">
        <v>6088</v>
      </c>
      <c r="Q38" s="13">
        <v>1939</v>
      </c>
      <c r="R38" s="13">
        <v>0</v>
      </c>
      <c r="S38" s="13">
        <v>130</v>
      </c>
      <c r="T38" s="13">
        <v>0</v>
      </c>
      <c r="U38" s="13">
        <v>184</v>
      </c>
      <c r="V38" s="13">
        <v>0</v>
      </c>
      <c r="W38" s="13">
        <v>1029</v>
      </c>
      <c r="X38" s="13">
        <v>0</v>
      </c>
      <c r="Y38" s="13">
        <v>0</v>
      </c>
      <c r="Z38" s="13">
        <v>0</v>
      </c>
      <c r="AA38" s="13">
        <v>326</v>
      </c>
      <c r="AB38" s="13">
        <v>0</v>
      </c>
      <c r="AC38" s="13">
        <v>0</v>
      </c>
      <c r="AD38" s="13">
        <v>0</v>
      </c>
      <c r="AE38" s="13">
        <v>259</v>
      </c>
      <c r="AF38" s="13">
        <v>69</v>
      </c>
      <c r="AG38" s="13">
        <v>125</v>
      </c>
      <c r="AH38" s="13">
        <v>0</v>
      </c>
      <c r="AI38" s="13">
        <v>0</v>
      </c>
    </row>
    <row r="39" spans="1:35" x14ac:dyDescent="0.2">
      <c r="A39" s="12" t="s">
        <v>1403</v>
      </c>
      <c r="B39" s="13">
        <v>55412</v>
      </c>
      <c r="C39" s="13">
        <v>219147</v>
      </c>
      <c r="D39" s="13">
        <v>78150</v>
      </c>
      <c r="E39" s="13">
        <v>61932</v>
      </c>
      <c r="F39" s="13">
        <v>35613</v>
      </c>
      <c r="G39" s="13">
        <v>129001</v>
      </c>
      <c r="H39" s="13">
        <v>20296</v>
      </c>
      <c r="I39" s="13">
        <v>136038</v>
      </c>
      <c r="J39" s="13">
        <v>6398</v>
      </c>
      <c r="K39" s="13">
        <v>27528</v>
      </c>
      <c r="L39" s="13">
        <v>361043</v>
      </c>
      <c r="M39" s="13">
        <v>842851</v>
      </c>
      <c r="N39" s="13">
        <v>430575</v>
      </c>
      <c r="O39" s="13">
        <v>50951</v>
      </c>
      <c r="P39" s="13">
        <v>441910</v>
      </c>
      <c r="Q39" s="13">
        <v>222358</v>
      </c>
      <c r="R39" s="13">
        <v>57838</v>
      </c>
      <c r="S39" s="13">
        <v>55162</v>
      </c>
      <c r="T39" s="13">
        <v>108057</v>
      </c>
      <c r="U39" s="13">
        <v>43707</v>
      </c>
      <c r="V39" s="13">
        <v>22829</v>
      </c>
      <c r="W39" s="13">
        <v>50837</v>
      </c>
      <c r="X39" s="13">
        <v>68003</v>
      </c>
      <c r="Y39" s="13">
        <v>4253</v>
      </c>
      <c r="Z39" s="13">
        <v>70433</v>
      </c>
      <c r="AA39" s="13">
        <v>26301</v>
      </c>
      <c r="AB39" s="13">
        <v>140283</v>
      </c>
      <c r="AC39" s="13">
        <v>34582</v>
      </c>
      <c r="AD39" s="13">
        <v>33236</v>
      </c>
      <c r="AE39" s="13">
        <v>14203</v>
      </c>
      <c r="AF39" s="13">
        <v>45781</v>
      </c>
      <c r="AG39" s="13">
        <v>22490</v>
      </c>
      <c r="AH39" s="13">
        <v>8687</v>
      </c>
      <c r="AI39" s="13">
        <v>26728</v>
      </c>
    </row>
    <row r="40" spans="1:35" x14ac:dyDescent="0.2">
      <c r="A40" s="12" t="s">
        <v>1404</v>
      </c>
      <c r="B40" s="13">
        <v>346</v>
      </c>
      <c r="C40" s="13">
        <v>2994</v>
      </c>
      <c r="D40" s="13">
        <v>304</v>
      </c>
      <c r="E40" s="13">
        <v>1544</v>
      </c>
      <c r="F40" s="13">
        <v>560</v>
      </c>
      <c r="G40" s="13">
        <v>774</v>
      </c>
      <c r="H40" s="13">
        <v>278</v>
      </c>
      <c r="I40" s="13">
        <v>0</v>
      </c>
      <c r="J40" s="13">
        <v>594</v>
      </c>
      <c r="K40" s="13">
        <v>5856</v>
      </c>
      <c r="L40" s="13">
        <v>10656</v>
      </c>
      <c r="M40" s="13">
        <v>12795</v>
      </c>
      <c r="N40" s="13">
        <v>7379</v>
      </c>
      <c r="O40" s="13">
        <v>494</v>
      </c>
      <c r="P40" s="13">
        <v>11220</v>
      </c>
      <c r="Q40" s="13">
        <v>4300</v>
      </c>
      <c r="R40" s="13">
        <v>79</v>
      </c>
      <c r="S40" s="13">
        <v>1532</v>
      </c>
      <c r="T40" s="13">
        <v>1776</v>
      </c>
      <c r="U40" s="13">
        <v>2714</v>
      </c>
      <c r="V40" s="13">
        <v>400</v>
      </c>
      <c r="W40" s="13">
        <v>6634</v>
      </c>
      <c r="X40" s="13">
        <v>4754</v>
      </c>
      <c r="Y40" s="13">
        <v>1010</v>
      </c>
      <c r="Z40" s="13">
        <v>2476</v>
      </c>
      <c r="AA40" s="13">
        <v>2539</v>
      </c>
      <c r="AB40" s="13">
        <v>19470</v>
      </c>
      <c r="AC40" s="13">
        <v>1311</v>
      </c>
      <c r="AD40" s="13">
        <v>392</v>
      </c>
      <c r="AE40" s="13">
        <v>685</v>
      </c>
      <c r="AF40" s="13">
        <v>1194</v>
      </c>
      <c r="AG40" s="13">
        <v>293</v>
      </c>
      <c r="AH40" s="13">
        <v>0</v>
      </c>
      <c r="AI40" s="13">
        <v>741</v>
      </c>
    </row>
    <row r="41" spans="1:35" x14ac:dyDescent="0.2">
      <c r="A41" s="12" t="s">
        <v>1405</v>
      </c>
      <c r="B41" s="13">
        <v>339</v>
      </c>
      <c r="C41" s="13">
        <v>3783</v>
      </c>
      <c r="D41" s="13">
        <v>375</v>
      </c>
      <c r="E41" s="13">
        <v>6448</v>
      </c>
      <c r="F41" s="13">
        <v>2554</v>
      </c>
      <c r="G41" s="13">
        <v>4479</v>
      </c>
      <c r="H41" s="13">
        <v>142</v>
      </c>
      <c r="I41" s="13">
        <v>3549</v>
      </c>
      <c r="J41" s="13">
        <v>314</v>
      </c>
      <c r="K41" s="13">
        <v>5242</v>
      </c>
      <c r="L41" s="13">
        <v>4161</v>
      </c>
      <c r="M41" s="13">
        <v>8716</v>
      </c>
      <c r="N41" s="13">
        <v>6938</v>
      </c>
      <c r="O41" s="13">
        <v>372</v>
      </c>
      <c r="P41" s="13">
        <v>11060</v>
      </c>
      <c r="Q41" s="13">
        <v>2083</v>
      </c>
      <c r="R41" s="13">
        <v>23617</v>
      </c>
      <c r="S41" s="13">
        <v>1043</v>
      </c>
      <c r="T41" s="13">
        <v>1641</v>
      </c>
      <c r="U41" s="13">
        <v>5447</v>
      </c>
      <c r="V41" s="13">
        <v>3129</v>
      </c>
      <c r="W41" s="13">
        <v>2830</v>
      </c>
      <c r="X41" s="13">
        <v>6681</v>
      </c>
      <c r="Y41" s="13">
        <v>2505</v>
      </c>
      <c r="Z41" s="13">
        <v>1743</v>
      </c>
      <c r="AA41" s="13">
        <v>498</v>
      </c>
      <c r="AB41" s="13">
        <v>6016</v>
      </c>
      <c r="AC41" s="13">
        <v>1261</v>
      </c>
      <c r="AD41" s="13">
        <v>178</v>
      </c>
      <c r="AE41" s="13">
        <v>40</v>
      </c>
      <c r="AF41" s="13">
        <v>2476</v>
      </c>
      <c r="AG41" s="13">
        <v>2177</v>
      </c>
      <c r="AH41" s="13">
        <v>556</v>
      </c>
      <c r="AI41" s="13">
        <v>674</v>
      </c>
    </row>
    <row r="42" spans="1:35" x14ac:dyDescent="0.2">
      <c r="A42" s="12" t="s">
        <v>1406</v>
      </c>
      <c r="B42" s="13">
        <v>0</v>
      </c>
      <c r="C42" s="13">
        <v>0</v>
      </c>
      <c r="D42" s="13">
        <v>727</v>
      </c>
      <c r="E42" s="13">
        <v>542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471</v>
      </c>
      <c r="L42" s="13">
        <v>3306</v>
      </c>
      <c r="M42" s="13">
        <v>4425</v>
      </c>
      <c r="N42" s="13">
        <v>561</v>
      </c>
      <c r="O42" s="13">
        <v>270</v>
      </c>
      <c r="P42" s="13">
        <v>3876</v>
      </c>
      <c r="Q42" s="13">
        <v>10959</v>
      </c>
      <c r="R42" s="13">
        <v>1831</v>
      </c>
      <c r="S42" s="13">
        <v>1072</v>
      </c>
      <c r="T42" s="13">
        <v>137</v>
      </c>
      <c r="U42" s="13">
        <v>971</v>
      </c>
      <c r="V42" s="13">
        <v>78</v>
      </c>
      <c r="W42" s="13">
        <v>811</v>
      </c>
      <c r="X42" s="13">
        <v>0</v>
      </c>
      <c r="Y42" s="13">
        <v>247</v>
      </c>
      <c r="Z42" s="13">
        <v>221</v>
      </c>
      <c r="AA42" s="13">
        <v>0</v>
      </c>
      <c r="AB42" s="13">
        <v>334</v>
      </c>
      <c r="AC42" s="13">
        <v>150</v>
      </c>
      <c r="AD42" s="13">
        <v>0</v>
      </c>
      <c r="AE42" s="13">
        <v>0</v>
      </c>
      <c r="AF42" s="13">
        <v>0</v>
      </c>
      <c r="AG42" s="13">
        <v>237</v>
      </c>
      <c r="AH42" s="13">
        <v>0</v>
      </c>
      <c r="AI42" s="13">
        <v>468</v>
      </c>
    </row>
    <row r="43" spans="1:35" x14ac:dyDescent="0.2">
      <c r="A43" s="12" t="s">
        <v>1407</v>
      </c>
      <c r="B43" s="13">
        <v>23671</v>
      </c>
      <c r="C43" s="13">
        <v>108845</v>
      </c>
      <c r="D43" s="13">
        <v>20248</v>
      </c>
      <c r="E43" s="13">
        <v>38019</v>
      </c>
      <c r="F43" s="13">
        <v>15917</v>
      </c>
      <c r="G43" s="13">
        <v>39059</v>
      </c>
      <c r="H43" s="13">
        <v>10462</v>
      </c>
      <c r="I43" s="13">
        <v>56273</v>
      </c>
      <c r="J43" s="13">
        <v>6817</v>
      </c>
      <c r="K43" s="13">
        <v>31122</v>
      </c>
      <c r="L43" s="13">
        <v>228301</v>
      </c>
      <c r="M43" s="13">
        <v>377757</v>
      </c>
      <c r="N43" s="13">
        <v>203100</v>
      </c>
      <c r="O43" s="13">
        <v>31763</v>
      </c>
      <c r="P43" s="13">
        <v>283994</v>
      </c>
      <c r="Q43" s="13">
        <v>136815</v>
      </c>
      <c r="R43" s="13">
        <v>25364</v>
      </c>
      <c r="S43" s="13">
        <v>26345</v>
      </c>
      <c r="T43" s="13">
        <v>16661</v>
      </c>
      <c r="U43" s="13">
        <v>29860</v>
      </c>
      <c r="V43" s="13">
        <v>10410</v>
      </c>
      <c r="W43" s="13">
        <v>24343</v>
      </c>
      <c r="X43" s="13">
        <v>46598</v>
      </c>
      <c r="Y43" s="13">
        <v>6247</v>
      </c>
      <c r="Z43" s="13">
        <v>19747</v>
      </c>
      <c r="AA43" s="13">
        <v>13270</v>
      </c>
      <c r="AB43" s="13">
        <v>54753</v>
      </c>
      <c r="AC43" s="13">
        <v>13237</v>
      </c>
      <c r="AD43" s="13">
        <v>3990</v>
      </c>
      <c r="AE43" s="13">
        <v>3419</v>
      </c>
      <c r="AF43" s="13">
        <v>7946</v>
      </c>
      <c r="AG43" s="13">
        <v>5484</v>
      </c>
      <c r="AH43" s="13">
        <v>2762</v>
      </c>
      <c r="AI43" s="13">
        <v>5947</v>
      </c>
    </row>
    <row r="44" spans="1:35" x14ac:dyDescent="0.2">
      <c r="A44" s="12" t="s">
        <v>1408</v>
      </c>
      <c r="B44" s="13">
        <v>5320</v>
      </c>
      <c r="C44" s="13">
        <v>20940</v>
      </c>
      <c r="D44" s="13">
        <v>13898</v>
      </c>
      <c r="E44" s="13">
        <v>7276</v>
      </c>
      <c r="F44" s="13">
        <v>5392</v>
      </c>
      <c r="G44" s="13">
        <v>16728</v>
      </c>
      <c r="H44" s="13">
        <v>1612</v>
      </c>
      <c r="I44" s="13">
        <v>6173</v>
      </c>
      <c r="J44" s="13">
        <v>4242</v>
      </c>
      <c r="K44" s="13">
        <v>19848</v>
      </c>
      <c r="L44" s="13">
        <v>62237</v>
      </c>
      <c r="M44" s="13">
        <v>140359</v>
      </c>
      <c r="N44" s="13">
        <v>73438</v>
      </c>
      <c r="O44" s="13">
        <v>25721</v>
      </c>
      <c r="P44" s="13">
        <v>93158</v>
      </c>
      <c r="Q44" s="13">
        <v>48518</v>
      </c>
      <c r="R44" s="13">
        <v>166267</v>
      </c>
      <c r="S44" s="13">
        <v>29161</v>
      </c>
      <c r="T44" s="13">
        <v>13286</v>
      </c>
      <c r="U44" s="13">
        <v>13076</v>
      </c>
      <c r="V44" s="13">
        <v>3467</v>
      </c>
      <c r="W44" s="13">
        <v>9674</v>
      </c>
      <c r="X44" s="13">
        <v>7098</v>
      </c>
      <c r="Y44" s="13">
        <v>1331</v>
      </c>
      <c r="Z44" s="13">
        <v>10678</v>
      </c>
      <c r="AA44" s="13">
        <v>6421</v>
      </c>
      <c r="AB44" s="13">
        <v>20014</v>
      </c>
      <c r="AC44" s="13">
        <v>5247</v>
      </c>
      <c r="AD44" s="13">
        <v>2021</v>
      </c>
      <c r="AE44" s="13">
        <v>1819</v>
      </c>
      <c r="AF44" s="13">
        <v>3757</v>
      </c>
      <c r="AG44" s="13">
        <v>2669</v>
      </c>
      <c r="AH44" s="13">
        <v>1153</v>
      </c>
      <c r="AI44" s="13">
        <v>2265</v>
      </c>
    </row>
    <row r="45" spans="1:35" x14ac:dyDescent="0.2">
      <c r="A45" s="12" t="s">
        <v>1409</v>
      </c>
      <c r="B45" s="13">
        <v>136325</v>
      </c>
      <c r="C45" s="13">
        <v>623857</v>
      </c>
      <c r="D45" s="13">
        <v>230376</v>
      </c>
      <c r="E45" s="13">
        <v>220173</v>
      </c>
      <c r="F45" s="13">
        <v>98047</v>
      </c>
      <c r="G45" s="13">
        <v>210744</v>
      </c>
      <c r="H45" s="13">
        <v>49049</v>
      </c>
      <c r="I45" s="13">
        <v>248125</v>
      </c>
      <c r="J45" s="13">
        <v>48405</v>
      </c>
      <c r="K45" s="13">
        <v>93664</v>
      </c>
      <c r="L45" s="13">
        <v>586892</v>
      </c>
      <c r="M45" s="13">
        <v>2252038</v>
      </c>
      <c r="N45" s="13">
        <v>1642667</v>
      </c>
      <c r="O45" s="13">
        <v>201974</v>
      </c>
      <c r="P45" s="13">
        <v>1767174</v>
      </c>
      <c r="Q45" s="13">
        <v>436697</v>
      </c>
      <c r="R45" s="13">
        <v>215243</v>
      </c>
      <c r="S45" s="13">
        <v>148414</v>
      </c>
      <c r="T45" s="13">
        <v>31022</v>
      </c>
      <c r="U45" s="13">
        <v>167484</v>
      </c>
      <c r="V45" s="13">
        <v>77065</v>
      </c>
      <c r="W45" s="13">
        <v>172524</v>
      </c>
      <c r="X45" s="13">
        <v>156369</v>
      </c>
      <c r="Y45" s="13">
        <v>24628</v>
      </c>
      <c r="Z45" s="13">
        <v>67882</v>
      </c>
      <c r="AA45" s="13">
        <v>75986</v>
      </c>
      <c r="AB45" s="13">
        <v>215253</v>
      </c>
      <c r="AC45" s="13">
        <v>51429</v>
      </c>
      <c r="AD45" s="13">
        <v>38769</v>
      </c>
      <c r="AE45" s="13">
        <v>25084</v>
      </c>
      <c r="AF45" s="13">
        <v>36355</v>
      </c>
      <c r="AG45" s="13">
        <v>19757</v>
      </c>
      <c r="AH45" s="13">
        <v>4419</v>
      </c>
      <c r="AI45" s="13">
        <v>19516</v>
      </c>
    </row>
    <row r="46" spans="1:35" x14ac:dyDescent="0.2">
      <c r="A46" s="12" t="s">
        <v>1410</v>
      </c>
      <c r="B46" s="13">
        <v>6007</v>
      </c>
      <c r="C46" s="13">
        <v>24921</v>
      </c>
      <c r="D46" s="13">
        <v>8397</v>
      </c>
      <c r="E46" s="13">
        <v>6183</v>
      </c>
      <c r="F46" s="13">
        <v>3814</v>
      </c>
      <c r="G46" s="13">
        <v>14454</v>
      </c>
      <c r="H46" s="13">
        <v>4673</v>
      </c>
      <c r="I46" s="13">
        <v>16233</v>
      </c>
      <c r="J46" s="13">
        <v>3121</v>
      </c>
      <c r="K46" s="13">
        <v>6823</v>
      </c>
      <c r="L46" s="13">
        <v>95804</v>
      </c>
      <c r="M46" s="13">
        <v>197789</v>
      </c>
      <c r="N46" s="13">
        <v>109347</v>
      </c>
      <c r="O46" s="13">
        <v>18903</v>
      </c>
      <c r="P46" s="13">
        <v>103847</v>
      </c>
      <c r="Q46" s="13">
        <v>42923</v>
      </c>
      <c r="R46" s="13">
        <v>12540</v>
      </c>
      <c r="S46" s="13">
        <v>9439</v>
      </c>
      <c r="T46" s="13">
        <v>5766</v>
      </c>
      <c r="U46" s="13">
        <v>8707</v>
      </c>
      <c r="V46" s="13">
        <v>5386</v>
      </c>
      <c r="W46" s="13">
        <v>8603</v>
      </c>
      <c r="X46" s="13">
        <v>10040</v>
      </c>
      <c r="Y46" s="13">
        <v>1082</v>
      </c>
      <c r="Z46" s="13">
        <v>4582</v>
      </c>
      <c r="AA46" s="13">
        <v>3395</v>
      </c>
      <c r="AB46" s="13">
        <v>16434</v>
      </c>
      <c r="AC46" s="13">
        <v>2405</v>
      </c>
      <c r="AD46" s="13">
        <v>2277</v>
      </c>
      <c r="AE46" s="13">
        <v>2832</v>
      </c>
      <c r="AF46" s="13">
        <v>2412</v>
      </c>
      <c r="AG46" s="13">
        <v>806</v>
      </c>
      <c r="AH46" s="13">
        <v>1058</v>
      </c>
      <c r="AI46" s="13">
        <v>3676</v>
      </c>
    </row>
    <row r="47" spans="1:35" x14ac:dyDescent="0.2">
      <c r="A47" s="12" t="s">
        <v>1411</v>
      </c>
      <c r="B47" s="13">
        <v>6630</v>
      </c>
      <c r="C47" s="13">
        <v>38680</v>
      </c>
      <c r="D47" s="13">
        <v>17710</v>
      </c>
      <c r="E47" s="13">
        <v>14757</v>
      </c>
      <c r="F47" s="13">
        <v>9090</v>
      </c>
      <c r="G47" s="13">
        <v>14455</v>
      </c>
      <c r="H47" s="13">
        <v>6000</v>
      </c>
      <c r="I47" s="13">
        <v>20765</v>
      </c>
      <c r="J47" s="13">
        <v>5623</v>
      </c>
      <c r="K47" s="13">
        <v>8688</v>
      </c>
      <c r="L47" s="13">
        <v>95117</v>
      </c>
      <c r="M47" s="13">
        <v>221450</v>
      </c>
      <c r="N47" s="13">
        <v>196266</v>
      </c>
      <c r="O47" s="13">
        <v>19163</v>
      </c>
      <c r="P47" s="13">
        <v>174200</v>
      </c>
      <c r="Q47" s="13">
        <v>67973</v>
      </c>
      <c r="R47" s="13">
        <v>61457</v>
      </c>
      <c r="S47" s="13">
        <v>22908</v>
      </c>
      <c r="T47" s="13">
        <v>20364</v>
      </c>
      <c r="U47" s="13">
        <v>21351</v>
      </c>
      <c r="V47" s="13">
        <v>6313</v>
      </c>
      <c r="W47" s="13">
        <v>7218</v>
      </c>
      <c r="X47" s="13">
        <v>13529</v>
      </c>
      <c r="Y47" s="13">
        <v>855</v>
      </c>
      <c r="Z47" s="13">
        <v>10796</v>
      </c>
      <c r="AA47" s="13">
        <v>7296</v>
      </c>
      <c r="AB47" s="13">
        <v>30553</v>
      </c>
      <c r="AC47" s="13">
        <v>9006</v>
      </c>
      <c r="AD47" s="13">
        <v>4492</v>
      </c>
      <c r="AE47" s="13">
        <v>3272</v>
      </c>
      <c r="AF47" s="13">
        <v>6232</v>
      </c>
      <c r="AG47" s="13">
        <v>2644</v>
      </c>
      <c r="AH47" s="13">
        <v>791</v>
      </c>
      <c r="AI47" s="13">
        <v>6389</v>
      </c>
    </row>
    <row r="48" spans="1:35" x14ac:dyDescent="0.2">
      <c r="A48" s="12" t="s">
        <v>1412</v>
      </c>
      <c r="B48" s="13">
        <v>239</v>
      </c>
      <c r="C48" s="13">
        <v>8313</v>
      </c>
      <c r="D48" s="13">
        <v>457</v>
      </c>
      <c r="E48" s="13">
        <v>610</v>
      </c>
      <c r="F48" s="13">
        <v>1000</v>
      </c>
      <c r="G48" s="13">
        <v>2146</v>
      </c>
      <c r="H48" s="13">
        <v>47</v>
      </c>
      <c r="I48" s="13">
        <v>2723</v>
      </c>
      <c r="J48" s="13">
        <v>310</v>
      </c>
      <c r="K48" s="13">
        <v>1152</v>
      </c>
      <c r="L48" s="13">
        <v>25171</v>
      </c>
      <c r="M48" s="13">
        <v>31542</v>
      </c>
      <c r="N48" s="13">
        <v>7195</v>
      </c>
      <c r="O48" s="13">
        <v>2945</v>
      </c>
      <c r="P48" s="13">
        <v>5999</v>
      </c>
      <c r="Q48" s="13">
        <v>5962</v>
      </c>
      <c r="R48" s="13">
        <v>1542</v>
      </c>
      <c r="S48" s="13">
        <v>863</v>
      </c>
      <c r="T48" s="13">
        <v>1103</v>
      </c>
      <c r="U48" s="13">
        <v>852</v>
      </c>
      <c r="V48" s="13">
        <v>0</v>
      </c>
      <c r="W48" s="13">
        <v>473</v>
      </c>
      <c r="X48" s="13">
        <v>210</v>
      </c>
      <c r="Y48" s="13">
        <v>0</v>
      </c>
      <c r="Z48" s="13">
        <v>660</v>
      </c>
      <c r="AA48" s="13">
        <v>219</v>
      </c>
      <c r="AB48" s="13">
        <v>1268</v>
      </c>
      <c r="AC48" s="13">
        <v>841</v>
      </c>
      <c r="AD48" s="13">
        <v>114</v>
      </c>
      <c r="AE48" s="13">
        <v>0</v>
      </c>
      <c r="AF48" s="13">
        <v>156</v>
      </c>
      <c r="AG48" s="13">
        <v>249</v>
      </c>
      <c r="AH48" s="13">
        <v>0</v>
      </c>
      <c r="AI48" s="13">
        <v>0</v>
      </c>
    </row>
    <row r="49" spans="1:35" x14ac:dyDescent="0.2">
      <c r="A49" s="12" t="s">
        <v>1413</v>
      </c>
      <c r="B49" s="13">
        <v>0</v>
      </c>
      <c r="C49" s="13">
        <v>0</v>
      </c>
      <c r="D49" s="13">
        <v>0</v>
      </c>
      <c r="E49" s="13">
        <v>491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1650</v>
      </c>
      <c r="N49" s="13">
        <v>1261</v>
      </c>
      <c r="O49" s="13">
        <v>0</v>
      </c>
      <c r="P49" s="13">
        <v>533</v>
      </c>
      <c r="Q49" s="13">
        <v>490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118</v>
      </c>
      <c r="AH49" s="13">
        <v>0</v>
      </c>
      <c r="AI49" s="13">
        <v>0</v>
      </c>
    </row>
    <row r="50" spans="1:35" x14ac:dyDescent="0.2">
      <c r="A50" s="12" t="s">
        <v>1414</v>
      </c>
      <c r="B50" s="13">
        <v>5060</v>
      </c>
      <c r="C50" s="13">
        <v>18827</v>
      </c>
      <c r="D50" s="13">
        <v>3399</v>
      </c>
      <c r="E50" s="13">
        <v>8780</v>
      </c>
      <c r="F50" s="13">
        <v>7105</v>
      </c>
      <c r="G50" s="13">
        <v>10996</v>
      </c>
      <c r="H50" s="13">
        <v>1316</v>
      </c>
      <c r="I50" s="13">
        <v>14804</v>
      </c>
      <c r="J50" s="13">
        <v>1660</v>
      </c>
      <c r="K50" s="13">
        <v>3283</v>
      </c>
      <c r="L50" s="13">
        <v>46153</v>
      </c>
      <c r="M50" s="13">
        <v>73843</v>
      </c>
      <c r="N50" s="13">
        <v>41384</v>
      </c>
      <c r="O50" s="13">
        <v>6103</v>
      </c>
      <c r="P50" s="13">
        <v>48136</v>
      </c>
      <c r="Q50" s="13">
        <v>24037</v>
      </c>
      <c r="R50" s="13">
        <v>10324</v>
      </c>
      <c r="S50" s="13">
        <v>11182</v>
      </c>
      <c r="T50" s="13">
        <v>5091</v>
      </c>
      <c r="U50" s="13">
        <v>7293</v>
      </c>
      <c r="V50" s="13">
        <v>5155</v>
      </c>
      <c r="W50" s="13">
        <v>4543</v>
      </c>
      <c r="X50" s="13">
        <v>7865</v>
      </c>
      <c r="Y50" s="13">
        <v>684</v>
      </c>
      <c r="Z50" s="13">
        <v>5731</v>
      </c>
      <c r="AA50" s="13">
        <v>4322</v>
      </c>
      <c r="AB50" s="13">
        <v>18529</v>
      </c>
      <c r="AC50" s="13">
        <v>4421</v>
      </c>
      <c r="AD50" s="13">
        <v>3540</v>
      </c>
      <c r="AE50" s="13">
        <v>1614</v>
      </c>
      <c r="AF50" s="13">
        <v>1980</v>
      </c>
      <c r="AG50" s="13">
        <v>421</v>
      </c>
      <c r="AH50" s="13">
        <v>357</v>
      </c>
      <c r="AI50" s="13">
        <v>1367</v>
      </c>
    </row>
    <row r="51" spans="1:35" x14ac:dyDescent="0.2">
      <c r="A51" s="12" t="s">
        <v>1415</v>
      </c>
      <c r="B51" s="13">
        <v>2116</v>
      </c>
      <c r="C51" s="13">
        <v>9637</v>
      </c>
      <c r="D51" s="13">
        <v>3537</v>
      </c>
      <c r="E51" s="13">
        <v>10301</v>
      </c>
      <c r="F51" s="13">
        <v>3122</v>
      </c>
      <c r="G51" s="13">
        <v>8646</v>
      </c>
      <c r="H51" s="13">
        <v>2499</v>
      </c>
      <c r="I51" s="13">
        <v>5457</v>
      </c>
      <c r="J51" s="13">
        <v>1335</v>
      </c>
      <c r="K51" s="13">
        <v>5145</v>
      </c>
      <c r="L51" s="13">
        <v>142610</v>
      </c>
      <c r="M51" s="13">
        <v>156267</v>
      </c>
      <c r="N51" s="13">
        <v>28606</v>
      </c>
      <c r="O51" s="13">
        <v>5923</v>
      </c>
      <c r="P51" s="13">
        <v>45454</v>
      </c>
      <c r="Q51" s="13">
        <v>68736</v>
      </c>
      <c r="R51" s="13">
        <v>5056</v>
      </c>
      <c r="S51" s="13">
        <v>2944</v>
      </c>
      <c r="T51" s="13">
        <v>1300</v>
      </c>
      <c r="U51" s="13">
        <v>4153</v>
      </c>
      <c r="V51" s="13">
        <v>2825</v>
      </c>
      <c r="W51" s="13">
        <v>4146</v>
      </c>
      <c r="X51" s="13">
        <v>12898</v>
      </c>
      <c r="Y51" s="13">
        <v>1761</v>
      </c>
      <c r="Z51" s="13">
        <v>4274</v>
      </c>
      <c r="AA51" s="13">
        <v>1274</v>
      </c>
      <c r="AB51" s="13">
        <v>9080</v>
      </c>
      <c r="AC51" s="13">
        <v>1985</v>
      </c>
      <c r="AD51" s="13">
        <v>67</v>
      </c>
      <c r="AE51" s="13">
        <v>713</v>
      </c>
      <c r="AF51" s="13">
        <v>944</v>
      </c>
      <c r="AG51" s="13">
        <v>195</v>
      </c>
      <c r="AH51" s="13">
        <v>122</v>
      </c>
      <c r="AI51" s="13">
        <v>301</v>
      </c>
    </row>
    <row r="52" spans="1:35" x14ac:dyDescent="0.2">
      <c r="A52" s="12" t="s">
        <v>1416</v>
      </c>
      <c r="B52" s="13">
        <v>46136</v>
      </c>
      <c r="C52" s="13">
        <v>142656</v>
      </c>
      <c r="D52" s="13">
        <v>57468</v>
      </c>
      <c r="E52" s="13">
        <v>70473</v>
      </c>
      <c r="F52" s="13">
        <v>27720</v>
      </c>
      <c r="G52" s="13">
        <v>58521</v>
      </c>
      <c r="H52" s="13">
        <v>19732</v>
      </c>
      <c r="I52" s="13">
        <v>54992</v>
      </c>
      <c r="J52" s="13">
        <v>13985</v>
      </c>
      <c r="K52" s="13">
        <v>33266</v>
      </c>
      <c r="L52" s="13">
        <v>237611</v>
      </c>
      <c r="M52" s="13">
        <v>544928</v>
      </c>
      <c r="N52" s="13">
        <v>269112</v>
      </c>
      <c r="O52" s="13">
        <v>62545</v>
      </c>
      <c r="P52" s="13">
        <v>380988</v>
      </c>
      <c r="Q52" s="13">
        <v>164269</v>
      </c>
      <c r="R52" s="13">
        <v>53080</v>
      </c>
      <c r="S52" s="13">
        <v>46792</v>
      </c>
      <c r="T52" s="13">
        <v>34608</v>
      </c>
      <c r="U52" s="13">
        <v>36515</v>
      </c>
      <c r="V52" s="13">
        <v>28293</v>
      </c>
      <c r="W52" s="13">
        <v>44771</v>
      </c>
      <c r="X52" s="13">
        <v>73759</v>
      </c>
      <c r="Y52" s="13">
        <v>8063</v>
      </c>
      <c r="Z52" s="13">
        <v>25254</v>
      </c>
      <c r="AA52" s="13">
        <v>26819</v>
      </c>
      <c r="AB52" s="13">
        <v>92546</v>
      </c>
      <c r="AC52" s="13">
        <v>25017</v>
      </c>
      <c r="AD52" s="13">
        <v>12795</v>
      </c>
      <c r="AE52" s="13">
        <v>8516</v>
      </c>
      <c r="AF52" s="13">
        <v>19069</v>
      </c>
      <c r="AG52" s="13">
        <v>11826</v>
      </c>
      <c r="AH52" s="13">
        <v>6753</v>
      </c>
      <c r="AI52" s="13">
        <v>10572</v>
      </c>
    </row>
    <row r="53" spans="1:35" x14ac:dyDescent="0.2">
      <c r="A53" s="12" t="s">
        <v>1417</v>
      </c>
      <c r="B53" s="13">
        <v>144302</v>
      </c>
      <c r="C53" s="13">
        <v>235491</v>
      </c>
      <c r="D53" s="13">
        <v>117118</v>
      </c>
      <c r="E53" s="13">
        <v>125302</v>
      </c>
      <c r="F53" s="13">
        <v>87059</v>
      </c>
      <c r="G53" s="13">
        <v>137201</v>
      </c>
      <c r="H53" s="13">
        <v>65046</v>
      </c>
      <c r="I53" s="13">
        <v>135591</v>
      </c>
      <c r="J53" s="13">
        <v>42723</v>
      </c>
      <c r="K53" s="13">
        <v>53544</v>
      </c>
      <c r="L53" s="13">
        <v>234392</v>
      </c>
      <c r="M53" s="13">
        <v>504490</v>
      </c>
      <c r="N53" s="13">
        <v>366047</v>
      </c>
      <c r="O53" s="13">
        <v>67403</v>
      </c>
      <c r="P53" s="13">
        <v>421966</v>
      </c>
      <c r="Q53" s="13">
        <v>113269</v>
      </c>
      <c r="R53" s="13">
        <v>105231</v>
      </c>
      <c r="S53" s="13">
        <v>104300</v>
      </c>
      <c r="T53" s="13">
        <v>146561</v>
      </c>
      <c r="U53" s="13">
        <v>105247</v>
      </c>
      <c r="V53" s="13">
        <v>81958</v>
      </c>
      <c r="W53" s="13">
        <v>101652</v>
      </c>
      <c r="X53" s="13">
        <v>108978</v>
      </c>
      <c r="Y53" s="13">
        <v>30798</v>
      </c>
      <c r="Z53" s="13">
        <v>96987</v>
      </c>
      <c r="AA53" s="13">
        <v>103718</v>
      </c>
      <c r="AB53" s="13">
        <v>217546</v>
      </c>
      <c r="AC53" s="13">
        <v>102615</v>
      </c>
      <c r="AD53" s="13">
        <v>42961</v>
      </c>
      <c r="AE53" s="13">
        <v>37898</v>
      </c>
      <c r="AF53" s="13">
        <v>64164</v>
      </c>
      <c r="AG53" s="13">
        <v>55576</v>
      </c>
      <c r="AH53" s="13">
        <v>37555</v>
      </c>
      <c r="AI53" s="13">
        <v>62068</v>
      </c>
    </row>
    <row r="54" spans="1:35" x14ac:dyDescent="0.2">
      <c r="A54" s="12" t="s">
        <v>1418</v>
      </c>
      <c r="B54" s="13">
        <v>178845</v>
      </c>
      <c r="C54" s="13">
        <v>385549</v>
      </c>
      <c r="D54" s="13">
        <v>203869</v>
      </c>
      <c r="E54" s="13">
        <v>190374</v>
      </c>
      <c r="F54" s="13">
        <v>92464</v>
      </c>
      <c r="G54" s="13">
        <v>212572</v>
      </c>
      <c r="H54" s="13">
        <v>67632</v>
      </c>
      <c r="I54" s="13">
        <v>206299</v>
      </c>
      <c r="J54" s="13">
        <v>35322</v>
      </c>
      <c r="K54" s="13">
        <v>69753</v>
      </c>
      <c r="L54" s="13">
        <v>266855</v>
      </c>
      <c r="M54" s="13">
        <v>1127519</v>
      </c>
      <c r="N54" s="13">
        <v>787115</v>
      </c>
      <c r="O54" s="13">
        <v>131777</v>
      </c>
      <c r="P54" s="13">
        <v>1130792</v>
      </c>
      <c r="Q54" s="13">
        <v>305649</v>
      </c>
      <c r="R54" s="13">
        <v>115856</v>
      </c>
      <c r="S54" s="13">
        <v>177010</v>
      </c>
      <c r="T54" s="13">
        <v>202791</v>
      </c>
      <c r="U54" s="13">
        <v>133733</v>
      </c>
      <c r="V54" s="13">
        <v>78098</v>
      </c>
      <c r="W54" s="13">
        <v>130697</v>
      </c>
      <c r="X54" s="13">
        <v>118148</v>
      </c>
      <c r="Y54" s="13">
        <v>21477</v>
      </c>
      <c r="Z54" s="13">
        <v>70328</v>
      </c>
      <c r="AA54" s="13">
        <v>83794</v>
      </c>
      <c r="AB54" s="13">
        <v>277546</v>
      </c>
      <c r="AC54" s="13">
        <v>85253</v>
      </c>
      <c r="AD54" s="13">
        <v>33655</v>
      </c>
      <c r="AE54" s="13">
        <v>48319</v>
      </c>
      <c r="AF54" s="13">
        <v>67871</v>
      </c>
      <c r="AG54" s="13">
        <v>42161</v>
      </c>
      <c r="AH54" s="13">
        <v>13891</v>
      </c>
      <c r="AI54" s="13">
        <v>21294</v>
      </c>
    </row>
    <row r="55" spans="1:35" x14ac:dyDescent="0.2">
      <c r="A55" s="12" t="s">
        <v>1419</v>
      </c>
      <c r="B55" s="13">
        <v>63526</v>
      </c>
      <c r="C55" s="13">
        <v>131491</v>
      </c>
      <c r="D55" s="13">
        <v>57410</v>
      </c>
      <c r="E55" s="13">
        <v>52364</v>
      </c>
      <c r="F55" s="13">
        <v>27365</v>
      </c>
      <c r="G55" s="13">
        <v>66199</v>
      </c>
      <c r="H55" s="13">
        <v>22315</v>
      </c>
      <c r="I55" s="13">
        <v>57603</v>
      </c>
      <c r="J55" s="13">
        <v>13820</v>
      </c>
      <c r="K55" s="13">
        <v>20212</v>
      </c>
      <c r="L55" s="13">
        <v>129466</v>
      </c>
      <c r="M55" s="13">
        <v>384456</v>
      </c>
      <c r="N55" s="13">
        <v>251824</v>
      </c>
      <c r="O55" s="13">
        <v>37339</v>
      </c>
      <c r="P55" s="13">
        <v>330900</v>
      </c>
      <c r="Q55" s="13">
        <v>79026</v>
      </c>
      <c r="R55" s="13">
        <v>50471</v>
      </c>
      <c r="S55" s="13">
        <v>59128</v>
      </c>
      <c r="T55" s="13">
        <v>65923</v>
      </c>
      <c r="U55" s="13">
        <v>46618</v>
      </c>
      <c r="V55" s="13">
        <v>23250</v>
      </c>
      <c r="W55" s="13">
        <v>38764</v>
      </c>
      <c r="X55" s="13">
        <v>40837</v>
      </c>
      <c r="Y55" s="13">
        <v>10968</v>
      </c>
      <c r="Z55" s="13">
        <v>32088</v>
      </c>
      <c r="AA55" s="13">
        <v>30098</v>
      </c>
      <c r="AB55" s="13">
        <v>112062</v>
      </c>
      <c r="AC55" s="13">
        <v>40720</v>
      </c>
      <c r="AD55" s="13">
        <v>8889</v>
      </c>
      <c r="AE55" s="13">
        <v>15035</v>
      </c>
      <c r="AF55" s="13">
        <v>20160</v>
      </c>
      <c r="AG55" s="13">
        <v>17238</v>
      </c>
      <c r="AH55" s="13">
        <v>7215</v>
      </c>
      <c r="AI55" s="13">
        <v>12071</v>
      </c>
    </row>
    <row r="56" spans="1:35" x14ac:dyDescent="0.2">
      <c r="A56" s="12" t="s">
        <v>1420</v>
      </c>
      <c r="B56" s="13">
        <v>219</v>
      </c>
      <c r="C56" s="13">
        <v>93</v>
      </c>
      <c r="D56" s="13">
        <v>199</v>
      </c>
      <c r="E56" s="13">
        <v>152</v>
      </c>
      <c r="F56" s="13">
        <v>147</v>
      </c>
      <c r="G56" s="13">
        <v>0</v>
      </c>
      <c r="H56" s="13">
        <v>0</v>
      </c>
      <c r="I56" s="13">
        <v>524</v>
      </c>
      <c r="J56" s="13">
        <v>262</v>
      </c>
      <c r="K56" s="13">
        <v>0</v>
      </c>
      <c r="L56" s="13">
        <v>0</v>
      </c>
      <c r="M56" s="13">
        <v>192</v>
      </c>
      <c r="N56" s="13">
        <v>2433</v>
      </c>
      <c r="O56" s="13">
        <v>1339</v>
      </c>
      <c r="P56" s="13">
        <v>2553</v>
      </c>
      <c r="Q56" s="13">
        <v>0</v>
      </c>
      <c r="R56" s="13">
        <v>489</v>
      </c>
      <c r="S56" s="13">
        <v>317</v>
      </c>
      <c r="T56" s="13">
        <v>0</v>
      </c>
      <c r="U56" s="13">
        <v>0</v>
      </c>
      <c r="V56" s="13">
        <v>0</v>
      </c>
      <c r="W56" s="13">
        <v>456</v>
      </c>
      <c r="X56" s="13">
        <v>159</v>
      </c>
      <c r="Y56" s="13">
        <v>48</v>
      </c>
      <c r="Z56" s="13">
        <v>0</v>
      </c>
      <c r="AA56" s="13">
        <v>177</v>
      </c>
      <c r="AB56" s="13">
        <v>445</v>
      </c>
      <c r="AC56" s="13">
        <v>153</v>
      </c>
      <c r="AD56" s="13">
        <v>82</v>
      </c>
      <c r="AE56" s="13">
        <v>0</v>
      </c>
      <c r="AF56" s="13">
        <v>0</v>
      </c>
      <c r="AG56" s="13">
        <v>31</v>
      </c>
      <c r="AH56" s="13">
        <v>0</v>
      </c>
      <c r="AI56" s="1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56"/>
  <sheetViews>
    <sheetView workbookViewId="0">
      <pane xSplit="1" ySplit="4" topLeftCell="B5" activePane="bottomRight" state="frozen"/>
      <selection pane="topRight"/>
      <selection pane="bottomLeft"/>
      <selection pane="bottomRight" activeCell="H22" sqref="H22"/>
    </sheetView>
  </sheetViews>
  <sheetFormatPr baseColWidth="10" defaultColWidth="8.83203125" defaultRowHeight="15" x14ac:dyDescent="0.2"/>
  <cols>
    <col min="1" max="1" width="20" customWidth="1"/>
    <col min="2" max="35" width="11" customWidth="1"/>
  </cols>
  <sheetData>
    <row r="1" spans="1:35" ht="17" x14ac:dyDescent="0.2">
      <c r="A1" s="1" t="s">
        <v>1421</v>
      </c>
    </row>
    <row r="2" spans="1:35" x14ac:dyDescent="0.2">
      <c r="A2" s="2" t="s">
        <v>1422</v>
      </c>
    </row>
    <row r="4" spans="1:35" ht="30" customHeight="1" x14ac:dyDescent="0.2">
      <c r="A4" s="5" t="s">
        <v>1334</v>
      </c>
      <c r="B4" s="5" t="s">
        <v>1335</v>
      </c>
      <c r="C4" s="5" t="s">
        <v>1336</v>
      </c>
      <c r="D4" s="5" t="s">
        <v>1337</v>
      </c>
      <c r="E4" s="5" t="s">
        <v>1338</v>
      </c>
      <c r="F4" s="5" t="s">
        <v>1339</v>
      </c>
      <c r="G4" s="5" t="s">
        <v>1340</v>
      </c>
      <c r="H4" s="5" t="s">
        <v>1341</v>
      </c>
      <c r="I4" s="5" t="s">
        <v>1342</v>
      </c>
      <c r="J4" s="5" t="s">
        <v>1343</v>
      </c>
      <c r="K4" s="5" t="s">
        <v>1344</v>
      </c>
      <c r="L4" s="5" t="s">
        <v>1345</v>
      </c>
      <c r="M4" s="5" t="s">
        <v>1346</v>
      </c>
      <c r="N4" s="5" t="s">
        <v>1347</v>
      </c>
      <c r="O4" s="5" t="s">
        <v>1348</v>
      </c>
      <c r="P4" s="5" t="s">
        <v>1349</v>
      </c>
      <c r="Q4" s="5" t="s">
        <v>1350</v>
      </c>
      <c r="R4" s="5" t="s">
        <v>1351</v>
      </c>
      <c r="S4" s="5" t="s">
        <v>1352</v>
      </c>
      <c r="T4" s="5" t="s">
        <v>1353</v>
      </c>
      <c r="U4" s="5" t="s">
        <v>1354</v>
      </c>
      <c r="V4" s="5" t="s">
        <v>1355</v>
      </c>
      <c r="W4" s="5" t="s">
        <v>1356</v>
      </c>
      <c r="X4" s="5" t="s">
        <v>1357</v>
      </c>
      <c r="Y4" s="5" t="s">
        <v>1358</v>
      </c>
      <c r="Z4" s="5" t="s">
        <v>1359</v>
      </c>
      <c r="AA4" s="5" t="s">
        <v>1360</v>
      </c>
      <c r="AB4" s="5" t="s">
        <v>1361</v>
      </c>
      <c r="AC4" s="5" t="s">
        <v>1362</v>
      </c>
      <c r="AD4" s="5" t="s">
        <v>1363</v>
      </c>
      <c r="AE4" s="5" t="s">
        <v>1364</v>
      </c>
      <c r="AF4" s="5" t="s">
        <v>1365</v>
      </c>
      <c r="AG4" s="5" t="s">
        <v>1366</v>
      </c>
      <c r="AH4" s="5" t="s">
        <v>1367</v>
      </c>
      <c r="AI4" s="5" t="s">
        <v>1368</v>
      </c>
    </row>
    <row r="5" spans="1:35" x14ac:dyDescent="0.2">
      <c r="A5" s="12" t="s">
        <v>1369</v>
      </c>
      <c r="B5" s="8">
        <f>IF(SUM('04_L0'!$B5:$AI5)=0,0,'04_L0'!B5/SUM('04_L0'!$B5:$AI5))</f>
        <v>2.2792449437776943E-2</v>
      </c>
      <c r="C5" s="8">
        <f>IF(SUM('04_L0'!$B5:$AI5)=0,0,'04_L0'!C5/SUM('04_L0'!$B5:$AI5))</f>
        <v>5.6060132908442688E-2</v>
      </c>
      <c r="D5" s="8">
        <f>IF(SUM('04_L0'!$B5:$AI5)=0,0,'04_L0'!D5/SUM('04_L0'!$B5:$AI5))</f>
        <v>2.7449449605745961E-2</v>
      </c>
      <c r="E5" s="8">
        <f>IF(SUM('04_L0'!$B5:$AI5)=0,0,'04_L0'!E5/SUM('04_L0'!$B5:$AI5))</f>
        <v>3.1460478782674114E-3</v>
      </c>
      <c r="F5" s="8">
        <f>IF(SUM('04_L0'!$B5:$AI5)=0,0,'04_L0'!F5/SUM('04_L0'!$B5:$AI5))</f>
        <v>5.7815645722586158E-3</v>
      </c>
      <c r="G5" s="8">
        <f>IF(SUM('04_L0'!$B5:$AI5)=0,0,'04_L0'!G5/SUM('04_L0'!$B5:$AI5))</f>
        <v>2.4497157538378556E-2</v>
      </c>
      <c r="H5" s="8">
        <f>IF(SUM('04_L0'!$B5:$AI5)=0,0,'04_L0'!H5/SUM('04_L0'!$B5:$AI5))</f>
        <v>4.7751699207706699E-3</v>
      </c>
      <c r="I5" s="8">
        <f>IF(SUM('04_L0'!$B5:$AI5)=0,0,'04_L0'!I5/SUM('04_L0'!$B5:$AI5))</f>
        <v>4.7611350447247083E-2</v>
      </c>
      <c r="J5" s="8">
        <f>IF(SUM('04_L0'!$B5:$AI5)=0,0,'04_L0'!J5/SUM('04_L0'!$B5:$AI5))</f>
        <v>1.0905565925473802E-3</v>
      </c>
      <c r="K5" s="8">
        <f>IF(SUM('04_L0'!$B5:$AI5)=0,0,'04_L0'!K5/SUM('04_L0'!$B5:$AI5))</f>
        <v>5.693794845953484E-4</v>
      </c>
      <c r="L5" s="8">
        <f>IF(SUM('04_L0'!$B5:$AI5)=0,0,'04_L0'!L5/SUM('04_L0'!$B5:$AI5))</f>
        <v>7.1091112546339342E-5</v>
      </c>
      <c r="M5" s="8">
        <f>IF(SUM('04_L0'!$B5:$AI5)=0,0,'04_L0'!M5/SUM('04_L0'!$B5:$AI5))</f>
        <v>0.15006257437360568</v>
      </c>
      <c r="N5" s="8">
        <f>IF(SUM('04_L0'!$B5:$AI5)=0,0,'04_L0'!N5/SUM('04_L0'!$B5:$AI5))</f>
        <v>0.17139126844997718</v>
      </c>
      <c r="O5" s="8">
        <f>IF(SUM('04_L0'!$B5:$AI5)=0,0,'04_L0'!O5/SUM('04_L0'!$B5:$AI5))</f>
        <v>1.0339084497879096E-2</v>
      </c>
      <c r="P5" s="8">
        <f>IF(SUM('04_L0'!$B5:$AI5)=0,0,'04_L0'!P5/SUM('04_L0'!$B5:$AI5))</f>
        <v>0.19422298951731382</v>
      </c>
      <c r="Q5" s="8">
        <f>IF(SUM('04_L0'!$B5:$AI5)=0,0,'04_L0'!Q5/SUM('04_L0'!$B5:$AI5))</f>
        <v>3.3235627411597433E-2</v>
      </c>
      <c r="R5" s="8">
        <f>IF(SUM('04_L0'!$B5:$AI5)=0,0,'04_L0'!R5/SUM('04_L0'!$B5:$AI5))</f>
        <v>8.4266625975580618E-3</v>
      </c>
      <c r="S5" s="8">
        <f>IF(SUM('04_L0'!$B5:$AI5)=0,0,'04_L0'!S5/SUM('04_L0'!$B5:$AI5))</f>
        <v>2.8416750059735461E-2</v>
      </c>
      <c r="T5" s="8">
        <f>IF(SUM('04_L0'!$B5:$AI5)=0,0,'04_L0'!T5/SUM('04_L0'!$B5:$AI5))</f>
        <v>4.4932362898246259E-2</v>
      </c>
      <c r="U5" s="8">
        <f>IF(SUM('04_L0'!$B5:$AI5)=0,0,'04_L0'!U5/SUM('04_L0'!$B5:$AI5))</f>
        <v>2.1842714757852551E-2</v>
      </c>
      <c r="V5" s="8">
        <f>IF(SUM('04_L0'!$B5:$AI5)=0,0,'04_L0'!V5/SUM('04_L0'!$B5:$AI5))</f>
        <v>5.4954849454810417E-3</v>
      </c>
      <c r="W5" s="8">
        <f>IF(SUM('04_L0'!$B5:$AI5)=0,0,'04_L0'!W5/SUM('04_L0'!$B5:$AI5))</f>
        <v>1.5746563140973321E-2</v>
      </c>
      <c r="X5" s="8">
        <f>IF(SUM('04_L0'!$B5:$AI5)=0,0,'04_L0'!X5/SUM('04_L0'!$B5:$AI5))</f>
        <v>5.8066416369172242E-3</v>
      </c>
      <c r="Y5" s="8">
        <f>IF(SUM('04_L0'!$B5:$AI5)=0,0,'04_L0'!Y5/SUM('04_L0'!$B5:$AI5))</f>
        <v>2.521723598700724E-3</v>
      </c>
      <c r="Z5" s="8">
        <f>IF(SUM('04_L0'!$B5:$AI5)=0,0,'04_L0'!Z5/SUM('04_L0'!$B5:$AI5))</f>
        <v>5.5036468202991741E-3</v>
      </c>
      <c r="AA5" s="8">
        <f>IF(SUM('04_L0'!$B5:$AI5)=0,0,'04_L0'!AA5/SUM('04_L0'!$B5:$AI5))</f>
        <v>1.3046756896784221E-2</v>
      </c>
      <c r="AB5" s="8">
        <f>IF(SUM('04_L0'!$B5:$AI5)=0,0,'04_L0'!AB5/SUM('04_L0'!$B5:$AI5))</f>
        <v>5.1801645150072038E-2</v>
      </c>
      <c r="AC5" s="8">
        <f>IF(SUM('04_L0'!$B5:$AI5)=0,0,'04_L0'!AC5/SUM('04_L0'!$B5:$AI5))</f>
        <v>9.1961263032384905E-3</v>
      </c>
      <c r="AD5" s="8">
        <f>IF(SUM('04_L0'!$B5:$AI5)=0,0,'04_L0'!AD5/SUM('04_L0'!$B5:$AI5))</f>
        <v>7.4998166535366938E-3</v>
      </c>
      <c r="AE5" s="8">
        <f>IF(SUM('04_L0'!$B5:$AI5)=0,0,'04_L0'!AE5/SUM('04_L0'!$B5:$AI5))</f>
        <v>6.0679990631587162E-3</v>
      </c>
      <c r="AF5" s="8">
        <f>IF(SUM('04_L0'!$B5:$AI5)=0,0,'04_L0'!AF5/SUM('04_L0'!$B5:$AI5))</f>
        <v>8.638279902625284E-3</v>
      </c>
      <c r="AG5" s="8">
        <f>IF(SUM('04_L0'!$B5:$AI5)=0,0,'04_L0'!AG5/SUM('04_L0'!$B5:$AI5))</f>
        <v>2.8690764306347101E-3</v>
      </c>
      <c r="AH5" s="8">
        <f>IF(SUM('04_L0'!$B5:$AI5)=0,0,'04_L0'!AH5/SUM('04_L0'!$B5:$AI5))</f>
        <v>5.3317151529346076E-3</v>
      </c>
      <c r="AI5" s="8">
        <f>IF(SUM('04_L0'!$B5:$AI5)=0,0,'04_L0'!AI5/SUM('04_L0'!$B5:$AI5))</f>
        <v>3.7601402423012228E-3</v>
      </c>
    </row>
    <row r="6" spans="1:35" x14ac:dyDescent="0.2">
      <c r="A6" s="12" t="s">
        <v>1370</v>
      </c>
      <c r="B6" s="8">
        <f>IF(SUM('04_L0'!$B6:$AI6)=0,0,'04_L0'!B6/SUM('04_L0'!$B6:$AI6))</f>
        <v>1.8283909649832519E-2</v>
      </c>
      <c r="C6" s="8">
        <f>IF(SUM('04_L0'!$B6:$AI6)=0,0,'04_L0'!C6/SUM('04_L0'!$B6:$AI6))</f>
        <v>8.8789872151151653E-2</v>
      </c>
      <c r="D6" s="8">
        <f>IF(SUM('04_L0'!$B6:$AI6)=0,0,'04_L0'!D6/SUM('04_L0'!$B6:$AI6))</f>
        <v>3.6146477023556861E-2</v>
      </c>
      <c r="E6" s="8">
        <f>IF(SUM('04_L0'!$B6:$AI6)=0,0,'04_L0'!E6/SUM('04_L0'!$B6:$AI6))</f>
        <v>2.4781804892729697E-2</v>
      </c>
      <c r="F6" s="8">
        <f>IF(SUM('04_L0'!$B6:$AI6)=0,0,'04_L0'!F6/SUM('04_L0'!$B6:$AI6))</f>
        <v>4.6237898135228203E-2</v>
      </c>
      <c r="G6" s="8">
        <f>IF(SUM('04_L0'!$B6:$AI6)=0,0,'04_L0'!G6/SUM('04_L0'!$B6:$AI6))</f>
        <v>0.14022880683528174</v>
      </c>
      <c r="H6" s="8">
        <f>IF(SUM('04_L0'!$B6:$AI6)=0,0,'04_L0'!H6/SUM('04_L0'!$B6:$AI6))</f>
        <v>1.7621487674370429E-2</v>
      </c>
      <c r="I6" s="8">
        <f>IF(SUM('04_L0'!$B6:$AI6)=0,0,'04_L0'!I6/SUM('04_L0'!$B6:$AI6))</f>
        <v>5.9593432063443669E-2</v>
      </c>
      <c r="J6" s="8">
        <f>IF(SUM('04_L0'!$B6:$AI6)=0,0,'04_L0'!J6/SUM('04_L0'!$B6:$AI6))</f>
        <v>7.6448217503292957E-3</v>
      </c>
      <c r="K6" s="8">
        <f>IF(SUM('04_L0'!$B6:$AI6)=0,0,'04_L0'!K6/SUM('04_L0'!$B6:$AI6))</f>
        <v>2.2643043357605461E-3</v>
      </c>
      <c r="L6" s="8">
        <f>IF(SUM('04_L0'!$B6:$AI6)=0,0,'04_L0'!L6/SUM('04_L0'!$B6:$AI6))</f>
        <v>3.9085554369960403E-6</v>
      </c>
      <c r="M6" s="8">
        <f>IF(SUM('04_L0'!$B6:$AI6)=0,0,'04_L0'!M6/SUM('04_L0'!$B6:$AI6))</f>
        <v>5.3096318531633893E-2</v>
      </c>
      <c r="N6" s="8">
        <f>IF(SUM('04_L0'!$B6:$AI6)=0,0,'04_L0'!N6/SUM('04_L0'!$B6:$AI6))</f>
        <v>8.1295607956255442E-2</v>
      </c>
      <c r="O6" s="8">
        <f>IF(SUM('04_L0'!$B6:$AI6)=0,0,'04_L0'!O6/SUM('04_L0'!$B6:$AI6))</f>
        <v>8.9382409155400258E-3</v>
      </c>
      <c r="P6" s="8">
        <f>IF(SUM('04_L0'!$B6:$AI6)=0,0,'04_L0'!P6/SUM('04_L0'!$B6:$AI6))</f>
        <v>7.7974586572548646E-2</v>
      </c>
      <c r="Q6" s="8">
        <f>IF(SUM('04_L0'!$B6:$AI6)=0,0,'04_L0'!Q6/SUM('04_L0'!$B6:$AI6))</f>
        <v>9.6402174720245145E-3</v>
      </c>
      <c r="R6" s="8">
        <f>IF(SUM('04_L0'!$B6:$AI6)=0,0,'04_L0'!R6/SUM('04_L0'!$B6:$AI6))</f>
        <v>1.6170006527287579E-2</v>
      </c>
      <c r="S6" s="8">
        <f>IF(SUM('04_L0'!$B6:$AI6)=0,0,'04_L0'!S6/SUM('04_L0'!$B6:$AI6))</f>
        <v>9.2065241607354343E-3</v>
      </c>
      <c r="T6" s="8">
        <f>IF(SUM('04_L0'!$B6:$AI6)=0,0,'04_L0'!T6/SUM('04_L0'!$B6:$AI6))</f>
        <v>4.4601933171519136E-2</v>
      </c>
      <c r="U6" s="8">
        <f>IF(SUM('04_L0'!$B6:$AI6)=0,0,'04_L0'!U6/SUM('04_L0'!$B6:$AI6))</f>
        <v>5.6912944744751788E-2</v>
      </c>
      <c r="V6" s="8">
        <f>IF(SUM('04_L0'!$B6:$AI6)=0,0,'04_L0'!V6/SUM('04_L0'!$B6:$AI6))</f>
        <v>1.6098089107246853E-2</v>
      </c>
      <c r="W6" s="8">
        <f>IF(SUM('04_L0'!$B6:$AI6)=0,0,'04_L0'!W6/SUM('04_L0'!$B6:$AI6))</f>
        <v>3.0646670497050995E-2</v>
      </c>
      <c r="X6" s="8">
        <f>IF(SUM('04_L0'!$B6:$AI6)=0,0,'04_L0'!X6/SUM('04_L0'!$B6:$AI6))</f>
        <v>7.1573467162271498E-3</v>
      </c>
      <c r="Y6" s="8">
        <f>IF(SUM('04_L0'!$B6:$AI6)=0,0,'04_L0'!Y6/SUM('04_L0'!$B6:$AI6))</f>
        <v>5.0998831341924342E-4</v>
      </c>
      <c r="Z6" s="8">
        <f>IF(SUM('04_L0'!$B6:$AI6)=0,0,'04_L0'!Z6/SUM('04_L0'!$B6:$AI6))</f>
        <v>2.1978119906663696E-2</v>
      </c>
      <c r="AA6" s="8">
        <f>IF(SUM('04_L0'!$B6:$AI6)=0,0,'04_L0'!AA6/SUM('04_L0'!$B6:$AI6))</f>
        <v>2.5428123619791361E-2</v>
      </c>
      <c r="AB6" s="8">
        <f>IF(SUM('04_L0'!$B6:$AI6)=0,0,'04_L0'!AB6/SUM('04_L0'!$B6:$AI6))</f>
        <v>4.1557481170534184E-2</v>
      </c>
      <c r="AC6" s="8">
        <f>IF(SUM('04_L0'!$B6:$AI6)=0,0,'04_L0'!AC6/SUM('04_L0'!$B6:$AI6))</f>
        <v>2.3841406454588449E-2</v>
      </c>
      <c r="AD6" s="8">
        <f>IF(SUM('04_L0'!$B6:$AI6)=0,0,'04_L0'!AD6/SUM('04_L0'!$B6:$AI6))</f>
        <v>2.987074407169854E-3</v>
      </c>
      <c r="AE6" s="8">
        <f>IF(SUM('04_L0'!$B6:$AI6)=0,0,'04_L0'!AE6/SUM('04_L0'!$B6:$AI6))</f>
        <v>3.3088266907433683E-3</v>
      </c>
      <c r="AF6" s="8">
        <f>IF(SUM('04_L0'!$B6:$AI6)=0,0,'04_L0'!AF6/SUM('04_L0'!$B6:$AI6))</f>
        <v>1.0865315088196553E-2</v>
      </c>
      <c r="AG6" s="8">
        <f>IF(SUM('04_L0'!$B6:$AI6)=0,0,'04_L0'!AG6/SUM('04_L0'!$B6:$AI6))</f>
        <v>1.2210170842958151E-2</v>
      </c>
      <c r="AH6" s="8">
        <f>IF(SUM('04_L0'!$B6:$AI6)=0,0,'04_L0'!AH6/SUM('04_L0'!$B6:$AI6))</f>
        <v>1.1966433325907079E-3</v>
      </c>
      <c r="AI6" s="8">
        <f>IF(SUM('04_L0'!$B6:$AI6)=0,0,'04_L0'!AI6/SUM('04_L0'!$B6:$AI6))</f>
        <v>2.781640733401342E-3</v>
      </c>
    </row>
    <row r="7" spans="1:35" x14ac:dyDescent="0.2">
      <c r="A7" s="12" t="s">
        <v>1371</v>
      </c>
      <c r="B7" s="8">
        <f>IF(SUM('04_L0'!$B7:$AI7)=0,0,'04_L0'!B7/SUM('04_L0'!$B7:$AI7))</f>
        <v>3.9712341508836631E-2</v>
      </c>
      <c r="C7" s="8">
        <f>IF(SUM('04_L0'!$B7:$AI7)=0,0,'04_L0'!C7/SUM('04_L0'!$B7:$AI7))</f>
        <v>9.2189220526358001E-2</v>
      </c>
      <c r="D7" s="8">
        <f>IF(SUM('04_L0'!$B7:$AI7)=0,0,'04_L0'!D7/SUM('04_L0'!$B7:$AI7))</f>
        <v>2.1464499463010326E-2</v>
      </c>
      <c r="E7" s="8">
        <f>IF(SUM('04_L0'!$B7:$AI7)=0,0,'04_L0'!E7/SUM('04_L0'!$B7:$AI7))</f>
        <v>0.10230854010977171</v>
      </c>
      <c r="F7" s="8">
        <f>IF(SUM('04_L0'!$B7:$AI7)=0,0,'04_L0'!F7/SUM('04_L0'!$B7:$AI7))</f>
        <v>4.6539440389116976E-2</v>
      </c>
      <c r="G7" s="8">
        <f>IF(SUM('04_L0'!$B7:$AI7)=0,0,'04_L0'!G7/SUM('04_L0'!$B7:$AI7))</f>
        <v>7.8324551982637297E-2</v>
      </c>
      <c r="H7" s="8">
        <f>IF(SUM('04_L0'!$B7:$AI7)=0,0,'04_L0'!H7/SUM('04_L0'!$B7:$AI7))</f>
        <v>3.4228282596128194E-2</v>
      </c>
      <c r="I7" s="8">
        <f>IF(SUM('04_L0'!$B7:$AI7)=0,0,'04_L0'!I7/SUM('04_L0'!$B7:$AI7))</f>
        <v>4.6992191458507207E-2</v>
      </c>
      <c r="J7" s="8">
        <f>IF(SUM('04_L0'!$B7:$AI7)=0,0,'04_L0'!J7/SUM('04_L0'!$B7:$AI7))</f>
        <v>1.1040412150576381E-2</v>
      </c>
      <c r="K7" s="8">
        <f>IF(SUM('04_L0'!$B7:$AI7)=0,0,'04_L0'!K7/SUM('04_L0'!$B7:$AI7))</f>
        <v>7.1263345218101296E-4</v>
      </c>
      <c r="L7" s="8">
        <f>IF(SUM('04_L0'!$B7:$AI7)=0,0,'04_L0'!L7/SUM('04_L0'!$B7:$AI7))</f>
        <v>4.2835959272771897E-4</v>
      </c>
      <c r="M7" s="8">
        <f>IF(SUM('04_L0'!$B7:$AI7)=0,0,'04_L0'!M7/SUM('04_L0'!$B7:$AI7))</f>
        <v>1.7915665337876016E-2</v>
      </c>
      <c r="N7" s="8">
        <f>IF(SUM('04_L0'!$B7:$AI7)=0,0,'04_L0'!N7/SUM('04_L0'!$B7:$AI7))</f>
        <v>6.4816074435745941E-2</v>
      </c>
      <c r="O7" s="8">
        <f>IF(SUM('04_L0'!$B7:$AI7)=0,0,'04_L0'!O7/SUM('04_L0'!$B7:$AI7))</f>
        <v>9.6321186964691953E-4</v>
      </c>
      <c r="P7" s="8">
        <f>IF(SUM('04_L0'!$B7:$AI7)=0,0,'04_L0'!P7/SUM('04_L0'!$B7:$AI7))</f>
        <v>0.15629995380706946</v>
      </c>
      <c r="Q7" s="8">
        <f>IF(SUM('04_L0'!$B7:$AI7)=0,0,'04_L0'!Q7/SUM('04_L0'!$B7:$AI7))</f>
        <v>3.4207160080255501E-3</v>
      </c>
      <c r="R7" s="8">
        <f>IF(SUM('04_L0'!$B7:$AI7)=0,0,'04_L0'!R7/SUM('04_L0'!$B7:$AI7))</f>
        <v>5.1535166851530588E-3</v>
      </c>
      <c r="S7" s="8">
        <f>IF(SUM('04_L0'!$B7:$AI7)=0,0,'04_L0'!S7/SUM('04_L0'!$B7:$AI7))</f>
        <v>2.8457560968004669E-2</v>
      </c>
      <c r="T7" s="8">
        <f>IF(SUM('04_L0'!$B7:$AI7)=0,0,'04_L0'!T7/SUM('04_L0'!$B7:$AI7))</f>
        <v>2.11670240311366E-2</v>
      </c>
      <c r="U7" s="8">
        <f>IF(SUM('04_L0'!$B7:$AI7)=0,0,'04_L0'!U7/SUM('04_L0'!$B7:$AI7))</f>
        <v>6.3672063888569677E-2</v>
      </c>
      <c r="V7" s="8">
        <f>IF(SUM('04_L0'!$B7:$AI7)=0,0,'04_L0'!V7/SUM('04_L0'!$B7:$AI7))</f>
        <v>2.9153598157714282E-2</v>
      </c>
      <c r="W7" s="8">
        <f>IF(SUM('04_L0'!$B7:$AI7)=0,0,'04_L0'!W7/SUM('04_L0'!$B7:$AI7))</f>
        <v>9.5242429904050969E-3</v>
      </c>
      <c r="X7" s="8">
        <f>IF(SUM('04_L0'!$B7:$AI7)=0,0,'04_L0'!X7/SUM('04_L0'!$B7:$AI7))</f>
        <v>1.8639362965037962E-2</v>
      </c>
      <c r="Y7" s="8">
        <f>IF(SUM('04_L0'!$B7:$AI7)=0,0,'04_L0'!Y7/SUM('04_L0'!$B7:$AI7))</f>
        <v>3.3327055252226727E-3</v>
      </c>
      <c r="Z7" s="8">
        <f>IF(SUM('04_L0'!$B7:$AI7)=0,0,'04_L0'!Z7/SUM('04_L0'!$B7:$AI7))</f>
        <v>8.5631685181976752E-3</v>
      </c>
      <c r="AA7" s="8">
        <f>IF(SUM('04_L0'!$B7:$AI7)=0,0,'04_L0'!AA7/SUM('04_L0'!$B7:$AI7))</f>
        <v>2.4291144712116453E-2</v>
      </c>
      <c r="AB7" s="8">
        <f>IF(SUM('04_L0'!$B7:$AI7)=0,0,'04_L0'!AB7/SUM('04_L0'!$B7:$AI7))</f>
        <v>1.6542073159845395E-2</v>
      </c>
      <c r="AC7" s="8">
        <f>IF(SUM('04_L0'!$B7:$AI7)=0,0,'04_L0'!AC7/SUM('04_L0'!$B7:$AI7))</f>
        <v>8.2125096088587826E-3</v>
      </c>
      <c r="AD7" s="8">
        <f>IF(SUM('04_L0'!$B7:$AI7)=0,0,'04_L0'!AD7/SUM('04_L0'!$B7:$AI7))</f>
        <v>2.369996572620341E-3</v>
      </c>
      <c r="AE7" s="8">
        <f>IF(SUM('04_L0'!$B7:$AI7)=0,0,'04_L0'!AE7/SUM('04_L0'!$B7:$AI7))</f>
        <v>2.0919966032982809E-2</v>
      </c>
      <c r="AF7" s="8">
        <f>IF(SUM('04_L0'!$B7:$AI7)=0,0,'04_L0'!AF7/SUM('04_L0'!$B7:$AI7))</f>
        <v>5.095932683547748E-3</v>
      </c>
      <c r="AG7" s="8">
        <f>IF(SUM('04_L0'!$B7:$AI7)=0,0,'04_L0'!AG7/SUM('04_L0'!$B7:$AI7))</f>
        <v>1.6072600098722616E-2</v>
      </c>
      <c r="AH7" s="8">
        <f>IF(SUM('04_L0'!$B7:$AI7)=0,0,'04_L0'!AH7/SUM('04_L0'!$B7:$AI7))</f>
        <v>7.0370667463957827E-4</v>
      </c>
      <c r="AI7" s="8">
        <f>IF(SUM('04_L0'!$B7:$AI7)=0,0,'04_L0'!AI7/SUM('04_L0'!$B7:$AI7))</f>
        <v>7.7273203900926353E-4</v>
      </c>
    </row>
    <row r="8" spans="1:35" x14ac:dyDescent="0.2">
      <c r="A8" s="12" t="s">
        <v>1372</v>
      </c>
      <c r="B8" s="8">
        <f>IF(SUM('04_L0'!$B8:$AI8)=0,0,'04_L0'!B8/SUM('04_L0'!$B8:$AI8))</f>
        <v>4.7290729811857645E-3</v>
      </c>
      <c r="C8" s="8">
        <f>IF(SUM('04_L0'!$B8:$AI8)=0,0,'04_L0'!C8/SUM('04_L0'!$B8:$AI8))</f>
        <v>2.4850652429423553E-2</v>
      </c>
      <c r="D8" s="8">
        <f>IF(SUM('04_L0'!$B8:$AI8)=0,0,'04_L0'!D8/SUM('04_L0'!$B8:$AI8))</f>
        <v>9.0382442005541193E-3</v>
      </c>
      <c r="E8" s="8">
        <f>IF(SUM('04_L0'!$B8:$AI8)=0,0,'04_L0'!E8/SUM('04_L0'!$B8:$AI8))</f>
        <v>4.3266828175069286E-3</v>
      </c>
      <c r="F8" s="8">
        <f>IF(SUM('04_L0'!$B8:$AI8)=0,0,'04_L0'!F8/SUM('04_L0'!$B8:$AI8))</f>
        <v>1.5451631647863981E-3</v>
      </c>
      <c r="G8" s="8">
        <f>IF(SUM('04_L0'!$B8:$AI8)=0,0,'04_L0'!G8/SUM('04_L0'!$B8:$AI8))</f>
        <v>5.8567822419590696E-3</v>
      </c>
      <c r="H8" s="8">
        <f>IF(SUM('04_L0'!$B8:$AI8)=0,0,'04_L0'!H8/SUM('04_L0'!$B8:$AI8))</f>
        <v>1.9539554181072939E-3</v>
      </c>
      <c r="I8" s="8">
        <f>IF(SUM('04_L0'!$B8:$AI8)=0,0,'04_L0'!I8/SUM('04_L0'!$B8:$AI8))</f>
        <v>5.1067774403918381E-2</v>
      </c>
      <c r="J8" s="8">
        <f>IF(SUM('04_L0'!$B8:$AI8)=0,0,'04_L0'!J8/SUM('04_L0'!$B8:$AI8))</f>
        <v>6.4341000902694637E-4</v>
      </c>
      <c r="K8" s="8">
        <f>IF(SUM('04_L0'!$B8:$AI8)=0,0,'04_L0'!K8/SUM('04_L0'!$B8:$AI8))</f>
        <v>5.0651826873938715E-4</v>
      </c>
      <c r="L8" s="8">
        <f>IF(SUM('04_L0'!$B8:$AI8)=0,0,'04_L0'!L8/SUM('04_L0'!$B8:$AI8))</f>
        <v>8.957276596257489E-4</v>
      </c>
      <c r="M8" s="8">
        <f>IF(SUM('04_L0'!$B8:$AI8)=0,0,'04_L0'!M8/SUM('04_L0'!$B8:$AI8))</f>
        <v>8.8815248120515944E-2</v>
      </c>
      <c r="N8" s="8">
        <f>IF(SUM('04_L0'!$B8:$AI8)=0,0,'04_L0'!N8/SUM('04_L0'!$B8:$AI8))</f>
        <v>0.20555998889802338</v>
      </c>
      <c r="O8" s="8">
        <f>IF(SUM('04_L0'!$B8:$AI8)=0,0,'04_L0'!O8/SUM('04_L0'!$B8:$AI8))</f>
        <v>3.1877698998600199E-2</v>
      </c>
      <c r="P8" s="8">
        <f>IF(SUM('04_L0'!$B8:$AI8)=0,0,'04_L0'!P8/SUM('04_L0'!$B8:$AI8))</f>
        <v>0.36865454060675995</v>
      </c>
      <c r="Q8" s="8">
        <f>IF(SUM('04_L0'!$B8:$AI8)=0,0,'04_L0'!Q8/SUM('04_L0'!$B8:$AI8))</f>
        <v>9.3630561015115334E-3</v>
      </c>
      <c r="R8" s="8">
        <f>IF(SUM('04_L0'!$B8:$AI8)=0,0,'04_L0'!R8/SUM('04_L0'!$B8:$AI8))</f>
        <v>3.2849498546913949E-2</v>
      </c>
      <c r="S8" s="8">
        <f>IF(SUM('04_L0'!$B8:$AI8)=0,0,'04_L0'!S8/SUM('04_L0'!$B8:$AI8))</f>
        <v>5.288954550059257E-2</v>
      </c>
      <c r="T8" s="8">
        <f>IF(SUM('04_L0'!$B8:$AI8)=0,0,'04_L0'!T8/SUM('04_L0'!$B8:$AI8))</f>
        <v>3.9751327774562091E-2</v>
      </c>
      <c r="U8" s="8">
        <f>IF(SUM('04_L0'!$B8:$AI8)=0,0,'04_L0'!U8/SUM('04_L0'!$B8:$AI8))</f>
        <v>3.8883279737800536E-3</v>
      </c>
      <c r="V8" s="8">
        <f>IF(SUM('04_L0'!$B8:$AI8)=0,0,'04_L0'!V8/SUM('04_L0'!$B8:$AI8))</f>
        <v>2.5715687718118252E-3</v>
      </c>
      <c r="W8" s="8">
        <f>IF(SUM('04_L0'!$B8:$AI8)=0,0,'04_L0'!W8/SUM('04_L0'!$B8:$AI8))</f>
        <v>5.3952668974682752E-3</v>
      </c>
      <c r="X8" s="8">
        <f>IF(SUM('04_L0'!$B8:$AI8)=0,0,'04_L0'!X8/SUM('04_L0'!$B8:$AI8))</f>
        <v>1.6120085125196628E-3</v>
      </c>
      <c r="Y8" s="8">
        <f>IF(SUM('04_L0'!$B8:$AI8)=0,0,'04_L0'!Y8/SUM('04_L0'!$B8:$AI8))</f>
        <v>9.4449651895790548E-4</v>
      </c>
      <c r="Z8" s="8">
        <f>IF(SUM('04_L0'!$B8:$AI8)=0,0,'04_L0'!Z8/SUM('04_L0'!$B8:$AI8))</f>
        <v>1.2098066455950047E-3</v>
      </c>
      <c r="AA8" s="8">
        <f>IF(SUM('04_L0'!$B8:$AI8)=0,0,'04_L0'!AA8/SUM('04_L0'!$B8:$AI8))</f>
        <v>2.8758563265638142E-3</v>
      </c>
      <c r="AB8" s="8">
        <f>IF(SUM('04_L0'!$B8:$AI8)=0,0,'04_L0'!AB8/SUM('04_L0'!$B8:$AI8))</f>
        <v>3.1631218547380921E-2</v>
      </c>
      <c r="AC8" s="8">
        <f>IF(SUM('04_L0'!$B8:$AI8)=0,0,'04_L0'!AC8/SUM('04_L0'!$B8:$AI8))</f>
        <v>3.707186496260615E-3</v>
      </c>
      <c r="AD8" s="8">
        <f>IF(SUM('04_L0'!$B8:$AI8)=0,0,'04_L0'!AD8/SUM('04_L0'!$B8:$AI8))</f>
        <v>1.5090101879841815E-3</v>
      </c>
      <c r="AE8" s="8">
        <f>IF(SUM('04_L0'!$B8:$AI8)=0,0,'04_L0'!AE8/SUM('04_L0'!$B8:$AI8))</f>
        <v>6.3036104396239643E-3</v>
      </c>
      <c r="AF8" s="8">
        <f>IF(SUM('04_L0'!$B8:$AI8)=0,0,'04_L0'!AF8/SUM('04_L0'!$B8:$AI8))</f>
        <v>9.5786558850455847E-4</v>
      </c>
      <c r="AG8" s="8">
        <f>IF(SUM('04_L0'!$B8:$AI8)=0,0,'04_L0'!AG8/SUM('04_L0'!$B8:$AI8))</f>
        <v>1.7756383919005281E-4</v>
      </c>
      <c r="AH8" s="8">
        <f>IF(SUM('04_L0'!$B8:$AI8)=0,0,'04_L0'!AH8/SUM('04_L0'!$B8:$AI8))</f>
        <v>6.2985264272611525E-4</v>
      </c>
      <c r="AI8" s="8">
        <f>IF(SUM('04_L0'!$B8:$AI8)=0,0,'04_L0'!AI8/SUM('04_L0'!$B8:$AI8))</f>
        <v>1.4114724693198683E-3</v>
      </c>
    </row>
    <row r="9" spans="1:35" x14ac:dyDescent="0.2">
      <c r="A9" s="12" t="s">
        <v>1373</v>
      </c>
      <c r="B9" s="8">
        <f>IF(SUM('04_L0'!$B9:$AI9)=0,0,'04_L0'!B9/SUM('04_L0'!$B9:$AI9))</f>
        <v>2.900459733479099E-2</v>
      </c>
      <c r="C9" s="8">
        <f>IF(SUM('04_L0'!$B9:$AI9)=0,0,'04_L0'!C9/SUM('04_L0'!$B9:$AI9))</f>
        <v>5.9964266010303573E-2</v>
      </c>
      <c r="D9" s="8">
        <f>IF(SUM('04_L0'!$B9:$AI9)=0,0,'04_L0'!D9/SUM('04_L0'!$B9:$AI9))</f>
        <v>2.0542932669661076E-2</v>
      </c>
      <c r="E9" s="8">
        <f>IF(SUM('04_L0'!$B9:$AI9)=0,0,'04_L0'!E9/SUM('04_L0'!$B9:$AI9))</f>
        <v>2.2463546514291444E-2</v>
      </c>
      <c r="F9" s="8">
        <f>IF(SUM('04_L0'!$B9:$AI9)=0,0,'04_L0'!F9/SUM('04_L0'!$B9:$AI9))</f>
        <v>8.4107615459042377E-3</v>
      </c>
      <c r="G9" s="8">
        <f>IF(SUM('04_L0'!$B9:$AI9)=0,0,'04_L0'!G9/SUM('04_L0'!$B9:$AI9))</f>
        <v>2.4940179045848439E-2</v>
      </c>
      <c r="H9" s="8">
        <f>IF(SUM('04_L0'!$B9:$AI9)=0,0,'04_L0'!H9/SUM('04_L0'!$B9:$AI9))</f>
        <v>7.164418249786305E-3</v>
      </c>
      <c r="I9" s="8">
        <f>IF(SUM('04_L0'!$B9:$AI9)=0,0,'04_L0'!I9/SUM('04_L0'!$B9:$AI9))</f>
        <v>4.0171958567993452E-2</v>
      </c>
      <c r="J9" s="8">
        <f>IF(SUM('04_L0'!$B9:$AI9)=0,0,'04_L0'!J9/SUM('04_L0'!$B9:$AI9))</f>
        <v>3.8796008099077832E-3</v>
      </c>
      <c r="K9" s="8">
        <f>IF(SUM('04_L0'!$B9:$AI9)=0,0,'04_L0'!K9/SUM('04_L0'!$B9:$AI9))</f>
        <v>9.7878867021866014E-3</v>
      </c>
      <c r="L9" s="8">
        <f>IF(SUM('04_L0'!$B9:$AI9)=0,0,'04_L0'!L9/SUM('04_L0'!$B9:$AI9))</f>
        <v>3.5126284765362073E-2</v>
      </c>
      <c r="M9" s="8">
        <f>IF(SUM('04_L0'!$B9:$AI9)=0,0,'04_L0'!M9/SUM('04_L0'!$B9:$AI9))</f>
        <v>0.19579728185174583</v>
      </c>
      <c r="N9" s="8">
        <f>IF(SUM('04_L0'!$B9:$AI9)=0,0,'04_L0'!N9/SUM('04_L0'!$B9:$AI9))</f>
        <v>0.14481467544758525</v>
      </c>
      <c r="O9" s="8">
        <f>IF(SUM('04_L0'!$B9:$AI9)=0,0,'04_L0'!O9/SUM('04_L0'!$B9:$AI9))</f>
        <v>6.0234052542199662E-3</v>
      </c>
      <c r="P9" s="8">
        <f>IF(SUM('04_L0'!$B9:$AI9)=0,0,'04_L0'!P9/SUM('04_L0'!$B9:$AI9))</f>
        <v>0.16784716220983753</v>
      </c>
      <c r="Q9" s="8">
        <f>IF(SUM('04_L0'!$B9:$AI9)=0,0,'04_L0'!Q9/SUM('04_L0'!$B9:$AI9))</f>
        <v>5.459242068217228E-2</v>
      </c>
      <c r="R9" s="8">
        <f>IF(SUM('04_L0'!$B9:$AI9)=0,0,'04_L0'!R9/SUM('04_L0'!$B9:$AI9))</f>
        <v>1.4215674949909373E-2</v>
      </c>
      <c r="S9" s="8">
        <f>IF(SUM('04_L0'!$B9:$AI9)=0,0,'04_L0'!S9/SUM('04_L0'!$B9:$AI9))</f>
        <v>2.1561778179085788E-2</v>
      </c>
      <c r="T9" s="8">
        <f>IF(SUM('04_L0'!$B9:$AI9)=0,0,'04_L0'!T9/SUM('04_L0'!$B9:$AI9))</f>
        <v>7.9217000388821512E-3</v>
      </c>
      <c r="U9" s="8">
        <f>IF(SUM('04_L0'!$B9:$AI9)=0,0,'04_L0'!U9/SUM('04_L0'!$B9:$AI9))</f>
        <v>1.5497650429485279E-2</v>
      </c>
      <c r="V9" s="8">
        <f>IF(SUM('04_L0'!$B9:$AI9)=0,0,'04_L0'!V9/SUM('04_L0'!$B9:$AI9))</f>
        <v>9.909662625872645E-3</v>
      </c>
      <c r="W9" s="8">
        <f>IF(SUM('04_L0'!$B9:$AI9)=0,0,'04_L0'!W9/SUM('04_L0'!$B9:$AI9))</f>
        <v>1.9915258053362913E-2</v>
      </c>
      <c r="X9" s="8">
        <f>IF(SUM('04_L0'!$B9:$AI9)=0,0,'04_L0'!X9/SUM('04_L0'!$B9:$AI9))</f>
        <v>1.0085865730884606E-2</v>
      </c>
      <c r="Y9" s="8">
        <f>IF(SUM('04_L0'!$B9:$AI9)=0,0,'04_L0'!Y9/SUM('04_L0'!$B9:$AI9))</f>
        <v>2.0263357076375429E-3</v>
      </c>
      <c r="Z9" s="8">
        <f>IF(SUM('04_L0'!$B9:$AI9)=0,0,'04_L0'!Z9/SUM('04_L0'!$B9:$AI9))</f>
        <v>8.0105847162992971E-3</v>
      </c>
      <c r="AA9" s="8">
        <f>IF(SUM('04_L0'!$B9:$AI9)=0,0,'04_L0'!AA9/SUM('04_L0'!$B9:$AI9))</f>
        <v>9.8019829505875591E-3</v>
      </c>
      <c r="AB9" s="8">
        <f>IF(SUM('04_L0'!$B9:$AI9)=0,0,'04_L0'!AB9/SUM('04_L0'!$B9:$AI9))</f>
        <v>2.6967689440852729E-2</v>
      </c>
      <c r="AC9" s="8">
        <f>IF(SUM('04_L0'!$B9:$AI9)=0,0,'04_L0'!AC9/SUM('04_L0'!$B9:$AI9))</f>
        <v>5.9678033855273035E-3</v>
      </c>
      <c r="AD9" s="8">
        <f>IF(SUM('04_L0'!$B9:$AI9)=0,0,'04_L0'!AD9/SUM('04_L0'!$B9:$AI9))</f>
        <v>4.3020966994809055E-3</v>
      </c>
      <c r="AE9" s="8">
        <f>IF(SUM('04_L0'!$B9:$AI9)=0,0,'04_L0'!AE9/SUM('04_L0'!$B9:$AI9))</f>
        <v>3.1881015133497347E-3</v>
      </c>
      <c r="AF9" s="8">
        <f>IF(SUM('04_L0'!$B9:$AI9)=0,0,'04_L0'!AF9/SUM('04_L0'!$B9:$AI9))</f>
        <v>3.6019830289000503E-3</v>
      </c>
      <c r="AG9" s="8">
        <f>IF(SUM('04_L0'!$B9:$AI9)=0,0,'04_L0'!AG9/SUM('04_L0'!$B9:$AI9))</f>
        <v>2.9790071620688749E-3</v>
      </c>
      <c r="AH9" s="8">
        <f>IF(SUM('04_L0'!$B9:$AI9)=0,0,'04_L0'!AH9/SUM('04_L0'!$B9:$AI9))</f>
        <v>1.0783630026731969E-3</v>
      </c>
      <c r="AI9" s="8">
        <f>IF(SUM('04_L0'!$B9:$AI9)=0,0,'04_L0'!AI9/SUM('04_L0'!$B9:$AI9))</f>
        <v>2.4370847235432019E-3</v>
      </c>
    </row>
    <row r="10" spans="1:35" x14ac:dyDescent="0.2">
      <c r="A10" s="12" t="s">
        <v>1374</v>
      </c>
      <c r="B10" s="8">
        <f>IF(SUM('04_L0'!$B10:$AI10)=0,0,'04_L0'!B10/SUM('04_L0'!$B10:$AI10))</f>
        <v>1.5783817811280923E-2</v>
      </c>
      <c r="C10" s="8">
        <f>IF(SUM('04_L0'!$B10:$AI10)=0,0,'04_L0'!C10/SUM('04_L0'!$B10:$AI10))</f>
        <v>4.1724027202406123E-2</v>
      </c>
      <c r="D10" s="8">
        <f>IF(SUM('04_L0'!$B10:$AI10)=0,0,'04_L0'!D10/SUM('04_L0'!$B10:$AI10))</f>
        <v>2.1622669943503182E-2</v>
      </c>
      <c r="E10" s="8">
        <f>IF(SUM('04_L0'!$B10:$AI10)=0,0,'04_L0'!E10/SUM('04_L0'!$B10:$AI10))</f>
        <v>3.6896204189730109E-2</v>
      </c>
      <c r="F10" s="8">
        <f>IF(SUM('04_L0'!$B10:$AI10)=0,0,'04_L0'!F10/SUM('04_L0'!$B10:$AI10))</f>
        <v>1.5593057600045783E-2</v>
      </c>
      <c r="G10" s="8">
        <f>IF(SUM('04_L0'!$B10:$AI10)=0,0,'04_L0'!G10/SUM('04_L0'!$B10:$AI10))</f>
        <v>2.738203865437747E-2</v>
      </c>
      <c r="H10" s="8">
        <f>IF(SUM('04_L0'!$B10:$AI10)=0,0,'04_L0'!H10/SUM('04_L0'!$B10:$AI10))</f>
        <v>3.765924503467067E-3</v>
      </c>
      <c r="I10" s="8">
        <f>IF(SUM('04_L0'!$B10:$AI10)=0,0,'04_L0'!I10/SUM('04_L0'!$B10:$AI10))</f>
        <v>2.3322025491922894E-2</v>
      </c>
      <c r="J10" s="8">
        <f>IF(SUM('04_L0'!$B10:$AI10)=0,0,'04_L0'!J10/SUM('04_L0'!$B10:$AI10))</f>
        <v>4.734032575485405E-3</v>
      </c>
      <c r="K10" s="8">
        <f>IF(SUM('04_L0'!$B10:$AI10)=0,0,'04_L0'!K10/SUM('04_L0'!$B10:$AI10))</f>
        <v>3.3398933650419195E-3</v>
      </c>
      <c r="L10" s="8">
        <f>IF(SUM('04_L0'!$B10:$AI10)=0,0,'04_L0'!L10/SUM('04_L0'!$B10:$AI10))</f>
        <v>0</v>
      </c>
      <c r="M10" s="8">
        <f>IF(SUM('04_L0'!$B10:$AI10)=0,0,'04_L0'!M10/SUM('04_L0'!$B10:$AI10))</f>
        <v>0.10736461588841799</v>
      </c>
      <c r="N10" s="8">
        <f>IF(SUM('04_L0'!$B10:$AI10)=0,0,'04_L0'!N10/SUM('04_L0'!$B10:$AI10))</f>
        <v>0.18545389802594975</v>
      </c>
      <c r="O10" s="8">
        <f>IF(SUM('04_L0'!$B10:$AI10)=0,0,'04_L0'!O10/SUM('04_L0'!$B10:$AI10))</f>
        <v>1.4483469038028048E-2</v>
      </c>
      <c r="P10" s="8">
        <f>IF(SUM('04_L0'!$B10:$AI10)=0,0,'04_L0'!P10/SUM('04_L0'!$B10:$AI10))</f>
        <v>0.18577819038504947</v>
      </c>
      <c r="Q10" s="8">
        <f>IF(SUM('04_L0'!$B10:$AI10)=0,0,'04_L0'!Q10/SUM('04_L0'!$B10:$AI10))</f>
        <v>4.6529594857104707E-2</v>
      </c>
      <c r="R10" s="8">
        <f>IF(SUM('04_L0'!$B10:$AI10)=0,0,'04_L0'!R10/SUM('04_L0'!$B10:$AI10))</f>
        <v>9.7573848046774402E-3</v>
      </c>
      <c r="S10" s="8">
        <f>IF(SUM('04_L0'!$B10:$AI10)=0,0,'04_L0'!S10/SUM('04_L0'!$B10:$AI10))</f>
        <v>1.82970835943039E-2</v>
      </c>
      <c r="T10" s="8">
        <f>IF(SUM('04_L0'!$B10:$AI10)=0,0,'04_L0'!T10/SUM('04_L0'!$B10:$AI10))</f>
        <v>3.2287755419974501E-2</v>
      </c>
      <c r="U10" s="8">
        <f>IF(SUM('04_L0'!$B10:$AI10)=0,0,'04_L0'!U10/SUM('04_L0'!$B10:$AI10))</f>
        <v>3.4759689823896531E-2</v>
      </c>
      <c r="V10" s="8">
        <f>IF(SUM('04_L0'!$B10:$AI10)=0,0,'04_L0'!V10/SUM('04_L0'!$B10:$AI10))</f>
        <v>3.2480105299636602E-2</v>
      </c>
      <c r="W10" s="8">
        <f>IF(SUM('04_L0'!$B10:$AI10)=0,0,'04_L0'!W10/SUM('04_L0'!$B10:$AI10))</f>
        <v>2.6636484162133461E-2</v>
      </c>
      <c r="X10" s="8">
        <f>IF(SUM('04_L0'!$B10:$AI10)=0,0,'04_L0'!X10/SUM('04_L0'!$B10:$AI10))</f>
        <v>1.7487942364981513E-2</v>
      </c>
      <c r="Y10" s="8">
        <f>IF(SUM('04_L0'!$B10:$AI10)=0,0,'04_L0'!Y10/SUM('04_L0'!$B10:$AI10))</f>
        <v>8.4538566945706467E-3</v>
      </c>
      <c r="Z10" s="8">
        <f>IF(SUM('04_L0'!$B10:$AI10)=0,0,'04_L0'!Z10/SUM('04_L0'!$B10:$AI10))</f>
        <v>6.2982663076135582E-3</v>
      </c>
      <c r="AA10" s="8">
        <f>IF(SUM('04_L0'!$B10:$AI10)=0,0,'04_L0'!AA10/SUM('04_L0'!$B10:$AI10))</f>
        <v>1.5794945490269639E-2</v>
      </c>
      <c r="AB10" s="8">
        <f>IF(SUM('04_L0'!$B10:$AI10)=0,0,'04_L0'!AB10/SUM('04_L0'!$B10:$AI10))</f>
        <v>1.2373979035452785E-2</v>
      </c>
      <c r="AC10" s="8">
        <f>IF(SUM('04_L0'!$B10:$AI10)=0,0,'04_L0'!AC10/SUM('04_L0'!$B10:$AI10))</f>
        <v>1.6956993110377037E-2</v>
      </c>
      <c r="AD10" s="8">
        <f>IF(SUM('04_L0'!$B10:$AI10)=0,0,'04_L0'!AD10/SUM('04_L0'!$B10:$AI10))</f>
        <v>5.0169935554841968E-3</v>
      </c>
      <c r="AE10" s="8">
        <f>IF(SUM('04_L0'!$B10:$AI10)=0,0,'04_L0'!AE10/SUM('04_L0'!$B10:$AI10))</f>
        <v>3.2826653016713773E-3</v>
      </c>
      <c r="AF10" s="8">
        <f>IF(SUM('04_L0'!$B10:$AI10)=0,0,'04_L0'!AF10/SUM('04_L0'!$B10:$AI10))</f>
        <v>5.8897215218849655E-3</v>
      </c>
      <c r="AG10" s="8">
        <f>IF(SUM('04_L0'!$B10:$AI10)=0,0,'04_L0'!AG10/SUM('04_L0'!$B10:$AI10))</f>
        <v>8.2154064305267199E-3</v>
      </c>
      <c r="AH10" s="8">
        <f>IF(SUM('04_L0'!$B10:$AI10)=0,0,'04_L0'!AH10/SUM('04_L0'!$B10:$AI10))</f>
        <v>4.4208678953743825E-3</v>
      </c>
      <c r="AI10" s="8">
        <f>IF(SUM('04_L0'!$B10:$AI10)=0,0,'04_L0'!AI10/SUM('04_L0'!$B10:$AI10))</f>
        <v>7.8163996553598843E-3</v>
      </c>
    </row>
    <row r="11" spans="1:35" x14ac:dyDescent="0.2">
      <c r="A11" s="12" t="s">
        <v>1375</v>
      </c>
      <c r="B11" s="8">
        <f>IF(SUM('04_L0'!$B11:$AI11)=0,0,'04_L0'!B11/SUM('04_L0'!$B11:$AI11))</f>
        <v>3.3142679812845563E-2</v>
      </c>
      <c r="C11" s="8">
        <f>IF(SUM('04_L0'!$B11:$AI11)=0,0,'04_L0'!C11/SUM('04_L0'!$B11:$AI11))</f>
        <v>6.4615478258613579E-2</v>
      </c>
      <c r="D11" s="8">
        <f>IF(SUM('04_L0'!$B11:$AI11)=0,0,'04_L0'!D11/SUM('04_L0'!$B11:$AI11))</f>
        <v>1.6322628863253329E-2</v>
      </c>
      <c r="E11" s="8">
        <f>IF(SUM('04_L0'!$B11:$AI11)=0,0,'04_L0'!E11/SUM('04_L0'!$B11:$AI11))</f>
        <v>2.5014294024848154E-2</v>
      </c>
      <c r="F11" s="8">
        <f>IF(SUM('04_L0'!$B11:$AI11)=0,0,'04_L0'!F11/SUM('04_L0'!$B11:$AI11))</f>
        <v>1.0014299014036583E-2</v>
      </c>
      <c r="G11" s="8">
        <f>IF(SUM('04_L0'!$B11:$AI11)=0,0,'04_L0'!G11/SUM('04_L0'!$B11:$AI11))</f>
        <v>2.0564935784155733E-2</v>
      </c>
      <c r="H11" s="8">
        <f>IF(SUM('04_L0'!$B11:$AI11)=0,0,'04_L0'!H11/SUM('04_L0'!$B11:$AI11))</f>
        <v>4.1569917987720612E-3</v>
      </c>
      <c r="I11" s="8">
        <f>IF(SUM('04_L0'!$B11:$AI11)=0,0,'04_L0'!I11/SUM('04_L0'!$B11:$AI11))</f>
        <v>3.6864614380637158E-2</v>
      </c>
      <c r="J11" s="8">
        <f>IF(SUM('04_L0'!$B11:$AI11)=0,0,'04_L0'!J11/SUM('04_L0'!$B11:$AI11))</f>
        <v>1.3533672531623971E-2</v>
      </c>
      <c r="K11" s="8">
        <f>IF(SUM('04_L0'!$B11:$AI11)=0,0,'04_L0'!K11/SUM('04_L0'!$B11:$AI11))</f>
        <v>1.8983861971108608E-2</v>
      </c>
      <c r="L11" s="8">
        <f>IF(SUM('04_L0'!$B11:$AI11)=0,0,'04_L0'!L11/SUM('04_L0'!$B11:$AI11))</f>
        <v>7.687840449745402E-3</v>
      </c>
      <c r="M11" s="8">
        <f>IF(SUM('04_L0'!$B11:$AI11)=0,0,'04_L0'!M11/SUM('04_L0'!$B11:$AI11))</f>
        <v>5.5266736980962253E-2</v>
      </c>
      <c r="N11" s="8">
        <f>IF(SUM('04_L0'!$B11:$AI11)=0,0,'04_L0'!N11/SUM('04_L0'!$B11:$AI11))</f>
        <v>0.10006515880087849</v>
      </c>
      <c r="O11" s="8">
        <f>IF(SUM('04_L0'!$B11:$AI11)=0,0,'04_L0'!O11/SUM('04_L0'!$B11:$AI11))</f>
        <v>3.6954918691196178E-3</v>
      </c>
      <c r="P11" s="8">
        <f>IF(SUM('04_L0'!$B11:$AI11)=0,0,'04_L0'!P11/SUM('04_L0'!$B11:$AI11))</f>
        <v>0.1247332031487766</v>
      </c>
      <c r="Q11" s="8">
        <f>IF(SUM('04_L0'!$B11:$AI11)=0,0,'04_L0'!Q11/SUM('04_L0'!$B11:$AI11))</f>
        <v>1.9880918050584385E-2</v>
      </c>
      <c r="R11" s="8">
        <f>IF(SUM('04_L0'!$B11:$AI11)=0,0,'04_L0'!R11/SUM('04_L0'!$B11:$AI11))</f>
        <v>7.5536312810140427E-3</v>
      </c>
      <c r="S11" s="8">
        <f>IF(SUM('04_L0'!$B11:$AI11)=0,0,'04_L0'!S11/SUM('04_L0'!$B11:$AI11))</f>
        <v>3.1039237971316157E-2</v>
      </c>
      <c r="T11" s="8">
        <f>IF(SUM('04_L0'!$B11:$AI11)=0,0,'04_L0'!T11/SUM('04_L0'!$B11:$AI11))</f>
        <v>3.6348732297112156E-2</v>
      </c>
      <c r="U11" s="8">
        <f>IF(SUM('04_L0'!$B11:$AI11)=0,0,'04_L0'!U11/SUM('04_L0'!$B11:$AI11))</f>
        <v>2.0485108769296934E-2</v>
      </c>
      <c r="V11" s="8">
        <f>IF(SUM('04_L0'!$B11:$AI11)=0,0,'04_L0'!V11/SUM('04_L0'!$B11:$AI11))</f>
        <v>1.6598032064516193E-2</v>
      </c>
      <c r="W11" s="8">
        <f>IF(SUM('04_L0'!$B11:$AI11)=0,0,'04_L0'!W11/SUM('04_L0'!$B11:$AI11))</f>
        <v>1.9871438592569901E-2</v>
      </c>
      <c r="X11" s="8">
        <f>IF(SUM('04_L0'!$B11:$AI11)=0,0,'04_L0'!X11/SUM('04_L0'!$B11:$AI11))</f>
        <v>2.0960578426549668E-2</v>
      </c>
      <c r="Y11" s="8">
        <f>IF(SUM('04_L0'!$B11:$AI11)=0,0,'04_L0'!Y11/SUM('04_L0'!$B11:$AI11))</f>
        <v>1.8768827949832711E-2</v>
      </c>
      <c r="Z11" s="8">
        <f>IF(SUM('04_L0'!$B11:$AI11)=0,0,'04_L0'!Z11/SUM('04_L0'!$B11:$AI11))</f>
        <v>1.9763672122510519E-2</v>
      </c>
      <c r="AA11" s="8">
        <f>IF(SUM('04_L0'!$B11:$AI11)=0,0,'04_L0'!AA11/SUM('04_L0'!$B11:$AI11))</f>
        <v>3.1751195160088092E-2</v>
      </c>
      <c r="AB11" s="8">
        <f>IF(SUM('04_L0'!$B11:$AI11)=0,0,'04_L0'!AB11/SUM('04_L0'!$B11:$AI11))</f>
        <v>9.4139998622984E-2</v>
      </c>
      <c r="AC11" s="8">
        <f>IF(SUM('04_L0'!$B11:$AI11)=0,0,'04_L0'!AC11/SUM('04_L0'!$B11:$AI11))</f>
        <v>4.4356878643978498E-2</v>
      </c>
      <c r="AD11" s="8">
        <f>IF(SUM('04_L0'!$B11:$AI11)=0,0,'04_L0'!AD11/SUM('04_L0'!$B11:$AI11))</f>
        <v>9.7044704126158614E-3</v>
      </c>
      <c r="AE11" s="8">
        <f>IF(SUM('04_L0'!$B11:$AI11)=0,0,'04_L0'!AE11/SUM('04_L0'!$B11:$AI11))</f>
        <v>1.3008310990084487E-2</v>
      </c>
      <c r="AF11" s="8">
        <f>IF(SUM('04_L0'!$B11:$AI11)=0,0,'04_L0'!AF11/SUM('04_L0'!$B11:$AI11))</f>
        <v>2.4612664356339811E-2</v>
      </c>
      <c r="AG11" s="8">
        <f>IF(SUM('04_L0'!$B11:$AI11)=0,0,'04_L0'!AG11/SUM('04_L0'!$B11:$AI11))</f>
        <v>1.1740558210358154E-2</v>
      </c>
      <c r="AH11" s="8">
        <f>IF(SUM('04_L0'!$B11:$AI11)=0,0,'04_L0'!AH11/SUM('04_L0'!$B11:$AI11))</f>
        <v>6.7508708628402254E-3</v>
      </c>
      <c r="AI11" s="8">
        <f>IF(SUM('04_L0'!$B11:$AI11)=0,0,'04_L0'!AI11/SUM('04_L0'!$B11:$AI11))</f>
        <v>1.8002987526031092E-2</v>
      </c>
    </row>
    <row r="12" spans="1:35" x14ac:dyDescent="0.2">
      <c r="A12" s="12" t="s">
        <v>1376</v>
      </c>
      <c r="B12" s="8">
        <f>IF(SUM('04_L0'!$B12:$AI12)=0,0,'04_L0'!B12/SUM('04_L0'!$B12:$AI12))</f>
        <v>5.8420388087266238E-3</v>
      </c>
      <c r="C12" s="8">
        <f>IF(SUM('04_L0'!$B12:$AI12)=0,0,'04_L0'!C12/SUM('04_L0'!$B12:$AI12))</f>
        <v>4.6485039983416149E-4</v>
      </c>
      <c r="D12" s="8">
        <f>IF(SUM('04_L0'!$B12:$AI12)=0,0,'04_L0'!D12/SUM('04_L0'!$B12:$AI12))</f>
        <v>1.3223109346633918E-2</v>
      </c>
      <c r="E12" s="8">
        <f>IF(SUM('04_L0'!$B12:$AI12)=0,0,'04_L0'!E12/SUM('04_L0'!$B12:$AI12))</f>
        <v>1.1228649860858968E-2</v>
      </c>
      <c r="F12" s="8">
        <f>IF(SUM('04_L0'!$B12:$AI12)=0,0,'04_L0'!F12/SUM('04_L0'!$B12:$AI12))</f>
        <v>2.9464605411109925E-2</v>
      </c>
      <c r="G12" s="8">
        <f>IF(SUM('04_L0'!$B12:$AI12)=0,0,'04_L0'!G12/SUM('04_L0'!$B12:$AI12))</f>
        <v>0.12261057471842002</v>
      </c>
      <c r="H12" s="8">
        <f>IF(SUM('04_L0'!$B12:$AI12)=0,0,'04_L0'!H12/SUM('04_L0'!$B12:$AI12))</f>
        <v>1.3741354724827409E-2</v>
      </c>
      <c r="I12" s="8">
        <f>IF(SUM('04_L0'!$B12:$AI12)=0,0,'04_L0'!I12/SUM('04_L0'!$B12:$AI12))</f>
        <v>2.2080393992122672E-3</v>
      </c>
      <c r="J12" s="8">
        <f>IF(SUM('04_L0'!$B12:$AI12)=0,0,'04_L0'!J12/SUM('04_L0'!$B12:$AI12))</f>
        <v>0</v>
      </c>
      <c r="K12" s="8">
        <f>IF(SUM('04_L0'!$B12:$AI12)=0,0,'04_L0'!K12/SUM('04_L0'!$B12:$AI12))</f>
        <v>2.0415727019743577E-4</v>
      </c>
      <c r="L12" s="8">
        <f>IF(SUM('04_L0'!$B12:$AI12)=0,0,'04_L0'!L12/SUM('04_L0'!$B12:$AI12))</f>
        <v>3.5083641663159349E-3</v>
      </c>
      <c r="M12" s="8">
        <f>IF(SUM('04_L0'!$B12:$AI12)=0,0,'04_L0'!M12/SUM('04_L0'!$B12:$AI12))</f>
        <v>1.1841121671451276E-2</v>
      </c>
      <c r="N12" s="8">
        <f>IF(SUM('04_L0'!$B12:$AI12)=0,0,'04_L0'!N12/SUM('04_L0'!$B12:$AI12))</f>
        <v>7.3622252514275307E-3</v>
      </c>
      <c r="O12" s="8">
        <f>IF(SUM('04_L0'!$B12:$AI12)=0,0,'04_L0'!O12/SUM('04_L0'!$B12:$AI12))</f>
        <v>0</v>
      </c>
      <c r="P12" s="8">
        <f>IF(SUM('04_L0'!$B12:$AI12)=0,0,'04_L0'!P12/SUM('04_L0'!$B12:$AI12))</f>
        <v>1.7871613344975532E-2</v>
      </c>
      <c r="Q12" s="8">
        <f>IF(SUM('04_L0'!$B12:$AI12)=0,0,'04_L0'!Q12/SUM('04_L0'!$B12:$AI12))</f>
        <v>1.7243437128983422E-2</v>
      </c>
      <c r="R12" s="8">
        <f>IF(SUM('04_L0'!$B12:$AI12)=0,0,'04_L0'!R12/SUM('04_L0'!$B12:$AI12))</f>
        <v>0</v>
      </c>
      <c r="S12" s="8">
        <f>IF(SUM('04_L0'!$B12:$AI12)=0,0,'04_L0'!S12/SUM('04_L0'!$B12:$AI12))</f>
        <v>0</v>
      </c>
      <c r="T12" s="8">
        <f>IF(SUM('04_L0'!$B12:$AI12)=0,0,'04_L0'!T12/SUM('04_L0'!$B12:$AI12))</f>
        <v>0</v>
      </c>
      <c r="U12" s="8">
        <f>IF(SUM('04_L0'!$B12:$AI12)=0,0,'04_L0'!U12/SUM('04_L0'!$B12:$AI12))</f>
        <v>6.8785295651136054E-4</v>
      </c>
      <c r="V12" s="8">
        <f>IF(SUM('04_L0'!$B12:$AI12)=0,0,'04_L0'!V12/SUM('04_L0'!$B12:$AI12))</f>
        <v>6.5462243468537795E-2</v>
      </c>
      <c r="W12" s="8">
        <f>IF(SUM('04_L0'!$B12:$AI12)=0,0,'04_L0'!W12/SUM('04_L0'!$B12:$AI12))</f>
        <v>0.21559635909065211</v>
      </c>
      <c r="X12" s="8">
        <f>IF(SUM('04_L0'!$B12:$AI12)=0,0,'04_L0'!X12/SUM('04_L0'!$B12:$AI12))</f>
        <v>0.422530168162773</v>
      </c>
      <c r="Y12" s="8">
        <f>IF(SUM('04_L0'!$B12:$AI12)=0,0,'04_L0'!Y12/SUM('04_L0'!$B12:$AI12))</f>
        <v>2.8443819060122746E-2</v>
      </c>
      <c r="Z12" s="8">
        <f>IF(SUM('04_L0'!$B12:$AI12)=0,0,'04_L0'!Z12/SUM('04_L0'!$B12:$AI12))</f>
        <v>5.4117381007720289E-3</v>
      </c>
      <c r="AA12" s="8">
        <f>IF(SUM('04_L0'!$B12:$AI12)=0,0,'04_L0'!AA12/SUM('04_L0'!$B12:$AI12))</f>
        <v>4.7427304307404313E-4</v>
      </c>
      <c r="AB12" s="8">
        <f>IF(SUM('04_L0'!$B12:$AI12)=0,0,'04_L0'!AB12/SUM('04_L0'!$B12:$AI12))</f>
        <v>3.7407893662330157E-3</v>
      </c>
      <c r="AC12" s="8">
        <f>IF(SUM('04_L0'!$B12:$AI12)=0,0,'04_L0'!AC12/SUM('04_L0'!$B12:$AI12))</f>
        <v>0</v>
      </c>
      <c r="AD12" s="8">
        <f>IF(SUM('04_L0'!$B12:$AI12)=0,0,'04_L0'!AD12/SUM('04_L0'!$B12:$AI12))</f>
        <v>4.0203277823495047E-4</v>
      </c>
      <c r="AE12" s="8">
        <f>IF(SUM('04_L0'!$B12:$AI12)=0,0,'04_L0'!AE12/SUM('04_L0'!$B12:$AI12))</f>
        <v>4.3658247011451652E-4</v>
      </c>
      <c r="AF12" s="8">
        <f>IF(SUM('04_L0'!$B12:$AI12)=0,0,'04_L0'!AF12/SUM('04_L0'!$B12:$AI12))</f>
        <v>0</v>
      </c>
      <c r="AG12" s="8">
        <f>IF(SUM('04_L0'!$B12:$AI12)=0,0,'04_L0'!AG12/SUM('04_L0'!$B12:$AI12))</f>
        <v>0</v>
      </c>
      <c r="AH12" s="8">
        <f>IF(SUM('04_L0'!$B12:$AI12)=0,0,'04_L0'!AH12/SUM('04_L0'!$B12:$AI12))</f>
        <v>0</v>
      </c>
      <c r="AI12" s="8">
        <f>IF(SUM('04_L0'!$B12:$AI12)=0,0,'04_L0'!AI12/SUM('04_L0'!$B12:$AI12))</f>
        <v>0</v>
      </c>
    </row>
    <row r="13" spans="1:35" x14ac:dyDescent="0.2">
      <c r="A13" s="12" t="s">
        <v>1377</v>
      </c>
      <c r="B13" s="8">
        <f>IF(SUM('04_L0'!$B13:$AI13)=0,0,'04_L0'!B13/SUM('04_L0'!$B13:$AI13))</f>
        <v>2.421509686038744E-2</v>
      </c>
      <c r="C13" s="8">
        <f>IF(SUM('04_L0'!$B13:$AI13)=0,0,'04_L0'!C13/SUM('04_L0'!$B13:$AI13))</f>
        <v>2.7007139278557114E-2</v>
      </c>
      <c r="D13" s="8">
        <f>IF(SUM('04_L0'!$B13:$AI13)=0,0,'04_L0'!D13/SUM('04_L0'!$B13:$AI13))</f>
        <v>6.3721192384769542E-3</v>
      </c>
      <c r="E13" s="8">
        <f>IF(SUM('04_L0'!$B13:$AI13)=0,0,'04_L0'!E13/SUM('04_L0'!$B13:$AI13))</f>
        <v>0.14624039746158984</v>
      </c>
      <c r="F13" s="8">
        <f>IF(SUM('04_L0'!$B13:$AI13)=0,0,'04_L0'!F13/SUM('04_L0'!$B13:$AI13))</f>
        <v>4.9714011356045425E-2</v>
      </c>
      <c r="G13" s="8">
        <f>IF(SUM('04_L0'!$B13:$AI13)=0,0,'04_L0'!G13/SUM('04_L0'!$B13:$AI13))</f>
        <v>0.12930548597194388</v>
      </c>
      <c r="H13" s="8">
        <f>IF(SUM('04_L0'!$B13:$AI13)=0,0,'04_L0'!H13/SUM('04_L0'!$B13:$AI13))</f>
        <v>8.6631596526386102E-4</v>
      </c>
      <c r="I13" s="8">
        <f>IF(SUM('04_L0'!$B13:$AI13)=0,0,'04_L0'!I13/SUM('04_L0'!$B13:$AI13))</f>
        <v>2.0415831663326653E-2</v>
      </c>
      <c r="J13" s="8">
        <f>IF(SUM('04_L0'!$B13:$AI13)=0,0,'04_L0'!J13/SUM('04_L0'!$B13:$AI13))</f>
        <v>0</v>
      </c>
      <c r="K13" s="8">
        <f>IF(SUM('04_L0'!$B13:$AI13)=0,0,'04_L0'!K13/SUM('04_L0'!$B13:$AI13))</f>
        <v>3.3713259853039412E-2</v>
      </c>
      <c r="L13" s="8">
        <f>IF(SUM('04_L0'!$B13:$AI13)=0,0,'04_L0'!L13/SUM('04_L0'!$B13:$AI13))</f>
        <v>9.633851035404142E-3</v>
      </c>
      <c r="M13" s="8">
        <f>IF(SUM('04_L0'!$B13:$AI13)=0,0,'04_L0'!M13/SUM('04_L0'!$B13:$AI13))</f>
        <v>0.26105857548430195</v>
      </c>
      <c r="N13" s="8">
        <f>IF(SUM('04_L0'!$B13:$AI13)=0,0,'04_L0'!N13/SUM('04_L0'!$B13:$AI13))</f>
        <v>4.6029559118236474E-2</v>
      </c>
      <c r="O13" s="8">
        <f>IF(SUM('04_L0'!$B13:$AI13)=0,0,'04_L0'!O13/SUM('04_L0'!$B13:$AI13))</f>
        <v>4.6603623914495658E-3</v>
      </c>
      <c r="P13" s="8">
        <f>IF(SUM('04_L0'!$B13:$AI13)=0,0,'04_L0'!P13/SUM('04_L0'!$B13:$AI13))</f>
        <v>7.8067593520374082E-2</v>
      </c>
      <c r="Q13" s="8">
        <f>IF(SUM('04_L0'!$B13:$AI13)=0,0,'04_L0'!Q13/SUM('04_L0'!$B13:$AI13))</f>
        <v>3.5435454241816967E-2</v>
      </c>
      <c r="R13" s="8">
        <f>IF(SUM('04_L0'!$B13:$AI13)=0,0,'04_L0'!R13/SUM('04_L0'!$B13:$AI13))</f>
        <v>1.2055360721442885E-3</v>
      </c>
      <c r="S13" s="8">
        <f>IF(SUM('04_L0'!$B13:$AI13)=0,0,'04_L0'!S13/SUM('04_L0'!$B13:$AI13))</f>
        <v>1.5447561790247161E-3</v>
      </c>
      <c r="T13" s="8">
        <f>IF(SUM('04_L0'!$B13:$AI13)=0,0,'04_L0'!T13/SUM('04_L0'!$B13:$AI13))</f>
        <v>0</v>
      </c>
      <c r="U13" s="8">
        <f>IF(SUM('04_L0'!$B13:$AI13)=0,0,'04_L0'!U13/SUM('04_L0'!$B13:$AI13))</f>
        <v>6.0537742150968603E-4</v>
      </c>
      <c r="V13" s="8">
        <f>IF(SUM('04_L0'!$B13:$AI13)=0,0,'04_L0'!V13/SUM('04_L0'!$B13:$AI13))</f>
        <v>2.7711673346693388E-3</v>
      </c>
      <c r="W13" s="8">
        <f>IF(SUM('04_L0'!$B13:$AI13)=0,0,'04_L0'!W13/SUM('04_L0'!$B13:$AI13))</f>
        <v>2.4267284569138275E-3</v>
      </c>
      <c r="X13" s="8">
        <f>IF(SUM('04_L0'!$B13:$AI13)=0,0,'04_L0'!X13/SUM('04_L0'!$B13:$AI13))</f>
        <v>6.7744864729458912E-2</v>
      </c>
      <c r="Y13" s="8">
        <f>IF(SUM('04_L0'!$B13:$AI13)=0,0,'04_L0'!Y13/SUM('04_L0'!$B13:$AI13))</f>
        <v>9.8478206412825654E-3</v>
      </c>
      <c r="Z13" s="8">
        <f>IF(SUM('04_L0'!$B13:$AI13)=0,0,'04_L0'!Z13/SUM('04_L0'!$B13:$AI13))</f>
        <v>3.6218269873079492E-3</v>
      </c>
      <c r="AA13" s="8">
        <f>IF(SUM('04_L0'!$B13:$AI13)=0,0,'04_L0'!AA13/SUM('04_L0'!$B13:$AI13))</f>
        <v>2.1626586506346024E-2</v>
      </c>
      <c r="AB13" s="8">
        <f>IF(SUM('04_L0'!$B13:$AI13)=0,0,'04_L0'!AB13/SUM('04_L0'!$B13:$AI13))</f>
        <v>5.662366399465598E-3</v>
      </c>
      <c r="AC13" s="8">
        <f>IF(SUM('04_L0'!$B13:$AI13)=0,0,'04_L0'!AC13/SUM('04_L0'!$B13:$AI13))</f>
        <v>4.5925183700734802E-4</v>
      </c>
      <c r="AD13" s="8">
        <f>IF(SUM('04_L0'!$B13:$AI13)=0,0,'04_L0'!AD13/SUM('04_L0'!$B13:$AI13))</f>
        <v>0</v>
      </c>
      <c r="AE13" s="8">
        <f>IF(SUM('04_L0'!$B13:$AI13)=0,0,'04_L0'!AE13/SUM('04_L0'!$B13:$AI13))</f>
        <v>0</v>
      </c>
      <c r="AF13" s="8">
        <f>IF(SUM('04_L0'!$B13:$AI13)=0,0,'04_L0'!AF13/SUM('04_L0'!$B13:$AI13))</f>
        <v>2.9381680026720107E-3</v>
      </c>
      <c r="AG13" s="8">
        <f>IF(SUM('04_L0'!$B13:$AI13)=0,0,'04_L0'!AG13/SUM('04_L0'!$B13:$AI13))</f>
        <v>1.0385354041416166E-3</v>
      </c>
      <c r="AH13" s="8">
        <f>IF(SUM('04_L0'!$B13:$AI13)=0,0,'04_L0'!AH13/SUM('04_L0'!$B13:$AI13))</f>
        <v>4.5298931195724779E-3</v>
      </c>
      <c r="AI13" s="8">
        <f>IF(SUM('04_L0'!$B13:$AI13)=0,0,'04_L0'!AI13/SUM('04_L0'!$B13:$AI13))</f>
        <v>1.2420674682698731E-3</v>
      </c>
    </row>
    <row r="14" spans="1:35" x14ac:dyDescent="0.2">
      <c r="A14" s="12" t="s">
        <v>1378</v>
      </c>
      <c r="B14" s="8">
        <f>IF(SUM('04_L0'!$B14:$AI14)=0,0,'04_L0'!B14/SUM('04_L0'!$B14:$AI14))</f>
        <v>1.8399099000800764E-2</v>
      </c>
      <c r="C14" s="8">
        <f>IF(SUM('04_L0'!$B14:$AI14)=0,0,'04_L0'!C14/SUM('04_L0'!$B14:$AI14))</f>
        <v>4.3246235511179579E-2</v>
      </c>
      <c r="D14" s="8">
        <f>IF(SUM('04_L0'!$B14:$AI14)=0,0,'04_L0'!D14/SUM('04_L0'!$B14:$AI14))</f>
        <v>3.4728168368985554E-2</v>
      </c>
      <c r="E14" s="8">
        <f>IF(SUM('04_L0'!$B14:$AI14)=0,0,'04_L0'!E14/SUM('04_L0'!$B14:$AI14))</f>
        <v>1.177783983346063E-2</v>
      </c>
      <c r="F14" s="8">
        <f>IF(SUM('04_L0'!$B14:$AI14)=0,0,'04_L0'!F14/SUM('04_L0'!$B14:$AI14))</f>
        <v>3.3066843217139201E-2</v>
      </c>
      <c r="G14" s="8">
        <f>IF(SUM('04_L0'!$B14:$AI14)=0,0,'04_L0'!G14/SUM('04_L0'!$B14:$AI14))</f>
        <v>2.3894109169097011E-2</v>
      </c>
      <c r="H14" s="8">
        <f>IF(SUM('04_L0'!$B14:$AI14)=0,0,'04_L0'!H14/SUM('04_L0'!$B14:$AI14))</f>
        <v>6.2852954538869773E-3</v>
      </c>
      <c r="I14" s="8">
        <f>IF(SUM('04_L0'!$B14:$AI14)=0,0,'04_L0'!I14/SUM('04_L0'!$B14:$AI14))</f>
        <v>5.1679849389624825E-2</v>
      </c>
      <c r="J14" s="8">
        <f>IF(SUM('04_L0'!$B14:$AI14)=0,0,'04_L0'!J14/SUM('04_L0'!$B14:$AI14))</f>
        <v>7.2529942380682028E-2</v>
      </c>
      <c r="K14" s="8">
        <f>IF(SUM('04_L0'!$B14:$AI14)=0,0,'04_L0'!K14/SUM('04_L0'!$B14:$AI14))</f>
        <v>3.7621771434947254E-3</v>
      </c>
      <c r="L14" s="8">
        <f>IF(SUM('04_L0'!$B14:$AI14)=0,0,'04_L0'!L14/SUM('04_L0'!$B14:$AI14))</f>
        <v>3.7966981856110134E-3</v>
      </c>
      <c r="M14" s="8">
        <f>IF(SUM('04_L0'!$B14:$AI14)=0,0,'04_L0'!M14/SUM('04_L0'!$B14:$AI14))</f>
        <v>9.9326901323450456E-2</v>
      </c>
      <c r="N14" s="8">
        <f>IF(SUM('04_L0'!$B14:$AI14)=0,0,'04_L0'!N14/SUM('04_L0'!$B14:$AI14))</f>
        <v>0.10031136747094531</v>
      </c>
      <c r="O14" s="8">
        <f>IF(SUM('04_L0'!$B14:$AI14)=0,0,'04_L0'!O14/SUM('04_L0'!$B14:$AI14))</f>
        <v>7.3566806538531955E-3</v>
      </c>
      <c r="P14" s="8">
        <f>IF(SUM('04_L0'!$B14:$AI14)=0,0,'04_L0'!P14/SUM('04_L0'!$B14:$AI14))</f>
        <v>0.10435341163445422</v>
      </c>
      <c r="Q14" s="8">
        <f>IF(SUM('04_L0'!$B14:$AI14)=0,0,'04_L0'!Q14/SUM('04_L0'!$B14:$AI14))</f>
        <v>3.4697346009953153E-2</v>
      </c>
      <c r="R14" s="8">
        <f>IF(SUM('04_L0'!$B14:$AI14)=0,0,'04_L0'!R14/SUM('04_L0'!$B14:$AI14))</f>
        <v>6.9787985321159733E-3</v>
      </c>
      <c r="S14" s="8">
        <f>IF(SUM('04_L0'!$B14:$AI14)=0,0,'04_L0'!S14/SUM('04_L0'!$B14:$AI14))</f>
        <v>4.5099275736207457E-2</v>
      </c>
      <c r="T14" s="8">
        <f>IF(SUM('04_L0'!$B14:$AI14)=0,0,'04_L0'!T14/SUM('04_L0'!$B14:$AI14))</f>
        <v>1.2266066000533843E-2</v>
      </c>
      <c r="U14" s="8">
        <f>IF(SUM('04_L0'!$B14:$AI14)=0,0,'04_L0'!U14/SUM('04_L0'!$B14:$AI14))</f>
        <v>4.7737053222200239E-2</v>
      </c>
      <c r="V14" s="8">
        <f>IF(SUM('04_L0'!$B14:$AI14)=0,0,'04_L0'!V14/SUM('04_L0'!$B14:$AI14))</f>
        <v>7.1424652585780166E-2</v>
      </c>
      <c r="W14" s="8">
        <f>IF(SUM('04_L0'!$B14:$AI14)=0,0,'04_L0'!W14/SUM('04_L0'!$B14:$AI14))</f>
        <v>1.5773650458420947E-2</v>
      </c>
      <c r="X14" s="8">
        <f>IF(SUM('04_L0'!$B14:$AI14)=0,0,'04_L0'!X14/SUM('04_L0'!$B14:$AI14))</f>
        <v>1.0785359872617355E-2</v>
      </c>
      <c r="Y14" s="8">
        <f>IF(SUM('04_L0'!$B14:$AI14)=0,0,'04_L0'!Y14/SUM('04_L0'!$B14:$AI14))</f>
        <v>7.4466819422278031E-4</v>
      </c>
      <c r="Z14" s="8">
        <f>IF(SUM('04_L0'!$B14:$AI14)=0,0,'04_L0'!Z14/SUM('04_L0'!$B14:$AI14))</f>
        <v>2.4713367472178199E-2</v>
      </c>
      <c r="AA14" s="8">
        <f>IF(SUM('04_L0'!$B14:$AI14)=0,0,'04_L0'!AA14/SUM('04_L0'!$B14:$AI14))</f>
        <v>1.8429304912652517E-2</v>
      </c>
      <c r="AB14" s="8">
        <f>IF(SUM('04_L0'!$B14:$AI14)=0,0,'04_L0'!AB14/SUM('04_L0'!$B14:$AI14))</f>
        <v>3.1470245019260892E-2</v>
      </c>
      <c r="AC14" s="8">
        <f>IF(SUM('04_L0'!$B14:$AI14)=0,0,'04_L0'!AC14/SUM('04_L0'!$B14:$AI14))</f>
        <v>2.5642353373414729E-2</v>
      </c>
      <c r="AD14" s="8">
        <f>IF(SUM('04_L0'!$B14:$AI14)=0,0,'04_L0'!AD14/SUM('04_L0'!$B14:$AI14))</f>
        <v>1.2262367317449955E-2</v>
      </c>
      <c r="AE14" s="8">
        <f>IF(SUM('04_L0'!$B14:$AI14)=0,0,'04_L0'!AE14/SUM('04_L0'!$B14:$AI14))</f>
        <v>4.0525237655799316E-3</v>
      </c>
      <c r="AF14" s="8">
        <f>IF(SUM('04_L0'!$B14:$AI14)=0,0,'04_L0'!AF14/SUM('04_L0'!$B14:$AI14))</f>
        <v>1.0877210502533907E-2</v>
      </c>
      <c r="AG14" s="8">
        <f>IF(SUM('04_L0'!$B14:$AI14)=0,0,'04_L0'!AG14/SUM('04_L0'!$B14:$AI14))</f>
        <v>9.8150720102774067E-3</v>
      </c>
      <c r="AH14" s="8">
        <f>IF(SUM('04_L0'!$B14:$AI14)=0,0,'04_L0'!AH14/SUM('04_L0'!$B14:$AI14))</f>
        <v>1.1348792595729624E-3</v>
      </c>
      <c r="AI14" s="8">
        <f>IF(SUM('04_L0'!$B14:$AI14)=0,0,'04_L0'!AI14/SUM('04_L0'!$B14:$AI14))</f>
        <v>1.5811870183621121E-3</v>
      </c>
    </row>
    <row r="15" spans="1:35" x14ac:dyDescent="0.2">
      <c r="A15" s="12" t="s">
        <v>1379</v>
      </c>
      <c r="B15" s="8">
        <f>IF(SUM('04_L0'!$B15:$AI15)=0,0,'04_L0'!B15/SUM('04_L0'!$B15:$AI15))</f>
        <v>4.2789806220122351E-3</v>
      </c>
      <c r="C15" s="8">
        <f>IF(SUM('04_L0'!$B15:$AI15)=0,0,'04_L0'!C15/SUM('04_L0'!$B15:$AI15))</f>
        <v>9.1819792514012556E-3</v>
      </c>
      <c r="D15" s="8">
        <f>IF(SUM('04_L0'!$B15:$AI15)=0,0,'04_L0'!D15/SUM('04_L0'!$B15:$AI15))</f>
        <v>0</v>
      </c>
      <c r="E15" s="8">
        <f>IF(SUM('04_L0'!$B15:$AI15)=0,0,'04_L0'!E15/SUM('04_L0'!$B15:$AI15))</f>
        <v>8.8064541291048681E-2</v>
      </c>
      <c r="F15" s="8">
        <f>IF(SUM('04_L0'!$B15:$AI15)=0,0,'04_L0'!F15/SUM('04_L0'!$B15:$AI15))</f>
        <v>0</v>
      </c>
      <c r="G15" s="8">
        <f>IF(SUM('04_L0'!$B15:$AI15)=0,0,'04_L0'!G15/SUM('04_L0'!$B15:$AI15))</f>
        <v>1.3360671265085078E-2</v>
      </c>
      <c r="H15" s="8">
        <f>IF(SUM('04_L0'!$B15:$AI15)=0,0,'04_L0'!H15/SUM('04_L0'!$B15:$AI15))</f>
        <v>0</v>
      </c>
      <c r="I15" s="8">
        <f>IF(SUM('04_L0'!$B15:$AI15)=0,0,'04_L0'!I15/SUM('04_L0'!$B15:$AI15))</f>
        <v>1.5266154823324902E-3</v>
      </c>
      <c r="J15" s="8">
        <f>IF(SUM('04_L0'!$B15:$AI15)=0,0,'04_L0'!J15/SUM('04_L0'!$B15:$AI15))</f>
        <v>9.2488383236201963E-4</v>
      </c>
      <c r="K15" s="8">
        <f>IF(SUM('04_L0'!$B15:$AI15)=0,0,'04_L0'!K15/SUM('04_L0'!$B15:$AI15))</f>
        <v>1.1265753668891588E-2</v>
      </c>
      <c r="L15" s="8">
        <f>IF(SUM('04_L0'!$B15:$AI15)=0,0,'04_L0'!L15/SUM('04_L0'!$B15:$AI15))</f>
        <v>4.3748119588593842E-2</v>
      </c>
      <c r="M15" s="8">
        <f>IF(SUM('04_L0'!$B15:$AI15)=0,0,'04_L0'!M15/SUM('04_L0'!$B15:$AI15))</f>
        <v>5.2874382946479316E-2</v>
      </c>
      <c r="N15" s="8">
        <f>IF(SUM('04_L0'!$B15:$AI15)=0,0,'04_L0'!N15/SUM('04_L0'!$B15:$AI15))</f>
        <v>0.2425870003677249</v>
      </c>
      <c r="O15" s="8">
        <f>IF(SUM('04_L0'!$B15:$AI15)=0,0,'04_L0'!O15/SUM('04_L0'!$B15:$AI15))</f>
        <v>0</v>
      </c>
      <c r="P15" s="8">
        <f>IF(SUM('04_L0'!$B15:$AI15)=0,0,'04_L0'!P15/SUM('04_L0'!$B15:$AI15))</f>
        <v>0.22358788067884244</v>
      </c>
      <c r="Q15" s="8">
        <f>IF(SUM('04_L0'!$B15:$AI15)=0,0,'04_L0'!Q15/SUM('04_L0'!$B15:$AI15))</f>
        <v>1.5288441180731215E-2</v>
      </c>
      <c r="R15" s="8">
        <f>IF(SUM('04_L0'!$B15:$AI15)=0,0,'04_L0'!R15/SUM('04_L0'!$B15:$AI15))</f>
        <v>8.3016681338518618E-3</v>
      </c>
      <c r="S15" s="8">
        <f>IF(SUM('04_L0'!$B15:$AI15)=0,0,'04_L0'!S15/SUM('04_L0'!$B15:$AI15))</f>
        <v>3.1278902619761316E-2</v>
      </c>
      <c r="T15" s="8">
        <f>IF(SUM('04_L0'!$B15:$AI15)=0,0,'04_L0'!T15/SUM('04_L0'!$B15:$AI15))</f>
        <v>2.9774573494835137E-2</v>
      </c>
      <c r="U15" s="8">
        <f>IF(SUM('04_L0'!$B15:$AI15)=0,0,'04_L0'!U15/SUM('04_L0'!$B15:$AI15))</f>
        <v>3.0086582498523528E-3</v>
      </c>
      <c r="V15" s="8">
        <f>IF(SUM('04_L0'!$B15:$AI15)=0,0,'04_L0'!V15/SUM('04_L0'!$B15:$AI15))</f>
        <v>1.2792369151224078E-2</v>
      </c>
      <c r="W15" s="8">
        <f>IF(SUM('04_L0'!$B15:$AI15)=0,0,'04_L0'!W15/SUM('04_L0'!$B15:$AI15))</f>
        <v>2.4091552356225138E-2</v>
      </c>
      <c r="X15" s="8">
        <f>IF(SUM('04_L0'!$B15:$AI15)=0,0,'04_L0'!X15/SUM('04_L0'!$B15:$AI15))</f>
        <v>8.9580013594678015E-2</v>
      </c>
      <c r="Y15" s="8">
        <f>IF(SUM('04_L0'!$B15:$AI15)=0,0,'04_L0'!Y15/SUM('04_L0'!$B15:$AI15))</f>
        <v>3.0755173220712939E-3</v>
      </c>
      <c r="Z15" s="8">
        <f>IF(SUM('04_L0'!$B15:$AI15)=0,0,'04_L0'!Z15/SUM('04_L0'!$B15:$AI15))</f>
        <v>6.7304799367067453E-3</v>
      </c>
      <c r="AA15" s="8">
        <f>IF(SUM('04_L0'!$B15:$AI15)=0,0,'04_L0'!AA15/SUM('04_L0'!$B15:$AI15))</f>
        <v>3.5212444701975686E-3</v>
      </c>
      <c r="AB15" s="8">
        <f>IF(SUM('04_L0'!$B15:$AI15)=0,0,'04_L0'!AB15/SUM('04_L0'!$B15:$AI15))</f>
        <v>7.0993191517812373E-2</v>
      </c>
      <c r="AC15" s="8">
        <f>IF(SUM('04_L0'!$B15:$AI15)=0,0,'04_L0'!AC15/SUM('04_L0'!$B15:$AI15))</f>
        <v>6.7973390089256863E-4</v>
      </c>
      <c r="AD15" s="8">
        <f>IF(SUM('04_L0'!$B15:$AI15)=0,0,'04_L0'!AD15/SUM('04_L0'!$B15:$AI15))</f>
        <v>1.1923201212377843E-3</v>
      </c>
      <c r="AE15" s="8">
        <f>IF(SUM('04_L0'!$B15:$AI15)=0,0,'04_L0'!AE15/SUM('04_L0'!$B15:$AI15))</f>
        <v>0</v>
      </c>
      <c r="AF15" s="8">
        <f>IF(SUM('04_L0'!$B15:$AI15)=0,0,'04_L0'!AF15/SUM('04_L0'!$B15:$AI15))</f>
        <v>1.3928973378946078E-3</v>
      </c>
      <c r="AG15" s="8">
        <f>IF(SUM('04_L0'!$B15:$AI15)=0,0,'04_L0'!AG15/SUM('04_L0'!$B15:$AI15))</f>
        <v>4.1118329414648819E-3</v>
      </c>
      <c r="AH15" s="8">
        <f>IF(SUM('04_L0'!$B15:$AI15)=0,0,'04_L0'!AH15/SUM('04_L0'!$B15:$AI15))</f>
        <v>0</v>
      </c>
      <c r="AI15" s="8">
        <f>IF(SUM('04_L0'!$B15:$AI15)=0,0,'04_L0'!AI15/SUM('04_L0'!$B15:$AI15))</f>
        <v>2.7857946757892157E-3</v>
      </c>
    </row>
    <row r="16" spans="1:35" x14ac:dyDescent="0.2">
      <c r="A16" s="12" t="s">
        <v>1380</v>
      </c>
      <c r="B16" s="8">
        <f>IF(SUM('04_L0'!$B16:$AI16)=0,0,'04_L0'!B16/SUM('04_L0'!$B16:$AI16))</f>
        <v>1.2690102507673598E-2</v>
      </c>
      <c r="C16" s="8">
        <f>IF(SUM('04_L0'!$B16:$AI16)=0,0,'04_L0'!C16/SUM('04_L0'!$B16:$AI16))</f>
        <v>4.9934722716329247E-2</v>
      </c>
      <c r="D16" s="8">
        <f>IF(SUM('04_L0'!$B16:$AI16)=0,0,'04_L0'!D16/SUM('04_L0'!$B16:$AI16))</f>
        <v>2.086192489389339E-2</v>
      </c>
      <c r="E16" s="8">
        <f>IF(SUM('04_L0'!$B16:$AI16)=0,0,'04_L0'!E16/SUM('04_L0'!$B16:$AI16))</f>
        <v>2.3753319709768426E-2</v>
      </c>
      <c r="F16" s="8">
        <f>IF(SUM('04_L0'!$B16:$AI16)=0,0,'04_L0'!F16/SUM('04_L0'!$B16:$AI16))</f>
        <v>6.8963919615451438E-3</v>
      </c>
      <c r="G16" s="8">
        <f>IF(SUM('04_L0'!$B16:$AI16)=0,0,'04_L0'!G16/SUM('04_L0'!$B16:$AI16))</f>
        <v>1.9788696853618379E-2</v>
      </c>
      <c r="H16" s="8">
        <f>IF(SUM('04_L0'!$B16:$AI16)=0,0,'04_L0'!H16/SUM('04_L0'!$B16:$AI16))</f>
        <v>5.3236148226592428E-3</v>
      </c>
      <c r="I16" s="8">
        <f>IF(SUM('04_L0'!$B16:$AI16)=0,0,'04_L0'!I16/SUM('04_L0'!$B16:$AI16))</f>
        <v>3.5312114768882012E-2</v>
      </c>
      <c r="J16" s="8">
        <f>IF(SUM('04_L0'!$B16:$AI16)=0,0,'04_L0'!J16/SUM('04_L0'!$B16:$AI16))</f>
        <v>7.2344439020758013E-3</v>
      </c>
      <c r="K16" s="8">
        <f>IF(SUM('04_L0'!$B16:$AI16)=0,0,'04_L0'!K16/SUM('04_L0'!$B16:$AI16))</f>
        <v>7.27134335520274E-3</v>
      </c>
      <c r="L16" s="8">
        <f>IF(SUM('04_L0'!$B16:$AI16)=0,0,'04_L0'!L16/SUM('04_L0'!$B16:$AI16))</f>
        <v>2.348162059750639E-2</v>
      </c>
      <c r="M16" s="8">
        <f>IF(SUM('04_L0'!$B16:$AI16)=0,0,'04_L0'!M16/SUM('04_L0'!$B16:$AI16))</f>
        <v>0.19595380122281147</v>
      </c>
      <c r="N16" s="8">
        <f>IF(SUM('04_L0'!$B16:$AI16)=0,0,'04_L0'!N16/SUM('04_L0'!$B16:$AI16))</f>
        <v>0.17937039273924663</v>
      </c>
      <c r="O16" s="8">
        <f>IF(SUM('04_L0'!$B16:$AI16)=0,0,'04_L0'!O16/SUM('04_L0'!$B16:$AI16))</f>
        <v>1.9773473760848523E-2</v>
      </c>
      <c r="P16" s="8">
        <f>IF(SUM('04_L0'!$B16:$AI16)=0,0,'04_L0'!P16/SUM('04_L0'!$B16:$AI16))</f>
        <v>0.17219353184025682</v>
      </c>
      <c r="Q16" s="8">
        <f>IF(SUM('04_L0'!$B16:$AI16)=0,0,'04_L0'!Q16/SUM('04_L0'!$B16:$AI16))</f>
        <v>4.2369011078109357E-2</v>
      </c>
      <c r="R16" s="8">
        <f>IF(SUM('04_L0'!$B16:$AI16)=0,0,'04_L0'!R16/SUM('04_L0'!$B16:$AI16))</f>
        <v>1.4368283017150799E-2</v>
      </c>
      <c r="S16" s="8">
        <f>IF(SUM('04_L0'!$B16:$AI16)=0,0,'04_L0'!S16/SUM('04_L0'!$B16:$AI16))</f>
        <v>1.6028427471063714E-2</v>
      </c>
      <c r="T16" s="8">
        <f>IF(SUM('04_L0'!$B16:$AI16)=0,0,'04_L0'!T16/SUM('04_L0'!$B16:$AI16))</f>
        <v>1.331871695802894E-2</v>
      </c>
      <c r="U16" s="8">
        <f>IF(SUM('04_L0'!$B16:$AI16)=0,0,'04_L0'!U16/SUM('04_L0'!$B16:$AI16))</f>
        <v>1.3618049293036262E-2</v>
      </c>
      <c r="V16" s="8">
        <f>IF(SUM('04_L0'!$B16:$AI16)=0,0,'04_L0'!V16/SUM('04_L0'!$B16:$AI16))</f>
        <v>6.9632411950127822E-3</v>
      </c>
      <c r="W16" s="8">
        <f>IF(SUM('04_L0'!$B16:$AI16)=0,0,'04_L0'!W16/SUM('04_L0'!$B16:$AI16))</f>
        <v>1.1307283091611579E-2</v>
      </c>
      <c r="X16" s="8">
        <f>IF(SUM('04_L0'!$B16:$AI16)=0,0,'04_L0'!X16/SUM('04_L0'!$B16:$AI16))</f>
        <v>1.0492847628424161E-2</v>
      </c>
      <c r="Y16" s="8">
        <f>IF(SUM('04_L0'!$B16:$AI16)=0,0,'04_L0'!Y16/SUM('04_L0'!$B16:$AI16))</f>
        <v>2.0582614235246425E-3</v>
      </c>
      <c r="Z16" s="8">
        <f>IF(SUM('04_L0'!$B16:$AI16)=0,0,'04_L0'!Z16/SUM('04_L0'!$B16:$AI16))</f>
        <v>1.0801446193813137E-2</v>
      </c>
      <c r="AA16" s="8">
        <f>IF(SUM('04_L0'!$B16:$AI16)=0,0,'04_L0'!AA16/SUM('04_L0'!$B16:$AI16))</f>
        <v>9.1573521746684435E-3</v>
      </c>
      <c r="AB16" s="8">
        <f>IF(SUM('04_L0'!$B16:$AI16)=0,0,'04_L0'!AB16/SUM('04_L0'!$B16:$AI16))</f>
        <v>3.0981310344257006E-2</v>
      </c>
      <c r="AC16" s="8">
        <f>IF(SUM('04_L0'!$B16:$AI16)=0,0,'04_L0'!AC16/SUM('04_L0'!$B16:$AI16))</f>
        <v>9.3716337522441653E-3</v>
      </c>
      <c r="AD16" s="8">
        <f>IF(SUM('04_L0'!$B16:$AI16)=0,0,'04_L0'!AD16/SUM('04_L0'!$B16:$AI16))</f>
        <v>4.5945610537027693E-3</v>
      </c>
      <c r="AE16" s="8">
        <f>IF(SUM('04_L0'!$B16:$AI16)=0,0,'04_L0'!AE16/SUM('04_L0'!$B16:$AI16))</f>
        <v>5.8119120700924143E-3</v>
      </c>
      <c r="AF16" s="8">
        <f>IF(SUM('04_L0'!$B16:$AI16)=0,0,'04_L0'!AF16/SUM('04_L0'!$B16:$AI16))</f>
        <v>9.6770884180393656E-3</v>
      </c>
      <c r="AG16" s="8">
        <f>IF(SUM('04_L0'!$B16:$AI16)=0,0,'04_L0'!AG16/SUM('04_L0'!$B16:$AI16))</f>
        <v>6.1463237058302792E-3</v>
      </c>
      <c r="AH16" s="8">
        <f>IF(SUM('04_L0'!$B16:$AI16)=0,0,'04_L0'!AH16/SUM('04_L0'!$B16:$AI16))</f>
        <v>1.2545814063159289E-3</v>
      </c>
      <c r="AI16" s="8">
        <f>IF(SUM('04_L0'!$B16:$AI16)=0,0,'04_L0'!AI16/SUM('04_L0'!$B16:$AI16))</f>
        <v>1.8401740727564554E-3</v>
      </c>
    </row>
    <row r="17" spans="1:35" x14ac:dyDescent="0.2">
      <c r="A17" s="12" t="s">
        <v>1381</v>
      </c>
      <c r="B17" s="8">
        <f>IF(SUM('04_L0'!$B17:$AI17)=0,0,'04_L0'!B17/SUM('04_L0'!$B17:$AI17))</f>
        <v>1.767031139463592E-3</v>
      </c>
      <c r="C17" s="8">
        <f>IF(SUM('04_L0'!$B17:$AI17)=0,0,'04_L0'!C17/SUM('04_L0'!$B17:$AI17))</f>
        <v>1.2001538977076688E-2</v>
      </c>
      <c r="D17" s="8">
        <f>IF(SUM('04_L0'!$B17:$AI17)=0,0,'04_L0'!D17/SUM('04_L0'!$B17:$AI17))</f>
        <v>2.1564295731820834E-4</v>
      </c>
      <c r="E17" s="8">
        <f>IF(SUM('04_L0'!$B17:$AI17)=0,0,'04_L0'!E17/SUM('04_L0'!$B17:$AI17))</f>
        <v>1.6910131185384682E-4</v>
      </c>
      <c r="F17" s="8">
        <f>IF(SUM('04_L0'!$B17:$AI17)=0,0,'04_L0'!F17/SUM('04_L0'!$B17:$AI17))</f>
        <v>0</v>
      </c>
      <c r="G17" s="8">
        <f>IF(SUM('04_L0'!$B17:$AI17)=0,0,'04_L0'!G17/SUM('04_L0'!$B17:$AI17))</f>
        <v>5.4298586375088425E-4</v>
      </c>
      <c r="H17" s="8">
        <f>IF(SUM('04_L0'!$B17:$AI17)=0,0,'04_L0'!H17/SUM('04_L0'!$B17:$AI17))</f>
        <v>0</v>
      </c>
      <c r="I17" s="8">
        <f>IF(SUM('04_L0'!$B17:$AI17)=0,0,'04_L0'!I17/SUM('04_L0'!$B17:$AI17))</f>
        <v>8.8429126382286866E-4</v>
      </c>
      <c r="J17" s="8">
        <f>IF(SUM('04_L0'!$B17:$AI17)=0,0,'04_L0'!J17/SUM('04_L0'!$B17:$AI17))</f>
        <v>0</v>
      </c>
      <c r="K17" s="8">
        <f>IF(SUM('04_L0'!$B17:$AI17)=0,0,'04_L0'!K17/SUM('04_L0'!$B17:$AI17))</f>
        <v>1.8756283122137688E-3</v>
      </c>
      <c r="L17" s="8">
        <f>IF(SUM('04_L0'!$B17:$AI17)=0,0,'04_L0'!L17/SUM('04_L0'!$B17:$AI17))</f>
        <v>6.9502190560113194E-4</v>
      </c>
      <c r="M17" s="8">
        <f>IF(SUM('04_L0'!$B17:$AI17)=0,0,'04_L0'!M17/SUM('04_L0'!$B17:$AI17))</f>
        <v>2.2929517332108771E-2</v>
      </c>
      <c r="N17" s="8">
        <f>IF(SUM('04_L0'!$B17:$AI17)=0,0,'04_L0'!N17/SUM('04_L0'!$B17:$AI17))</f>
        <v>0.30398210318593077</v>
      </c>
      <c r="O17" s="8">
        <f>IF(SUM('04_L0'!$B17:$AI17)=0,0,'04_L0'!O17/SUM('04_L0'!$B17:$AI17))</f>
        <v>7.5040646370372211E-3</v>
      </c>
      <c r="P17" s="8">
        <f>IF(SUM('04_L0'!$B17:$AI17)=0,0,'04_L0'!P17/SUM('04_L0'!$B17:$AI17))</f>
        <v>0.57120096061956238</v>
      </c>
      <c r="Q17" s="8">
        <f>IF(SUM('04_L0'!$B17:$AI17)=0,0,'04_L0'!Q17/SUM('04_L0'!$B17:$AI17))</f>
        <v>2.288297568664441E-3</v>
      </c>
      <c r="R17" s="8">
        <f>IF(SUM('04_L0'!$B17:$AI17)=0,0,'04_L0'!R17/SUM('04_L0'!$B17:$AI17))</f>
        <v>6.8059399550717981E-3</v>
      </c>
      <c r="S17" s="8">
        <f>IF(SUM('04_L0'!$B17:$AI17)=0,0,'04_L0'!S17/SUM('04_L0'!$B17:$AI17))</f>
        <v>6.4830960743673435E-2</v>
      </c>
      <c r="T17" s="8">
        <f>IF(SUM('04_L0'!$B17:$AI17)=0,0,'04_L0'!T17/SUM('04_L0'!$B17:$AI17))</f>
        <v>2.4511933277897064E-4</v>
      </c>
      <c r="U17" s="8">
        <f>IF(SUM('04_L0'!$B17:$AI17)=0,0,'04_L0'!U17/SUM('04_L0'!$B17:$AI17))</f>
        <v>0</v>
      </c>
      <c r="V17" s="8">
        <f>IF(SUM('04_L0'!$B17:$AI17)=0,0,'04_L0'!V17/SUM('04_L0'!$B17:$AI17))</f>
        <v>0</v>
      </c>
      <c r="W17" s="8">
        <f>IF(SUM('04_L0'!$B17:$AI17)=0,0,'04_L0'!W17/SUM('04_L0'!$B17:$AI17))</f>
        <v>1.6754992367170143E-4</v>
      </c>
      <c r="X17" s="8">
        <f>IF(SUM('04_L0'!$B17:$AI17)=0,0,'04_L0'!X17/SUM('04_L0'!$B17:$AI17))</f>
        <v>0</v>
      </c>
      <c r="Y17" s="8">
        <f>IF(SUM('04_L0'!$B17:$AI17)=0,0,'04_L0'!Y17/SUM('04_L0'!$B17:$AI17))</f>
        <v>0</v>
      </c>
      <c r="Z17" s="8">
        <f>IF(SUM('04_L0'!$B17:$AI17)=0,0,'04_L0'!Z17/SUM('04_L0'!$B17:$AI17))</f>
        <v>0</v>
      </c>
      <c r="AA17" s="8">
        <f>IF(SUM('04_L0'!$B17:$AI17)=0,0,'04_L0'!AA17/SUM('04_L0'!$B17:$AI17))</f>
        <v>0</v>
      </c>
      <c r="AB17" s="8">
        <f>IF(SUM('04_L0'!$B17:$AI17)=0,0,'04_L0'!AB17/SUM('04_L0'!$B17:$AI17))</f>
        <v>1.7639283630993012E-3</v>
      </c>
      <c r="AC17" s="8">
        <f>IF(SUM('04_L0'!$B17:$AI17)=0,0,'04_L0'!AC17/SUM('04_L0'!$B17:$AI17))</f>
        <v>0</v>
      </c>
      <c r="AD17" s="8">
        <f>IF(SUM('04_L0'!$B17:$AI17)=0,0,'04_L0'!AD17/SUM('04_L0'!$B17:$AI17))</f>
        <v>1.3031660730021224E-4</v>
      </c>
      <c r="AE17" s="8">
        <f>IF(SUM('04_L0'!$B17:$AI17)=0,0,'04_L0'!AE17/SUM('04_L0'!$B17:$AI17))</f>
        <v>0</v>
      </c>
      <c r="AF17" s="8">
        <f>IF(SUM('04_L0'!$B17:$AI17)=0,0,'04_L0'!AF17/SUM('04_L0'!$B17:$AI17))</f>
        <v>0</v>
      </c>
      <c r="AG17" s="8">
        <f>IF(SUM('04_L0'!$B17:$AI17)=0,0,'04_L0'!AG17/SUM('04_L0'!$B17:$AI17))</f>
        <v>0</v>
      </c>
      <c r="AH17" s="8">
        <f>IF(SUM('04_L0'!$B17:$AI17)=0,0,'04_L0'!AH17/SUM('04_L0'!$B17:$AI17))</f>
        <v>0</v>
      </c>
      <c r="AI17" s="8">
        <f>IF(SUM('04_L0'!$B17:$AI17)=0,0,'04_L0'!AI17/SUM('04_L0'!$B17:$AI17))</f>
        <v>0</v>
      </c>
    </row>
    <row r="18" spans="1:35" x14ac:dyDescent="0.2">
      <c r="A18" s="12" t="s">
        <v>1382</v>
      </c>
      <c r="B18" s="8">
        <f>IF(SUM('04_L0'!$B18:$AI18)=0,0,'04_L0'!B18/SUM('04_L0'!$B18:$AI18))</f>
        <v>6.9715248473578798E-3</v>
      </c>
      <c r="C18" s="8">
        <f>IF(SUM('04_L0'!$B18:$AI18)=0,0,'04_L0'!C18/SUM('04_L0'!$B18:$AI18))</f>
        <v>2.7919532141611129E-2</v>
      </c>
      <c r="D18" s="8">
        <f>IF(SUM('04_L0'!$B18:$AI18)=0,0,'04_L0'!D18/SUM('04_L0'!$B18:$AI18))</f>
        <v>1.1684178302553217E-2</v>
      </c>
      <c r="E18" s="8">
        <f>IF(SUM('04_L0'!$B18:$AI18)=0,0,'04_L0'!E18/SUM('04_L0'!$B18:$AI18))</f>
        <v>6.8011770148236729E-3</v>
      </c>
      <c r="F18" s="8">
        <f>IF(SUM('04_L0'!$B18:$AI18)=0,0,'04_L0'!F18/SUM('04_L0'!$B18:$AI18))</f>
        <v>2.7483086893769818E-3</v>
      </c>
      <c r="G18" s="8">
        <f>IF(SUM('04_L0'!$B18:$AI18)=0,0,'04_L0'!G18/SUM('04_L0'!$B18:$AI18))</f>
        <v>1.0510847904630687E-2</v>
      </c>
      <c r="H18" s="8">
        <f>IF(SUM('04_L0'!$B18:$AI18)=0,0,'04_L0'!H18/SUM('04_L0'!$B18:$AI18))</f>
        <v>1.7355464753919024E-3</v>
      </c>
      <c r="I18" s="8">
        <f>IF(SUM('04_L0'!$B18:$AI18)=0,0,'04_L0'!I18/SUM('04_L0'!$B18:$AI18))</f>
        <v>1.2870244987020359E-2</v>
      </c>
      <c r="J18" s="8">
        <f>IF(SUM('04_L0'!$B18:$AI18)=0,0,'04_L0'!J18/SUM('04_L0'!$B18:$AI18))</f>
        <v>9.78419727052282E-4</v>
      </c>
      <c r="K18" s="8">
        <f>IF(SUM('04_L0'!$B18:$AI18)=0,0,'04_L0'!K18/SUM('04_L0'!$B18:$AI18))</f>
        <v>3.9689452944652193E-3</v>
      </c>
      <c r="L18" s="8">
        <f>IF(SUM('04_L0'!$B18:$AI18)=0,0,'04_L0'!L18/SUM('04_L0'!$B18:$AI18))</f>
        <v>3.1830709279248998E-2</v>
      </c>
      <c r="M18" s="8">
        <f>IF(SUM('04_L0'!$B18:$AI18)=0,0,'04_L0'!M18/SUM('04_L0'!$B18:$AI18))</f>
        <v>0.31539753361811063</v>
      </c>
      <c r="N18" s="8">
        <f>IF(SUM('04_L0'!$B18:$AI18)=0,0,'04_L0'!N18/SUM('04_L0'!$B18:$AI18))</f>
        <v>0.30135532283529753</v>
      </c>
      <c r="O18" s="8">
        <f>IF(SUM('04_L0'!$B18:$AI18)=0,0,'04_L0'!O18/SUM('04_L0'!$B18:$AI18))</f>
        <v>2.2551414796744787E-2</v>
      </c>
      <c r="P18" s="8">
        <f>IF(SUM('04_L0'!$B18:$AI18)=0,0,'04_L0'!P18/SUM('04_L0'!$B18:$AI18))</f>
        <v>0.10374455921759172</v>
      </c>
      <c r="Q18" s="8">
        <f>IF(SUM('04_L0'!$B18:$AI18)=0,0,'04_L0'!Q18/SUM('04_L0'!$B18:$AI18))</f>
        <v>4.647175296334724E-2</v>
      </c>
      <c r="R18" s="8">
        <f>IF(SUM('04_L0'!$B18:$AI18)=0,0,'04_L0'!R18/SUM('04_L0'!$B18:$AI18))</f>
        <v>1.3060606984124673E-2</v>
      </c>
      <c r="S18" s="8">
        <f>IF(SUM('04_L0'!$B18:$AI18)=0,0,'04_L0'!S18/SUM('04_L0'!$B18:$AI18))</f>
        <v>8.9217687245018405E-3</v>
      </c>
      <c r="T18" s="8">
        <f>IF(SUM('04_L0'!$B18:$AI18)=0,0,'04_L0'!T18/SUM('04_L0'!$B18:$AI18))</f>
        <v>3.0679667382779541E-2</v>
      </c>
      <c r="U18" s="8">
        <f>IF(SUM('04_L0'!$B18:$AI18)=0,0,'04_L0'!U18/SUM('04_L0'!$B18:$AI18))</f>
        <v>2.6384582179296893E-3</v>
      </c>
      <c r="V18" s="8">
        <f>IF(SUM('04_L0'!$B18:$AI18)=0,0,'04_L0'!V18/SUM('04_L0'!$B18:$AI18))</f>
        <v>1.2886392778889424E-3</v>
      </c>
      <c r="W18" s="8">
        <f>IF(SUM('04_L0'!$B18:$AI18)=0,0,'04_L0'!W18/SUM('04_L0'!$B18:$AI18))</f>
        <v>4.9523685626600283E-3</v>
      </c>
      <c r="X18" s="8">
        <f>IF(SUM('04_L0'!$B18:$AI18)=0,0,'04_L0'!X18/SUM('04_L0'!$B18:$AI18))</f>
        <v>3.1799778297640648E-3</v>
      </c>
      <c r="Y18" s="8">
        <f>IF(SUM('04_L0'!$B18:$AI18)=0,0,'04_L0'!Y18/SUM('04_L0'!$B18:$AI18))</f>
        <v>6.0611077931063033E-4</v>
      </c>
      <c r="Z18" s="8">
        <f>IF(SUM('04_L0'!$B18:$AI18)=0,0,'04_L0'!Z18/SUM('04_L0'!$B18:$AI18))</f>
        <v>1.613187151088293E-3</v>
      </c>
      <c r="AA18" s="8">
        <f>IF(SUM('04_L0'!$B18:$AI18)=0,0,'04_L0'!AA18/SUM('04_L0'!$B18:$AI18))</f>
        <v>4.1467984387132169E-3</v>
      </c>
      <c r="AB18" s="8">
        <f>IF(SUM('04_L0'!$B18:$AI18)=0,0,'04_L0'!AB18/SUM('04_L0'!$B18:$AI18))</f>
        <v>1.2276870494254343E-2</v>
      </c>
      <c r="AC18" s="8">
        <f>IF(SUM('04_L0'!$B18:$AI18)=0,0,'04_L0'!AC18/SUM('04_L0'!$B18:$AI18))</f>
        <v>2.8497441143572975E-3</v>
      </c>
      <c r="AD18" s="8">
        <f>IF(SUM('04_L0'!$B18:$AI18)=0,0,'04_L0'!AD18/SUM('04_L0'!$B18:$AI18))</f>
        <v>1.6391145915541135E-3</v>
      </c>
      <c r="AE18" s="8">
        <f>IF(SUM('04_L0'!$B18:$AI18)=0,0,'04_L0'!AE18/SUM('04_L0'!$B18:$AI18))</f>
        <v>2.5438458035982737E-3</v>
      </c>
      <c r="AF18" s="8">
        <f>IF(SUM('04_L0'!$B18:$AI18)=0,0,'04_L0'!AF18/SUM('04_L0'!$B18:$AI18))</f>
        <v>1.0170834540627163E-3</v>
      </c>
      <c r="AG18" s="8">
        <f>IF(SUM('04_L0'!$B18:$AI18)=0,0,'04_L0'!AG18/SUM('04_L0'!$B18:$AI18))</f>
        <v>5.644904143523394E-4</v>
      </c>
      <c r="AH18" s="8">
        <f>IF(SUM('04_L0'!$B18:$AI18)=0,0,'04_L0'!AH18/SUM('04_L0'!$B18:$AI18))</f>
        <v>1.7626110842992063E-4</v>
      </c>
      <c r="AI18" s="8">
        <f>IF(SUM('04_L0'!$B18:$AI18)=0,0,'04_L0'!AI18/SUM('04_L0'!$B18:$AI18))</f>
        <v>3.0498857600583685E-4</v>
      </c>
    </row>
    <row r="19" spans="1:35" x14ac:dyDescent="0.2">
      <c r="A19" s="12" t="s">
        <v>1383</v>
      </c>
      <c r="B19" s="8">
        <f>IF(SUM('04_L0'!$B19:$AI19)=0,0,'04_L0'!B19/SUM('04_L0'!$B19:$AI19))</f>
        <v>4.9428656758042041E-4</v>
      </c>
      <c r="C19" s="8">
        <f>IF(SUM('04_L0'!$B19:$AI19)=0,0,'04_L0'!C19/SUM('04_L0'!$B19:$AI19))</f>
        <v>4.0666776970616483E-3</v>
      </c>
      <c r="D19" s="8">
        <f>IF(SUM('04_L0'!$B19:$AI19)=0,0,'04_L0'!D19/SUM('04_L0'!$B19:$AI19))</f>
        <v>2.6119142834249583E-4</v>
      </c>
      <c r="E19" s="8">
        <f>IF(SUM('04_L0'!$B19:$AI19)=0,0,'04_L0'!E19/SUM('04_L0'!$B19:$AI19))</f>
        <v>0</v>
      </c>
      <c r="F19" s="8">
        <f>IF(SUM('04_L0'!$B19:$AI19)=0,0,'04_L0'!F19/SUM('04_L0'!$B19:$AI19))</f>
        <v>0</v>
      </c>
      <c r="G19" s="8">
        <f>IF(SUM('04_L0'!$B19:$AI19)=0,0,'04_L0'!G19/SUM('04_L0'!$B19:$AI19))</f>
        <v>2.6015082504232657E-4</v>
      </c>
      <c r="H19" s="8">
        <f>IF(SUM('04_L0'!$B19:$AI19)=0,0,'04_L0'!H19/SUM('04_L0'!$B19:$AI19))</f>
        <v>0</v>
      </c>
      <c r="I19" s="8">
        <f>IF(SUM('04_L0'!$B19:$AI19)=0,0,'04_L0'!I19/SUM('04_L0'!$B19:$AI19))</f>
        <v>4.2664735306941555E-4</v>
      </c>
      <c r="J19" s="8">
        <f>IF(SUM('04_L0'!$B19:$AI19)=0,0,'04_L0'!J19/SUM('04_L0'!$B19:$AI19))</f>
        <v>0</v>
      </c>
      <c r="K19" s="8">
        <f>IF(SUM('04_L0'!$B19:$AI19)=0,0,'04_L0'!K19/SUM('04_L0'!$B19:$AI19))</f>
        <v>1.261211199805199E-3</v>
      </c>
      <c r="L19" s="8">
        <f>IF(SUM('04_L0'!$B19:$AI19)=0,0,'04_L0'!L19/SUM('04_L0'!$B19:$AI19))</f>
        <v>1.1491382243769648E-2</v>
      </c>
      <c r="M19" s="8">
        <f>IF(SUM('04_L0'!$B19:$AI19)=0,0,'04_L0'!M19/SUM('04_L0'!$B19:$AI19))</f>
        <v>0.35744515240155633</v>
      </c>
      <c r="N19" s="8">
        <f>IF(SUM('04_L0'!$B19:$AI19)=0,0,'04_L0'!N19/SUM('04_L0'!$B19:$AI19))</f>
        <v>0.2474960483089676</v>
      </c>
      <c r="O19" s="8">
        <f>IF(SUM('04_L0'!$B19:$AI19)=0,0,'04_L0'!O19/SUM('04_L0'!$B19:$AI19))</f>
        <v>4.4277670422203973E-3</v>
      </c>
      <c r="P19" s="8">
        <f>IF(SUM('04_L0'!$B19:$AI19)=0,0,'04_L0'!P19/SUM('04_L0'!$B19:$AI19))</f>
        <v>0.16450065089736426</v>
      </c>
      <c r="Q19" s="8">
        <f>IF(SUM('04_L0'!$B19:$AI19)=0,0,'04_L0'!Q19/SUM('04_L0'!$B19:$AI19))</f>
        <v>0.20596557059921058</v>
      </c>
      <c r="R19" s="8">
        <f>IF(SUM('04_L0'!$B19:$AI19)=0,0,'04_L0'!R19/SUM('04_L0'!$B19:$AI19))</f>
        <v>1.1425824235858982E-3</v>
      </c>
      <c r="S19" s="8">
        <f>IF(SUM('04_L0'!$B19:$AI19)=0,0,'04_L0'!S19/SUM('04_L0'!$B19:$AI19))</f>
        <v>0</v>
      </c>
      <c r="T19" s="8">
        <f>IF(SUM('04_L0'!$B19:$AI19)=0,0,'04_L0'!T19/SUM('04_L0'!$B19:$AI19))</f>
        <v>0</v>
      </c>
      <c r="U19" s="8">
        <f>IF(SUM('04_L0'!$B19:$AI19)=0,0,'04_L0'!U19/SUM('04_L0'!$B19:$AI19))</f>
        <v>0</v>
      </c>
      <c r="V19" s="8">
        <f>IF(SUM('04_L0'!$B19:$AI19)=0,0,'04_L0'!V19/SUM('04_L0'!$B19:$AI19))</f>
        <v>0</v>
      </c>
      <c r="W19" s="8">
        <f>IF(SUM('04_L0'!$B19:$AI19)=0,0,'04_L0'!W19/SUM('04_L0'!$B19:$AI19))</f>
        <v>0</v>
      </c>
      <c r="X19" s="8">
        <f>IF(SUM('04_L0'!$B19:$AI19)=0,0,'04_L0'!X19/SUM('04_L0'!$B19:$AI19))</f>
        <v>1.7690256102878205E-4</v>
      </c>
      <c r="Y19" s="8">
        <f>IF(SUM('04_L0'!$B19:$AI19)=0,0,'04_L0'!Y19/SUM('04_L0'!$B19:$AI19))</f>
        <v>0</v>
      </c>
      <c r="Z19" s="8">
        <f>IF(SUM('04_L0'!$B19:$AI19)=0,0,'04_L0'!Z19/SUM('04_L0'!$B19:$AI19))</f>
        <v>5.2030165008465308E-5</v>
      </c>
      <c r="AA19" s="8">
        <f>IF(SUM('04_L0'!$B19:$AI19)=0,0,'04_L0'!AA19/SUM('04_L0'!$B19:$AI19))</f>
        <v>0</v>
      </c>
      <c r="AB19" s="8">
        <f>IF(SUM('04_L0'!$B19:$AI19)=0,0,'04_L0'!AB19/SUM('04_L0'!$B19:$AI19))</f>
        <v>5.3174828638651549E-4</v>
      </c>
      <c r="AC19" s="8">
        <f>IF(SUM('04_L0'!$B19:$AI19)=0,0,'04_L0'!AC19/SUM('04_L0'!$B19:$AI19))</f>
        <v>0</v>
      </c>
      <c r="AD19" s="8">
        <f>IF(SUM('04_L0'!$B19:$AI19)=0,0,'04_L0'!AD19/SUM('04_L0'!$B19:$AI19))</f>
        <v>0</v>
      </c>
      <c r="AE19" s="8">
        <f>IF(SUM('04_L0'!$B19:$AI19)=0,0,'04_L0'!AE19/SUM('04_L0'!$B19:$AI19))</f>
        <v>0</v>
      </c>
      <c r="AF19" s="8">
        <f>IF(SUM('04_L0'!$B19:$AI19)=0,0,'04_L0'!AF19/SUM('04_L0'!$B19:$AI19))</f>
        <v>0</v>
      </c>
      <c r="AG19" s="8">
        <f>IF(SUM('04_L0'!$B19:$AI19)=0,0,'04_L0'!AG19/SUM('04_L0'!$B19:$AI19))</f>
        <v>0</v>
      </c>
      <c r="AH19" s="8">
        <f>IF(SUM('04_L0'!$B19:$AI19)=0,0,'04_L0'!AH19/SUM('04_L0'!$B19:$AI19))</f>
        <v>0</v>
      </c>
      <c r="AI19" s="8">
        <f>IF(SUM('04_L0'!$B19:$AI19)=0,0,'04_L0'!AI19/SUM('04_L0'!$B19:$AI19))</f>
        <v>0</v>
      </c>
    </row>
    <row r="20" spans="1:35" x14ac:dyDescent="0.2">
      <c r="A20" s="12" t="s">
        <v>1384</v>
      </c>
      <c r="B20" s="8">
        <f>IF(SUM('04_L0'!$B20:$AI20)=0,0,'04_L0'!B20/SUM('04_L0'!$B20:$AI20))</f>
        <v>9.0013765939508904E-3</v>
      </c>
      <c r="C20" s="8">
        <f>IF(SUM('04_L0'!$B20:$AI20)=0,0,'04_L0'!C20/SUM('04_L0'!$B20:$AI20))</f>
        <v>1.7940180735588576E-2</v>
      </c>
      <c r="D20" s="8">
        <f>IF(SUM('04_L0'!$B20:$AI20)=0,0,'04_L0'!D20/SUM('04_L0'!$B20:$AI20))</f>
        <v>8.0240936874275484E-3</v>
      </c>
      <c r="E20" s="8">
        <f>IF(SUM('04_L0'!$B20:$AI20)=0,0,'04_L0'!E20/SUM('04_L0'!$B20:$AI20))</f>
        <v>8.8087193065654965E-3</v>
      </c>
      <c r="F20" s="8">
        <f>IF(SUM('04_L0'!$B20:$AI20)=0,0,'04_L0'!F20/SUM('04_L0'!$B20:$AI20))</f>
        <v>5.5236655601222468E-3</v>
      </c>
      <c r="G20" s="8">
        <f>IF(SUM('04_L0'!$B20:$AI20)=0,0,'04_L0'!G20/SUM('04_L0'!$B20:$AI20))</f>
        <v>1.1668939034671725E-2</v>
      </c>
      <c r="H20" s="8">
        <f>IF(SUM('04_L0'!$B20:$AI20)=0,0,'04_L0'!H20/SUM('04_L0'!$B20:$AI20))</f>
        <v>1.3914137422278428E-3</v>
      </c>
      <c r="I20" s="8">
        <f>IF(SUM('04_L0'!$B20:$AI20)=0,0,'04_L0'!I20/SUM('04_L0'!$B20:$AI20))</f>
        <v>1.4923529876699336E-2</v>
      </c>
      <c r="J20" s="8">
        <f>IF(SUM('04_L0'!$B20:$AI20)=0,0,'04_L0'!J20/SUM('04_L0'!$B20:$AI20))</f>
        <v>1.4185833596796291E-3</v>
      </c>
      <c r="K20" s="8">
        <f>IF(SUM('04_L0'!$B20:$AI20)=0,0,'04_L0'!K20/SUM('04_L0'!$B20:$AI20))</f>
        <v>3.7872800084308146E-4</v>
      </c>
      <c r="L20" s="8">
        <f>IF(SUM('04_L0'!$B20:$AI20)=0,0,'04_L0'!L20/SUM('04_L0'!$B20:$AI20))</f>
        <v>2.5004281273053007E-3</v>
      </c>
      <c r="M20" s="8">
        <f>IF(SUM('04_L0'!$B20:$AI20)=0,0,'04_L0'!M20/SUM('04_L0'!$B20:$AI20))</f>
        <v>0.11575739013594688</v>
      </c>
      <c r="N20" s="8">
        <f>IF(SUM('04_L0'!$B20:$AI20)=0,0,'04_L0'!N20/SUM('04_L0'!$B20:$AI20))</f>
        <v>0.27546863473495625</v>
      </c>
      <c r="O20" s="8">
        <f>IF(SUM('04_L0'!$B20:$AI20)=0,0,'04_L0'!O20/SUM('04_L0'!$B20:$AI20))</f>
        <v>3.0357519232795869E-2</v>
      </c>
      <c r="P20" s="8">
        <f>IF(SUM('04_L0'!$B20:$AI20)=0,0,'04_L0'!P20/SUM('04_L0'!$B20:$AI20))</f>
        <v>0.29794284829802931</v>
      </c>
      <c r="Q20" s="8">
        <f>IF(SUM('04_L0'!$B20:$AI20)=0,0,'04_L0'!Q20/SUM('04_L0'!$B20:$AI20))</f>
        <v>2.5467811413215302E-2</v>
      </c>
      <c r="R20" s="8">
        <f>IF(SUM('04_L0'!$B20:$AI20)=0,0,'04_L0'!R20/SUM('04_L0'!$B20:$AI20))</f>
        <v>5.4315358573084623E-2</v>
      </c>
      <c r="S20" s="8">
        <f>IF(SUM('04_L0'!$B20:$AI20)=0,0,'04_L0'!S20/SUM('04_L0'!$B20:$AI20))</f>
        <v>2.8300861523869743E-2</v>
      </c>
      <c r="T20" s="8">
        <f>IF(SUM('04_L0'!$B20:$AI20)=0,0,'04_L0'!T20/SUM('04_L0'!$B20:$AI20))</f>
        <v>8.9050479502581943E-3</v>
      </c>
      <c r="U20" s="8">
        <f>IF(SUM('04_L0'!$B20:$AI20)=0,0,'04_L0'!U20/SUM('04_L0'!$B20:$AI20))</f>
        <v>6.6985456844767628E-3</v>
      </c>
      <c r="V20" s="8">
        <f>IF(SUM('04_L0'!$B20:$AI20)=0,0,'04_L0'!V20/SUM('04_L0'!$B20:$AI20))</f>
        <v>3.9782906523342819E-3</v>
      </c>
      <c r="W20" s="8">
        <f>IF(SUM('04_L0'!$B20:$AI20)=0,0,'04_L0'!W20/SUM('04_L0'!$B20:$AI20))</f>
        <v>1.9795947939719675E-2</v>
      </c>
      <c r="X20" s="8">
        <f>IF(SUM('04_L0'!$B20:$AI20)=0,0,'04_L0'!X20/SUM('04_L0'!$B20:$AI20))</f>
        <v>4.0523896090209717E-3</v>
      </c>
      <c r="Y20" s="8">
        <f>IF(SUM('04_L0'!$B20:$AI20)=0,0,'04_L0'!Y20/SUM('04_L0'!$B20:$AI20))</f>
        <v>4.3347889661713565E-3</v>
      </c>
      <c r="Z20" s="8">
        <f>IF(SUM('04_L0'!$B20:$AI20)=0,0,'04_L0'!Z20/SUM('04_L0'!$B20:$AI20))</f>
        <v>3.0833399199072611E-3</v>
      </c>
      <c r="AA20" s="8">
        <f>IF(SUM('04_L0'!$B20:$AI20)=0,0,'04_L0'!AA20/SUM('04_L0'!$B20:$AI20))</f>
        <v>5.7780719780798819E-3</v>
      </c>
      <c r="AB20" s="8">
        <f>IF(SUM('04_L0'!$B20:$AI20)=0,0,'04_L0'!AB20/SUM('04_L0'!$B20:$AI20))</f>
        <v>2.1286983612604067E-2</v>
      </c>
      <c r="AC20" s="8">
        <f>IF(SUM('04_L0'!$B20:$AI20)=0,0,'04_L0'!AC20/SUM('04_L0'!$B20:$AI20))</f>
        <v>4.0474496785751924E-3</v>
      </c>
      <c r="AD20" s="8">
        <f>IF(SUM('04_L0'!$B20:$AI20)=0,0,'04_L0'!AD20/SUM('04_L0'!$B20:$AI20))</f>
        <v>1.9776188217936557E-3</v>
      </c>
      <c r="AE20" s="8">
        <f>IF(SUM('04_L0'!$B20:$AI20)=0,0,'04_L0'!AE20/SUM('04_L0'!$B20:$AI20))</f>
        <v>1.4877423859205397E-3</v>
      </c>
      <c r="AF20" s="8">
        <f>IF(SUM('04_L0'!$B20:$AI20)=0,0,'04_L0'!AF20/SUM('04_L0'!$B20:$AI20))</f>
        <v>2.4436189271788387E-3</v>
      </c>
      <c r="AG20" s="8">
        <f>IF(SUM('04_L0'!$B20:$AI20)=0,0,'04_L0'!AG20/SUM('04_L0'!$B20:$AI20))</f>
        <v>8.0191537569817683E-4</v>
      </c>
      <c r="AH20" s="8">
        <f>IF(SUM('04_L0'!$B20:$AI20)=0,0,'04_L0'!AH20/SUM('04_L0'!$B20:$AI20))</f>
        <v>1.3090815681315206E-4</v>
      </c>
      <c r="AI20" s="8">
        <f>IF(SUM('04_L0'!$B20:$AI20)=0,0,'04_L0'!AI20/SUM('04_L0'!$B20:$AI20))</f>
        <v>2.0072584044683317E-3</v>
      </c>
    </row>
    <row r="21" spans="1:35" x14ac:dyDescent="0.2">
      <c r="A21" s="12" t="s">
        <v>1385</v>
      </c>
      <c r="B21" s="8">
        <f>IF(SUM('04_L0'!$B21:$AI21)=0,0,'04_L0'!B21/SUM('04_L0'!$B21:$AI21))</f>
        <v>4.3965732154089736E-3</v>
      </c>
      <c r="C21" s="8">
        <f>IF(SUM('04_L0'!$B21:$AI21)=0,0,'04_L0'!C21/SUM('04_L0'!$B21:$AI21))</f>
        <v>1.7761297278020931E-2</v>
      </c>
      <c r="D21" s="8">
        <f>IF(SUM('04_L0'!$B21:$AI21)=0,0,'04_L0'!D21/SUM('04_L0'!$B21:$AI21))</f>
        <v>1.3478642031768254E-2</v>
      </c>
      <c r="E21" s="8">
        <f>IF(SUM('04_L0'!$B21:$AI21)=0,0,'04_L0'!E21/SUM('04_L0'!$B21:$AI21))</f>
        <v>3.9471750820126827E-2</v>
      </c>
      <c r="F21" s="8">
        <f>IF(SUM('04_L0'!$B21:$AI21)=0,0,'04_L0'!F21/SUM('04_L0'!$B21:$AI21))</f>
        <v>3.3349898216771035E-3</v>
      </c>
      <c r="G21" s="8">
        <f>IF(SUM('04_L0'!$B21:$AI21)=0,0,'04_L0'!G21/SUM('04_L0'!$B21:$AI21))</f>
        <v>1.2724141859240316E-2</v>
      </c>
      <c r="H21" s="8">
        <f>IF(SUM('04_L0'!$B21:$AI21)=0,0,'04_L0'!H21/SUM('04_L0'!$B21:$AI21))</f>
        <v>2.2635005175838164E-3</v>
      </c>
      <c r="I21" s="8">
        <f>IF(SUM('04_L0'!$B21:$AI21)=0,0,'04_L0'!I21/SUM('04_L0'!$B21:$AI21))</f>
        <v>1.6594050840433944E-2</v>
      </c>
      <c r="J21" s="8">
        <f>IF(SUM('04_L0'!$B21:$AI21)=0,0,'04_L0'!J21/SUM('04_L0'!$B21:$AI21))</f>
        <v>2.3757675016798773E-3</v>
      </c>
      <c r="K21" s="8">
        <f>IF(SUM('04_L0'!$B21:$AI21)=0,0,'04_L0'!K21/SUM('04_L0'!$B21:$AI21))</f>
        <v>1.4177008712248163E-2</v>
      </c>
      <c r="L21" s="8">
        <f>IF(SUM('04_L0'!$B21:$AI21)=0,0,'04_L0'!L21/SUM('04_L0'!$B21:$AI21))</f>
        <v>8.3666969897589399E-2</v>
      </c>
      <c r="M21" s="8">
        <f>IF(SUM('04_L0'!$B21:$AI21)=0,0,'04_L0'!M21/SUM('04_L0'!$B21:$AI21))</f>
        <v>0.24970158445036231</v>
      </c>
      <c r="N21" s="8">
        <f>IF(SUM('04_L0'!$B21:$AI21)=0,0,'04_L0'!N21/SUM('04_L0'!$B21:$AI21))</f>
        <v>0.16333855594940722</v>
      </c>
      <c r="O21" s="8">
        <f>IF(SUM('04_L0'!$B21:$AI21)=0,0,'04_L0'!O21/SUM('04_L0'!$B21:$AI21))</f>
        <v>2.3268983438968861E-2</v>
      </c>
      <c r="P21" s="8">
        <f>IF(SUM('04_L0'!$B21:$AI21)=0,0,'04_L0'!P21/SUM('04_L0'!$B21:$AI21))</f>
        <v>0.1715720184448051</v>
      </c>
      <c r="Q21" s="8">
        <f>IF(SUM('04_L0'!$B21:$AI21)=0,0,'04_L0'!Q21/SUM('04_L0'!$B21:$AI21))</f>
        <v>9.7284294674417487E-2</v>
      </c>
      <c r="R21" s="8">
        <f>IF(SUM('04_L0'!$B21:$AI21)=0,0,'04_L0'!R21/SUM('04_L0'!$B21:$AI21))</f>
        <v>8.0155324674467017E-3</v>
      </c>
      <c r="S21" s="8">
        <f>IF(SUM('04_L0'!$B21:$AI21)=0,0,'04_L0'!S21/SUM('04_L0'!$B21:$AI21))</f>
        <v>1.0835414950330115E-2</v>
      </c>
      <c r="T21" s="8">
        <f>IF(SUM('04_L0'!$B21:$AI21)=0,0,'04_L0'!T21/SUM('04_L0'!$B21:$AI21))</f>
        <v>2.4335519787881438E-3</v>
      </c>
      <c r="U21" s="8">
        <f>IF(SUM('04_L0'!$B21:$AI21)=0,0,'04_L0'!U21/SUM('04_L0'!$B21:$AI21))</f>
        <v>5.6826905773329659E-3</v>
      </c>
      <c r="V21" s="8">
        <f>IF(SUM('04_L0'!$B21:$AI21)=0,0,'04_L0'!V21/SUM('04_L0'!$B21:$AI21))</f>
        <v>2.5837916192696371E-3</v>
      </c>
      <c r="W21" s="8">
        <f>IF(SUM('04_L0'!$B21:$AI21)=0,0,'04_L0'!W21/SUM('04_L0'!$B21:$AI21))</f>
        <v>8.7452678640710987E-3</v>
      </c>
      <c r="X21" s="8">
        <f>IF(SUM('04_L0'!$B21:$AI21)=0,0,'04_L0'!X21/SUM('04_L0'!$B21:$AI21))</f>
        <v>5.4647605493817883E-3</v>
      </c>
      <c r="Y21" s="8">
        <f>IF(SUM('04_L0'!$B21:$AI21)=0,0,'04_L0'!Y21/SUM('04_L0'!$B21:$AI21))</f>
        <v>2.5227051720408981E-3</v>
      </c>
      <c r="Z21" s="8">
        <f>IF(SUM('04_L0'!$B21:$AI21)=0,0,'04_L0'!Z21/SUM('04_L0'!$B21:$AI21))</f>
        <v>3.6783947142062312E-3</v>
      </c>
      <c r="AA21" s="8">
        <f>IF(SUM('04_L0'!$B21:$AI21)=0,0,'04_L0'!AA21/SUM('04_L0'!$B21:$AI21))</f>
        <v>5.1097987614310081E-3</v>
      </c>
      <c r="AB21" s="8">
        <f>IF(SUM('04_L0'!$B21:$AI21)=0,0,'04_L0'!AB21/SUM('04_L0'!$B21:$AI21))</f>
        <v>1.6374469827422532E-2</v>
      </c>
      <c r="AC21" s="8">
        <f>IF(SUM('04_L0'!$B21:$AI21)=0,0,'04_L0'!AC21/SUM('04_L0'!$B21:$AI21))</f>
        <v>4.2380786496263E-3</v>
      </c>
      <c r="AD21" s="8">
        <f>IF(SUM('04_L0'!$B21:$AI21)=0,0,'04_L0'!AD21/SUM('04_L0'!$B21:$AI21))</f>
        <v>1.9531153262594128E-3</v>
      </c>
      <c r="AE21" s="8">
        <f>IF(SUM('04_L0'!$B21:$AI21)=0,0,'04_L0'!AE21/SUM('04_L0'!$B21:$AI21))</f>
        <v>1.8854249387897288E-3</v>
      </c>
      <c r="AF21" s="8">
        <f>IF(SUM('04_L0'!$B21:$AI21)=0,0,'04_L0'!AF21/SUM('04_L0'!$B21:$AI21))</f>
        <v>1.1243208260208453E-3</v>
      </c>
      <c r="AG21" s="8">
        <f>IF(SUM('04_L0'!$B21:$AI21)=0,0,'04_L0'!AG21/SUM('04_L0'!$B21:$AI21))</f>
        <v>8.4200238072045679E-5</v>
      </c>
      <c r="AH21" s="8">
        <f>IF(SUM('04_L0'!$B21:$AI21)=0,0,'04_L0'!AH21/SUM('04_L0'!$B21:$AI21))</f>
        <v>6.8185682987754645E-4</v>
      </c>
      <c r="AI21" s="8">
        <f>IF(SUM('04_L0'!$B21:$AI21)=0,0,'04_L0'!AI21/SUM('04_L0'!$B21:$AI21))</f>
        <v>3.1764952558944294E-3</v>
      </c>
    </row>
    <row r="22" spans="1:35" x14ac:dyDescent="0.2">
      <c r="A22" s="12" t="s">
        <v>1386</v>
      </c>
      <c r="B22" s="8">
        <f>IF(SUM('04_L0'!$B22:$AI22)=0,0,'04_L0'!B22/SUM('04_L0'!$B22:$AI22))</f>
        <v>7.6040943860268603E-3</v>
      </c>
      <c r="C22" s="8">
        <f>IF(SUM('04_L0'!$B22:$AI22)=0,0,'04_L0'!C22/SUM('04_L0'!$B22:$AI22))</f>
        <v>3.4111671792176654E-2</v>
      </c>
      <c r="D22" s="8">
        <f>IF(SUM('04_L0'!$B22:$AI22)=0,0,'04_L0'!D22/SUM('04_L0'!$B22:$AI22))</f>
        <v>1.5717318201787702E-2</v>
      </c>
      <c r="E22" s="8">
        <f>IF(SUM('04_L0'!$B22:$AI22)=0,0,'04_L0'!E22/SUM('04_L0'!$B22:$AI22))</f>
        <v>1.3549412242920432E-2</v>
      </c>
      <c r="F22" s="8">
        <f>IF(SUM('04_L0'!$B22:$AI22)=0,0,'04_L0'!F22/SUM('04_L0'!$B22:$AI22))</f>
        <v>1.8497000652835317E-3</v>
      </c>
      <c r="G22" s="8">
        <f>IF(SUM('04_L0'!$B22:$AI22)=0,0,'04_L0'!G22/SUM('04_L0'!$B22:$AI22))</f>
        <v>1.4555353454894828E-2</v>
      </c>
      <c r="H22" s="8">
        <f>IF(SUM('04_L0'!$B22:$AI22)=0,0,'04_L0'!H22/SUM('04_L0'!$B22:$AI22))</f>
        <v>3.186164818335229E-3</v>
      </c>
      <c r="I22" s="8">
        <f>IF(SUM('04_L0'!$B22:$AI22)=0,0,'04_L0'!I22/SUM('04_L0'!$B22:$AI22))</f>
        <v>2.0962583092797051E-2</v>
      </c>
      <c r="J22" s="8">
        <f>IF(SUM('04_L0'!$B22:$AI22)=0,0,'04_L0'!J22/SUM('04_L0'!$B22:$AI22))</f>
        <v>3.4078824732193813E-3</v>
      </c>
      <c r="K22" s="8">
        <f>IF(SUM('04_L0'!$B22:$AI22)=0,0,'04_L0'!K22/SUM('04_L0'!$B22:$AI22))</f>
        <v>1.2459300439740015E-2</v>
      </c>
      <c r="L22" s="8">
        <f>IF(SUM('04_L0'!$B22:$AI22)=0,0,'04_L0'!L22/SUM('04_L0'!$B22:$AI22))</f>
        <v>9.3716768013532986E-3</v>
      </c>
      <c r="M22" s="8">
        <f>IF(SUM('04_L0'!$B22:$AI22)=0,0,'04_L0'!M22/SUM('04_L0'!$B22:$AI22))</f>
        <v>0.26468982110669959</v>
      </c>
      <c r="N22" s="8">
        <f>IF(SUM('04_L0'!$B22:$AI22)=0,0,'04_L0'!N22/SUM('04_L0'!$B22:$AI22))</f>
        <v>0.11465882169384077</v>
      </c>
      <c r="O22" s="8">
        <f>IF(SUM('04_L0'!$B22:$AI22)=0,0,'04_L0'!O22/SUM('04_L0'!$B22:$AI22))</f>
        <v>2.4588077338402729E-2</v>
      </c>
      <c r="P22" s="8">
        <f>IF(SUM('04_L0'!$B22:$AI22)=0,0,'04_L0'!P22/SUM('04_L0'!$B22:$AI22))</f>
        <v>0.21057428978497494</v>
      </c>
      <c r="Q22" s="8">
        <f>IF(SUM('04_L0'!$B22:$AI22)=0,0,'04_L0'!Q22/SUM('04_L0'!$B22:$AI22))</f>
        <v>7.0179796594581054E-2</v>
      </c>
      <c r="R22" s="8">
        <f>IF(SUM('04_L0'!$B22:$AI22)=0,0,'04_L0'!R22/SUM('04_L0'!$B22:$AI22))</f>
        <v>2.8665218658772425E-2</v>
      </c>
      <c r="S22" s="8">
        <f>IF(SUM('04_L0'!$B22:$AI22)=0,0,'04_L0'!S22/SUM('04_L0'!$B22:$AI22))</f>
        <v>2.6636912704832212E-2</v>
      </c>
      <c r="T22" s="8">
        <f>IF(SUM('04_L0'!$B22:$AI22)=0,0,'04_L0'!T22/SUM('04_L0'!$B22:$AI22))</f>
        <v>1.5384741719461472E-2</v>
      </c>
      <c r="U22" s="8">
        <f>IF(SUM('04_L0'!$B22:$AI22)=0,0,'04_L0'!U22/SUM('04_L0'!$B22:$AI22))</f>
        <v>1.6409159402676215E-2</v>
      </c>
      <c r="V22" s="8">
        <f>IF(SUM('04_L0'!$B22:$AI22)=0,0,'04_L0'!V22/SUM('04_L0'!$B22:$AI22))</f>
        <v>5.1385119460651274E-3</v>
      </c>
      <c r="W22" s="8">
        <f>IF(SUM('04_L0'!$B22:$AI22)=0,0,'04_L0'!W22/SUM('04_L0'!$B22:$AI22))</f>
        <v>1.3206571054349567E-2</v>
      </c>
      <c r="X22" s="8">
        <f>IF(SUM('04_L0'!$B22:$AI22)=0,0,'04_L0'!X22/SUM('04_L0'!$B22:$AI22))</f>
        <v>1.0909329796799875E-2</v>
      </c>
      <c r="Y22" s="8">
        <f>IF(SUM('04_L0'!$B22:$AI22)=0,0,'04_L0'!Y22/SUM('04_L0'!$B22:$AI22))</f>
        <v>5.3171178347218061E-4</v>
      </c>
      <c r="Z22" s="8">
        <f>IF(SUM('04_L0'!$B22:$AI22)=0,0,'04_L0'!Z22/SUM('04_L0'!$B22:$AI22))</f>
        <v>4.1797883828160604E-3</v>
      </c>
      <c r="AA22" s="8">
        <f>IF(SUM('04_L0'!$B22:$AI22)=0,0,'04_L0'!AA22/SUM('04_L0'!$B22:$AI22))</f>
        <v>7.5199237948208398E-3</v>
      </c>
      <c r="AB22" s="8">
        <f>IF(SUM('04_L0'!$B22:$AI22)=0,0,'04_L0'!AB22/SUM('04_L0'!$B22:$AI22))</f>
        <v>2.9129183381030002E-2</v>
      </c>
      <c r="AC22" s="8">
        <f>IF(SUM('04_L0'!$B22:$AI22)=0,0,'04_L0'!AC22/SUM('04_L0'!$B22:$AI22))</f>
        <v>1.0626023904447902E-2</v>
      </c>
      <c r="AD22" s="8">
        <f>IF(SUM('04_L0'!$B22:$AI22)=0,0,'04_L0'!AD22/SUM('04_L0'!$B22:$AI22))</f>
        <v>3.3360295295069248E-3</v>
      </c>
      <c r="AE22" s="8">
        <f>IF(SUM('04_L0'!$B22:$AI22)=0,0,'04_L0'!AE22/SUM('04_L0'!$B22:$AI22))</f>
        <v>1.0880588619314892E-4</v>
      </c>
      <c r="AF22" s="8">
        <f>IF(SUM('04_L0'!$B22:$AI22)=0,0,'04_L0'!AF22/SUM('04_L0'!$B22:$AI22))</f>
        <v>2.2294941963350891E-3</v>
      </c>
      <c r="AG22" s="8">
        <f>IF(SUM('04_L0'!$B22:$AI22)=0,0,'04_L0'!AG22/SUM('04_L0'!$B22:$AI22))</f>
        <v>1.5705000554294137E-3</v>
      </c>
      <c r="AH22" s="8">
        <f>IF(SUM('04_L0'!$B22:$AI22)=0,0,'04_L0'!AH22/SUM('04_L0'!$B22:$AI22))</f>
        <v>1.4760647579787562E-3</v>
      </c>
      <c r="AI22" s="8">
        <f>IF(SUM('04_L0'!$B22:$AI22)=0,0,'04_L0'!AI22/SUM('04_L0'!$B22:$AI22))</f>
        <v>1.4760647579787562E-3</v>
      </c>
    </row>
    <row r="23" spans="1:35" x14ac:dyDescent="0.2">
      <c r="A23" s="12" t="s">
        <v>1387</v>
      </c>
      <c r="B23" s="8">
        <f>IF(SUM('04_L0'!$B23:$AI23)=0,0,'04_L0'!B23/SUM('04_L0'!$B23:$AI23))</f>
        <v>1.1675481488873365E-2</v>
      </c>
      <c r="C23" s="8">
        <f>IF(SUM('04_L0'!$B23:$AI23)=0,0,'04_L0'!C23/SUM('04_L0'!$B23:$AI23))</f>
        <v>7.8834447659914181E-2</v>
      </c>
      <c r="D23" s="8">
        <f>IF(SUM('04_L0'!$B23:$AI23)=0,0,'04_L0'!D23/SUM('04_L0'!$B23:$AI23))</f>
        <v>2.5978777899743871E-2</v>
      </c>
      <c r="E23" s="8">
        <f>IF(SUM('04_L0'!$B23:$AI23)=0,0,'04_L0'!E23/SUM('04_L0'!$B23:$AI23))</f>
        <v>4.7600039916176028E-2</v>
      </c>
      <c r="F23" s="8">
        <f>IF(SUM('04_L0'!$B23:$AI23)=0,0,'04_L0'!F23/SUM('04_L0'!$B23:$AI23))</f>
        <v>3.3263480025280245E-3</v>
      </c>
      <c r="G23" s="8">
        <f>IF(SUM('04_L0'!$B23:$AI23)=0,0,'04_L0'!G23/SUM('04_L0'!$B23:$AI23))</f>
        <v>6.4464624288993119E-2</v>
      </c>
      <c r="H23" s="8">
        <f>IF(SUM('04_L0'!$B23:$AI23)=0,0,'04_L0'!H23/SUM('04_L0'!$B23:$AI23))</f>
        <v>1.1941589329075608E-2</v>
      </c>
      <c r="I23" s="8">
        <f>IF(SUM('04_L0'!$B23:$AI23)=0,0,'04_L0'!I23/SUM('04_L0'!$B23:$AI23))</f>
        <v>0</v>
      </c>
      <c r="J23" s="8">
        <f>IF(SUM('04_L0'!$B23:$AI23)=0,0,'04_L0'!J23/SUM('04_L0'!$B23:$AI23))</f>
        <v>0</v>
      </c>
      <c r="K23" s="8">
        <f>IF(SUM('04_L0'!$B23:$AI23)=0,0,'04_L0'!K23/SUM('04_L0'!$B23:$AI23))</f>
        <v>1.0344942287862155E-2</v>
      </c>
      <c r="L23" s="8">
        <f>IF(SUM('04_L0'!$B23:$AI23)=0,0,'04_L0'!L23/SUM('04_L0'!$B23:$AI23))</f>
        <v>2.0955992415926553E-2</v>
      </c>
      <c r="M23" s="8">
        <f>IF(SUM('04_L0'!$B23:$AI23)=0,0,'04_L0'!M23/SUM('04_L0'!$B23:$AI23))</f>
        <v>0.29764161926620764</v>
      </c>
      <c r="N23" s="8">
        <f>IF(SUM('04_L0'!$B23:$AI23)=0,0,'04_L0'!N23/SUM('04_L0'!$B23:$AI23))</f>
        <v>0.15361075075674416</v>
      </c>
      <c r="O23" s="8">
        <f>IF(SUM('04_L0'!$B23:$AI23)=0,0,'04_L0'!O23/SUM('04_L0'!$B23:$AI23))</f>
        <v>0</v>
      </c>
      <c r="P23" s="8">
        <f>IF(SUM('04_L0'!$B23:$AI23)=0,0,'04_L0'!P23/SUM('04_L0'!$B23:$AI23))</f>
        <v>7.710474669859961E-2</v>
      </c>
      <c r="Q23" s="8">
        <f>IF(SUM('04_L0'!$B23:$AI23)=0,0,'04_L0'!Q23/SUM('04_L0'!$B23:$AI23))</f>
        <v>8.3823969663706213E-2</v>
      </c>
      <c r="R23" s="8">
        <f>IF(SUM('04_L0'!$B23:$AI23)=0,0,'04_L0'!R23/SUM('04_L0'!$B23:$AI23))</f>
        <v>0</v>
      </c>
      <c r="S23" s="8">
        <f>IF(SUM('04_L0'!$B23:$AI23)=0,0,'04_L0'!S23/SUM('04_L0'!$B23:$AI23))</f>
        <v>0</v>
      </c>
      <c r="T23" s="8">
        <f>IF(SUM('04_L0'!$B23:$AI23)=0,0,'04_L0'!T23/SUM('04_L0'!$B23:$AI23))</f>
        <v>8.8813491667498259E-3</v>
      </c>
      <c r="U23" s="8">
        <f>IF(SUM('04_L0'!$B23:$AI23)=0,0,'04_L0'!U23/SUM('04_L0'!$B23:$AI23))</f>
        <v>0</v>
      </c>
      <c r="V23" s="8">
        <f>IF(SUM('04_L0'!$B23:$AI23)=0,0,'04_L0'!V23/SUM('04_L0'!$B23:$AI23))</f>
        <v>0</v>
      </c>
      <c r="W23" s="8">
        <f>IF(SUM('04_L0'!$B23:$AI23)=0,0,'04_L0'!W23/SUM('04_L0'!$B23:$AI23))</f>
        <v>4.5903602434886736E-3</v>
      </c>
      <c r="X23" s="8">
        <f>IF(SUM('04_L0'!$B23:$AI23)=0,0,'04_L0'!X23/SUM('04_L0'!$B23:$AI23))</f>
        <v>6.0705851046136447E-2</v>
      </c>
      <c r="Y23" s="8">
        <f>IF(SUM('04_L0'!$B23:$AI23)=0,0,'04_L0'!Y23/SUM('04_L0'!$B23:$AI23))</f>
        <v>1.370455377041546E-2</v>
      </c>
      <c r="Z23" s="8">
        <f>IF(SUM('04_L0'!$B23:$AI23)=0,0,'04_L0'!Z23/SUM('04_L0'!$B23:$AI23))</f>
        <v>0</v>
      </c>
      <c r="AA23" s="8">
        <f>IF(SUM('04_L0'!$B23:$AI23)=0,0,'04_L0'!AA23/SUM('04_L0'!$B23:$AI23))</f>
        <v>0</v>
      </c>
      <c r="AB23" s="8">
        <f>IF(SUM('04_L0'!$B23:$AI23)=0,0,'04_L0'!AB23/SUM('04_L0'!$B23:$AI23))</f>
        <v>2.2486112497089445E-2</v>
      </c>
      <c r="AC23" s="8">
        <f>IF(SUM('04_L0'!$B23:$AI23)=0,0,'04_L0'!AC23/SUM('04_L0'!$B23:$AI23))</f>
        <v>0</v>
      </c>
      <c r="AD23" s="8">
        <f>IF(SUM('04_L0'!$B23:$AI23)=0,0,'04_L0'!AD23/SUM('04_L0'!$B23:$AI23))</f>
        <v>0</v>
      </c>
      <c r="AE23" s="8">
        <f>IF(SUM('04_L0'!$B23:$AI23)=0,0,'04_L0'!AE23/SUM('04_L0'!$B23:$AI23))</f>
        <v>0</v>
      </c>
      <c r="AF23" s="8">
        <f>IF(SUM('04_L0'!$B23:$AI23)=0,0,'04_L0'!AF23/SUM('04_L0'!$B23:$AI23))</f>
        <v>0</v>
      </c>
      <c r="AG23" s="8">
        <f>IF(SUM('04_L0'!$B23:$AI23)=0,0,'04_L0'!AG23/SUM('04_L0'!$B23:$AI23))</f>
        <v>0</v>
      </c>
      <c r="AH23" s="8">
        <f>IF(SUM('04_L0'!$B23:$AI23)=0,0,'04_L0'!AH23/SUM('04_L0'!$B23:$AI23))</f>
        <v>2.3284436017696171E-3</v>
      </c>
      <c r="AI23" s="8">
        <f>IF(SUM('04_L0'!$B23:$AI23)=0,0,'04_L0'!AI23/SUM('04_L0'!$B23:$AI23))</f>
        <v>0</v>
      </c>
    </row>
    <row r="24" spans="1:35" x14ac:dyDescent="0.2">
      <c r="A24" s="12" t="s">
        <v>1388</v>
      </c>
      <c r="B24" s="8">
        <f>IF(SUM('04_L0'!$B24:$AI24)=0,0,'04_L0'!B24/SUM('04_L0'!$B24:$AI24))</f>
        <v>1.0157600173966786E-2</v>
      </c>
      <c r="C24" s="8">
        <f>IF(SUM('04_L0'!$B24:$AI24)=0,0,'04_L0'!C24/SUM('04_L0'!$B24:$AI24))</f>
        <v>3.7307005596694628E-2</v>
      </c>
      <c r="D24" s="8">
        <f>IF(SUM('04_L0'!$B24:$AI24)=0,0,'04_L0'!D24/SUM('04_L0'!$B24:$AI24))</f>
        <v>1.3297872340425532E-2</v>
      </c>
      <c r="E24" s="8">
        <f>IF(SUM('04_L0'!$B24:$AI24)=0,0,'04_L0'!E24/SUM('04_L0'!$B24:$AI24))</f>
        <v>6.0230277087887562E-3</v>
      </c>
      <c r="F24" s="8">
        <f>IF(SUM('04_L0'!$B24:$AI24)=0,0,'04_L0'!F24/SUM('04_L0'!$B24:$AI24))</f>
        <v>2.65814382017328E-3</v>
      </c>
      <c r="G24" s="8">
        <f>IF(SUM('04_L0'!$B24:$AI24)=0,0,'04_L0'!G24/SUM('04_L0'!$B24:$AI24))</f>
        <v>1.5473887814313346E-2</v>
      </c>
      <c r="H24" s="8">
        <f>IF(SUM('04_L0'!$B24:$AI24)=0,0,'04_L0'!H24/SUM('04_L0'!$B24:$AI24))</f>
        <v>2.6953406658807642E-3</v>
      </c>
      <c r="I24" s="8">
        <f>IF(SUM('04_L0'!$B24:$AI24)=0,0,'04_L0'!I24/SUM('04_L0'!$B24:$AI24))</f>
        <v>1.3641227839263846E-2</v>
      </c>
      <c r="J24" s="8">
        <f>IF(SUM('04_L0'!$B24:$AI24)=0,0,'04_L0'!J24/SUM('04_L0'!$B24:$AI24))</f>
        <v>4.9500417749190253E-4</v>
      </c>
      <c r="K24" s="8">
        <f>IF(SUM('04_L0'!$B24:$AI24)=0,0,'04_L0'!K24/SUM('04_L0'!$B24:$AI24))</f>
        <v>1.1611138452382316E-2</v>
      </c>
      <c r="L24" s="8">
        <f>IF(SUM('04_L0'!$B24:$AI24)=0,0,'04_L0'!L24/SUM('04_L0'!$B24:$AI24))</f>
        <v>6.7580946058851135E-2</v>
      </c>
      <c r="M24" s="8">
        <f>IF(SUM('04_L0'!$B24:$AI24)=0,0,'04_L0'!M24/SUM('04_L0'!$B24:$AI24))</f>
        <v>0.26035932152953428</v>
      </c>
      <c r="N24" s="8">
        <f>IF(SUM('04_L0'!$B24:$AI24)=0,0,'04_L0'!N24/SUM('04_L0'!$B24:$AI24))</f>
        <v>0.15316230414430088</v>
      </c>
      <c r="O24" s="8">
        <f>IF(SUM('04_L0'!$B24:$AI24)=0,0,'04_L0'!O24/SUM('04_L0'!$B24:$AI24))</f>
        <v>1.4299325878703948E-2</v>
      </c>
      <c r="P24" s="8">
        <f>IF(SUM('04_L0'!$B24:$AI24)=0,0,'04_L0'!P24/SUM('04_L0'!$B24:$AI24))</f>
        <v>0.2055926888169114</v>
      </c>
      <c r="Q24" s="8">
        <f>IF(SUM('04_L0'!$B24:$AI24)=0,0,'04_L0'!Q24/SUM('04_L0'!$B24:$AI24))</f>
        <v>0.12282684582193584</v>
      </c>
      <c r="R24" s="8">
        <f>IF(SUM('04_L0'!$B24:$AI24)=0,0,'04_L0'!R24/SUM('04_L0'!$B24:$AI24))</f>
        <v>7.9787234042553185E-3</v>
      </c>
      <c r="S24" s="8">
        <f>IF(SUM('04_L0'!$B24:$AI24)=0,0,'04_L0'!S24/SUM('04_L0'!$B24:$AI24))</f>
        <v>3.600940794066817E-3</v>
      </c>
      <c r="T24" s="8">
        <f>IF(SUM('04_L0'!$B24:$AI24)=0,0,'04_L0'!T24/SUM('04_L0'!$B24:$AI24))</f>
        <v>4.5208474013711328E-4</v>
      </c>
      <c r="U24" s="8">
        <f>IF(SUM('04_L0'!$B24:$AI24)=0,0,'04_L0'!U24/SUM('04_L0'!$B24:$AI24))</f>
        <v>4.0844997882641086E-3</v>
      </c>
      <c r="V24" s="8">
        <f>IF(SUM('04_L0'!$B24:$AI24)=0,0,'04_L0'!V24/SUM('04_L0'!$B24:$AI24))</f>
        <v>2.8283909216806108E-3</v>
      </c>
      <c r="W24" s="8">
        <f>IF(SUM('04_L0'!$B24:$AI24)=0,0,'04_L0'!W24/SUM('04_L0'!$B24:$AI24))</f>
        <v>8.2133496617948342E-3</v>
      </c>
      <c r="X24" s="8">
        <f>IF(SUM('04_L0'!$B24:$AI24)=0,0,'04_L0'!X24/SUM('04_L0'!$B24:$AI24))</f>
        <v>5.8985613404598678E-3</v>
      </c>
      <c r="Y24" s="8">
        <f>IF(SUM('04_L0'!$B24:$AI24)=0,0,'04_L0'!Y24/SUM('04_L0'!$B24:$AI24))</f>
        <v>5.0644936078651304E-4</v>
      </c>
      <c r="Z24" s="8">
        <f>IF(SUM('04_L0'!$B24:$AI24)=0,0,'04_L0'!Z24/SUM('04_L0'!$B24:$AI24))</f>
        <v>3.2633078868758085E-3</v>
      </c>
      <c r="AA24" s="8">
        <f>IF(SUM('04_L0'!$B24:$AI24)=0,0,'04_L0'!AA24/SUM('04_L0'!$B24:$AI24))</f>
        <v>3.1431334622823983E-3</v>
      </c>
      <c r="AB24" s="8">
        <f>IF(SUM('04_L0'!$B24:$AI24)=0,0,'04_L0'!AB24/SUM('04_L0'!$B24:$AI24))</f>
        <v>1.4378011513854394E-2</v>
      </c>
      <c r="AC24" s="8">
        <f>IF(SUM('04_L0'!$B24:$AI24)=0,0,'04_L0'!AC24/SUM('04_L0'!$B24:$AI24))</f>
        <v>7.8971764732812199E-4</v>
      </c>
      <c r="AD24" s="8">
        <f>IF(SUM('04_L0'!$B24:$AI24)=0,0,'04_L0'!AD24/SUM('04_L0'!$B24:$AI24))</f>
        <v>1.180284527256704E-3</v>
      </c>
      <c r="AE24" s="8">
        <f>IF(SUM('04_L0'!$B24:$AI24)=0,0,'04_L0'!AE24/SUM('04_L0'!$B24:$AI24))</f>
        <v>2.0987604866491939E-3</v>
      </c>
      <c r="AF24" s="8">
        <f>IF(SUM('04_L0'!$B24:$AI24)=0,0,'04_L0'!AF24/SUM('04_L0'!$B24:$AI24))</f>
        <v>3.5866343149485538E-3</v>
      </c>
      <c r="AG24" s="8">
        <f>IF(SUM('04_L0'!$B24:$AI24)=0,0,'04_L0'!AG24/SUM('04_L0'!$B24:$AI24))</f>
        <v>4.3205566937154499E-4</v>
      </c>
      <c r="AH24" s="8">
        <f>IF(SUM('04_L0'!$B24:$AI24)=0,0,'04_L0'!AH24/SUM('04_L0'!$B24:$AI24))</f>
        <v>1.9886005974385681E-4</v>
      </c>
      <c r="AI24" s="8">
        <f>IF(SUM('04_L0'!$B24:$AI24)=0,0,'04_L0'!AI24/SUM('04_L0'!$B24:$AI24))</f>
        <v>1.8455358062559373E-4</v>
      </c>
    </row>
    <row r="25" spans="1:35" x14ac:dyDescent="0.2">
      <c r="A25" s="12" t="s">
        <v>1389</v>
      </c>
      <c r="B25" s="8">
        <f>IF(SUM('04_L0'!$B25:$AI25)=0,0,'04_L0'!B25/SUM('04_L0'!$B25:$AI25))</f>
        <v>2.5804185653947949E-3</v>
      </c>
      <c r="C25" s="8">
        <f>IF(SUM('04_L0'!$B25:$AI25)=0,0,'04_L0'!C25/SUM('04_L0'!$B25:$AI25))</f>
        <v>6.5605350067825585E-2</v>
      </c>
      <c r="D25" s="8">
        <f>IF(SUM('04_L0'!$B25:$AI25)=0,0,'04_L0'!D25/SUM('04_L0'!$B25:$AI25))</f>
        <v>1.994448516169727E-3</v>
      </c>
      <c r="E25" s="8">
        <f>IF(SUM('04_L0'!$B25:$AI25)=0,0,'04_L0'!E25/SUM('04_L0'!$B25:$AI25))</f>
        <v>7.2215880684312669E-4</v>
      </c>
      <c r="F25" s="8">
        <f>IF(SUM('04_L0'!$B25:$AI25)=0,0,'04_L0'!F25/SUM('04_L0'!$B25:$AI25))</f>
        <v>2.5087402719116062E-4</v>
      </c>
      <c r="G25" s="8">
        <f>IF(SUM('04_L0'!$B25:$AI25)=0,0,'04_L0'!G25/SUM('04_L0'!$B25:$AI25))</f>
        <v>3.8527082747213956E-3</v>
      </c>
      <c r="H25" s="8">
        <f>IF(SUM('04_L0'!$B25:$AI25)=0,0,'04_L0'!H25/SUM('04_L0'!$B25:$AI25))</f>
        <v>0</v>
      </c>
      <c r="I25" s="8">
        <f>IF(SUM('04_L0'!$B25:$AI25)=0,0,'04_L0'!I25/SUM('04_L0'!$B25:$AI25))</f>
        <v>5.9510903164417461E-3</v>
      </c>
      <c r="J25" s="8">
        <f>IF(SUM('04_L0'!$B25:$AI25)=0,0,'04_L0'!J25/SUM('04_L0'!$B25:$AI25))</f>
        <v>0</v>
      </c>
      <c r="K25" s="8">
        <f>IF(SUM('04_L0'!$B25:$AI25)=0,0,'04_L0'!K25/SUM('04_L0'!$B25:$AI25))</f>
        <v>1.6984171640841574E-2</v>
      </c>
      <c r="L25" s="8">
        <f>IF(SUM('04_L0'!$B25:$AI25)=0,0,'04_L0'!L25/SUM('04_L0'!$B25:$AI25))</f>
        <v>7.1570776042963968E-2</v>
      </c>
      <c r="M25" s="8">
        <f>IF(SUM('04_L0'!$B25:$AI25)=0,0,'04_L0'!M25/SUM('04_L0'!$B25:$AI25))</f>
        <v>0.24650165128868612</v>
      </c>
      <c r="N25" s="8">
        <f>IF(SUM('04_L0'!$B25:$AI25)=0,0,'04_L0'!N25/SUM('04_L0'!$B25:$AI25))</f>
        <v>0.18764481255230275</v>
      </c>
      <c r="O25" s="8">
        <f>IF(SUM('04_L0'!$B25:$AI25)=0,0,'04_L0'!O25/SUM('04_L0'!$B25:$AI25))</f>
        <v>9.5511326066349007E-3</v>
      </c>
      <c r="P25" s="8">
        <f>IF(SUM('04_L0'!$B25:$AI25)=0,0,'04_L0'!P25/SUM('04_L0'!$B25:$AI25))</f>
        <v>0.19051015233429322</v>
      </c>
      <c r="Q25" s="8">
        <f>IF(SUM('04_L0'!$B25:$AI25)=0,0,'04_L0'!Q25/SUM('04_L0'!$B25:$AI25))</f>
        <v>0.18429743624663783</v>
      </c>
      <c r="R25" s="8">
        <f>IF(SUM('04_L0'!$B25:$AI25)=0,0,'04_L0'!R25/SUM('04_L0'!$B25:$AI25))</f>
        <v>1.0500869995287152E-3</v>
      </c>
      <c r="S25" s="8">
        <f>IF(SUM('04_L0'!$B25:$AI25)=0,0,'04_L0'!S25/SUM('04_L0'!$B25:$AI25))</f>
        <v>1.0267915541466788E-3</v>
      </c>
      <c r="T25" s="8">
        <f>IF(SUM('04_L0'!$B25:$AI25)=0,0,'04_L0'!T25/SUM('04_L0'!$B25:$AI25))</f>
        <v>2.7990373605185207E-3</v>
      </c>
      <c r="U25" s="8">
        <f>IF(SUM('04_L0'!$B25:$AI25)=0,0,'04_L0'!U25/SUM('04_L0'!$B25:$AI25))</f>
        <v>0</v>
      </c>
      <c r="V25" s="8">
        <f>IF(SUM('04_L0'!$B25:$AI25)=0,0,'04_L0'!V25/SUM('04_L0'!$B25:$AI25))</f>
        <v>0</v>
      </c>
      <c r="W25" s="8">
        <f>IF(SUM('04_L0'!$B25:$AI25)=0,0,'04_L0'!W25/SUM('04_L0'!$B25:$AI25))</f>
        <v>1.3708473628659848E-3</v>
      </c>
      <c r="X25" s="8">
        <f>IF(SUM('04_L0'!$B25:$AI25)=0,0,'04_L0'!X25/SUM('04_L0'!$B25:$AI25))</f>
        <v>0</v>
      </c>
      <c r="Y25" s="8">
        <f>IF(SUM('04_L0'!$B25:$AI25)=0,0,'04_L0'!Y25/SUM('04_L0'!$B25:$AI25))</f>
        <v>0</v>
      </c>
      <c r="Z25" s="8">
        <f>IF(SUM('04_L0'!$B25:$AI25)=0,0,'04_L0'!Z25/SUM('04_L0'!$B25:$AI25))</f>
        <v>9.7303283403428736E-4</v>
      </c>
      <c r="AA25" s="8">
        <f>IF(SUM('04_L0'!$B25:$AI25)=0,0,'04_L0'!AA25/SUM('04_L0'!$B25:$AI25))</f>
        <v>1.4479015283604128E-3</v>
      </c>
      <c r="AB25" s="8">
        <f>IF(SUM('04_L0'!$B25:$AI25)=0,0,'04_L0'!AB25/SUM('04_L0'!$B25:$AI25))</f>
        <v>2.843836293945514E-3</v>
      </c>
      <c r="AC25" s="8">
        <f>IF(SUM('04_L0'!$B25:$AI25)=0,0,'04_L0'!AC25/SUM('04_L0'!$B25:$AI25))</f>
        <v>2.3474641115744317E-4</v>
      </c>
      <c r="AD25" s="8">
        <f>IF(SUM('04_L0'!$B25:$AI25)=0,0,'04_L0'!AD25/SUM('04_L0'!$B25:$AI25))</f>
        <v>0</v>
      </c>
      <c r="AE25" s="8">
        <f>IF(SUM('04_L0'!$B25:$AI25)=0,0,'04_L0'!AE25/SUM('04_L0'!$B25:$AI25))</f>
        <v>0</v>
      </c>
      <c r="AF25" s="8">
        <f>IF(SUM('04_L0'!$B25:$AI25)=0,0,'04_L0'!AF25/SUM('04_L0'!$B25:$AI25))</f>
        <v>2.3653836849452288E-4</v>
      </c>
      <c r="AG25" s="8">
        <f>IF(SUM('04_L0'!$B25:$AI25)=0,0,'04_L0'!AG25/SUM('04_L0'!$B25:$AI25))</f>
        <v>0</v>
      </c>
      <c r="AH25" s="8">
        <f>IF(SUM('04_L0'!$B25:$AI25)=0,0,'04_L0'!AH25/SUM('04_L0'!$B25:$AI25))</f>
        <v>0</v>
      </c>
      <c r="AI25" s="8">
        <f>IF(SUM('04_L0'!$B25:$AI25)=0,0,'04_L0'!AI25/SUM('04_L0'!$B25:$AI25))</f>
        <v>0</v>
      </c>
    </row>
    <row r="26" spans="1:35" x14ac:dyDescent="0.2">
      <c r="A26" s="12" t="s">
        <v>1390</v>
      </c>
      <c r="B26" s="8">
        <f>IF(SUM('04_L0'!$B26:$AI26)=0,0,'04_L0'!B26/SUM('04_L0'!$B26:$AI26))</f>
        <v>5.6285953298150313E-3</v>
      </c>
      <c r="C26" s="8">
        <f>IF(SUM('04_L0'!$B26:$AI26)=0,0,'04_L0'!C26/SUM('04_L0'!$B26:$AI26))</f>
        <v>7.118365745091762E-2</v>
      </c>
      <c r="D26" s="8">
        <f>IF(SUM('04_L0'!$B26:$AI26)=0,0,'04_L0'!D26/SUM('04_L0'!$B26:$AI26))</f>
        <v>1.4340008468712239E-2</v>
      </c>
      <c r="E26" s="8">
        <f>IF(SUM('04_L0'!$B26:$AI26)=0,0,'04_L0'!E26/SUM('04_L0'!$B26:$AI26))</f>
        <v>2.0087372323835295E-3</v>
      </c>
      <c r="F26" s="8">
        <f>IF(SUM('04_L0'!$B26:$AI26)=0,0,'04_L0'!F26/SUM('04_L0'!$B26:$AI26))</f>
        <v>0</v>
      </c>
      <c r="G26" s="8">
        <f>IF(SUM('04_L0'!$B26:$AI26)=0,0,'04_L0'!G26/SUM('04_L0'!$B26:$AI26))</f>
        <v>5.1638489264358085E-4</v>
      </c>
      <c r="H26" s="8">
        <f>IF(SUM('04_L0'!$B26:$AI26)=0,0,'04_L0'!H26/SUM('04_L0'!$B26:$AI26))</f>
        <v>2.3650428083076E-3</v>
      </c>
      <c r="I26" s="8">
        <f>IF(SUM('04_L0'!$B26:$AI26)=0,0,'04_L0'!I26/SUM('04_L0'!$B26:$AI26))</f>
        <v>9.6305782478027825E-3</v>
      </c>
      <c r="J26" s="8">
        <f>IF(SUM('04_L0'!$B26:$AI26)=0,0,'04_L0'!J26/SUM('04_L0'!$B26:$AI26))</f>
        <v>1.8951325560019418E-2</v>
      </c>
      <c r="K26" s="8">
        <f>IF(SUM('04_L0'!$B26:$AI26)=0,0,'04_L0'!K26/SUM('04_L0'!$B26:$AI26))</f>
        <v>4.2875437636196514E-2</v>
      </c>
      <c r="L26" s="8">
        <f>IF(SUM('04_L0'!$B26:$AI26)=0,0,'04_L0'!L26/SUM('04_L0'!$B26:$AI26))</f>
        <v>6.6851188201637976E-2</v>
      </c>
      <c r="M26" s="8">
        <f>IF(SUM('04_L0'!$B26:$AI26)=0,0,'04_L0'!M26/SUM('04_L0'!$B26:$AI26))</f>
        <v>0.17553988040525886</v>
      </c>
      <c r="N26" s="8">
        <f>IF(SUM('04_L0'!$B26:$AI26)=0,0,'04_L0'!N26/SUM('04_L0'!$B26:$AI26))</f>
        <v>6.6737583525256383E-2</v>
      </c>
      <c r="O26" s="8">
        <f>IF(SUM('04_L0'!$B26:$AI26)=0,0,'04_L0'!O26/SUM('04_L0'!$B26:$AI26))</f>
        <v>0</v>
      </c>
      <c r="P26" s="8">
        <f>IF(SUM('04_L0'!$B26:$AI26)=0,0,'04_L0'!P26/SUM('04_L0'!$B26:$AI26))</f>
        <v>0.10199634399496009</v>
      </c>
      <c r="Q26" s="8">
        <f>IF(SUM('04_L0'!$B26:$AI26)=0,0,'04_L0'!Q26/SUM('04_L0'!$B26:$AI26))</f>
        <v>0.18318237681638386</v>
      </c>
      <c r="R26" s="8">
        <f>IF(SUM('04_L0'!$B26:$AI26)=0,0,'04_L0'!R26/SUM('04_L0'!$B26:$AI26))</f>
        <v>6.4548111580447598E-4</v>
      </c>
      <c r="S26" s="8">
        <f>IF(SUM('04_L0'!$B26:$AI26)=0,0,'04_L0'!S26/SUM('04_L0'!$B26:$AI26))</f>
        <v>4.8261332066469063E-2</v>
      </c>
      <c r="T26" s="8">
        <f>IF(SUM('04_L0'!$B26:$AI26)=0,0,'04_L0'!T26/SUM('04_L0'!$B26:$AI26))</f>
        <v>3.6714965866958597E-3</v>
      </c>
      <c r="U26" s="8">
        <f>IF(SUM('04_L0'!$B26:$AI26)=0,0,'04_L0'!U26/SUM('04_L0'!$B26:$AI26))</f>
        <v>1.05703987524141E-2</v>
      </c>
      <c r="V26" s="8">
        <f>IF(SUM('04_L0'!$B26:$AI26)=0,0,'04_L0'!V26/SUM('04_L0'!$B26:$AI26))</f>
        <v>4.3995992853233089E-3</v>
      </c>
      <c r="W26" s="8">
        <f>IF(SUM('04_L0'!$B26:$AI26)=0,0,'04_L0'!W26/SUM('04_L0'!$B26:$AI26))</f>
        <v>3.8625589969739846E-3</v>
      </c>
      <c r="X26" s="8">
        <f>IF(SUM('04_L0'!$B26:$AI26)=0,0,'04_L0'!X26/SUM('04_L0'!$B26:$AI26))</f>
        <v>3.9451805797969574E-3</v>
      </c>
      <c r="Y26" s="8">
        <f>IF(SUM('04_L0'!$B26:$AI26)=0,0,'04_L0'!Y26/SUM('04_L0'!$B26:$AI26))</f>
        <v>9.6047590031706029E-4</v>
      </c>
      <c r="Z26" s="8">
        <f>IF(SUM('04_L0'!$B26:$AI26)=0,0,'04_L0'!Z26/SUM('04_L0'!$B26:$AI26))</f>
        <v>9.0677187148212792E-3</v>
      </c>
      <c r="AA26" s="8">
        <f>IF(SUM('04_L0'!$B26:$AI26)=0,0,'04_L0'!AA26/SUM('04_L0'!$B26:$AI26))</f>
        <v>4.996540221219288E-2</v>
      </c>
      <c r="AB26" s="8">
        <f>IF(SUM('04_L0'!$B26:$AI26)=0,0,'04_L0'!AB26/SUM('04_L0'!$B26:$AI26))</f>
        <v>2.8349530606132586E-2</v>
      </c>
      <c r="AC26" s="8">
        <f>IF(SUM('04_L0'!$B26:$AI26)=0,0,'04_L0'!AC26/SUM('04_L0'!$B26:$AI26))</f>
        <v>5.9446228841129024E-2</v>
      </c>
      <c r="AD26" s="8">
        <f>IF(SUM('04_L0'!$B26:$AI26)=0,0,'04_L0'!AD26/SUM('04_L0'!$B26:$AI26))</f>
        <v>0</v>
      </c>
      <c r="AE26" s="8">
        <f>IF(SUM('04_L0'!$B26:$AI26)=0,0,'04_L0'!AE26/SUM('04_L0'!$B26:$AI26))</f>
        <v>1.3890753612112324E-3</v>
      </c>
      <c r="AF26" s="8">
        <f>IF(SUM('04_L0'!$B26:$AI26)=0,0,'04_L0'!AF26/SUM('04_L0'!$B26:$AI26))</f>
        <v>2.0345564770157085E-3</v>
      </c>
      <c r="AG26" s="8">
        <f>IF(SUM('04_L0'!$B26:$AI26)=0,0,'04_L0'!AG26/SUM('04_L0'!$B26:$AI26))</f>
        <v>1.1623823933407005E-2</v>
      </c>
      <c r="AH26" s="8">
        <f>IF(SUM('04_L0'!$B26:$AI26)=0,0,'04_L0'!AH26/SUM('04_L0'!$B26:$AI26))</f>
        <v>0</v>
      </c>
      <c r="AI26" s="8">
        <f>IF(SUM('04_L0'!$B26:$AI26)=0,0,'04_L0'!AI26/SUM('04_L0'!$B26:$AI26))</f>
        <v>0</v>
      </c>
    </row>
    <row r="27" spans="1:35" x14ac:dyDescent="0.2">
      <c r="A27" s="12" t="s">
        <v>1391</v>
      </c>
      <c r="B27" s="8">
        <f>IF(SUM('04_L0'!$B27:$AI27)=0,0,'04_L0'!B27/SUM('04_L0'!$B27:$AI27))</f>
        <v>9.0114125836811641E-3</v>
      </c>
      <c r="C27" s="8">
        <f>IF(SUM('04_L0'!$B27:$AI27)=0,0,'04_L0'!C27/SUM('04_L0'!$B27:$AI27))</f>
        <v>3.9171736390730919E-2</v>
      </c>
      <c r="D27" s="8">
        <f>IF(SUM('04_L0'!$B27:$AI27)=0,0,'04_L0'!D27/SUM('04_L0'!$B27:$AI27))</f>
        <v>1.0909706839476096E-2</v>
      </c>
      <c r="E27" s="8">
        <f>IF(SUM('04_L0'!$B27:$AI27)=0,0,'04_L0'!E27/SUM('04_L0'!$B27:$AI27))</f>
        <v>1.2277040381098149E-2</v>
      </c>
      <c r="F27" s="8">
        <f>IF(SUM('04_L0'!$B27:$AI27)=0,0,'04_L0'!F27/SUM('04_L0'!$B27:$AI27))</f>
        <v>6.4645563976816764E-3</v>
      </c>
      <c r="G27" s="8">
        <f>IF(SUM('04_L0'!$B27:$AI27)=0,0,'04_L0'!G27/SUM('04_L0'!$B27:$AI27))</f>
        <v>1.4563243125594589E-2</v>
      </c>
      <c r="H27" s="8">
        <f>IF(SUM('04_L0'!$B27:$AI27)=0,0,'04_L0'!H27/SUM('04_L0'!$B27:$AI27))</f>
        <v>4.5144825019921998E-3</v>
      </c>
      <c r="I27" s="8">
        <f>IF(SUM('04_L0'!$B27:$AI27)=0,0,'04_L0'!I27/SUM('04_L0'!$B27:$AI27))</f>
        <v>1.8826726017250519E-2</v>
      </c>
      <c r="J27" s="8">
        <f>IF(SUM('04_L0'!$B27:$AI27)=0,0,'04_L0'!J27/SUM('04_L0'!$B27:$AI27))</f>
        <v>1.0979038899673877E-3</v>
      </c>
      <c r="K27" s="8">
        <f>IF(SUM('04_L0'!$B27:$AI27)=0,0,'04_L0'!K27/SUM('04_L0'!$B27:$AI27))</f>
        <v>4.8173495143245301E-2</v>
      </c>
      <c r="L27" s="8">
        <f>IF(SUM('04_L0'!$B27:$AI27)=0,0,'04_L0'!L27/SUM('04_L0'!$B27:$AI27))</f>
        <v>4.7382758608584541E-2</v>
      </c>
      <c r="M27" s="8">
        <f>IF(SUM('04_L0'!$B27:$AI27)=0,0,'04_L0'!M27/SUM('04_L0'!$B27:$AI27))</f>
        <v>0.23018156223561667</v>
      </c>
      <c r="N27" s="8">
        <f>IF(SUM('04_L0'!$B27:$AI27)=0,0,'04_L0'!N27/SUM('04_L0'!$B27:$AI27))</f>
        <v>0.15420942143712196</v>
      </c>
      <c r="O27" s="8">
        <f>IF(SUM('04_L0'!$B27:$AI27)=0,0,'04_L0'!O27/SUM('04_L0'!$B27:$AI27))</f>
        <v>1.5348713934164381E-2</v>
      </c>
      <c r="P27" s="8">
        <f>IF(SUM('04_L0'!$B27:$AI27)=0,0,'04_L0'!P27/SUM('04_L0'!$B27:$AI27))</f>
        <v>0.17651328191644347</v>
      </c>
      <c r="Q27" s="8">
        <f>IF(SUM('04_L0'!$B27:$AI27)=0,0,'04_L0'!Q27/SUM('04_L0'!$B27:$AI27))</f>
        <v>0.10515040668957842</v>
      </c>
      <c r="R27" s="8">
        <f>IF(SUM('04_L0'!$B27:$AI27)=0,0,'04_L0'!R27/SUM('04_L0'!$B27:$AI27))</f>
        <v>1.1660072807439418E-2</v>
      </c>
      <c r="S27" s="8">
        <f>IF(SUM('04_L0'!$B27:$AI27)=0,0,'04_L0'!S27/SUM('04_L0'!$B27:$AI27))</f>
        <v>9.9522223119345929E-3</v>
      </c>
      <c r="T27" s="8">
        <f>IF(SUM('04_L0'!$B27:$AI27)=0,0,'04_L0'!T27/SUM('04_L0'!$B27:$AI27))</f>
        <v>4.5776712150838476E-3</v>
      </c>
      <c r="U27" s="8">
        <f>IF(SUM('04_L0'!$B27:$AI27)=0,0,'04_L0'!U27/SUM('04_L0'!$B27:$AI27))</f>
        <v>6.5891785818346493E-3</v>
      </c>
      <c r="V27" s="8">
        <f>IF(SUM('04_L0'!$B27:$AI27)=0,0,'04_L0'!V27/SUM('04_L0'!$B27:$AI27))</f>
        <v>3.0427120595658934E-3</v>
      </c>
      <c r="W27" s="8">
        <f>IF(SUM('04_L0'!$B27:$AI27)=0,0,'04_L0'!W27/SUM('04_L0'!$B27:$AI27))</f>
        <v>9.780208592962884E-3</v>
      </c>
      <c r="X27" s="8">
        <f>IF(SUM('04_L0'!$B27:$AI27)=0,0,'04_L0'!X27/SUM('04_L0'!$B27:$AI27))</f>
        <v>1.5194252635495908E-2</v>
      </c>
      <c r="Y27" s="8">
        <f>IF(SUM('04_L0'!$B27:$AI27)=0,0,'04_L0'!Y27/SUM('04_L0'!$B27:$AI27))</f>
        <v>1.16811357118033E-3</v>
      </c>
      <c r="Z27" s="8">
        <f>IF(SUM('04_L0'!$B27:$AI27)=0,0,'04_L0'!Z27/SUM('04_L0'!$B27:$AI27))</f>
        <v>3.4455401055251507E-3</v>
      </c>
      <c r="AA27" s="8">
        <f>IF(SUM('04_L0'!$B27:$AI27)=0,0,'04_L0'!AA27/SUM('04_L0'!$B27:$AI27))</f>
        <v>6.6444687057898412E-3</v>
      </c>
      <c r="AB27" s="8">
        <f>IF(SUM('04_L0'!$B27:$AI27)=0,0,'04_L0'!AB27/SUM('04_L0'!$B27:$AI27))</f>
        <v>2.2415318348247039E-2</v>
      </c>
      <c r="AC27" s="8">
        <f>IF(SUM('04_L0'!$B27:$AI27)=0,0,'04_L0'!AC27/SUM('04_L0'!$B27:$AI27))</f>
        <v>4.6742095267516435E-3</v>
      </c>
      <c r="AD27" s="8">
        <f>IF(SUM('04_L0'!$B27:$AI27)=0,0,'04_L0'!AD27/SUM('04_L0'!$B27:$AI27))</f>
        <v>1.1874212335138891E-3</v>
      </c>
      <c r="AE27" s="8">
        <f>IF(SUM('04_L0'!$B27:$AI27)=0,0,'04_L0'!AE27/SUM('04_L0'!$B27:$AI27))</f>
        <v>1.2155051059990663E-3</v>
      </c>
      <c r="AF27" s="8">
        <f>IF(SUM('04_L0'!$B27:$AI27)=0,0,'04_L0'!AF27/SUM('04_L0'!$B27:$AI27))</f>
        <v>1.1944422016351836E-3</v>
      </c>
      <c r="AG27" s="8">
        <f>IF(SUM('04_L0'!$B27:$AI27)=0,0,'04_L0'!AG27/SUM('04_L0'!$B27:$AI27))</f>
        <v>1.7745496926571205E-3</v>
      </c>
      <c r="AH27" s="8">
        <f>IF(SUM('04_L0'!$B27:$AI27)=0,0,'04_L0'!AH27/SUM('04_L0'!$B27:$AI27))</f>
        <v>3.624574792618154E-4</v>
      </c>
      <c r="AI27" s="8">
        <f>IF(SUM('04_L0'!$B27:$AI27)=0,0,'04_L0'!AI27/SUM('04_L0'!$B27:$AI27))</f>
        <v>1.3252077328942888E-3</v>
      </c>
    </row>
    <row r="28" spans="1:35" x14ac:dyDescent="0.2">
      <c r="A28" s="12" t="s">
        <v>1392</v>
      </c>
      <c r="B28" s="8">
        <f>IF(SUM('04_L0'!$B28:$AI28)=0,0,'04_L0'!B28/SUM('04_L0'!$B28:$AI28))</f>
        <v>1.2763882972301258E-2</v>
      </c>
      <c r="C28" s="8">
        <f>IF(SUM('04_L0'!$B28:$AI28)=0,0,'04_L0'!C28/SUM('04_L0'!$B28:$AI28))</f>
        <v>5.2823294371180003E-2</v>
      </c>
      <c r="D28" s="8">
        <f>IF(SUM('04_L0'!$B28:$AI28)=0,0,'04_L0'!D28/SUM('04_L0'!$B28:$AI28))</f>
        <v>1.4107929189266765E-2</v>
      </c>
      <c r="E28" s="8">
        <f>IF(SUM('04_L0'!$B28:$AI28)=0,0,'04_L0'!E28/SUM('04_L0'!$B28:$AI28))</f>
        <v>1.4019085456280909E-2</v>
      </c>
      <c r="F28" s="8">
        <f>IF(SUM('04_L0'!$B28:$AI28)=0,0,'04_L0'!F28/SUM('04_L0'!$B28:$AI28))</f>
        <v>3.3305009647518185E-3</v>
      </c>
      <c r="G28" s="8">
        <f>IF(SUM('04_L0'!$B28:$AI28)=0,0,'04_L0'!G28/SUM('04_L0'!$B28:$AI28))</f>
        <v>1.8750583748886607E-2</v>
      </c>
      <c r="H28" s="8">
        <f>IF(SUM('04_L0'!$B28:$AI28)=0,0,'04_L0'!H28/SUM('04_L0'!$B28:$AI28))</f>
        <v>2.2803224799702944E-3</v>
      </c>
      <c r="I28" s="8">
        <f>IF(SUM('04_L0'!$B28:$AI28)=0,0,'04_L0'!I28/SUM('04_L0'!$B28:$AI28))</f>
        <v>2.5345522389759734E-2</v>
      </c>
      <c r="J28" s="8">
        <f>IF(SUM('04_L0'!$B28:$AI28)=0,0,'04_L0'!J28/SUM('04_L0'!$B28:$AI28))</f>
        <v>2.1937567914199732E-3</v>
      </c>
      <c r="K28" s="8">
        <f>IF(SUM('04_L0'!$B28:$AI28)=0,0,'04_L0'!K28/SUM('04_L0'!$B28:$AI28))</f>
        <v>2.577835083251134E-2</v>
      </c>
      <c r="L28" s="8">
        <f>IF(SUM('04_L0'!$B28:$AI28)=0,0,'04_L0'!L28/SUM('04_L0'!$B28:$AI28))</f>
        <v>6.0215548564490302E-2</v>
      </c>
      <c r="M28" s="8">
        <f>IF(SUM('04_L0'!$B28:$AI28)=0,0,'04_L0'!M28/SUM('04_L0'!$B28:$AI28))</f>
        <v>0.31184605886922429</v>
      </c>
      <c r="N28" s="8">
        <f>IF(SUM('04_L0'!$B28:$AI28)=0,0,'04_L0'!N28/SUM('04_L0'!$B28:$AI28))</f>
        <v>9.2130951106332279E-2</v>
      </c>
      <c r="O28" s="8">
        <f>IF(SUM('04_L0'!$B28:$AI28)=0,0,'04_L0'!O28/SUM('04_L0'!$B28:$AI28))</f>
        <v>9.2761969414975401E-3</v>
      </c>
      <c r="P28" s="8">
        <f>IF(SUM('04_L0'!$B28:$AI28)=0,0,'04_L0'!P28/SUM('04_L0'!$B28:$AI28))</f>
        <v>0.13227465014932582</v>
      </c>
      <c r="Q28" s="8">
        <f>IF(SUM('04_L0'!$B28:$AI28)=0,0,'04_L0'!Q28/SUM('04_L0'!$B28:$AI28))</f>
        <v>7.7271267253339049E-2</v>
      </c>
      <c r="R28" s="8">
        <f>IF(SUM('04_L0'!$B28:$AI28)=0,0,'04_L0'!R28/SUM('04_L0'!$B28:$AI28))</f>
        <v>1.9322372902205832E-2</v>
      </c>
      <c r="S28" s="8">
        <f>IF(SUM('04_L0'!$B28:$AI28)=0,0,'04_L0'!S28/SUM('04_L0'!$B28:$AI28))</f>
        <v>2.377822781811182E-2</v>
      </c>
      <c r="T28" s="8">
        <f>IF(SUM('04_L0'!$B28:$AI28)=0,0,'04_L0'!T28/SUM('04_L0'!$B28:$AI28))</f>
        <v>6.8364113510398132E-3</v>
      </c>
      <c r="U28" s="8">
        <f>IF(SUM('04_L0'!$B28:$AI28)=0,0,'04_L0'!U28/SUM('04_L0'!$B28:$AI28))</f>
        <v>7.7407949919471126E-3</v>
      </c>
      <c r="V28" s="8">
        <f>IF(SUM('04_L0'!$B28:$AI28)=0,0,'04_L0'!V28/SUM('04_L0'!$B28:$AI28))</f>
        <v>6.6040508186152678E-3</v>
      </c>
      <c r="W28" s="8">
        <f>IF(SUM('04_L0'!$B28:$AI28)=0,0,'04_L0'!W28/SUM('04_L0'!$B28:$AI28))</f>
        <v>1.1442617199691097E-2</v>
      </c>
      <c r="X28" s="8">
        <f>IF(SUM('04_L0'!$B28:$AI28)=0,0,'04_L0'!X28/SUM('04_L0'!$B28:$AI28))</f>
        <v>9.2146897417381031E-3</v>
      </c>
      <c r="Y28" s="8">
        <f>IF(SUM('04_L0'!$B28:$AI28)=0,0,'04_L0'!Y28/SUM('04_L0'!$B28:$AI28))</f>
        <v>1.5786847938255883E-3</v>
      </c>
      <c r="Z28" s="8">
        <f>IF(SUM('04_L0'!$B28:$AI28)=0,0,'04_L0'!Z28/SUM('04_L0'!$B28:$AI28))</f>
        <v>5.6039893114155082E-3</v>
      </c>
      <c r="AA28" s="8">
        <f>IF(SUM('04_L0'!$B28:$AI28)=0,0,'04_L0'!AA28/SUM('04_L0'!$B28:$AI28))</f>
        <v>6.5470997077268986E-3</v>
      </c>
      <c r="AB28" s="8">
        <f>IF(SUM('04_L0'!$B28:$AI28)=0,0,'04_L0'!AB28/SUM('04_L0'!$B28:$AI28))</f>
        <v>2.7985775890544521E-2</v>
      </c>
      <c r="AC28" s="8">
        <f>IF(SUM('04_L0'!$B28:$AI28)=0,0,'04_L0'!AC28/SUM('04_L0'!$B28:$AI28))</f>
        <v>4.5697571376827279E-3</v>
      </c>
      <c r="AD28" s="8">
        <f>IF(SUM('04_L0'!$B28:$AI28)=0,0,'04_L0'!AD28/SUM('04_L0'!$B28:$AI28))</f>
        <v>1.8566062149608291E-3</v>
      </c>
      <c r="AE28" s="8">
        <f>IF(SUM('04_L0'!$B28:$AI28)=0,0,'04_L0'!AE28/SUM('04_L0'!$B28:$AI28))</f>
        <v>1.1868611509136097E-3</v>
      </c>
      <c r="AF28" s="8">
        <f>IF(SUM('04_L0'!$B28:$AI28)=0,0,'04_L0'!AF28/SUM('04_L0'!$B28:$AI28))</f>
        <v>5.2349461128588775E-3</v>
      </c>
      <c r="AG28" s="8">
        <f>IF(SUM('04_L0'!$B28:$AI28)=0,0,'04_L0'!AG28/SUM('04_L0'!$B28:$AI28))</f>
        <v>1.7449820376196259E-3</v>
      </c>
      <c r="AH28" s="8">
        <f>IF(SUM('04_L0'!$B28:$AI28)=0,0,'04_L0'!AH28/SUM('04_L0'!$B28:$AI28))</f>
        <v>3.4170666533021393E-4</v>
      </c>
      <c r="AI28" s="8">
        <f>IF(SUM('04_L0'!$B28:$AI28)=0,0,'04_L0'!AI28/SUM('04_L0'!$B28:$AI28))</f>
        <v>4.0025240732345724E-3</v>
      </c>
    </row>
    <row r="29" spans="1:35" x14ac:dyDescent="0.2">
      <c r="A29" s="12" t="s">
        <v>1393</v>
      </c>
      <c r="B29" s="8">
        <f>IF(SUM('04_L0'!$B29:$AI29)=0,0,'04_L0'!B29/SUM('04_L0'!$B29:$AI29))</f>
        <v>1.3234304734251619E-3</v>
      </c>
      <c r="C29" s="8">
        <f>IF(SUM('04_L0'!$B29:$AI29)=0,0,'04_L0'!C29/SUM('04_L0'!$B29:$AI29))</f>
        <v>1.1423993484649977E-2</v>
      </c>
      <c r="D29" s="8">
        <f>IF(SUM('04_L0'!$B29:$AI29)=0,0,'04_L0'!D29/SUM('04_L0'!$B29:$AI29))</f>
        <v>3.7843914875535569E-4</v>
      </c>
      <c r="E29" s="8">
        <f>IF(SUM('04_L0'!$B29:$AI29)=0,0,'04_L0'!E29/SUM('04_L0'!$B29:$AI29))</f>
        <v>2.635795474664495E-3</v>
      </c>
      <c r="F29" s="8">
        <f>IF(SUM('04_L0'!$B29:$AI29)=0,0,'04_L0'!F29/SUM('04_L0'!$B29:$AI29))</f>
        <v>8.1441875287702279E-4</v>
      </c>
      <c r="G29" s="8">
        <f>IF(SUM('04_L0'!$B29:$AI29)=0,0,'04_L0'!G29/SUM('04_L0'!$B29:$AI29))</f>
        <v>8.7306575546191711E-3</v>
      </c>
      <c r="H29" s="8">
        <f>IF(SUM('04_L0'!$B29:$AI29)=0,0,'04_L0'!H29/SUM('04_L0'!$B29:$AI29))</f>
        <v>2.9434156014305444E-4</v>
      </c>
      <c r="I29" s="8">
        <f>IF(SUM('04_L0'!$B29:$AI29)=0,0,'04_L0'!I29/SUM('04_L0'!$B29:$AI29))</f>
        <v>2.4189122198222442E-3</v>
      </c>
      <c r="J29" s="8">
        <f>IF(SUM('04_L0'!$B29:$AI29)=0,0,'04_L0'!J29/SUM('04_L0'!$B29:$AI29))</f>
        <v>2.0382599766297226E-3</v>
      </c>
      <c r="K29" s="8">
        <f>IF(SUM('04_L0'!$B29:$AI29)=0,0,'04_L0'!K29/SUM('04_L0'!$B29:$AI29))</f>
        <v>0.1385264331999575</v>
      </c>
      <c r="L29" s="8">
        <f>IF(SUM('04_L0'!$B29:$AI29)=0,0,'04_L0'!L29/SUM('04_L0'!$B29:$AI29))</f>
        <v>6.5965705888601678E-2</v>
      </c>
      <c r="M29" s="8">
        <f>IF(SUM('04_L0'!$B29:$AI29)=0,0,'04_L0'!M29/SUM('04_L0'!$B29:$AI29))</f>
        <v>0.51157448390637728</v>
      </c>
      <c r="N29" s="8">
        <f>IF(SUM('04_L0'!$B29:$AI29)=0,0,'04_L0'!N29/SUM('04_L0'!$B29:$AI29))</f>
        <v>5.7489554194256574E-2</v>
      </c>
      <c r="O29" s="8">
        <f>IF(SUM('04_L0'!$B29:$AI29)=0,0,'04_L0'!O29/SUM('04_L0'!$B29:$AI29))</f>
        <v>6.2187953684359615E-4</v>
      </c>
      <c r="P29" s="8">
        <f>IF(SUM('04_L0'!$B29:$AI29)=0,0,'04_L0'!P29/SUM('04_L0'!$B29:$AI29))</f>
        <v>8.6180110477674307E-2</v>
      </c>
      <c r="Q29" s="8">
        <f>IF(SUM('04_L0'!$B29:$AI29)=0,0,'04_L0'!Q29/SUM('04_L0'!$B29:$AI29))</f>
        <v>5.2707057115541231E-2</v>
      </c>
      <c r="R29" s="8">
        <f>IF(SUM('04_L0'!$B29:$AI29)=0,0,'04_L0'!R29/SUM('04_L0'!$B29:$AI29))</f>
        <v>2.3458801033957721E-4</v>
      </c>
      <c r="S29" s="8">
        <f>IF(SUM('04_L0'!$B29:$AI29)=0,0,'04_L0'!S29/SUM('04_L0'!$B29:$AI29))</f>
        <v>2.9212846570588863E-4</v>
      </c>
      <c r="T29" s="8">
        <f>IF(SUM('04_L0'!$B29:$AI29)=0,0,'04_L0'!T29/SUM('04_L0'!$B29:$AI29))</f>
        <v>5.0015934279947589E-4</v>
      </c>
      <c r="U29" s="8">
        <f>IF(SUM('04_L0'!$B29:$AI29)=0,0,'04_L0'!U29/SUM('04_L0'!$B29:$AI29))</f>
        <v>3.2089869338904429E-3</v>
      </c>
      <c r="V29" s="8">
        <f>IF(SUM('04_L0'!$B29:$AI29)=0,0,'04_L0'!V29/SUM('04_L0'!$B29:$AI29))</f>
        <v>1.4938387450869302E-3</v>
      </c>
      <c r="W29" s="8">
        <f>IF(SUM('04_L0'!$B29:$AI29)=0,0,'04_L0'!W29/SUM('04_L0'!$B29:$AI29))</f>
        <v>1.2070217060302398E-2</v>
      </c>
      <c r="X29" s="8">
        <f>IF(SUM('04_L0'!$B29:$AI29)=0,0,'04_L0'!X29/SUM('04_L0'!$B29:$AI29))</f>
        <v>2.13298041854042E-2</v>
      </c>
      <c r="Y29" s="8">
        <f>IF(SUM('04_L0'!$B29:$AI29)=0,0,'04_L0'!Y29/SUM('04_L0'!$B29:$AI29))</f>
        <v>1.9829326157005771E-3</v>
      </c>
      <c r="Z29" s="8">
        <f>IF(SUM('04_L0'!$B29:$AI29)=0,0,'04_L0'!Z29/SUM('04_L0'!$B29:$AI29))</f>
        <v>2.9456286958677099E-3</v>
      </c>
      <c r="AA29" s="8">
        <f>IF(SUM('04_L0'!$B29:$AI29)=0,0,'04_L0'!AA29/SUM('04_L0'!$B29:$AI29))</f>
        <v>1.1198257852059062E-3</v>
      </c>
      <c r="AB29" s="8">
        <f>IF(SUM('04_L0'!$B29:$AI29)=0,0,'04_L0'!AB29/SUM('04_L0'!$B29:$AI29))</f>
        <v>5.6544562869586769E-3</v>
      </c>
      <c r="AC29" s="8">
        <f>IF(SUM('04_L0'!$B29:$AI29)=0,0,'04_L0'!AC29/SUM('04_L0'!$B29:$AI29))</f>
        <v>1.7173612832406785E-3</v>
      </c>
      <c r="AD29" s="8">
        <f>IF(SUM('04_L0'!$B29:$AI29)=0,0,'04_L0'!AD29/SUM('04_L0'!$B29:$AI29))</f>
        <v>1.5934279947593923E-4</v>
      </c>
      <c r="AE29" s="8">
        <f>IF(SUM('04_L0'!$B29:$AI29)=0,0,'04_L0'!AE29/SUM('04_L0'!$B29:$AI29))</f>
        <v>8.4982826387167598E-4</v>
      </c>
      <c r="AF29" s="8">
        <f>IF(SUM('04_L0'!$B29:$AI29)=0,0,'04_L0'!AF29/SUM('04_L0'!$B29:$AI29))</f>
        <v>6.0196168690910374E-4</v>
      </c>
      <c r="AG29" s="8">
        <f>IF(SUM('04_L0'!$B29:$AI29)=0,0,'04_L0'!AG29/SUM('04_L0'!$B29:$AI29))</f>
        <v>4.7360220955348605E-4</v>
      </c>
      <c r="AH29" s="8">
        <f>IF(SUM('04_L0'!$B29:$AI29)=0,0,'04_L0'!AH29/SUM('04_L0'!$B29:$AI29))</f>
        <v>5.6433908147728484E-4</v>
      </c>
      <c r="AI29" s="8">
        <f>IF(SUM('04_L0'!$B29:$AI29)=0,0,'04_L0'!AI29/SUM('04_L0'!$B29:$AI29))</f>
        <v>1.6775255833716936E-3</v>
      </c>
    </row>
    <row r="30" spans="1:35" x14ac:dyDescent="0.2">
      <c r="A30" s="12" t="s">
        <v>1394</v>
      </c>
      <c r="B30" s="8">
        <f>IF(SUM('04_L0'!$B30:$AI30)=0,0,'04_L0'!B30/SUM('04_L0'!$B30:$AI30))</f>
        <v>1.7590827843201141E-2</v>
      </c>
      <c r="C30" s="8">
        <f>IF(SUM('04_L0'!$B30:$AI30)=0,0,'04_L0'!C30/SUM('04_L0'!$B30:$AI30))</f>
        <v>4.1148934764356271E-2</v>
      </c>
      <c r="D30" s="8">
        <f>IF(SUM('04_L0'!$B30:$AI30)=0,0,'04_L0'!D30/SUM('04_L0'!$B30:$AI30))</f>
        <v>1.2041645638406585E-2</v>
      </c>
      <c r="E30" s="8">
        <f>IF(SUM('04_L0'!$B30:$AI30)=0,0,'04_L0'!E30/SUM('04_L0'!$B30:$AI30))</f>
        <v>6.6234747153922306E-3</v>
      </c>
      <c r="F30" s="8">
        <f>IF(SUM('04_L0'!$B30:$AI30)=0,0,'04_L0'!F30/SUM('04_L0'!$B30:$AI30))</f>
        <v>4.5409649493555956E-3</v>
      </c>
      <c r="G30" s="8">
        <f>IF(SUM('04_L0'!$B30:$AI30)=0,0,'04_L0'!G30/SUM('04_L0'!$B30:$AI30))</f>
        <v>1.0235968406914205E-2</v>
      </c>
      <c r="H30" s="8">
        <f>IF(SUM('04_L0'!$B30:$AI30)=0,0,'04_L0'!H30/SUM('04_L0'!$B30:$AI30))</f>
        <v>2.9779433962908997E-3</v>
      </c>
      <c r="I30" s="8">
        <f>IF(SUM('04_L0'!$B30:$AI30)=0,0,'04_L0'!I30/SUM('04_L0'!$B30:$AI30))</f>
        <v>1.3761880729607524E-2</v>
      </c>
      <c r="J30" s="8">
        <f>IF(SUM('04_L0'!$B30:$AI30)=0,0,'04_L0'!J30/SUM('04_L0'!$B30:$AI30))</f>
        <v>8.9315517317982613E-4</v>
      </c>
      <c r="K30" s="8">
        <f>IF(SUM('04_L0'!$B30:$AI30)=0,0,'04_L0'!K30/SUM('04_L0'!$B30:$AI30))</f>
        <v>4.3153976989862008E-3</v>
      </c>
      <c r="L30" s="8">
        <f>IF(SUM('04_L0'!$B30:$AI30)=0,0,'04_L0'!L30/SUM('04_L0'!$B30:$AI30))</f>
        <v>1.4702883501350555E-2</v>
      </c>
      <c r="M30" s="8">
        <f>IF(SUM('04_L0'!$B30:$AI30)=0,0,'04_L0'!M30/SUM('04_L0'!$B30:$AI30))</f>
        <v>0.16775709824820828</v>
      </c>
      <c r="N30" s="8">
        <f>IF(SUM('04_L0'!$B30:$AI30)=0,0,'04_L0'!N30/SUM('04_L0'!$B30:$AI30))</f>
        <v>0.32741314236825109</v>
      </c>
      <c r="O30" s="8">
        <f>IF(SUM('04_L0'!$B30:$AI30)=0,0,'04_L0'!O30/SUM('04_L0'!$B30:$AI30))</f>
        <v>2.2865455970525878E-2</v>
      </c>
      <c r="P30" s="8">
        <f>IF(SUM('04_L0'!$B30:$AI30)=0,0,'04_L0'!P30/SUM('04_L0'!$B30:$AI30))</f>
        <v>0.19823146161882096</v>
      </c>
      <c r="Q30" s="8">
        <f>IF(SUM('04_L0'!$B30:$AI30)=0,0,'04_L0'!Q30/SUM('04_L0'!$B30:$AI30))</f>
        <v>4.2185632733225717E-2</v>
      </c>
      <c r="R30" s="8">
        <f>IF(SUM('04_L0'!$B30:$AI30)=0,0,'04_L0'!R30/SUM('04_L0'!$B30:$AI30))</f>
        <v>1.12282364628321E-2</v>
      </c>
      <c r="S30" s="8">
        <f>IF(SUM('04_L0'!$B30:$AI30)=0,0,'04_L0'!S30/SUM('04_L0'!$B30:$AI30))</f>
        <v>1.058457233930327E-2</v>
      </c>
      <c r="T30" s="8">
        <f>IF(SUM('04_L0'!$B30:$AI30)=0,0,'04_L0'!T30/SUM('04_L0'!$B30:$AI30))</f>
        <v>9.3109148346922424E-3</v>
      </c>
      <c r="U30" s="8">
        <f>IF(SUM('04_L0'!$B30:$AI30)=0,0,'04_L0'!U30/SUM('04_L0'!$B30:$AI30))</f>
        <v>8.49636643058054E-3</v>
      </c>
      <c r="V30" s="8">
        <f>IF(SUM('04_L0'!$B30:$AI30)=0,0,'04_L0'!V30/SUM('04_L0'!$B30:$AI30))</f>
        <v>3.2274344459418971E-3</v>
      </c>
      <c r="W30" s="8">
        <f>IF(SUM('04_L0'!$B30:$AI30)=0,0,'04_L0'!W30/SUM('04_L0'!$B30:$AI30))</f>
        <v>4.9693148793500015E-3</v>
      </c>
      <c r="X30" s="8">
        <f>IF(SUM('04_L0'!$B30:$AI30)=0,0,'04_L0'!X30/SUM('04_L0'!$B30:$AI30))</f>
        <v>6.1279103017018938E-3</v>
      </c>
      <c r="Y30" s="8">
        <f>IF(SUM('04_L0'!$B30:$AI30)=0,0,'04_L0'!Y30/SUM('04_L0'!$B30:$AI30))</f>
        <v>5.1037438467418635E-4</v>
      </c>
      <c r="Z30" s="8">
        <f>IF(SUM('04_L0'!$B30:$AI30)=0,0,'04_L0'!Z30/SUM('04_L0'!$B30:$AI30))</f>
        <v>4.5307118925206231E-3</v>
      </c>
      <c r="AA30" s="8">
        <f>IF(SUM('04_L0'!$B30:$AI30)=0,0,'04_L0'!AA30/SUM('04_L0'!$B30:$AI30))</f>
        <v>4.5546356918022253E-3</v>
      </c>
      <c r="AB30" s="8">
        <f>IF(SUM('04_L0'!$B30:$AI30)=0,0,'04_L0'!AB30/SUM('04_L0'!$B30:$AI30))</f>
        <v>2.6733136854384949E-2</v>
      </c>
      <c r="AC30" s="8">
        <f>IF(SUM('04_L0'!$B30:$AI30)=0,0,'04_L0'!AC30/SUM('04_L0'!$B30:$AI30))</f>
        <v>8.2058631535896522E-3</v>
      </c>
      <c r="AD30" s="8">
        <f>IF(SUM('04_L0'!$B30:$AI30)=0,0,'04_L0'!AD30/SUM('04_L0'!$B30:$AI30))</f>
        <v>4.8132405697509763E-3</v>
      </c>
      <c r="AE30" s="8">
        <f>IF(SUM('04_L0'!$B30:$AI30)=0,0,'04_L0'!AE30/SUM('04_L0'!$B30:$AI30))</f>
        <v>1.6963112919193381E-3</v>
      </c>
      <c r="AF30" s="8">
        <f>IF(SUM('04_L0'!$B30:$AI30)=0,0,'04_L0'!AF30/SUM('04_L0'!$B30:$AI30))</f>
        <v>2.802502201559148E-3</v>
      </c>
      <c r="AG30" s="8">
        <f>IF(SUM('04_L0'!$B30:$AI30)=0,0,'04_L0'!AG30/SUM('04_L0'!$B30:$AI30))</f>
        <v>1.5709961528252298E-3</v>
      </c>
      <c r="AH30" s="8">
        <f>IF(SUM('04_L0'!$B30:$AI30)=0,0,'04_L0'!AH30/SUM('04_L0'!$B30:$AI30))</f>
        <v>1.606312237479024E-3</v>
      </c>
      <c r="AI30" s="8">
        <f>IF(SUM('04_L0'!$B30:$AI30)=0,0,'04_L0'!AI30/SUM('04_L0'!$B30:$AI30))</f>
        <v>1.7452981190197621E-3</v>
      </c>
    </row>
    <row r="31" spans="1:35" x14ac:dyDescent="0.2">
      <c r="A31" s="12" t="s">
        <v>1395</v>
      </c>
      <c r="B31" s="8">
        <f>IF(SUM('04_L0'!$B31:$AI31)=0,0,'04_L0'!B31/SUM('04_L0'!$B31:$AI31))</f>
        <v>1.0933942937446737E-2</v>
      </c>
      <c r="C31" s="8">
        <f>IF(SUM('04_L0'!$B31:$AI31)=0,0,'04_L0'!C31/SUM('04_L0'!$B31:$AI31))</f>
        <v>3.959657248029904E-2</v>
      </c>
      <c r="D31" s="8">
        <f>IF(SUM('04_L0'!$B31:$AI31)=0,0,'04_L0'!D31/SUM('04_L0'!$B31:$AI31))</f>
        <v>1.1131763586915668E-2</v>
      </c>
      <c r="E31" s="8">
        <f>IF(SUM('04_L0'!$B31:$AI31)=0,0,'04_L0'!E31/SUM('04_L0'!$B31:$AI31))</f>
        <v>1.0839780308299525E-2</v>
      </c>
      <c r="F31" s="8">
        <f>IF(SUM('04_L0'!$B31:$AI31)=0,0,'04_L0'!F31/SUM('04_L0'!$B31:$AI31))</f>
        <v>5.4938750770511429E-3</v>
      </c>
      <c r="G31" s="8">
        <f>IF(SUM('04_L0'!$B31:$AI31)=0,0,'04_L0'!G31/SUM('04_L0'!$B31:$AI31))</f>
        <v>1.3407492338406246E-2</v>
      </c>
      <c r="H31" s="8">
        <f>IF(SUM('04_L0'!$B31:$AI31)=0,0,'04_L0'!H31/SUM('04_L0'!$B31:$AI31))</f>
        <v>3.5821363205833967E-3</v>
      </c>
      <c r="I31" s="8">
        <f>IF(SUM('04_L0'!$B31:$AI31)=0,0,'04_L0'!I31/SUM('04_L0'!$B31:$AI31))</f>
        <v>1.4486010519310857E-2</v>
      </c>
      <c r="J31" s="8">
        <f>IF(SUM('04_L0'!$B31:$AI31)=0,0,'04_L0'!J31/SUM('04_L0'!$B31:$AI31))</f>
        <v>2.2337907738031655E-3</v>
      </c>
      <c r="K31" s="8">
        <f>IF(SUM('04_L0'!$B31:$AI31)=0,0,'04_L0'!K31/SUM('04_L0'!$B31:$AI31))</f>
        <v>1.9569209928064497E-2</v>
      </c>
      <c r="L31" s="8">
        <f>IF(SUM('04_L0'!$B31:$AI31)=0,0,'04_L0'!L31/SUM('04_L0'!$B31:$AI31))</f>
        <v>3.8271174128857208E-2</v>
      </c>
      <c r="M31" s="8">
        <f>IF(SUM('04_L0'!$B31:$AI31)=0,0,'04_L0'!M31/SUM('04_L0'!$B31:$AI31))</f>
        <v>0.20031318965223921</v>
      </c>
      <c r="N31" s="8">
        <f>IF(SUM('04_L0'!$B31:$AI31)=0,0,'04_L0'!N31/SUM('04_L0'!$B31:$AI31))</f>
        <v>0.21711132792254292</v>
      </c>
      <c r="O31" s="8">
        <f>IF(SUM('04_L0'!$B31:$AI31)=0,0,'04_L0'!O31/SUM('04_L0'!$B31:$AI31))</f>
        <v>2.3430669005698027E-2</v>
      </c>
      <c r="P31" s="8">
        <f>IF(SUM('04_L0'!$B31:$AI31)=0,0,'04_L0'!P31/SUM('04_L0'!$B31:$AI31))</f>
        <v>0.16717190060541032</v>
      </c>
      <c r="Q31" s="8">
        <f>IF(SUM('04_L0'!$B31:$AI31)=0,0,'04_L0'!Q31/SUM('04_L0'!$B31:$AI31))</f>
        <v>3.79127231120195E-2</v>
      </c>
      <c r="R31" s="8">
        <f>IF(SUM('04_L0'!$B31:$AI31)=0,0,'04_L0'!R31/SUM('04_L0'!$B31:$AI31))</f>
        <v>9.6701855003794204E-2</v>
      </c>
      <c r="S31" s="8">
        <f>IF(SUM('04_L0'!$B31:$AI31)=0,0,'04_L0'!S31/SUM('04_L0'!$B31:$AI31))</f>
        <v>1.5087385293696406E-2</v>
      </c>
      <c r="T31" s="8">
        <f>IF(SUM('04_L0'!$B31:$AI31)=0,0,'04_L0'!T31/SUM('04_L0'!$B31:$AI31))</f>
        <v>7.9223213699317358E-3</v>
      </c>
      <c r="U31" s="8">
        <f>IF(SUM('04_L0'!$B31:$AI31)=0,0,'04_L0'!U31/SUM('04_L0'!$B31:$AI31))</f>
        <v>6.2004904369541633E-3</v>
      </c>
      <c r="V31" s="8">
        <f>IF(SUM('04_L0'!$B31:$AI31)=0,0,'04_L0'!V31/SUM('04_L0'!$B31:$AI31))</f>
        <v>1.9046172130868647E-3</v>
      </c>
      <c r="W31" s="8">
        <f>IF(SUM('04_L0'!$B31:$AI31)=0,0,'04_L0'!W31/SUM('04_L0'!$B31:$AI31))</f>
        <v>1.024315322950123E-2</v>
      </c>
      <c r="X31" s="8">
        <f>IF(SUM('04_L0'!$B31:$AI31)=0,0,'04_L0'!X31/SUM('04_L0'!$B31:$AI31))</f>
        <v>1.3092561864451709E-2</v>
      </c>
      <c r="Y31" s="8">
        <f>IF(SUM('04_L0'!$B31:$AI31)=0,0,'04_L0'!Y31/SUM('04_L0'!$B31:$AI31))</f>
        <v>2.2963020990353473E-3</v>
      </c>
      <c r="Z31" s="8">
        <f>IF(SUM('04_L0'!$B31:$AI31)=0,0,'04_L0'!Z31/SUM('04_L0'!$B31:$AI31))</f>
        <v>3.6668035585560991E-3</v>
      </c>
      <c r="AA31" s="8">
        <f>IF(SUM('04_L0'!$B31:$AI31)=0,0,'04_L0'!AA31/SUM('04_L0'!$B31:$AI31))</f>
        <v>2.9483189596849427E-3</v>
      </c>
      <c r="AB31" s="8">
        <f>IF(SUM('04_L0'!$B31:$AI31)=0,0,'04_L0'!AB31/SUM('04_L0'!$B31:$AI31))</f>
        <v>1.16587577971009E-2</v>
      </c>
      <c r="AC31" s="8">
        <f>IF(SUM('04_L0'!$B31:$AI31)=0,0,'04_L0'!AC31/SUM('04_L0'!$B31:$AI31))</f>
        <v>2.6001546166196251E-3</v>
      </c>
      <c r="AD31" s="8">
        <f>IF(SUM('04_L0'!$B31:$AI31)=0,0,'04_L0'!AD31/SUM('04_L0'!$B31:$AI31))</f>
        <v>2.5059919874724141E-3</v>
      </c>
      <c r="AE31" s="8">
        <f>IF(SUM('04_L0'!$B31:$AI31)=0,0,'04_L0'!AE31/SUM('04_L0'!$B31:$AI31))</f>
        <v>2.1926440787136277E-3</v>
      </c>
      <c r="AF31" s="8">
        <f>IF(SUM('04_L0'!$B31:$AI31)=0,0,'04_L0'!AF31/SUM('04_L0'!$B31:$AI31))</f>
        <v>3.3107263895120241E-3</v>
      </c>
      <c r="AG31" s="8">
        <f>IF(SUM('04_L0'!$B31:$AI31)=0,0,'04_L0'!AG31/SUM('04_L0'!$B31:$AI31))</f>
        <v>1.3823706984888876E-3</v>
      </c>
      <c r="AH31" s="8">
        <f>IF(SUM('04_L0'!$B31:$AI31)=0,0,'04_L0'!AH31/SUM('04_L0'!$B31:$AI31))</f>
        <v>1.9228167128380064E-4</v>
      </c>
      <c r="AI31" s="8">
        <f>IF(SUM('04_L0'!$B31:$AI31)=0,0,'04_L0'!AI31/SUM('04_L0'!$B31:$AI31))</f>
        <v>6.0770503516855508E-4</v>
      </c>
    </row>
    <row r="32" spans="1:35" x14ac:dyDescent="0.2">
      <c r="A32" s="12" t="s">
        <v>1396</v>
      </c>
      <c r="B32" s="8">
        <f>IF(SUM('04_L0'!$B32:$AI32)=0,0,'04_L0'!B32/SUM('04_L0'!$B32:$AI32))</f>
        <v>1.7258036184788335E-2</v>
      </c>
      <c r="C32" s="8">
        <f>IF(SUM('04_L0'!$B32:$AI32)=0,0,'04_L0'!C32/SUM('04_L0'!$B32:$AI32))</f>
        <v>7.6908643789023207E-2</v>
      </c>
      <c r="D32" s="8">
        <f>IF(SUM('04_L0'!$B32:$AI32)=0,0,'04_L0'!D32/SUM('04_L0'!$B32:$AI32))</f>
        <v>2.8591731472462193E-2</v>
      </c>
      <c r="E32" s="8">
        <f>IF(SUM('04_L0'!$B32:$AI32)=0,0,'04_L0'!E32/SUM('04_L0'!$B32:$AI32))</f>
        <v>3.0743496798300945E-2</v>
      </c>
      <c r="F32" s="8">
        <f>IF(SUM('04_L0'!$B32:$AI32)=0,0,'04_L0'!F32/SUM('04_L0'!$B32:$AI32))</f>
        <v>1.1740893920763936E-2</v>
      </c>
      <c r="G32" s="8">
        <f>IF(SUM('04_L0'!$B32:$AI32)=0,0,'04_L0'!G32/SUM('04_L0'!$B32:$AI32))</f>
        <v>4.5430592593775451E-2</v>
      </c>
      <c r="H32" s="8">
        <f>IF(SUM('04_L0'!$B32:$AI32)=0,0,'04_L0'!H32/SUM('04_L0'!$B32:$AI32))</f>
        <v>8.8386056241317092E-3</v>
      </c>
      <c r="I32" s="8">
        <f>IF(SUM('04_L0'!$B32:$AI32)=0,0,'04_L0'!I32/SUM('04_L0'!$B32:$AI32))</f>
        <v>1.9002602877537009E-2</v>
      </c>
      <c r="J32" s="8">
        <f>IF(SUM('04_L0'!$B32:$AI32)=0,0,'04_L0'!J32/SUM('04_L0'!$B32:$AI32))</f>
        <v>9.5891285949251878E-3</v>
      </c>
      <c r="K32" s="8">
        <f>IF(SUM('04_L0'!$B32:$AI32)=0,0,'04_L0'!K32/SUM('04_L0'!$B32:$AI32))</f>
        <v>1.9425770084473756E-2</v>
      </c>
      <c r="L32" s="8">
        <f>IF(SUM('04_L0'!$B32:$AI32)=0,0,'04_L0'!L32/SUM('04_L0'!$B32:$AI32))</f>
        <v>2.1389904667614135E-2</v>
      </c>
      <c r="M32" s="8">
        <f>IF(SUM('04_L0'!$B32:$AI32)=0,0,'04_L0'!M32/SUM('04_L0'!$B32:$AI32))</f>
        <v>0.14769733165131022</v>
      </c>
      <c r="N32" s="8">
        <f>IF(SUM('04_L0'!$B32:$AI32)=0,0,'04_L0'!N32/SUM('04_L0'!$B32:$AI32))</f>
        <v>8.3120419015377742E-2</v>
      </c>
      <c r="O32" s="8">
        <f>IF(SUM('04_L0'!$B32:$AI32)=0,0,'04_L0'!O32/SUM('04_L0'!$B32:$AI32))</f>
        <v>1.1481404595755553E-2</v>
      </c>
      <c r="P32" s="8">
        <f>IF(SUM('04_L0'!$B32:$AI32)=0,0,'04_L0'!P32/SUM('04_L0'!$B32:$AI32))</f>
        <v>0.13673091356210976</v>
      </c>
      <c r="Q32" s="8">
        <f>IF(SUM('04_L0'!$B32:$AI32)=0,0,'04_L0'!Q32/SUM('04_L0'!$B32:$AI32))</f>
        <v>4.8476598055027707E-2</v>
      </c>
      <c r="R32" s="8">
        <f>IF(SUM('04_L0'!$B32:$AI32)=0,0,'04_L0'!R32/SUM('04_L0'!$B32:$AI32))</f>
        <v>1.3617201347747633E-2</v>
      </c>
      <c r="S32" s="8">
        <f>IF(SUM('04_L0'!$B32:$AI32)=0,0,'04_L0'!S32/SUM('04_L0'!$B32:$AI32))</f>
        <v>2.4615556584641426E-2</v>
      </c>
      <c r="T32" s="8">
        <f>IF(SUM('04_L0'!$B32:$AI32)=0,0,'04_L0'!T32/SUM('04_L0'!$B32:$AI32))</f>
        <v>2.6036759656995034E-2</v>
      </c>
      <c r="U32" s="8">
        <f>IF(SUM('04_L0'!$B32:$AI32)=0,0,'04_L0'!U32/SUM('04_L0'!$B32:$AI32))</f>
        <v>2.169330757070086E-2</v>
      </c>
      <c r="V32" s="8">
        <f>IF(SUM('04_L0'!$B32:$AI32)=0,0,'04_L0'!V32/SUM('04_L0'!$B32:$AI32))</f>
        <v>8.7108570333583515E-3</v>
      </c>
      <c r="W32" s="8">
        <f>IF(SUM('04_L0'!$B32:$AI32)=0,0,'04_L0'!W32/SUM('04_L0'!$B32:$AI32))</f>
        <v>1.8950705012535332E-2</v>
      </c>
      <c r="X32" s="8">
        <f>IF(SUM('04_L0'!$B32:$AI32)=0,0,'04_L0'!X32/SUM('04_L0'!$B32:$AI32))</f>
        <v>2.5825176053526661E-2</v>
      </c>
      <c r="Y32" s="8">
        <f>IF(SUM('04_L0'!$B32:$AI32)=0,0,'04_L0'!Y32/SUM('04_L0'!$B32:$AI32))</f>
        <v>4.906344314389282E-3</v>
      </c>
      <c r="Z32" s="8">
        <f>IF(SUM('04_L0'!$B32:$AI32)=0,0,'04_L0'!Z32/SUM('04_L0'!$B32:$AI32))</f>
        <v>9.2218513964517825E-3</v>
      </c>
      <c r="AA32" s="8">
        <f>IF(SUM('04_L0'!$B32:$AI32)=0,0,'04_L0'!AA32/SUM('04_L0'!$B32:$AI32))</f>
        <v>2.1625441131852514E-2</v>
      </c>
      <c r="AB32" s="8">
        <f>IF(SUM('04_L0'!$B32:$AI32)=0,0,'04_L0'!AB32/SUM('04_L0'!$B32:$AI32))</f>
        <v>5.1370902064736601E-2</v>
      </c>
      <c r="AC32" s="8">
        <f>IF(SUM('04_L0'!$B32:$AI32)=0,0,'04_L0'!AC32/SUM('04_L0'!$B32:$AI32))</f>
        <v>1.8116347029046836E-2</v>
      </c>
      <c r="AD32" s="8">
        <f>IF(SUM('04_L0'!$B32:$AI32)=0,0,'04_L0'!AD32/SUM('04_L0'!$B32:$AI32))</f>
        <v>3.8005205755074012E-3</v>
      </c>
      <c r="AE32" s="8">
        <f>IF(SUM('04_L0'!$B32:$AI32)=0,0,'04_L0'!AE32/SUM('04_L0'!$B32:$AI32))</f>
        <v>4.9861871836226306E-3</v>
      </c>
      <c r="AF32" s="8">
        <f>IF(SUM('04_L0'!$B32:$AI32)=0,0,'04_L0'!AF32/SUM('04_L0'!$B32:$AI32))</f>
        <v>1.566517094358303E-2</v>
      </c>
      <c r="AG32" s="8">
        <f>IF(SUM('04_L0'!$B32:$AI32)=0,0,'04_L0'!AG32/SUM('04_L0'!$B32:$AI32))</f>
        <v>8.6908963160500143E-3</v>
      </c>
      <c r="AH32" s="8">
        <f>IF(SUM('04_L0'!$B32:$AI32)=0,0,'04_L0'!AH32/SUM('04_L0'!$B32:$AI32))</f>
        <v>1.7006531146703289E-3</v>
      </c>
      <c r="AI32" s="8">
        <f>IF(SUM('04_L0'!$B32:$AI32)=0,0,'04_L0'!AI32/SUM('04_L0'!$B32:$AI32))</f>
        <v>4.0400491832074479E-3</v>
      </c>
    </row>
    <row r="33" spans="1:35" x14ac:dyDescent="0.2">
      <c r="A33" s="12" t="s">
        <v>1397</v>
      </c>
      <c r="B33" s="8">
        <f>IF(SUM('04_L0'!$B33:$AI33)=0,0,'04_L0'!B33/SUM('04_L0'!$B33:$AI33))</f>
        <v>2.9007429817146418E-2</v>
      </c>
      <c r="C33" s="8">
        <f>IF(SUM('04_L0'!$B33:$AI33)=0,0,'04_L0'!C33/SUM('04_L0'!$B33:$AI33))</f>
        <v>2.4024558437513902E-2</v>
      </c>
      <c r="D33" s="8">
        <f>IF(SUM('04_L0'!$B33:$AI33)=0,0,'04_L0'!D33/SUM('04_L0'!$B33:$AI33))</f>
        <v>2.0999243671308447E-2</v>
      </c>
      <c r="E33" s="8">
        <f>IF(SUM('04_L0'!$B33:$AI33)=0,0,'04_L0'!E33/SUM('04_L0'!$B33:$AI33))</f>
        <v>1.2012279218756951E-2</v>
      </c>
      <c r="F33" s="8">
        <f>IF(SUM('04_L0'!$B33:$AI33)=0,0,'04_L0'!F33/SUM('04_L0'!$B33:$AI33))</f>
        <v>0</v>
      </c>
      <c r="G33" s="8">
        <f>IF(SUM('04_L0'!$B33:$AI33)=0,0,'04_L0'!G33/SUM('04_L0'!$B33:$AI33))</f>
        <v>3.8150109000311433E-2</v>
      </c>
      <c r="H33" s="8">
        <f>IF(SUM('04_L0'!$B33:$AI33)=0,0,'04_L0'!H33/SUM('04_L0'!$B33:$AI33))</f>
        <v>1.8018418828135427E-3</v>
      </c>
      <c r="I33" s="8">
        <f>IF(SUM('04_L0'!$B33:$AI33)=0,0,'04_L0'!I33/SUM('04_L0'!$B33:$AI33))</f>
        <v>4.2309916803843932E-2</v>
      </c>
      <c r="J33" s="8">
        <f>IF(SUM('04_L0'!$B33:$AI33)=0,0,'04_L0'!J33/SUM('04_L0'!$B33:$AI33))</f>
        <v>1.2657383102727232E-2</v>
      </c>
      <c r="K33" s="8">
        <f>IF(SUM('04_L0'!$B33:$AI33)=0,0,'04_L0'!K33/SUM('04_L0'!$B33:$AI33))</f>
        <v>1.1077990835075855E-2</v>
      </c>
      <c r="L33" s="8">
        <f>IF(SUM('04_L0'!$B33:$AI33)=0,0,'04_L0'!L33/SUM('04_L0'!$B33:$AI33))</f>
        <v>4.3155225341460157E-2</v>
      </c>
      <c r="M33" s="8">
        <f>IF(SUM('04_L0'!$B33:$AI33)=0,0,'04_L0'!M33/SUM('04_L0'!$B33:$AI33))</f>
        <v>0.1064198958935801</v>
      </c>
      <c r="N33" s="8">
        <f>IF(SUM('04_L0'!$B33:$AI33)=0,0,'04_L0'!N33/SUM('04_L0'!$B33:$AI33))</f>
        <v>0.18919339769542198</v>
      </c>
      <c r="O33" s="8">
        <f>IF(SUM('04_L0'!$B33:$AI33)=0,0,'04_L0'!O33/SUM('04_L0'!$B33:$AI33))</f>
        <v>8.6977799528406823E-3</v>
      </c>
      <c r="P33" s="8">
        <f>IF(SUM('04_L0'!$B33:$AI33)=0,0,'04_L0'!P33/SUM('04_L0'!$B33:$AI33))</f>
        <v>0.10608622147083685</v>
      </c>
      <c r="Q33" s="8">
        <f>IF(SUM('04_L0'!$B33:$AI33)=0,0,'04_L0'!Q33/SUM('04_L0'!$B33:$AI33))</f>
        <v>1.1589624949948836E-2</v>
      </c>
      <c r="R33" s="8">
        <f>IF(SUM('04_L0'!$B33:$AI33)=0,0,'04_L0'!R33/SUM('04_L0'!$B33:$AI33))</f>
        <v>0</v>
      </c>
      <c r="S33" s="8">
        <f>IF(SUM('04_L0'!$B33:$AI33)=0,0,'04_L0'!S33/SUM('04_L0'!$B33:$AI33))</f>
        <v>2.2022511901054411E-3</v>
      </c>
      <c r="T33" s="8">
        <f>IF(SUM('04_L0'!$B33:$AI33)=0,0,'04_L0'!T33/SUM('04_L0'!$B33:$AI33))</f>
        <v>1.4792899408284023E-2</v>
      </c>
      <c r="U33" s="8">
        <f>IF(SUM('04_L0'!$B33:$AI33)=0,0,'04_L0'!U33/SUM('04_L0'!$B33:$AI33))</f>
        <v>9.7877830671352934E-3</v>
      </c>
      <c r="V33" s="8">
        <f>IF(SUM('04_L0'!$B33:$AI33)=0,0,'04_L0'!V33/SUM('04_L0'!$B33:$AI33))</f>
        <v>3.0764781776927527E-2</v>
      </c>
      <c r="W33" s="8">
        <f>IF(SUM('04_L0'!$B33:$AI33)=0,0,'04_L0'!W33/SUM('04_L0'!$B33:$AI33))</f>
        <v>4.8271566490189974E-3</v>
      </c>
      <c r="X33" s="8">
        <f>IF(SUM('04_L0'!$B33:$AI33)=0,0,'04_L0'!X33/SUM('04_L0'!$B33:$AI33))</f>
        <v>7.0027138853049786E-2</v>
      </c>
      <c r="Y33" s="8">
        <f>IF(SUM('04_L0'!$B33:$AI33)=0,0,'04_L0'!Y33/SUM('04_L0'!$B33:$AI33))</f>
        <v>4.3377674956622328E-3</v>
      </c>
      <c r="Z33" s="8">
        <f>IF(SUM('04_L0'!$B33:$AI33)=0,0,'04_L0'!Z33/SUM('04_L0'!$B33:$AI33))</f>
        <v>1.2724117987275883E-2</v>
      </c>
      <c r="AA33" s="8">
        <f>IF(SUM('04_L0'!$B33:$AI33)=0,0,'04_L0'!AA33/SUM('04_L0'!$B33:$AI33))</f>
        <v>2.9207634470792367E-2</v>
      </c>
      <c r="AB33" s="8">
        <f>IF(SUM('04_L0'!$B33:$AI33)=0,0,'04_L0'!AB33/SUM('04_L0'!$B33:$AI33))</f>
        <v>3.634826711749789E-2</v>
      </c>
      <c r="AC33" s="8">
        <f>IF(SUM('04_L0'!$B33:$AI33)=0,0,'04_L0'!AC33/SUM('04_L0'!$B33:$AI33))</f>
        <v>3.8127864038795214E-2</v>
      </c>
      <c r="AD33" s="8">
        <f>IF(SUM('04_L0'!$B33:$AI33)=0,0,'04_L0'!AD33/SUM('04_L0'!$B33:$AI33))</f>
        <v>1.3524936601859678E-2</v>
      </c>
      <c r="AE33" s="8">
        <f>IF(SUM('04_L0'!$B33:$AI33)=0,0,'04_L0'!AE33/SUM('04_L0'!$B33:$AI33))</f>
        <v>3.1543355429995104E-2</v>
      </c>
      <c r="AF33" s="8">
        <f>IF(SUM('04_L0'!$B33:$AI33)=0,0,'04_L0'!AF33/SUM('04_L0'!$B33:$AI33))</f>
        <v>1.5727187791965119E-2</v>
      </c>
      <c r="AG33" s="8">
        <f>IF(SUM('04_L0'!$B33:$AI33)=0,0,'04_L0'!AG33/SUM('04_L0'!$B33:$AI33))</f>
        <v>1.768474440539218E-2</v>
      </c>
      <c r="AH33" s="8">
        <f>IF(SUM('04_L0'!$B33:$AI33)=0,0,'04_L0'!AH33/SUM('04_L0'!$B33:$AI33))</f>
        <v>6.4510388397028072E-4</v>
      </c>
      <c r="AI33" s="8">
        <f>IF(SUM('04_L0'!$B33:$AI33)=0,0,'04_L0'!AI33/SUM('04_L0'!$B33:$AI33))</f>
        <v>1.0544111758686657E-2</v>
      </c>
    </row>
    <row r="34" spans="1:35" x14ac:dyDescent="0.2">
      <c r="A34" s="12" t="s">
        <v>1398</v>
      </c>
      <c r="B34" s="8">
        <f>IF(SUM('04_L0'!$B34:$AI34)=0,0,'04_L0'!B34/SUM('04_L0'!$B34:$AI34))</f>
        <v>1.0951307125017753E-2</v>
      </c>
      <c r="C34" s="8">
        <f>IF(SUM('04_L0'!$B34:$AI34)=0,0,'04_L0'!C34/SUM('04_L0'!$B34:$AI34))</f>
        <v>5.7699168996179252E-2</v>
      </c>
      <c r="D34" s="8">
        <f>IF(SUM('04_L0'!$B34:$AI34)=0,0,'04_L0'!D34/SUM('04_L0'!$B34:$AI34))</f>
        <v>1.6252896735911213E-2</v>
      </c>
      <c r="E34" s="8">
        <f>IF(SUM('04_L0'!$B34:$AI34)=0,0,'04_L0'!E34/SUM('04_L0'!$B34:$AI34))</f>
        <v>2.4233858815949454E-2</v>
      </c>
      <c r="F34" s="8">
        <f>IF(SUM('04_L0'!$B34:$AI34)=0,0,'04_L0'!F34/SUM('04_L0'!$B34:$AI34))</f>
        <v>8.7759407247295518E-3</v>
      </c>
      <c r="G34" s="8">
        <f>IF(SUM('04_L0'!$B34:$AI34)=0,0,'04_L0'!G34/SUM('04_L0'!$B34:$AI34))</f>
        <v>2.5981426250575885E-2</v>
      </c>
      <c r="H34" s="8">
        <f>IF(SUM('04_L0'!$B34:$AI34)=0,0,'04_L0'!H34/SUM('04_L0'!$B34:$AI34))</f>
        <v>5.6254697994713998E-3</v>
      </c>
      <c r="I34" s="8">
        <f>IF(SUM('04_L0'!$B34:$AI34)=0,0,'04_L0'!I34/SUM('04_L0'!$B34:$AI34))</f>
        <v>2.1970161455139997E-2</v>
      </c>
      <c r="J34" s="8">
        <f>IF(SUM('04_L0'!$B34:$AI34)=0,0,'04_L0'!J34/SUM('04_L0'!$B34:$AI34))</f>
        <v>2.6222171417486758E-3</v>
      </c>
      <c r="K34" s="8">
        <f>IF(SUM('04_L0'!$B34:$AI34)=0,0,'04_L0'!K34/SUM('04_L0'!$B34:$AI34))</f>
        <v>1.0310474666334127E-2</v>
      </c>
      <c r="L34" s="8">
        <f>IF(SUM('04_L0'!$B34:$AI34)=0,0,'04_L0'!L34/SUM('04_L0'!$B34:$AI34))</f>
        <v>4.3096848836282897E-2</v>
      </c>
      <c r="M34" s="8">
        <f>IF(SUM('04_L0'!$B34:$AI34)=0,0,'04_L0'!M34/SUM('04_L0'!$B34:$AI34))</f>
        <v>0.18338200196060092</v>
      </c>
      <c r="N34" s="8">
        <f>IF(SUM('04_L0'!$B34:$AI34)=0,0,'04_L0'!N34/SUM('04_L0'!$B34:$AI34))</f>
        <v>0.15199679930166582</v>
      </c>
      <c r="O34" s="8">
        <f>IF(SUM('04_L0'!$B34:$AI34)=0,0,'04_L0'!O34/SUM('04_L0'!$B34:$AI34))</f>
        <v>1.4436050116562228E-2</v>
      </c>
      <c r="P34" s="8">
        <f>IF(SUM('04_L0'!$B34:$AI34)=0,0,'04_L0'!P34/SUM('04_L0'!$B34:$AI34))</f>
        <v>0.21195273774018228</v>
      </c>
      <c r="Q34" s="8">
        <f>IF(SUM('04_L0'!$B34:$AI34)=0,0,'04_L0'!Q34/SUM('04_L0'!$B34:$AI34))</f>
        <v>5.8587674540246007E-2</v>
      </c>
      <c r="R34" s="8">
        <f>IF(SUM('04_L0'!$B34:$AI34)=0,0,'04_L0'!R34/SUM('04_L0'!$B34:$AI34))</f>
        <v>1.2319571023288197E-2</v>
      </c>
      <c r="S34" s="8">
        <f>IF(SUM('04_L0'!$B34:$AI34)=0,0,'04_L0'!S34/SUM('04_L0'!$B34:$AI34))</f>
        <v>1.52951120071219E-2</v>
      </c>
      <c r="T34" s="8">
        <f>IF(SUM('04_L0'!$B34:$AI34)=0,0,'04_L0'!T34/SUM('04_L0'!$B34:$AI34))</f>
        <v>1.3608163859127706E-2</v>
      </c>
      <c r="U34" s="8">
        <f>IF(SUM('04_L0'!$B34:$AI34)=0,0,'04_L0'!U34/SUM('04_L0'!$B34:$AI34))</f>
        <v>1.0975554839670647E-2</v>
      </c>
      <c r="V34" s="8">
        <f>IF(SUM('04_L0'!$B34:$AI34)=0,0,'04_L0'!V34/SUM('04_L0'!$B34:$AI34))</f>
        <v>8.0900767959762657E-3</v>
      </c>
      <c r="W34" s="8">
        <f>IF(SUM('04_L0'!$B34:$AI34)=0,0,'04_L0'!W34/SUM('04_L0'!$B34:$AI34))</f>
        <v>9.9034594560891212E-3</v>
      </c>
      <c r="X34" s="8">
        <f>IF(SUM('04_L0'!$B34:$AI34)=0,0,'04_L0'!X34/SUM('04_L0'!$B34:$AI34))</f>
        <v>1.2918835971138291E-2</v>
      </c>
      <c r="Y34" s="8">
        <f>IF(SUM('04_L0'!$B34:$AI34)=0,0,'04_L0'!Y34/SUM('04_L0'!$B34:$AI34))</f>
        <v>3.275173457758749E-3</v>
      </c>
      <c r="Z34" s="8">
        <f>IF(SUM('04_L0'!$B34:$AI34)=0,0,'04_L0'!Z34/SUM('04_L0'!$B34:$AI34))</f>
        <v>4.7837277050923662E-3</v>
      </c>
      <c r="AA34" s="8">
        <f>IF(SUM('04_L0'!$B34:$AI34)=0,0,'04_L0'!AA34/SUM('04_L0'!$B34:$AI34))</f>
        <v>4.8183672974536438E-3</v>
      </c>
      <c r="AB34" s="8">
        <f>IF(SUM('04_L0'!$B34:$AI34)=0,0,'04_L0'!AB34/SUM('04_L0'!$B34:$AI34))</f>
        <v>2.9746749940246703E-2</v>
      </c>
      <c r="AC34" s="8">
        <f>IF(SUM('04_L0'!$B34:$AI34)=0,0,'04_L0'!AC34/SUM('04_L0'!$B34:$AI34))</f>
        <v>1.1349662437172439E-2</v>
      </c>
      <c r="AD34" s="8">
        <f>IF(SUM('04_L0'!$B34:$AI34)=0,0,'04_L0'!AD34/SUM('04_L0'!$B34:$AI34))</f>
        <v>2.5027105481022697E-3</v>
      </c>
      <c r="AE34" s="8">
        <f>IF(SUM('04_L0'!$B34:$AI34)=0,0,'04_L0'!AE34/SUM('04_L0'!$B34:$AI34))</f>
        <v>3.0898516386259167E-3</v>
      </c>
      <c r="AF34" s="8">
        <f>IF(SUM('04_L0'!$B34:$AI34)=0,0,'04_L0'!AF34/SUM('04_L0'!$B34:$AI34))</f>
        <v>3.8068912005043525E-3</v>
      </c>
      <c r="AG34" s="8">
        <f>IF(SUM('04_L0'!$B34:$AI34)=0,0,'04_L0'!AG34/SUM('04_L0'!$B34:$AI34))</f>
        <v>3.5574861355031572E-3</v>
      </c>
      <c r="AH34" s="8">
        <f>IF(SUM('04_L0'!$B34:$AI34)=0,0,'04_L0'!AH34/SUM('04_L0'!$B34:$AI34))</f>
        <v>1.108466955560867E-4</v>
      </c>
      <c r="AI34" s="8">
        <f>IF(SUM('04_L0'!$B34:$AI34)=0,0,'04_L0'!AI34/SUM('04_L0'!$B34:$AI34))</f>
        <v>1.9727247849747305E-3</v>
      </c>
    </row>
    <row r="35" spans="1:35" x14ac:dyDescent="0.2">
      <c r="A35" s="12" t="s">
        <v>1399</v>
      </c>
      <c r="B35" s="8">
        <f>IF(SUM('04_L0'!$B35:$AI35)=0,0,'04_L0'!B35/SUM('04_L0'!$B35:$AI35))</f>
        <v>1.9005849586716653E-2</v>
      </c>
      <c r="C35" s="8">
        <f>IF(SUM('04_L0'!$B35:$AI35)=0,0,'04_L0'!C35/SUM('04_L0'!$B35:$AI35))</f>
        <v>4.8828976515619939E-2</v>
      </c>
      <c r="D35" s="8">
        <f>IF(SUM('04_L0'!$B35:$AI35)=0,0,'04_L0'!D35/SUM('04_L0'!$B35:$AI35))</f>
        <v>1.5408209622443892E-2</v>
      </c>
      <c r="E35" s="8">
        <f>IF(SUM('04_L0'!$B35:$AI35)=0,0,'04_L0'!E35/SUM('04_L0'!$B35:$AI35))</f>
        <v>1.7825965800800311E-2</v>
      </c>
      <c r="F35" s="8">
        <f>IF(SUM('04_L0'!$B35:$AI35)=0,0,'04_L0'!F35/SUM('04_L0'!$B35:$AI35))</f>
        <v>9.3481209121663664E-3</v>
      </c>
      <c r="G35" s="8">
        <f>IF(SUM('04_L0'!$B35:$AI35)=0,0,'04_L0'!G35/SUM('04_L0'!$B35:$AI35))</f>
        <v>2.3421922196049758E-2</v>
      </c>
      <c r="H35" s="8">
        <f>IF(SUM('04_L0'!$B35:$AI35)=0,0,'04_L0'!H35/SUM('04_L0'!$B35:$AI35))</f>
        <v>5.3698120029488155E-3</v>
      </c>
      <c r="I35" s="8">
        <f>IF(SUM('04_L0'!$B35:$AI35)=0,0,'04_L0'!I35/SUM('04_L0'!$B35:$AI35))</f>
        <v>2.6783026746043645E-2</v>
      </c>
      <c r="J35" s="8">
        <f>IF(SUM('04_L0'!$B35:$AI35)=0,0,'04_L0'!J35/SUM('04_L0'!$B35:$AI35))</f>
        <v>3.7681421098512027E-3</v>
      </c>
      <c r="K35" s="8">
        <f>IF(SUM('04_L0'!$B35:$AI35)=0,0,'04_L0'!K35/SUM('04_L0'!$B35:$AI35))</f>
        <v>7.9817573877372979E-3</v>
      </c>
      <c r="L35" s="8">
        <f>IF(SUM('04_L0'!$B35:$AI35)=0,0,'04_L0'!L35/SUM('04_L0'!$B35:$AI35))</f>
        <v>2.4499683464889632E-2</v>
      </c>
      <c r="M35" s="8">
        <f>IF(SUM('04_L0'!$B35:$AI35)=0,0,'04_L0'!M35/SUM('04_L0'!$B35:$AI35))</f>
        <v>0.19742327235851842</v>
      </c>
      <c r="N35" s="8">
        <f>IF(SUM('04_L0'!$B35:$AI35)=0,0,'04_L0'!N35/SUM('04_L0'!$B35:$AI35))</f>
        <v>0.19125558629162751</v>
      </c>
      <c r="O35" s="8">
        <f>IF(SUM('04_L0'!$B35:$AI35)=0,0,'04_L0'!O35/SUM('04_L0'!$B35:$AI35))</f>
        <v>1.5036590922447893E-2</v>
      </c>
      <c r="P35" s="8">
        <f>IF(SUM('04_L0'!$B35:$AI35)=0,0,'04_L0'!P35/SUM('04_L0'!$B35:$AI35))</f>
        <v>0.1630163639601816</v>
      </c>
      <c r="Q35" s="8">
        <f>IF(SUM('04_L0'!$B35:$AI35)=0,0,'04_L0'!Q35/SUM('04_L0'!$B35:$AI35))</f>
        <v>4.1901516798707135E-2</v>
      </c>
      <c r="R35" s="8">
        <f>IF(SUM('04_L0'!$B35:$AI35)=0,0,'04_L0'!R35/SUM('04_L0'!$B35:$AI35))</f>
        <v>2.1336455258158797E-2</v>
      </c>
      <c r="S35" s="8">
        <f>IF(SUM('04_L0'!$B35:$AI35)=0,0,'04_L0'!S35/SUM('04_L0'!$B35:$AI35))</f>
        <v>2.0709641996890737E-2</v>
      </c>
      <c r="T35" s="8">
        <f>IF(SUM('04_L0'!$B35:$AI35)=0,0,'04_L0'!T35/SUM('04_L0'!$B35:$AI35))</f>
        <v>1.2591907472083346E-2</v>
      </c>
      <c r="U35" s="8">
        <f>IF(SUM('04_L0'!$B35:$AI35)=0,0,'04_L0'!U35/SUM('04_L0'!$B35:$AI35))</f>
        <v>1.9158921630912241E-2</v>
      </c>
      <c r="V35" s="8">
        <f>IF(SUM('04_L0'!$B35:$AI35)=0,0,'04_L0'!V35/SUM('04_L0'!$B35:$AI35))</f>
        <v>7.471703459450545E-3</v>
      </c>
      <c r="W35" s="8">
        <f>IF(SUM('04_L0'!$B35:$AI35)=0,0,'04_L0'!W35/SUM('04_L0'!$B35:$AI35))</f>
        <v>1.1008561531721556E-2</v>
      </c>
      <c r="X35" s="8">
        <f>IF(SUM('04_L0'!$B35:$AI35)=0,0,'04_L0'!X35/SUM('04_L0'!$B35:$AI35))</f>
        <v>1.4820055432191654E-2</v>
      </c>
      <c r="Y35" s="8">
        <f>IF(SUM('04_L0'!$B35:$AI35)=0,0,'04_L0'!Y35/SUM('04_L0'!$B35:$AI35))</f>
        <v>1.8420041756265955E-3</v>
      </c>
      <c r="Z35" s="8">
        <f>IF(SUM('04_L0'!$B35:$AI35)=0,0,'04_L0'!Z35/SUM('04_L0'!$B35:$AI35))</f>
        <v>8.5708054293425033E-3</v>
      </c>
      <c r="AA35" s="8">
        <f>IF(SUM('04_L0'!$B35:$AI35)=0,0,'04_L0'!AA35/SUM('04_L0'!$B35:$AI35))</f>
        <v>9.1242111482481517E-3</v>
      </c>
      <c r="AB35" s="8">
        <f>IF(SUM('04_L0'!$B35:$AI35)=0,0,'04_L0'!AB35/SUM('04_L0'!$B35:$AI35))</f>
        <v>3.4408249175366258E-2</v>
      </c>
      <c r="AC35" s="8">
        <f>IF(SUM('04_L0'!$B35:$AI35)=0,0,'04_L0'!AC35/SUM('04_L0'!$B35:$AI35))</f>
        <v>9.565103328099088E-3</v>
      </c>
      <c r="AD35" s="8">
        <f>IF(SUM('04_L0'!$B35:$AI35)=0,0,'04_L0'!AD35/SUM('04_L0'!$B35:$AI35))</f>
        <v>3.758980133483292E-3</v>
      </c>
      <c r="AE35" s="8">
        <f>IF(SUM('04_L0'!$B35:$AI35)=0,0,'04_L0'!AE35/SUM('04_L0'!$B35:$AI35))</f>
        <v>3.8284770761764703E-3</v>
      </c>
      <c r="AF35" s="8">
        <f>IF(SUM('04_L0'!$B35:$AI35)=0,0,'04_L0'!AF35/SUM('04_L0'!$B35:$AI35))</f>
        <v>3.7054607837243968E-3</v>
      </c>
      <c r="AG35" s="8">
        <f>IF(SUM('04_L0'!$B35:$AI35)=0,0,'04_L0'!AG35/SUM('04_L0'!$B35:$AI35))</f>
        <v>2.8567489240822995E-3</v>
      </c>
      <c r="AH35" s="8">
        <f>IF(SUM('04_L0'!$B35:$AI35)=0,0,'04_L0'!AH35/SUM('04_L0'!$B35:$AI35))</f>
        <v>1.8176467262582467E-3</v>
      </c>
      <c r="AI35" s="8">
        <f>IF(SUM('04_L0'!$B35:$AI35)=0,0,'04_L0'!AI35/SUM('04_L0'!$B35:$AI35))</f>
        <v>2.5502696414337646E-3</v>
      </c>
    </row>
    <row r="36" spans="1:35" x14ac:dyDescent="0.2">
      <c r="A36" s="12" t="s">
        <v>1400</v>
      </c>
      <c r="B36" s="8">
        <f>IF(SUM('04_L0'!$B36:$AI36)=0,0,'04_L0'!B36/SUM('04_L0'!$B36:$AI36))</f>
        <v>7.2066892109186945E-3</v>
      </c>
      <c r="C36" s="8">
        <f>IF(SUM('04_L0'!$B36:$AI36)=0,0,'04_L0'!C36/SUM('04_L0'!$B36:$AI36))</f>
        <v>2.8748794012454563E-2</v>
      </c>
      <c r="D36" s="8">
        <f>IF(SUM('04_L0'!$B36:$AI36)=0,0,'04_L0'!D36/SUM('04_L0'!$B36:$AI36))</f>
        <v>2.2482531453129721E-2</v>
      </c>
      <c r="E36" s="8">
        <f>IF(SUM('04_L0'!$B36:$AI36)=0,0,'04_L0'!E36/SUM('04_L0'!$B36:$AI36))</f>
        <v>2.719441006500151E-2</v>
      </c>
      <c r="F36" s="8">
        <f>IF(SUM('04_L0'!$B36:$AI36)=0,0,'04_L0'!F36/SUM('04_L0'!$B36:$AI36))</f>
        <v>6.0762281582255658E-3</v>
      </c>
      <c r="G36" s="8">
        <f>IF(SUM('04_L0'!$B36:$AI36)=0,0,'04_L0'!G36/SUM('04_L0'!$B36:$AI36))</f>
        <v>3.3689688441035738E-2</v>
      </c>
      <c r="H36" s="8">
        <f>IF(SUM('04_L0'!$B36:$AI36)=0,0,'04_L0'!H36/SUM('04_L0'!$B36:$AI36))</f>
        <v>7.5039225049457672E-3</v>
      </c>
      <c r="I36" s="8">
        <f>IF(SUM('04_L0'!$B36:$AI36)=0,0,'04_L0'!I36/SUM('04_L0'!$B36:$AI36))</f>
        <v>1.9349400173467299E-2</v>
      </c>
      <c r="J36" s="8">
        <f>IF(SUM('04_L0'!$B36:$AI36)=0,0,'04_L0'!J36/SUM('04_L0'!$B36:$AI36))</f>
        <v>9.3701577772796821E-3</v>
      </c>
      <c r="K36" s="8">
        <f>IF(SUM('04_L0'!$B36:$AI36)=0,0,'04_L0'!K36/SUM('04_L0'!$B36:$AI36))</f>
        <v>1.0242366951555846E-2</v>
      </c>
      <c r="L36" s="8">
        <f>IF(SUM('04_L0'!$B36:$AI36)=0,0,'04_L0'!L36/SUM('04_L0'!$B36:$AI36))</f>
        <v>0.15882003254948204</v>
      </c>
      <c r="M36" s="8">
        <f>IF(SUM('04_L0'!$B36:$AI36)=0,0,'04_L0'!M36/SUM('04_L0'!$B36:$AI36))</f>
        <v>0.20007211561887869</v>
      </c>
      <c r="N36" s="8">
        <f>IF(SUM('04_L0'!$B36:$AI36)=0,0,'04_L0'!N36/SUM('04_L0'!$B36:$AI36))</f>
        <v>0.12789315193981268</v>
      </c>
      <c r="O36" s="8">
        <f>IF(SUM('04_L0'!$B36:$AI36)=0,0,'04_L0'!O36/SUM('04_L0'!$B36:$AI36))</f>
        <v>2.059680547299075E-2</v>
      </c>
      <c r="P36" s="8">
        <f>IF(SUM('04_L0'!$B36:$AI36)=0,0,'04_L0'!P36/SUM('04_L0'!$B36:$AI36))</f>
        <v>7.7392728016917933E-2</v>
      </c>
      <c r="Q36" s="8">
        <f>IF(SUM('04_L0'!$B36:$AI36)=0,0,'04_L0'!Q36/SUM('04_L0'!$B36:$AI36))</f>
        <v>8.8385487218968356E-2</v>
      </c>
      <c r="R36" s="8">
        <f>IF(SUM('04_L0'!$B36:$AI36)=0,0,'04_L0'!R36/SUM('04_L0'!$B36:$AI36))</f>
        <v>2.5411010300839074E-2</v>
      </c>
      <c r="S36" s="8">
        <f>IF(SUM('04_L0'!$B36:$AI36)=0,0,'04_L0'!S36/SUM('04_L0'!$B36:$AI36))</f>
        <v>1.1884459084131641E-2</v>
      </c>
      <c r="T36" s="8">
        <f>IF(SUM('04_L0'!$B36:$AI36)=0,0,'04_L0'!T36/SUM('04_L0'!$B36:$AI36))</f>
        <v>2.4850652451443773E-3</v>
      </c>
      <c r="U36" s="8">
        <f>IF(SUM('04_L0'!$B36:$AI36)=0,0,'04_L0'!U36/SUM('04_L0'!$B36:$AI36))</f>
        <v>1.5582820890140625E-2</v>
      </c>
      <c r="V36" s="8">
        <f>IF(SUM('04_L0'!$B36:$AI36)=0,0,'04_L0'!V36/SUM('04_L0'!$B36:$AI36))</f>
        <v>5.0383479676064432E-3</v>
      </c>
      <c r="W36" s="8">
        <f>IF(SUM('04_L0'!$B36:$AI36)=0,0,'04_L0'!W36/SUM('04_L0'!$B36:$AI36))</f>
        <v>1.0676035200218295E-2</v>
      </c>
      <c r="X36" s="8">
        <f>IF(SUM('04_L0'!$B36:$AI36)=0,0,'04_L0'!X36/SUM('04_L0'!$B36:$AI36))</f>
        <v>2.1288725600070165E-2</v>
      </c>
      <c r="Y36" s="8">
        <f>IF(SUM('04_L0'!$B36:$AI36)=0,0,'04_L0'!Y36/SUM('04_L0'!$B36:$AI36))</f>
        <v>5.408671415902469E-4</v>
      </c>
      <c r="Z36" s="8">
        <f>IF(SUM('04_L0'!$B36:$AI36)=0,0,'04_L0'!Z36/SUM('04_L0'!$B36:$AI36))</f>
        <v>1.0573708984241762E-2</v>
      </c>
      <c r="AA36" s="8">
        <f>IF(SUM('04_L0'!$B36:$AI36)=0,0,'04_L0'!AA36/SUM('04_L0'!$B36:$AI36))</f>
        <v>4.5705709802851494E-3</v>
      </c>
      <c r="AB36" s="8">
        <f>IF(SUM('04_L0'!$B36:$AI36)=0,0,'04_L0'!AB36/SUM('04_L0'!$B36:$AI36))</f>
        <v>3.0254451190394979E-2</v>
      </c>
      <c r="AC36" s="8">
        <f>IF(SUM('04_L0'!$B36:$AI36)=0,0,'04_L0'!AC36/SUM('04_L0'!$B36:$AI36))</f>
        <v>5.8667030493212364E-3</v>
      </c>
      <c r="AD36" s="8">
        <f>IF(SUM('04_L0'!$B36:$AI36)=0,0,'04_L0'!AD36/SUM('04_L0'!$B36:$AI36))</f>
        <v>3.3572744194205412E-3</v>
      </c>
      <c r="AE36" s="8">
        <f>IF(SUM('04_L0'!$B36:$AI36)=0,0,'04_L0'!AE36/SUM('04_L0'!$B36:$AI36))</f>
        <v>4.4292633486985077E-3</v>
      </c>
      <c r="AF36" s="8">
        <f>IF(SUM('04_L0'!$B36:$AI36)=0,0,'04_L0'!AF36/SUM('04_L0'!$B36:$AI36))</f>
        <v>1.6079833939169502E-3</v>
      </c>
      <c r="AG36" s="8">
        <f>IF(SUM('04_L0'!$B36:$AI36)=0,0,'04_L0'!AG36/SUM('04_L0'!$B36:$AI36))</f>
        <v>5.8472123415161819E-4</v>
      </c>
      <c r="AH36" s="8">
        <f>IF(SUM('04_L0'!$B36:$AI36)=0,0,'04_L0'!AH36/SUM('04_L0'!$B36:$AI36))</f>
        <v>0</v>
      </c>
      <c r="AI36" s="8">
        <f>IF(SUM('04_L0'!$B36:$AI36)=0,0,'04_L0'!AI36/SUM('04_L0'!$B36:$AI36))</f>
        <v>8.2348240476352896E-4</v>
      </c>
    </row>
    <row r="37" spans="1:35" x14ac:dyDescent="0.2">
      <c r="A37" s="12" t="s">
        <v>1401</v>
      </c>
      <c r="B37" s="8">
        <f>IF(SUM('04_L0'!$B37:$AI37)=0,0,'04_L0'!B37/SUM('04_L0'!$B37:$AI37))</f>
        <v>1.4360802816364357E-2</v>
      </c>
      <c r="C37" s="8">
        <f>IF(SUM('04_L0'!$B37:$AI37)=0,0,'04_L0'!C37/SUM('04_L0'!$B37:$AI37))</f>
        <v>5.655792730684063E-2</v>
      </c>
      <c r="D37" s="8">
        <f>IF(SUM('04_L0'!$B37:$AI37)=0,0,'04_L0'!D37/SUM('04_L0'!$B37:$AI37))</f>
        <v>2.0364092891549262E-2</v>
      </c>
      <c r="E37" s="8">
        <f>IF(SUM('04_L0'!$B37:$AI37)=0,0,'04_L0'!E37/SUM('04_L0'!$B37:$AI37))</f>
        <v>2.1338967111537575E-2</v>
      </c>
      <c r="F37" s="8">
        <f>IF(SUM('04_L0'!$B37:$AI37)=0,0,'04_L0'!F37/SUM('04_L0'!$B37:$AI37))</f>
        <v>1.136827274320071E-2</v>
      </c>
      <c r="G37" s="8">
        <f>IF(SUM('04_L0'!$B37:$AI37)=0,0,'04_L0'!G37/SUM('04_L0'!$B37:$AI37))</f>
        <v>2.8190115955342394E-2</v>
      </c>
      <c r="H37" s="8">
        <f>IF(SUM('04_L0'!$B37:$AI37)=0,0,'04_L0'!H37/SUM('04_L0'!$B37:$AI37))</f>
        <v>6.3868982726529794E-3</v>
      </c>
      <c r="I37" s="8">
        <f>IF(SUM('04_L0'!$B37:$AI37)=0,0,'04_L0'!I37/SUM('04_L0'!$B37:$AI37))</f>
        <v>3.4887294300221534E-2</v>
      </c>
      <c r="J37" s="8">
        <f>IF(SUM('04_L0'!$B37:$AI37)=0,0,'04_L0'!J37/SUM('04_L0'!$B37:$AI37))</f>
        <v>5.1210506260718205E-3</v>
      </c>
      <c r="K37" s="8">
        <f>IF(SUM('04_L0'!$B37:$AI37)=0,0,'04_L0'!K37/SUM('04_L0'!$B37:$AI37))</f>
        <v>6.2959713973530073E-3</v>
      </c>
      <c r="L37" s="8">
        <f>IF(SUM('04_L0'!$B37:$AI37)=0,0,'04_L0'!L37/SUM('04_L0'!$B37:$AI37))</f>
        <v>4.3544542714858185E-2</v>
      </c>
      <c r="M37" s="8">
        <f>IF(SUM('04_L0'!$B37:$AI37)=0,0,'04_L0'!M37/SUM('04_L0'!$B37:$AI37))</f>
        <v>0.20305059109708937</v>
      </c>
      <c r="N37" s="8">
        <f>IF(SUM('04_L0'!$B37:$AI37)=0,0,'04_L0'!N37/SUM('04_L0'!$B37:$AI37))</f>
        <v>0.13823380058262258</v>
      </c>
      <c r="O37" s="8">
        <f>IF(SUM('04_L0'!$B37:$AI37)=0,0,'04_L0'!O37/SUM('04_L0'!$B37:$AI37))</f>
        <v>1.583204346995223E-2</v>
      </c>
      <c r="P37" s="8">
        <f>IF(SUM('04_L0'!$B37:$AI37)=0,0,'04_L0'!P37/SUM('04_L0'!$B37:$AI37))</f>
        <v>0.15912477925913793</v>
      </c>
      <c r="Q37" s="8">
        <f>IF(SUM('04_L0'!$B37:$AI37)=0,0,'04_L0'!Q37/SUM('04_L0'!$B37:$AI37))</f>
        <v>4.3723908878424603E-2</v>
      </c>
      <c r="R37" s="8">
        <f>IF(SUM('04_L0'!$B37:$AI37)=0,0,'04_L0'!R37/SUM('04_L0'!$B37:$AI37))</f>
        <v>1.9982192589656441E-2</v>
      </c>
      <c r="S37" s="8">
        <f>IF(SUM('04_L0'!$B37:$AI37)=0,0,'04_L0'!S37/SUM('04_L0'!$B37:$AI37))</f>
        <v>2.17947524611425E-2</v>
      </c>
      <c r="T37" s="8">
        <f>IF(SUM('04_L0'!$B37:$AI37)=0,0,'04_L0'!T37/SUM('04_L0'!$B37:$AI37))</f>
        <v>1.346527148429603E-2</v>
      </c>
      <c r="U37" s="8">
        <f>IF(SUM('04_L0'!$B37:$AI37)=0,0,'04_L0'!U37/SUM('04_L0'!$B37:$AI37))</f>
        <v>1.5145506576864528E-2</v>
      </c>
      <c r="V37" s="8">
        <f>IF(SUM('04_L0'!$B37:$AI37)=0,0,'04_L0'!V37/SUM('04_L0'!$B37:$AI37))</f>
        <v>8.2713753991231296E-3</v>
      </c>
      <c r="W37" s="8">
        <f>IF(SUM('04_L0'!$B37:$AI37)=0,0,'04_L0'!W37/SUM('04_L0'!$B37:$AI37))</f>
        <v>1.5349525841778103E-2</v>
      </c>
      <c r="X37" s="8">
        <f>IF(SUM('04_L0'!$B37:$AI37)=0,0,'04_L0'!X37/SUM('04_L0'!$B37:$AI37))</f>
        <v>1.4184221265148894E-2</v>
      </c>
      <c r="Y37" s="8">
        <f>IF(SUM('04_L0'!$B37:$AI37)=0,0,'04_L0'!Y37/SUM('04_L0'!$B37:$AI37))</f>
        <v>2.3749030537210014E-3</v>
      </c>
      <c r="Z37" s="8">
        <f>IF(SUM('04_L0'!$B37:$AI37)=0,0,'04_L0'!Z37/SUM('04_L0'!$B37:$AI37))</f>
        <v>8.7469129323375205E-3</v>
      </c>
      <c r="AA37" s="8">
        <f>IF(SUM('04_L0'!$B37:$AI37)=0,0,'04_L0'!AA37/SUM('04_L0'!$B37:$AI37))</f>
        <v>9.0152381784759043E-3</v>
      </c>
      <c r="AB37" s="8">
        <f>IF(SUM('04_L0'!$B37:$AI37)=0,0,'04_L0'!AB37/SUM('04_L0'!$B37:$AI37))</f>
        <v>3.1706524432133072E-2</v>
      </c>
      <c r="AC37" s="8">
        <f>IF(SUM('04_L0'!$B37:$AI37)=0,0,'04_L0'!AC37/SUM('04_L0'!$B37:$AI37))</f>
        <v>9.9314127701060056E-3</v>
      </c>
      <c r="AD37" s="8">
        <f>IF(SUM('04_L0'!$B37:$AI37)=0,0,'04_L0'!AD37/SUM('04_L0'!$B37:$AI37))</f>
        <v>4.1557926007354867E-3</v>
      </c>
      <c r="AE37" s="8">
        <f>IF(SUM('04_L0'!$B37:$AI37)=0,0,'04_L0'!AE37/SUM('04_L0'!$B37:$AI37))</f>
        <v>4.4673721587254285E-3</v>
      </c>
      <c r="AF37" s="8">
        <f>IF(SUM('04_L0'!$B37:$AI37)=0,0,'04_L0'!AF37/SUM('04_L0'!$B37:$AI37))</f>
        <v>5.4178160463546621E-3</v>
      </c>
      <c r="AG37" s="8">
        <f>IF(SUM('04_L0'!$B37:$AI37)=0,0,'04_L0'!AG37/SUM('04_L0'!$B37:$AI37))</f>
        <v>2.9585206743172714E-3</v>
      </c>
      <c r="AH37" s="8">
        <f>IF(SUM('04_L0'!$B37:$AI37)=0,0,'04_L0'!AH37/SUM('04_L0'!$B37:$AI37))</f>
        <v>1.6476365639799403E-3</v>
      </c>
      <c r="AI37" s="8">
        <f>IF(SUM('04_L0'!$B37:$AI37)=0,0,'04_L0'!AI37/SUM('04_L0'!$B37:$AI37))</f>
        <v>3.0039655478849179E-3</v>
      </c>
    </row>
    <row r="38" spans="1:35" x14ac:dyDescent="0.2">
      <c r="A38" s="12" t="s">
        <v>1402</v>
      </c>
      <c r="B38" s="8">
        <f>IF(SUM('04_L0'!$B38:$AI38)=0,0,'04_L0'!B38/SUM('04_L0'!$B38:$AI38))</f>
        <v>1.7426497641903869E-2</v>
      </c>
      <c r="C38" s="8">
        <f>IF(SUM('04_L0'!$B38:$AI38)=0,0,'04_L0'!C38/SUM('04_L0'!$B38:$AI38))</f>
        <v>2.5387162591564372E-2</v>
      </c>
      <c r="D38" s="8">
        <f>IF(SUM('04_L0'!$B38:$AI38)=0,0,'04_L0'!D38/SUM('04_L0'!$B38:$AI38))</f>
        <v>2.1406830116734121E-2</v>
      </c>
      <c r="E38" s="8">
        <f>IF(SUM('04_L0'!$B38:$AI38)=0,0,'04_L0'!E38/SUM('04_L0'!$B38:$AI38))</f>
        <v>1.4884436565541692E-2</v>
      </c>
      <c r="F38" s="8">
        <f>IF(SUM('04_L0'!$B38:$AI38)=0,0,'04_L0'!F38/SUM('04_L0'!$B38:$AI38))</f>
        <v>8.4958357025788547E-3</v>
      </c>
      <c r="G38" s="8">
        <f>IF(SUM('04_L0'!$B38:$AI38)=0,0,'04_L0'!G38/SUM('04_L0'!$B38:$AI38))</f>
        <v>7.5325283473258189E-2</v>
      </c>
      <c r="H38" s="8">
        <f>IF(SUM('04_L0'!$B38:$AI38)=0,0,'04_L0'!H38/SUM('04_L0'!$B38:$AI38))</f>
        <v>0</v>
      </c>
      <c r="I38" s="8">
        <f>IF(SUM('04_L0'!$B38:$AI38)=0,0,'04_L0'!I38/SUM('04_L0'!$B38:$AI38))</f>
        <v>2.1908552697595077E-2</v>
      </c>
      <c r="J38" s="8">
        <f>IF(SUM('04_L0'!$B38:$AI38)=0,0,'04_L0'!J38/SUM('04_L0'!$B38:$AI38))</f>
        <v>0</v>
      </c>
      <c r="K38" s="8">
        <f>IF(SUM('04_L0'!$B38:$AI38)=0,0,'04_L0'!K38/SUM('04_L0'!$B38:$AI38))</f>
        <v>0</v>
      </c>
      <c r="L38" s="8">
        <f>IF(SUM('04_L0'!$B38:$AI38)=0,0,'04_L0'!L38/SUM('04_L0'!$B38:$AI38))</f>
        <v>2.1942000869652475E-2</v>
      </c>
      <c r="M38" s="8">
        <f>IF(SUM('04_L0'!$B38:$AI38)=0,0,'04_L0'!M38/SUM('04_L0'!$B38:$AI38))</f>
        <v>0.2597585041977456</v>
      </c>
      <c r="N38" s="8">
        <f>IF(SUM('04_L0'!$B38:$AI38)=0,0,'04_L0'!N38/SUM('04_L0'!$B38:$AI38))</f>
        <v>0.11937652607285013</v>
      </c>
      <c r="O38" s="8">
        <f>IF(SUM('04_L0'!$B38:$AI38)=0,0,'04_L0'!O38/SUM('04_L0'!$B38:$AI38))</f>
        <v>7.4622871860052842E-2</v>
      </c>
      <c r="P38" s="8">
        <f>IF(SUM('04_L0'!$B38:$AI38)=0,0,'04_L0'!P38/SUM('04_L0'!$B38:$AI38))</f>
        <v>0.20363247148543331</v>
      </c>
      <c r="Q38" s="8">
        <f>IF(SUM('04_L0'!$B38:$AI38)=0,0,'04_L0'!Q38/SUM('04_L0'!$B38:$AI38))</f>
        <v>6.4856005619292903E-2</v>
      </c>
      <c r="R38" s="8">
        <f>IF(SUM('04_L0'!$B38:$AI38)=0,0,'04_L0'!R38/SUM('04_L0'!$B38:$AI38))</f>
        <v>0</v>
      </c>
      <c r="S38" s="8">
        <f>IF(SUM('04_L0'!$B38:$AI38)=0,0,'04_L0'!S38/SUM('04_L0'!$B38:$AI38))</f>
        <v>4.3482623674616179E-3</v>
      </c>
      <c r="T38" s="8">
        <f>IF(SUM('04_L0'!$B38:$AI38)=0,0,'04_L0'!T38/SUM('04_L0'!$B38:$AI38))</f>
        <v>0</v>
      </c>
      <c r="U38" s="8">
        <f>IF(SUM('04_L0'!$B38:$AI38)=0,0,'04_L0'!U38/SUM('04_L0'!$B38:$AI38))</f>
        <v>6.1544636585610596E-3</v>
      </c>
      <c r="V38" s="8">
        <f>IF(SUM('04_L0'!$B38:$AI38)=0,0,'04_L0'!V38/SUM('04_L0'!$B38:$AI38))</f>
        <v>0</v>
      </c>
      <c r="W38" s="8">
        <f>IF(SUM('04_L0'!$B38:$AI38)=0,0,'04_L0'!W38/SUM('04_L0'!$B38:$AI38))</f>
        <v>3.4418169047061575E-2</v>
      </c>
      <c r="X38" s="8">
        <f>IF(SUM('04_L0'!$B38:$AI38)=0,0,'04_L0'!X38/SUM('04_L0'!$B38:$AI38))</f>
        <v>0</v>
      </c>
      <c r="Y38" s="8">
        <f>IF(SUM('04_L0'!$B38:$AI38)=0,0,'04_L0'!Y38/SUM('04_L0'!$B38:$AI38))</f>
        <v>0</v>
      </c>
      <c r="Z38" s="8">
        <f>IF(SUM('04_L0'!$B38:$AI38)=0,0,'04_L0'!Z38/SUM('04_L0'!$B38:$AI38))</f>
        <v>0</v>
      </c>
      <c r="AA38" s="8">
        <f>IF(SUM('04_L0'!$B38:$AI38)=0,0,'04_L0'!AA38/SUM('04_L0'!$B38:$AI38))</f>
        <v>1.0904104090711443E-2</v>
      </c>
      <c r="AB38" s="8">
        <f>IF(SUM('04_L0'!$B38:$AI38)=0,0,'04_L0'!AB38/SUM('04_L0'!$B38:$AI38))</f>
        <v>0</v>
      </c>
      <c r="AC38" s="8">
        <f>IF(SUM('04_L0'!$B38:$AI38)=0,0,'04_L0'!AC38/SUM('04_L0'!$B38:$AI38))</f>
        <v>0</v>
      </c>
      <c r="AD38" s="8">
        <f>IF(SUM('04_L0'!$B38:$AI38)=0,0,'04_L0'!AD38/SUM('04_L0'!$B38:$AI38))</f>
        <v>0</v>
      </c>
      <c r="AE38" s="8">
        <f>IF(SUM('04_L0'!$B38:$AI38)=0,0,'04_L0'!AE38/SUM('04_L0'!$B38:$AI38))</f>
        <v>8.6630765628658395E-3</v>
      </c>
      <c r="AF38" s="8">
        <f>IF(SUM('04_L0'!$B38:$AI38)=0,0,'04_L0'!AF38/SUM('04_L0'!$B38:$AI38))</f>
        <v>2.3079238719603975E-3</v>
      </c>
      <c r="AG38" s="8">
        <f>IF(SUM('04_L0'!$B38:$AI38)=0,0,'04_L0'!AG38/SUM('04_L0'!$B38:$AI38))</f>
        <v>4.1810215071746331E-3</v>
      </c>
      <c r="AH38" s="8">
        <f>IF(SUM('04_L0'!$B38:$AI38)=0,0,'04_L0'!AH38/SUM('04_L0'!$B38:$AI38))</f>
        <v>0</v>
      </c>
      <c r="AI38" s="8">
        <f>IF(SUM('04_L0'!$B38:$AI38)=0,0,'04_L0'!AI38/SUM('04_L0'!$B38:$AI38))</f>
        <v>0</v>
      </c>
    </row>
    <row r="39" spans="1:35" x14ac:dyDescent="0.2">
      <c r="A39" s="12" t="s">
        <v>1403</v>
      </c>
      <c r="B39" s="8">
        <f>IF(SUM('04_L0'!$B39:$AI39)=0,0,'04_L0'!B39/SUM('04_L0'!$B39:$AI39))</f>
        <v>1.4019080542415865E-2</v>
      </c>
      <c r="C39" s="8">
        <f>IF(SUM('04_L0'!$B39:$AI39)=0,0,'04_L0'!C39/SUM('04_L0'!$B39:$AI39))</f>
        <v>5.5443576186183674E-2</v>
      </c>
      <c r="D39" s="8">
        <f>IF(SUM('04_L0'!$B39:$AI39)=0,0,'04_L0'!D39/SUM('04_L0'!$B39:$AI39))</f>
        <v>1.9771730751277698E-2</v>
      </c>
      <c r="E39" s="8">
        <f>IF(SUM('04_L0'!$B39:$AI39)=0,0,'04_L0'!E39/SUM('04_L0'!$B39:$AI39))</f>
        <v>1.5668622250647864E-2</v>
      </c>
      <c r="F39" s="8">
        <f>IF(SUM('04_L0'!$B39:$AI39)=0,0,'04_L0'!F39/SUM('04_L0'!$B39:$AI39))</f>
        <v>9.0099890882310001E-3</v>
      </c>
      <c r="G39" s="8">
        <f>IF(SUM('04_L0'!$B39:$AI39)=0,0,'04_L0'!G39/SUM('04_L0'!$B39:$AI39))</f>
        <v>3.2636891089514709E-2</v>
      </c>
      <c r="H39" s="8">
        <f>IF(SUM('04_L0'!$B39:$AI39)=0,0,'04_L0'!H39/SUM('04_L0'!$B39:$AI39))</f>
        <v>5.1348310598583772E-3</v>
      </c>
      <c r="I39" s="8">
        <f>IF(SUM('04_L0'!$B39:$AI39)=0,0,'04_L0'!I39/SUM('04_L0'!$B39:$AI39))</f>
        <v>3.4417232347310499E-2</v>
      </c>
      <c r="J39" s="8">
        <f>IF(SUM('04_L0'!$B39:$AI39)=0,0,'04_L0'!J39/SUM('04_L0'!$B39:$AI39))</f>
        <v>1.618676050501276E-3</v>
      </c>
      <c r="K39" s="8">
        <f>IF(SUM('04_L0'!$B39:$AI39)=0,0,'04_L0'!K39/SUM('04_L0'!$B39:$AI39))</f>
        <v>6.9645067705844206E-3</v>
      </c>
      <c r="L39" s="8">
        <f>IF(SUM('04_L0'!$B39:$AI39)=0,0,'04_L0'!L39/SUM('04_L0'!$B39:$AI39))</f>
        <v>9.1342866098957823E-2</v>
      </c>
      <c r="M39" s="8">
        <f>IF(SUM('04_L0'!$B39:$AI39)=0,0,'04_L0'!M39/SUM('04_L0'!$B39:$AI39))</f>
        <v>0.21323893839341215</v>
      </c>
      <c r="N39" s="8">
        <f>IF(SUM('04_L0'!$B39:$AI39)=0,0,'04_L0'!N39/SUM('04_L0'!$B39:$AI39))</f>
        <v>0.10893426702791292</v>
      </c>
      <c r="O39" s="8">
        <f>IF(SUM('04_L0'!$B39:$AI39)=0,0,'04_L0'!O39/SUM('04_L0'!$B39:$AI39))</f>
        <v>1.2890460057688419E-2</v>
      </c>
      <c r="P39" s="8">
        <f>IF(SUM('04_L0'!$B39:$AI39)=0,0,'04_L0'!P39/SUM('04_L0'!$B39:$AI39))</f>
        <v>0.11180199022773037</v>
      </c>
      <c r="Q39" s="8">
        <f>IF(SUM('04_L0'!$B39:$AI39)=0,0,'04_L0'!Q39/SUM('04_L0'!$B39:$AI39))</f>
        <v>5.625595017776848E-2</v>
      </c>
      <c r="R39" s="8">
        <f>IF(SUM('04_L0'!$B39:$AI39)=0,0,'04_L0'!R39/SUM('04_L0'!$B39:$AI39))</f>
        <v>1.4632851736307096E-2</v>
      </c>
      <c r="S39" s="8">
        <f>IF(SUM('04_L0'!$B39:$AI39)=0,0,'04_L0'!S39/SUM('04_L0'!$B39:$AI39))</f>
        <v>1.3955831243787338E-2</v>
      </c>
      <c r="T39" s="8">
        <f>IF(SUM('04_L0'!$B39:$AI39)=0,0,'04_L0'!T39/SUM('04_L0'!$B39:$AI39))</f>
        <v>2.7338117847611188E-2</v>
      </c>
      <c r="U39" s="8">
        <f>IF(SUM('04_L0'!$B39:$AI39)=0,0,'04_L0'!U39/SUM('04_L0'!$B39:$AI39))</f>
        <v>1.1057748380628207E-2</v>
      </c>
      <c r="V39" s="8">
        <f>IF(SUM('04_L0'!$B39:$AI39)=0,0,'04_L0'!V39/SUM('04_L0'!$B39:$AI39))</f>
        <v>5.7756729535626177E-3</v>
      </c>
      <c r="W39" s="8">
        <f>IF(SUM('04_L0'!$B39:$AI39)=0,0,'04_L0'!W39/SUM('04_L0'!$B39:$AI39))</f>
        <v>1.2861618377513812E-2</v>
      </c>
      <c r="X39" s="8">
        <f>IF(SUM('04_L0'!$B39:$AI39)=0,0,'04_L0'!X39/SUM('04_L0'!$B39:$AI39))</f>
        <v>1.7204568218543024E-2</v>
      </c>
      <c r="Y39" s="8">
        <f>IF(SUM('04_L0'!$B39:$AI39)=0,0,'04_L0'!Y39/SUM('04_L0'!$B39:$AI39))</f>
        <v>1.07599706826851E-3</v>
      </c>
      <c r="Z39" s="8">
        <f>IF(SUM('04_L0'!$B39:$AI39)=0,0,'04_L0'!Z39/SUM('04_L0'!$B39:$AI39))</f>
        <v>1.7819351401212311E-2</v>
      </c>
      <c r="AA39" s="8">
        <f>IF(SUM('04_L0'!$B39:$AI39)=0,0,'04_L0'!AA39/SUM('04_L0'!$B39:$AI39))</f>
        <v>6.6540792129156081E-3</v>
      </c>
      <c r="AB39" s="8">
        <f>IF(SUM('04_L0'!$B39:$AI39)=0,0,'04_L0'!AB39/SUM('04_L0'!$B39:$AI39))</f>
        <v>3.5491205438022901E-2</v>
      </c>
      <c r="AC39" s="8">
        <f>IF(SUM('04_L0'!$B39:$AI39)=0,0,'04_L0'!AC39/SUM('04_L0'!$B39:$AI39))</f>
        <v>8.7491489806869535E-3</v>
      </c>
      <c r="AD39" s="8">
        <f>IF(SUM('04_L0'!$B39:$AI39)=0,0,'04_L0'!AD39/SUM('04_L0'!$B39:$AI39))</f>
        <v>8.4086147568709618E-3</v>
      </c>
      <c r="AE39" s="8">
        <f>IF(SUM('04_L0'!$B39:$AI39)=0,0,'04_L0'!AE39/SUM('04_L0'!$B39:$AI39))</f>
        <v>3.5933191536839048E-3</v>
      </c>
      <c r="AF39" s="8">
        <f>IF(SUM('04_L0'!$B39:$AI39)=0,0,'04_L0'!AF39/SUM('04_L0'!$B39:$AI39))</f>
        <v>1.1582464562050471E-2</v>
      </c>
      <c r="AG39" s="8">
        <f>IF(SUM('04_L0'!$B39:$AI39)=0,0,'04_L0'!AG39/SUM('04_L0'!$B39:$AI39))</f>
        <v>5.6899069046223343E-3</v>
      </c>
      <c r="AH39" s="8">
        <f>IF(SUM('04_L0'!$B39:$AI39)=0,0,'04_L0'!AH39/SUM('04_L0'!$B39:$AI39))</f>
        <v>2.1977866287440739E-3</v>
      </c>
      <c r="AI39" s="8">
        <f>IF(SUM('04_L0'!$B39:$AI39)=0,0,'04_L0'!AI39/SUM('04_L0'!$B39:$AI39))</f>
        <v>6.7621090149731326E-3</v>
      </c>
    </row>
    <row r="40" spans="1:35" x14ac:dyDescent="0.2">
      <c r="A40" s="12" t="s">
        <v>1404</v>
      </c>
      <c r="B40" s="8">
        <f>IF(SUM('04_L0'!$B40:$AI40)=0,0,'04_L0'!B40/SUM('04_L0'!$B40:$AI40))</f>
        <v>3.2009177197624291E-3</v>
      </c>
      <c r="C40" s="8">
        <f>IF(SUM('04_L0'!$B40:$AI40)=0,0,'04_L0'!C40/SUM('04_L0'!$B40:$AI40))</f>
        <v>2.7698114603955815E-2</v>
      </c>
      <c r="D40" s="8">
        <f>IF(SUM('04_L0'!$B40:$AI40)=0,0,'04_L0'!D40/SUM('04_L0'!$B40:$AI40))</f>
        <v>2.8123670138953134E-3</v>
      </c>
      <c r="E40" s="8">
        <f>IF(SUM('04_L0'!$B40:$AI40)=0,0,'04_L0'!E40/SUM('04_L0'!$B40:$AI40))</f>
        <v>1.4283864044257775E-2</v>
      </c>
      <c r="F40" s="8">
        <f>IF(SUM('04_L0'!$B40:$AI40)=0,0,'04_L0'!F40/SUM('04_L0'!$B40:$AI40))</f>
        <v>5.180676078228209E-3</v>
      </c>
      <c r="G40" s="8">
        <f>IF(SUM('04_L0'!$B40:$AI40)=0,0,'04_L0'!G40/SUM('04_L0'!$B40:$AI40))</f>
        <v>7.1604344366939885E-3</v>
      </c>
      <c r="H40" s="8">
        <f>IF(SUM('04_L0'!$B40:$AI40)=0,0,'04_L0'!H40/SUM('04_L0'!$B40:$AI40))</f>
        <v>2.5718356245490038E-3</v>
      </c>
      <c r="I40" s="8">
        <f>IF(SUM('04_L0'!$B40:$AI40)=0,0,'04_L0'!I40/SUM('04_L0'!$B40:$AI40))</f>
        <v>0</v>
      </c>
      <c r="J40" s="8">
        <f>IF(SUM('04_L0'!$B40:$AI40)=0,0,'04_L0'!J40/SUM('04_L0'!$B40:$AI40))</f>
        <v>5.4952171258349216E-3</v>
      </c>
      <c r="K40" s="8">
        <f>IF(SUM('04_L0'!$B40:$AI40)=0,0,'04_L0'!K40/SUM('04_L0'!$B40:$AI40))</f>
        <v>5.4175069846614986E-2</v>
      </c>
      <c r="L40" s="8">
        <f>IF(SUM('04_L0'!$B40:$AI40)=0,0,'04_L0'!L40/SUM('04_L0'!$B40:$AI40))</f>
        <v>9.8580864802856771E-2</v>
      </c>
      <c r="M40" s="8">
        <f>IF(SUM('04_L0'!$B40:$AI40)=0,0,'04_L0'!M40/SUM('04_L0'!$B40:$AI40))</f>
        <v>0.11836919718023202</v>
      </c>
      <c r="N40" s="8">
        <f>IF(SUM('04_L0'!$B40:$AI40)=0,0,'04_L0'!N40/SUM('04_L0'!$B40:$AI40))</f>
        <v>6.8264658537939199E-2</v>
      </c>
      <c r="O40" s="8">
        <f>IF(SUM('04_L0'!$B40:$AI40)=0,0,'04_L0'!O40/SUM('04_L0'!$B40:$AI40))</f>
        <v>4.570096397579884E-3</v>
      </c>
      <c r="P40" s="8">
        <f>IF(SUM('04_L0'!$B40:$AI40)=0,0,'04_L0'!P40/SUM('04_L0'!$B40:$AI40))</f>
        <v>0.10379854571021518</v>
      </c>
      <c r="Q40" s="8">
        <f>IF(SUM('04_L0'!$B40:$AI40)=0,0,'04_L0'!Q40/SUM('04_L0'!$B40:$AI40))</f>
        <v>3.9780191314966601E-2</v>
      </c>
      <c r="R40" s="8">
        <f>IF(SUM('04_L0'!$B40:$AI40)=0,0,'04_L0'!R40/SUM('04_L0'!$B40:$AI40))</f>
        <v>7.3084537532147945E-4</v>
      </c>
      <c r="S40" s="8">
        <f>IF(SUM('04_L0'!$B40:$AI40)=0,0,'04_L0'!S40/SUM('04_L0'!$B40:$AI40))</f>
        <v>1.4172849556867172E-2</v>
      </c>
      <c r="T40" s="8">
        <f>IF(SUM('04_L0'!$B40:$AI40)=0,0,'04_L0'!T40/SUM('04_L0'!$B40:$AI40))</f>
        <v>1.6430144133809461E-2</v>
      </c>
      <c r="U40" s="8">
        <f>IF(SUM('04_L0'!$B40:$AI40)=0,0,'04_L0'!U40/SUM('04_L0'!$B40:$AI40))</f>
        <v>2.5107776564841713E-2</v>
      </c>
      <c r="V40" s="8">
        <f>IF(SUM('04_L0'!$B40:$AI40)=0,0,'04_L0'!V40/SUM('04_L0'!$B40:$AI40))</f>
        <v>3.7004829130201492E-3</v>
      </c>
      <c r="W40" s="8">
        <f>IF(SUM('04_L0'!$B40:$AI40)=0,0,'04_L0'!W40/SUM('04_L0'!$B40:$AI40))</f>
        <v>6.1372509112439175E-2</v>
      </c>
      <c r="X40" s="8">
        <f>IF(SUM('04_L0'!$B40:$AI40)=0,0,'04_L0'!X40/SUM('04_L0'!$B40:$AI40))</f>
        <v>4.3980239421244474E-2</v>
      </c>
      <c r="Y40" s="8">
        <f>IF(SUM('04_L0'!$B40:$AI40)=0,0,'04_L0'!Y40/SUM('04_L0'!$B40:$AI40))</f>
        <v>9.3437193553758766E-3</v>
      </c>
      <c r="Z40" s="8">
        <f>IF(SUM('04_L0'!$B40:$AI40)=0,0,'04_L0'!Z40/SUM('04_L0'!$B40:$AI40))</f>
        <v>2.2905989231594724E-2</v>
      </c>
      <c r="AA40" s="8">
        <f>IF(SUM('04_L0'!$B40:$AI40)=0,0,'04_L0'!AA40/SUM('04_L0'!$B40:$AI40))</f>
        <v>2.3488815290395395E-2</v>
      </c>
      <c r="AB40" s="8">
        <f>IF(SUM('04_L0'!$B40:$AI40)=0,0,'04_L0'!AB40/SUM('04_L0'!$B40:$AI40))</f>
        <v>0.18012100579125576</v>
      </c>
      <c r="AC40" s="8">
        <f>IF(SUM('04_L0'!$B40:$AI40)=0,0,'04_L0'!AC40/SUM('04_L0'!$B40:$AI40))</f>
        <v>1.2128332747423538E-2</v>
      </c>
      <c r="AD40" s="8">
        <f>IF(SUM('04_L0'!$B40:$AI40)=0,0,'04_L0'!AD40/SUM('04_L0'!$B40:$AI40))</f>
        <v>3.6264732547597461E-3</v>
      </c>
      <c r="AE40" s="8">
        <f>IF(SUM('04_L0'!$B40:$AI40)=0,0,'04_L0'!AE40/SUM('04_L0'!$B40:$AI40))</f>
        <v>6.3370769885470052E-3</v>
      </c>
      <c r="AF40" s="8">
        <f>IF(SUM('04_L0'!$B40:$AI40)=0,0,'04_L0'!AF40/SUM('04_L0'!$B40:$AI40))</f>
        <v>1.1045941495365145E-2</v>
      </c>
      <c r="AG40" s="8">
        <f>IF(SUM('04_L0'!$B40:$AI40)=0,0,'04_L0'!AG40/SUM('04_L0'!$B40:$AI40))</f>
        <v>2.7106037337872591E-3</v>
      </c>
      <c r="AH40" s="8">
        <f>IF(SUM('04_L0'!$B40:$AI40)=0,0,'04_L0'!AH40/SUM('04_L0'!$B40:$AI40))</f>
        <v>0</v>
      </c>
      <c r="AI40" s="8">
        <f>IF(SUM('04_L0'!$B40:$AI40)=0,0,'04_L0'!AI40/SUM('04_L0'!$B40:$AI40))</f>
        <v>6.8551445963698264E-3</v>
      </c>
    </row>
    <row r="41" spans="1:35" x14ac:dyDescent="0.2">
      <c r="A41" s="12" t="s">
        <v>1405</v>
      </c>
      <c r="B41" s="8">
        <f>IF(SUM('04_L0'!$B41:$AI41)=0,0,'04_L0'!B41/SUM('04_L0'!$B41:$AI41))</f>
        <v>2.7545970893903321E-3</v>
      </c>
      <c r="C41" s="8">
        <f>IF(SUM('04_L0'!$B41:$AI41)=0,0,'04_L0'!C41/SUM('04_L0'!$B41:$AI41))</f>
        <v>3.073935336036468E-2</v>
      </c>
      <c r="D41" s="8">
        <f>IF(SUM('04_L0'!$B41:$AI41)=0,0,'04_L0'!D41/SUM('04_L0'!$B41:$AI41))</f>
        <v>3.0471206741043495E-3</v>
      </c>
      <c r="E41" s="8">
        <f>IF(SUM('04_L0'!$B41:$AI41)=0,0,'04_L0'!E41/SUM('04_L0'!$B41:$AI41))</f>
        <v>5.2394224284332921E-2</v>
      </c>
      <c r="F41" s="8">
        <f>IF(SUM('04_L0'!$B41:$AI41)=0,0,'04_L0'!F41/SUM('04_L0'!$B41:$AI41))</f>
        <v>2.0752923204433359E-2</v>
      </c>
      <c r="G41" s="8">
        <f>IF(SUM('04_L0'!$B41:$AI41)=0,0,'04_L0'!G41/SUM('04_L0'!$B41:$AI41))</f>
        <v>3.6394809331502354E-2</v>
      </c>
      <c r="H41" s="8">
        <f>IF(SUM('04_L0'!$B41:$AI41)=0,0,'04_L0'!H41/SUM('04_L0'!$B41:$AI41))</f>
        <v>1.1538430285941805E-3</v>
      </c>
      <c r="I41" s="8">
        <f>IF(SUM('04_L0'!$B41:$AI41)=0,0,'04_L0'!I41/SUM('04_L0'!$B41:$AI41))</f>
        <v>2.8837950059723564E-2</v>
      </c>
      <c r="J41" s="8">
        <f>IF(SUM('04_L0'!$B41:$AI41)=0,0,'04_L0'!J41/SUM('04_L0'!$B41:$AI41))</f>
        <v>2.5514557111167087E-3</v>
      </c>
      <c r="K41" s="8">
        <f>IF(SUM('04_L0'!$B41:$AI41)=0,0,'04_L0'!K41/SUM('04_L0'!$B41:$AI41))</f>
        <v>4.2594684196413338E-2</v>
      </c>
      <c r="L41" s="8">
        <f>IF(SUM('04_L0'!$B41:$AI41)=0,0,'04_L0'!L41/SUM('04_L0'!$B41:$AI41))</f>
        <v>3.3810850999861863E-2</v>
      </c>
      <c r="M41" s="8">
        <f>IF(SUM('04_L0'!$B41:$AI41)=0,0,'04_L0'!M41/SUM('04_L0'!$B41:$AI41))</f>
        <v>7.0823210121316024E-2</v>
      </c>
      <c r="N41" s="8">
        <f>IF(SUM('04_L0'!$B41:$AI41)=0,0,'04_L0'!N41/SUM('04_L0'!$B41:$AI41))</f>
        <v>5.6375795298495943E-2</v>
      </c>
      <c r="O41" s="8">
        <f>IF(SUM('04_L0'!$B41:$AI41)=0,0,'04_L0'!O41/SUM('04_L0'!$B41:$AI41))</f>
        <v>3.0227437087115149E-3</v>
      </c>
      <c r="P41" s="8">
        <f>IF(SUM('04_L0'!$B41:$AI41)=0,0,'04_L0'!P41/SUM('04_L0'!$B41:$AI41))</f>
        <v>8.9869745748250948E-2</v>
      </c>
      <c r="Q41" s="8">
        <f>IF(SUM('04_L0'!$B41:$AI41)=0,0,'04_L0'!Q41/SUM('04_L0'!$B41:$AI41))</f>
        <v>1.6925739637758293E-2</v>
      </c>
      <c r="R41" s="8">
        <f>IF(SUM('04_L0'!$B41:$AI41)=0,0,'04_L0'!R41/SUM('04_L0'!$B41:$AI41))</f>
        <v>0.19190359722752648</v>
      </c>
      <c r="S41" s="8">
        <f>IF(SUM('04_L0'!$B41:$AI41)=0,0,'04_L0'!S41/SUM('04_L0'!$B41:$AI41))</f>
        <v>8.4750583015755637E-3</v>
      </c>
      <c r="T41" s="8">
        <f>IF(SUM('04_L0'!$B41:$AI41)=0,0,'04_L0'!T41/SUM('04_L0'!$B41:$AI41))</f>
        <v>1.3334200069880633E-2</v>
      </c>
      <c r="U41" s="8">
        <f>IF(SUM('04_L0'!$B41:$AI41)=0,0,'04_L0'!U41/SUM('04_L0'!$B41:$AI41))</f>
        <v>4.426044349825705E-2</v>
      </c>
      <c r="V41" s="8">
        <f>IF(SUM('04_L0'!$B41:$AI41)=0,0,'04_L0'!V41/SUM('04_L0'!$B41:$AI41))</f>
        <v>2.5425174904726695E-2</v>
      </c>
      <c r="W41" s="8">
        <f>IF(SUM('04_L0'!$B41:$AI41)=0,0,'04_L0'!W41/SUM('04_L0'!$B41:$AI41))</f>
        <v>2.299560402057416E-2</v>
      </c>
      <c r="X41" s="8">
        <f>IF(SUM('04_L0'!$B41:$AI41)=0,0,'04_L0'!X41/SUM('04_L0'!$B41:$AI41))</f>
        <v>5.4287501929843093E-2</v>
      </c>
      <c r="Y41" s="8">
        <f>IF(SUM('04_L0'!$B41:$AI41)=0,0,'04_L0'!Y41/SUM('04_L0'!$B41:$AI41))</f>
        <v>2.0354766103017057E-2</v>
      </c>
      <c r="Z41" s="8">
        <f>IF(SUM('04_L0'!$B41:$AI41)=0,0,'04_L0'!Z41/SUM('04_L0'!$B41:$AI41))</f>
        <v>1.4163016893237018E-2</v>
      </c>
      <c r="AA41" s="8">
        <f>IF(SUM('04_L0'!$B41:$AI41)=0,0,'04_L0'!AA41/SUM('04_L0'!$B41:$AI41))</f>
        <v>4.0465762552105763E-3</v>
      </c>
      <c r="AB41" s="8">
        <f>IF(SUM('04_L0'!$B41:$AI41)=0,0,'04_L0'!AB41/SUM('04_L0'!$B41:$AI41))</f>
        <v>4.8883941267764713E-2</v>
      </c>
      <c r="AC41" s="8">
        <f>IF(SUM('04_L0'!$B41:$AI41)=0,0,'04_L0'!AC41/SUM('04_L0'!$B41:$AI41))</f>
        <v>1.024645112012156E-2</v>
      </c>
      <c r="AD41" s="8">
        <f>IF(SUM('04_L0'!$B41:$AI41)=0,0,'04_L0'!AD41/SUM('04_L0'!$B41:$AI41))</f>
        <v>1.446366613308198E-3</v>
      </c>
      <c r="AE41" s="8">
        <f>IF(SUM('04_L0'!$B41:$AI41)=0,0,'04_L0'!AE41/SUM('04_L0'!$B41:$AI41))</f>
        <v>3.2502620523779731E-4</v>
      </c>
      <c r="AF41" s="8">
        <f>IF(SUM('04_L0'!$B41:$AI41)=0,0,'04_L0'!AF41/SUM('04_L0'!$B41:$AI41))</f>
        <v>2.0119122104219653E-2</v>
      </c>
      <c r="AG41" s="8">
        <f>IF(SUM('04_L0'!$B41:$AI41)=0,0,'04_L0'!AG41/SUM('04_L0'!$B41:$AI41))</f>
        <v>1.7689551220067119E-2</v>
      </c>
      <c r="AH41" s="8">
        <f>IF(SUM('04_L0'!$B41:$AI41)=0,0,'04_L0'!AH41/SUM('04_L0'!$B41:$AI41))</f>
        <v>4.5178642528053824E-3</v>
      </c>
      <c r="AI41" s="8">
        <f>IF(SUM('04_L0'!$B41:$AI41)=0,0,'04_L0'!AI41/SUM('04_L0'!$B41:$AI41))</f>
        <v>5.4766915582568848E-3</v>
      </c>
    </row>
    <row r="42" spans="1:35" x14ac:dyDescent="0.2">
      <c r="A42" s="12" t="s">
        <v>1406</v>
      </c>
      <c r="B42" s="8">
        <f>IF(SUM('04_L0'!$B42:$AI42)=0,0,'04_L0'!B42/SUM('04_L0'!$B42:$AI42))</f>
        <v>0</v>
      </c>
      <c r="C42" s="8">
        <f>IF(SUM('04_L0'!$B42:$AI42)=0,0,'04_L0'!C42/SUM('04_L0'!$B42:$AI42))</f>
        <v>0</v>
      </c>
      <c r="D42" s="8">
        <f>IF(SUM('04_L0'!$B42:$AI42)=0,0,'04_L0'!D42/SUM('04_L0'!$B42:$AI42))</f>
        <v>2.2938095538587746E-2</v>
      </c>
      <c r="E42" s="8">
        <f>IF(SUM('04_L0'!$B42:$AI42)=0,0,'04_L0'!E42/SUM('04_L0'!$B42:$AI42))</f>
        <v>1.7101028585852211E-2</v>
      </c>
      <c r="F42" s="8">
        <f>IF(SUM('04_L0'!$B42:$AI42)=0,0,'04_L0'!F42/SUM('04_L0'!$B42:$AI42))</f>
        <v>0</v>
      </c>
      <c r="G42" s="8">
        <f>IF(SUM('04_L0'!$B42:$AI42)=0,0,'04_L0'!G42/SUM('04_L0'!$B42:$AI42))</f>
        <v>0</v>
      </c>
      <c r="H42" s="8">
        <f>IF(SUM('04_L0'!$B42:$AI42)=0,0,'04_L0'!H42/SUM('04_L0'!$B42:$AI42))</f>
        <v>0</v>
      </c>
      <c r="I42" s="8">
        <f>IF(SUM('04_L0'!$B42:$AI42)=0,0,'04_L0'!I42/SUM('04_L0'!$B42:$AI42))</f>
        <v>0</v>
      </c>
      <c r="J42" s="8">
        <f>IF(SUM('04_L0'!$B42:$AI42)=0,0,'04_L0'!J42/SUM('04_L0'!$B42:$AI42))</f>
        <v>0</v>
      </c>
      <c r="K42" s="8">
        <f>IF(SUM('04_L0'!$B42:$AI42)=0,0,'04_L0'!K42/SUM('04_L0'!$B42:$AI42))</f>
        <v>1.4860856944532088E-2</v>
      </c>
      <c r="L42" s="8">
        <f>IF(SUM('04_L0'!$B42:$AI42)=0,0,'04_L0'!L42/SUM('04_L0'!$B42:$AI42))</f>
        <v>0.10430996403104689</v>
      </c>
      <c r="M42" s="8">
        <f>IF(SUM('04_L0'!$B42:$AI42)=0,0,'04_L0'!M42/SUM('04_L0'!$B42:$AI42))</f>
        <v>0.13961633116678235</v>
      </c>
      <c r="N42" s="8">
        <f>IF(SUM('04_L0'!$B42:$AI42)=0,0,'04_L0'!N42/SUM('04_L0'!$B42:$AI42))</f>
        <v>1.7700511137754778E-2</v>
      </c>
      <c r="O42" s="8">
        <f>IF(SUM('04_L0'!$B42:$AI42)=0,0,'04_L0'!O42/SUM('04_L0'!$B42:$AI42))</f>
        <v>8.5189625796680754E-3</v>
      </c>
      <c r="P42" s="8">
        <f>IF(SUM('04_L0'!$B42:$AI42)=0,0,'04_L0'!P42/SUM('04_L0'!$B42:$AI42))</f>
        <v>0.12229444058812393</v>
      </c>
      <c r="Q42" s="8">
        <f>IF(SUM('04_L0'!$B42:$AI42)=0,0,'04_L0'!Q42/SUM('04_L0'!$B42:$AI42))</f>
        <v>0.34577522559474977</v>
      </c>
      <c r="R42" s="8">
        <f>IF(SUM('04_L0'!$B42:$AI42)=0,0,'04_L0'!R42/SUM('04_L0'!$B42:$AI42))</f>
        <v>5.7771186975452769E-2</v>
      </c>
      <c r="S42" s="8">
        <f>IF(SUM('04_L0'!$B42:$AI42)=0,0,'04_L0'!S42/SUM('04_L0'!$B42:$AI42))</f>
        <v>3.3823436612608067E-2</v>
      </c>
      <c r="T42" s="8">
        <f>IF(SUM('04_L0'!$B42:$AI42)=0,0,'04_L0'!T42/SUM('04_L0'!$B42:$AI42))</f>
        <v>4.3225847163500981E-3</v>
      </c>
      <c r="U42" s="8">
        <f>IF(SUM('04_L0'!$B42:$AI42)=0,0,'04_L0'!U42/SUM('04_L0'!$B42:$AI42))</f>
        <v>3.0636713573547043E-2</v>
      </c>
      <c r="V42" s="8">
        <f>IF(SUM('04_L0'!$B42:$AI42)=0,0,'04_L0'!V42/SUM('04_L0'!$B42:$AI42))</f>
        <v>2.4610336341263331E-3</v>
      </c>
      <c r="W42" s="8">
        <f>IF(SUM('04_L0'!$B42:$AI42)=0,0,'04_L0'!W42/SUM('04_L0'!$B42:$AI42))</f>
        <v>2.5588439452262256E-2</v>
      </c>
      <c r="X42" s="8">
        <f>IF(SUM('04_L0'!$B42:$AI42)=0,0,'04_L0'!X42/SUM('04_L0'!$B42:$AI42))</f>
        <v>0</v>
      </c>
      <c r="Y42" s="8">
        <f>IF(SUM('04_L0'!$B42:$AI42)=0,0,'04_L0'!Y42/SUM('04_L0'!$B42:$AI42))</f>
        <v>7.7932731747333882E-3</v>
      </c>
      <c r="Z42" s="8">
        <f>IF(SUM('04_L0'!$B42:$AI42)=0,0,'04_L0'!Z42/SUM('04_L0'!$B42:$AI42))</f>
        <v>6.9729286300246104E-3</v>
      </c>
      <c r="AA42" s="8">
        <f>IF(SUM('04_L0'!$B42:$AI42)=0,0,'04_L0'!AA42/SUM('04_L0'!$B42:$AI42))</f>
        <v>0</v>
      </c>
      <c r="AB42" s="8">
        <f>IF(SUM('04_L0'!$B42:$AI42)=0,0,'04_L0'!AB42/SUM('04_L0'!$B42:$AI42))</f>
        <v>1.053827222818199E-2</v>
      </c>
      <c r="AC42" s="8">
        <f>IF(SUM('04_L0'!$B42:$AI42)=0,0,'04_L0'!AC42/SUM('04_L0'!$B42:$AI42))</f>
        <v>4.7327569887044866E-3</v>
      </c>
      <c r="AD42" s="8">
        <f>IF(SUM('04_L0'!$B42:$AI42)=0,0,'04_L0'!AD42/SUM('04_L0'!$B42:$AI42))</f>
        <v>0</v>
      </c>
      <c r="AE42" s="8">
        <f>IF(SUM('04_L0'!$B42:$AI42)=0,0,'04_L0'!AE42/SUM('04_L0'!$B42:$AI42))</f>
        <v>0</v>
      </c>
      <c r="AF42" s="8">
        <f>IF(SUM('04_L0'!$B42:$AI42)=0,0,'04_L0'!AF42/SUM('04_L0'!$B42:$AI42))</f>
        <v>0</v>
      </c>
      <c r="AG42" s="8">
        <f>IF(SUM('04_L0'!$B42:$AI42)=0,0,'04_L0'!AG42/SUM('04_L0'!$B42:$AI42))</f>
        <v>7.4777560421530886E-3</v>
      </c>
      <c r="AH42" s="8">
        <f>IF(SUM('04_L0'!$B42:$AI42)=0,0,'04_L0'!AH42/SUM('04_L0'!$B42:$AI42))</f>
        <v>0</v>
      </c>
      <c r="AI42" s="8">
        <f>IF(SUM('04_L0'!$B42:$AI42)=0,0,'04_L0'!AI42/SUM('04_L0'!$B42:$AI42))</f>
        <v>1.4766201804757998E-2</v>
      </c>
    </row>
    <row r="43" spans="1:35" x14ac:dyDescent="0.2">
      <c r="A43" s="12" t="s">
        <v>1407</v>
      </c>
      <c r="B43" s="8">
        <f>IF(SUM('04_L0'!$B43:$AI43)=0,0,'04_L0'!B43/SUM('04_L0'!$B43:$AI43))</f>
        <v>1.227401368699528E-2</v>
      </c>
      <c r="C43" s="8">
        <f>IF(SUM('04_L0'!$B43:$AI43)=0,0,'04_L0'!C43/SUM('04_L0'!$B43:$AI43))</f>
        <v>5.6438892305394839E-2</v>
      </c>
      <c r="D43" s="8">
        <f>IF(SUM('04_L0'!$B43:$AI43)=0,0,'04_L0'!D43/SUM('04_L0'!$B43:$AI43))</f>
        <v>1.0499101395559141E-2</v>
      </c>
      <c r="E43" s="8">
        <f>IF(SUM('04_L0'!$B43:$AI43)=0,0,'04_L0'!E43/SUM('04_L0'!$B43:$AI43))</f>
        <v>1.9713815485863442E-2</v>
      </c>
      <c r="F43" s="8">
        <f>IF(SUM('04_L0'!$B43:$AI43)=0,0,'04_L0'!F43/SUM('04_L0'!$B43:$AI43))</f>
        <v>8.2533680814458141E-3</v>
      </c>
      <c r="G43" s="8">
        <f>IF(SUM('04_L0'!$B43:$AI43)=0,0,'04_L0'!G43/SUM('04_L0'!$B43:$AI43))</f>
        <v>2.0253081855449651E-2</v>
      </c>
      <c r="H43" s="8">
        <f>IF(SUM('04_L0'!$B43:$AI43)=0,0,'04_L0'!H43/SUM('04_L0'!$B43:$AI43))</f>
        <v>5.4248122678950874E-3</v>
      </c>
      <c r="I43" s="8">
        <f>IF(SUM('04_L0'!$B43:$AI43)=0,0,'04_L0'!I43/SUM('04_L0'!$B43:$AI43))</f>
        <v>2.9178977322812109E-2</v>
      </c>
      <c r="J43" s="8">
        <f>IF(SUM('04_L0'!$B43:$AI43)=0,0,'04_L0'!J43/SUM('04_L0'!$B43:$AI43))</f>
        <v>3.5347873475665087E-3</v>
      </c>
      <c r="K43" s="8">
        <f>IF(SUM('04_L0'!$B43:$AI43)=0,0,'04_L0'!K43/SUM('04_L0'!$B43:$AI43))</f>
        <v>1.6137546109867226E-2</v>
      </c>
      <c r="L43" s="8">
        <f>IF(SUM('04_L0'!$B43:$AI43)=0,0,'04_L0'!L43/SUM('04_L0'!$B43:$AI43))</f>
        <v>0.1183798571566351</v>
      </c>
      <c r="M43" s="8">
        <f>IF(SUM('04_L0'!$B43:$AI43)=0,0,'04_L0'!M43/SUM('04_L0'!$B43:$AI43))</f>
        <v>0.19587658266901592</v>
      </c>
      <c r="N43" s="8">
        <f>IF(SUM('04_L0'!$B43:$AI43)=0,0,'04_L0'!N43/SUM('04_L0'!$B43:$AI43))</f>
        <v>0.10531249967592166</v>
      </c>
      <c r="O43" s="8">
        <f>IF(SUM('04_L0'!$B43:$AI43)=0,0,'04_L0'!O43/SUM('04_L0'!$B43:$AI43))</f>
        <v>1.6469920862660262E-2</v>
      </c>
      <c r="P43" s="8">
        <f>IF(SUM('04_L0'!$B43:$AI43)=0,0,'04_L0'!P43/SUM('04_L0'!$B43:$AI43))</f>
        <v>0.14725808977333182</v>
      </c>
      <c r="Q43" s="8">
        <f>IF(SUM('04_L0'!$B43:$AI43)=0,0,'04_L0'!Q43/SUM('04_L0'!$B43:$AI43))</f>
        <v>7.0942046495131569E-2</v>
      </c>
      <c r="R43" s="8">
        <f>IF(SUM('04_L0'!$B43:$AI43)=0,0,'04_L0'!R43/SUM('04_L0'!$B43:$AI43))</f>
        <v>1.3151877113638979E-2</v>
      </c>
      <c r="S43" s="8">
        <f>IF(SUM('04_L0'!$B43:$AI43)=0,0,'04_L0'!S43/SUM('04_L0'!$B43:$AI43))</f>
        <v>1.3660550487258276E-2</v>
      </c>
      <c r="T43" s="8">
        <f>IF(SUM('04_L0'!$B43:$AI43)=0,0,'04_L0'!T43/SUM('04_L0'!$B43:$AI43))</f>
        <v>8.6391509458421008E-3</v>
      </c>
      <c r="U43" s="8">
        <f>IF(SUM('04_L0'!$B43:$AI43)=0,0,'04_L0'!U43/SUM('04_L0'!$B43:$AI43))</f>
        <v>1.548316711138858E-2</v>
      </c>
      <c r="V43" s="8">
        <f>IF(SUM('04_L0'!$B43:$AI43)=0,0,'04_L0'!V43/SUM('04_L0'!$B43:$AI43))</f>
        <v>5.3978489494157771E-3</v>
      </c>
      <c r="W43" s="8">
        <f>IF(SUM('04_L0'!$B43:$AI43)=0,0,'04_L0'!W43/SUM('04_L0'!$B43:$AI43))</f>
        <v>1.2622462725804829E-2</v>
      </c>
      <c r="X43" s="8">
        <f>IF(SUM('04_L0'!$B43:$AI43)=0,0,'04_L0'!X43/SUM('04_L0'!$B43:$AI43))</f>
        <v>2.4162244509594276E-2</v>
      </c>
      <c r="Y43" s="8">
        <f>IF(SUM('04_L0'!$B43:$AI43)=0,0,'04_L0'!Y43/SUM('04_L0'!$B43:$AI43))</f>
        <v>3.2392278950048379E-3</v>
      </c>
      <c r="Z43" s="8">
        <f>IF(SUM('04_L0'!$B43:$AI43)=0,0,'04_L0'!Z43/SUM('04_L0'!$B43:$AI43))</f>
        <v>1.0239320192518093E-2</v>
      </c>
      <c r="AA43" s="8">
        <f>IF(SUM('04_L0'!$B43:$AI43)=0,0,'04_L0'!AA43/SUM('04_L0'!$B43:$AI43))</f>
        <v>6.8808314657778447E-3</v>
      </c>
      <c r="AB43" s="8">
        <f>IF(SUM('04_L0'!$B43:$AI43)=0,0,'04_L0'!AB43/SUM('04_L0'!$B43:$AI43))</f>
        <v>2.8390818782647653E-2</v>
      </c>
      <c r="AC43" s="8">
        <f>IF(SUM('04_L0'!$B43:$AI43)=0,0,'04_L0'!AC43/SUM('04_L0'!$B43:$AI43))</f>
        <v>6.8637201290505908E-3</v>
      </c>
      <c r="AD43" s="8">
        <f>IF(SUM('04_L0'!$B43:$AI43)=0,0,'04_L0'!AD43/SUM('04_L0'!$B43:$AI43))</f>
        <v>2.0689161679316955E-3</v>
      </c>
      <c r="AE43" s="8">
        <f>IF(SUM('04_L0'!$B43:$AI43)=0,0,'04_L0'!AE43/SUM('04_L0'!$B43:$AI43))</f>
        <v>1.7728381900146534E-3</v>
      </c>
      <c r="AF43" s="8">
        <f>IF(SUM('04_L0'!$B43:$AI43)=0,0,'04_L0'!AF43/SUM('04_L0'!$B43:$AI43))</f>
        <v>4.1202024737807654E-3</v>
      </c>
      <c r="AG43" s="8">
        <f>IF(SUM('04_L0'!$B43:$AI43)=0,0,'04_L0'!AG43/SUM('04_L0'!$B43:$AI43))</f>
        <v>2.8435930488564958E-3</v>
      </c>
      <c r="AH43" s="8">
        <f>IF(SUM('04_L0'!$B43:$AI43)=0,0,'04_L0'!AH43/SUM('04_L0'!$B43:$AI43))</f>
        <v>1.4321670315356751E-3</v>
      </c>
      <c r="AI43" s="8">
        <f>IF(SUM('04_L0'!$B43:$AI43)=0,0,'04_L0'!AI43/SUM('04_L0'!$B43:$AI43))</f>
        <v>3.0836702883934321E-3</v>
      </c>
    </row>
    <row r="44" spans="1:35" x14ac:dyDescent="0.2">
      <c r="A44" s="12" t="s">
        <v>1408</v>
      </c>
      <c r="B44" s="8">
        <f>IF(SUM('04_L0'!$B44:$AI44)=0,0,'04_L0'!B44/SUM('04_L0'!$B44:$AI44))</f>
        <v>6.3013464982517317E-3</v>
      </c>
      <c r="C44" s="8">
        <f>IF(SUM('04_L0'!$B44:$AI44)=0,0,'04_L0'!C44/SUM('04_L0'!$B44:$AI44))</f>
        <v>2.480266835966001E-2</v>
      </c>
      <c r="D44" s="8">
        <f>IF(SUM('04_L0'!$B44:$AI44)=0,0,'04_L0'!D44/SUM('04_L0'!$B44:$AI44))</f>
        <v>1.6461675494868905E-2</v>
      </c>
      <c r="E44" s="8">
        <f>IF(SUM('04_L0'!$B44:$AI44)=0,0,'04_L0'!E44/SUM('04_L0'!$B44:$AI44))</f>
        <v>8.6181573536239856E-3</v>
      </c>
      <c r="F44" s="8">
        <f>IF(SUM('04_L0'!$B44:$AI44)=0,0,'04_L0'!F44/SUM('04_L0'!$B44:$AI44))</f>
        <v>6.3866278794310781E-3</v>
      </c>
      <c r="G44" s="8">
        <f>IF(SUM('04_L0'!$B44:$AI44)=0,0,'04_L0'!G44/SUM('04_L0'!$B44:$AI44))</f>
        <v>1.9813707560668227E-2</v>
      </c>
      <c r="H44" s="8">
        <f>IF(SUM('04_L0'!$B44:$AI44)=0,0,'04_L0'!H44/SUM('04_L0'!$B44:$AI44))</f>
        <v>1.9093553675153744E-3</v>
      </c>
      <c r="I44" s="8">
        <f>IF(SUM('04_L0'!$B44:$AI44)=0,0,'04_L0'!I44/SUM('04_L0'!$B44:$AI44))</f>
        <v>7.3116939725014927E-3</v>
      </c>
      <c r="J44" s="8">
        <f>IF(SUM('04_L0'!$B44:$AI44)=0,0,'04_L0'!J44/SUM('04_L0'!$B44:$AI44))</f>
        <v>5.024494707816512E-3</v>
      </c>
      <c r="K44" s="8">
        <f>IF(SUM('04_L0'!$B44:$AI44)=0,0,'04_L0'!K44/SUM('04_L0'!$B44:$AI44))</f>
        <v>2.3509234078439918E-2</v>
      </c>
      <c r="L44" s="8">
        <f>IF(SUM('04_L0'!$B44:$AI44)=0,0,'04_L0'!L44/SUM('04_L0'!$B44:$AI44))</f>
        <v>7.3717462784152823E-2</v>
      </c>
      <c r="M44" s="8">
        <f>IF(SUM('04_L0'!$B44:$AI44)=0,0,'04_L0'!M44/SUM('04_L0'!$B44:$AI44))</f>
        <v>0.16625013029099903</v>
      </c>
      <c r="N44" s="8">
        <f>IF(SUM('04_L0'!$B44:$AI44)=0,0,'04_L0'!N44/SUM('04_L0'!$B44:$AI44))</f>
        <v>8.6984639875678699E-2</v>
      </c>
      <c r="O44" s="8">
        <f>IF(SUM('04_L0'!$B44:$AI44)=0,0,'04_L0'!O44/SUM('04_L0'!$B44:$AI44))</f>
        <v>3.0465588962694135E-2</v>
      </c>
      <c r="P44" s="8">
        <f>IF(SUM('04_L0'!$B44:$AI44)=0,0,'04_L0'!P44/SUM('04_L0'!$B44:$AI44))</f>
        <v>0.11034226260979978</v>
      </c>
      <c r="Q44" s="8">
        <f>IF(SUM('04_L0'!$B44:$AI44)=0,0,'04_L0'!Q44/SUM('04_L0'!$B44:$AI44))</f>
        <v>5.7467806278604795E-2</v>
      </c>
      <c r="R44" s="8">
        <f>IF(SUM('04_L0'!$B44:$AI44)=0,0,'04_L0'!R44/SUM('04_L0'!$B44:$AI44))</f>
        <v>0.19693721395203395</v>
      </c>
      <c r="S44" s="8">
        <f>IF(SUM('04_L0'!$B44:$AI44)=0,0,'04_L0'!S44/SUM('04_L0'!$B44:$AI44))</f>
        <v>3.4540143841262923E-2</v>
      </c>
      <c r="T44" s="8">
        <f>IF(SUM('04_L0'!$B44:$AI44)=0,0,'04_L0'!T44/SUM('04_L0'!$B44:$AI44))</f>
        <v>1.5736783754844455E-2</v>
      </c>
      <c r="U44" s="8">
        <f>IF(SUM('04_L0'!$B44:$AI44)=0,0,'04_L0'!U44/SUM('04_L0'!$B44:$AI44))</f>
        <v>1.5488046393071362E-2</v>
      </c>
      <c r="V44" s="8">
        <f>IF(SUM('04_L0'!$B44:$AI44)=0,0,'04_L0'!V44/SUM('04_L0'!$B44:$AI44))</f>
        <v>4.1065353965110442E-3</v>
      </c>
      <c r="W44" s="8">
        <f>IF(SUM('04_L0'!$B44:$AI44)=0,0,'04_L0'!W44/SUM('04_L0'!$B44:$AI44))</f>
        <v>1.1458501132347228E-2</v>
      </c>
      <c r="X44" s="8">
        <f>IF(SUM('04_L0'!$B44:$AI44)=0,0,'04_L0'!X44/SUM('04_L0'!$B44:$AI44))</f>
        <v>8.4073228279305991E-3</v>
      </c>
      <c r="Y44" s="8">
        <f>IF(SUM('04_L0'!$B44:$AI44)=0,0,'04_L0'!Y44/SUM('04_L0'!$B44:$AI44))</f>
        <v>1.5765210881904239E-3</v>
      </c>
      <c r="Z44" s="8">
        <f>IF(SUM('04_L0'!$B44:$AI44)=0,0,'04_L0'!Z44/SUM('04_L0'!$B44:$AI44))</f>
        <v>1.2647702614348118E-2</v>
      </c>
      <c r="AA44" s="8">
        <f>IF(SUM('04_L0'!$B44:$AI44)=0,0,'04_L0'!AA44/SUM('04_L0'!$B44:$AI44))</f>
        <v>7.6054409521192426E-3</v>
      </c>
      <c r="AB44" s="8">
        <f>IF(SUM('04_L0'!$B44:$AI44)=0,0,'04_L0'!AB44/SUM('04_L0'!$B44:$AI44))</f>
        <v>2.3705855040603414E-2</v>
      </c>
      <c r="AC44" s="8">
        <f>IF(SUM('04_L0'!$B44:$AI44)=0,0,'04_L0'!AC44/SUM('04_L0'!$B44:$AI44))</f>
        <v>6.2148806534448944E-3</v>
      </c>
      <c r="AD44" s="8">
        <f>IF(SUM('04_L0'!$B44:$AI44)=0,0,'04_L0'!AD44/SUM('04_L0'!$B44:$AI44))</f>
        <v>2.3938009911591636E-3</v>
      </c>
      <c r="AE44" s="8">
        <f>IF(SUM('04_L0'!$B44:$AI44)=0,0,'04_L0'!AE44/SUM('04_L0'!$B44:$AI44))</f>
        <v>2.1545393384059964E-3</v>
      </c>
      <c r="AF44" s="8">
        <f>IF(SUM('04_L0'!$B44:$AI44)=0,0,'04_L0'!AF44/SUM('04_L0'!$B44:$AI44))</f>
        <v>4.4500298484834132E-3</v>
      </c>
      <c r="AG44" s="8">
        <f>IF(SUM('04_L0'!$B44:$AI44)=0,0,'04_L0'!AG44/SUM('04_L0'!$B44:$AI44))</f>
        <v>3.1613334217732844E-3</v>
      </c>
      <c r="AH44" s="8">
        <f>IF(SUM('04_L0'!$B44:$AI44)=0,0,'04_L0'!AH44/SUM('04_L0'!$B44:$AI44))</f>
        <v>1.3656865624970388E-3</v>
      </c>
      <c r="AI44" s="8">
        <f>IF(SUM('04_L0'!$B44:$AI44)=0,0,'04_L0'!AI44/SUM('04_L0'!$B44:$AI44))</f>
        <v>2.6828101162669495E-3</v>
      </c>
    </row>
    <row r="45" spans="1:35" x14ac:dyDescent="0.2">
      <c r="A45" s="12" t="s">
        <v>1409</v>
      </c>
      <c r="B45" s="8">
        <f>IF(SUM('04_L0'!$B45:$AI45)=0,0,'04_L0'!B45/SUM('04_L0'!$B45:$AI45))</f>
        <v>1.3116489435705677E-2</v>
      </c>
      <c r="C45" s="8">
        <f>IF(SUM('04_L0'!$B45:$AI45)=0,0,'04_L0'!C45/SUM('04_L0'!$B45:$AI45))</f>
        <v>6.0024307719721524E-2</v>
      </c>
      <c r="D45" s="8">
        <f>IF(SUM('04_L0'!$B45:$AI45)=0,0,'04_L0'!D45/SUM('04_L0'!$B45:$AI45))</f>
        <v>2.2165592299579175E-2</v>
      </c>
      <c r="E45" s="8">
        <f>IF(SUM('04_L0'!$B45:$AI45)=0,0,'04_L0'!E45/SUM('04_L0'!$B45:$AI45))</f>
        <v>2.1183912184321481E-2</v>
      </c>
      <c r="F45" s="8">
        <f>IF(SUM('04_L0'!$B45:$AI45)=0,0,'04_L0'!F45/SUM('04_L0'!$B45:$AI45))</f>
        <v>9.4335774047506656E-3</v>
      </c>
      <c r="G45" s="8">
        <f>IF(SUM('04_L0'!$B45:$AI45)=0,0,'04_L0'!G45/SUM('04_L0'!$B45:$AI45))</f>
        <v>2.0276702363017474E-2</v>
      </c>
      <c r="H45" s="8">
        <f>IF(SUM('04_L0'!$B45:$AI45)=0,0,'04_L0'!H45/SUM('04_L0'!$B45:$AI45))</f>
        <v>4.7192421810521015E-3</v>
      </c>
      <c r="I45" s="8">
        <f>IF(SUM('04_L0'!$B45:$AI45)=0,0,'04_L0'!I45/SUM('04_L0'!$B45:$AI45))</f>
        <v>2.3873309673460269E-2</v>
      </c>
      <c r="J45" s="8">
        <f>IF(SUM('04_L0'!$B45:$AI45)=0,0,'04_L0'!J45/SUM('04_L0'!$B45:$AI45))</f>
        <v>4.6572798176074334E-3</v>
      </c>
      <c r="K45" s="8">
        <f>IF(SUM('04_L0'!$B45:$AI45)=0,0,'04_L0'!K45/SUM('04_L0'!$B45:$AI45))</f>
        <v>9.0118677168966547E-3</v>
      </c>
      <c r="L45" s="8">
        <f>IF(SUM('04_L0'!$B45:$AI45)=0,0,'04_L0'!L45/SUM('04_L0'!$B45:$AI45))</f>
        <v>5.6467725786907584E-2</v>
      </c>
      <c r="M45" s="8">
        <f>IF(SUM('04_L0'!$B45:$AI45)=0,0,'04_L0'!M45/SUM('04_L0'!$B45:$AI45))</f>
        <v>0.21667949852050425</v>
      </c>
      <c r="N45" s="8">
        <f>IF(SUM('04_L0'!$B45:$AI45)=0,0,'04_L0'!N45/SUM('04_L0'!$B45:$AI45))</f>
        <v>0.1580489591188875</v>
      </c>
      <c r="O45" s="8">
        <f>IF(SUM('04_L0'!$B45:$AI45)=0,0,'04_L0'!O45/SUM('04_L0'!$B45:$AI45))</f>
        <v>1.9432898127909177E-2</v>
      </c>
      <c r="P45" s="8">
        <f>IF(SUM('04_L0'!$B45:$AI45)=0,0,'04_L0'!P45/SUM('04_L0'!$B45:$AI45))</f>
        <v>0.17002838145647345</v>
      </c>
      <c r="Q45" s="8">
        <f>IF(SUM('04_L0'!$B45:$AI45)=0,0,'04_L0'!Q45/SUM('04_L0'!$B45:$AI45))</f>
        <v>4.2016736380739862E-2</v>
      </c>
      <c r="R45" s="8">
        <f>IF(SUM('04_L0'!$B45:$AI45)=0,0,'04_L0'!R45/SUM('04_L0'!$B45:$AI45))</f>
        <v>2.0709572973479532E-2</v>
      </c>
      <c r="S45" s="8">
        <f>IF(SUM('04_L0'!$B45:$AI45)=0,0,'04_L0'!S45/SUM('04_L0'!$B45:$AI45))</f>
        <v>1.4279630758194186E-2</v>
      </c>
      <c r="T45" s="8">
        <f>IF(SUM('04_L0'!$B45:$AI45)=0,0,'04_L0'!T45/SUM('04_L0'!$B45:$AI45))</f>
        <v>2.9847770788517256E-3</v>
      </c>
      <c r="U45" s="8">
        <f>IF(SUM('04_L0'!$B45:$AI45)=0,0,'04_L0'!U45/SUM('04_L0'!$B45:$AI45))</f>
        <v>1.6114447949016907E-2</v>
      </c>
      <c r="V45" s="8">
        <f>IF(SUM('04_L0'!$B45:$AI45)=0,0,'04_L0'!V45/SUM('04_L0'!$B45:$AI45))</f>
        <v>7.4147974205953275E-3</v>
      </c>
      <c r="W45" s="8">
        <f>IF(SUM('04_L0'!$B45:$AI45)=0,0,'04_L0'!W45/SUM('04_L0'!$B45:$AI45))</f>
        <v>1.6599370793366486E-2</v>
      </c>
      <c r="X45" s="8">
        <f>IF(SUM('04_L0'!$B45:$AI45)=0,0,'04_L0'!X45/SUM('04_L0'!$B45:$AI45))</f>
        <v>1.5045019890495955E-2</v>
      </c>
      <c r="Y45" s="8">
        <f>IF(SUM('04_L0'!$B45:$AI45)=0,0,'04_L0'!Y45/SUM('04_L0'!$B45:$AI45))</f>
        <v>2.3695793275082299E-3</v>
      </c>
      <c r="Z45" s="8">
        <f>IF(SUM('04_L0'!$B45:$AI45)=0,0,'04_L0'!Z45/SUM('04_L0'!$B45:$AI45))</f>
        <v>6.5312564524083825E-3</v>
      </c>
      <c r="AA45" s="8">
        <f>IF(SUM('04_L0'!$B45:$AI45)=0,0,'04_L0'!AA45/SUM('04_L0'!$B45:$AI45))</f>
        <v>7.3109815973704867E-3</v>
      </c>
      <c r="AB45" s="8">
        <f>IF(SUM('04_L0'!$B45:$AI45)=0,0,'04_L0'!AB45/SUM('04_L0'!$B45:$AI45))</f>
        <v>2.0710535121980223E-2</v>
      </c>
      <c r="AC45" s="8">
        <f>IF(SUM('04_L0'!$B45:$AI45)=0,0,'04_L0'!AC45/SUM('04_L0'!$B45:$AI45))</f>
        <v>4.9482335242171816E-3</v>
      </c>
      <c r="AD45" s="8">
        <f>IF(SUM('04_L0'!$B45:$AI45)=0,0,'04_L0'!AD45/SUM('04_L0'!$B45:$AI45))</f>
        <v>3.7301535223390678E-3</v>
      </c>
      <c r="AE45" s="8">
        <f>IF(SUM('04_L0'!$B45:$AI45)=0,0,'04_L0'!AE45/SUM('04_L0'!$B45:$AI45))</f>
        <v>2.4134532991398586E-3</v>
      </c>
      <c r="AF45" s="8">
        <f>IF(SUM('04_L0'!$B45:$AI45)=0,0,'04_L0'!AF45/SUM('04_L0'!$B45:$AI45))</f>
        <v>3.4978908742716295E-3</v>
      </c>
      <c r="AG45" s="8">
        <f>IF(SUM('04_L0'!$B45:$AI45)=0,0,'04_L0'!AG45/SUM('04_L0'!$B45:$AI45))</f>
        <v>1.9009167928203709E-3</v>
      </c>
      <c r="AH45" s="8">
        <f>IF(SUM('04_L0'!$B45:$AI45)=0,0,'04_L0'!AH45/SUM('04_L0'!$B45:$AI45))</f>
        <v>4.2517342245650754E-4</v>
      </c>
      <c r="AI45" s="8">
        <f>IF(SUM('04_L0'!$B45:$AI45)=0,0,'04_L0'!AI45/SUM('04_L0'!$B45:$AI45))</f>
        <v>1.8777290139536549E-3</v>
      </c>
    </row>
    <row r="46" spans="1:35" x14ac:dyDescent="0.2">
      <c r="A46" s="12" t="s">
        <v>1410</v>
      </c>
      <c r="B46" s="8">
        <f>IF(SUM('04_L0'!$B46:$AI46)=0,0,'04_L0'!B46/SUM('04_L0'!$B46:$AI46))</f>
        <v>7.8555838462936733E-3</v>
      </c>
      <c r="C46" s="8">
        <f>IF(SUM('04_L0'!$B46:$AI46)=0,0,'04_L0'!C46/SUM('04_L0'!$B46:$AI46))</f>
        <v>3.259014566896698E-2</v>
      </c>
      <c r="D46" s="8">
        <f>IF(SUM('04_L0'!$B46:$AI46)=0,0,'04_L0'!D46/SUM('04_L0'!$B46:$AI46))</f>
        <v>1.0981078334830694E-2</v>
      </c>
      <c r="E46" s="8">
        <f>IF(SUM('04_L0'!$B46:$AI46)=0,0,'04_L0'!E46/SUM('04_L0'!$B46:$AI46))</f>
        <v>8.085745783524851E-3</v>
      </c>
      <c r="F46" s="8">
        <f>IF(SUM('04_L0'!$B46:$AI46)=0,0,'04_L0'!F46/SUM('04_L0'!$B46:$AI46))</f>
        <v>4.9877137988620064E-3</v>
      </c>
      <c r="G46" s="8">
        <f>IF(SUM('04_L0'!$B46:$AI46)=0,0,'04_L0'!G46/SUM('04_L0'!$B46:$AI46))</f>
        <v>1.8902049095110496E-2</v>
      </c>
      <c r="H46" s="8">
        <f>IF(SUM('04_L0'!$B46:$AI46)=0,0,'04_L0'!H46/SUM('04_L0'!$B46:$AI46))</f>
        <v>6.1110609811437216E-3</v>
      </c>
      <c r="I46" s="8">
        <f>IF(SUM('04_L0'!$B46:$AI46)=0,0,'04_L0'!I46/SUM('04_L0'!$B46:$AI46))</f>
        <v>2.1228515494737008E-2</v>
      </c>
      <c r="J46" s="8">
        <f>IF(SUM('04_L0'!$B46:$AI46)=0,0,'04_L0'!J46/SUM('04_L0'!$B46:$AI46))</f>
        <v>4.0814511710142425E-3</v>
      </c>
      <c r="K46" s="8">
        <f>IF(SUM('04_L0'!$B46:$AI46)=0,0,'04_L0'!K46/SUM('04_L0'!$B46:$AI46))</f>
        <v>8.9226982825473169E-3</v>
      </c>
      <c r="L46" s="8">
        <f>IF(SUM('04_L0'!$B46:$AI46)=0,0,'04_L0'!L46/SUM('04_L0'!$B46:$AI46))</f>
        <v>0.12528655815054421</v>
      </c>
      <c r="M46" s="8">
        <f>IF(SUM('04_L0'!$B46:$AI46)=0,0,'04_L0'!M46/SUM('04_L0'!$B46:$AI46))</f>
        <v>0.25865624660805386</v>
      </c>
      <c r="N46" s="8">
        <f>IF(SUM('04_L0'!$B46:$AI46)=0,0,'04_L0'!N46/SUM('04_L0'!$B46:$AI46))</f>
        <v>0.14299725767282742</v>
      </c>
      <c r="O46" s="8">
        <f>IF(SUM('04_L0'!$B46:$AI46)=0,0,'04_L0'!O46/SUM('04_L0'!$B46:$AI46))</f>
        <v>2.4720176701596357E-2</v>
      </c>
      <c r="P46" s="8">
        <f>IF(SUM('04_L0'!$B46:$AI46)=0,0,'04_L0'!P46/SUM('04_L0'!$B46:$AI46))</f>
        <v>0.13580469713435311</v>
      </c>
      <c r="Q46" s="8">
        <f>IF(SUM('04_L0'!$B46:$AI46)=0,0,'04_L0'!Q46/SUM('04_L0'!$B46:$AI46))</f>
        <v>5.6132050180533272E-2</v>
      </c>
      <c r="R46" s="8">
        <f>IF(SUM('04_L0'!$B46:$AI46)=0,0,'04_L0'!R46/SUM('04_L0'!$B46:$AI46))</f>
        <v>1.6399038027721437E-2</v>
      </c>
      <c r="S46" s="8">
        <f>IF(SUM('04_L0'!$B46:$AI46)=0,0,'04_L0'!S46/SUM('04_L0'!$B46:$AI46))</f>
        <v>1.2343741622301646E-2</v>
      </c>
      <c r="T46" s="8">
        <f>IF(SUM('04_L0'!$B46:$AI46)=0,0,'04_L0'!T46/SUM('04_L0'!$B46:$AI46))</f>
        <v>7.5404189208805265E-3</v>
      </c>
      <c r="U46" s="8">
        <f>IF(SUM('04_L0'!$B46:$AI46)=0,0,'04_L0'!U46/SUM('04_L0'!$B46:$AI46))</f>
        <v>1.13864772015447E-2</v>
      </c>
      <c r="V46" s="8">
        <f>IF(SUM('04_L0'!$B46:$AI46)=0,0,'04_L0'!V46/SUM('04_L0'!$B46:$AI46))</f>
        <v>7.0434783745859375E-3</v>
      </c>
      <c r="W46" s="8">
        <f>IF(SUM('04_L0'!$B46:$AI46)=0,0,'04_L0'!W46/SUM('04_L0'!$B46:$AI46))</f>
        <v>1.125047242045355E-2</v>
      </c>
      <c r="X46" s="8">
        <f>IF(SUM('04_L0'!$B46:$AI46)=0,0,'04_L0'!X46/SUM('04_L0'!$B46:$AI46))</f>
        <v>1.3129692328414929E-2</v>
      </c>
      <c r="Y46" s="8">
        <f>IF(SUM('04_L0'!$B46:$AI46)=0,0,'04_L0'!Y46/SUM('04_L0'!$B46:$AI46))</f>
        <v>1.4149728186598561E-3</v>
      </c>
      <c r="Z46" s="8">
        <f>IF(SUM('04_L0'!$B46:$AI46)=0,0,'04_L0'!Z46/SUM('04_L0'!$B46:$AI46))</f>
        <v>5.9920567976889652E-3</v>
      </c>
      <c r="AA46" s="8">
        <f>IF(SUM('04_L0'!$B46:$AI46)=0,0,'04_L0'!AA46/SUM('04_L0'!$B46:$AI46))</f>
        <v>4.4397714596582354E-3</v>
      </c>
      <c r="AB46" s="8">
        <f>IF(SUM('04_L0'!$B46:$AI46)=0,0,'04_L0'!AB46/SUM('04_L0'!$B46:$AI46))</f>
        <v>2.1491370888961251E-2</v>
      </c>
      <c r="AC46" s="8">
        <f>IF(SUM('04_L0'!$B46:$AI46)=0,0,'04_L0'!AC46/SUM('04_L0'!$B46:$AI46))</f>
        <v>3.145110562732859E-3</v>
      </c>
      <c r="AD46" s="8">
        <f>IF(SUM('04_L0'!$B46:$AI46)=0,0,'04_L0'!AD46/SUM('04_L0'!$B46:$AI46))</f>
        <v>2.9777200629283662E-3</v>
      </c>
      <c r="AE46" s="8">
        <f>IF(SUM('04_L0'!$B46:$AI46)=0,0,'04_L0'!AE46/SUM('04_L0'!$B46:$AI46))</f>
        <v>3.7035148081744104E-3</v>
      </c>
      <c r="AF46" s="8">
        <f>IF(SUM('04_L0'!$B46:$AI46)=0,0,'04_L0'!AF46/SUM('04_L0'!$B46:$AI46))</f>
        <v>3.1542647306909174E-3</v>
      </c>
      <c r="AG46" s="8">
        <f>IF(SUM('04_L0'!$B46:$AI46)=0,0,'04_L0'!AG46/SUM('04_L0'!$B46:$AI46))</f>
        <v>1.0540370534564178E-3</v>
      </c>
      <c r="AH46" s="8">
        <f>IF(SUM('04_L0'!$B46:$AI46)=0,0,'04_L0'!AH46/SUM('04_L0'!$B46:$AI46))</f>
        <v>1.3835870999465134E-3</v>
      </c>
      <c r="AI46" s="8">
        <f>IF(SUM('04_L0'!$B46:$AI46)=0,0,'04_L0'!AI46/SUM('04_L0'!$B46:$AI46))</f>
        <v>4.8072459162602872E-3</v>
      </c>
    </row>
    <row r="47" spans="1:35" x14ac:dyDescent="0.2">
      <c r="A47" s="12" t="s">
        <v>1411</v>
      </c>
      <c r="B47" s="8">
        <f>IF(SUM('04_L0'!$B47:$AI47)=0,0,'04_L0'!B47/SUM('04_L0'!$B47:$AI47))</f>
        <v>5.7550434753171134E-3</v>
      </c>
      <c r="C47" s="8">
        <f>IF(SUM('04_L0'!$B47:$AI47)=0,0,'04_L0'!C47/SUM('04_L0'!$B47:$AI47))</f>
        <v>3.3575427092800293E-2</v>
      </c>
      <c r="D47" s="8">
        <f>IF(SUM('04_L0'!$B47:$AI47)=0,0,'04_L0'!D47/SUM('04_L0'!$B47:$AI47))</f>
        <v>1.5372823521548428E-2</v>
      </c>
      <c r="E47" s="8">
        <f>IF(SUM('04_L0'!$B47:$AI47)=0,0,'04_L0'!E47/SUM('04_L0'!$B47:$AI47))</f>
        <v>1.2809528893703567E-2</v>
      </c>
      <c r="F47" s="8">
        <f>IF(SUM('04_L0'!$B47:$AI47)=0,0,'04_L0'!F47/SUM('04_L0'!$B47:$AI47))</f>
        <v>7.8903989729460881E-3</v>
      </c>
      <c r="G47" s="8">
        <f>IF(SUM('04_L0'!$B47:$AI47)=0,0,'04_L0'!G47/SUM('04_L0'!$B47:$AI47))</f>
        <v>1.2547383625295457E-2</v>
      </c>
      <c r="H47" s="8">
        <f>IF(SUM('04_L0'!$B47:$AI47)=0,0,'04_L0'!H47/SUM('04_L0'!$B47:$AI47))</f>
        <v>5.208184140558474E-3</v>
      </c>
      <c r="I47" s="8">
        <f>IF(SUM('04_L0'!$B47:$AI47)=0,0,'04_L0'!I47/SUM('04_L0'!$B47:$AI47))</f>
        <v>1.8024657279782783E-2</v>
      </c>
      <c r="J47" s="8">
        <f>IF(SUM('04_L0'!$B47:$AI47)=0,0,'04_L0'!J47/SUM('04_L0'!$B47:$AI47))</f>
        <v>4.8809365703933825E-3</v>
      </c>
      <c r="K47" s="8">
        <f>IF(SUM('04_L0'!$B47:$AI47)=0,0,'04_L0'!K47/SUM('04_L0'!$B47:$AI47))</f>
        <v>7.5414506355286695E-3</v>
      </c>
      <c r="L47" s="8">
        <f>IF(SUM('04_L0'!$B47:$AI47)=0,0,'04_L0'!L47/SUM('04_L0'!$B47:$AI47))</f>
        <v>8.2564475149583386E-2</v>
      </c>
      <c r="M47" s="8">
        <f>IF(SUM('04_L0'!$B47:$AI47)=0,0,'04_L0'!M47/SUM('04_L0'!$B47:$AI47))</f>
        <v>0.19222539632111232</v>
      </c>
      <c r="N47" s="8">
        <f>IF(SUM('04_L0'!$B47:$AI47)=0,0,'04_L0'!N47/SUM('04_L0'!$B47:$AI47))</f>
        <v>0.17036491142180823</v>
      </c>
      <c r="O47" s="8">
        <f>IF(SUM('04_L0'!$B47:$AI47)=0,0,'04_L0'!O47/SUM('04_L0'!$B47:$AI47))</f>
        <v>1.6634072114253672E-2</v>
      </c>
      <c r="P47" s="8">
        <f>IF(SUM('04_L0'!$B47:$AI47)=0,0,'04_L0'!P47/SUM('04_L0'!$B47:$AI47))</f>
        <v>0.15121094621421435</v>
      </c>
      <c r="Q47" s="8">
        <f>IF(SUM('04_L0'!$B47:$AI47)=0,0,'04_L0'!Q47/SUM('04_L0'!$B47:$AI47))</f>
        <v>5.9002650097696854E-2</v>
      </c>
      <c r="R47" s="8">
        <f>IF(SUM('04_L0'!$B47:$AI47)=0,0,'04_L0'!R47/SUM('04_L0'!$B47:$AI47))</f>
        <v>5.334656212105035E-2</v>
      </c>
      <c r="S47" s="8">
        <f>IF(SUM('04_L0'!$B47:$AI47)=0,0,'04_L0'!S47/SUM('04_L0'!$B47:$AI47))</f>
        <v>1.9884847048652253E-2</v>
      </c>
      <c r="T47" s="8">
        <f>IF(SUM('04_L0'!$B47:$AI47)=0,0,'04_L0'!T47/SUM('04_L0'!$B47:$AI47))</f>
        <v>1.7676576973055459E-2</v>
      </c>
      <c r="U47" s="8">
        <f>IF(SUM('04_L0'!$B47:$AI47)=0,0,'04_L0'!U47/SUM('04_L0'!$B47:$AI47))</f>
        <v>1.8533323264177327E-2</v>
      </c>
      <c r="V47" s="8">
        <f>IF(SUM('04_L0'!$B47:$AI47)=0,0,'04_L0'!V47/SUM('04_L0'!$B47:$AI47))</f>
        <v>5.4798777465576076E-3</v>
      </c>
      <c r="W47" s="8">
        <f>IF(SUM('04_L0'!$B47:$AI47)=0,0,'04_L0'!W47/SUM('04_L0'!$B47:$AI47))</f>
        <v>6.2654455210918438E-3</v>
      </c>
      <c r="X47" s="8">
        <f>IF(SUM('04_L0'!$B47:$AI47)=0,0,'04_L0'!X47/SUM('04_L0'!$B47:$AI47))</f>
        <v>1.1743587206269265E-2</v>
      </c>
      <c r="Y47" s="8">
        <f>IF(SUM('04_L0'!$B47:$AI47)=0,0,'04_L0'!Y47/SUM('04_L0'!$B47:$AI47))</f>
        <v>7.4216624002958252E-4</v>
      </c>
      <c r="Z47" s="8">
        <f>IF(SUM('04_L0'!$B47:$AI47)=0,0,'04_L0'!Z47/SUM('04_L0'!$B47:$AI47))</f>
        <v>9.3712593302448799E-3</v>
      </c>
      <c r="AA47" s="8">
        <f>IF(SUM('04_L0'!$B47:$AI47)=0,0,'04_L0'!AA47/SUM('04_L0'!$B47:$AI47))</f>
        <v>6.3331519149191036E-3</v>
      </c>
      <c r="AB47" s="8">
        <f>IF(SUM('04_L0'!$B47:$AI47)=0,0,'04_L0'!AB47/SUM('04_L0'!$B47:$AI47))</f>
        <v>2.652094167441384E-2</v>
      </c>
      <c r="AC47" s="8">
        <f>IF(SUM('04_L0'!$B47:$AI47)=0,0,'04_L0'!AC47/SUM('04_L0'!$B47:$AI47))</f>
        <v>7.8174843949782684E-3</v>
      </c>
      <c r="AD47" s="8">
        <f>IF(SUM('04_L0'!$B47:$AI47)=0,0,'04_L0'!AD47/SUM('04_L0'!$B47:$AI47))</f>
        <v>3.8991938598981106E-3</v>
      </c>
      <c r="AE47" s="8">
        <f>IF(SUM('04_L0'!$B47:$AI47)=0,0,'04_L0'!AE47/SUM('04_L0'!$B47:$AI47))</f>
        <v>2.8401964179845542E-3</v>
      </c>
      <c r="AF47" s="8">
        <f>IF(SUM('04_L0'!$B47:$AI47)=0,0,'04_L0'!AF47/SUM('04_L0'!$B47:$AI47))</f>
        <v>5.4095672606600679E-3</v>
      </c>
      <c r="AG47" s="8">
        <f>IF(SUM('04_L0'!$B47:$AI47)=0,0,'04_L0'!AG47/SUM('04_L0'!$B47:$AI47))</f>
        <v>2.2950731446061009E-3</v>
      </c>
      <c r="AH47" s="8">
        <f>IF(SUM('04_L0'!$B47:$AI47)=0,0,'04_L0'!AH47/SUM('04_L0'!$B47:$AI47))</f>
        <v>6.8661227586362542E-4</v>
      </c>
      <c r="AI47" s="8">
        <f>IF(SUM('04_L0'!$B47:$AI47)=0,0,'04_L0'!AI47/SUM('04_L0'!$B47:$AI47))</f>
        <v>5.5458480790046812E-3</v>
      </c>
    </row>
    <row r="48" spans="1:35" x14ac:dyDescent="0.2">
      <c r="A48" s="12" t="s">
        <v>1412</v>
      </c>
      <c r="B48" s="8">
        <f>IF(SUM('04_L0'!$B48:$AI48)=0,0,'04_L0'!B48/SUM('04_L0'!$B48:$AI48))</f>
        <v>2.2901275380649861E-3</v>
      </c>
      <c r="C48" s="8">
        <f>IF(SUM('04_L0'!$B48:$AI48)=0,0,'04_L0'!C48/SUM('04_L0'!$B48:$AI48))</f>
        <v>7.965619340558254E-2</v>
      </c>
      <c r="D48" s="8">
        <f>IF(SUM('04_L0'!$B48:$AI48)=0,0,'04_L0'!D48/SUM('04_L0'!$B48:$AI48))</f>
        <v>4.3790304807351408E-3</v>
      </c>
      <c r="E48" s="8">
        <f>IF(SUM('04_L0'!$B48:$AI48)=0,0,'04_L0'!E48/SUM('04_L0'!$B48:$AI48))</f>
        <v>5.845095390040341E-3</v>
      </c>
      <c r="F48" s="8">
        <f>IF(SUM('04_L0'!$B48:$AI48)=0,0,'04_L0'!F48/SUM('04_L0'!$B48:$AI48))</f>
        <v>9.5821235902300676E-3</v>
      </c>
      <c r="G48" s="8">
        <f>IF(SUM('04_L0'!$B48:$AI48)=0,0,'04_L0'!G48/SUM('04_L0'!$B48:$AI48))</f>
        <v>2.0563237224633723E-2</v>
      </c>
      <c r="H48" s="8">
        <f>IF(SUM('04_L0'!$B48:$AI48)=0,0,'04_L0'!H48/SUM('04_L0'!$B48:$AI48))</f>
        <v>4.5035980874081314E-4</v>
      </c>
      <c r="I48" s="8">
        <f>IF(SUM('04_L0'!$B48:$AI48)=0,0,'04_L0'!I48/SUM('04_L0'!$B48:$AI48))</f>
        <v>2.6092122536196471E-2</v>
      </c>
      <c r="J48" s="8">
        <f>IF(SUM('04_L0'!$B48:$AI48)=0,0,'04_L0'!J48/SUM('04_L0'!$B48:$AI48))</f>
        <v>2.9704583129713208E-3</v>
      </c>
      <c r="K48" s="8">
        <f>IF(SUM('04_L0'!$B48:$AI48)=0,0,'04_L0'!K48/SUM('04_L0'!$B48:$AI48))</f>
        <v>1.1038606375945037E-2</v>
      </c>
      <c r="L48" s="8">
        <f>IF(SUM('04_L0'!$B48:$AI48)=0,0,'04_L0'!L48/SUM('04_L0'!$B48:$AI48))</f>
        <v>0.24119163288968101</v>
      </c>
      <c r="M48" s="8">
        <f>IF(SUM('04_L0'!$B48:$AI48)=0,0,'04_L0'!M48/SUM('04_L0'!$B48:$AI48))</f>
        <v>0.30223934228303678</v>
      </c>
      <c r="N48" s="8">
        <f>IF(SUM('04_L0'!$B48:$AI48)=0,0,'04_L0'!N48/SUM('04_L0'!$B48:$AI48))</f>
        <v>6.8943379231705335E-2</v>
      </c>
      <c r="O48" s="8">
        <f>IF(SUM('04_L0'!$B48:$AI48)=0,0,'04_L0'!O48/SUM('04_L0'!$B48:$AI48))</f>
        <v>2.8219353973227546E-2</v>
      </c>
      <c r="P48" s="8">
        <f>IF(SUM('04_L0'!$B48:$AI48)=0,0,'04_L0'!P48/SUM('04_L0'!$B48:$AI48))</f>
        <v>5.7483159417790169E-2</v>
      </c>
      <c r="Q48" s="8">
        <f>IF(SUM('04_L0'!$B48:$AI48)=0,0,'04_L0'!Q48/SUM('04_L0'!$B48:$AI48))</f>
        <v>5.7128620844951655E-2</v>
      </c>
      <c r="R48" s="8">
        <f>IF(SUM('04_L0'!$B48:$AI48)=0,0,'04_L0'!R48/SUM('04_L0'!$B48:$AI48))</f>
        <v>1.4775634576134762E-2</v>
      </c>
      <c r="S48" s="8">
        <f>IF(SUM('04_L0'!$B48:$AI48)=0,0,'04_L0'!S48/SUM('04_L0'!$B48:$AI48))</f>
        <v>8.2693726583685477E-3</v>
      </c>
      <c r="T48" s="8">
        <f>IF(SUM('04_L0'!$B48:$AI48)=0,0,'04_L0'!T48/SUM('04_L0'!$B48:$AI48))</f>
        <v>1.0569082320023763E-2</v>
      </c>
      <c r="U48" s="8">
        <f>IF(SUM('04_L0'!$B48:$AI48)=0,0,'04_L0'!U48/SUM('04_L0'!$B48:$AI48))</f>
        <v>8.163969298876016E-3</v>
      </c>
      <c r="V48" s="8">
        <f>IF(SUM('04_L0'!$B48:$AI48)=0,0,'04_L0'!V48/SUM('04_L0'!$B48:$AI48))</f>
        <v>0</v>
      </c>
      <c r="W48" s="8">
        <f>IF(SUM('04_L0'!$B48:$AI48)=0,0,'04_L0'!W48/SUM('04_L0'!$B48:$AI48))</f>
        <v>4.5323444581788219E-3</v>
      </c>
      <c r="X48" s="8">
        <f>IF(SUM('04_L0'!$B48:$AI48)=0,0,'04_L0'!X48/SUM('04_L0'!$B48:$AI48))</f>
        <v>2.0122459539483142E-3</v>
      </c>
      <c r="Y48" s="8">
        <f>IF(SUM('04_L0'!$B48:$AI48)=0,0,'04_L0'!Y48/SUM('04_L0'!$B48:$AI48))</f>
        <v>0</v>
      </c>
      <c r="Z48" s="8">
        <f>IF(SUM('04_L0'!$B48:$AI48)=0,0,'04_L0'!Z48/SUM('04_L0'!$B48:$AI48))</f>
        <v>6.3242015695518438E-3</v>
      </c>
      <c r="AA48" s="8">
        <f>IF(SUM('04_L0'!$B48:$AI48)=0,0,'04_L0'!AA48/SUM('04_L0'!$B48:$AI48))</f>
        <v>2.0984850662603845E-3</v>
      </c>
      <c r="AB48" s="8">
        <f>IF(SUM('04_L0'!$B48:$AI48)=0,0,'04_L0'!AB48/SUM('04_L0'!$B48:$AI48))</f>
        <v>1.2150132712411724E-2</v>
      </c>
      <c r="AC48" s="8">
        <f>IF(SUM('04_L0'!$B48:$AI48)=0,0,'04_L0'!AC48/SUM('04_L0'!$B48:$AI48))</f>
        <v>8.0585659393834861E-3</v>
      </c>
      <c r="AD48" s="8">
        <f>IF(SUM('04_L0'!$B48:$AI48)=0,0,'04_L0'!AD48/SUM('04_L0'!$B48:$AI48))</f>
        <v>1.0923620892862277E-3</v>
      </c>
      <c r="AE48" s="8">
        <f>IF(SUM('04_L0'!$B48:$AI48)=0,0,'04_L0'!AE48/SUM('04_L0'!$B48:$AI48))</f>
        <v>0</v>
      </c>
      <c r="AF48" s="8">
        <f>IF(SUM('04_L0'!$B48:$AI48)=0,0,'04_L0'!AF48/SUM('04_L0'!$B48:$AI48))</f>
        <v>1.4948112800758904E-3</v>
      </c>
      <c r="AG48" s="8">
        <f>IF(SUM('04_L0'!$B48:$AI48)=0,0,'04_L0'!AG48/SUM('04_L0'!$B48:$AI48))</f>
        <v>2.3859487739672867E-3</v>
      </c>
      <c r="AH48" s="8">
        <f>IF(SUM('04_L0'!$B48:$AI48)=0,0,'04_L0'!AH48/SUM('04_L0'!$B48:$AI48))</f>
        <v>0</v>
      </c>
      <c r="AI48" s="8">
        <f>IF(SUM('04_L0'!$B48:$AI48)=0,0,'04_L0'!AI48/SUM('04_L0'!$B48:$AI48))</f>
        <v>0</v>
      </c>
    </row>
    <row r="49" spans="1:35" x14ac:dyDescent="0.2">
      <c r="A49" s="12" t="s">
        <v>1413</v>
      </c>
      <c r="B49" s="8">
        <f>IF(SUM('04_L0'!$B49:$AI49)=0,0,'04_L0'!B49/SUM('04_L0'!$B49:$AI49))</f>
        <v>0</v>
      </c>
      <c r="C49" s="8">
        <f>IF(SUM('04_L0'!$B49:$AI49)=0,0,'04_L0'!C49/SUM('04_L0'!$B49:$AI49))</f>
        <v>0</v>
      </c>
      <c r="D49" s="8">
        <f>IF(SUM('04_L0'!$B49:$AI49)=0,0,'04_L0'!D49/SUM('04_L0'!$B49:$AI49))</f>
        <v>0</v>
      </c>
      <c r="E49" s="8">
        <f>IF(SUM('04_L0'!$B49:$AI49)=0,0,'04_L0'!E49/SUM('04_L0'!$B49:$AI49))</f>
        <v>0.10807836231565045</v>
      </c>
      <c r="F49" s="8">
        <f>IF(SUM('04_L0'!$B49:$AI49)=0,0,'04_L0'!F49/SUM('04_L0'!$B49:$AI49))</f>
        <v>0</v>
      </c>
      <c r="G49" s="8">
        <f>IF(SUM('04_L0'!$B49:$AI49)=0,0,'04_L0'!G49/SUM('04_L0'!$B49:$AI49))</f>
        <v>0</v>
      </c>
      <c r="H49" s="8">
        <f>IF(SUM('04_L0'!$B49:$AI49)=0,0,'04_L0'!H49/SUM('04_L0'!$B49:$AI49))</f>
        <v>0</v>
      </c>
      <c r="I49" s="8">
        <f>IF(SUM('04_L0'!$B49:$AI49)=0,0,'04_L0'!I49/SUM('04_L0'!$B49:$AI49))</f>
        <v>0</v>
      </c>
      <c r="J49" s="8">
        <f>IF(SUM('04_L0'!$B49:$AI49)=0,0,'04_L0'!J49/SUM('04_L0'!$B49:$AI49))</f>
        <v>0</v>
      </c>
      <c r="K49" s="8">
        <f>IF(SUM('04_L0'!$B49:$AI49)=0,0,'04_L0'!K49/SUM('04_L0'!$B49:$AI49))</f>
        <v>0</v>
      </c>
      <c r="L49" s="8">
        <f>IF(SUM('04_L0'!$B49:$AI49)=0,0,'04_L0'!L49/SUM('04_L0'!$B49:$AI49))</f>
        <v>0</v>
      </c>
      <c r="M49" s="8">
        <f>IF(SUM('04_L0'!$B49:$AI49)=0,0,'04_L0'!M49/SUM('04_L0'!$B49:$AI49))</f>
        <v>0.36319612590799033</v>
      </c>
      <c r="N49" s="8">
        <f>IF(SUM('04_L0'!$B49:$AI49)=0,0,'04_L0'!N49/SUM('04_L0'!$B49:$AI49))</f>
        <v>0.27756988773937924</v>
      </c>
      <c r="O49" s="8">
        <f>IF(SUM('04_L0'!$B49:$AI49)=0,0,'04_L0'!O49/SUM('04_L0'!$B49:$AI49))</f>
        <v>0</v>
      </c>
      <c r="P49" s="8">
        <f>IF(SUM('04_L0'!$B49:$AI49)=0,0,'04_L0'!P49/SUM('04_L0'!$B49:$AI49))</f>
        <v>0.11732335461149021</v>
      </c>
      <c r="Q49" s="8">
        <f>IF(SUM('04_L0'!$B49:$AI49)=0,0,'04_L0'!Q49/SUM('04_L0'!$B49:$AI49))</f>
        <v>0.10785824345146379</v>
      </c>
      <c r="R49" s="8">
        <f>IF(SUM('04_L0'!$B49:$AI49)=0,0,'04_L0'!R49/SUM('04_L0'!$B49:$AI49))</f>
        <v>0</v>
      </c>
      <c r="S49" s="8">
        <f>IF(SUM('04_L0'!$B49:$AI49)=0,0,'04_L0'!S49/SUM('04_L0'!$B49:$AI49))</f>
        <v>0</v>
      </c>
      <c r="T49" s="8">
        <f>IF(SUM('04_L0'!$B49:$AI49)=0,0,'04_L0'!T49/SUM('04_L0'!$B49:$AI49))</f>
        <v>0</v>
      </c>
      <c r="U49" s="8">
        <f>IF(SUM('04_L0'!$B49:$AI49)=0,0,'04_L0'!U49/SUM('04_L0'!$B49:$AI49))</f>
        <v>0</v>
      </c>
      <c r="V49" s="8">
        <f>IF(SUM('04_L0'!$B49:$AI49)=0,0,'04_L0'!V49/SUM('04_L0'!$B49:$AI49))</f>
        <v>0</v>
      </c>
      <c r="W49" s="8">
        <f>IF(SUM('04_L0'!$B49:$AI49)=0,0,'04_L0'!W49/SUM('04_L0'!$B49:$AI49))</f>
        <v>0</v>
      </c>
      <c r="X49" s="8">
        <f>IF(SUM('04_L0'!$B49:$AI49)=0,0,'04_L0'!X49/SUM('04_L0'!$B49:$AI49))</f>
        <v>0</v>
      </c>
      <c r="Y49" s="8">
        <f>IF(SUM('04_L0'!$B49:$AI49)=0,0,'04_L0'!Y49/SUM('04_L0'!$B49:$AI49))</f>
        <v>0</v>
      </c>
      <c r="Z49" s="8">
        <f>IF(SUM('04_L0'!$B49:$AI49)=0,0,'04_L0'!Z49/SUM('04_L0'!$B49:$AI49))</f>
        <v>0</v>
      </c>
      <c r="AA49" s="8">
        <f>IF(SUM('04_L0'!$B49:$AI49)=0,0,'04_L0'!AA49/SUM('04_L0'!$B49:$AI49))</f>
        <v>0</v>
      </c>
      <c r="AB49" s="8">
        <f>IF(SUM('04_L0'!$B49:$AI49)=0,0,'04_L0'!AB49/SUM('04_L0'!$B49:$AI49))</f>
        <v>0</v>
      </c>
      <c r="AC49" s="8">
        <f>IF(SUM('04_L0'!$B49:$AI49)=0,0,'04_L0'!AC49/SUM('04_L0'!$B49:$AI49))</f>
        <v>0</v>
      </c>
      <c r="AD49" s="8">
        <f>IF(SUM('04_L0'!$B49:$AI49)=0,0,'04_L0'!AD49/SUM('04_L0'!$B49:$AI49))</f>
        <v>0</v>
      </c>
      <c r="AE49" s="8">
        <f>IF(SUM('04_L0'!$B49:$AI49)=0,0,'04_L0'!AE49/SUM('04_L0'!$B49:$AI49))</f>
        <v>0</v>
      </c>
      <c r="AF49" s="8">
        <f>IF(SUM('04_L0'!$B49:$AI49)=0,0,'04_L0'!AF49/SUM('04_L0'!$B49:$AI49))</f>
        <v>0</v>
      </c>
      <c r="AG49" s="8">
        <f>IF(SUM('04_L0'!$B49:$AI49)=0,0,'04_L0'!AG49/SUM('04_L0'!$B49:$AI49))</f>
        <v>2.5974025974025976E-2</v>
      </c>
      <c r="AH49" s="8">
        <f>IF(SUM('04_L0'!$B49:$AI49)=0,0,'04_L0'!AH49/SUM('04_L0'!$B49:$AI49))</f>
        <v>0</v>
      </c>
      <c r="AI49" s="8">
        <f>IF(SUM('04_L0'!$B49:$AI49)=0,0,'04_L0'!AI49/SUM('04_L0'!$B49:$AI49))</f>
        <v>0</v>
      </c>
    </row>
    <row r="50" spans="1:35" x14ac:dyDescent="0.2">
      <c r="A50" s="12" t="s">
        <v>1414</v>
      </c>
      <c r="B50" s="8">
        <f>IF(SUM('04_L0'!$B50:$AI50)=0,0,'04_L0'!B50/SUM('04_L0'!$B50:$AI50))</f>
        <v>1.2362419222828942E-2</v>
      </c>
      <c r="C50" s="8">
        <f>IF(SUM('04_L0'!$B50:$AI50)=0,0,'04_L0'!C50/SUM('04_L0'!$B50:$AI50))</f>
        <v>4.5997483539170055E-2</v>
      </c>
      <c r="D50" s="8">
        <f>IF(SUM('04_L0'!$B50:$AI50)=0,0,'04_L0'!D50/SUM('04_L0'!$B50:$AI50))</f>
        <v>8.3043207388133547E-3</v>
      </c>
      <c r="E50" s="8">
        <f>IF(SUM('04_L0'!$B50:$AI50)=0,0,'04_L0'!E50/SUM('04_L0'!$B50:$AI50))</f>
        <v>2.1450996200877096E-2</v>
      </c>
      <c r="F50" s="8">
        <f>IF(SUM('04_L0'!$B50:$AI50)=0,0,'04_L0'!F50/SUM('04_L0'!$B50:$AI50))</f>
        <v>1.7358693394901113E-2</v>
      </c>
      <c r="G50" s="8">
        <f>IF(SUM('04_L0'!$B50:$AI50)=0,0,'04_L0'!G50/SUM('04_L0'!$B50:$AI50))</f>
        <v>2.6865051734036964E-2</v>
      </c>
      <c r="H50" s="8">
        <f>IF(SUM('04_L0'!$B50:$AI50)=0,0,'04_L0'!H50/SUM('04_L0'!$B50:$AI50))</f>
        <v>3.2152062642772507E-3</v>
      </c>
      <c r="I50" s="8">
        <f>IF(SUM('04_L0'!$B50:$AI50)=0,0,'04_L0'!I50/SUM('04_L0'!$B50:$AI50))</f>
        <v>3.6168627307264757E-2</v>
      </c>
      <c r="J50" s="8">
        <f>IF(SUM('04_L0'!$B50:$AI50)=0,0,'04_L0'!J50/SUM('04_L0'!$B50:$AI50))</f>
        <v>4.0556553181612734E-3</v>
      </c>
      <c r="K50" s="8">
        <f>IF(SUM('04_L0'!$B50:$AI50)=0,0,'04_L0'!K50/SUM('04_L0'!$B50:$AI50))</f>
        <v>8.0209134997129283E-3</v>
      </c>
      <c r="L50" s="8">
        <f>IF(SUM('04_L0'!$B50:$AI50)=0,0,'04_L0'!L50/SUM('04_L0'!$B50:$AI50))</f>
        <v>0.11275943367415497</v>
      </c>
      <c r="M50" s="8">
        <f>IF(SUM('04_L0'!$B50:$AI50)=0,0,'04_L0'!M50/SUM('04_L0'!$B50:$AI50))</f>
        <v>0.18041069618011019</v>
      </c>
      <c r="N50" s="8">
        <f>IF(SUM('04_L0'!$B50:$AI50)=0,0,'04_L0'!N50/SUM('04_L0'!$B50:$AI50))</f>
        <v>0.10110797571493141</v>
      </c>
      <c r="O50" s="8">
        <f>IF(SUM('04_L0'!$B50:$AI50)=0,0,'04_L0'!O50/SUM('04_L0'!$B50:$AI50))</f>
        <v>1.4910641208878465E-2</v>
      </c>
      <c r="P50" s="8">
        <f>IF(SUM('04_L0'!$B50:$AI50)=0,0,'04_L0'!P50/SUM('04_L0'!$B50:$AI50))</f>
        <v>0.11760423156325968</v>
      </c>
      <c r="Q50" s="8">
        <f>IF(SUM('04_L0'!$B50:$AI50)=0,0,'04_L0'!Q50/SUM('04_L0'!$B50:$AI50))</f>
        <v>5.8726377640146099E-2</v>
      </c>
      <c r="R50" s="8">
        <f>IF(SUM('04_L0'!$B50:$AI50)=0,0,'04_L0'!R50/SUM('04_L0'!$B50:$AI50))</f>
        <v>2.5223244279937943E-2</v>
      </c>
      <c r="S50" s="8">
        <f>IF(SUM('04_L0'!$B50:$AI50)=0,0,'04_L0'!S50/SUM('04_L0'!$B50:$AI50))</f>
        <v>2.7319480582939374E-2</v>
      </c>
      <c r="T50" s="8">
        <f>IF(SUM('04_L0'!$B50:$AI50)=0,0,'04_L0'!T50/SUM('04_L0'!$B50:$AI50))</f>
        <v>1.2438157364312676E-2</v>
      </c>
      <c r="U50" s="8">
        <f>IF(SUM('04_L0'!$B50:$AI50)=0,0,'04_L0'!U50/SUM('04_L0'!$B50:$AI50))</f>
        <v>1.7818008575512148E-2</v>
      </c>
      <c r="V50" s="8">
        <f>IF(SUM('04_L0'!$B50:$AI50)=0,0,'04_L0'!V50/SUM('04_L0'!$B50:$AI50))</f>
        <v>1.2594519978988774E-2</v>
      </c>
      <c r="W50" s="8">
        <f>IF(SUM('04_L0'!$B50:$AI50)=0,0,'04_L0'!W50/SUM('04_L0'!$B50:$AI50))</f>
        <v>1.1099302476148593E-2</v>
      </c>
      <c r="X50" s="8">
        <f>IF(SUM('04_L0'!$B50:$AI50)=0,0,'04_L0'!X50/SUM('04_L0'!$B50:$AI50))</f>
        <v>1.921549944417977E-2</v>
      </c>
      <c r="Y50" s="8">
        <f>IF(SUM('04_L0'!$B50:$AI50)=0,0,'04_L0'!Y50/SUM('04_L0'!$B50:$AI50))</f>
        <v>1.6711254443507898E-3</v>
      </c>
      <c r="Z50" s="8">
        <f>IF(SUM('04_L0'!$B50:$AI50)=0,0,'04_L0'!Z50/SUM('04_L0'!$B50:$AI50))</f>
        <v>1.4001783511073649E-2</v>
      </c>
      <c r="AA50" s="8">
        <f>IF(SUM('04_L0'!$B50:$AI50)=0,0,'04_L0'!AA50/SUM('04_L0'!$B50:$AI50))</f>
        <v>1.0559362822345195E-2</v>
      </c>
      <c r="AB50" s="8">
        <f>IF(SUM('04_L0'!$B50:$AI50)=0,0,'04_L0'!AB50/SUM('04_L0'!$B50:$AI50))</f>
        <v>4.5269420114584479E-2</v>
      </c>
      <c r="AC50" s="8">
        <f>IF(SUM('04_L0'!$B50:$AI50)=0,0,'04_L0'!AC50/SUM('04_L0'!$B50:$AI50))</f>
        <v>1.0801236241922283E-2</v>
      </c>
      <c r="AD50" s="8">
        <f>IF(SUM('04_L0'!$B50:$AI50)=0,0,'04_L0'!AD50/SUM('04_L0'!$B50:$AI50))</f>
        <v>8.6488071242716309E-3</v>
      </c>
      <c r="AE50" s="8">
        <f>IF(SUM('04_L0'!$B50:$AI50)=0,0,'04_L0'!AE50/SUM('04_L0'!$B50:$AI50))</f>
        <v>3.9432696888628289E-3</v>
      </c>
      <c r="AF50" s="8">
        <f>IF(SUM('04_L0'!$B50:$AI50)=0,0,'04_L0'!AF50/SUM('04_L0'!$B50:$AI50))</f>
        <v>4.8374683915417601E-3</v>
      </c>
      <c r="AG50" s="8">
        <f>IF(SUM('04_L0'!$B50:$AI50)=0,0,'04_L0'!AG50/SUM('04_L0'!$B50:$AI50))</f>
        <v>1.0285728246662025E-3</v>
      </c>
      <c r="AH50" s="8">
        <f>IF(SUM('04_L0'!$B50:$AI50)=0,0,'04_L0'!AH50/SUM('04_L0'!$B50:$AI50))</f>
        <v>8.7221020999010516E-4</v>
      </c>
      <c r="AI50" s="8">
        <f>IF(SUM('04_L0'!$B50:$AI50)=0,0,'04_L0'!AI50/SUM('04_L0'!$B50:$AI50))</f>
        <v>3.3398077228472653E-3</v>
      </c>
    </row>
    <row r="51" spans="1:35" x14ac:dyDescent="0.2">
      <c r="A51" s="12" t="s">
        <v>1415</v>
      </c>
      <c r="B51" s="8">
        <f>IF(SUM('04_L0'!$B51:$AI51)=0,0,'04_L0'!B51/SUM('04_L0'!$B51:$AI51))</f>
        <v>3.8234353458167173E-3</v>
      </c>
      <c r="C51" s="8">
        <f>IF(SUM('04_L0'!$B51:$AI51)=0,0,'04_L0'!C51/SUM('04_L0'!$B51:$AI51))</f>
        <v>1.7413254455404398E-2</v>
      </c>
      <c r="D51" s="8">
        <f>IF(SUM('04_L0'!$B51:$AI51)=0,0,'04_L0'!D51/SUM('04_L0'!$B51:$AI51))</f>
        <v>6.3910637136832364E-3</v>
      </c>
      <c r="E51" s="8">
        <f>IF(SUM('04_L0'!$B51:$AI51)=0,0,'04_L0'!E51/SUM('04_L0'!$B51:$AI51))</f>
        <v>1.8613047021388471E-2</v>
      </c>
      <c r="F51" s="8">
        <f>IF(SUM('04_L0'!$B51:$AI51)=0,0,'04_L0'!F51/SUM('04_L0'!$B51:$AI51))</f>
        <v>5.6411933599431908E-3</v>
      </c>
      <c r="G51" s="8">
        <f>IF(SUM('04_L0'!$B51:$AI51)=0,0,'04_L0'!G51/SUM('04_L0'!$B51:$AI51))</f>
        <v>1.5622600189003468E-2</v>
      </c>
      <c r="H51" s="8">
        <f>IF(SUM('04_L0'!$B51:$AI51)=0,0,'04_L0'!H51/SUM('04_L0'!$B51:$AI51))</f>
        <v>4.5154843710756036E-3</v>
      </c>
      <c r="I51" s="8">
        <f>IF(SUM('04_L0'!$B51:$AI51)=0,0,'04_L0'!I51/SUM('04_L0'!$B51:$AI51))</f>
        <v>9.8603434225528475E-3</v>
      </c>
      <c r="J51" s="8">
        <f>IF(SUM('04_L0'!$B51:$AI51)=0,0,'04_L0'!J51/SUM('04_L0'!$B51:$AI51))</f>
        <v>2.4122335475734013E-3</v>
      </c>
      <c r="K51" s="8">
        <f>IF(SUM('04_L0'!$B51:$AI51)=0,0,'04_L0'!K51/SUM('04_L0'!$B51:$AI51))</f>
        <v>9.2965854698615364E-3</v>
      </c>
      <c r="L51" s="8">
        <f>IF(SUM('04_L0'!$B51:$AI51)=0,0,'04_L0'!L51/SUM('04_L0'!$B51:$AI51))</f>
        <v>0.25768436420932045</v>
      </c>
      <c r="M51" s="8">
        <f>IF(SUM('04_L0'!$B51:$AI51)=0,0,'04_L0'!M51/SUM('04_L0'!$B51:$AI51))</f>
        <v>0.28236142305517059</v>
      </c>
      <c r="N51" s="8">
        <f>IF(SUM('04_L0'!$B51:$AI51)=0,0,'04_L0'!N51/SUM('04_L0'!$B51:$AI51))</f>
        <v>5.1688653829127136E-2</v>
      </c>
      <c r="O51" s="8">
        <f>IF(SUM('04_L0'!$B51:$AI51)=0,0,'04_L0'!O51/SUM('04_L0'!$B51:$AI51))</f>
        <v>1.0702366518559743E-2</v>
      </c>
      <c r="P51" s="8">
        <f>IF(SUM('04_L0'!$B51:$AI51)=0,0,'04_L0'!P51/SUM('04_L0'!$B51:$AI51))</f>
        <v>8.2131583274457964E-2</v>
      </c>
      <c r="Q51" s="8">
        <f>IF(SUM('04_L0'!$B51:$AI51)=0,0,'04_L0'!Q51/SUM('04_L0'!$B51:$AI51))</f>
        <v>0.12420021357753208</v>
      </c>
      <c r="R51" s="8">
        <f>IF(SUM('04_L0'!$B51:$AI51)=0,0,'04_L0'!R51/SUM('04_L0'!$B51:$AI51))</f>
        <v>9.1357699000233095E-3</v>
      </c>
      <c r="S51" s="8">
        <f>IF(SUM('04_L0'!$B51:$AI51)=0,0,'04_L0'!S51/SUM('04_L0'!$B51:$AI51))</f>
        <v>5.319562220266737E-3</v>
      </c>
      <c r="T51" s="8">
        <f>IF(SUM('04_L0'!$B51:$AI51)=0,0,'04_L0'!T51/SUM('04_L0'!$B51:$AI51))</f>
        <v>2.3489914695471324E-3</v>
      </c>
      <c r="U51" s="8">
        <f>IF(SUM('04_L0'!$B51:$AI51)=0,0,'04_L0'!U51/SUM('04_L0'!$B51:$AI51))</f>
        <v>7.5041242869455706E-3</v>
      </c>
      <c r="V51" s="8">
        <f>IF(SUM('04_L0'!$B51:$AI51)=0,0,'04_L0'!V51/SUM('04_L0'!$B51:$AI51))</f>
        <v>5.1045391549774223E-3</v>
      </c>
      <c r="W51" s="8">
        <f>IF(SUM('04_L0'!$B51:$AI51)=0,0,'04_L0'!W51/SUM('04_L0'!$B51:$AI51))</f>
        <v>7.4914758713403168E-3</v>
      </c>
      <c r="X51" s="8">
        <f>IF(SUM('04_L0'!$B51:$AI51)=0,0,'04_L0'!X51/SUM('04_L0'!$B51:$AI51))</f>
        <v>2.3305609210937626E-2</v>
      </c>
      <c r="Y51" s="8">
        <f>IF(SUM('04_L0'!$B51:$AI51)=0,0,'04_L0'!Y51/SUM('04_L0'!$B51:$AI51))</f>
        <v>3.1819799829788465E-3</v>
      </c>
      <c r="Z51" s="8">
        <f>IF(SUM('04_L0'!$B51:$AI51)=0,0,'04_L0'!Z51/SUM('04_L0'!$B51:$AI51))</f>
        <v>7.7227611852649569E-3</v>
      </c>
      <c r="AA51" s="8">
        <f>IF(SUM('04_L0'!$B51:$AI51)=0,0,'04_L0'!AA51/SUM('04_L0'!$B51:$AI51))</f>
        <v>2.3020116401561899E-3</v>
      </c>
      <c r="AB51" s="8">
        <f>IF(SUM('04_L0'!$B51:$AI51)=0,0,'04_L0'!AB51/SUM('04_L0'!$B51:$AI51))</f>
        <v>1.6406801956529202E-2</v>
      </c>
      <c r="AC51" s="8">
        <f>IF(SUM('04_L0'!$B51:$AI51)=0,0,'04_L0'!AC51/SUM('04_L0'!$B51:$AI51))</f>
        <v>3.5867292823469677E-3</v>
      </c>
      <c r="AD51" s="8">
        <f>IF(SUM('04_L0'!$B51:$AI51)=0,0,'04_L0'!AD51/SUM('04_L0'!$B51:$AI51))</f>
        <v>1.2106340650742913E-4</v>
      </c>
      <c r="AE51" s="8">
        <f>IF(SUM('04_L0'!$B51:$AI51)=0,0,'04_L0'!AE51/SUM('04_L0'!$B51:$AI51))</f>
        <v>1.2883314752208503E-3</v>
      </c>
      <c r="AF51" s="8">
        <f>IF(SUM('04_L0'!$B51:$AI51)=0,0,'04_L0'!AF51/SUM('04_L0'!$B51:$AI51))</f>
        <v>1.7057291901942254E-3</v>
      </c>
      <c r="AG51" s="8">
        <f>IF(SUM('04_L0'!$B51:$AI51)=0,0,'04_L0'!AG51/SUM('04_L0'!$B51:$AI51))</f>
        <v>3.523487204320699E-4</v>
      </c>
      <c r="AH51" s="8">
        <f>IF(SUM('04_L0'!$B51:$AI51)=0,0,'04_L0'!AH51/SUM('04_L0'!$B51:$AI51))</f>
        <v>2.2044381483442321E-4</v>
      </c>
      <c r="AI51" s="8">
        <f>IF(SUM('04_L0'!$B51:$AI51)=0,0,'04_L0'!AI51/SUM('04_L0'!$B51:$AI51))</f>
        <v>5.4388187102591304E-4</v>
      </c>
    </row>
    <row r="52" spans="1:35" x14ac:dyDescent="0.2">
      <c r="A52" s="12" t="s">
        <v>1416</v>
      </c>
      <c r="B52" s="8">
        <f>IF(SUM('04_L0'!$B52:$AI52)=0,0,'04_L0'!B52/SUM('04_L0'!$B52:$AI52))</f>
        <v>1.6780083289385149E-2</v>
      </c>
      <c r="C52" s="8">
        <f>IF(SUM('04_L0'!$B52:$AI52)=0,0,'04_L0'!C52/SUM('04_L0'!$B52:$AI52))</f>
        <v>5.1885286148138719E-2</v>
      </c>
      <c r="D52" s="8">
        <f>IF(SUM('04_L0'!$B52:$AI52)=0,0,'04_L0'!D52/SUM('04_L0'!$B52:$AI52))</f>
        <v>2.0901634872429031E-2</v>
      </c>
      <c r="E52" s="8">
        <f>IF(SUM('04_L0'!$B52:$AI52)=0,0,'04_L0'!E52/SUM('04_L0'!$B52:$AI52))</f>
        <v>2.5631671788903236E-2</v>
      </c>
      <c r="F52" s="8">
        <f>IF(SUM('04_L0'!$B52:$AI52)=0,0,'04_L0'!F52/SUM('04_L0'!$B52:$AI52))</f>
        <v>1.0082016403280656E-2</v>
      </c>
      <c r="G52" s="8">
        <f>IF(SUM('04_L0'!$B52:$AI52)=0,0,'04_L0'!G52/SUM('04_L0'!$B52:$AI52))</f>
        <v>2.1284620560475732E-2</v>
      </c>
      <c r="H52" s="8">
        <f>IF(SUM('04_L0'!$B52:$AI52)=0,0,'04_L0'!H52/SUM('04_L0'!$B52:$AI52))</f>
        <v>7.1767080688865045E-3</v>
      </c>
      <c r="I52" s="8">
        <f>IF(SUM('04_L0'!$B52:$AI52)=0,0,'04_L0'!I52/SUM('04_L0'!$B52:$AI52))</f>
        <v>2.0001091127316371E-2</v>
      </c>
      <c r="J52" s="8">
        <f>IF(SUM('04_L0'!$B52:$AI52)=0,0,'04_L0'!J52/SUM('04_L0'!$B52:$AI52))</f>
        <v>5.0864718398225097E-3</v>
      </c>
      <c r="K52" s="8">
        <f>IF(SUM('04_L0'!$B52:$AI52)=0,0,'04_L0'!K52/SUM('04_L0'!$B52:$AI52))</f>
        <v>1.2099147102147703E-2</v>
      </c>
      <c r="L52" s="8">
        <f>IF(SUM('04_L0'!$B52:$AI52)=0,0,'04_L0'!L52/SUM('04_L0'!$B52:$AI52))</f>
        <v>8.6421284256851374E-2</v>
      </c>
      <c r="M52" s="8">
        <f>IF(SUM('04_L0'!$B52:$AI52)=0,0,'04_L0'!M52/SUM('04_L0'!$B52:$AI52))</f>
        <v>0.19819527541872012</v>
      </c>
      <c r="N52" s="8">
        <f>IF(SUM('04_L0'!$B52:$AI52)=0,0,'04_L0'!N52/SUM('04_L0'!$B52:$AI52))</f>
        <v>9.7878484787866663E-2</v>
      </c>
      <c r="O52" s="8">
        <f>IF(SUM('04_L0'!$B52:$AI52)=0,0,'04_L0'!O52/SUM('04_L0'!$B52:$AI52))</f>
        <v>2.2748186000836532E-2</v>
      </c>
      <c r="P52" s="8">
        <f>IF(SUM('04_L0'!$B52:$AI52)=0,0,'04_L0'!P52/SUM('04_L0'!$B52:$AI52))</f>
        <v>0.13856880467002491</v>
      </c>
      <c r="Q52" s="8">
        <f>IF(SUM('04_L0'!$B52:$AI52)=0,0,'04_L0'!Q52/SUM('04_L0'!$B52:$AI52))</f>
        <v>5.9746131044390693E-2</v>
      </c>
      <c r="R52" s="8">
        <f>IF(SUM('04_L0'!$B52:$AI52)=0,0,'04_L0'!R52/SUM('04_L0'!$B52:$AI52))</f>
        <v>1.9305679317681717E-2</v>
      </c>
      <c r="S52" s="8">
        <f>IF(SUM('04_L0'!$B52:$AI52)=0,0,'04_L0'!S52/SUM('04_L0'!$B52:$AI52))</f>
        <v>1.701867646256524E-2</v>
      </c>
      <c r="T52" s="8">
        <f>IF(SUM('04_L0'!$B52:$AI52)=0,0,'04_L0'!T52/SUM('04_L0'!$B52:$AI52))</f>
        <v>1.2587244721671607E-2</v>
      </c>
      <c r="U52" s="8">
        <f>IF(SUM('04_L0'!$B52:$AI52)=0,0,'04_L0'!U52/SUM('04_L0'!$B52:$AI52))</f>
        <v>1.3280837985778974E-2</v>
      </c>
      <c r="V52" s="8">
        <f>IF(SUM('04_L0'!$B52:$AI52)=0,0,'04_L0'!V52/SUM('04_L0'!$B52:$AI52))</f>
        <v>1.0290421720707777E-2</v>
      </c>
      <c r="W52" s="8">
        <f>IF(SUM('04_L0'!$B52:$AI52)=0,0,'04_L0'!W52/SUM('04_L0'!$B52:$AI52))</f>
        <v>1.6283620360435725E-2</v>
      </c>
      <c r="X52" s="8">
        <f>IF(SUM('04_L0'!$B52:$AI52)=0,0,'04_L0'!X52/SUM('04_L0'!$B52:$AI52))</f>
        <v>2.6826819909436434E-2</v>
      </c>
      <c r="Y52" s="8">
        <f>IF(SUM('04_L0'!$B52:$AI52)=0,0,'04_L0'!Y52/SUM('04_L0'!$B52:$AI52))</f>
        <v>2.9325865173034605E-3</v>
      </c>
      <c r="Z52" s="8">
        <f>IF(SUM('04_L0'!$B52:$AI52)=0,0,'04_L0'!Z52/SUM('04_L0'!$B52:$AI52))</f>
        <v>9.1851097492225715E-3</v>
      </c>
      <c r="AA52" s="8">
        <f>IF(SUM('04_L0'!$B52:$AI52)=0,0,'04_L0'!AA52/SUM('04_L0'!$B52:$AI52))</f>
        <v>9.7543144992634882E-3</v>
      </c>
      <c r="AB52" s="8">
        <f>IF(SUM('04_L0'!$B52:$AI52)=0,0,'04_L0'!AB52/SUM('04_L0'!$B52:$AI52))</f>
        <v>3.3659822873665639E-2</v>
      </c>
      <c r="AC52" s="8">
        <f>IF(SUM('04_L0'!$B52:$AI52)=0,0,'04_L0'!AC52/SUM('04_L0'!$B52:$AI52))</f>
        <v>9.0989106912291555E-3</v>
      </c>
      <c r="AD52" s="8">
        <f>IF(SUM('04_L0'!$B52:$AI52)=0,0,'04_L0'!AD52/SUM('04_L0'!$B52:$AI52))</f>
        <v>4.6536580043281383E-3</v>
      </c>
      <c r="AE52" s="8">
        <f>IF(SUM('04_L0'!$B52:$AI52)=0,0,'04_L0'!AE52/SUM('04_L0'!$B52:$AI52))</f>
        <v>3.0973467420756877E-3</v>
      </c>
      <c r="AF52" s="8">
        <f>IF(SUM('04_L0'!$B52:$AI52)=0,0,'04_L0'!AF52/SUM('04_L0'!$B52:$AI52))</f>
        <v>6.9355689319682114E-3</v>
      </c>
      <c r="AG52" s="8">
        <f>IF(SUM('04_L0'!$B52:$AI52)=0,0,'04_L0'!AG52/SUM('04_L0'!$B52:$AI52))</f>
        <v>4.301223881139864E-3</v>
      </c>
      <c r="AH52" s="8">
        <f>IF(SUM('04_L0'!$B52:$AI52)=0,0,'04_L0'!AH52/SUM('04_L0'!$B52:$AI52))</f>
        <v>2.4561275891541944E-3</v>
      </c>
      <c r="AI52" s="8">
        <f>IF(SUM('04_L0'!$B52:$AI52)=0,0,'04_L0'!AI52/SUM('04_L0'!$B52:$AI52))</f>
        <v>3.8451326628962156E-3</v>
      </c>
    </row>
    <row r="53" spans="1:35" x14ac:dyDescent="0.2">
      <c r="A53" s="12" t="s">
        <v>1417</v>
      </c>
      <c r="B53" s="8">
        <f>IF(SUM('04_L0'!$B53:$AI53)=0,0,'04_L0'!B53/SUM('04_L0'!$B53:$AI53))</f>
        <v>3.2378251719804331E-2</v>
      </c>
      <c r="C53" s="8">
        <f>IF(SUM('04_L0'!$B53:$AI53)=0,0,'04_L0'!C53/SUM('04_L0'!$B53:$AI53))</f>
        <v>5.2839093538193806E-2</v>
      </c>
      <c r="D53" s="8">
        <f>IF(SUM('04_L0'!$B53:$AI53)=0,0,'04_L0'!D53/SUM('04_L0'!$B53:$AI53))</f>
        <v>2.6278749323779601E-2</v>
      </c>
      <c r="E53" s="8">
        <f>IF(SUM('04_L0'!$B53:$AI53)=0,0,'04_L0'!E53/SUM('04_L0'!$B53:$AI53))</f>
        <v>2.8115062140475686E-2</v>
      </c>
      <c r="F53" s="8">
        <f>IF(SUM('04_L0'!$B53:$AI53)=0,0,'04_L0'!F53/SUM('04_L0'!$B53:$AI53))</f>
        <v>1.9534159030882771E-2</v>
      </c>
      <c r="G53" s="8">
        <f>IF(SUM('04_L0'!$B53:$AI53)=0,0,'04_L0'!G53/SUM('04_L0'!$B53:$AI53))</f>
        <v>3.0784940709129981E-2</v>
      </c>
      <c r="H53" s="8">
        <f>IF(SUM('04_L0'!$B53:$AI53)=0,0,'04_L0'!H53/SUM('04_L0'!$B53:$AI53))</f>
        <v>1.4594917335632165E-2</v>
      </c>
      <c r="I53" s="8">
        <f>IF(SUM('04_L0'!$B53:$AI53)=0,0,'04_L0'!I53/SUM('04_L0'!$B53:$AI53))</f>
        <v>3.0423691486881604E-2</v>
      </c>
      <c r="J53" s="8">
        <f>IF(SUM('04_L0'!$B53:$AI53)=0,0,'04_L0'!J53/SUM('04_L0'!$B53:$AI53))</f>
        <v>9.5861183367188293E-3</v>
      </c>
      <c r="K53" s="8">
        <f>IF(SUM('04_L0'!$B53:$AI53)=0,0,'04_L0'!K53/SUM('04_L0'!$B53:$AI53))</f>
        <v>1.201411699134595E-2</v>
      </c>
      <c r="L53" s="8">
        <f>IF(SUM('04_L0'!$B53:$AI53)=0,0,'04_L0'!L53/SUM('04_L0'!$B53:$AI53))</f>
        <v>5.2592501677789477E-2</v>
      </c>
      <c r="M53" s="8">
        <f>IF(SUM('04_L0'!$B53:$AI53)=0,0,'04_L0'!M53/SUM('04_L0'!$B53:$AI53))</f>
        <v>0.11319665846713205</v>
      </c>
      <c r="N53" s="8">
        <f>IF(SUM('04_L0'!$B53:$AI53)=0,0,'04_L0'!N53/SUM('04_L0'!$B53:$AI53))</f>
        <v>8.2133039786553313E-2</v>
      </c>
      <c r="O53" s="8">
        <f>IF(SUM('04_L0'!$B53:$AI53)=0,0,'04_L0'!O53/SUM('04_L0'!$B53:$AI53))</f>
        <v>1.5123777221867829E-2</v>
      </c>
      <c r="P53" s="8">
        <f>IF(SUM('04_L0'!$B53:$AI53)=0,0,'04_L0'!P53/SUM('04_L0'!$B53:$AI53))</f>
        <v>9.4680055475315342E-2</v>
      </c>
      <c r="Q53" s="8">
        <f>IF(SUM('04_L0'!$B53:$AI53)=0,0,'04_L0'!Q53/SUM('04_L0'!$B53:$AI53))</f>
        <v>2.5415116866367181E-2</v>
      </c>
      <c r="R53" s="8">
        <f>IF(SUM('04_L0'!$B53:$AI53)=0,0,'04_L0'!R53/SUM('04_L0'!$B53:$AI53))</f>
        <v>2.3611563295912252E-2</v>
      </c>
      <c r="S53" s="8">
        <f>IF(SUM('04_L0'!$B53:$AI53)=0,0,'04_L0'!S53/SUM('04_L0'!$B53:$AI53))</f>
        <v>2.3402667006525147E-2</v>
      </c>
      <c r="T53" s="8">
        <f>IF(SUM('04_L0'!$B53:$AI53)=0,0,'04_L0'!T53/SUM('04_L0'!$B53:$AI53))</f>
        <v>3.2885122522946619E-2</v>
      </c>
      <c r="U53" s="8">
        <f>IF(SUM('04_L0'!$B53:$AI53)=0,0,'04_L0'!U53/SUM('04_L0'!$B53:$AI53))</f>
        <v>2.3615153350294845E-2</v>
      </c>
      <c r="V53" s="8">
        <f>IF(SUM('04_L0'!$B53:$AI53)=0,0,'04_L0'!V53/SUM('04_L0'!$B53:$AI53))</f>
        <v>1.8389604818032486E-2</v>
      </c>
      <c r="W53" s="8">
        <f>IF(SUM('04_L0'!$B53:$AI53)=0,0,'04_L0'!W53/SUM('04_L0'!$B53:$AI53))</f>
        <v>2.2808513006206083E-2</v>
      </c>
      <c r="X53" s="8">
        <f>IF(SUM('04_L0'!$B53:$AI53)=0,0,'04_L0'!X53/SUM('04_L0'!$B53:$AI53))</f>
        <v>2.4452309156635644E-2</v>
      </c>
      <c r="Y53" s="8">
        <f>IF(SUM('04_L0'!$B53:$AI53)=0,0,'04_L0'!Y53/SUM('04_L0'!$B53:$AI53))</f>
        <v>6.9104059296928241E-3</v>
      </c>
      <c r="Z53" s="8">
        <f>IF(SUM('04_L0'!$B53:$AI53)=0,0,'04_L0'!Z53/SUM('04_L0'!$B53:$AI53))</f>
        <v>2.1761787775281444E-2</v>
      </c>
      <c r="AA53" s="8">
        <f>IF(SUM('04_L0'!$B53:$AI53)=0,0,'04_L0'!AA53/SUM('04_L0'!$B53:$AI53))</f>
        <v>2.3272078778358345E-2</v>
      </c>
      <c r="AB53" s="8">
        <f>IF(SUM('04_L0'!$B53:$AI53)=0,0,'04_L0'!AB53/SUM('04_L0'!$B53:$AI53))</f>
        <v>4.8812623169717351E-2</v>
      </c>
      <c r="AC53" s="8">
        <f>IF(SUM('04_L0'!$B53:$AI53)=0,0,'04_L0'!AC53/SUM('04_L0'!$B53:$AI53))</f>
        <v>2.3024589404358371E-2</v>
      </c>
      <c r="AD53" s="8">
        <f>IF(SUM('04_L0'!$B53:$AI53)=0,0,'04_L0'!AD53/SUM('04_L0'!$B53:$AI53))</f>
        <v>9.6395203956598941E-3</v>
      </c>
      <c r="AE53" s="8">
        <f>IF(SUM('04_L0'!$B53:$AI53)=0,0,'04_L0'!AE53/SUM('04_L0'!$B53:$AI53))</f>
        <v>8.503492561968265E-3</v>
      </c>
      <c r="AF53" s="8">
        <f>IF(SUM('04_L0'!$B53:$AI53)=0,0,'04_L0'!AF53/SUM('04_L0'!$B53:$AI53))</f>
        <v>1.439701558779175E-2</v>
      </c>
      <c r="AG53" s="8">
        <f>IF(SUM('04_L0'!$B53:$AI53)=0,0,'04_L0'!AG53/SUM('04_L0'!$B53:$AI53))</f>
        <v>1.2470053897935202E-2</v>
      </c>
      <c r="AH53" s="8">
        <f>IF(SUM('04_L0'!$B53:$AI53)=0,0,'04_L0'!AH53/SUM('04_L0'!$B53:$AI53))</f>
        <v>8.4265307711414369E-3</v>
      </c>
      <c r="AI53" s="8">
        <f>IF(SUM('04_L0'!$B53:$AI53)=0,0,'04_L0'!AI53/SUM('04_L0'!$B53:$AI53))</f>
        <v>1.3926718463672128E-2</v>
      </c>
    </row>
    <row r="54" spans="1:35" x14ac:dyDescent="0.2">
      <c r="A54" s="12" t="s">
        <v>1418</v>
      </c>
      <c r="B54" s="8">
        <f>IF(SUM('04_L0'!$B54:$AI54)=0,0,'04_L0'!B54/SUM('04_L0'!$B54:$AI54))</f>
        <v>2.5138776673711626E-2</v>
      </c>
      <c r="C54" s="8">
        <f>IF(SUM('04_L0'!$B54:$AI54)=0,0,'04_L0'!C54/SUM('04_L0'!$B54:$AI54))</f>
        <v>5.4193464775491869E-2</v>
      </c>
      <c r="D54" s="8">
        <f>IF(SUM('04_L0'!$B54:$AI54)=0,0,'04_L0'!D54/SUM('04_L0'!$B54:$AI54))</f>
        <v>2.8656195374167102E-2</v>
      </c>
      <c r="E54" s="8">
        <f>IF(SUM('04_L0'!$B54:$AI54)=0,0,'04_L0'!E54/SUM('04_L0'!$B54:$AI54))</f>
        <v>2.6759313766005072E-2</v>
      </c>
      <c r="F54" s="8">
        <f>IF(SUM('04_L0'!$B54:$AI54)=0,0,'04_L0'!F54/SUM('04_L0'!$B54:$AI54))</f>
        <v>1.2996907077961764E-2</v>
      </c>
      <c r="G54" s="8">
        <f>IF(SUM('04_L0'!$B54:$AI54)=0,0,'04_L0'!G54/SUM('04_L0'!$B54:$AI54))</f>
        <v>2.9879504795125543E-2</v>
      </c>
      <c r="H54" s="8">
        <f>IF(SUM('04_L0'!$B54:$AI54)=0,0,'04_L0'!H54/SUM('04_L0'!$B54:$AI54))</f>
        <v>9.5064762447732085E-3</v>
      </c>
      <c r="I54" s="8">
        <f>IF(SUM('04_L0'!$B54:$AI54)=0,0,'04_L0'!I54/SUM('04_L0'!$B54:$AI54))</f>
        <v>2.8997760569264081E-2</v>
      </c>
      <c r="J54" s="8">
        <f>IF(SUM('04_L0'!$B54:$AI54)=0,0,'04_L0'!J54/SUM('04_L0'!$B54:$AI54))</f>
        <v>4.9649242062615225E-3</v>
      </c>
      <c r="K54" s="8">
        <f>IF(SUM('04_L0'!$B54:$AI54)=0,0,'04_L0'!K54/SUM('04_L0'!$B54:$AI54))</f>
        <v>9.8046078409874862E-3</v>
      </c>
      <c r="L54" s="8">
        <f>IF(SUM('04_L0'!$B54:$AI54)=0,0,'04_L0'!L54/SUM('04_L0'!$B54:$AI54))</f>
        <v>3.7509621455804276E-2</v>
      </c>
      <c r="M54" s="8">
        <f>IF(SUM('04_L0'!$B54:$AI54)=0,0,'04_L0'!M54/SUM('04_L0'!$B54:$AI54))</f>
        <v>0.15848610996318968</v>
      </c>
      <c r="N54" s="8">
        <f>IF(SUM('04_L0'!$B54:$AI54)=0,0,'04_L0'!N54/SUM('04_L0'!$B54:$AI54))</f>
        <v>0.11063830804064148</v>
      </c>
      <c r="O54" s="8">
        <f>IF(SUM('04_L0'!$B54:$AI54)=0,0,'04_L0'!O54/SUM('04_L0'!$B54:$AI54))</f>
        <v>1.8522813462672687E-2</v>
      </c>
      <c r="P54" s="8">
        <f>IF(SUM('04_L0'!$B54:$AI54)=0,0,'04_L0'!P54/SUM('04_L0'!$B54:$AI54))</f>
        <v>0.15894616876300549</v>
      </c>
      <c r="Q54" s="8">
        <f>IF(SUM('04_L0'!$B54:$AI54)=0,0,'04_L0'!Q54/SUM('04_L0'!$B54:$AI54))</f>
        <v>4.2962576261809299E-2</v>
      </c>
      <c r="R54" s="8">
        <f>IF(SUM('04_L0'!$B54:$AI54)=0,0,'04_L0'!R54/SUM('04_L0'!$B54:$AI54))</f>
        <v>1.6284928906648406E-2</v>
      </c>
      <c r="S54" s="8">
        <f>IF(SUM('04_L0'!$B54:$AI54)=0,0,'04_L0'!S54/SUM('04_L0'!$B54:$AI54))</f>
        <v>2.4880845754780365E-2</v>
      </c>
      <c r="T54" s="8">
        <f>IF(SUM('04_L0'!$B54:$AI54)=0,0,'04_L0'!T54/SUM('04_L0'!$B54:$AI54))</f>
        <v>2.8504669744408028E-2</v>
      </c>
      <c r="U54" s="8">
        <f>IF(SUM('04_L0'!$B54:$AI54)=0,0,'04_L0'!U54/SUM('04_L0'!$B54:$AI54))</f>
        <v>1.8797752360454452E-2</v>
      </c>
      <c r="V54" s="8">
        <f>IF(SUM('04_L0'!$B54:$AI54)=0,0,'04_L0'!V54/SUM('04_L0'!$B54:$AI54))</f>
        <v>1.0977596134437813E-2</v>
      </c>
      <c r="W54" s="8">
        <f>IF(SUM('04_L0'!$B54:$AI54)=0,0,'04_L0'!W54/SUM('04_L0'!$B54:$AI54))</f>
        <v>1.8371006709296252E-2</v>
      </c>
      <c r="X54" s="8">
        <f>IF(SUM('04_L0'!$B54:$AI54)=0,0,'04_L0'!X54/SUM('04_L0'!$B54:$AI54))</f>
        <v>1.6607096572147283E-2</v>
      </c>
      <c r="Y54" s="8">
        <f>IF(SUM('04_L0'!$B54:$AI54)=0,0,'04_L0'!Y54/SUM('04_L0'!$B54:$AI54))</f>
        <v>3.0188459650608325E-3</v>
      </c>
      <c r="Z54" s="8">
        <f>IF(SUM('04_L0'!$B54:$AI54)=0,0,'04_L0'!Z54/SUM('04_L0'!$B54:$AI54))</f>
        <v>9.8854308809795694E-3</v>
      </c>
      <c r="AA54" s="8">
        <f>IF(SUM('04_L0'!$B54:$AI54)=0,0,'04_L0'!AA54/SUM('04_L0'!$B54:$AI54))</f>
        <v>1.1778236196689825E-2</v>
      </c>
      <c r="AB54" s="8">
        <f>IF(SUM('04_L0'!$B54:$AI54)=0,0,'04_L0'!AB54/SUM('04_L0'!$B54:$AI54))</f>
        <v>3.9012367752422304E-2</v>
      </c>
      <c r="AC54" s="8">
        <f>IF(SUM('04_L0'!$B54:$AI54)=0,0,'04_L0'!AC54/SUM('04_L0'!$B54:$AI54))</f>
        <v>1.1983315875556694E-2</v>
      </c>
      <c r="AD54" s="8">
        <f>IF(SUM('04_L0'!$B54:$AI54)=0,0,'04_L0'!AD54/SUM('04_L0'!$B54:$AI54))</f>
        <v>4.7306076711888211E-3</v>
      </c>
      <c r="AE54" s="8">
        <f>IF(SUM('04_L0'!$B54:$AI54)=0,0,'04_L0'!AE54/SUM('04_L0'!$B54:$AI54))</f>
        <v>6.7918060336999752E-3</v>
      </c>
      <c r="AF54" s="8">
        <f>IF(SUM('04_L0'!$B54:$AI54)=0,0,'04_L0'!AF54/SUM('04_L0'!$B54:$AI54))</f>
        <v>9.5400705170481798E-3</v>
      </c>
      <c r="AG54" s="8">
        <f>IF(SUM('04_L0'!$B54:$AI54)=0,0,'04_L0'!AG54/SUM('04_L0'!$B54:$AI54))</f>
        <v>5.9262264158369306E-3</v>
      </c>
      <c r="AH54" s="8">
        <f>IF(SUM('04_L0'!$B54:$AI54)=0,0,'04_L0'!AH54/SUM('04_L0'!$B54:$AI54))</f>
        <v>1.9525440844000569E-3</v>
      </c>
      <c r="AI54" s="8">
        <f>IF(SUM('04_L0'!$B54:$AI54)=0,0,'04_L0'!AI54/SUM('04_L0'!$B54:$AI54))</f>
        <v>2.9931231540720475E-3</v>
      </c>
    </row>
    <row r="55" spans="1:35" x14ac:dyDescent="0.2">
      <c r="A55" s="12" t="s">
        <v>1419</v>
      </c>
      <c r="B55" s="8">
        <f>IF(SUM('04_L0'!$B55:$AI55)=0,0,'04_L0'!B55/SUM('04_L0'!$B55:$AI55))</f>
        <v>2.6953761608179728E-2</v>
      </c>
      <c r="C55" s="8">
        <f>IF(SUM('04_L0'!$B55:$AI55)=0,0,'04_L0'!C55/SUM('04_L0'!$B55:$AI55))</f>
        <v>5.5790968542347393E-2</v>
      </c>
      <c r="D55" s="8">
        <f>IF(SUM('04_L0'!$B55:$AI55)=0,0,'04_L0'!D55/SUM('04_L0'!$B55:$AI55))</f>
        <v>2.435877363482036E-2</v>
      </c>
      <c r="E55" s="8">
        <f>IF(SUM('04_L0'!$B55:$AI55)=0,0,'04_L0'!E55/SUM('04_L0'!$B55:$AI55))</f>
        <v>2.221778126831098E-2</v>
      </c>
      <c r="F55" s="8">
        <f>IF(SUM('04_L0'!$B55:$AI55)=0,0,'04_L0'!F55/SUM('04_L0'!$B55:$AI55))</f>
        <v>1.1610831571448514E-2</v>
      </c>
      <c r="G55" s="8">
        <f>IF(SUM('04_L0'!$B55:$AI55)=0,0,'04_L0'!G55/SUM('04_L0'!$B55:$AI55))</f>
        <v>2.8087902035385352E-2</v>
      </c>
      <c r="H55" s="8">
        <f>IF(SUM('04_L0'!$B55:$AI55)=0,0,'04_L0'!H55/SUM('04_L0'!$B55:$AI55))</f>
        <v>9.4681420251004414E-3</v>
      </c>
      <c r="I55" s="8">
        <f>IF(SUM('04_L0'!$B55:$AI55)=0,0,'04_L0'!I55/SUM('04_L0'!$B55:$AI55))</f>
        <v>2.4440662562037228E-2</v>
      </c>
      <c r="J55" s="8">
        <f>IF(SUM('04_L0'!$B55:$AI55)=0,0,'04_L0'!J55/SUM('04_L0'!$B55:$AI55))</f>
        <v>5.8637563426792785E-3</v>
      </c>
      <c r="K55" s="8">
        <f>IF(SUM('04_L0'!$B55:$AI55)=0,0,'04_L0'!K55/SUM('04_L0'!$B55:$AI55))</f>
        <v>8.5758497249083625E-3</v>
      </c>
      <c r="L55" s="8">
        <f>IF(SUM('04_L0'!$B55:$AI55)=0,0,'04_L0'!L55/SUM('04_L0'!$B55:$AI55))</f>
        <v>5.4931771249009803E-2</v>
      </c>
      <c r="M55" s="8">
        <f>IF(SUM('04_L0'!$B55:$AI55)=0,0,'04_L0'!M55/SUM('04_L0'!$B55:$AI55))</f>
        <v>0.16312274301599888</v>
      </c>
      <c r="N55" s="8">
        <f>IF(SUM('04_L0'!$B55:$AI55)=0,0,'04_L0'!N55/SUM('04_L0'!$B55:$AI55))</f>
        <v>0.10684765392466473</v>
      </c>
      <c r="O55" s="8">
        <f>IF(SUM('04_L0'!$B55:$AI55)=0,0,'04_L0'!O55/SUM('04_L0'!$B55:$AI55))</f>
        <v>1.5842749499225872E-2</v>
      </c>
      <c r="P55" s="8">
        <f>IF(SUM('04_L0'!$B55:$AI55)=0,0,'04_L0'!P55/SUM('04_L0'!$B55:$AI55))</f>
        <v>0.14039920215575782</v>
      </c>
      <c r="Q55" s="8">
        <f>IF(SUM('04_L0'!$B55:$AI55)=0,0,'04_L0'!Q55/SUM('04_L0'!$B55:$AI55))</f>
        <v>3.3530333483109451E-2</v>
      </c>
      <c r="R55" s="8">
        <f>IF(SUM('04_L0'!$B55:$AI55)=0,0,'04_L0'!R55/SUM('04_L0'!$B55:$AI55))</f>
        <v>2.1414590909650207E-2</v>
      </c>
      <c r="S55" s="8">
        <f>IF(SUM('04_L0'!$B55:$AI55)=0,0,'04_L0'!S55/SUM('04_L0'!$B55:$AI55))</f>
        <v>2.5087712375538376E-2</v>
      </c>
      <c r="T55" s="8">
        <f>IF(SUM('04_L0'!$B55:$AI55)=0,0,'04_L0'!T55/SUM('04_L0'!$B55:$AI55))</f>
        <v>2.7970796626515634E-2</v>
      </c>
      <c r="U55" s="8">
        <f>IF(SUM('04_L0'!$B55:$AI55)=0,0,'04_L0'!U55/SUM('04_L0'!$B55:$AI55))</f>
        <v>1.977978243003058E-2</v>
      </c>
      <c r="V55" s="8">
        <f>IF(SUM('04_L0'!$B55:$AI55)=0,0,'04_L0'!V55/SUM('04_L0'!$B55:$AI55))</f>
        <v>9.8648578123945885E-3</v>
      </c>
      <c r="W55" s="8">
        <f>IF(SUM('04_L0'!$B55:$AI55)=0,0,'04_L0'!W55/SUM('04_L0'!$B55:$AI55))</f>
        <v>1.6447369816759736E-2</v>
      </c>
      <c r="X55" s="8">
        <f>IF(SUM('04_L0'!$B55:$AI55)=0,0,'04_L0'!X55/SUM('04_L0'!$B55:$AI55))</f>
        <v>1.7326933268161628E-2</v>
      </c>
      <c r="Y55" s="8">
        <f>IF(SUM('04_L0'!$B55:$AI55)=0,0,'04_L0'!Y55/SUM('04_L0'!$B55:$AI55))</f>
        <v>4.6536671176922086E-3</v>
      </c>
      <c r="Z55" s="8">
        <f>IF(SUM('04_L0'!$B55:$AI55)=0,0,'04_L0'!Z55/SUM('04_L0'!$B55:$AI55))</f>
        <v>1.3614776665983552E-2</v>
      </c>
      <c r="AA55" s="8">
        <f>IF(SUM('04_L0'!$B55:$AI55)=0,0,'04_L0'!AA55/SUM('04_L0'!$B55:$AI55))</f>
        <v>1.2770429696234509E-2</v>
      </c>
      <c r="AB55" s="8">
        <f>IF(SUM('04_L0'!$B55:$AI55)=0,0,'04_L0'!AB55/SUM('04_L0'!$B55:$AI55))</f>
        <v>4.7547341770862901E-2</v>
      </c>
      <c r="AC55" s="8">
        <f>IF(SUM('04_L0'!$B55:$AI55)=0,0,'04_L0'!AC55/SUM('04_L0'!$B55:$AI55))</f>
        <v>1.7277290757879898E-2</v>
      </c>
      <c r="AD55" s="8">
        <f>IF(SUM('04_L0'!$B55:$AI55)=0,0,'04_L0'!AD55/SUM('04_L0'!$B55:$AI55))</f>
        <v>3.7715578965322799E-3</v>
      </c>
      <c r="AE55" s="8">
        <f>IF(SUM('04_L0'!$B55:$AI55)=0,0,'04_L0'!AE55/SUM('04_L0'!$B55:$AI55))</f>
        <v>6.3792747186818344E-3</v>
      </c>
      <c r="AF55" s="8">
        <f>IF(SUM('04_L0'!$B55:$AI55)=0,0,'04_L0'!AF55/SUM('04_L0'!$B55:$AI55))</f>
        <v>8.5537863870053729E-3</v>
      </c>
      <c r="AG55" s="8">
        <f>IF(SUM('04_L0'!$B55:$AI55)=0,0,'04_L0'!AG55/SUM('04_L0'!$B55:$AI55))</f>
        <v>7.3139965148412015E-3</v>
      </c>
      <c r="AH55" s="8">
        <f>IF(SUM('04_L0'!$B55:$AI55)=0,0,'04_L0'!AH55/SUM('04_L0'!$B55:$AI55))</f>
        <v>3.0612881340398692E-3</v>
      </c>
      <c r="AI55" s="8">
        <f>IF(SUM('04_L0'!$B55:$AI55)=0,0,'04_L0'!AI55/SUM('04_L0'!$B55:$AI55))</f>
        <v>5.1216644582114017E-3</v>
      </c>
    </row>
    <row r="56" spans="1:35" x14ac:dyDescent="0.2">
      <c r="A56" s="12" t="s">
        <v>1420</v>
      </c>
      <c r="B56" s="8">
        <f>IF(SUM('04_L0'!$B56:$AI56)=0,0,'04_L0'!B56/SUM('04_L0'!$B56:$AI56))</f>
        <v>2.0916905444126076E-2</v>
      </c>
      <c r="C56" s="8">
        <f>IF(SUM('04_L0'!$B56:$AI56)=0,0,'04_L0'!C56/SUM('04_L0'!$B56:$AI56))</f>
        <v>8.8825214899713473E-3</v>
      </c>
      <c r="D56" s="8">
        <f>IF(SUM('04_L0'!$B56:$AI56)=0,0,'04_L0'!D56/SUM('04_L0'!$B56:$AI56))</f>
        <v>1.900668576886342E-2</v>
      </c>
      <c r="E56" s="8">
        <f>IF(SUM('04_L0'!$B56:$AI56)=0,0,'04_L0'!E56/SUM('04_L0'!$B56:$AI56))</f>
        <v>1.451766953199618E-2</v>
      </c>
      <c r="F56" s="8">
        <f>IF(SUM('04_L0'!$B56:$AI56)=0,0,'04_L0'!F56/SUM('04_L0'!$B56:$AI56))</f>
        <v>1.4040114613180516E-2</v>
      </c>
      <c r="G56" s="8">
        <f>IF(SUM('04_L0'!$B56:$AI56)=0,0,'04_L0'!G56/SUM('04_L0'!$B56:$AI56))</f>
        <v>0</v>
      </c>
      <c r="H56" s="8">
        <f>IF(SUM('04_L0'!$B56:$AI56)=0,0,'04_L0'!H56/SUM('04_L0'!$B56:$AI56))</f>
        <v>0</v>
      </c>
      <c r="I56" s="8">
        <f>IF(SUM('04_L0'!$B56:$AI56)=0,0,'04_L0'!I56/SUM('04_L0'!$B56:$AI56))</f>
        <v>5.004775549188157E-2</v>
      </c>
      <c r="J56" s="8">
        <f>IF(SUM('04_L0'!$B56:$AI56)=0,0,'04_L0'!J56/SUM('04_L0'!$B56:$AI56))</f>
        <v>2.5023877745940785E-2</v>
      </c>
      <c r="K56" s="8">
        <f>IF(SUM('04_L0'!$B56:$AI56)=0,0,'04_L0'!K56/SUM('04_L0'!$B56:$AI56))</f>
        <v>0</v>
      </c>
      <c r="L56" s="8">
        <f>IF(SUM('04_L0'!$B56:$AI56)=0,0,'04_L0'!L56/SUM('04_L0'!$B56:$AI56))</f>
        <v>0</v>
      </c>
      <c r="M56" s="8">
        <f>IF(SUM('04_L0'!$B56:$AI56)=0,0,'04_L0'!M56/SUM('04_L0'!$B56:$AI56))</f>
        <v>1.8338108882521489E-2</v>
      </c>
      <c r="N56" s="8">
        <f>IF(SUM('04_L0'!$B56:$AI56)=0,0,'04_L0'!N56/SUM('04_L0'!$B56:$AI56))</f>
        <v>0.232378223495702</v>
      </c>
      <c r="O56" s="8">
        <f>IF(SUM('04_L0'!$B56:$AI56)=0,0,'04_L0'!O56/SUM('04_L0'!$B56:$AI56))</f>
        <v>0.12788920725883476</v>
      </c>
      <c r="P56" s="8">
        <f>IF(SUM('04_L0'!$B56:$AI56)=0,0,'04_L0'!P56/SUM('04_L0'!$B56:$AI56))</f>
        <v>0.24383954154727794</v>
      </c>
      <c r="Q56" s="8">
        <f>IF(SUM('04_L0'!$B56:$AI56)=0,0,'04_L0'!Q56/SUM('04_L0'!$B56:$AI56))</f>
        <v>0</v>
      </c>
      <c r="R56" s="8">
        <f>IF(SUM('04_L0'!$B56:$AI56)=0,0,'04_L0'!R56/SUM('04_L0'!$B56:$AI56))</f>
        <v>4.6704871060171918E-2</v>
      </c>
      <c r="S56" s="8">
        <f>IF(SUM('04_L0'!$B56:$AI56)=0,0,'04_L0'!S56/SUM('04_L0'!$B56:$AI56))</f>
        <v>3.0276981852913085E-2</v>
      </c>
      <c r="T56" s="8">
        <f>IF(SUM('04_L0'!$B56:$AI56)=0,0,'04_L0'!T56/SUM('04_L0'!$B56:$AI56))</f>
        <v>0</v>
      </c>
      <c r="U56" s="8">
        <f>IF(SUM('04_L0'!$B56:$AI56)=0,0,'04_L0'!U56/SUM('04_L0'!$B56:$AI56))</f>
        <v>0</v>
      </c>
      <c r="V56" s="8">
        <f>IF(SUM('04_L0'!$B56:$AI56)=0,0,'04_L0'!V56/SUM('04_L0'!$B56:$AI56))</f>
        <v>0</v>
      </c>
      <c r="W56" s="8">
        <f>IF(SUM('04_L0'!$B56:$AI56)=0,0,'04_L0'!W56/SUM('04_L0'!$B56:$AI56))</f>
        <v>4.355300859598854E-2</v>
      </c>
      <c r="X56" s="8">
        <f>IF(SUM('04_L0'!$B56:$AI56)=0,0,'04_L0'!X56/SUM('04_L0'!$B56:$AI56))</f>
        <v>1.5186246418338109E-2</v>
      </c>
      <c r="Y56" s="8">
        <f>IF(SUM('04_L0'!$B56:$AI56)=0,0,'04_L0'!Y56/SUM('04_L0'!$B56:$AI56))</f>
        <v>4.5845272206303722E-3</v>
      </c>
      <c r="Z56" s="8">
        <f>IF(SUM('04_L0'!$B56:$AI56)=0,0,'04_L0'!Z56/SUM('04_L0'!$B56:$AI56))</f>
        <v>0</v>
      </c>
      <c r="AA56" s="8">
        <f>IF(SUM('04_L0'!$B56:$AI56)=0,0,'04_L0'!AA56/SUM('04_L0'!$B56:$AI56))</f>
        <v>1.69054441260745E-2</v>
      </c>
      <c r="AB56" s="8">
        <f>IF(SUM('04_L0'!$B56:$AI56)=0,0,'04_L0'!AB56/SUM('04_L0'!$B56:$AI56))</f>
        <v>4.2502387774594079E-2</v>
      </c>
      <c r="AC56" s="8">
        <f>IF(SUM('04_L0'!$B56:$AI56)=0,0,'04_L0'!AC56/SUM('04_L0'!$B56:$AI56))</f>
        <v>1.4613180515759312E-2</v>
      </c>
      <c r="AD56" s="8">
        <f>IF(SUM('04_L0'!$B56:$AI56)=0,0,'04_L0'!AD56/SUM('04_L0'!$B56:$AI56))</f>
        <v>7.8319006685768858E-3</v>
      </c>
      <c r="AE56" s="8">
        <f>IF(SUM('04_L0'!$B56:$AI56)=0,0,'04_L0'!AE56/SUM('04_L0'!$B56:$AI56))</f>
        <v>0</v>
      </c>
      <c r="AF56" s="8">
        <f>IF(SUM('04_L0'!$B56:$AI56)=0,0,'04_L0'!AF56/SUM('04_L0'!$B56:$AI56))</f>
        <v>0</v>
      </c>
      <c r="AG56" s="8">
        <f>IF(SUM('04_L0'!$B56:$AI56)=0,0,'04_L0'!AG56/SUM('04_L0'!$B56:$AI56))</f>
        <v>2.9608404966571158E-3</v>
      </c>
      <c r="AH56" s="8">
        <f>IF(SUM('04_L0'!$B56:$AI56)=0,0,'04_L0'!AH56/SUM('04_L0'!$B56:$AI56))</f>
        <v>0</v>
      </c>
      <c r="AI56" s="8">
        <f>IF(SUM('04_L0'!$B56:$AI56)=0,0,'04_L0'!AI56/SUM('04_L0'!$B56:$AI56))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4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0" customWidth="1"/>
    <col min="2" max="2" width="11" customWidth="1"/>
  </cols>
  <sheetData>
    <row r="1" spans="1:54" ht="17" x14ac:dyDescent="0.2">
      <c r="A1" s="1" t="s">
        <v>1423</v>
      </c>
    </row>
    <row r="2" spans="1:54" x14ac:dyDescent="0.2">
      <c r="A2" s="2" t="s">
        <v>1424</v>
      </c>
    </row>
    <row r="4" spans="1:54" ht="30" customHeight="1" x14ac:dyDescent="0.2">
      <c r="A4" s="5" t="s">
        <v>1425</v>
      </c>
      <c r="B4" s="5" t="s">
        <v>1426</v>
      </c>
      <c r="C4" s="5" t="s">
        <v>1369</v>
      </c>
      <c r="D4" s="5" t="s">
        <v>1370</v>
      </c>
      <c r="E4" s="5" t="s">
        <v>1371</v>
      </c>
      <c r="F4" s="5" t="s">
        <v>1372</v>
      </c>
      <c r="G4" s="5" t="s">
        <v>1373</v>
      </c>
      <c r="H4" s="5" t="s">
        <v>1374</v>
      </c>
      <c r="I4" s="5" t="s">
        <v>1375</v>
      </c>
      <c r="J4" s="5" t="s">
        <v>1376</v>
      </c>
      <c r="K4" s="5" t="s">
        <v>1377</v>
      </c>
      <c r="L4" s="5" t="s">
        <v>1378</v>
      </c>
      <c r="M4" s="5" t="s">
        <v>1379</v>
      </c>
      <c r="N4" s="5" t="s">
        <v>1380</v>
      </c>
      <c r="O4" s="5" t="s">
        <v>1381</v>
      </c>
      <c r="P4" s="5" t="s">
        <v>1382</v>
      </c>
      <c r="Q4" s="5" t="s">
        <v>1383</v>
      </c>
      <c r="R4" s="5" t="s">
        <v>1384</v>
      </c>
      <c r="S4" s="5" t="s">
        <v>1385</v>
      </c>
      <c r="T4" s="5" t="s">
        <v>1386</v>
      </c>
      <c r="U4" s="5" t="s">
        <v>1387</v>
      </c>
      <c r="V4" s="5" t="s">
        <v>1388</v>
      </c>
      <c r="W4" s="5" t="s">
        <v>1389</v>
      </c>
      <c r="X4" s="5" t="s">
        <v>1390</v>
      </c>
      <c r="Y4" s="5" t="s">
        <v>1391</v>
      </c>
      <c r="Z4" s="5" t="s">
        <v>1392</v>
      </c>
      <c r="AA4" s="5" t="s">
        <v>1393</v>
      </c>
      <c r="AB4" s="5" t="s">
        <v>1394</v>
      </c>
      <c r="AC4" s="5" t="s">
        <v>1395</v>
      </c>
      <c r="AD4" s="5" t="s">
        <v>1396</v>
      </c>
      <c r="AE4" s="5" t="s">
        <v>1397</v>
      </c>
      <c r="AF4" s="5" t="s">
        <v>1398</v>
      </c>
      <c r="AG4" s="5" t="s">
        <v>1399</v>
      </c>
      <c r="AH4" s="5" t="s">
        <v>1400</v>
      </c>
      <c r="AI4" s="5" t="s">
        <v>1401</v>
      </c>
      <c r="AJ4" s="5" t="s">
        <v>1402</v>
      </c>
      <c r="AK4" s="5" t="s">
        <v>1403</v>
      </c>
      <c r="AL4" s="5" t="s">
        <v>1404</v>
      </c>
      <c r="AM4" s="5" t="s">
        <v>1405</v>
      </c>
      <c r="AN4" s="5" t="s">
        <v>1406</v>
      </c>
      <c r="AO4" s="5" t="s">
        <v>1407</v>
      </c>
      <c r="AP4" s="5" t="s">
        <v>1408</v>
      </c>
      <c r="AQ4" s="5" t="s">
        <v>1409</v>
      </c>
      <c r="AR4" s="5" t="s">
        <v>1410</v>
      </c>
      <c r="AS4" s="5" t="s">
        <v>1411</v>
      </c>
      <c r="AT4" s="5" t="s">
        <v>1412</v>
      </c>
      <c r="AU4" s="5" t="s">
        <v>1413</v>
      </c>
      <c r="AV4" s="5" t="s">
        <v>1414</v>
      </c>
      <c r="AW4" s="5" t="s">
        <v>1415</v>
      </c>
      <c r="AX4" s="5" t="s">
        <v>1416</v>
      </c>
      <c r="AY4" s="5" t="s">
        <v>1417</v>
      </c>
      <c r="AZ4" s="5" t="s">
        <v>1418</v>
      </c>
      <c r="BA4" s="5" t="s">
        <v>1419</v>
      </c>
      <c r="BB4" s="5" t="s">
        <v>1420</v>
      </c>
    </row>
    <row r="5" spans="1:54" x14ac:dyDescent="0.2">
      <c r="A5" s="14" t="s">
        <v>1427</v>
      </c>
      <c r="B5" s="8">
        <v>28.56588376619457</v>
      </c>
      <c r="C5" s="6">
        <v>0.06</v>
      </c>
      <c r="D5" s="6">
        <v>0.01</v>
      </c>
      <c r="E5" s="6">
        <v>0.1999999999999999</v>
      </c>
      <c r="F5" s="6">
        <v>0.01</v>
      </c>
      <c r="G5" s="6">
        <v>0.01</v>
      </c>
      <c r="H5" s="6">
        <v>0.01</v>
      </c>
      <c r="I5" s="6">
        <v>0.01</v>
      </c>
      <c r="J5" s="6">
        <v>0.01</v>
      </c>
      <c r="K5" s="6">
        <v>0.01</v>
      </c>
      <c r="L5" s="6">
        <v>0.01</v>
      </c>
      <c r="M5" s="6">
        <v>0.01</v>
      </c>
      <c r="N5" s="6">
        <v>0.1199999999999999</v>
      </c>
      <c r="O5" s="6">
        <v>0.01</v>
      </c>
      <c r="P5" s="6">
        <v>0.01</v>
      </c>
      <c r="Q5" s="6">
        <v>0.01</v>
      </c>
      <c r="R5" s="6">
        <v>0.01</v>
      </c>
      <c r="S5" s="6">
        <v>0.01</v>
      </c>
      <c r="T5" s="6">
        <v>0.01</v>
      </c>
      <c r="U5" s="6">
        <v>0.01</v>
      </c>
      <c r="V5" s="6">
        <v>0.06</v>
      </c>
      <c r="W5" s="6">
        <v>0.06</v>
      </c>
      <c r="X5" s="6">
        <v>0.01</v>
      </c>
      <c r="Y5" s="6">
        <v>0.01</v>
      </c>
      <c r="Z5" s="6">
        <v>0.01</v>
      </c>
      <c r="AA5" s="6">
        <v>0.01</v>
      </c>
      <c r="AB5" s="6">
        <v>0.01</v>
      </c>
      <c r="AC5" s="6">
        <v>0.01</v>
      </c>
      <c r="AD5" s="6">
        <v>0.01</v>
      </c>
      <c r="AE5" s="6">
        <v>0.01</v>
      </c>
      <c r="AF5" s="6">
        <v>0.01</v>
      </c>
      <c r="AG5" s="6">
        <v>0.01</v>
      </c>
      <c r="AH5" s="6">
        <v>0.01</v>
      </c>
      <c r="AI5" s="6">
        <v>0.01</v>
      </c>
      <c r="AJ5" s="6">
        <v>0.01</v>
      </c>
      <c r="AK5" s="6">
        <v>0.01</v>
      </c>
      <c r="AL5" s="6">
        <v>0.01</v>
      </c>
      <c r="AM5" s="6">
        <v>0.01</v>
      </c>
      <c r="AN5" s="6">
        <v>0.01</v>
      </c>
      <c r="AO5" s="6">
        <v>0.01</v>
      </c>
      <c r="AP5" s="6">
        <v>0.01</v>
      </c>
      <c r="AQ5" s="6">
        <v>0.01</v>
      </c>
      <c r="AR5" s="6">
        <v>0.01</v>
      </c>
      <c r="AS5" s="6">
        <v>0.01</v>
      </c>
      <c r="AT5" s="6">
        <v>0.01</v>
      </c>
      <c r="AU5" s="6">
        <v>0.01</v>
      </c>
      <c r="AV5" s="6">
        <v>0.01</v>
      </c>
      <c r="AW5" s="6">
        <v>0.01</v>
      </c>
      <c r="AX5" s="6">
        <v>0.01</v>
      </c>
      <c r="AY5" s="6">
        <v>0.01</v>
      </c>
      <c r="AZ5" s="6">
        <v>0.01</v>
      </c>
      <c r="BA5" s="6">
        <v>0.01</v>
      </c>
      <c r="BB5" s="6">
        <v>0.01</v>
      </c>
    </row>
    <row r="6" spans="1:54" x14ac:dyDescent="0.2">
      <c r="A6" s="14" t="s">
        <v>1428</v>
      </c>
      <c r="B6" s="8">
        <v>24.757916637846112</v>
      </c>
      <c r="C6" s="6">
        <v>0.01</v>
      </c>
      <c r="D6" s="6">
        <v>0.01</v>
      </c>
      <c r="E6" s="6">
        <v>0.01</v>
      </c>
      <c r="F6" s="6">
        <v>0.01</v>
      </c>
      <c r="G6" s="6">
        <v>0.01</v>
      </c>
      <c r="H6" s="6">
        <v>0.01</v>
      </c>
      <c r="I6" s="6">
        <v>0.01</v>
      </c>
      <c r="J6" s="6">
        <v>0.2</v>
      </c>
      <c r="K6" s="6">
        <v>0.01</v>
      </c>
      <c r="L6" s="6">
        <v>0.01</v>
      </c>
      <c r="M6" s="6">
        <v>0.01</v>
      </c>
      <c r="N6" s="6">
        <v>0.01</v>
      </c>
      <c r="O6" s="6">
        <v>0.01</v>
      </c>
      <c r="P6" s="6">
        <v>0.01</v>
      </c>
      <c r="Q6" s="6">
        <v>0.01</v>
      </c>
      <c r="R6" s="6">
        <v>0.01</v>
      </c>
      <c r="S6" s="6">
        <v>0.01</v>
      </c>
      <c r="T6" s="6">
        <v>0.01</v>
      </c>
      <c r="U6" s="6">
        <v>0.1</v>
      </c>
      <c r="V6" s="6">
        <v>0.01</v>
      </c>
      <c r="W6" s="6">
        <v>0.01</v>
      </c>
      <c r="X6" s="6">
        <v>0.06</v>
      </c>
      <c r="Y6" s="6">
        <v>0.01</v>
      </c>
      <c r="Z6" s="6">
        <v>0.01</v>
      </c>
      <c r="AA6" s="6">
        <v>0.01</v>
      </c>
      <c r="AB6" s="6">
        <v>0.01</v>
      </c>
      <c r="AC6" s="6">
        <v>0.01</v>
      </c>
      <c r="AD6" s="6">
        <v>0.01</v>
      </c>
      <c r="AE6" s="6">
        <v>0.01</v>
      </c>
      <c r="AF6" s="6">
        <v>0.01</v>
      </c>
      <c r="AG6" s="6">
        <v>0.06</v>
      </c>
      <c r="AH6" s="6">
        <v>0.01</v>
      </c>
      <c r="AI6" s="6">
        <v>0.01</v>
      </c>
      <c r="AJ6" s="6">
        <v>0.01</v>
      </c>
      <c r="AK6" s="6">
        <v>0.06</v>
      </c>
      <c r="AL6" s="6">
        <v>0.01</v>
      </c>
      <c r="AM6" s="6">
        <v>0.01</v>
      </c>
      <c r="AN6" s="6">
        <v>0.01</v>
      </c>
      <c r="AO6" s="6">
        <v>0.01</v>
      </c>
      <c r="AP6" s="6">
        <v>0.01</v>
      </c>
      <c r="AQ6" s="6">
        <v>0.01</v>
      </c>
      <c r="AR6" s="6">
        <v>0.01</v>
      </c>
      <c r="AS6" s="6">
        <v>0.01</v>
      </c>
      <c r="AT6" s="6">
        <v>0.01</v>
      </c>
      <c r="AU6" s="6">
        <v>0.01</v>
      </c>
      <c r="AV6" s="6">
        <v>0.01</v>
      </c>
      <c r="AW6" s="6">
        <v>0.01</v>
      </c>
      <c r="AX6" s="6">
        <v>0.01</v>
      </c>
      <c r="AY6" s="6">
        <v>0.01</v>
      </c>
      <c r="AZ6" s="6">
        <v>0.01</v>
      </c>
      <c r="BA6" s="6">
        <v>0.01</v>
      </c>
      <c r="BB6" s="6">
        <v>0.01</v>
      </c>
    </row>
    <row r="7" spans="1:54" x14ac:dyDescent="0.2">
      <c r="A7" s="14" t="s">
        <v>1429</v>
      </c>
      <c r="B7" s="8">
        <v>27.646385755715912</v>
      </c>
      <c r="C7" s="6">
        <v>0.01</v>
      </c>
      <c r="D7" s="6">
        <v>0.01</v>
      </c>
      <c r="E7" s="6">
        <v>0.01</v>
      </c>
      <c r="F7" s="6">
        <v>0.01</v>
      </c>
      <c r="G7" s="6">
        <v>0.01</v>
      </c>
      <c r="H7" s="6">
        <v>0.01</v>
      </c>
      <c r="I7" s="6">
        <v>0.01</v>
      </c>
      <c r="J7" s="6">
        <v>0.01</v>
      </c>
      <c r="K7" s="6">
        <v>0.01</v>
      </c>
      <c r="L7" s="6">
        <v>0.06</v>
      </c>
      <c r="M7" s="6">
        <v>0.2</v>
      </c>
      <c r="N7" s="6">
        <v>0.01</v>
      </c>
      <c r="O7" s="6">
        <v>0.01</v>
      </c>
      <c r="P7" s="6">
        <v>0.01</v>
      </c>
      <c r="Q7" s="6">
        <v>0.01</v>
      </c>
      <c r="R7" s="6">
        <v>0.01</v>
      </c>
      <c r="S7" s="6">
        <v>0.01</v>
      </c>
      <c r="T7" s="6">
        <v>0.01</v>
      </c>
      <c r="U7" s="6">
        <v>0.01</v>
      </c>
      <c r="V7" s="6">
        <v>0.01</v>
      </c>
      <c r="W7" s="6">
        <v>0.01</v>
      </c>
      <c r="X7" s="6">
        <v>0.12</v>
      </c>
      <c r="Y7" s="6">
        <v>0.06</v>
      </c>
      <c r="Z7" s="6">
        <v>0.06</v>
      </c>
      <c r="AA7" s="6">
        <v>0.01</v>
      </c>
      <c r="AB7" s="6">
        <v>0.01</v>
      </c>
      <c r="AC7" s="6">
        <v>0.01</v>
      </c>
      <c r="AD7" s="6">
        <v>0.01</v>
      </c>
      <c r="AE7" s="6">
        <v>0.01</v>
      </c>
      <c r="AF7" s="6">
        <v>0.01</v>
      </c>
      <c r="AG7" s="6">
        <v>0.01</v>
      </c>
      <c r="AH7" s="6">
        <v>0.01</v>
      </c>
      <c r="AI7" s="6">
        <v>0.01</v>
      </c>
      <c r="AJ7" s="6">
        <v>0.01</v>
      </c>
      <c r="AK7" s="6">
        <v>0.01</v>
      </c>
      <c r="AL7" s="6">
        <v>0.01</v>
      </c>
      <c r="AM7" s="6">
        <v>0.01</v>
      </c>
      <c r="AN7" s="6">
        <v>0.01</v>
      </c>
      <c r="AO7" s="6">
        <v>0.01</v>
      </c>
      <c r="AP7" s="6">
        <v>0.01</v>
      </c>
      <c r="AQ7" s="6">
        <v>0.01</v>
      </c>
      <c r="AR7" s="6">
        <v>0.01</v>
      </c>
      <c r="AS7" s="6">
        <v>0.01</v>
      </c>
      <c r="AT7" s="6">
        <v>0.01</v>
      </c>
      <c r="AU7" s="6">
        <v>0.01</v>
      </c>
      <c r="AV7" s="6">
        <v>0.01</v>
      </c>
      <c r="AW7" s="6">
        <v>0.01</v>
      </c>
      <c r="AX7" s="6">
        <v>0.01</v>
      </c>
      <c r="AY7" s="6">
        <v>0.01</v>
      </c>
      <c r="AZ7" s="6">
        <v>0.01</v>
      </c>
      <c r="BA7" s="6">
        <v>0.01</v>
      </c>
      <c r="BB7" s="6">
        <v>0.01</v>
      </c>
    </row>
    <row r="8" spans="1:54" x14ac:dyDescent="0.2">
      <c r="A8" s="14" t="s">
        <v>1430</v>
      </c>
      <c r="B8" s="8">
        <v>37.766698814409693</v>
      </c>
      <c r="C8" s="6">
        <v>0.01</v>
      </c>
      <c r="D8" s="6">
        <v>0.01</v>
      </c>
      <c r="E8" s="6">
        <v>0.01</v>
      </c>
      <c r="F8" s="6">
        <v>0.01</v>
      </c>
      <c r="G8" s="6">
        <v>0.01</v>
      </c>
      <c r="H8" s="6">
        <v>0.01</v>
      </c>
      <c r="I8" s="6">
        <v>0.01</v>
      </c>
      <c r="J8" s="6">
        <v>0.01</v>
      </c>
      <c r="K8" s="6">
        <v>0.01</v>
      </c>
      <c r="L8" s="6">
        <v>0.2</v>
      </c>
      <c r="M8" s="6">
        <v>0.1199999999999999</v>
      </c>
      <c r="N8" s="6">
        <v>0.01</v>
      </c>
      <c r="O8" s="6">
        <v>0.01</v>
      </c>
      <c r="P8" s="6">
        <v>0.01</v>
      </c>
      <c r="Q8" s="6">
        <v>0.01</v>
      </c>
      <c r="R8" s="6">
        <v>0.01</v>
      </c>
      <c r="S8" s="6">
        <v>0.01</v>
      </c>
      <c r="T8" s="6">
        <v>0.01</v>
      </c>
      <c r="U8" s="6">
        <v>0.01</v>
      </c>
      <c r="V8" s="6">
        <v>0.01</v>
      </c>
      <c r="W8" s="6">
        <v>0.01</v>
      </c>
      <c r="X8" s="6">
        <v>0.06</v>
      </c>
      <c r="Y8" s="6">
        <v>0.06</v>
      </c>
      <c r="Z8" s="6">
        <v>0.01</v>
      </c>
      <c r="AA8" s="6">
        <v>0.01</v>
      </c>
      <c r="AB8" s="6">
        <v>0.01</v>
      </c>
      <c r="AC8" s="6">
        <v>0.01</v>
      </c>
      <c r="AD8" s="6">
        <v>0.01</v>
      </c>
      <c r="AE8" s="6">
        <v>0.01</v>
      </c>
      <c r="AF8" s="6">
        <v>0.01</v>
      </c>
      <c r="AG8" s="6">
        <v>0.01</v>
      </c>
      <c r="AH8" s="6">
        <v>0.01</v>
      </c>
      <c r="AI8" s="6">
        <v>0.01</v>
      </c>
      <c r="AJ8" s="6">
        <v>0.01</v>
      </c>
      <c r="AK8" s="6">
        <v>0.01</v>
      </c>
      <c r="AL8" s="6">
        <v>0.01</v>
      </c>
      <c r="AM8" s="6">
        <v>0.01</v>
      </c>
      <c r="AN8" s="6">
        <v>0.01</v>
      </c>
      <c r="AO8" s="6">
        <v>0.01</v>
      </c>
      <c r="AP8" s="6">
        <v>0.01</v>
      </c>
      <c r="AQ8" s="6">
        <v>0.01</v>
      </c>
      <c r="AR8" s="6">
        <v>0.01</v>
      </c>
      <c r="AS8" s="6">
        <v>0.01</v>
      </c>
      <c r="AT8" s="6">
        <v>0.01</v>
      </c>
      <c r="AU8" s="6">
        <v>0.01</v>
      </c>
      <c r="AV8" s="6">
        <v>0.01</v>
      </c>
      <c r="AW8" s="6">
        <v>0.01</v>
      </c>
      <c r="AX8" s="6">
        <v>0.01</v>
      </c>
      <c r="AY8" s="6">
        <v>0.01</v>
      </c>
      <c r="AZ8" s="6">
        <v>0.01</v>
      </c>
      <c r="BA8" s="6">
        <v>0.01</v>
      </c>
      <c r="BB8" s="6">
        <v>0.01</v>
      </c>
    </row>
    <row r="9" spans="1:54" x14ac:dyDescent="0.2">
      <c r="A9" s="14" t="s">
        <v>1431</v>
      </c>
      <c r="B9" s="8">
        <v>27.18947885805019</v>
      </c>
      <c r="C9" s="6">
        <v>0.01</v>
      </c>
      <c r="D9" s="6">
        <v>0.01</v>
      </c>
      <c r="E9" s="6">
        <v>0.1399999999999999</v>
      </c>
      <c r="F9" s="6">
        <v>0.01</v>
      </c>
      <c r="G9" s="6">
        <v>0.01</v>
      </c>
      <c r="H9" s="6">
        <v>0.01</v>
      </c>
      <c r="I9" s="6">
        <v>0.01</v>
      </c>
      <c r="J9" s="6">
        <v>0.01</v>
      </c>
      <c r="K9" s="6">
        <v>0.01</v>
      </c>
      <c r="L9" s="6">
        <v>0.01</v>
      </c>
      <c r="M9" s="6">
        <v>0.01</v>
      </c>
      <c r="N9" s="6">
        <v>0.01</v>
      </c>
      <c r="O9" s="6">
        <v>0.01</v>
      </c>
      <c r="P9" s="6">
        <v>0.06</v>
      </c>
      <c r="Q9" s="6">
        <v>0.06</v>
      </c>
      <c r="R9" s="6">
        <v>0.01</v>
      </c>
      <c r="S9" s="6">
        <v>0.01</v>
      </c>
      <c r="T9" s="6">
        <v>0.01</v>
      </c>
      <c r="U9" s="6">
        <v>0.01</v>
      </c>
      <c r="V9" s="6">
        <v>0.06</v>
      </c>
      <c r="W9" s="6">
        <v>0.2</v>
      </c>
      <c r="X9" s="6">
        <v>0.01</v>
      </c>
      <c r="Y9" s="6">
        <v>0.01</v>
      </c>
      <c r="Z9" s="6">
        <v>0.01</v>
      </c>
      <c r="AA9" s="6">
        <v>0.01</v>
      </c>
      <c r="AB9" s="6">
        <v>0.01</v>
      </c>
      <c r="AC9" s="6">
        <v>0.01</v>
      </c>
      <c r="AD9" s="6">
        <v>0.01</v>
      </c>
      <c r="AE9" s="6">
        <v>0.01</v>
      </c>
      <c r="AF9" s="6">
        <v>0.01</v>
      </c>
      <c r="AG9" s="6">
        <v>0.01</v>
      </c>
      <c r="AH9" s="6">
        <v>0.01</v>
      </c>
      <c r="AI9" s="6">
        <v>0.01</v>
      </c>
      <c r="AJ9" s="6">
        <v>0.01</v>
      </c>
      <c r="AK9" s="6">
        <v>0.01</v>
      </c>
      <c r="AL9" s="6">
        <v>0.01</v>
      </c>
      <c r="AM9" s="6">
        <v>0.01</v>
      </c>
      <c r="AN9" s="6">
        <v>0.01</v>
      </c>
      <c r="AO9" s="6">
        <v>0.01</v>
      </c>
      <c r="AP9" s="6">
        <v>0.01</v>
      </c>
      <c r="AQ9" s="6">
        <v>0.01</v>
      </c>
      <c r="AR9" s="6">
        <v>0.01</v>
      </c>
      <c r="AS9" s="6">
        <v>0.01</v>
      </c>
      <c r="AT9" s="6">
        <v>0.01</v>
      </c>
      <c r="AU9" s="6">
        <v>0.01</v>
      </c>
      <c r="AV9" s="6">
        <v>0.01</v>
      </c>
      <c r="AW9" s="6">
        <v>0.01</v>
      </c>
      <c r="AX9" s="6">
        <v>0.01</v>
      </c>
      <c r="AY9" s="6">
        <v>0.01</v>
      </c>
      <c r="AZ9" s="6">
        <v>0.01</v>
      </c>
      <c r="BA9" s="6">
        <v>0.01</v>
      </c>
      <c r="BB9" s="6">
        <v>0.01</v>
      </c>
    </row>
    <row r="10" spans="1:54" x14ac:dyDescent="0.2">
      <c r="A10" s="14" t="s">
        <v>1432</v>
      </c>
      <c r="B10" s="8">
        <v>61.117867141081668</v>
      </c>
      <c r="C10" s="6">
        <v>0.01</v>
      </c>
      <c r="D10" s="6">
        <v>0.01</v>
      </c>
      <c r="E10" s="6">
        <v>0.01</v>
      </c>
      <c r="F10" s="6">
        <v>0.01</v>
      </c>
      <c r="G10" s="6">
        <v>0.01</v>
      </c>
      <c r="H10" s="6">
        <v>0.01</v>
      </c>
      <c r="I10" s="6">
        <v>0.01</v>
      </c>
      <c r="J10" s="6">
        <v>0.01</v>
      </c>
      <c r="K10" s="6">
        <v>0.2</v>
      </c>
      <c r="L10" s="6">
        <v>0.01</v>
      </c>
      <c r="M10" s="6">
        <v>0.01</v>
      </c>
      <c r="N10" s="6">
        <v>0.01</v>
      </c>
      <c r="O10" s="6">
        <v>0.01</v>
      </c>
      <c r="P10" s="6">
        <v>0.01</v>
      </c>
      <c r="Q10" s="6">
        <v>0.01</v>
      </c>
      <c r="R10" s="6">
        <v>0.01</v>
      </c>
      <c r="S10" s="6">
        <v>0.01</v>
      </c>
      <c r="T10" s="6">
        <v>0.01</v>
      </c>
      <c r="U10" s="6">
        <v>0.1399999999999999</v>
      </c>
      <c r="V10" s="6">
        <v>0.06</v>
      </c>
      <c r="W10" s="6">
        <v>0.01</v>
      </c>
      <c r="X10" s="6">
        <v>0.01</v>
      </c>
      <c r="Y10" s="6">
        <v>0.01</v>
      </c>
      <c r="Z10" s="6">
        <v>0.01</v>
      </c>
      <c r="AA10" s="6">
        <v>0.01</v>
      </c>
      <c r="AB10" s="6">
        <v>0.01</v>
      </c>
      <c r="AC10" s="6">
        <v>0.01</v>
      </c>
      <c r="AD10" s="6">
        <v>0.06</v>
      </c>
      <c r="AE10" s="6">
        <v>0.06</v>
      </c>
      <c r="AF10" s="6">
        <v>0.01</v>
      </c>
      <c r="AG10" s="6">
        <v>0.01</v>
      </c>
      <c r="AH10" s="6">
        <v>0.01</v>
      </c>
      <c r="AI10" s="6">
        <v>0.01</v>
      </c>
      <c r="AJ10" s="6">
        <v>0.01</v>
      </c>
      <c r="AK10" s="6">
        <v>0.01</v>
      </c>
      <c r="AL10" s="6">
        <v>0.01</v>
      </c>
      <c r="AM10" s="6">
        <v>0.01</v>
      </c>
      <c r="AN10" s="6">
        <v>0.01</v>
      </c>
      <c r="AO10" s="6">
        <v>0.01</v>
      </c>
      <c r="AP10" s="6">
        <v>0.01</v>
      </c>
      <c r="AQ10" s="6">
        <v>0.01</v>
      </c>
      <c r="AR10" s="6">
        <v>0.01</v>
      </c>
      <c r="AS10" s="6">
        <v>0.01</v>
      </c>
      <c r="AT10" s="6">
        <v>0.01</v>
      </c>
      <c r="AU10" s="6">
        <v>0.01</v>
      </c>
      <c r="AV10" s="6">
        <v>0.01</v>
      </c>
      <c r="AW10" s="6">
        <v>0.01</v>
      </c>
      <c r="AX10" s="6">
        <v>0.01</v>
      </c>
      <c r="AY10" s="6">
        <v>0.01</v>
      </c>
      <c r="AZ10" s="6">
        <v>0.01</v>
      </c>
      <c r="BA10" s="6">
        <v>0.01</v>
      </c>
      <c r="BB10" s="6">
        <v>0.01</v>
      </c>
    </row>
    <row r="11" spans="1:54" x14ac:dyDescent="0.2">
      <c r="A11" s="14" t="s">
        <v>1433</v>
      </c>
      <c r="B11" s="8">
        <v>1.0168076466801921</v>
      </c>
      <c r="C11" s="6">
        <v>0.01</v>
      </c>
      <c r="D11" s="6">
        <v>0.01</v>
      </c>
      <c r="E11" s="6">
        <v>0.01</v>
      </c>
      <c r="F11" s="6">
        <v>0.01</v>
      </c>
      <c r="G11" s="6">
        <v>0.01</v>
      </c>
      <c r="H11" s="6">
        <v>0.01</v>
      </c>
      <c r="I11" s="6">
        <v>0.01</v>
      </c>
      <c r="J11" s="6">
        <v>0.01</v>
      </c>
      <c r="K11" s="6">
        <v>0.01</v>
      </c>
      <c r="L11" s="6">
        <v>0.01</v>
      </c>
      <c r="M11" s="6">
        <v>0.01</v>
      </c>
      <c r="N11" s="6">
        <v>0.01</v>
      </c>
      <c r="O11" s="6">
        <v>0.01</v>
      </c>
      <c r="P11" s="6">
        <v>0.06</v>
      </c>
      <c r="Q11" s="6">
        <v>0.01</v>
      </c>
      <c r="R11" s="6">
        <v>0.01</v>
      </c>
      <c r="S11" s="6">
        <v>0.01</v>
      </c>
      <c r="T11" s="6">
        <v>0.01</v>
      </c>
      <c r="U11" s="6">
        <v>0.01</v>
      </c>
      <c r="V11" s="6">
        <v>0.01</v>
      </c>
      <c r="W11" s="6">
        <v>0.01</v>
      </c>
      <c r="X11" s="6">
        <v>0.01</v>
      </c>
      <c r="Y11" s="6">
        <v>0.06</v>
      </c>
      <c r="Z11" s="6">
        <v>0.12</v>
      </c>
      <c r="AA11" s="6">
        <v>5.9999999999999901E-2</v>
      </c>
      <c r="AB11" s="6">
        <v>0.01</v>
      </c>
      <c r="AC11" s="6">
        <v>0.2</v>
      </c>
      <c r="AD11" s="6">
        <v>0.01</v>
      </c>
      <c r="AE11" s="6">
        <v>0.01</v>
      </c>
      <c r="AF11" s="6">
        <v>0.01</v>
      </c>
      <c r="AG11" s="6">
        <v>0.01</v>
      </c>
      <c r="AH11" s="6">
        <v>0.01</v>
      </c>
      <c r="AI11" s="6">
        <v>0.01</v>
      </c>
      <c r="AJ11" s="6">
        <v>0.01</v>
      </c>
      <c r="AK11" s="6">
        <v>0.01</v>
      </c>
      <c r="AL11" s="6">
        <v>0.01</v>
      </c>
      <c r="AM11" s="6">
        <v>0.01</v>
      </c>
      <c r="AN11" s="6">
        <v>0.01</v>
      </c>
      <c r="AO11" s="6">
        <v>0.01</v>
      </c>
      <c r="AP11" s="6">
        <v>0.01</v>
      </c>
      <c r="AQ11" s="6">
        <v>0.01</v>
      </c>
      <c r="AR11" s="6">
        <v>0.06</v>
      </c>
      <c r="AS11" s="6">
        <v>0.01</v>
      </c>
      <c r="AT11" s="6">
        <v>0.01</v>
      </c>
      <c r="AU11" s="6">
        <v>0.01</v>
      </c>
      <c r="AV11" s="6">
        <v>0.01</v>
      </c>
      <c r="AW11" s="6">
        <v>0.01</v>
      </c>
      <c r="AX11" s="6">
        <v>0.01</v>
      </c>
      <c r="AY11" s="6">
        <v>0.01</v>
      </c>
      <c r="AZ11" s="6">
        <v>0.01</v>
      </c>
      <c r="BA11" s="6">
        <v>0.01</v>
      </c>
      <c r="BB11" s="6">
        <v>0.01</v>
      </c>
    </row>
    <row r="12" spans="1:54" x14ac:dyDescent="0.2">
      <c r="A12" s="14" t="s">
        <v>1434</v>
      </c>
      <c r="B12" s="8">
        <v>-0.8780009090324512</v>
      </c>
      <c r="C12" s="6">
        <v>4.4999999999999998E-2</v>
      </c>
      <c r="D12" s="6">
        <v>0.15</v>
      </c>
      <c r="E12" s="6">
        <v>4.4999999999999998E-2</v>
      </c>
      <c r="F12" s="6">
        <v>7.4999999999999997E-3</v>
      </c>
      <c r="G12" s="6">
        <v>7.4999999999999997E-3</v>
      </c>
      <c r="H12" s="6">
        <v>7.4999999999999997E-3</v>
      </c>
      <c r="I12" s="6">
        <v>7.4999999999999E-3</v>
      </c>
      <c r="J12" s="6">
        <v>7.4999999999999997E-3</v>
      </c>
      <c r="K12" s="6">
        <v>7.4999999999999997E-3</v>
      </c>
      <c r="L12" s="6">
        <v>7.4999999999999997E-3</v>
      </c>
      <c r="M12" s="6">
        <v>7.4999999999999E-3</v>
      </c>
      <c r="N12" s="6">
        <v>4.4999999999999998E-2</v>
      </c>
      <c r="O12" s="6">
        <v>7.4999999999999997E-3</v>
      </c>
      <c r="P12" s="6">
        <v>7.4999999999999997E-3</v>
      </c>
      <c r="Q12" s="6">
        <v>7.4999999999999997E-3</v>
      </c>
      <c r="R12" s="6">
        <v>7.4999999999999E-3</v>
      </c>
      <c r="S12" s="6">
        <v>7.4999999999999997E-3</v>
      </c>
      <c r="T12" s="6">
        <v>7.4999999999999997E-3</v>
      </c>
      <c r="U12" s="6">
        <v>7.4999999999999997E-3</v>
      </c>
      <c r="V12" s="6">
        <v>7.4999999999999997E-3</v>
      </c>
      <c r="W12" s="6">
        <v>7.4999999999999997E-3</v>
      </c>
      <c r="X12" s="6">
        <v>7.4999999999999997E-3</v>
      </c>
      <c r="Y12" s="6">
        <v>7.4999999999999997E-3</v>
      </c>
      <c r="Z12" s="6">
        <v>7.4999999999999997E-3</v>
      </c>
      <c r="AA12" s="6">
        <v>7.4999999999999E-3</v>
      </c>
      <c r="AB12" s="6">
        <v>7.4999999999999997E-3</v>
      </c>
      <c r="AC12" s="6">
        <v>7.4999999999999997E-3</v>
      </c>
      <c r="AD12" s="6">
        <v>7.4999999999999997E-3</v>
      </c>
      <c r="AE12" s="6">
        <v>7.4999999999999997E-3</v>
      </c>
      <c r="AF12" s="6">
        <v>7.4999999999999997E-3</v>
      </c>
      <c r="AG12" s="6">
        <v>7.4999999999999997E-3</v>
      </c>
      <c r="AH12" s="6">
        <v>7.4999999999999997E-3</v>
      </c>
      <c r="AI12" s="6">
        <v>7.4999999999999997E-3</v>
      </c>
      <c r="AJ12" s="6">
        <v>7.4999999999999997E-3</v>
      </c>
      <c r="AK12" s="6">
        <v>7.4999999999999997E-3</v>
      </c>
      <c r="AL12" s="6">
        <v>7.4999999999999997E-3</v>
      </c>
      <c r="AM12" s="6">
        <v>7.4999999999999997E-3</v>
      </c>
      <c r="AN12" s="6">
        <v>7.4999999999999997E-3</v>
      </c>
      <c r="AO12" s="6">
        <v>7.4999999999999997E-3</v>
      </c>
      <c r="AP12" s="6">
        <v>7.4999999999999997E-3</v>
      </c>
      <c r="AQ12" s="6">
        <v>7.4999999999999997E-3</v>
      </c>
      <c r="AR12" s="6">
        <v>7.4999999999999997E-3</v>
      </c>
      <c r="AS12" s="6">
        <v>7.4999999999999997E-3</v>
      </c>
      <c r="AT12" s="6">
        <v>7.4999999999999997E-3</v>
      </c>
      <c r="AU12" s="6">
        <v>7.4999999999999997E-3</v>
      </c>
      <c r="AV12" s="6">
        <v>7.4999999999999997E-3</v>
      </c>
      <c r="AW12" s="6">
        <v>7.4999999999999997E-3</v>
      </c>
      <c r="AX12" s="6">
        <v>7.4999999999999E-3</v>
      </c>
      <c r="AY12" s="6">
        <v>7.4999999999999997E-3</v>
      </c>
      <c r="AZ12" s="6">
        <v>7.4999999999999997E-3</v>
      </c>
      <c r="BA12" s="6">
        <v>7.4999999999999997E-3</v>
      </c>
      <c r="BB12" s="6">
        <v>7.4999999999999997E-3</v>
      </c>
    </row>
    <row r="13" spans="1:54" x14ac:dyDescent="0.2">
      <c r="A13" s="14" t="s">
        <v>1435</v>
      </c>
      <c r="B13" s="8">
        <v>0.22714337365315951</v>
      </c>
      <c r="C13" s="6">
        <v>4.4999999999999998E-2</v>
      </c>
      <c r="D13" s="6">
        <v>7.4999999999999997E-3</v>
      </c>
      <c r="E13" s="6">
        <v>0.15</v>
      </c>
      <c r="F13" s="6">
        <v>7.4999999999999997E-3</v>
      </c>
      <c r="G13" s="6">
        <v>7.4999999999999997E-3</v>
      </c>
      <c r="H13" s="6">
        <v>7.4999999999999997E-3</v>
      </c>
      <c r="I13" s="6">
        <v>7.4999999999999E-3</v>
      </c>
      <c r="J13" s="6">
        <v>7.4999999999999997E-3</v>
      </c>
      <c r="K13" s="6">
        <v>7.4999999999999997E-3</v>
      </c>
      <c r="L13" s="6">
        <v>7.4999999999999997E-3</v>
      </c>
      <c r="M13" s="6">
        <v>7.4999999999999E-3</v>
      </c>
      <c r="N13" s="6">
        <v>4.4999999999999998E-2</v>
      </c>
      <c r="O13" s="6">
        <v>7.4999999999999997E-3</v>
      </c>
      <c r="P13" s="6">
        <v>7.4999999999999997E-3</v>
      </c>
      <c r="Q13" s="6">
        <v>7.4999999999999997E-3</v>
      </c>
      <c r="R13" s="6">
        <v>7.4999999999999E-3</v>
      </c>
      <c r="S13" s="6">
        <v>7.4999999999999997E-3</v>
      </c>
      <c r="T13" s="6">
        <v>7.4999999999999997E-3</v>
      </c>
      <c r="U13" s="6">
        <v>7.4999999999999997E-3</v>
      </c>
      <c r="V13" s="6">
        <v>7.4999999999999997E-3</v>
      </c>
      <c r="W13" s="6">
        <v>4.4999999999999998E-2</v>
      </c>
      <c r="X13" s="6">
        <v>7.4999999999999997E-3</v>
      </c>
      <c r="Y13" s="6">
        <v>7.4999999999999997E-3</v>
      </c>
      <c r="Z13" s="6">
        <v>7.4999999999999997E-3</v>
      </c>
      <c r="AA13" s="6">
        <v>7.4999999999999E-3</v>
      </c>
      <c r="AB13" s="6">
        <v>7.4999999999999997E-3</v>
      </c>
      <c r="AC13" s="6">
        <v>7.4999999999999997E-3</v>
      </c>
      <c r="AD13" s="6">
        <v>7.4999999999999997E-3</v>
      </c>
      <c r="AE13" s="6">
        <v>7.4999999999999997E-3</v>
      </c>
      <c r="AF13" s="6">
        <v>7.4999999999999997E-3</v>
      </c>
      <c r="AG13" s="6">
        <v>7.4999999999999997E-3</v>
      </c>
      <c r="AH13" s="6">
        <v>7.4999999999999997E-3</v>
      </c>
      <c r="AI13" s="6">
        <v>7.4999999999999997E-3</v>
      </c>
      <c r="AJ13" s="6">
        <v>7.4999999999999997E-3</v>
      </c>
      <c r="AK13" s="6">
        <v>7.4999999999999997E-3</v>
      </c>
      <c r="AL13" s="6">
        <v>7.4999999999999997E-3</v>
      </c>
      <c r="AM13" s="6">
        <v>7.4999999999999997E-3</v>
      </c>
      <c r="AN13" s="6">
        <v>7.4999999999999997E-3</v>
      </c>
      <c r="AO13" s="6">
        <v>7.4999999999999997E-3</v>
      </c>
      <c r="AP13" s="6">
        <v>7.4999999999999997E-3</v>
      </c>
      <c r="AQ13" s="6">
        <v>7.4999999999999997E-3</v>
      </c>
      <c r="AR13" s="6">
        <v>7.4999999999999997E-3</v>
      </c>
      <c r="AS13" s="6">
        <v>7.4999999999999997E-3</v>
      </c>
      <c r="AT13" s="6">
        <v>7.4999999999999997E-3</v>
      </c>
      <c r="AU13" s="6">
        <v>7.4999999999999997E-3</v>
      </c>
      <c r="AV13" s="6">
        <v>7.4999999999999997E-3</v>
      </c>
      <c r="AW13" s="6">
        <v>7.4999999999999997E-3</v>
      </c>
      <c r="AX13" s="6">
        <v>7.4999999999999E-3</v>
      </c>
      <c r="AY13" s="6">
        <v>7.4999999999999997E-3</v>
      </c>
      <c r="AZ13" s="6">
        <v>7.4999999999999997E-3</v>
      </c>
      <c r="BA13" s="6">
        <v>7.4999999999999997E-3</v>
      </c>
      <c r="BB13" s="6">
        <v>7.4999999999999997E-3</v>
      </c>
    </row>
    <row r="14" spans="1:54" x14ac:dyDescent="0.2">
      <c r="A14" s="14" t="s">
        <v>1436</v>
      </c>
      <c r="B14" s="8">
        <v>0.1670210655902582</v>
      </c>
      <c r="C14" s="6">
        <v>7.4999999999999997E-3</v>
      </c>
      <c r="D14" s="6">
        <v>7.4999999999999997E-3</v>
      </c>
      <c r="E14" s="6">
        <v>7.4999999999999E-3</v>
      </c>
      <c r="F14" s="6">
        <v>7.4999999999999997E-3</v>
      </c>
      <c r="G14" s="6">
        <v>7.4999999999999997E-3</v>
      </c>
      <c r="H14" s="6">
        <v>0.15</v>
      </c>
      <c r="I14" s="6">
        <v>7.4999999999999E-3</v>
      </c>
      <c r="J14" s="6">
        <v>7.4999999999999997E-3</v>
      </c>
      <c r="K14" s="6">
        <v>7.4999999999999997E-3</v>
      </c>
      <c r="L14" s="6">
        <v>7.4999999999999997E-3</v>
      </c>
      <c r="M14" s="6">
        <v>7.4999999999999E-3</v>
      </c>
      <c r="N14" s="6">
        <v>7.4999999999999E-3</v>
      </c>
      <c r="O14" s="6">
        <v>7.4999999999999997E-3</v>
      </c>
      <c r="P14" s="6">
        <v>7.4999999999999997E-3</v>
      </c>
      <c r="Q14" s="6">
        <v>7.4999999999999997E-3</v>
      </c>
      <c r="R14" s="6">
        <v>4.4999999999999998E-2</v>
      </c>
      <c r="S14" s="6">
        <v>4.4999999999999998E-2</v>
      </c>
      <c r="T14" s="6">
        <v>7.4999999999999997E-3</v>
      </c>
      <c r="U14" s="6">
        <v>7.4999999999999997E-3</v>
      </c>
      <c r="V14" s="6">
        <v>7.4999999999999997E-3</v>
      </c>
      <c r="W14" s="6">
        <v>7.4999999999999997E-3</v>
      </c>
      <c r="X14" s="6">
        <v>7.4999999999999997E-3</v>
      </c>
      <c r="Y14" s="6">
        <v>7.4999999999999997E-3</v>
      </c>
      <c r="Z14" s="6">
        <v>7.4999999999999997E-3</v>
      </c>
      <c r="AA14" s="6">
        <v>7.4999999999999E-3</v>
      </c>
      <c r="AB14" s="6">
        <v>7.4999999999999997E-3</v>
      </c>
      <c r="AC14" s="6">
        <v>7.4999999999999997E-3</v>
      </c>
      <c r="AD14" s="6">
        <v>7.4999999999999997E-3</v>
      </c>
      <c r="AE14" s="6">
        <v>7.4999999999999997E-3</v>
      </c>
      <c r="AF14" s="6">
        <v>7.4999999999999997E-3</v>
      </c>
      <c r="AG14" s="6">
        <v>7.4999999999999997E-3</v>
      </c>
      <c r="AH14" s="6">
        <v>7.4999999999999997E-3</v>
      </c>
      <c r="AI14" s="6">
        <v>7.4999999999999997E-3</v>
      </c>
      <c r="AJ14" s="6">
        <v>7.4999999999999997E-3</v>
      </c>
      <c r="AK14" s="6">
        <v>7.4999999999999997E-3</v>
      </c>
      <c r="AL14" s="6">
        <v>7.4999999999999997E-3</v>
      </c>
      <c r="AM14" s="6">
        <v>7.4999999999999997E-3</v>
      </c>
      <c r="AN14" s="6">
        <v>7.4999999999999997E-3</v>
      </c>
      <c r="AO14" s="6">
        <v>7.4999999999999997E-3</v>
      </c>
      <c r="AP14" s="6">
        <v>7.4999999999999997E-3</v>
      </c>
      <c r="AQ14" s="6">
        <v>7.4999999999999997E-3</v>
      </c>
      <c r="AR14" s="6">
        <v>7.4999999999999997E-3</v>
      </c>
      <c r="AS14" s="6">
        <v>7.4999999999999997E-3</v>
      </c>
      <c r="AT14" s="6">
        <v>7.4999999999999997E-3</v>
      </c>
      <c r="AU14" s="6">
        <v>7.4999999999999997E-3</v>
      </c>
      <c r="AV14" s="6">
        <v>7.4999999999999997E-3</v>
      </c>
      <c r="AW14" s="6">
        <v>7.4999999999999997E-3</v>
      </c>
      <c r="AX14" s="6">
        <v>7.4999999999999E-3</v>
      </c>
      <c r="AY14" s="6">
        <v>7.4999999999999997E-3</v>
      </c>
      <c r="AZ14" s="6">
        <v>7.4999999999999997E-3</v>
      </c>
      <c r="BA14" s="6">
        <v>7.4999999999999997E-3</v>
      </c>
      <c r="BB14" s="6">
        <v>7.4999999999999997E-3</v>
      </c>
    </row>
    <row r="15" spans="1:54" x14ac:dyDescent="0.2">
      <c r="A15" s="14" t="s">
        <v>1437</v>
      </c>
      <c r="B15" s="8">
        <v>0.44210939381939079</v>
      </c>
      <c r="C15" s="6">
        <v>7.4999999999999997E-3</v>
      </c>
      <c r="D15" s="6">
        <v>7.4999999999999997E-3</v>
      </c>
      <c r="E15" s="6">
        <v>7.4999999999999E-3</v>
      </c>
      <c r="F15" s="6">
        <v>7.4999999999999997E-3</v>
      </c>
      <c r="G15" s="6">
        <v>7.4999999999999997E-3</v>
      </c>
      <c r="H15" s="6">
        <v>7.4999999999999997E-3</v>
      </c>
      <c r="I15" s="6">
        <v>0.15</v>
      </c>
      <c r="J15" s="6">
        <v>7.4999999999999997E-3</v>
      </c>
      <c r="K15" s="6">
        <v>7.4999999999999997E-3</v>
      </c>
      <c r="L15" s="6">
        <v>7.4999999999999997E-3</v>
      </c>
      <c r="M15" s="6">
        <v>7.4999999999999E-3</v>
      </c>
      <c r="N15" s="6">
        <v>4.4999999999999998E-2</v>
      </c>
      <c r="O15" s="6">
        <v>7.4999999999999997E-3</v>
      </c>
      <c r="P15" s="6">
        <v>7.4999999999999997E-3</v>
      </c>
      <c r="Q15" s="6">
        <v>7.4999999999999997E-3</v>
      </c>
      <c r="R15" s="6">
        <v>7.4999999999999E-3</v>
      </c>
      <c r="S15" s="6">
        <v>7.4999999999999997E-3</v>
      </c>
      <c r="T15" s="6">
        <v>7.4999999999999997E-3</v>
      </c>
      <c r="U15" s="6">
        <v>7.4999999999999997E-3</v>
      </c>
      <c r="V15" s="6">
        <v>7.4999999999999997E-3</v>
      </c>
      <c r="W15" s="6">
        <v>7.4999999999999997E-3</v>
      </c>
      <c r="X15" s="6">
        <v>7.4999999999999997E-3</v>
      </c>
      <c r="Y15" s="6">
        <v>7.4999999999999997E-3</v>
      </c>
      <c r="Z15" s="6">
        <v>7.4999999999999997E-3</v>
      </c>
      <c r="AA15" s="6">
        <v>7.4999999999999E-3</v>
      </c>
      <c r="AB15" s="6">
        <v>7.4999999999999997E-3</v>
      </c>
      <c r="AC15" s="6">
        <v>7.4999999999999997E-3</v>
      </c>
      <c r="AD15" s="6">
        <v>7.4999999999999997E-3</v>
      </c>
      <c r="AE15" s="6">
        <v>7.4999999999999997E-3</v>
      </c>
      <c r="AF15" s="6">
        <v>7.4999999999999997E-3</v>
      </c>
      <c r="AG15" s="6">
        <v>7.4999999999999997E-3</v>
      </c>
      <c r="AH15" s="6">
        <v>7.4999999999999997E-3</v>
      </c>
      <c r="AI15" s="6">
        <v>7.4999999999999997E-3</v>
      </c>
      <c r="AJ15" s="6">
        <v>7.4999999999999997E-3</v>
      </c>
      <c r="AK15" s="6">
        <v>7.4999999999999997E-3</v>
      </c>
      <c r="AL15" s="6">
        <v>7.4999999999999997E-3</v>
      </c>
      <c r="AM15" s="6">
        <v>7.4999999999999997E-3</v>
      </c>
      <c r="AN15" s="6">
        <v>7.4999999999999997E-3</v>
      </c>
      <c r="AO15" s="6">
        <v>7.4999999999999997E-3</v>
      </c>
      <c r="AP15" s="6">
        <v>4.4999999999999998E-2</v>
      </c>
      <c r="AQ15" s="6">
        <v>4.4999999999999998E-2</v>
      </c>
      <c r="AR15" s="6">
        <v>7.4999999999999997E-3</v>
      </c>
      <c r="AS15" s="6">
        <v>7.4999999999999997E-3</v>
      </c>
      <c r="AT15" s="6">
        <v>7.4999999999999997E-3</v>
      </c>
      <c r="AU15" s="6">
        <v>7.4999999999999997E-3</v>
      </c>
      <c r="AV15" s="6">
        <v>7.4999999999999997E-3</v>
      </c>
      <c r="AW15" s="6">
        <v>7.4999999999999997E-3</v>
      </c>
      <c r="AX15" s="6">
        <v>7.4999999999999E-3</v>
      </c>
      <c r="AY15" s="6">
        <v>7.4999999999999997E-3</v>
      </c>
      <c r="AZ15" s="6">
        <v>7.4999999999999997E-3</v>
      </c>
      <c r="BA15" s="6">
        <v>7.4999999999999997E-3</v>
      </c>
      <c r="BB15" s="6">
        <v>7.4999999999999997E-3</v>
      </c>
    </row>
    <row r="16" spans="1:54" x14ac:dyDescent="0.2">
      <c r="A16" s="14" t="s">
        <v>1438</v>
      </c>
      <c r="B16" s="8">
        <v>0.23018091493544471</v>
      </c>
      <c r="C16" s="6">
        <v>7.4999999999999997E-3</v>
      </c>
      <c r="D16" s="6">
        <v>7.4999999999999997E-3</v>
      </c>
      <c r="E16" s="6">
        <v>7.4999999999999E-3</v>
      </c>
      <c r="F16" s="6">
        <v>7.4999999999999997E-3</v>
      </c>
      <c r="G16" s="6">
        <v>7.4999999999999997E-3</v>
      </c>
      <c r="H16" s="6">
        <v>7.4999999999999997E-3</v>
      </c>
      <c r="I16" s="6">
        <v>7.4999999999999E-3</v>
      </c>
      <c r="J16" s="6">
        <v>0.15</v>
      </c>
      <c r="K16" s="6">
        <v>7.4999999999999997E-3</v>
      </c>
      <c r="L16" s="6">
        <v>7.4999999999999997E-3</v>
      </c>
      <c r="M16" s="6">
        <v>7.4999999999999E-3</v>
      </c>
      <c r="N16" s="6">
        <v>7.4999999999999E-3</v>
      </c>
      <c r="O16" s="6">
        <v>7.4999999999999997E-3</v>
      </c>
      <c r="P16" s="6">
        <v>7.4999999999999997E-3</v>
      </c>
      <c r="Q16" s="6">
        <v>7.4999999999999997E-3</v>
      </c>
      <c r="R16" s="6">
        <v>7.4999999999999E-3</v>
      </c>
      <c r="S16" s="6">
        <v>7.4999999999999997E-3</v>
      </c>
      <c r="T16" s="6">
        <v>7.4999999999999997E-3</v>
      </c>
      <c r="U16" s="6">
        <v>4.4999999999999998E-2</v>
      </c>
      <c r="V16" s="6">
        <v>7.4999999999999997E-3</v>
      </c>
      <c r="W16" s="6">
        <v>7.4999999999999997E-3</v>
      </c>
      <c r="X16" s="6">
        <v>4.4999999999999998E-2</v>
      </c>
      <c r="Y16" s="6">
        <v>7.4999999999999997E-3</v>
      </c>
      <c r="Z16" s="6">
        <v>7.4999999999999997E-3</v>
      </c>
      <c r="AA16" s="6">
        <v>7.4999999999999E-3</v>
      </c>
      <c r="AB16" s="6">
        <v>7.4999999999999997E-3</v>
      </c>
      <c r="AC16" s="6">
        <v>7.4999999999999997E-3</v>
      </c>
      <c r="AD16" s="6">
        <v>7.4999999999999997E-3</v>
      </c>
      <c r="AE16" s="6">
        <v>7.4999999999999997E-3</v>
      </c>
      <c r="AF16" s="6">
        <v>7.4999999999999997E-3</v>
      </c>
      <c r="AG16" s="6">
        <v>4.4999999999999998E-2</v>
      </c>
      <c r="AH16" s="6">
        <v>7.4999999999999997E-3</v>
      </c>
      <c r="AI16" s="6">
        <v>7.4999999999999997E-3</v>
      </c>
      <c r="AJ16" s="6">
        <v>7.4999999999999997E-3</v>
      </c>
      <c r="AK16" s="6">
        <v>7.4999999999999997E-3</v>
      </c>
      <c r="AL16" s="6">
        <v>7.4999999999999997E-3</v>
      </c>
      <c r="AM16" s="6">
        <v>7.4999999999999997E-3</v>
      </c>
      <c r="AN16" s="6">
        <v>7.4999999999999997E-3</v>
      </c>
      <c r="AO16" s="6">
        <v>7.4999999999999997E-3</v>
      </c>
      <c r="AP16" s="6">
        <v>7.4999999999999997E-3</v>
      </c>
      <c r="AQ16" s="6">
        <v>7.4999999999999997E-3</v>
      </c>
      <c r="AR16" s="6">
        <v>7.4999999999999997E-3</v>
      </c>
      <c r="AS16" s="6">
        <v>7.4999999999999997E-3</v>
      </c>
      <c r="AT16" s="6">
        <v>7.4999999999999997E-3</v>
      </c>
      <c r="AU16" s="6">
        <v>7.4999999999999997E-3</v>
      </c>
      <c r="AV16" s="6">
        <v>7.4999999999999997E-3</v>
      </c>
      <c r="AW16" s="6">
        <v>7.4999999999999997E-3</v>
      </c>
      <c r="AX16" s="6">
        <v>7.4999999999999E-3</v>
      </c>
      <c r="AY16" s="6">
        <v>7.4999999999999997E-3</v>
      </c>
      <c r="AZ16" s="6">
        <v>7.4999999999999997E-3</v>
      </c>
      <c r="BA16" s="6">
        <v>7.4999999999999997E-3</v>
      </c>
      <c r="BB16" s="6">
        <v>7.4999999999999997E-3</v>
      </c>
    </row>
    <row r="17" spans="1:54" x14ac:dyDescent="0.2">
      <c r="A17" s="14" t="s">
        <v>1439</v>
      </c>
      <c r="B17" s="8">
        <v>0.93291429789153801</v>
      </c>
      <c r="C17" s="6">
        <v>7.4999999999999997E-3</v>
      </c>
      <c r="D17" s="6">
        <v>7.4999999999999997E-3</v>
      </c>
      <c r="E17" s="6">
        <v>7.4999999999999E-3</v>
      </c>
      <c r="F17" s="6">
        <v>7.4999999999999997E-3</v>
      </c>
      <c r="G17" s="6">
        <v>7.4999999999999997E-3</v>
      </c>
      <c r="H17" s="6">
        <v>7.4999999999999997E-3</v>
      </c>
      <c r="I17" s="6">
        <v>7.4999999999999E-3</v>
      </c>
      <c r="J17" s="6">
        <v>7.4999999999999997E-3</v>
      </c>
      <c r="K17" s="6">
        <v>0.15</v>
      </c>
      <c r="L17" s="6">
        <v>7.4999999999999997E-3</v>
      </c>
      <c r="M17" s="6">
        <v>7.4999999999999E-3</v>
      </c>
      <c r="N17" s="6">
        <v>7.4999999999999E-3</v>
      </c>
      <c r="O17" s="6">
        <v>7.4999999999999997E-3</v>
      </c>
      <c r="P17" s="6">
        <v>7.4999999999999997E-3</v>
      </c>
      <c r="Q17" s="6">
        <v>7.4999999999999997E-3</v>
      </c>
      <c r="R17" s="6">
        <v>7.4999999999999E-3</v>
      </c>
      <c r="S17" s="6">
        <v>7.4999999999999997E-3</v>
      </c>
      <c r="T17" s="6">
        <v>7.4999999999999997E-3</v>
      </c>
      <c r="U17" s="6">
        <v>4.4999999999999998E-2</v>
      </c>
      <c r="V17" s="6">
        <v>4.4999999999999998E-2</v>
      </c>
      <c r="W17" s="6">
        <v>7.4999999999999997E-3</v>
      </c>
      <c r="X17" s="6">
        <v>7.4999999999999997E-3</v>
      </c>
      <c r="Y17" s="6">
        <v>7.4999999999999997E-3</v>
      </c>
      <c r="Z17" s="6">
        <v>7.4999999999999997E-3</v>
      </c>
      <c r="AA17" s="6">
        <v>7.4999999999999E-3</v>
      </c>
      <c r="AB17" s="6">
        <v>7.4999999999999997E-3</v>
      </c>
      <c r="AC17" s="6">
        <v>7.4999999999999997E-3</v>
      </c>
      <c r="AD17" s="6">
        <v>4.4999999999999998E-2</v>
      </c>
      <c r="AE17" s="6">
        <v>7.4999999999999997E-3</v>
      </c>
      <c r="AF17" s="6">
        <v>7.4999999999999997E-3</v>
      </c>
      <c r="AG17" s="6">
        <v>7.4999999999999997E-3</v>
      </c>
      <c r="AH17" s="6">
        <v>7.4999999999999997E-3</v>
      </c>
      <c r="AI17" s="6">
        <v>7.4999999999999997E-3</v>
      </c>
      <c r="AJ17" s="6">
        <v>7.4999999999999997E-3</v>
      </c>
      <c r="AK17" s="6">
        <v>7.4999999999999997E-3</v>
      </c>
      <c r="AL17" s="6">
        <v>7.4999999999999997E-3</v>
      </c>
      <c r="AM17" s="6">
        <v>7.4999999999999997E-3</v>
      </c>
      <c r="AN17" s="6">
        <v>7.4999999999999997E-3</v>
      </c>
      <c r="AO17" s="6">
        <v>7.4999999999999997E-3</v>
      </c>
      <c r="AP17" s="6">
        <v>7.4999999999999997E-3</v>
      </c>
      <c r="AQ17" s="6">
        <v>7.4999999999999997E-3</v>
      </c>
      <c r="AR17" s="6">
        <v>7.4999999999999997E-3</v>
      </c>
      <c r="AS17" s="6">
        <v>7.4999999999999997E-3</v>
      </c>
      <c r="AT17" s="6">
        <v>7.4999999999999997E-3</v>
      </c>
      <c r="AU17" s="6">
        <v>7.4999999999999997E-3</v>
      </c>
      <c r="AV17" s="6">
        <v>7.4999999999999997E-3</v>
      </c>
      <c r="AW17" s="6">
        <v>7.4999999999999997E-3</v>
      </c>
      <c r="AX17" s="6">
        <v>7.4999999999999E-3</v>
      </c>
      <c r="AY17" s="6">
        <v>7.4999999999999997E-3</v>
      </c>
      <c r="AZ17" s="6">
        <v>7.4999999999999997E-3</v>
      </c>
      <c r="BA17" s="6">
        <v>7.4999999999999997E-3</v>
      </c>
      <c r="BB17" s="6">
        <v>7.4999999999999997E-3</v>
      </c>
    </row>
    <row r="18" spans="1:54" x14ac:dyDescent="0.2">
      <c r="A18" s="14" t="s">
        <v>1440</v>
      </c>
      <c r="B18" s="8">
        <v>0.1685176800654706</v>
      </c>
      <c r="C18" s="6">
        <v>7.4999999999999997E-3</v>
      </c>
      <c r="D18" s="6">
        <v>7.4999999999999997E-3</v>
      </c>
      <c r="E18" s="6">
        <v>7.4999999999999E-3</v>
      </c>
      <c r="F18" s="6">
        <v>7.4999999999999997E-3</v>
      </c>
      <c r="G18" s="6">
        <v>7.4999999999999997E-3</v>
      </c>
      <c r="H18" s="6">
        <v>7.4999999999999997E-3</v>
      </c>
      <c r="I18" s="6">
        <v>7.4999999999999E-3</v>
      </c>
      <c r="J18" s="6">
        <v>7.4999999999999997E-3</v>
      </c>
      <c r="K18" s="6">
        <v>7.4999999999999997E-3</v>
      </c>
      <c r="L18" s="6">
        <v>0.15</v>
      </c>
      <c r="M18" s="6">
        <v>7.4999999999999E-3</v>
      </c>
      <c r="N18" s="6">
        <v>7.4999999999999E-3</v>
      </c>
      <c r="O18" s="6">
        <v>7.4999999999999997E-3</v>
      </c>
      <c r="P18" s="6">
        <v>7.4999999999999997E-3</v>
      </c>
      <c r="Q18" s="6">
        <v>7.4999999999999997E-3</v>
      </c>
      <c r="R18" s="6">
        <v>7.4999999999999E-3</v>
      </c>
      <c r="S18" s="6">
        <v>7.4999999999999997E-3</v>
      </c>
      <c r="T18" s="6">
        <v>7.4999999999999997E-3</v>
      </c>
      <c r="U18" s="6">
        <v>7.4999999999999997E-3</v>
      </c>
      <c r="V18" s="6">
        <v>7.4999999999999997E-3</v>
      </c>
      <c r="W18" s="6">
        <v>7.4999999999999997E-3</v>
      </c>
      <c r="X18" s="6">
        <v>4.4999999999999998E-2</v>
      </c>
      <c r="Y18" s="6">
        <v>4.4999999999999998E-2</v>
      </c>
      <c r="Z18" s="6">
        <v>7.4999999999999997E-3</v>
      </c>
      <c r="AA18" s="6">
        <v>7.4999999999999E-3</v>
      </c>
      <c r="AB18" s="6">
        <v>7.4999999999999997E-3</v>
      </c>
      <c r="AC18" s="6">
        <v>7.4999999999999997E-3</v>
      </c>
      <c r="AD18" s="6">
        <v>7.4999999999999997E-3</v>
      </c>
      <c r="AE18" s="6">
        <v>7.4999999999999997E-3</v>
      </c>
      <c r="AF18" s="6">
        <v>7.4999999999999997E-3</v>
      </c>
      <c r="AG18" s="6">
        <v>7.4999999999999997E-3</v>
      </c>
      <c r="AH18" s="6">
        <v>7.4999999999999997E-3</v>
      </c>
      <c r="AI18" s="6">
        <v>7.4999999999999997E-3</v>
      </c>
      <c r="AJ18" s="6">
        <v>7.4999999999999997E-3</v>
      </c>
      <c r="AK18" s="6">
        <v>7.4999999999999997E-3</v>
      </c>
      <c r="AL18" s="6">
        <v>7.4999999999999997E-3</v>
      </c>
      <c r="AM18" s="6">
        <v>7.4999999999999997E-3</v>
      </c>
      <c r="AN18" s="6">
        <v>7.4999999999999997E-3</v>
      </c>
      <c r="AO18" s="6">
        <v>7.4999999999999997E-3</v>
      </c>
      <c r="AP18" s="6">
        <v>7.4999999999999997E-3</v>
      </c>
      <c r="AQ18" s="6">
        <v>7.4999999999999997E-3</v>
      </c>
      <c r="AR18" s="6">
        <v>7.4999999999999997E-3</v>
      </c>
      <c r="AS18" s="6">
        <v>7.4999999999999997E-3</v>
      </c>
      <c r="AT18" s="6">
        <v>7.4999999999999997E-3</v>
      </c>
      <c r="AU18" s="6">
        <v>7.4999999999999997E-3</v>
      </c>
      <c r="AV18" s="6">
        <v>7.4999999999999997E-3</v>
      </c>
      <c r="AW18" s="6">
        <v>7.4999999999999997E-3</v>
      </c>
      <c r="AX18" s="6">
        <v>7.4999999999999E-3</v>
      </c>
      <c r="AY18" s="6">
        <v>7.4999999999999997E-3</v>
      </c>
      <c r="AZ18" s="6">
        <v>7.4999999999999997E-3</v>
      </c>
      <c r="BA18" s="6">
        <v>7.4999999999999997E-3</v>
      </c>
      <c r="BB18" s="6">
        <v>7.4999999999999997E-3</v>
      </c>
    </row>
    <row r="19" spans="1:54" x14ac:dyDescent="0.2">
      <c r="A19" s="14" t="s">
        <v>1441</v>
      </c>
      <c r="B19" s="8">
        <v>0.1532377876717789</v>
      </c>
      <c r="C19" s="6">
        <v>4.4999999999999998E-2</v>
      </c>
      <c r="D19" s="6">
        <v>7.4999999999999997E-3</v>
      </c>
      <c r="E19" s="6">
        <v>7.4999999999999E-3</v>
      </c>
      <c r="F19" s="6">
        <v>4.4999999999999998E-2</v>
      </c>
      <c r="G19" s="6">
        <v>7.4999999999999997E-3</v>
      </c>
      <c r="H19" s="6">
        <v>7.4999999999999997E-3</v>
      </c>
      <c r="I19" s="6">
        <v>7.4999999999999E-3</v>
      </c>
      <c r="J19" s="6">
        <v>7.4999999999999997E-3</v>
      </c>
      <c r="K19" s="6">
        <v>7.4999999999999997E-3</v>
      </c>
      <c r="L19" s="6">
        <v>7.4999999999999997E-3</v>
      </c>
      <c r="M19" s="6">
        <v>7.4999999999999E-3</v>
      </c>
      <c r="N19" s="6">
        <v>0.15</v>
      </c>
      <c r="O19" s="6">
        <v>4.4999999999999998E-2</v>
      </c>
      <c r="P19" s="6">
        <v>7.4999999999999997E-3</v>
      </c>
      <c r="Q19" s="6">
        <v>7.4999999999999997E-3</v>
      </c>
      <c r="R19" s="6">
        <v>7.4999999999999E-3</v>
      </c>
      <c r="S19" s="6">
        <v>7.4999999999999997E-3</v>
      </c>
      <c r="T19" s="6">
        <v>7.4999999999999997E-3</v>
      </c>
      <c r="U19" s="6">
        <v>7.4999999999999997E-3</v>
      </c>
      <c r="V19" s="6">
        <v>7.4999999999999997E-3</v>
      </c>
      <c r="W19" s="6">
        <v>7.4999999999999997E-3</v>
      </c>
      <c r="X19" s="6">
        <v>7.4999999999999997E-3</v>
      </c>
      <c r="Y19" s="6">
        <v>7.4999999999999997E-3</v>
      </c>
      <c r="Z19" s="6">
        <v>7.4999999999999997E-3</v>
      </c>
      <c r="AA19" s="6">
        <v>7.4999999999999E-3</v>
      </c>
      <c r="AB19" s="6">
        <v>7.4999999999999997E-3</v>
      </c>
      <c r="AC19" s="6">
        <v>7.4999999999999997E-3</v>
      </c>
      <c r="AD19" s="6">
        <v>7.4999999999999997E-3</v>
      </c>
      <c r="AE19" s="6">
        <v>7.4999999999999997E-3</v>
      </c>
      <c r="AF19" s="6">
        <v>7.4999999999999997E-3</v>
      </c>
      <c r="AG19" s="6">
        <v>7.4999999999999997E-3</v>
      </c>
      <c r="AH19" s="6">
        <v>7.4999999999999997E-3</v>
      </c>
      <c r="AI19" s="6">
        <v>7.4999999999999997E-3</v>
      </c>
      <c r="AJ19" s="6">
        <v>7.4999999999999997E-3</v>
      </c>
      <c r="AK19" s="6">
        <v>7.4999999999999997E-3</v>
      </c>
      <c r="AL19" s="6">
        <v>7.4999999999999997E-3</v>
      </c>
      <c r="AM19" s="6">
        <v>7.4999999999999997E-3</v>
      </c>
      <c r="AN19" s="6">
        <v>7.4999999999999997E-3</v>
      </c>
      <c r="AO19" s="6">
        <v>7.4999999999999997E-3</v>
      </c>
      <c r="AP19" s="6">
        <v>7.4999999999999997E-3</v>
      </c>
      <c r="AQ19" s="6">
        <v>4.4999999999999998E-2</v>
      </c>
      <c r="AR19" s="6">
        <v>7.4999999999999997E-3</v>
      </c>
      <c r="AS19" s="6">
        <v>7.4999999999999997E-3</v>
      </c>
      <c r="AT19" s="6">
        <v>7.4999999999999997E-3</v>
      </c>
      <c r="AU19" s="6">
        <v>7.4999999999999997E-3</v>
      </c>
      <c r="AV19" s="6">
        <v>7.4999999999999997E-3</v>
      </c>
      <c r="AW19" s="6">
        <v>7.4999999999999997E-3</v>
      </c>
      <c r="AX19" s="6">
        <v>7.4999999999999E-3</v>
      </c>
      <c r="AY19" s="6">
        <v>7.4999999999999997E-3</v>
      </c>
      <c r="AZ19" s="6">
        <v>7.4999999999999997E-3</v>
      </c>
      <c r="BA19" s="6">
        <v>7.4999999999999997E-3</v>
      </c>
      <c r="BB19" s="6">
        <v>7.4999999999999997E-3</v>
      </c>
    </row>
    <row r="20" spans="1:54" x14ac:dyDescent="0.2">
      <c r="A20" s="14" t="s">
        <v>1442</v>
      </c>
      <c r="B20" s="8">
        <v>0.29853777293389139</v>
      </c>
      <c r="C20" s="6">
        <v>4.4999999999999998E-2</v>
      </c>
      <c r="D20" s="6">
        <v>7.4999999999999997E-3</v>
      </c>
      <c r="E20" s="6">
        <v>7.4999999999999E-3</v>
      </c>
      <c r="F20" s="6">
        <v>7.4999999999999997E-3</v>
      </c>
      <c r="G20" s="6">
        <v>7.4999999999999997E-3</v>
      </c>
      <c r="H20" s="6">
        <v>7.4999999999999997E-3</v>
      </c>
      <c r="I20" s="6">
        <v>7.4999999999999E-3</v>
      </c>
      <c r="J20" s="6">
        <v>7.4999999999999997E-3</v>
      </c>
      <c r="K20" s="6">
        <v>7.4999999999999997E-3</v>
      </c>
      <c r="L20" s="6">
        <v>7.4999999999999997E-3</v>
      </c>
      <c r="M20" s="6">
        <v>7.4999999999999E-3</v>
      </c>
      <c r="N20" s="6">
        <v>4.4999999999999998E-2</v>
      </c>
      <c r="O20" s="6">
        <v>0.15</v>
      </c>
      <c r="P20" s="6">
        <v>7.4999999999999997E-3</v>
      </c>
      <c r="Q20" s="6">
        <v>7.4999999999999997E-3</v>
      </c>
      <c r="R20" s="6">
        <v>7.4999999999999E-3</v>
      </c>
      <c r="S20" s="6">
        <v>7.4999999999999997E-3</v>
      </c>
      <c r="T20" s="6">
        <v>7.4999999999999997E-3</v>
      </c>
      <c r="U20" s="6">
        <v>7.4999999999999997E-3</v>
      </c>
      <c r="V20" s="6">
        <v>7.4999999999999997E-3</v>
      </c>
      <c r="W20" s="6">
        <v>7.4999999999999997E-3</v>
      </c>
      <c r="X20" s="6">
        <v>7.4999999999999997E-3</v>
      </c>
      <c r="Y20" s="6">
        <v>7.4999999999999997E-3</v>
      </c>
      <c r="Z20" s="6">
        <v>7.4999999999999997E-3</v>
      </c>
      <c r="AA20" s="6">
        <v>7.4999999999999E-3</v>
      </c>
      <c r="AB20" s="6">
        <v>7.4999999999999997E-3</v>
      </c>
      <c r="AC20" s="6">
        <v>7.4999999999999997E-3</v>
      </c>
      <c r="AD20" s="6">
        <v>7.4999999999999997E-3</v>
      </c>
      <c r="AE20" s="6">
        <v>7.4999999999999997E-3</v>
      </c>
      <c r="AF20" s="6">
        <v>7.4999999999999997E-3</v>
      </c>
      <c r="AG20" s="6">
        <v>7.4999999999999997E-3</v>
      </c>
      <c r="AH20" s="6">
        <v>7.4999999999999997E-3</v>
      </c>
      <c r="AI20" s="6">
        <v>7.4999999999999997E-3</v>
      </c>
      <c r="AJ20" s="6">
        <v>7.4999999999999997E-3</v>
      </c>
      <c r="AK20" s="6">
        <v>7.4999999999999997E-3</v>
      </c>
      <c r="AL20" s="6">
        <v>7.4999999999999997E-3</v>
      </c>
      <c r="AM20" s="6">
        <v>7.4999999999999997E-3</v>
      </c>
      <c r="AN20" s="6">
        <v>7.4999999999999997E-3</v>
      </c>
      <c r="AO20" s="6">
        <v>7.4999999999999997E-3</v>
      </c>
      <c r="AP20" s="6">
        <v>7.4999999999999997E-3</v>
      </c>
      <c r="AQ20" s="6">
        <v>7.4999999999999997E-3</v>
      </c>
      <c r="AR20" s="6">
        <v>7.4999999999999997E-3</v>
      </c>
      <c r="AS20" s="6">
        <v>7.4999999999999997E-3</v>
      </c>
      <c r="AT20" s="6">
        <v>7.4999999999999997E-3</v>
      </c>
      <c r="AU20" s="6">
        <v>7.4999999999999997E-3</v>
      </c>
      <c r="AV20" s="6">
        <v>7.4999999999999997E-3</v>
      </c>
      <c r="AW20" s="6">
        <v>7.4999999999999997E-3</v>
      </c>
      <c r="AX20" s="6">
        <v>7.4999999999999E-3</v>
      </c>
      <c r="AY20" s="6">
        <v>7.4999999999999997E-3</v>
      </c>
      <c r="AZ20" s="6">
        <v>7.4999999999999997E-3</v>
      </c>
      <c r="BA20" s="6">
        <v>7.4999999999999997E-3</v>
      </c>
      <c r="BB20" s="6">
        <v>7.4999999999999997E-3</v>
      </c>
    </row>
    <row r="21" spans="1:54" x14ac:dyDescent="0.2">
      <c r="A21" s="14" t="s">
        <v>1443</v>
      </c>
      <c r="B21" s="8">
        <v>0.26568894546568822</v>
      </c>
      <c r="C21" s="6">
        <v>7.4999999999999997E-3</v>
      </c>
      <c r="D21" s="6">
        <v>7.4999999999999997E-3</v>
      </c>
      <c r="E21" s="6">
        <v>4.4999999999999998E-2</v>
      </c>
      <c r="F21" s="6">
        <v>7.4999999999999997E-3</v>
      </c>
      <c r="G21" s="6">
        <v>7.4999999999999997E-3</v>
      </c>
      <c r="H21" s="6">
        <v>7.4999999999999997E-3</v>
      </c>
      <c r="I21" s="6">
        <v>7.4999999999999E-3</v>
      </c>
      <c r="J21" s="6">
        <v>7.4999999999999997E-3</v>
      </c>
      <c r="K21" s="6">
        <v>7.4999999999999997E-3</v>
      </c>
      <c r="L21" s="6">
        <v>7.4999999999999997E-3</v>
      </c>
      <c r="M21" s="6">
        <v>7.4999999999999E-3</v>
      </c>
      <c r="N21" s="6">
        <v>7.4999999999999E-3</v>
      </c>
      <c r="O21" s="6">
        <v>7.4999999999999997E-3</v>
      </c>
      <c r="P21" s="6">
        <v>0.15</v>
      </c>
      <c r="Q21" s="6">
        <v>4.4999999999999998E-2</v>
      </c>
      <c r="R21" s="6">
        <v>7.4999999999999E-3</v>
      </c>
      <c r="S21" s="6">
        <v>7.4999999999999997E-3</v>
      </c>
      <c r="T21" s="6">
        <v>7.4999999999999997E-3</v>
      </c>
      <c r="U21" s="6">
        <v>7.4999999999999997E-3</v>
      </c>
      <c r="V21" s="6">
        <v>7.4999999999999997E-3</v>
      </c>
      <c r="W21" s="6">
        <v>4.4999999999999998E-2</v>
      </c>
      <c r="X21" s="6">
        <v>7.4999999999999997E-3</v>
      </c>
      <c r="Y21" s="6">
        <v>7.4999999999999997E-3</v>
      </c>
      <c r="Z21" s="6">
        <v>7.4999999999999997E-3</v>
      </c>
      <c r="AA21" s="6">
        <v>7.4999999999999E-3</v>
      </c>
      <c r="AB21" s="6">
        <v>7.4999999999999997E-3</v>
      </c>
      <c r="AC21" s="6">
        <v>7.4999999999999997E-3</v>
      </c>
      <c r="AD21" s="6">
        <v>7.4999999999999997E-3</v>
      </c>
      <c r="AE21" s="6">
        <v>7.4999999999999997E-3</v>
      </c>
      <c r="AF21" s="6">
        <v>7.4999999999999997E-3</v>
      </c>
      <c r="AG21" s="6">
        <v>7.4999999999999997E-3</v>
      </c>
      <c r="AH21" s="6">
        <v>7.4999999999999997E-3</v>
      </c>
      <c r="AI21" s="6">
        <v>7.4999999999999997E-3</v>
      </c>
      <c r="AJ21" s="6">
        <v>7.4999999999999997E-3</v>
      </c>
      <c r="AK21" s="6">
        <v>7.4999999999999997E-3</v>
      </c>
      <c r="AL21" s="6">
        <v>7.4999999999999997E-3</v>
      </c>
      <c r="AM21" s="6">
        <v>7.4999999999999997E-3</v>
      </c>
      <c r="AN21" s="6">
        <v>7.4999999999999997E-3</v>
      </c>
      <c r="AO21" s="6">
        <v>7.4999999999999997E-3</v>
      </c>
      <c r="AP21" s="6">
        <v>7.4999999999999997E-3</v>
      </c>
      <c r="AQ21" s="6">
        <v>7.4999999999999997E-3</v>
      </c>
      <c r="AR21" s="6">
        <v>7.4999999999999997E-3</v>
      </c>
      <c r="AS21" s="6">
        <v>7.4999999999999997E-3</v>
      </c>
      <c r="AT21" s="6">
        <v>7.4999999999999997E-3</v>
      </c>
      <c r="AU21" s="6">
        <v>7.4999999999999997E-3</v>
      </c>
      <c r="AV21" s="6">
        <v>7.4999999999999997E-3</v>
      </c>
      <c r="AW21" s="6">
        <v>7.4999999999999997E-3</v>
      </c>
      <c r="AX21" s="6">
        <v>7.4999999999999E-3</v>
      </c>
      <c r="AY21" s="6">
        <v>7.4999999999999997E-3</v>
      </c>
      <c r="AZ21" s="6">
        <v>7.4999999999999997E-3</v>
      </c>
      <c r="BA21" s="6">
        <v>7.4999999999999997E-3</v>
      </c>
      <c r="BB21" s="6">
        <v>7.4999999999999997E-3</v>
      </c>
    </row>
    <row r="22" spans="1:54" x14ac:dyDescent="0.2">
      <c r="A22" s="14" t="s">
        <v>1444</v>
      </c>
      <c r="B22" s="8">
        <v>0.18490718027000749</v>
      </c>
      <c r="C22" s="6">
        <v>7.4999999999999997E-3</v>
      </c>
      <c r="D22" s="6">
        <v>7.4999999999999997E-3</v>
      </c>
      <c r="E22" s="6">
        <v>4.4999999999999998E-2</v>
      </c>
      <c r="F22" s="6">
        <v>7.4999999999999997E-3</v>
      </c>
      <c r="G22" s="6">
        <v>7.4999999999999997E-3</v>
      </c>
      <c r="H22" s="6">
        <v>7.4999999999999997E-3</v>
      </c>
      <c r="I22" s="6">
        <v>7.4999999999999E-3</v>
      </c>
      <c r="J22" s="6">
        <v>7.4999999999999997E-3</v>
      </c>
      <c r="K22" s="6">
        <v>7.4999999999999997E-3</v>
      </c>
      <c r="L22" s="6">
        <v>7.4999999999999997E-3</v>
      </c>
      <c r="M22" s="6">
        <v>7.4999999999999E-3</v>
      </c>
      <c r="N22" s="6">
        <v>7.4999999999999E-3</v>
      </c>
      <c r="O22" s="6">
        <v>7.4999999999999997E-3</v>
      </c>
      <c r="P22" s="6">
        <v>4.4999999999999998E-2</v>
      </c>
      <c r="Q22" s="6">
        <v>0.15</v>
      </c>
      <c r="R22" s="6">
        <v>7.4999999999999E-3</v>
      </c>
      <c r="S22" s="6">
        <v>7.4999999999999997E-3</v>
      </c>
      <c r="T22" s="6">
        <v>7.4999999999999997E-3</v>
      </c>
      <c r="U22" s="6">
        <v>7.4999999999999997E-3</v>
      </c>
      <c r="V22" s="6">
        <v>7.4999999999999997E-3</v>
      </c>
      <c r="W22" s="6">
        <v>7.4999999999999997E-3</v>
      </c>
      <c r="X22" s="6">
        <v>7.4999999999999997E-3</v>
      </c>
      <c r="Y22" s="6">
        <v>7.4999999999999997E-3</v>
      </c>
      <c r="Z22" s="6">
        <v>7.4999999999999997E-3</v>
      </c>
      <c r="AA22" s="6">
        <v>7.4999999999999E-3</v>
      </c>
      <c r="AB22" s="6">
        <v>7.4999999999999997E-3</v>
      </c>
      <c r="AC22" s="6">
        <v>7.4999999999999997E-3</v>
      </c>
      <c r="AD22" s="6">
        <v>7.4999999999999997E-3</v>
      </c>
      <c r="AE22" s="6">
        <v>7.4999999999999997E-3</v>
      </c>
      <c r="AF22" s="6">
        <v>7.4999999999999997E-3</v>
      </c>
      <c r="AG22" s="6">
        <v>7.4999999999999997E-3</v>
      </c>
      <c r="AH22" s="6">
        <v>7.4999999999999997E-3</v>
      </c>
      <c r="AI22" s="6">
        <v>7.4999999999999997E-3</v>
      </c>
      <c r="AJ22" s="6">
        <v>7.4999999999999997E-3</v>
      </c>
      <c r="AK22" s="6">
        <v>7.4999999999999997E-3</v>
      </c>
      <c r="AL22" s="6">
        <v>7.4999999999999997E-3</v>
      </c>
      <c r="AM22" s="6">
        <v>7.4999999999999997E-3</v>
      </c>
      <c r="AN22" s="6">
        <v>7.4999999999999997E-3</v>
      </c>
      <c r="AO22" s="6">
        <v>7.4999999999999997E-3</v>
      </c>
      <c r="AP22" s="6">
        <v>7.4999999999999997E-3</v>
      </c>
      <c r="AQ22" s="6">
        <v>7.4999999999999997E-3</v>
      </c>
      <c r="AR22" s="6">
        <v>7.4999999999999997E-3</v>
      </c>
      <c r="AS22" s="6">
        <v>7.4999999999999997E-3</v>
      </c>
      <c r="AT22" s="6">
        <v>7.4999999999999997E-3</v>
      </c>
      <c r="AU22" s="6">
        <v>7.4999999999999997E-3</v>
      </c>
      <c r="AV22" s="6">
        <v>7.4999999999999997E-3</v>
      </c>
      <c r="AW22" s="6">
        <v>7.4999999999999997E-3</v>
      </c>
      <c r="AX22" s="6">
        <v>7.4999999999999E-3</v>
      </c>
      <c r="AY22" s="6">
        <v>7.4999999999999997E-3</v>
      </c>
      <c r="AZ22" s="6">
        <v>7.4999999999999997E-3</v>
      </c>
      <c r="BA22" s="6">
        <v>7.4999999999999997E-3</v>
      </c>
      <c r="BB22" s="6">
        <v>7.4999999999999997E-3</v>
      </c>
    </row>
    <row r="23" spans="1:54" x14ac:dyDescent="0.2">
      <c r="A23" s="14" t="s">
        <v>1445</v>
      </c>
      <c r="B23" s="8">
        <v>0.1045963387477559</v>
      </c>
      <c r="C23" s="6">
        <v>7.4999999999999997E-3</v>
      </c>
      <c r="D23" s="6">
        <v>7.4999999999999997E-3</v>
      </c>
      <c r="E23" s="6">
        <v>7.4999999999999E-3</v>
      </c>
      <c r="F23" s="6">
        <v>7.4999999999999997E-3</v>
      </c>
      <c r="G23" s="6">
        <v>7.4999999999999997E-3</v>
      </c>
      <c r="H23" s="6">
        <v>4.4999999999999998E-2</v>
      </c>
      <c r="I23" s="6">
        <v>7.4999999999999E-3</v>
      </c>
      <c r="J23" s="6">
        <v>7.4999999999999997E-3</v>
      </c>
      <c r="K23" s="6">
        <v>7.4999999999999997E-3</v>
      </c>
      <c r="L23" s="6">
        <v>7.4999999999999997E-3</v>
      </c>
      <c r="M23" s="6">
        <v>7.4999999999999E-3</v>
      </c>
      <c r="N23" s="6">
        <v>7.4999999999999E-3</v>
      </c>
      <c r="O23" s="6">
        <v>7.4999999999999997E-3</v>
      </c>
      <c r="P23" s="6">
        <v>7.4999999999999997E-3</v>
      </c>
      <c r="Q23" s="6">
        <v>7.4999999999999997E-3</v>
      </c>
      <c r="R23" s="6">
        <v>0.15</v>
      </c>
      <c r="S23" s="6">
        <v>4.4999999999999998E-2</v>
      </c>
      <c r="T23" s="6">
        <v>7.4999999999999997E-3</v>
      </c>
      <c r="U23" s="6">
        <v>7.4999999999999997E-3</v>
      </c>
      <c r="V23" s="6">
        <v>7.4999999999999997E-3</v>
      </c>
      <c r="W23" s="6">
        <v>7.4999999999999997E-3</v>
      </c>
      <c r="X23" s="6">
        <v>7.4999999999999997E-3</v>
      </c>
      <c r="Y23" s="6">
        <v>7.4999999999999997E-3</v>
      </c>
      <c r="Z23" s="6">
        <v>7.4999999999999997E-3</v>
      </c>
      <c r="AA23" s="6">
        <v>7.4999999999999E-3</v>
      </c>
      <c r="AB23" s="6">
        <v>4.4999999999999998E-2</v>
      </c>
      <c r="AC23" s="6">
        <v>7.4999999999999997E-3</v>
      </c>
      <c r="AD23" s="6">
        <v>7.4999999999999997E-3</v>
      </c>
      <c r="AE23" s="6">
        <v>7.4999999999999997E-3</v>
      </c>
      <c r="AF23" s="6">
        <v>7.4999999999999997E-3</v>
      </c>
      <c r="AG23" s="6">
        <v>7.4999999999999997E-3</v>
      </c>
      <c r="AH23" s="6">
        <v>7.4999999999999997E-3</v>
      </c>
      <c r="AI23" s="6">
        <v>7.4999999999999997E-3</v>
      </c>
      <c r="AJ23" s="6">
        <v>7.4999999999999997E-3</v>
      </c>
      <c r="AK23" s="6">
        <v>7.4999999999999997E-3</v>
      </c>
      <c r="AL23" s="6">
        <v>7.4999999999999997E-3</v>
      </c>
      <c r="AM23" s="6">
        <v>7.4999999999999997E-3</v>
      </c>
      <c r="AN23" s="6">
        <v>7.4999999999999997E-3</v>
      </c>
      <c r="AO23" s="6">
        <v>7.4999999999999997E-3</v>
      </c>
      <c r="AP23" s="6">
        <v>7.4999999999999997E-3</v>
      </c>
      <c r="AQ23" s="6">
        <v>7.4999999999999997E-3</v>
      </c>
      <c r="AR23" s="6">
        <v>7.4999999999999997E-3</v>
      </c>
      <c r="AS23" s="6">
        <v>7.4999999999999997E-3</v>
      </c>
      <c r="AT23" s="6">
        <v>7.4999999999999997E-3</v>
      </c>
      <c r="AU23" s="6">
        <v>7.4999999999999997E-3</v>
      </c>
      <c r="AV23" s="6">
        <v>7.4999999999999997E-3</v>
      </c>
      <c r="AW23" s="6">
        <v>7.4999999999999997E-3</v>
      </c>
      <c r="AX23" s="6">
        <v>7.4999999999999E-3</v>
      </c>
      <c r="AY23" s="6">
        <v>7.4999999999999997E-3</v>
      </c>
      <c r="AZ23" s="6">
        <v>7.4999999999999997E-3</v>
      </c>
      <c r="BA23" s="6">
        <v>7.4999999999999997E-3</v>
      </c>
      <c r="BB23" s="6">
        <v>7.4999999999999997E-3</v>
      </c>
    </row>
    <row r="24" spans="1:54" x14ac:dyDescent="0.2">
      <c r="A24" s="14" t="s">
        <v>1446</v>
      </c>
      <c r="B24" s="8">
        <v>0.2050071486899466</v>
      </c>
      <c r="C24" s="6">
        <v>7.4999999999999997E-3</v>
      </c>
      <c r="D24" s="6">
        <v>7.4999999999999997E-3</v>
      </c>
      <c r="E24" s="6">
        <v>7.4999999999999E-3</v>
      </c>
      <c r="F24" s="6">
        <v>7.4999999999999997E-3</v>
      </c>
      <c r="G24" s="6">
        <v>7.4999999999999997E-3</v>
      </c>
      <c r="H24" s="6">
        <v>4.4999999999999998E-2</v>
      </c>
      <c r="I24" s="6">
        <v>7.4999999999999E-3</v>
      </c>
      <c r="J24" s="6">
        <v>7.4999999999999997E-3</v>
      </c>
      <c r="K24" s="6">
        <v>7.4999999999999997E-3</v>
      </c>
      <c r="L24" s="6">
        <v>7.4999999999999997E-3</v>
      </c>
      <c r="M24" s="6">
        <v>7.4999999999999E-3</v>
      </c>
      <c r="N24" s="6">
        <v>7.4999999999999E-3</v>
      </c>
      <c r="O24" s="6">
        <v>7.4999999999999997E-3</v>
      </c>
      <c r="P24" s="6">
        <v>7.4999999999999997E-3</v>
      </c>
      <c r="Q24" s="6">
        <v>7.4999999999999997E-3</v>
      </c>
      <c r="R24" s="6">
        <v>4.4999999999999998E-2</v>
      </c>
      <c r="S24" s="6">
        <v>0.15</v>
      </c>
      <c r="T24" s="6">
        <v>7.4999999999999997E-3</v>
      </c>
      <c r="U24" s="6">
        <v>7.4999999999999997E-3</v>
      </c>
      <c r="V24" s="6">
        <v>4.4999999999999998E-2</v>
      </c>
      <c r="W24" s="6">
        <v>7.4999999999999997E-3</v>
      </c>
      <c r="X24" s="6">
        <v>7.4999999999999997E-3</v>
      </c>
      <c r="Y24" s="6">
        <v>7.4999999999999997E-3</v>
      </c>
      <c r="Z24" s="6">
        <v>7.4999999999999997E-3</v>
      </c>
      <c r="AA24" s="6">
        <v>7.4999999999999E-3</v>
      </c>
      <c r="AB24" s="6">
        <v>7.4999999999999997E-3</v>
      </c>
      <c r="AC24" s="6">
        <v>7.4999999999999997E-3</v>
      </c>
      <c r="AD24" s="6">
        <v>7.4999999999999997E-3</v>
      </c>
      <c r="AE24" s="6">
        <v>7.4999999999999997E-3</v>
      </c>
      <c r="AF24" s="6">
        <v>7.4999999999999997E-3</v>
      </c>
      <c r="AG24" s="6">
        <v>7.4999999999999997E-3</v>
      </c>
      <c r="AH24" s="6">
        <v>7.4999999999999997E-3</v>
      </c>
      <c r="AI24" s="6">
        <v>7.4999999999999997E-3</v>
      </c>
      <c r="AJ24" s="6">
        <v>7.4999999999999997E-3</v>
      </c>
      <c r="AK24" s="6">
        <v>7.4999999999999997E-3</v>
      </c>
      <c r="AL24" s="6">
        <v>7.4999999999999997E-3</v>
      </c>
      <c r="AM24" s="6">
        <v>7.4999999999999997E-3</v>
      </c>
      <c r="AN24" s="6">
        <v>7.4999999999999997E-3</v>
      </c>
      <c r="AO24" s="6">
        <v>7.4999999999999997E-3</v>
      </c>
      <c r="AP24" s="6">
        <v>7.4999999999999997E-3</v>
      </c>
      <c r="AQ24" s="6">
        <v>7.4999999999999997E-3</v>
      </c>
      <c r="AR24" s="6">
        <v>7.4999999999999997E-3</v>
      </c>
      <c r="AS24" s="6">
        <v>7.4999999999999997E-3</v>
      </c>
      <c r="AT24" s="6">
        <v>7.4999999999999997E-3</v>
      </c>
      <c r="AU24" s="6">
        <v>7.4999999999999997E-3</v>
      </c>
      <c r="AV24" s="6">
        <v>7.4999999999999997E-3</v>
      </c>
      <c r="AW24" s="6">
        <v>7.4999999999999997E-3</v>
      </c>
      <c r="AX24" s="6">
        <v>7.4999999999999E-3</v>
      </c>
      <c r="AY24" s="6">
        <v>7.4999999999999997E-3</v>
      </c>
      <c r="AZ24" s="6">
        <v>7.4999999999999997E-3</v>
      </c>
      <c r="BA24" s="6">
        <v>7.4999999999999997E-3</v>
      </c>
      <c r="BB24" s="6">
        <v>7.4999999999999997E-3</v>
      </c>
    </row>
    <row r="25" spans="1:54" x14ac:dyDescent="0.2">
      <c r="A25" s="14" t="s">
        <v>1447</v>
      </c>
      <c r="B25" s="8">
        <v>-0.1851089682759596</v>
      </c>
      <c r="C25" s="6">
        <v>7.4999999999999997E-3</v>
      </c>
      <c r="D25" s="6">
        <v>7.4999999999999997E-3</v>
      </c>
      <c r="E25" s="6">
        <v>7.4999999999999E-3</v>
      </c>
      <c r="F25" s="6">
        <v>7.4999999999999997E-3</v>
      </c>
      <c r="G25" s="6">
        <v>7.4999999999999997E-3</v>
      </c>
      <c r="H25" s="6">
        <v>7.4999999999999997E-3</v>
      </c>
      <c r="I25" s="6">
        <v>7.4999999999999E-3</v>
      </c>
      <c r="J25" s="6">
        <v>7.4999999999999997E-3</v>
      </c>
      <c r="K25" s="6">
        <v>7.4999999999999997E-3</v>
      </c>
      <c r="L25" s="6">
        <v>7.4999999999999997E-3</v>
      </c>
      <c r="M25" s="6">
        <v>4.4999999999999998E-2</v>
      </c>
      <c r="N25" s="6">
        <v>7.4999999999999E-3</v>
      </c>
      <c r="O25" s="6">
        <v>7.4999999999999997E-3</v>
      </c>
      <c r="P25" s="6">
        <v>7.4999999999999997E-3</v>
      </c>
      <c r="Q25" s="6">
        <v>7.4999999999999997E-3</v>
      </c>
      <c r="R25" s="6">
        <v>7.4999999999999E-3</v>
      </c>
      <c r="S25" s="6">
        <v>7.4999999999999997E-3</v>
      </c>
      <c r="T25" s="6">
        <v>0.15</v>
      </c>
      <c r="U25" s="6">
        <v>7.4999999999999997E-3</v>
      </c>
      <c r="V25" s="6">
        <v>7.4999999999999997E-3</v>
      </c>
      <c r="W25" s="6">
        <v>7.4999999999999997E-3</v>
      </c>
      <c r="X25" s="6">
        <v>7.4999999999999997E-3</v>
      </c>
      <c r="Y25" s="6">
        <v>7.4999999999999997E-3</v>
      </c>
      <c r="Z25" s="6">
        <v>7.4999999999999997E-3</v>
      </c>
      <c r="AA25" s="6">
        <v>7.4999999999999E-3</v>
      </c>
      <c r="AB25" s="6">
        <v>7.4999999999999997E-3</v>
      </c>
      <c r="AC25" s="6">
        <v>7.4999999999999997E-3</v>
      </c>
      <c r="AD25" s="6">
        <v>7.4999999999999997E-3</v>
      </c>
      <c r="AE25" s="6">
        <v>7.4999999999999997E-3</v>
      </c>
      <c r="AF25" s="6">
        <v>7.4999999999999997E-3</v>
      </c>
      <c r="AG25" s="6">
        <v>4.4999999999999998E-2</v>
      </c>
      <c r="AH25" s="6">
        <v>7.4999999999999997E-3</v>
      </c>
      <c r="AI25" s="6">
        <v>7.4999999999999997E-3</v>
      </c>
      <c r="AJ25" s="6">
        <v>7.4999999999999997E-3</v>
      </c>
      <c r="AK25" s="6">
        <v>7.4999999999999997E-3</v>
      </c>
      <c r="AL25" s="6">
        <v>7.4999999999999997E-3</v>
      </c>
      <c r="AM25" s="6">
        <v>7.4999999999999997E-3</v>
      </c>
      <c r="AN25" s="6">
        <v>7.4999999999999997E-3</v>
      </c>
      <c r="AO25" s="6">
        <v>7.4999999999999997E-3</v>
      </c>
      <c r="AP25" s="6">
        <v>7.4999999999999997E-3</v>
      </c>
      <c r="AQ25" s="6">
        <v>7.4999999999999997E-3</v>
      </c>
      <c r="AR25" s="6">
        <v>7.4999999999999997E-3</v>
      </c>
      <c r="AS25" s="6">
        <v>7.4999999999999997E-3</v>
      </c>
      <c r="AT25" s="6">
        <v>7.4999999999999997E-3</v>
      </c>
      <c r="AU25" s="6">
        <v>7.4999999999999997E-3</v>
      </c>
      <c r="AV25" s="6">
        <v>7.4999999999999997E-3</v>
      </c>
      <c r="AW25" s="6">
        <v>7.4999999999999997E-3</v>
      </c>
      <c r="AX25" s="6">
        <v>7.4999999999999E-3</v>
      </c>
      <c r="AY25" s="6">
        <v>7.4999999999999997E-3</v>
      </c>
      <c r="AZ25" s="6">
        <v>7.4999999999999997E-3</v>
      </c>
      <c r="BA25" s="6">
        <v>7.4999999999999997E-3</v>
      </c>
      <c r="BB25" s="6">
        <v>7.4999999999999997E-3</v>
      </c>
    </row>
    <row r="26" spans="1:54" x14ac:dyDescent="0.2">
      <c r="A26" s="14" t="s">
        <v>1448</v>
      </c>
      <c r="B26" s="8">
        <v>0.51443399860041772</v>
      </c>
      <c r="C26" s="6">
        <v>7.4999999999999997E-3</v>
      </c>
      <c r="D26" s="6">
        <v>7.4999999999999997E-3</v>
      </c>
      <c r="E26" s="6">
        <v>7.4999999999999E-3</v>
      </c>
      <c r="F26" s="6">
        <v>7.4999999999999997E-3</v>
      </c>
      <c r="G26" s="6">
        <v>7.4999999999999997E-3</v>
      </c>
      <c r="H26" s="6">
        <v>7.4999999999999997E-3</v>
      </c>
      <c r="I26" s="6">
        <v>7.4999999999999E-3</v>
      </c>
      <c r="J26" s="6">
        <v>4.4999999999999998E-2</v>
      </c>
      <c r="K26" s="6">
        <v>4.4999999999999998E-2</v>
      </c>
      <c r="L26" s="6">
        <v>7.4999999999999997E-3</v>
      </c>
      <c r="M26" s="6">
        <v>7.4999999999999E-3</v>
      </c>
      <c r="N26" s="6">
        <v>7.4999999999999E-3</v>
      </c>
      <c r="O26" s="6">
        <v>7.4999999999999997E-3</v>
      </c>
      <c r="P26" s="6">
        <v>7.4999999999999997E-3</v>
      </c>
      <c r="Q26" s="6">
        <v>7.4999999999999997E-3</v>
      </c>
      <c r="R26" s="6">
        <v>7.4999999999999E-3</v>
      </c>
      <c r="S26" s="6">
        <v>7.4999999999999997E-3</v>
      </c>
      <c r="T26" s="6">
        <v>7.4999999999999997E-3</v>
      </c>
      <c r="U26" s="6">
        <v>0.15</v>
      </c>
      <c r="V26" s="6">
        <v>4.4999999999999998E-2</v>
      </c>
      <c r="W26" s="6">
        <v>7.4999999999999997E-3</v>
      </c>
      <c r="X26" s="6">
        <v>7.4999999999999997E-3</v>
      </c>
      <c r="Y26" s="6">
        <v>7.4999999999999997E-3</v>
      </c>
      <c r="Z26" s="6">
        <v>7.4999999999999997E-3</v>
      </c>
      <c r="AA26" s="6">
        <v>7.4999999999999E-3</v>
      </c>
      <c r="AB26" s="6">
        <v>7.4999999999999997E-3</v>
      </c>
      <c r="AC26" s="6">
        <v>7.4999999999999997E-3</v>
      </c>
      <c r="AD26" s="6">
        <v>7.4999999999999997E-3</v>
      </c>
      <c r="AE26" s="6">
        <v>7.4999999999999997E-3</v>
      </c>
      <c r="AF26" s="6">
        <v>7.4999999999999997E-3</v>
      </c>
      <c r="AG26" s="6">
        <v>7.4999999999999997E-3</v>
      </c>
      <c r="AH26" s="6">
        <v>7.4999999999999997E-3</v>
      </c>
      <c r="AI26" s="6">
        <v>7.4999999999999997E-3</v>
      </c>
      <c r="AJ26" s="6">
        <v>7.4999999999999997E-3</v>
      </c>
      <c r="AK26" s="6">
        <v>7.4999999999999997E-3</v>
      </c>
      <c r="AL26" s="6">
        <v>7.4999999999999997E-3</v>
      </c>
      <c r="AM26" s="6">
        <v>7.4999999999999997E-3</v>
      </c>
      <c r="AN26" s="6">
        <v>7.4999999999999997E-3</v>
      </c>
      <c r="AO26" s="6">
        <v>7.4999999999999997E-3</v>
      </c>
      <c r="AP26" s="6">
        <v>7.4999999999999997E-3</v>
      </c>
      <c r="AQ26" s="6">
        <v>7.4999999999999997E-3</v>
      </c>
      <c r="AR26" s="6">
        <v>7.4999999999999997E-3</v>
      </c>
      <c r="AS26" s="6">
        <v>7.4999999999999997E-3</v>
      </c>
      <c r="AT26" s="6">
        <v>7.4999999999999997E-3</v>
      </c>
      <c r="AU26" s="6">
        <v>7.4999999999999997E-3</v>
      </c>
      <c r="AV26" s="6">
        <v>7.4999999999999997E-3</v>
      </c>
      <c r="AW26" s="6">
        <v>7.4999999999999997E-3</v>
      </c>
      <c r="AX26" s="6">
        <v>7.4999999999999E-3</v>
      </c>
      <c r="AY26" s="6">
        <v>7.4999999999999997E-3</v>
      </c>
      <c r="AZ26" s="6">
        <v>7.4999999999999997E-3</v>
      </c>
      <c r="BA26" s="6">
        <v>7.4999999999999997E-3</v>
      </c>
      <c r="BB26" s="6">
        <v>7.4999999999999997E-3</v>
      </c>
    </row>
    <row r="27" spans="1:54" x14ac:dyDescent="0.2">
      <c r="A27" s="14" t="s">
        <v>1449</v>
      </c>
      <c r="B27" s="8">
        <v>0.26753551479254689</v>
      </c>
      <c r="C27" s="6">
        <v>7.4999999999999997E-3</v>
      </c>
      <c r="D27" s="6">
        <v>7.4999999999999997E-3</v>
      </c>
      <c r="E27" s="6">
        <v>7.4999999999999E-3</v>
      </c>
      <c r="F27" s="6">
        <v>7.4999999999999997E-3</v>
      </c>
      <c r="G27" s="6">
        <v>7.4999999999999997E-3</v>
      </c>
      <c r="H27" s="6">
        <v>7.4999999999999997E-3</v>
      </c>
      <c r="I27" s="6">
        <v>7.4999999999999E-3</v>
      </c>
      <c r="J27" s="6">
        <v>7.4999999999999997E-3</v>
      </c>
      <c r="K27" s="6">
        <v>4.4999999999999998E-2</v>
      </c>
      <c r="L27" s="6">
        <v>7.4999999999999997E-3</v>
      </c>
      <c r="M27" s="6">
        <v>7.4999999999999E-3</v>
      </c>
      <c r="N27" s="6">
        <v>7.4999999999999E-3</v>
      </c>
      <c r="O27" s="6">
        <v>7.4999999999999997E-3</v>
      </c>
      <c r="P27" s="6">
        <v>7.4999999999999997E-3</v>
      </c>
      <c r="Q27" s="6">
        <v>7.4999999999999997E-3</v>
      </c>
      <c r="R27" s="6">
        <v>7.4999999999999E-3</v>
      </c>
      <c r="S27" s="6">
        <v>7.4999999999999997E-3</v>
      </c>
      <c r="T27" s="6">
        <v>7.4999999999999997E-3</v>
      </c>
      <c r="U27" s="6">
        <v>4.4999999999999998E-2</v>
      </c>
      <c r="V27" s="6">
        <v>0.15</v>
      </c>
      <c r="W27" s="6">
        <v>4.4999999999999998E-2</v>
      </c>
      <c r="X27" s="6">
        <v>7.4999999999999997E-3</v>
      </c>
      <c r="Y27" s="6">
        <v>7.4999999999999997E-3</v>
      </c>
      <c r="Z27" s="6">
        <v>7.4999999999999997E-3</v>
      </c>
      <c r="AA27" s="6">
        <v>7.4999999999999E-3</v>
      </c>
      <c r="AB27" s="6">
        <v>7.4999999999999997E-3</v>
      </c>
      <c r="AC27" s="6">
        <v>7.4999999999999997E-3</v>
      </c>
      <c r="AD27" s="6">
        <v>7.4999999999999997E-3</v>
      </c>
      <c r="AE27" s="6">
        <v>7.4999999999999997E-3</v>
      </c>
      <c r="AF27" s="6">
        <v>7.4999999999999997E-3</v>
      </c>
      <c r="AG27" s="6">
        <v>7.4999999999999997E-3</v>
      </c>
      <c r="AH27" s="6">
        <v>7.4999999999999997E-3</v>
      </c>
      <c r="AI27" s="6">
        <v>7.4999999999999997E-3</v>
      </c>
      <c r="AJ27" s="6">
        <v>7.4999999999999997E-3</v>
      </c>
      <c r="AK27" s="6">
        <v>7.4999999999999997E-3</v>
      </c>
      <c r="AL27" s="6">
        <v>7.4999999999999997E-3</v>
      </c>
      <c r="AM27" s="6">
        <v>7.4999999999999997E-3</v>
      </c>
      <c r="AN27" s="6">
        <v>7.4999999999999997E-3</v>
      </c>
      <c r="AO27" s="6">
        <v>7.4999999999999997E-3</v>
      </c>
      <c r="AP27" s="6">
        <v>7.4999999999999997E-3</v>
      </c>
      <c r="AQ27" s="6">
        <v>7.4999999999999997E-3</v>
      </c>
      <c r="AR27" s="6">
        <v>7.4999999999999997E-3</v>
      </c>
      <c r="AS27" s="6">
        <v>7.4999999999999997E-3</v>
      </c>
      <c r="AT27" s="6">
        <v>7.4999999999999997E-3</v>
      </c>
      <c r="AU27" s="6">
        <v>7.4999999999999997E-3</v>
      </c>
      <c r="AV27" s="6">
        <v>7.4999999999999997E-3</v>
      </c>
      <c r="AW27" s="6">
        <v>7.4999999999999997E-3</v>
      </c>
      <c r="AX27" s="6">
        <v>7.4999999999999E-3</v>
      </c>
      <c r="AY27" s="6">
        <v>7.4999999999999997E-3</v>
      </c>
      <c r="AZ27" s="6">
        <v>7.4999999999999997E-3</v>
      </c>
      <c r="BA27" s="6">
        <v>7.4999999999999997E-3</v>
      </c>
      <c r="BB27" s="6">
        <v>7.4999999999999997E-3</v>
      </c>
    </row>
    <row r="28" spans="1:54" x14ac:dyDescent="0.2">
      <c r="A28" s="14" t="s">
        <v>1450</v>
      </c>
      <c r="B28" s="8">
        <v>0.23657638184203239</v>
      </c>
      <c r="C28" s="6">
        <v>7.4999999999999997E-3</v>
      </c>
      <c r="D28" s="6">
        <v>7.4999999999999997E-3</v>
      </c>
      <c r="E28" s="6">
        <v>4.4999999999999998E-2</v>
      </c>
      <c r="F28" s="6">
        <v>7.4999999999999997E-3</v>
      </c>
      <c r="G28" s="6">
        <v>7.4999999999999997E-3</v>
      </c>
      <c r="H28" s="6">
        <v>7.4999999999999997E-3</v>
      </c>
      <c r="I28" s="6">
        <v>7.4999999999999E-3</v>
      </c>
      <c r="J28" s="6">
        <v>7.4999999999999997E-3</v>
      </c>
      <c r="K28" s="6">
        <v>7.4999999999999997E-3</v>
      </c>
      <c r="L28" s="6">
        <v>7.4999999999999997E-3</v>
      </c>
      <c r="M28" s="6">
        <v>7.4999999999999E-3</v>
      </c>
      <c r="N28" s="6">
        <v>7.4999999999999E-3</v>
      </c>
      <c r="O28" s="6">
        <v>7.4999999999999997E-3</v>
      </c>
      <c r="P28" s="6">
        <v>4.4999999999999998E-2</v>
      </c>
      <c r="Q28" s="6">
        <v>7.4999999999999997E-3</v>
      </c>
      <c r="R28" s="6">
        <v>7.4999999999999E-3</v>
      </c>
      <c r="S28" s="6">
        <v>7.4999999999999997E-3</v>
      </c>
      <c r="T28" s="6">
        <v>7.4999999999999997E-3</v>
      </c>
      <c r="U28" s="6">
        <v>7.4999999999999997E-3</v>
      </c>
      <c r="V28" s="6">
        <v>4.4999999999999998E-2</v>
      </c>
      <c r="W28" s="6">
        <v>0.15</v>
      </c>
      <c r="X28" s="6">
        <v>7.4999999999999997E-3</v>
      </c>
      <c r="Y28" s="6">
        <v>7.4999999999999997E-3</v>
      </c>
      <c r="Z28" s="6">
        <v>7.4999999999999997E-3</v>
      </c>
      <c r="AA28" s="6">
        <v>7.4999999999999E-3</v>
      </c>
      <c r="AB28" s="6">
        <v>7.4999999999999997E-3</v>
      </c>
      <c r="AC28" s="6">
        <v>7.4999999999999997E-3</v>
      </c>
      <c r="AD28" s="6">
        <v>7.4999999999999997E-3</v>
      </c>
      <c r="AE28" s="6">
        <v>7.4999999999999997E-3</v>
      </c>
      <c r="AF28" s="6">
        <v>7.4999999999999997E-3</v>
      </c>
      <c r="AG28" s="6">
        <v>7.4999999999999997E-3</v>
      </c>
      <c r="AH28" s="6">
        <v>7.4999999999999997E-3</v>
      </c>
      <c r="AI28" s="6">
        <v>7.4999999999999997E-3</v>
      </c>
      <c r="AJ28" s="6">
        <v>7.4999999999999997E-3</v>
      </c>
      <c r="AK28" s="6">
        <v>7.4999999999999997E-3</v>
      </c>
      <c r="AL28" s="6">
        <v>7.4999999999999997E-3</v>
      </c>
      <c r="AM28" s="6">
        <v>7.4999999999999997E-3</v>
      </c>
      <c r="AN28" s="6">
        <v>7.4999999999999997E-3</v>
      </c>
      <c r="AO28" s="6">
        <v>7.4999999999999997E-3</v>
      </c>
      <c r="AP28" s="6">
        <v>7.4999999999999997E-3</v>
      </c>
      <c r="AQ28" s="6">
        <v>7.4999999999999997E-3</v>
      </c>
      <c r="AR28" s="6">
        <v>7.4999999999999997E-3</v>
      </c>
      <c r="AS28" s="6">
        <v>7.4999999999999997E-3</v>
      </c>
      <c r="AT28" s="6">
        <v>7.4999999999999997E-3</v>
      </c>
      <c r="AU28" s="6">
        <v>7.4999999999999997E-3</v>
      </c>
      <c r="AV28" s="6">
        <v>7.4999999999999997E-3</v>
      </c>
      <c r="AW28" s="6">
        <v>7.4999999999999997E-3</v>
      </c>
      <c r="AX28" s="6">
        <v>7.4999999999999E-3</v>
      </c>
      <c r="AY28" s="6">
        <v>7.4999999999999997E-3</v>
      </c>
      <c r="AZ28" s="6">
        <v>7.4999999999999997E-3</v>
      </c>
      <c r="BA28" s="6">
        <v>7.4999999999999997E-3</v>
      </c>
      <c r="BB28" s="6">
        <v>7.4999999999999997E-3</v>
      </c>
    </row>
    <row r="29" spans="1:54" x14ac:dyDescent="0.2">
      <c r="A29" s="14" t="s">
        <v>1451</v>
      </c>
      <c r="B29" s="8">
        <v>0.3471588466191442</v>
      </c>
      <c r="C29" s="6">
        <v>7.4999999999999997E-3</v>
      </c>
      <c r="D29" s="6">
        <v>7.4999999999999997E-3</v>
      </c>
      <c r="E29" s="6">
        <v>7.4999999999999E-3</v>
      </c>
      <c r="F29" s="6">
        <v>7.4999999999999997E-3</v>
      </c>
      <c r="G29" s="6">
        <v>7.4999999999999997E-3</v>
      </c>
      <c r="H29" s="6">
        <v>7.4999999999999997E-3</v>
      </c>
      <c r="I29" s="6">
        <v>7.4999999999999E-3</v>
      </c>
      <c r="J29" s="6">
        <v>7.4999999999999997E-3</v>
      </c>
      <c r="K29" s="6">
        <v>7.4999999999999997E-3</v>
      </c>
      <c r="L29" s="6">
        <v>4.4999999999999998E-2</v>
      </c>
      <c r="M29" s="6">
        <v>4.4999999999999998E-2</v>
      </c>
      <c r="N29" s="6">
        <v>7.4999999999999E-3</v>
      </c>
      <c r="O29" s="6">
        <v>7.4999999999999997E-3</v>
      </c>
      <c r="P29" s="6">
        <v>7.4999999999999997E-3</v>
      </c>
      <c r="Q29" s="6">
        <v>7.4999999999999997E-3</v>
      </c>
      <c r="R29" s="6">
        <v>7.4999999999999E-3</v>
      </c>
      <c r="S29" s="6">
        <v>7.4999999999999997E-3</v>
      </c>
      <c r="T29" s="6">
        <v>7.4999999999999997E-3</v>
      </c>
      <c r="U29" s="6">
        <v>7.4999999999999997E-3</v>
      </c>
      <c r="V29" s="6">
        <v>7.4999999999999997E-3</v>
      </c>
      <c r="W29" s="6">
        <v>7.4999999999999997E-3</v>
      </c>
      <c r="X29" s="6">
        <v>0.15</v>
      </c>
      <c r="Y29" s="6">
        <v>4.4999999999999998E-2</v>
      </c>
      <c r="Z29" s="6">
        <v>7.4999999999999997E-3</v>
      </c>
      <c r="AA29" s="6">
        <v>7.4999999999999E-3</v>
      </c>
      <c r="AB29" s="6">
        <v>7.4999999999999997E-3</v>
      </c>
      <c r="AC29" s="6">
        <v>7.4999999999999997E-3</v>
      </c>
      <c r="AD29" s="6">
        <v>7.4999999999999997E-3</v>
      </c>
      <c r="AE29" s="6">
        <v>7.4999999999999997E-3</v>
      </c>
      <c r="AF29" s="6">
        <v>7.4999999999999997E-3</v>
      </c>
      <c r="AG29" s="6">
        <v>7.4999999999999997E-3</v>
      </c>
      <c r="AH29" s="6">
        <v>7.4999999999999997E-3</v>
      </c>
      <c r="AI29" s="6">
        <v>7.4999999999999997E-3</v>
      </c>
      <c r="AJ29" s="6">
        <v>7.4999999999999997E-3</v>
      </c>
      <c r="AK29" s="6">
        <v>7.4999999999999997E-3</v>
      </c>
      <c r="AL29" s="6">
        <v>7.4999999999999997E-3</v>
      </c>
      <c r="AM29" s="6">
        <v>7.4999999999999997E-3</v>
      </c>
      <c r="AN29" s="6">
        <v>7.4999999999999997E-3</v>
      </c>
      <c r="AO29" s="6">
        <v>7.4999999999999997E-3</v>
      </c>
      <c r="AP29" s="6">
        <v>7.4999999999999997E-3</v>
      </c>
      <c r="AQ29" s="6">
        <v>7.4999999999999997E-3</v>
      </c>
      <c r="AR29" s="6">
        <v>7.4999999999999997E-3</v>
      </c>
      <c r="AS29" s="6">
        <v>7.4999999999999997E-3</v>
      </c>
      <c r="AT29" s="6">
        <v>7.4999999999999997E-3</v>
      </c>
      <c r="AU29" s="6">
        <v>7.4999999999999997E-3</v>
      </c>
      <c r="AV29" s="6">
        <v>7.4999999999999997E-3</v>
      </c>
      <c r="AW29" s="6">
        <v>7.4999999999999997E-3</v>
      </c>
      <c r="AX29" s="6">
        <v>7.4999999999999E-3</v>
      </c>
      <c r="AY29" s="6">
        <v>7.4999999999999997E-3</v>
      </c>
      <c r="AZ29" s="6">
        <v>7.4999999999999997E-3</v>
      </c>
      <c r="BA29" s="6">
        <v>7.4999999999999997E-3</v>
      </c>
      <c r="BB29" s="6">
        <v>7.4999999999999997E-3</v>
      </c>
    </row>
    <row r="30" spans="1:54" x14ac:dyDescent="0.2">
      <c r="A30" s="14" t="s">
        <v>1452</v>
      </c>
      <c r="B30" s="8">
        <v>0.43978380560475949</v>
      </c>
      <c r="C30" s="6">
        <v>7.4999999999999997E-3</v>
      </c>
      <c r="D30" s="6">
        <v>7.4999999999999997E-3</v>
      </c>
      <c r="E30" s="6">
        <v>7.4999999999999E-3</v>
      </c>
      <c r="F30" s="6">
        <v>7.4999999999999997E-3</v>
      </c>
      <c r="G30" s="6">
        <v>7.4999999999999997E-3</v>
      </c>
      <c r="H30" s="6">
        <v>7.4999999999999997E-3</v>
      </c>
      <c r="I30" s="6">
        <v>7.4999999999999E-3</v>
      </c>
      <c r="J30" s="6">
        <v>7.4999999999999997E-3</v>
      </c>
      <c r="K30" s="6">
        <v>7.4999999999999997E-3</v>
      </c>
      <c r="L30" s="6">
        <v>7.4999999999999997E-3</v>
      </c>
      <c r="M30" s="6">
        <v>7.4999999999999E-3</v>
      </c>
      <c r="N30" s="6">
        <v>7.4999999999999E-3</v>
      </c>
      <c r="O30" s="6">
        <v>7.4999999999999997E-3</v>
      </c>
      <c r="P30" s="6">
        <v>7.4999999999999997E-3</v>
      </c>
      <c r="Q30" s="6">
        <v>7.4999999999999997E-3</v>
      </c>
      <c r="R30" s="6">
        <v>7.4999999999999E-3</v>
      </c>
      <c r="S30" s="6">
        <v>7.4999999999999997E-3</v>
      </c>
      <c r="T30" s="6">
        <v>7.4999999999999997E-3</v>
      </c>
      <c r="U30" s="6">
        <v>7.4999999999999997E-3</v>
      </c>
      <c r="V30" s="6">
        <v>7.4999999999999997E-3</v>
      </c>
      <c r="W30" s="6">
        <v>7.4999999999999997E-3</v>
      </c>
      <c r="X30" s="6">
        <v>4.4999999999999998E-2</v>
      </c>
      <c r="Y30" s="6">
        <v>0.15</v>
      </c>
      <c r="Z30" s="6">
        <v>4.4999999999999998E-2</v>
      </c>
      <c r="AA30" s="6">
        <v>7.4999999999999E-3</v>
      </c>
      <c r="AB30" s="6">
        <v>4.4999999999999998E-2</v>
      </c>
      <c r="AC30" s="6">
        <v>7.4999999999999997E-3</v>
      </c>
      <c r="AD30" s="6">
        <v>7.4999999999999997E-3</v>
      </c>
      <c r="AE30" s="6">
        <v>7.4999999999999997E-3</v>
      </c>
      <c r="AF30" s="6">
        <v>7.4999999999999997E-3</v>
      </c>
      <c r="AG30" s="6">
        <v>7.4999999999999997E-3</v>
      </c>
      <c r="AH30" s="6">
        <v>7.4999999999999997E-3</v>
      </c>
      <c r="AI30" s="6">
        <v>7.4999999999999997E-3</v>
      </c>
      <c r="AJ30" s="6">
        <v>7.4999999999999997E-3</v>
      </c>
      <c r="AK30" s="6">
        <v>7.4999999999999997E-3</v>
      </c>
      <c r="AL30" s="6">
        <v>7.4999999999999997E-3</v>
      </c>
      <c r="AM30" s="6">
        <v>7.4999999999999997E-3</v>
      </c>
      <c r="AN30" s="6">
        <v>7.4999999999999997E-3</v>
      </c>
      <c r="AO30" s="6">
        <v>7.4999999999999997E-3</v>
      </c>
      <c r="AP30" s="6">
        <v>7.4999999999999997E-3</v>
      </c>
      <c r="AQ30" s="6">
        <v>7.4999999999999997E-3</v>
      </c>
      <c r="AR30" s="6">
        <v>7.4999999999999997E-3</v>
      </c>
      <c r="AS30" s="6">
        <v>7.4999999999999997E-3</v>
      </c>
      <c r="AT30" s="6">
        <v>7.4999999999999997E-3</v>
      </c>
      <c r="AU30" s="6">
        <v>7.4999999999999997E-3</v>
      </c>
      <c r="AV30" s="6">
        <v>7.4999999999999997E-3</v>
      </c>
      <c r="AW30" s="6">
        <v>7.4999999999999997E-3</v>
      </c>
      <c r="AX30" s="6">
        <v>7.4999999999999E-3</v>
      </c>
      <c r="AY30" s="6">
        <v>7.4999999999999997E-3</v>
      </c>
      <c r="AZ30" s="6">
        <v>7.4999999999999997E-3</v>
      </c>
      <c r="BA30" s="6">
        <v>7.4999999999999997E-3</v>
      </c>
      <c r="BB30" s="6">
        <v>7.4999999999999997E-3</v>
      </c>
    </row>
    <row r="31" spans="1:54" x14ac:dyDescent="0.2">
      <c r="A31" s="14" t="s">
        <v>1453</v>
      </c>
      <c r="B31" s="8">
        <v>0.2911536179685309</v>
      </c>
      <c r="C31" s="6">
        <v>7.4999999999999997E-3</v>
      </c>
      <c r="D31" s="6">
        <v>7.4999999999999997E-3</v>
      </c>
      <c r="E31" s="6">
        <v>7.4999999999999E-3</v>
      </c>
      <c r="F31" s="6">
        <v>7.4999999999999997E-3</v>
      </c>
      <c r="G31" s="6">
        <v>7.4999999999999997E-3</v>
      </c>
      <c r="H31" s="6">
        <v>7.4999999999999997E-3</v>
      </c>
      <c r="I31" s="6">
        <v>7.4999999999999E-3</v>
      </c>
      <c r="J31" s="6">
        <v>7.4999999999999997E-3</v>
      </c>
      <c r="K31" s="6">
        <v>7.4999999999999997E-3</v>
      </c>
      <c r="L31" s="6">
        <v>7.4999999999999997E-3</v>
      </c>
      <c r="M31" s="6">
        <v>7.4999999999999E-3</v>
      </c>
      <c r="N31" s="6">
        <v>7.4999999999999E-3</v>
      </c>
      <c r="O31" s="6">
        <v>7.4999999999999997E-3</v>
      </c>
      <c r="P31" s="6">
        <v>7.4999999999999997E-3</v>
      </c>
      <c r="Q31" s="6">
        <v>7.4999999999999997E-3</v>
      </c>
      <c r="R31" s="6">
        <v>7.4999999999999E-3</v>
      </c>
      <c r="S31" s="6">
        <v>7.4999999999999997E-3</v>
      </c>
      <c r="T31" s="6">
        <v>7.4999999999999997E-3</v>
      </c>
      <c r="U31" s="6">
        <v>7.4999999999999997E-3</v>
      </c>
      <c r="V31" s="6">
        <v>7.4999999999999997E-3</v>
      </c>
      <c r="W31" s="6">
        <v>7.4999999999999997E-3</v>
      </c>
      <c r="X31" s="6">
        <v>4.4999999999999998E-2</v>
      </c>
      <c r="Y31" s="6">
        <v>4.4999999999999998E-2</v>
      </c>
      <c r="Z31" s="6">
        <v>0.15</v>
      </c>
      <c r="AA31" s="6">
        <v>4.4999999999999998E-2</v>
      </c>
      <c r="AB31" s="6">
        <v>7.4999999999999997E-3</v>
      </c>
      <c r="AC31" s="6">
        <v>7.4999999999999997E-3</v>
      </c>
      <c r="AD31" s="6">
        <v>7.4999999999999997E-3</v>
      </c>
      <c r="AE31" s="6">
        <v>7.4999999999999997E-3</v>
      </c>
      <c r="AF31" s="6">
        <v>7.4999999999999997E-3</v>
      </c>
      <c r="AG31" s="6">
        <v>7.4999999999999997E-3</v>
      </c>
      <c r="AH31" s="6">
        <v>7.4999999999999997E-3</v>
      </c>
      <c r="AI31" s="6">
        <v>7.4999999999999997E-3</v>
      </c>
      <c r="AJ31" s="6">
        <v>7.4999999999999997E-3</v>
      </c>
      <c r="AK31" s="6">
        <v>7.4999999999999997E-3</v>
      </c>
      <c r="AL31" s="6">
        <v>7.4999999999999997E-3</v>
      </c>
      <c r="AM31" s="6">
        <v>7.4999999999999997E-3</v>
      </c>
      <c r="AN31" s="6">
        <v>7.4999999999999997E-3</v>
      </c>
      <c r="AO31" s="6">
        <v>7.4999999999999997E-3</v>
      </c>
      <c r="AP31" s="6">
        <v>7.4999999999999997E-3</v>
      </c>
      <c r="AQ31" s="6">
        <v>7.4999999999999997E-3</v>
      </c>
      <c r="AR31" s="6">
        <v>7.4999999999999997E-3</v>
      </c>
      <c r="AS31" s="6">
        <v>7.4999999999999997E-3</v>
      </c>
      <c r="AT31" s="6">
        <v>7.4999999999999997E-3</v>
      </c>
      <c r="AU31" s="6">
        <v>7.4999999999999997E-3</v>
      </c>
      <c r="AV31" s="6">
        <v>7.4999999999999997E-3</v>
      </c>
      <c r="AW31" s="6">
        <v>7.4999999999999997E-3</v>
      </c>
      <c r="AX31" s="6">
        <v>7.4999999999999E-3</v>
      </c>
      <c r="AY31" s="6">
        <v>7.4999999999999997E-3</v>
      </c>
      <c r="AZ31" s="6">
        <v>7.4999999999999997E-3</v>
      </c>
      <c r="BA31" s="6">
        <v>7.4999999999999997E-3</v>
      </c>
      <c r="BB31" s="6">
        <v>7.4999999999999997E-3</v>
      </c>
    </row>
    <row r="32" spans="1:54" x14ac:dyDescent="0.2">
      <c r="A32" s="14" t="s">
        <v>1454</v>
      </c>
      <c r="B32" s="8">
        <v>-0.66666809461103493</v>
      </c>
      <c r="C32" s="6">
        <v>7.4999999999999997E-3</v>
      </c>
      <c r="D32" s="6">
        <v>7.4999999999999997E-3</v>
      </c>
      <c r="E32" s="6">
        <v>7.4999999999999E-3</v>
      </c>
      <c r="F32" s="6">
        <v>7.4999999999999997E-3</v>
      </c>
      <c r="G32" s="6">
        <v>7.4999999999999997E-3</v>
      </c>
      <c r="H32" s="6">
        <v>7.4999999999999997E-3</v>
      </c>
      <c r="I32" s="6">
        <v>7.4999999999999E-3</v>
      </c>
      <c r="J32" s="6">
        <v>7.4999999999999997E-3</v>
      </c>
      <c r="K32" s="6">
        <v>7.4999999999999997E-3</v>
      </c>
      <c r="L32" s="6">
        <v>7.4999999999999997E-3</v>
      </c>
      <c r="M32" s="6">
        <v>7.4999999999999E-3</v>
      </c>
      <c r="N32" s="6">
        <v>7.4999999999999E-3</v>
      </c>
      <c r="O32" s="6">
        <v>7.4999999999999997E-3</v>
      </c>
      <c r="P32" s="6">
        <v>7.4999999999999997E-3</v>
      </c>
      <c r="Q32" s="6">
        <v>7.4999999999999997E-3</v>
      </c>
      <c r="R32" s="6">
        <v>7.4999999999999E-3</v>
      </c>
      <c r="S32" s="6">
        <v>7.4999999999999997E-3</v>
      </c>
      <c r="T32" s="6">
        <v>7.4999999999999997E-3</v>
      </c>
      <c r="U32" s="6">
        <v>7.4999999999999997E-3</v>
      </c>
      <c r="V32" s="6">
        <v>7.4999999999999997E-3</v>
      </c>
      <c r="W32" s="6">
        <v>7.4999999999999997E-3</v>
      </c>
      <c r="X32" s="6">
        <v>4.4999999999999998E-2</v>
      </c>
      <c r="Y32" s="6">
        <v>4.4999999999999998E-2</v>
      </c>
      <c r="Z32" s="6">
        <v>4.4999999999999998E-2</v>
      </c>
      <c r="AA32" s="6">
        <v>0.15</v>
      </c>
      <c r="AB32" s="6">
        <v>7.4999999999999997E-3</v>
      </c>
      <c r="AC32" s="6">
        <v>7.4999999999999997E-3</v>
      </c>
      <c r="AD32" s="6">
        <v>7.4999999999999997E-3</v>
      </c>
      <c r="AE32" s="6">
        <v>7.4999999999999997E-3</v>
      </c>
      <c r="AF32" s="6">
        <v>7.4999999999999997E-3</v>
      </c>
      <c r="AG32" s="6">
        <v>7.4999999999999997E-3</v>
      </c>
      <c r="AH32" s="6">
        <v>7.4999999999999997E-3</v>
      </c>
      <c r="AI32" s="6">
        <v>7.4999999999999997E-3</v>
      </c>
      <c r="AJ32" s="6">
        <v>7.4999999999999997E-3</v>
      </c>
      <c r="AK32" s="6">
        <v>7.4999999999999997E-3</v>
      </c>
      <c r="AL32" s="6">
        <v>7.4999999999999997E-3</v>
      </c>
      <c r="AM32" s="6">
        <v>7.4999999999999997E-3</v>
      </c>
      <c r="AN32" s="6">
        <v>7.4999999999999997E-3</v>
      </c>
      <c r="AO32" s="6">
        <v>7.4999999999999997E-3</v>
      </c>
      <c r="AP32" s="6">
        <v>7.4999999999999997E-3</v>
      </c>
      <c r="AQ32" s="6">
        <v>7.4999999999999997E-3</v>
      </c>
      <c r="AR32" s="6">
        <v>7.4999999999999997E-3</v>
      </c>
      <c r="AS32" s="6">
        <v>7.4999999999999997E-3</v>
      </c>
      <c r="AT32" s="6">
        <v>7.4999999999999997E-3</v>
      </c>
      <c r="AU32" s="6">
        <v>7.4999999999999997E-3</v>
      </c>
      <c r="AV32" s="6">
        <v>7.4999999999999997E-3</v>
      </c>
      <c r="AW32" s="6">
        <v>7.4999999999999997E-3</v>
      </c>
      <c r="AX32" s="6">
        <v>7.4999999999999E-3</v>
      </c>
      <c r="AY32" s="6">
        <v>7.4999999999999997E-3</v>
      </c>
      <c r="AZ32" s="6">
        <v>7.4999999999999997E-3</v>
      </c>
      <c r="BA32" s="6">
        <v>7.4999999999999997E-3</v>
      </c>
      <c r="BB32" s="6">
        <v>7.4999999999999997E-3</v>
      </c>
    </row>
    <row r="33" spans="1:54" x14ac:dyDescent="0.2">
      <c r="A33" s="14" t="s">
        <v>1455</v>
      </c>
      <c r="B33" s="8">
        <v>0.25235239475044119</v>
      </c>
      <c r="C33" s="6">
        <v>7.4999999999999997E-3</v>
      </c>
      <c r="D33" s="6">
        <v>7.4999999999999997E-3</v>
      </c>
      <c r="E33" s="6">
        <v>7.4999999999999E-3</v>
      </c>
      <c r="F33" s="6">
        <v>7.4999999999999997E-3</v>
      </c>
      <c r="G33" s="6">
        <v>7.4999999999999997E-3</v>
      </c>
      <c r="H33" s="6">
        <v>4.4999999999999998E-2</v>
      </c>
      <c r="I33" s="6">
        <v>7.4999999999999E-3</v>
      </c>
      <c r="J33" s="6">
        <v>7.4999999999999997E-3</v>
      </c>
      <c r="K33" s="6">
        <v>7.4999999999999997E-3</v>
      </c>
      <c r="L33" s="6">
        <v>7.4999999999999997E-3</v>
      </c>
      <c r="M33" s="6">
        <v>7.4999999999999E-3</v>
      </c>
      <c r="N33" s="6">
        <v>7.4999999999999E-3</v>
      </c>
      <c r="O33" s="6">
        <v>7.4999999999999997E-3</v>
      </c>
      <c r="P33" s="6">
        <v>7.4999999999999997E-3</v>
      </c>
      <c r="Q33" s="6">
        <v>7.4999999999999997E-3</v>
      </c>
      <c r="R33" s="6">
        <v>4.4999999999999998E-2</v>
      </c>
      <c r="S33" s="6">
        <v>7.4999999999999997E-3</v>
      </c>
      <c r="T33" s="6">
        <v>7.4999999999999997E-3</v>
      </c>
      <c r="U33" s="6">
        <v>7.4999999999999997E-3</v>
      </c>
      <c r="V33" s="6">
        <v>7.4999999999999997E-3</v>
      </c>
      <c r="W33" s="6">
        <v>7.4999999999999997E-3</v>
      </c>
      <c r="X33" s="6">
        <v>7.4999999999999997E-3</v>
      </c>
      <c r="Y33" s="6">
        <v>4.4999999999999998E-2</v>
      </c>
      <c r="Z33" s="6">
        <v>7.4999999999999997E-3</v>
      </c>
      <c r="AA33" s="6">
        <v>7.4999999999999E-3</v>
      </c>
      <c r="AB33" s="6">
        <v>0.15</v>
      </c>
      <c r="AC33" s="6">
        <v>7.4999999999999997E-3</v>
      </c>
      <c r="AD33" s="6">
        <v>7.4999999999999997E-3</v>
      </c>
      <c r="AE33" s="6">
        <v>7.4999999999999997E-3</v>
      </c>
      <c r="AF33" s="6">
        <v>7.4999999999999997E-3</v>
      </c>
      <c r="AG33" s="6">
        <v>7.4999999999999997E-3</v>
      </c>
      <c r="AH33" s="6">
        <v>7.4999999999999997E-3</v>
      </c>
      <c r="AI33" s="6">
        <v>7.4999999999999997E-3</v>
      </c>
      <c r="AJ33" s="6">
        <v>7.4999999999999997E-3</v>
      </c>
      <c r="AK33" s="6">
        <v>7.4999999999999997E-3</v>
      </c>
      <c r="AL33" s="6">
        <v>7.4999999999999997E-3</v>
      </c>
      <c r="AM33" s="6">
        <v>7.4999999999999997E-3</v>
      </c>
      <c r="AN33" s="6">
        <v>7.4999999999999997E-3</v>
      </c>
      <c r="AO33" s="6">
        <v>7.4999999999999997E-3</v>
      </c>
      <c r="AP33" s="6">
        <v>7.4999999999999997E-3</v>
      </c>
      <c r="AQ33" s="6">
        <v>7.4999999999999997E-3</v>
      </c>
      <c r="AR33" s="6">
        <v>7.4999999999999997E-3</v>
      </c>
      <c r="AS33" s="6">
        <v>7.4999999999999997E-3</v>
      </c>
      <c r="AT33" s="6">
        <v>7.4999999999999997E-3</v>
      </c>
      <c r="AU33" s="6">
        <v>7.4999999999999997E-3</v>
      </c>
      <c r="AV33" s="6">
        <v>7.4999999999999997E-3</v>
      </c>
      <c r="AW33" s="6">
        <v>7.4999999999999997E-3</v>
      </c>
      <c r="AX33" s="6">
        <v>7.4999999999999E-3</v>
      </c>
      <c r="AY33" s="6">
        <v>7.4999999999999997E-3</v>
      </c>
      <c r="AZ33" s="6">
        <v>7.4999999999999997E-3</v>
      </c>
      <c r="BA33" s="6">
        <v>7.4999999999999997E-3</v>
      </c>
      <c r="BB33" s="6">
        <v>7.4999999999999997E-3</v>
      </c>
    </row>
    <row r="34" spans="1:54" x14ac:dyDescent="0.2">
      <c r="A34" s="14" t="s">
        <v>1456</v>
      </c>
      <c r="B34" s="8">
        <v>6.1898390189151699E-2</v>
      </c>
      <c r="C34" s="6">
        <v>7.4999999999999997E-3</v>
      </c>
      <c r="D34" s="6">
        <v>7.4999999999999997E-3</v>
      </c>
      <c r="E34" s="6">
        <v>7.4999999999999E-3</v>
      </c>
      <c r="F34" s="6">
        <v>7.4999999999999997E-3</v>
      </c>
      <c r="G34" s="6">
        <v>7.4999999999999997E-3</v>
      </c>
      <c r="H34" s="6">
        <v>7.4999999999999997E-3</v>
      </c>
      <c r="I34" s="6">
        <v>7.4999999999999E-3</v>
      </c>
      <c r="J34" s="6">
        <v>7.4999999999999997E-3</v>
      </c>
      <c r="K34" s="6">
        <v>7.4999999999999997E-3</v>
      </c>
      <c r="L34" s="6">
        <v>7.4999999999999997E-3</v>
      </c>
      <c r="M34" s="6">
        <v>7.4999999999999E-3</v>
      </c>
      <c r="N34" s="6">
        <v>7.4999999999999E-3</v>
      </c>
      <c r="O34" s="6">
        <v>7.4999999999999997E-3</v>
      </c>
      <c r="P34" s="6">
        <v>4.4999999999999998E-2</v>
      </c>
      <c r="Q34" s="6">
        <v>7.4999999999999997E-3</v>
      </c>
      <c r="R34" s="6">
        <v>7.4999999999999E-3</v>
      </c>
      <c r="S34" s="6">
        <v>7.4999999999999997E-3</v>
      </c>
      <c r="T34" s="6">
        <v>7.4999999999999997E-3</v>
      </c>
      <c r="U34" s="6">
        <v>7.4999999999999997E-3</v>
      </c>
      <c r="V34" s="6">
        <v>4.4999999999999998E-2</v>
      </c>
      <c r="W34" s="6">
        <v>7.4999999999999997E-3</v>
      </c>
      <c r="X34" s="6">
        <v>7.4999999999999997E-3</v>
      </c>
      <c r="Y34" s="6">
        <v>7.4999999999999997E-3</v>
      </c>
      <c r="Z34" s="6">
        <v>4.4999999999999998E-2</v>
      </c>
      <c r="AA34" s="6">
        <v>7.4999999999999E-3</v>
      </c>
      <c r="AB34" s="6">
        <v>7.4999999999999997E-3</v>
      </c>
      <c r="AC34" s="6">
        <v>0.15</v>
      </c>
      <c r="AD34" s="6">
        <v>7.4999999999999997E-3</v>
      </c>
      <c r="AE34" s="6">
        <v>7.4999999999999997E-3</v>
      </c>
      <c r="AF34" s="6">
        <v>7.4999999999999997E-3</v>
      </c>
      <c r="AG34" s="6">
        <v>7.4999999999999997E-3</v>
      </c>
      <c r="AH34" s="6">
        <v>7.4999999999999997E-3</v>
      </c>
      <c r="AI34" s="6">
        <v>7.4999999999999997E-3</v>
      </c>
      <c r="AJ34" s="6">
        <v>7.4999999999999997E-3</v>
      </c>
      <c r="AK34" s="6">
        <v>7.4999999999999997E-3</v>
      </c>
      <c r="AL34" s="6">
        <v>7.4999999999999997E-3</v>
      </c>
      <c r="AM34" s="6">
        <v>7.4999999999999997E-3</v>
      </c>
      <c r="AN34" s="6">
        <v>7.4999999999999997E-3</v>
      </c>
      <c r="AO34" s="6">
        <v>7.4999999999999997E-3</v>
      </c>
      <c r="AP34" s="6">
        <v>7.4999999999999997E-3</v>
      </c>
      <c r="AQ34" s="6">
        <v>7.4999999999999997E-3</v>
      </c>
      <c r="AR34" s="6">
        <v>7.4999999999999997E-3</v>
      </c>
      <c r="AS34" s="6">
        <v>7.4999999999999997E-3</v>
      </c>
      <c r="AT34" s="6">
        <v>7.4999999999999997E-3</v>
      </c>
      <c r="AU34" s="6">
        <v>7.4999999999999997E-3</v>
      </c>
      <c r="AV34" s="6">
        <v>7.4999999999999997E-3</v>
      </c>
      <c r="AW34" s="6">
        <v>7.4999999999999997E-3</v>
      </c>
      <c r="AX34" s="6">
        <v>7.4999999999999E-3</v>
      </c>
      <c r="AY34" s="6">
        <v>7.4999999999999997E-3</v>
      </c>
      <c r="AZ34" s="6">
        <v>7.4999999999999997E-3</v>
      </c>
      <c r="BA34" s="6">
        <v>7.4999999999999997E-3</v>
      </c>
      <c r="BB34" s="6">
        <v>7.4999999999999997E-3</v>
      </c>
    </row>
    <row r="35" spans="1:54" x14ac:dyDescent="0.2">
      <c r="A35" s="14" t="s">
        <v>1457</v>
      </c>
      <c r="B35" s="8">
        <v>3.7541666666666669</v>
      </c>
      <c r="C35" s="6">
        <v>5.0000000000000001E-3</v>
      </c>
      <c r="D35" s="6">
        <v>5.0000000000000001E-3</v>
      </c>
      <c r="E35" s="6">
        <v>5.0000000000000001E-3</v>
      </c>
      <c r="F35" s="6">
        <v>5.0000000000000001E-3</v>
      </c>
      <c r="G35" s="6">
        <v>5.0000000000000001E-3</v>
      </c>
      <c r="H35" s="6">
        <v>5.0000000000000001E-3</v>
      </c>
      <c r="I35" s="6">
        <v>5.0000000000000001E-3</v>
      </c>
      <c r="J35" s="6">
        <v>5.0000000000000001E-3</v>
      </c>
      <c r="K35" s="6">
        <v>5.0000000000000001E-3</v>
      </c>
      <c r="L35" s="6">
        <v>5.0000000000000001E-3</v>
      </c>
      <c r="M35" s="6">
        <v>5.0000000000000001E-3</v>
      </c>
      <c r="N35" s="6">
        <v>5.0000000000000001E-3</v>
      </c>
      <c r="O35" s="6">
        <v>5.0000000000000001E-3</v>
      </c>
      <c r="P35" s="6">
        <v>5.0000000000000001E-3</v>
      </c>
      <c r="Q35" s="6">
        <v>5.0000000000000001E-3</v>
      </c>
      <c r="R35" s="6">
        <v>5.0000000000000001E-3</v>
      </c>
      <c r="S35" s="6">
        <v>5.0000000000000001E-3</v>
      </c>
      <c r="T35" s="6">
        <v>5.0000000000000001E-3</v>
      </c>
      <c r="U35" s="6">
        <v>5.0000000000000001E-3</v>
      </c>
      <c r="V35" s="6">
        <v>5.0000000000000001E-3</v>
      </c>
      <c r="W35" s="6">
        <v>5.0000000000000001E-3</v>
      </c>
      <c r="X35" s="6">
        <v>5.0000000000000001E-3</v>
      </c>
      <c r="Y35" s="6">
        <v>5.0000000000000001E-3</v>
      </c>
      <c r="Z35" s="6">
        <v>5.0000000000000001E-3</v>
      </c>
      <c r="AA35" s="6">
        <v>5.0000000000000001E-3</v>
      </c>
      <c r="AB35" s="6">
        <v>5.0000000000000001E-3</v>
      </c>
      <c r="AC35" s="6">
        <v>5.0000000000000001E-3</v>
      </c>
      <c r="AD35" s="6">
        <v>5.0000000000000001E-3</v>
      </c>
      <c r="AE35" s="6">
        <v>5.0000000000000001E-3</v>
      </c>
      <c r="AF35" s="6">
        <v>5.0000000000000001E-3</v>
      </c>
      <c r="AG35" s="6">
        <v>5.0000000000000001E-3</v>
      </c>
      <c r="AH35" s="6">
        <v>5.0000000000000001E-3</v>
      </c>
      <c r="AI35" s="6">
        <v>5.0000000000000001E-3</v>
      </c>
      <c r="AJ35" s="6">
        <v>5.0000000000000001E-3</v>
      </c>
      <c r="AK35" s="6">
        <v>5.0000000000000001E-3</v>
      </c>
      <c r="AL35" s="6">
        <v>5.0000000000000001E-3</v>
      </c>
      <c r="AM35" s="6">
        <v>5.0000000000000001E-3</v>
      </c>
      <c r="AN35" s="6">
        <v>0.03</v>
      </c>
      <c r="AO35" s="6">
        <v>5.0000000000000001E-3</v>
      </c>
      <c r="AP35" s="6">
        <v>0.08</v>
      </c>
      <c r="AQ35" s="6">
        <v>0.06</v>
      </c>
      <c r="AR35" s="6">
        <v>5.0000000000000001E-3</v>
      </c>
      <c r="AS35" s="6">
        <v>5.0000000000000001E-3</v>
      </c>
      <c r="AT35" s="6">
        <v>5.0000000000000001E-3</v>
      </c>
      <c r="AU35" s="6">
        <v>5.0000000000000001E-3</v>
      </c>
      <c r="AV35" s="6">
        <v>5.0000000000000001E-3</v>
      </c>
      <c r="AW35" s="6">
        <v>0.03</v>
      </c>
      <c r="AX35" s="6">
        <v>5.0000000000000001E-3</v>
      </c>
      <c r="AY35" s="6">
        <v>5.0000000000000001E-3</v>
      </c>
      <c r="AZ35" s="6">
        <v>0.03</v>
      </c>
      <c r="BA35" s="6">
        <v>5.0000000000000001E-3</v>
      </c>
      <c r="BB35" s="6">
        <v>0.1</v>
      </c>
    </row>
    <row r="36" spans="1:54" x14ac:dyDescent="0.2">
      <c r="A36" s="14" t="s">
        <v>1458</v>
      </c>
      <c r="B36" s="8">
        <v>-6.4687499999999991</v>
      </c>
      <c r="C36" s="6">
        <v>4.9999999999999899E-2</v>
      </c>
      <c r="D36" s="6">
        <v>5.0000000000000001E-3</v>
      </c>
      <c r="E36" s="6">
        <v>2.9999999999999898E-2</v>
      </c>
      <c r="F36" s="6">
        <v>0.04</v>
      </c>
      <c r="G36" s="6">
        <v>5.0000000000000001E-3</v>
      </c>
      <c r="H36" s="6">
        <v>5.0000000000000001E-3</v>
      </c>
      <c r="I36" s="6">
        <v>2.9999999999999898E-2</v>
      </c>
      <c r="J36" s="6">
        <v>5.0000000000000001E-3</v>
      </c>
      <c r="K36" s="6">
        <v>5.0000000000000001E-3</v>
      </c>
      <c r="L36" s="6">
        <v>5.0000000000000001E-3</v>
      </c>
      <c r="M36" s="6">
        <v>5.0000000000000001E-3</v>
      </c>
      <c r="N36" s="6">
        <v>0.1</v>
      </c>
      <c r="O36" s="6">
        <v>0.08</v>
      </c>
      <c r="P36" s="6">
        <v>5.0000000000000001E-3</v>
      </c>
      <c r="Q36" s="6">
        <v>5.0000000000000001E-3</v>
      </c>
      <c r="R36" s="6">
        <v>5.0000000000000001E-3</v>
      </c>
      <c r="S36" s="6">
        <v>5.0000000000000001E-3</v>
      </c>
      <c r="T36" s="6">
        <v>5.0000000000000001E-3</v>
      </c>
      <c r="U36" s="6">
        <v>5.0000000000000001E-3</v>
      </c>
      <c r="V36" s="6">
        <v>5.0000000000000001E-3</v>
      </c>
      <c r="W36" s="6">
        <v>5.0000000000000001E-3</v>
      </c>
      <c r="X36" s="6">
        <v>5.0000000000000001E-3</v>
      </c>
      <c r="Y36" s="6">
        <v>5.0000000000000001E-3</v>
      </c>
      <c r="Z36" s="6">
        <v>5.0000000000000001E-3</v>
      </c>
      <c r="AA36" s="6">
        <v>5.0000000000000001E-3</v>
      </c>
      <c r="AB36" s="6">
        <v>5.0000000000000001E-3</v>
      </c>
      <c r="AC36" s="6">
        <v>5.0000000000000001E-3</v>
      </c>
      <c r="AD36" s="6">
        <v>5.0000000000000001E-3</v>
      </c>
      <c r="AE36" s="6">
        <v>5.0000000000000001E-3</v>
      </c>
      <c r="AF36" s="6">
        <v>5.0000000000000001E-3</v>
      </c>
      <c r="AG36" s="6">
        <v>5.0000000000000001E-3</v>
      </c>
      <c r="AH36" s="6">
        <v>5.0000000000000001E-3</v>
      </c>
      <c r="AI36" s="6">
        <v>5.0000000000000001E-3</v>
      </c>
      <c r="AJ36" s="6">
        <v>5.0000000000000001E-3</v>
      </c>
      <c r="AK36" s="6">
        <v>5.0000000000000001E-3</v>
      </c>
      <c r="AL36" s="6">
        <v>5.0000000000000001E-3</v>
      </c>
      <c r="AM36" s="6">
        <v>5.0000000000000001E-3</v>
      </c>
      <c r="AN36" s="6">
        <v>5.0000000000000001E-3</v>
      </c>
      <c r="AO36" s="6">
        <v>5.0000000000000001E-3</v>
      </c>
      <c r="AP36" s="6">
        <v>5.0000000000000001E-3</v>
      </c>
      <c r="AQ36" s="6">
        <v>0.03</v>
      </c>
      <c r="AR36" s="6">
        <v>5.0000000000000001E-3</v>
      </c>
      <c r="AS36" s="6">
        <v>5.0000000000000001E-3</v>
      </c>
      <c r="AT36" s="6">
        <v>5.0000000000000001E-3</v>
      </c>
      <c r="AU36" s="6">
        <v>5.0000000000000001E-3</v>
      </c>
      <c r="AV36" s="6">
        <v>5.0000000000000001E-3</v>
      </c>
      <c r="AW36" s="6">
        <v>5.0000000000000001E-3</v>
      </c>
      <c r="AX36" s="6">
        <v>5.0000000000000001E-3</v>
      </c>
      <c r="AY36" s="6">
        <v>5.0000000000000001E-3</v>
      </c>
      <c r="AZ36" s="6">
        <v>5.0000000000000001E-3</v>
      </c>
      <c r="BA36" s="6">
        <v>5.0000000000000001E-3</v>
      </c>
      <c r="BB36" s="6">
        <v>5.0000000000000001E-3</v>
      </c>
    </row>
    <row r="37" spans="1:54" x14ac:dyDescent="0.2">
      <c r="A37" s="14" t="s">
        <v>1459</v>
      </c>
      <c r="B37" s="8">
        <v>-11.227083333333329</v>
      </c>
      <c r="C37" s="6">
        <v>5.0000000000000001E-3</v>
      </c>
      <c r="D37" s="6">
        <v>5.0000000000000001E-3</v>
      </c>
      <c r="E37" s="6">
        <v>5.0000000000000001E-3</v>
      </c>
      <c r="F37" s="6">
        <v>5.0000000000000001E-3</v>
      </c>
      <c r="G37" s="6">
        <v>5.0000000000000001E-3</v>
      </c>
      <c r="H37" s="6">
        <v>5.0000000000000001E-3</v>
      </c>
      <c r="I37" s="6">
        <v>5.0000000000000001E-3</v>
      </c>
      <c r="J37" s="6">
        <v>0.03</v>
      </c>
      <c r="K37" s="6">
        <v>0.06</v>
      </c>
      <c r="L37" s="6">
        <v>5.0000000000000001E-3</v>
      </c>
      <c r="M37" s="6">
        <v>5.0000000000000001E-3</v>
      </c>
      <c r="N37" s="6">
        <v>5.0000000000000001E-3</v>
      </c>
      <c r="O37" s="6">
        <v>5.0000000000000001E-3</v>
      </c>
      <c r="P37" s="6">
        <v>5.0000000000000001E-3</v>
      </c>
      <c r="Q37" s="6">
        <v>5.0000000000000001E-3</v>
      </c>
      <c r="R37" s="6">
        <v>5.0000000000000001E-3</v>
      </c>
      <c r="S37" s="6">
        <v>5.0000000000000001E-3</v>
      </c>
      <c r="T37" s="6">
        <v>5.0000000000000001E-3</v>
      </c>
      <c r="U37" s="6">
        <v>0.08</v>
      </c>
      <c r="V37" s="6">
        <v>0.03</v>
      </c>
      <c r="W37" s="6">
        <v>5.0000000000000001E-3</v>
      </c>
      <c r="X37" s="6">
        <v>5.0000000000000001E-3</v>
      </c>
      <c r="Y37" s="6">
        <v>5.0000000000000001E-3</v>
      </c>
      <c r="Z37" s="6">
        <v>5.0000000000000001E-3</v>
      </c>
      <c r="AA37" s="6">
        <v>5.0000000000000001E-3</v>
      </c>
      <c r="AB37" s="6">
        <v>5.0000000000000001E-3</v>
      </c>
      <c r="AC37" s="6">
        <v>5.0000000000000001E-3</v>
      </c>
      <c r="AD37" s="6">
        <v>0.03</v>
      </c>
      <c r="AE37" s="6">
        <v>5.0000000000000001E-3</v>
      </c>
      <c r="AF37" s="6">
        <v>5.0000000000000001E-3</v>
      </c>
      <c r="AG37" s="6">
        <v>5.0000000000000001E-3</v>
      </c>
      <c r="AH37" s="6">
        <v>5.0000000000000001E-3</v>
      </c>
      <c r="AI37" s="6">
        <v>5.0000000000000001E-3</v>
      </c>
      <c r="AJ37" s="6">
        <v>5.0000000000000001E-3</v>
      </c>
      <c r="AK37" s="6">
        <v>0.05</v>
      </c>
      <c r="AL37" s="6">
        <v>5.0000000000000001E-3</v>
      </c>
      <c r="AM37" s="6">
        <v>5.0000000000000001E-3</v>
      </c>
      <c r="AN37" s="6">
        <v>5.0000000000000001E-3</v>
      </c>
      <c r="AO37" s="6">
        <v>5.0000000000000001E-3</v>
      </c>
      <c r="AP37" s="6">
        <v>5.0000000000000001E-3</v>
      </c>
      <c r="AQ37" s="6">
        <v>5.0000000000000001E-3</v>
      </c>
      <c r="AR37" s="6">
        <v>5.0000000000000001E-3</v>
      </c>
      <c r="AS37" s="6">
        <v>5.0000000000000001E-3</v>
      </c>
      <c r="AT37" s="6">
        <v>5.0000000000000001E-3</v>
      </c>
      <c r="AU37" s="6">
        <v>5.0000000000000001E-3</v>
      </c>
      <c r="AV37" s="6">
        <v>5.0000000000000001E-3</v>
      </c>
      <c r="AW37" s="6">
        <v>5.0000000000000001E-3</v>
      </c>
      <c r="AX37" s="6">
        <v>5.0000000000000001E-3</v>
      </c>
      <c r="AY37" s="6">
        <v>5.0000000000000001E-3</v>
      </c>
      <c r="AZ37" s="6">
        <v>5.0000000000000001E-3</v>
      </c>
      <c r="BA37" s="6">
        <v>5.0000000000000001E-3</v>
      </c>
      <c r="BB37" s="6">
        <v>5.0000000000000001E-3</v>
      </c>
    </row>
    <row r="38" spans="1:54" x14ac:dyDescent="0.2">
      <c r="A38" s="14" t="s">
        <v>1460</v>
      </c>
      <c r="B38" s="8">
        <v>10.92916666666666</v>
      </c>
      <c r="C38" s="6">
        <v>5.0000000000000001E-3</v>
      </c>
      <c r="D38" s="6">
        <v>5.0000000000000001E-3</v>
      </c>
      <c r="E38" s="6">
        <v>5.0000000000000001E-3</v>
      </c>
      <c r="F38" s="6">
        <v>5.0000000000000001E-3</v>
      </c>
      <c r="G38" s="6">
        <v>5.0000000000000001E-3</v>
      </c>
      <c r="H38" s="6">
        <v>5.0000000000000001E-3</v>
      </c>
      <c r="I38" s="6">
        <v>5.0000000000000001E-3</v>
      </c>
      <c r="J38" s="6">
        <v>5.0000000000000001E-3</v>
      </c>
      <c r="K38" s="6">
        <v>5.0000000000000001E-3</v>
      </c>
      <c r="L38" s="6">
        <v>5.0000000000000001E-3</v>
      </c>
      <c r="M38" s="6">
        <v>5.0000000000000001E-3</v>
      </c>
      <c r="N38" s="6">
        <v>5.0000000000000001E-3</v>
      </c>
      <c r="O38" s="6">
        <v>5.0000000000000001E-3</v>
      </c>
      <c r="P38" s="6">
        <v>5.0000000000000001E-3</v>
      </c>
      <c r="Q38" s="6">
        <v>5.0000000000000001E-3</v>
      </c>
      <c r="R38" s="6">
        <v>2.9999999999999898E-2</v>
      </c>
      <c r="S38" s="6">
        <v>5.0000000000000001E-3</v>
      </c>
      <c r="T38" s="6">
        <v>5.0000000000000001E-3</v>
      </c>
      <c r="U38" s="6">
        <v>5.0000000000000001E-3</v>
      </c>
      <c r="V38" s="6">
        <v>0.04</v>
      </c>
      <c r="W38" s="6">
        <v>5.0000000000000001E-3</v>
      </c>
      <c r="X38" s="6">
        <v>0.03</v>
      </c>
      <c r="Y38" s="6">
        <v>0.03</v>
      </c>
      <c r="Z38" s="6">
        <v>5.0000000000000001E-3</v>
      </c>
      <c r="AA38" s="6">
        <v>5.0000000000000001E-3</v>
      </c>
      <c r="AB38" s="6">
        <v>0.1</v>
      </c>
      <c r="AC38" s="6">
        <v>6.9999999999999896E-2</v>
      </c>
      <c r="AD38" s="6">
        <v>5.0000000000000001E-3</v>
      </c>
      <c r="AE38" s="6">
        <v>5.0000000000000001E-3</v>
      </c>
      <c r="AF38" s="6">
        <v>5.0000000000000001E-3</v>
      </c>
      <c r="AG38" s="6">
        <v>5.0000000000000001E-3</v>
      </c>
      <c r="AH38" s="6">
        <v>5.0000000000000001E-3</v>
      </c>
      <c r="AI38" s="6">
        <v>5.0000000000000001E-3</v>
      </c>
      <c r="AJ38" s="6">
        <v>5.0000000000000001E-3</v>
      </c>
      <c r="AK38" s="6">
        <v>5.0000000000000001E-3</v>
      </c>
      <c r="AL38" s="6">
        <v>5.0000000000000001E-3</v>
      </c>
      <c r="AM38" s="6">
        <v>5.0000000000000001E-3</v>
      </c>
      <c r="AN38" s="6">
        <v>5.0000000000000001E-3</v>
      </c>
      <c r="AO38" s="6">
        <v>5.0000000000000001E-3</v>
      </c>
      <c r="AP38" s="6">
        <v>5.0000000000000001E-3</v>
      </c>
      <c r="AQ38" s="6">
        <v>5.0000000000000001E-3</v>
      </c>
      <c r="AR38" s="6">
        <v>5.0000000000000001E-3</v>
      </c>
      <c r="AS38" s="6">
        <v>5.0000000000000001E-3</v>
      </c>
      <c r="AT38" s="6">
        <v>5.0000000000000001E-3</v>
      </c>
      <c r="AU38" s="6">
        <v>5.0000000000000001E-3</v>
      </c>
      <c r="AV38" s="6">
        <v>5.0000000000000001E-3</v>
      </c>
      <c r="AW38" s="6">
        <v>5.0000000000000001E-3</v>
      </c>
      <c r="AX38" s="6">
        <v>5.0000000000000001E-3</v>
      </c>
      <c r="AY38" s="6">
        <v>5.0000000000000001E-3</v>
      </c>
      <c r="AZ38" s="6">
        <v>5.0000000000000001E-3</v>
      </c>
      <c r="BA38" s="6">
        <v>5.0000000000000001E-3</v>
      </c>
      <c r="BB38" s="6">
        <v>5.0000000000000001E-3</v>
      </c>
    </row>
    <row r="39" spans="1:54" x14ac:dyDescent="0.2">
      <c r="A39" s="14" t="s">
        <v>1461</v>
      </c>
      <c r="B39" s="8">
        <v>28.783333333333331</v>
      </c>
      <c r="C39" s="6">
        <v>5.0000000000000001E-3</v>
      </c>
      <c r="D39" s="6">
        <v>5.0000000000000001E-3</v>
      </c>
      <c r="E39" s="6">
        <v>5.0000000000000001E-3</v>
      </c>
      <c r="F39" s="6">
        <v>5.0000000000000001E-3</v>
      </c>
      <c r="G39" s="6">
        <v>5.0000000000000001E-3</v>
      </c>
      <c r="H39" s="6">
        <v>5.0000000000000001E-3</v>
      </c>
      <c r="I39" s="6">
        <v>5.0000000000000001E-3</v>
      </c>
      <c r="J39" s="6">
        <v>5.0000000000000001E-3</v>
      </c>
      <c r="K39" s="6">
        <v>5.0000000000000001E-3</v>
      </c>
      <c r="L39" s="6">
        <v>5.0000000000000001E-3</v>
      </c>
      <c r="M39" s="6">
        <v>5.0000000000000001E-3</v>
      </c>
      <c r="N39" s="6">
        <v>5.0000000000000001E-3</v>
      </c>
      <c r="O39" s="6">
        <v>5.0000000000000001E-3</v>
      </c>
      <c r="P39" s="6">
        <v>5.0000000000000001E-3</v>
      </c>
      <c r="Q39" s="6">
        <v>5.0000000000000001E-3</v>
      </c>
      <c r="R39" s="6">
        <v>5.0000000000000001E-3</v>
      </c>
      <c r="S39" s="6">
        <v>5.0000000000000001E-3</v>
      </c>
      <c r="T39" s="6">
        <v>5.0000000000000001E-3</v>
      </c>
      <c r="U39" s="6">
        <v>5.0000000000000001E-3</v>
      </c>
      <c r="V39" s="6">
        <v>5.0000000000000001E-3</v>
      </c>
      <c r="W39" s="6">
        <v>5.0000000000000001E-3</v>
      </c>
      <c r="X39" s="6">
        <v>5.0000000000000001E-3</v>
      </c>
      <c r="Y39" s="6">
        <v>5.0000000000000001E-3</v>
      </c>
      <c r="Z39" s="6">
        <v>0.03</v>
      </c>
      <c r="AA39" s="6">
        <v>5.0000000000000001E-3</v>
      </c>
      <c r="AB39" s="6">
        <v>5.0000000000000001E-3</v>
      </c>
      <c r="AC39" s="6">
        <v>6.9999999999999896E-2</v>
      </c>
      <c r="AD39" s="6">
        <v>5.0000000000000001E-3</v>
      </c>
      <c r="AE39" s="6">
        <v>5.0000000000000001E-3</v>
      </c>
      <c r="AF39" s="6">
        <v>5.0000000000000001E-3</v>
      </c>
      <c r="AG39" s="6">
        <v>5.0000000000000001E-3</v>
      </c>
      <c r="AH39" s="6">
        <v>5.0000000000000001E-3</v>
      </c>
      <c r="AI39" s="6">
        <v>5.0000000000000001E-3</v>
      </c>
      <c r="AJ39" s="6">
        <v>5.0000000000000001E-3</v>
      </c>
      <c r="AK39" s="6">
        <v>5.0000000000000001E-3</v>
      </c>
      <c r="AL39" s="6">
        <v>5.0000000000000001E-3</v>
      </c>
      <c r="AM39" s="6">
        <v>5.0000000000000001E-3</v>
      </c>
      <c r="AN39" s="6">
        <v>5.0000000000000001E-3</v>
      </c>
      <c r="AO39" s="6">
        <v>5.0000000000000001E-3</v>
      </c>
      <c r="AP39" s="6">
        <v>5.0000000000000001E-3</v>
      </c>
      <c r="AQ39" s="6">
        <v>5.0000000000000001E-3</v>
      </c>
      <c r="AR39" s="6">
        <v>0.1</v>
      </c>
      <c r="AS39" s="6">
        <v>0.03</v>
      </c>
      <c r="AT39" s="6">
        <v>5.0000000000000001E-3</v>
      </c>
      <c r="AU39" s="6">
        <v>5.0000000000000001E-3</v>
      </c>
      <c r="AV39" s="6">
        <v>5.0000000000000001E-3</v>
      </c>
      <c r="AW39" s="6">
        <v>5.0000000000000001E-3</v>
      </c>
      <c r="AX39" s="6">
        <v>2.9999999999999898E-2</v>
      </c>
      <c r="AY39" s="6">
        <v>5.0000000000000001E-3</v>
      </c>
      <c r="AZ39" s="6">
        <v>5.0000000000000001E-3</v>
      </c>
      <c r="BA39" s="6">
        <v>5.0000000000000001E-3</v>
      </c>
      <c r="BB39" s="6">
        <v>5.0000000000000001E-3</v>
      </c>
    </row>
    <row r="40" spans="1:54" x14ac:dyDescent="0.2">
      <c r="A40" s="14" t="s">
        <v>1462</v>
      </c>
      <c r="B40" s="8">
        <v>3.7645833333333329</v>
      </c>
      <c r="C40" s="6">
        <v>5.0000000000000001E-3</v>
      </c>
      <c r="D40" s="6">
        <v>5.0000000000000001E-3</v>
      </c>
      <c r="E40" s="6">
        <v>5.0000000000000001E-3</v>
      </c>
      <c r="F40" s="6">
        <v>5.0000000000000001E-3</v>
      </c>
      <c r="G40" s="6">
        <v>5.0000000000000001E-3</v>
      </c>
      <c r="H40" s="6">
        <v>5.0000000000000001E-3</v>
      </c>
      <c r="I40" s="6">
        <v>5.0000000000000001E-3</v>
      </c>
      <c r="J40" s="6">
        <v>5.0000000000000001E-3</v>
      </c>
      <c r="K40" s="6">
        <v>5.0000000000000001E-3</v>
      </c>
      <c r="L40" s="6">
        <v>5.0000000000000001E-3</v>
      </c>
      <c r="M40" s="6">
        <v>5.0000000000000001E-3</v>
      </c>
      <c r="N40" s="6">
        <v>2.9999999999999898E-2</v>
      </c>
      <c r="O40" s="6">
        <v>5.0000000000000001E-3</v>
      </c>
      <c r="P40" s="6">
        <v>5.0000000000000001E-3</v>
      </c>
      <c r="Q40" s="6">
        <v>5.0000000000000001E-3</v>
      </c>
      <c r="R40" s="6">
        <v>5.0000000000000001E-3</v>
      </c>
      <c r="S40" s="6">
        <v>5.0000000000000001E-3</v>
      </c>
      <c r="T40" s="6">
        <v>5.0000000000000001E-3</v>
      </c>
      <c r="U40" s="6">
        <v>5.0000000000000001E-3</v>
      </c>
      <c r="V40" s="6">
        <v>5.0000000000000001E-3</v>
      </c>
      <c r="W40" s="6">
        <v>5.0000000000000001E-3</v>
      </c>
      <c r="X40" s="6">
        <v>5.0000000000000001E-3</v>
      </c>
      <c r="Y40" s="6">
        <v>5.0000000000000001E-3</v>
      </c>
      <c r="Z40" s="6">
        <v>5.0000000000000001E-3</v>
      </c>
      <c r="AA40" s="6">
        <v>5.0000000000000001E-3</v>
      </c>
      <c r="AB40" s="6">
        <v>0.03</v>
      </c>
      <c r="AC40" s="6">
        <v>0.06</v>
      </c>
      <c r="AD40" s="6">
        <v>5.0000000000000001E-3</v>
      </c>
      <c r="AE40" s="6">
        <v>5.0000000000000001E-3</v>
      </c>
      <c r="AF40" s="6">
        <v>5.0000000000000001E-3</v>
      </c>
      <c r="AG40" s="6">
        <v>5.0000000000000001E-3</v>
      </c>
      <c r="AH40" s="6">
        <v>0.03</v>
      </c>
      <c r="AI40" s="6">
        <v>0.1</v>
      </c>
      <c r="AJ40" s="6">
        <v>5.0000000000000001E-3</v>
      </c>
      <c r="AK40" s="6">
        <v>5.0000000000000001E-3</v>
      </c>
      <c r="AL40" s="6">
        <v>5.0000000000000001E-3</v>
      </c>
      <c r="AM40" s="6">
        <v>5.0000000000000001E-3</v>
      </c>
      <c r="AN40" s="6">
        <v>5.0000000000000001E-3</v>
      </c>
      <c r="AO40" s="6">
        <v>5.0000000000000001E-3</v>
      </c>
      <c r="AP40" s="6">
        <v>5.0000000000000001E-3</v>
      </c>
      <c r="AQ40" s="6">
        <v>5.0000000000000001E-3</v>
      </c>
      <c r="AR40" s="6">
        <v>5.0000000000000001E-3</v>
      </c>
      <c r="AS40" s="6">
        <v>5.0000000000000001E-3</v>
      </c>
      <c r="AT40" s="6">
        <v>5.0000000000000001E-3</v>
      </c>
      <c r="AU40" s="6">
        <v>5.0000000000000001E-3</v>
      </c>
      <c r="AV40" s="6">
        <v>5.0000000000000001E-3</v>
      </c>
      <c r="AW40" s="6">
        <v>5.0000000000000001E-3</v>
      </c>
      <c r="AX40" s="6">
        <v>5.0000000000000001E-3</v>
      </c>
      <c r="AY40" s="6">
        <v>5.0000000000000001E-3</v>
      </c>
      <c r="AZ40" s="6">
        <v>5.0000000000000001E-3</v>
      </c>
      <c r="BA40" s="6">
        <v>5.0000000000000001E-3</v>
      </c>
      <c r="BB40" s="6">
        <v>5.0000000000000001E-3</v>
      </c>
    </row>
    <row r="41" spans="1:54" x14ac:dyDescent="0.2">
      <c r="A41" s="14" t="s">
        <v>1463</v>
      </c>
      <c r="B41" s="8">
        <v>2.1041666666666661</v>
      </c>
      <c r="C41" s="6">
        <v>5.0000000000000001E-3</v>
      </c>
      <c r="D41" s="6">
        <v>5.0000000000000001E-3</v>
      </c>
      <c r="E41" s="6">
        <v>0.04</v>
      </c>
      <c r="F41" s="6">
        <v>5.0000000000000001E-3</v>
      </c>
      <c r="G41" s="6">
        <v>5.0000000000000001E-3</v>
      </c>
      <c r="H41" s="6">
        <v>5.0000000000000001E-3</v>
      </c>
      <c r="I41" s="6">
        <v>5.0000000000000001E-3</v>
      </c>
      <c r="J41" s="6">
        <v>5.0000000000000001E-3</v>
      </c>
      <c r="K41" s="6">
        <v>5.0000000000000001E-3</v>
      </c>
      <c r="L41" s="6">
        <v>5.0000000000000001E-3</v>
      </c>
      <c r="M41" s="6">
        <v>5.0000000000000001E-3</v>
      </c>
      <c r="N41" s="6">
        <v>5.0000000000000001E-3</v>
      </c>
      <c r="O41" s="6">
        <v>5.0000000000000001E-3</v>
      </c>
      <c r="P41" s="6">
        <v>0.1</v>
      </c>
      <c r="Q41" s="6">
        <v>0.08</v>
      </c>
      <c r="R41" s="6">
        <v>5.0000000000000001E-3</v>
      </c>
      <c r="S41" s="6">
        <v>5.0000000000000001E-3</v>
      </c>
      <c r="T41" s="6">
        <v>5.0000000000000001E-3</v>
      </c>
      <c r="U41" s="6">
        <v>5.0000000000000001E-3</v>
      </c>
      <c r="V41" s="6">
        <v>5.0000000000000001E-3</v>
      </c>
      <c r="W41" s="6">
        <v>0.03</v>
      </c>
      <c r="X41" s="6">
        <v>5.0000000000000001E-3</v>
      </c>
      <c r="Y41" s="6">
        <v>5.0000000000000001E-3</v>
      </c>
      <c r="Z41" s="6">
        <v>5.0000000000000001E-3</v>
      </c>
      <c r="AA41" s="6">
        <v>5.0000000000000001E-3</v>
      </c>
      <c r="AB41" s="6">
        <v>5.0000000000000001E-3</v>
      </c>
      <c r="AC41" s="6">
        <v>0.03</v>
      </c>
      <c r="AD41" s="6">
        <v>5.0000000000000001E-3</v>
      </c>
      <c r="AE41" s="6">
        <v>5.0000000000000001E-3</v>
      </c>
      <c r="AF41" s="6">
        <v>5.0000000000000001E-3</v>
      </c>
      <c r="AG41" s="6">
        <v>5.0000000000000001E-3</v>
      </c>
      <c r="AH41" s="6">
        <v>5.0000000000000001E-3</v>
      </c>
      <c r="AI41" s="6">
        <v>0.03</v>
      </c>
      <c r="AJ41" s="6">
        <v>5.0000000000000001E-3</v>
      </c>
      <c r="AK41" s="6">
        <v>5.0000000000000001E-3</v>
      </c>
      <c r="AL41" s="6">
        <v>5.0000000000000001E-3</v>
      </c>
      <c r="AM41" s="6">
        <v>5.0000000000000001E-3</v>
      </c>
      <c r="AN41" s="6">
        <v>5.0000000000000001E-3</v>
      </c>
      <c r="AO41" s="6">
        <v>5.0000000000000001E-3</v>
      </c>
      <c r="AP41" s="6">
        <v>5.0000000000000001E-3</v>
      </c>
      <c r="AQ41" s="6">
        <v>5.0000000000000001E-3</v>
      </c>
      <c r="AR41" s="6">
        <v>5.0000000000000001E-3</v>
      </c>
      <c r="AS41" s="6">
        <v>5.0000000000000001E-3</v>
      </c>
      <c r="AT41" s="6">
        <v>5.0000000000000001E-3</v>
      </c>
      <c r="AU41" s="6">
        <v>5.0000000000000001E-3</v>
      </c>
      <c r="AV41" s="6">
        <v>5.0000000000000001E-3</v>
      </c>
      <c r="AW41" s="6">
        <v>5.0000000000000001E-3</v>
      </c>
      <c r="AX41" s="6">
        <v>5.0000000000000001E-3</v>
      </c>
      <c r="AY41" s="6">
        <v>5.0000000000000001E-3</v>
      </c>
      <c r="AZ41" s="6">
        <v>5.0000000000000001E-3</v>
      </c>
      <c r="BA41" s="6">
        <v>5.0000000000000001E-3</v>
      </c>
      <c r="BB41" s="6">
        <v>5.0000000000000001E-3</v>
      </c>
    </row>
    <row r="42" spans="1:54" x14ac:dyDescent="0.2">
      <c r="A42" s="14" t="s">
        <v>1464</v>
      </c>
      <c r="B42" s="8">
        <v>-1.2270833333333331</v>
      </c>
      <c r="C42" s="6">
        <v>5.0000000000000001E-3</v>
      </c>
      <c r="D42" s="6">
        <v>5.0000000000000001E-3</v>
      </c>
      <c r="E42" s="6">
        <v>5.0000000000000001E-3</v>
      </c>
      <c r="F42" s="6">
        <v>5.0000000000000001E-3</v>
      </c>
      <c r="G42" s="6">
        <v>5.0000000000000001E-3</v>
      </c>
      <c r="H42" s="6">
        <v>5.0000000000000001E-3</v>
      </c>
      <c r="I42" s="6">
        <v>5.0000000000000001E-3</v>
      </c>
      <c r="J42" s="6">
        <v>5.0000000000000001E-3</v>
      </c>
      <c r="K42" s="6">
        <v>5.0000000000000001E-3</v>
      </c>
      <c r="L42" s="6">
        <v>5.0000000000000001E-3</v>
      </c>
      <c r="M42" s="6">
        <v>5.0000000000000001E-3</v>
      </c>
      <c r="N42" s="6">
        <v>5.0000000000000001E-3</v>
      </c>
      <c r="O42" s="6">
        <v>5.0000000000000001E-3</v>
      </c>
      <c r="P42" s="6">
        <v>5.0000000000000001E-3</v>
      </c>
      <c r="Q42" s="6">
        <v>5.0000000000000001E-3</v>
      </c>
      <c r="R42" s="6">
        <v>5.0000000000000001E-3</v>
      </c>
      <c r="S42" s="6">
        <v>5.0000000000000001E-3</v>
      </c>
      <c r="T42" s="6">
        <v>5.0000000000000001E-3</v>
      </c>
      <c r="U42" s="6">
        <v>5.0000000000000001E-3</v>
      </c>
      <c r="V42" s="6">
        <v>5.0000000000000001E-3</v>
      </c>
      <c r="W42" s="6">
        <v>5.0000000000000001E-3</v>
      </c>
      <c r="X42" s="6">
        <v>0.03</v>
      </c>
      <c r="Y42" s="6">
        <v>6.9999999999999896E-2</v>
      </c>
      <c r="Z42" s="6">
        <v>0.05</v>
      </c>
      <c r="AA42" s="6">
        <v>2.9999999999999898E-2</v>
      </c>
      <c r="AB42" s="6">
        <v>5.0000000000000001E-3</v>
      </c>
      <c r="AC42" s="6">
        <v>5.0000000000000001E-3</v>
      </c>
      <c r="AD42" s="6">
        <v>5.0000000000000001E-3</v>
      </c>
      <c r="AE42" s="6">
        <v>5.0000000000000001E-3</v>
      </c>
      <c r="AF42" s="6">
        <v>5.0000000000000001E-3</v>
      </c>
      <c r="AG42" s="6">
        <v>5.0000000000000001E-3</v>
      </c>
      <c r="AH42" s="6">
        <v>0.1</v>
      </c>
      <c r="AI42" s="6">
        <v>5.0000000000000001E-3</v>
      </c>
      <c r="AJ42" s="6">
        <v>5.0000000000000001E-3</v>
      </c>
      <c r="AK42" s="6">
        <v>0.03</v>
      </c>
      <c r="AL42" s="6">
        <v>5.0000000000000001E-3</v>
      </c>
      <c r="AM42" s="6">
        <v>5.0000000000000001E-3</v>
      </c>
      <c r="AN42" s="6">
        <v>5.0000000000000001E-3</v>
      </c>
      <c r="AO42" s="6">
        <v>5.0000000000000001E-3</v>
      </c>
      <c r="AP42" s="6">
        <v>5.0000000000000001E-3</v>
      </c>
      <c r="AQ42" s="6">
        <v>5.0000000000000001E-3</v>
      </c>
      <c r="AR42" s="6">
        <v>5.0000000000000001E-3</v>
      </c>
      <c r="AS42" s="6">
        <v>5.0000000000000001E-3</v>
      </c>
      <c r="AT42" s="6">
        <v>5.0000000000000001E-3</v>
      </c>
      <c r="AU42" s="6">
        <v>5.0000000000000001E-3</v>
      </c>
      <c r="AV42" s="6">
        <v>5.0000000000000001E-3</v>
      </c>
      <c r="AW42" s="6">
        <v>5.0000000000000001E-3</v>
      </c>
      <c r="AX42" s="6">
        <v>5.0000000000000001E-3</v>
      </c>
      <c r="AY42" s="6">
        <v>5.0000000000000001E-3</v>
      </c>
      <c r="AZ42" s="6">
        <v>5.0000000000000001E-3</v>
      </c>
      <c r="BA42" s="6">
        <v>5.0000000000000001E-3</v>
      </c>
      <c r="BB42" s="6">
        <v>5.0000000000000001E-3</v>
      </c>
    </row>
    <row r="43" spans="1:54" x14ac:dyDescent="0.2">
      <c r="A43" s="7" t="s">
        <v>1465</v>
      </c>
      <c r="B43" s="15" t="s">
        <v>1466</v>
      </c>
      <c r="C43" s="16">
        <f t="shared" ref="C43:AH43" si="0">SUMPRODUCT($B$5:$B$42,C5:C42)</f>
        <v>3.3928650770418667</v>
      </c>
      <c r="D43" s="16">
        <f t="shared" si="0"/>
        <v>2.1380150832490235</v>
      </c>
      <c r="E43" s="16">
        <f t="shared" si="0"/>
        <v>11.162419328933991</v>
      </c>
      <c r="F43" s="16">
        <f t="shared" si="0"/>
        <v>2.0424703798238393</v>
      </c>
      <c r="G43" s="16">
        <f t="shared" si="0"/>
        <v>2.2631302127861477</v>
      </c>
      <c r="H43" s="16">
        <f t="shared" si="0"/>
        <v>2.3080040602148144</v>
      </c>
      <c r="I43" s="16">
        <f t="shared" si="0"/>
        <v>2.1644120514054102</v>
      </c>
      <c r="J43" s="16">
        <f t="shared" si="0"/>
        <v>6.7385493459693935</v>
      </c>
      <c r="K43" s="16">
        <f t="shared" si="0"/>
        <v>13.420299530460106</v>
      </c>
      <c r="L43" s="16">
        <f t="shared" si="0"/>
        <v>10.858154501467332</v>
      </c>
      <c r="M43" s="16">
        <f t="shared" si="0"/>
        <v>11.676357246395098</v>
      </c>
      <c r="N43" s="16">
        <f t="shared" si="0"/>
        <v>4.9101642563206358</v>
      </c>
      <c r="O43" s="16">
        <f t="shared" si="0"/>
        <v>1.8262620124669187</v>
      </c>
      <c r="P43" s="16">
        <f t="shared" si="0"/>
        <v>3.9293278692961553</v>
      </c>
      <c r="Q43" s="16">
        <f t="shared" si="0"/>
        <v>3.8167292643320962</v>
      </c>
      <c r="R43" s="16">
        <f t="shared" si="0"/>
        <v>2.574678630563016</v>
      </c>
      <c r="S43" s="16">
        <f t="shared" si="0"/>
        <v>2.3025293841371406</v>
      </c>
      <c r="T43" s="16">
        <f t="shared" si="0"/>
        <v>2.2367521848068237</v>
      </c>
      <c r="U43" s="16">
        <f t="shared" si="0"/>
        <v>11.721589685619195</v>
      </c>
      <c r="V43" s="16">
        <f t="shared" si="0"/>
        <v>8.3199153950558973</v>
      </c>
      <c r="W43" s="16">
        <f t="shared" si="0"/>
        <v>8.9722554789762405</v>
      </c>
      <c r="X43" s="16">
        <f t="shared" si="0"/>
        <v>8.7398469346528653</v>
      </c>
      <c r="Y43" s="16">
        <f t="shared" si="0"/>
        <v>5.8554820576048368</v>
      </c>
      <c r="Z43" s="16">
        <f t="shared" si="0"/>
        <v>4.4569653443949706</v>
      </c>
      <c r="AA43" s="16">
        <f t="shared" si="0"/>
        <v>2.1992115689785701</v>
      </c>
      <c r="AB43" s="16">
        <f t="shared" si="0"/>
        <v>3.4518901011179706</v>
      </c>
      <c r="AC43" s="16">
        <f t="shared" si="0"/>
        <v>5.3061129362573336</v>
      </c>
      <c r="AD43" s="16">
        <f t="shared" si="0"/>
        <v>5.0733307726778323</v>
      </c>
      <c r="AE43" s="16">
        <f t="shared" si="0"/>
        <v>5.3190235698402324</v>
      </c>
      <c r="AF43" s="16">
        <f t="shared" si="0"/>
        <v>2.2631302127861477</v>
      </c>
      <c r="AG43" s="16">
        <f t="shared" si="0"/>
        <v>3.5027162426781837</v>
      </c>
      <c r="AH43" s="16">
        <f t="shared" si="0"/>
        <v>2.2406718794528144</v>
      </c>
      <c r="AI43" s="16">
        <f t="shared" ref="AI43:BN43" si="1">SUMPRODUCT($B$5:$B$42,AI5:AI42)</f>
        <v>2.6733697961194807</v>
      </c>
      <c r="AJ43" s="16">
        <f t="shared" si="1"/>
        <v>2.2631302127861477</v>
      </c>
      <c r="AK43" s="16">
        <f t="shared" si="1"/>
        <v>2.9651302113451199</v>
      </c>
      <c r="AL43" s="16">
        <f t="shared" si="1"/>
        <v>2.2631302127861477</v>
      </c>
      <c r="AM43" s="16">
        <f t="shared" si="1"/>
        <v>2.2631302127861477</v>
      </c>
      <c r="AN43" s="16">
        <f t="shared" si="1"/>
        <v>2.3569843794528142</v>
      </c>
      <c r="AO43" s="16">
        <f t="shared" si="1"/>
        <v>2.2631302127861477</v>
      </c>
      <c r="AP43" s="16">
        <f t="shared" si="1"/>
        <v>2.5612718150543743</v>
      </c>
      <c r="AQ43" s="16">
        <f t="shared" si="1"/>
        <v>2.330216148758733</v>
      </c>
      <c r="AR43" s="16">
        <f t="shared" si="1"/>
        <v>5.0483872617868233</v>
      </c>
      <c r="AS43" s="16">
        <f t="shared" si="1"/>
        <v>2.9827135461194807</v>
      </c>
      <c r="AT43" s="16">
        <f t="shared" si="1"/>
        <v>2.2631302127861477</v>
      </c>
      <c r="AU43" s="16">
        <f t="shared" si="1"/>
        <v>2.2631302127861477</v>
      </c>
      <c r="AV43" s="16">
        <f t="shared" si="1"/>
        <v>2.2631302127861477</v>
      </c>
      <c r="AW43" s="16">
        <f t="shared" si="1"/>
        <v>2.3569843794528142</v>
      </c>
      <c r="AX43" s="16">
        <f t="shared" si="1"/>
        <v>2.9827135461194767</v>
      </c>
      <c r="AY43" s="16">
        <f t="shared" si="1"/>
        <v>2.2631302127861477</v>
      </c>
      <c r="AZ43" s="16">
        <f t="shared" si="1"/>
        <v>2.3569843794528142</v>
      </c>
      <c r="BA43" s="16">
        <f t="shared" si="1"/>
        <v>2.2631302127861477</v>
      </c>
      <c r="BB43" s="16">
        <f t="shared" si="1"/>
        <v>2.619776046119481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5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0" customWidth="1"/>
    <col min="2" max="35" width="11" customWidth="1"/>
  </cols>
  <sheetData>
    <row r="1" spans="1:35" ht="17" x14ac:dyDescent="0.2">
      <c r="A1" s="1" t="s">
        <v>1467</v>
      </c>
    </row>
    <row r="2" spans="1:35" x14ac:dyDescent="0.2">
      <c r="A2" s="2" t="s">
        <v>1468</v>
      </c>
    </row>
    <row r="4" spans="1:35" ht="30" customHeight="1" x14ac:dyDescent="0.2">
      <c r="A4" s="5" t="s">
        <v>1334</v>
      </c>
      <c r="B4" s="5" t="s">
        <v>1335</v>
      </c>
      <c r="C4" s="5" t="s">
        <v>1336</v>
      </c>
      <c r="D4" s="5" t="s">
        <v>1337</v>
      </c>
      <c r="E4" s="5" t="s">
        <v>1338</v>
      </c>
      <c r="F4" s="5" t="s">
        <v>1339</v>
      </c>
      <c r="G4" s="5" t="s">
        <v>1340</v>
      </c>
      <c r="H4" s="5" t="s">
        <v>1341</v>
      </c>
      <c r="I4" s="5" t="s">
        <v>1342</v>
      </c>
      <c r="J4" s="5" t="s">
        <v>1343</v>
      </c>
      <c r="K4" s="5" t="s">
        <v>1344</v>
      </c>
      <c r="L4" s="5" t="s">
        <v>1345</v>
      </c>
      <c r="M4" s="5" t="s">
        <v>1346</v>
      </c>
      <c r="N4" s="5" t="s">
        <v>1347</v>
      </c>
      <c r="O4" s="5" t="s">
        <v>1348</v>
      </c>
      <c r="P4" s="5" t="s">
        <v>1349</v>
      </c>
      <c r="Q4" s="5" t="s">
        <v>1350</v>
      </c>
      <c r="R4" s="5" t="s">
        <v>1351</v>
      </c>
      <c r="S4" s="5" t="s">
        <v>1352</v>
      </c>
      <c r="T4" s="5" t="s">
        <v>1353</v>
      </c>
      <c r="U4" s="5" t="s">
        <v>1354</v>
      </c>
      <c r="V4" s="5" t="s">
        <v>1355</v>
      </c>
      <c r="W4" s="5" t="s">
        <v>1356</v>
      </c>
      <c r="X4" s="5" t="s">
        <v>1357</v>
      </c>
      <c r="Y4" s="5" t="s">
        <v>1358</v>
      </c>
      <c r="Z4" s="5" t="s">
        <v>1359</v>
      </c>
      <c r="AA4" s="5" t="s">
        <v>1360</v>
      </c>
      <c r="AB4" s="5" t="s">
        <v>1361</v>
      </c>
      <c r="AC4" s="5" t="s">
        <v>1362</v>
      </c>
      <c r="AD4" s="5" t="s">
        <v>1363</v>
      </c>
      <c r="AE4" s="5" t="s">
        <v>1364</v>
      </c>
      <c r="AF4" s="5" t="s">
        <v>1365</v>
      </c>
      <c r="AG4" s="5" t="s">
        <v>1366</v>
      </c>
      <c r="AH4" s="5" t="s">
        <v>1367</v>
      </c>
      <c r="AI4" s="5" t="s">
        <v>1368</v>
      </c>
    </row>
    <row r="5" spans="1:35" x14ac:dyDescent="0.2">
      <c r="A5" s="12" t="s">
        <v>1369</v>
      </c>
      <c r="B5" s="8">
        <f>'05_shares'!B5*INDEX('06_intensity'!$C$43:$BB$43,1,1)</f>
        <v>7.7331705717675919E-2</v>
      </c>
      <c r="C5" s="8">
        <f>'05_shares'!C5*INDEX('06_intensity'!$C$43:$BB$43,1,1)</f>
        <v>0.19020446715938069</v>
      </c>
      <c r="D5" s="8">
        <f>'05_shares'!D5*INDEX('06_intensity'!$C$43:$BB$43,1,1)</f>
        <v>9.3132278951356104E-2</v>
      </c>
      <c r="E5" s="8">
        <f>'05_shares'!E5*INDEX('06_intensity'!$C$43:$BB$43,1,1)</f>
        <v>1.0674115976875162E-2</v>
      </c>
      <c r="F5" s="8">
        <f>'05_shares'!F5*INDEX('06_intensity'!$C$43:$BB$43,1,1)</f>
        <v>1.9616068527878755E-2</v>
      </c>
      <c r="G5" s="8">
        <f>'05_shares'!G5*INDEX('06_intensity'!$C$43:$BB$43,1,1)</f>
        <v>8.3115550298757501E-2</v>
      </c>
      <c r="H5" s="8">
        <f>'05_shares'!H5*INDEX('06_intensity'!$C$43:$BB$43,1,1)</f>
        <v>1.6201507261123585E-2</v>
      </c>
      <c r="I5" s="8">
        <f>'05_shares'!I5*INDEX('06_intensity'!$C$43:$BB$43,1,1)</f>
        <v>0.16153888820326628</v>
      </c>
      <c r="J5" s="8">
        <f>'05_shares'!J5*INDEX('06_intensity'!$C$43:$BB$43,1,1)</f>
        <v>3.7001113773917826E-3</v>
      </c>
      <c r="K5" s="8">
        <f>'05_shares'!K5*INDEX('06_intensity'!$C$43:$BB$43,1,1)</f>
        <v>1.931827768867655E-3</v>
      </c>
      <c r="L5" s="8">
        <f>'05_shares'!L5*INDEX('06_intensity'!$C$43:$BB$43,1,1)</f>
        <v>2.4120255304652764E-4</v>
      </c>
      <c r="M5" s="8">
        <f>'05_shares'!M5*INDEX('06_intensity'!$C$43:$BB$43,1,1)</f>
        <v>0.50914206796320449</v>
      </c>
      <c r="N5" s="8">
        <f>'05_shares'!N5*INDEX('06_intensity'!$C$43:$BB$43,1,1)</f>
        <v>0.58150744923383513</v>
      </c>
      <c r="O5" s="8">
        <f>'05_shares'!O5*INDEX('06_intensity'!$C$43:$BB$43,1,1)</f>
        <v>3.5079118721438929E-2</v>
      </c>
      <c r="P5" s="8">
        <f>'05_shares'!P5*INDEX('06_intensity'!$C$43:$BB$43,1,1)</f>
        <v>0.65897239829196264</v>
      </c>
      <c r="Q5" s="8">
        <f>'05_shares'!Q5*INDEX('06_intensity'!$C$43:$BB$43,1,1)</f>
        <v>0.1127639995583843</v>
      </c>
      <c r="R5" s="8">
        <f>'05_shares'!R5*INDEX('06_intensity'!$C$43:$BB$43,1,1)</f>
        <v>2.8590529243269651E-2</v>
      </c>
      <c r="S5" s="8">
        <f>'05_shares'!S5*INDEX('06_intensity'!$C$43:$BB$43,1,1)</f>
        <v>9.6414198880703822E-2</v>
      </c>
      <c r="T5" s="8">
        <f>'05_shares'!T5*INDEX('06_intensity'!$C$43:$BB$43,1,1)</f>
        <v>0.15244944490643139</v>
      </c>
      <c r="U5" s="8">
        <f>'05_shares'!U5*INDEX('06_intensity'!$C$43:$BB$43,1,1)</f>
        <v>7.4109384089704911E-2</v>
      </c>
      <c r="V5" s="8">
        <f>'05_shares'!V5*INDEX('06_intensity'!$C$43:$BB$43,1,1)</f>
        <v>1.8645438952931952E-2</v>
      </c>
      <c r="W5" s="8">
        <f>'05_shares'!W5*INDEX('06_intensity'!$C$43:$BB$43,1,1)</f>
        <v>5.342596416444307E-2</v>
      </c>
      <c r="X5" s="8">
        <f>'05_shares'!X5*INDEX('06_intensity'!$C$43:$BB$43,1,1)</f>
        <v>1.9701151624793668E-2</v>
      </c>
      <c r="Y5" s="8">
        <f>'05_shares'!Y5*INDEX('06_intensity'!$C$43:$BB$43,1,1)</f>
        <v>8.5558679319840247E-3</v>
      </c>
      <c r="Z5" s="8">
        <f>'05_shares'!Z5*INDEX('06_intensity'!$C$43:$BB$43,1,1)</f>
        <v>1.8673131092965582E-2</v>
      </c>
      <c r="AA5" s="8">
        <f>'05_shares'!AA5*INDEX('06_intensity'!$C$43:$BB$43,1,1)</f>
        <v>4.42658858437543E-2</v>
      </c>
      <c r="AB5" s="8">
        <f>'05_shares'!AB5*INDEX('06_intensity'!$C$43:$BB$43,1,1)</f>
        <v>0.17575599276299461</v>
      </c>
      <c r="AC5" s="8">
        <f>'05_shares'!AC5*INDEX('06_intensity'!$C$43:$BB$43,1,1)</f>
        <v>3.1201215778323996E-2</v>
      </c>
      <c r="AD5" s="8">
        <f>'05_shares'!AD5*INDEX('06_intensity'!$C$43:$BB$43,1,1)</f>
        <v>2.5445866008001649E-2</v>
      </c>
      <c r="AE5" s="8">
        <f>'05_shares'!AE5*INDEX('06_intensity'!$C$43:$BB$43,1,1)</f>
        <v>2.0587902108913973E-2</v>
      </c>
      <c r="AF5" s="8">
        <f>'05_shares'!AF5*INDEX('06_intensity'!$C$43:$BB$43,1,1)</f>
        <v>2.9308518207329944E-2</v>
      </c>
      <c r="AG5" s="8">
        <f>'05_shares'!AG5*INDEX('06_intensity'!$C$43:$BB$43,1,1)</f>
        <v>9.7343892248644391E-3</v>
      </c>
      <c r="AH5" s="8">
        <f>'05_shares'!AH5*INDEX('06_intensity'!$C$43:$BB$43,1,1)</f>
        <v>1.8089790143126765E-2</v>
      </c>
      <c r="AI5" s="8">
        <f>'05_shares'!AI5*INDEX('06_intensity'!$C$43:$BB$43,1,1)</f>
        <v>1.2757648512883562E-2</v>
      </c>
    </row>
    <row r="6" spans="1:35" x14ac:dyDescent="0.2">
      <c r="A6" s="12" t="s">
        <v>1370</v>
      </c>
      <c r="B6" s="8">
        <f>'05_shares'!B6*INDEX('06_intensity'!$C$43:$BB$43,1,2)</f>
        <v>3.9091274612104293E-2</v>
      </c>
      <c r="C6" s="8">
        <f>'05_shares'!C6*INDEX('06_intensity'!$C$43:$BB$43,1,2)</f>
        <v>0.18983408589891465</v>
      </c>
      <c r="D6" s="8">
        <f>'05_shares'!D6*INDEX('06_intensity'!$C$43:$BB$43,1,2)</f>
        <v>7.7281713082678838E-2</v>
      </c>
      <c r="E6" s="8">
        <f>'05_shares'!E6*INDEX('06_intensity'!$C$43:$BB$43,1,2)</f>
        <v>5.2983872650790541E-2</v>
      </c>
      <c r="F6" s="8">
        <f>'05_shares'!F6*INDEX('06_intensity'!$C$43:$BB$43,1,2)</f>
        <v>9.8857323630849786E-2</v>
      </c>
      <c r="G6" s="8">
        <f>'05_shares'!G6*INDEX('06_intensity'!$C$43:$BB$43,1,2)</f>
        <v>0.29981130411984613</v>
      </c>
      <c r="H6" s="8">
        <f>'05_shares'!H6*INDEX('06_intensity'!$C$43:$BB$43,1,2)</f>
        <v>3.7675006437090736E-2</v>
      </c>
      <c r="I6" s="8">
        <f>'05_shares'!I6*INDEX('06_intensity'!$C$43:$BB$43,1,2)</f>
        <v>0.12741165661421855</v>
      </c>
      <c r="J6" s="8">
        <f>'05_shares'!J6*INDEX('06_intensity'!$C$43:$BB$43,1,2)</f>
        <v>1.6344744210954235E-2</v>
      </c>
      <c r="K6" s="8">
        <f>'05_shares'!K6*INDEX('06_intensity'!$C$43:$BB$43,1,2)</f>
        <v>4.841116822922209E-3</v>
      </c>
      <c r="L6" s="8">
        <f>'05_shares'!L6*INDEX('06_intensity'!$C$43:$BB$43,1,2)</f>
        <v>8.3565504780125123E-6</v>
      </c>
      <c r="M6" s="8">
        <f>'05_shares'!M6*INDEX('06_intensity'!$C$43:$BB$43,1,2)</f>
        <v>0.11352072988562791</v>
      </c>
      <c r="N6" s="8">
        <f>'05_shares'!N6*INDEX('06_intensity'!$C$43:$BB$43,1,2)</f>
        <v>0.17381123601237344</v>
      </c>
      <c r="O6" s="8">
        <f>'05_shares'!O6*INDEX('06_intensity'!$C$43:$BB$43,1,2)</f>
        <v>1.9110093895138135E-2</v>
      </c>
      <c r="P6" s="8">
        <f>'05_shares'!P6*INDEX('06_intensity'!$C$43:$BB$43,1,2)</f>
        <v>0.16671084220221577</v>
      </c>
      <c r="Q6" s="8">
        <f>'05_shares'!Q6*INDEX('06_intensity'!$C$43:$BB$43,1,2)</f>
        <v>2.0610930360989183E-2</v>
      </c>
      <c r="R6" s="8">
        <f>'05_shares'!R6*INDEX('06_intensity'!$C$43:$BB$43,1,2)</f>
        <v>3.4571717851576006E-2</v>
      </c>
      <c r="S6" s="8">
        <f>'05_shares'!S6*INDEX('06_intensity'!$C$43:$BB$43,1,2)</f>
        <v>1.9683687519948916E-2</v>
      </c>
      <c r="T6" s="8">
        <f>'05_shares'!T6*INDEX('06_intensity'!$C$43:$BB$43,1,2)</f>
        <v>9.5359605862772867E-2</v>
      </c>
      <c r="U6" s="8">
        <f>'05_shares'!U6*INDEX('06_intensity'!$C$43:$BB$43,1,2)</f>
        <v>0.12168073429639757</v>
      </c>
      <c r="V6" s="8">
        <f>'05_shares'!V6*INDEX('06_intensity'!$C$43:$BB$43,1,2)</f>
        <v>3.4417957322780579E-2</v>
      </c>
      <c r="W6" s="8">
        <f>'05_shares'!W6*INDEX('06_intensity'!$C$43:$BB$43,1,2)</f>
        <v>6.5523043774057876E-2</v>
      </c>
      <c r="X6" s="8">
        <f>'05_shares'!X6*INDEX('06_intensity'!$C$43:$BB$43,1,2)</f>
        <v>1.5302515235336515E-2</v>
      </c>
      <c r="Y6" s="8">
        <f>'05_shares'!Y6*INDEX('06_intensity'!$C$43:$BB$43,1,2)</f>
        <v>1.0903627063710728E-3</v>
      </c>
      <c r="Z6" s="8">
        <f>'05_shares'!Z6*INDEX('06_intensity'!$C$43:$BB$43,1,2)</f>
        <v>4.6989551861902602E-2</v>
      </c>
      <c r="AA6" s="8">
        <f>'05_shares'!AA6*INDEX('06_intensity'!$C$43:$BB$43,1,2)</f>
        <v>5.4365711837834688E-2</v>
      </c>
      <c r="AB6" s="8">
        <f>'05_shares'!AB6*INDEX('06_intensity'!$C$43:$BB$43,1,2)</f>
        <v>8.8850521564439372E-2</v>
      </c>
      <c r="AC6" s="8">
        <f>'05_shares'!AC6*INDEX('06_intensity'!$C$43:$BB$43,1,2)</f>
        <v>5.0973286605780731E-2</v>
      </c>
      <c r="AD6" s="8">
        <f>'05_shares'!AD6*INDEX('06_intensity'!$C$43:$BB$43,1,2)</f>
        <v>6.3864101373162828E-3</v>
      </c>
      <c r="AE6" s="8">
        <f>'05_shares'!AE6*INDEX('06_intensity'!$C$43:$BB$43,1,2)</f>
        <v>7.0743213726662734E-3</v>
      </c>
      <c r="AF6" s="8">
        <f>'05_shares'!AF6*INDEX('06_intensity'!$C$43:$BB$43,1,2)</f>
        <v>2.3230207542817422E-2</v>
      </c>
      <c r="AG6" s="8">
        <f>'05_shares'!AG6*INDEX('06_intensity'!$C$43:$BB$43,1,2)</f>
        <v>2.610552943129197E-2</v>
      </c>
      <c r="AH6" s="8">
        <f>'05_shares'!AH6*INDEX('06_intensity'!$C$43:$BB$43,1,2)</f>
        <v>2.5584414943483113E-3</v>
      </c>
      <c r="AI6" s="8">
        <f>'05_shares'!AI6*INDEX('06_intensity'!$C$43:$BB$43,1,2)</f>
        <v>5.9471898441919449E-3</v>
      </c>
    </row>
    <row r="7" spans="1:35" x14ac:dyDescent="0.2">
      <c r="A7" s="12" t="s">
        <v>1371</v>
      </c>
      <c r="B7" s="8">
        <f>'05_shares'!B7*INDEX('06_intensity'!$C$43:$BB$43,1,3)</f>
        <v>0.44328580845546567</v>
      </c>
      <c r="C7" s="8">
        <f>'05_shares'!C7*INDEX('06_intensity'!$C$43:$BB$43,1,3)</f>
        <v>1.0290547371227767</v>
      </c>
      <c r="D7" s="8">
        <f>'05_shares'!D7*INDEX('06_intensity'!$C$43:$BB$43,1,3)</f>
        <v>0.23959574369179973</v>
      </c>
      <c r="E7" s="8">
        <f>'05_shares'!E7*INDEX('06_intensity'!$C$43:$BB$43,1,3)</f>
        <v>1.1420108256363342</v>
      </c>
      <c r="F7" s="8">
        <f>'05_shares'!F7*INDEX('06_intensity'!$C$43:$BB$43,1,3)</f>
        <v>0.51949274895725062</v>
      </c>
      <c r="G7" s="8">
        <f>'05_shares'!G7*INDEX('06_intensity'!$C$43:$BB$43,1,3)</f>
        <v>0.87429149298108566</v>
      </c>
      <c r="H7" s="8">
        <f>'05_shares'!H7*INDEX('06_intensity'!$C$43:$BB$43,1,3)</f>
        <v>0.38207044324723627</v>
      </c>
      <c r="I7" s="8">
        <f>'05_shares'!I7*INDEX('06_intensity'!$C$43:$BB$43,1,3)</f>
        <v>0.52454654624540764</v>
      </c>
      <c r="J7" s="8">
        <f>'05_shares'!J7*INDEX('06_intensity'!$C$43:$BB$43,1,3)</f>
        <v>0.12323770998899149</v>
      </c>
      <c r="K7" s="8">
        <f>'05_shares'!K7*INDEX('06_intensity'!$C$43:$BB$43,1,3)</f>
        <v>7.9547134210702954E-3</v>
      </c>
      <c r="L7" s="8">
        <f>'05_shares'!L7*INDEX('06_intensity'!$C$43:$BB$43,1,3)</f>
        <v>4.7815293975981823E-3</v>
      </c>
      <c r="M7" s="8">
        <f>'05_shares'!M7*INDEX('06_intensity'!$C$43:$BB$43,1,3)</f>
        <v>0.19998216905821997</v>
      </c>
      <c r="N7" s="8">
        <f>'05_shares'!N7*INDEX('06_intensity'!$C$43:$BB$43,1,3)</f>
        <v>0.72350420210719479</v>
      </c>
      <c r="O7" s="8">
        <f>'05_shares'!O7*INDEX('06_intensity'!$C$43:$BB$43,1,3)</f>
        <v>1.0751774791605422E-2</v>
      </c>
      <c r="P7" s="8">
        <f>'05_shares'!P7*INDEX('06_intensity'!$C$43:$BB$43,1,3)</f>
        <v>1.744685625487522</v>
      </c>
      <c r="Q7" s="8">
        <f>'05_shares'!Q7*INDEX('06_intensity'!$C$43:$BB$43,1,3)</f>
        <v>3.8183466486778325E-2</v>
      </c>
      <c r="R7" s="8">
        <f>'05_shares'!R7*INDEX('06_intensity'!$C$43:$BB$43,1,3)</f>
        <v>5.752571425833633E-2</v>
      </c>
      <c r="S7" s="8">
        <f>'05_shares'!S7*INDEX('06_intensity'!$C$43:$BB$43,1,3)</f>
        <v>0.31765522860357281</v>
      </c>
      <c r="T7" s="8">
        <f>'05_shares'!T7*INDEX('06_intensity'!$C$43:$BB$43,1,3)</f>
        <v>0.23627519818116946</v>
      </c>
      <c r="U7" s="8">
        <f>'05_shares'!U7*INDEX('06_intensity'!$C$43:$BB$43,1,3)</f>
        <v>0.71073427666289013</v>
      </c>
      <c r="V7" s="8">
        <f>'05_shares'!V7*INDEX('06_intensity'!$C$43:$BB$43,1,3)</f>
        <v>0.32542468758364429</v>
      </c>
      <c r="W7" s="8">
        <f>'05_shares'!W7*INDEX('06_intensity'!$C$43:$BB$43,1,3)</f>
        <v>0.10631359404956194</v>
      </c>
      <c r="X7" s="8">
        <f>'05_shares'!X7*INDEX('06_intensity'!$C$43:$BB$43,1,3)</f>
        <v>0.20806038543995614</v>
      </c>
      <c r="Y7" s="8">
        <f>'05_shares'!Y7*INDEX('06_intensity'!$C$43:$BB$43,1,3)</f>
        <v>3.7201056572390673E-2</v>
      </c>
      <c r="Z7" s="8">
        <f>'05_shares'!Z7*INDEX('06_intensity'!$C$43:$BB$43,1,3)</f>
        <v>9.5585677784448778E-2</v>
      </c>
      <c r="AA7" s="8">
        <f>'05_shares'!AA7*INDEX('06_intensity'!$C$43:$BB$43,1,3)</f>
        <v>0.27114794325646141</v>
      </c>
      <c r="AB7" s="8">
        <f>'05_shares'!AB7*INDEX('06_intensity'!$C$43:$BB$43,1,3)</f>
        <v>0.18464955718009843</v>
      </c>
      <c r="AC7" s="8">
        <f>'05_shares'!AC7*INDEX('06_intensity'!$C$43:$BB$43,1,3)</f>
        <v>9.1671475996981402E-2</v>
      </c>
      <c r="AD7" s="8">
        <f>'05_shares'!AD7*INDEX('06_intensity'!$C$43:$BB$43,1,3)</f>
        <v>2.6454895551724606E-2</v>
      </c>
      <c r="AE7" s="8">
        <f>'05_shares'!AE7*INDEX('06_intensity'!$C$43:$BB$43,1,3)</f>
        <v>0.23351743320720986</v>
      </c>
      <c r="AF7" s="8">
        <f>'05_shares'!AF7*INDEX('06_intensity'!$C$43:$BB$43,1,3)</f>
        <v>5.6882937485779848E-2</v>
      </c>
      <c r="AG7" s="8">
        <f>'05_shares'!AG7*INDEX('06_intensity'!$C$43:$BB$43,1,3)</f>
        <v>0.1794091020082077</v>
      </c>
      <c r="AH7" s="8">
        <f>'05_shares'!AH7*INDEX('06_intensity'!$C$43:$BB$43,1,3)</f>
        <v>7.8550689868966909E-3</v>
      </c>
      <c r="AI7" s="8">
        <f>'05_shares'!AI7*INDEX('06_intensity'!$C$43:$BB$43,1,3)</f>
        <v>8.6255590483235774E-3</v>
      </c>
    </row>
    <row r="8" spans="1:35" x14ac:dyDescent="0.2">
      <c r="A8" s="12" t="s">
        <v>1372</v>
      </c>
      <c r="B8" s="8">
        <f>'05_shares'!B8*INDEX('06_intensity'!$C$43:$BB$43,1,4)</f>
        <v>9.6589914880971448E-3</v>
      </c>
      <c r="C8" s="8">
        <f>'05_shares'!C8*INDEX('06_intensity'!$C$43:$BB$43,1,4)</f>
        <v>5.0756721506394938E-2</v>
      </c>
      <c r="D8" s="8">
        <f>'05_shares'!D8*INDEX('06_intensity'!$C$43:$BB$43,1,4)</f>
        <v>1.8460346065246384E-2</v>
      </c>
      <c r="E8" s="8">
        <f>'05_shares'!E8*INDEX('06_intensity'!$C$43:$BB$43,1,4)</f>
        <v>8.8371214976506549E-3</v>
      </c>
      <c r="F8" s="8">
        <f>'05_shares'!F8*INDEX('06_intensity'!$C$43:$BB$43,1,4)</f>
        <v>3.1559499960710801E-3</v>
      </c>
      <c r="G8" s="8">
        <f>'05_shares'!G8*INDEX('06_intensity'!$C$43:$BB$43,1,4)</f>
        <v>1.1962304250279658E-2</v>
      </c>
      <c r="H8" s="8">
        <f>'05_shares'!H8*INDEX('06_intensity'!$C$43:$BB$43,1,4)</f>
        <v>3.9908960649804532E-3</v>
      </c>
      <c r="I8" s="8">
        <f>'05_shares'!I8*INDEX('06_intensity'!$C$43:$BB$43,1,4)</f>
        <v>0.10430441658352932</v>
      </c>
      <c r="J8" s="8">
        <f>'05_shares'!J8*INDEX('06_intensity'!$C$43:$BB$43,1,4)</f>
        <v>1.3141458855197271E-3</v>
      </c>
      <c r="K8" s="8">
        <f>'05_shares'!K8*INDEX('06_intensity'!$C$43:$BB$43,1,4)</f>
        <v>1.0345485607398497E-3</v>
      </c>
      <c r="L8" s="8">
        <f>'05_shares'!L8*INDEX('06_intensity'!$C$43:$BB$43,1,4)</f>
        <v>1.8294972131745219E-3</v>
      </c>
      <c r="M8" s="8">
        <f>'05_shares'!M8*INDEX('06_intensity'!$C$43:$BB$43,1,4)</f>
        <v>0.18140251356285872</v>
      </c>
      <c r="N8" s="8">
        <f>'05_shares'!N8*INDEX('06_intensity'!$C$43:$BB$43,1,4)</f>
        <v>0.41985018860112999</v>
      </c>
      <c r="O8" s="8">
        <f>'05_shares'!O8*INDEX('06_intensity'!$C$43:$BB$43,1,4)</f>
        <v>6.5109255981580974E-2</v>
      </c>
      <c r="P8" s="8">
        <f>'05_shares'!P8*INDEX('06_intensity'!$C$43:$BB$43,1,4)</f>
        <v>0.75296597957687195</v>
      </c>
      <c r="Q8" s="8">
        <f>'05_shares'!Q8*INDEX('06_intensity'!$C$43:$BB$43,1,4)</f>
        <v>1.9123764751966178E-2</v>
      </c>
      <c r="R8" s="8">
        <f>'05_shares'!R8*INDEX('06_intensity'!$C$43:$BB$43,1,4)</f>
        <v>6.7094127774137993E-2</v>
      </c>
      <c r="S8" s="8">
        <f>'05_shares'!S8*INDEX('06_intensity'!$C$43:$BB$43,1,4)</f>
        <v>0.10802533008730554</v>
      </c>
      <c r="T8" s="8">
        <f>'05_shares'!T8*INDEX('06_intensity'!$C$43:$BB$43,1,4)</f>
        <v>8.1190909538211772E-2</v>
      </c>
      <c r="U8" s="8">
        <f>'05_shares'!U8*INDEX('06_intensity'!$C$43:$BB$43,1,4)</f>
        <v>7.9417947134862062E-3</v>
      </c>
      <c r="V8" s="8">
        <f>'05_shares'!V8*INDEX('06_intensity'!$C$43:$BB$43,1,4)</f>
        <v>5.2523530461056223E-3</v>
      </c>
      <c r="W8" s="8">
        <f>'05_shares'!W8*INDEX('06_intensity'!$C$43:$BB$43,1,4)</f>
        <v>1.1019672829323014E-2</v>
      </c>
      <c r="X8" s="8">
        <f>'05_shares'!X8*INDEX('06_intensity'!$C$43:$BB$43,1,4)</f>
        <v>3.2924796388452979E-3</v>
      </c>
      <c r="Y8" s="8">
        <f>'05_shares'!Y8*INDEX('06_intensity'!$C$43:$BB$43,1,4)</f>
        <v>1.9291061638182473E-3</v>
      </c>
      <c r="Z8" s="8">
        <f>'05_shares'!Z8*INDEX('06_intensity'!$C$43:$BB$43,1,4)</f>
        <v>2.470994238941834E-3</v>
      </c>
      <c r="AA8" s="8">
        <f>'05_shares'!AA8*INDEX('06_intensity'!$C$43:$BB$43,1,4)</f>
        <v>5.8738513636355846E-3</v>
      </c>
      <c r="AB8" s="8">
        <f>'05_shares'!AB8*INDEX('06_intensity'!$C$43:$BB$43,1,4)</f>
        <v>6.4605826960759977E-2</v>
      </c>
      <c r="AC8" s="8">
        <f>'05_shares'!AC8*INDEX('06_intensity'!$C$43:$BB$43,1,4)</f>
        <v>7.5718186110952258E-3</v>
      </c>
      <c r="AD8" s="8">
        <f>'05_shares'!AD8*INDEX('06_intensity'!$C$43:$BB$43,1,4)</f>
        <v>3.0821086118100944E-3</v>
      </c>
      <c r="AE8" s="8">
        <f>'05_shares'!AE8*INDEX('06_intensity'!$C$43:$BB$43,1,4)</f>
        <v>1.2874937608880277E-2</v>
      </c>
      <c r="AF8" s="8">
        <f>'05_shares'!AF8*INDEX('06_intensity'!$C$43:$BB$43,1,4)</f>
        <v>1.9564120923730908E-3</v>
      </c>
      <c r="AG8" s="8">
        <f>'05_shares'!AG8*INDEX('06_intensity'!$C$43:$BB$43,1,4)</f>
        <v>3.6266888207348626E-4</v>
      </c>
      <c r="AH8" s="8">
        <f>'05_shares'!AH8*INDEX('06_intensity'!$C$43:$BB$43,1,4)</f>
        <v>1.2864553664218576E-3</v>
      </c>
      <c r="AI8" s="8">
        <f>'05_shares'!AI8*INDEX('06_intensity'!$C$43:$BB$43,1,4)</f>
        <v>2.8828907105226437E-3</v>
      </c>
    </row>
    <row r="9" spans="1:35" x14ac:dyDescent="0.2">
      <c r="A9" s="12" t="s">
        <v>1373</v>
      </c>
      <c r="B9" s="8">
        <f>'05_shares'!B9*INDEX('06_intensity'!$C$43:$BB$43,1,5)</f>
        <v>6.5641180538062061E-2</v>
      </c>
      <c r="C9" s="8">
        <f>'05_shares'!C9*INDEX('06_intensity'!$C$43:$BB$43,1,5)</f>
        <v>0.1357069420954635</v>
      </c>
      <c r="D9" s="8">
        <f>'05_shares'!D9*INDEX('06_intensity'!$C$43:$BB$43,1,5)</f>
        <v>4.6491331583941579E-2</v>
      </c>
      <c r="E9" s="8">
        <f>'05_shares'!E9*INDEX('06_intensity'!$C$43:$BB$43,1,5)</f>
        <v>5.0837930802819918E-2</v>
      </c>
      <c r="F9" s="8">
        <f>'05_shares'!F9*INDEX('06_intensity'!$C$43:$BB$43,1,5)</f>
        <v>1.9034648567075804E-2</v>
      </c>
      <c r="G9" s="8">
        <f>'05_shares'!G9*INDEX('06_intensity'!$C$43:$BB$43,1,5)</f>
        <v>5.6442872710955598E-2</v>
      </c>
      <c r="H9" s="8">
        <f>'05_shares'!H9*INDEX('06_intensity'!$C$43:$BB$43,1,5)</f>
        <v>1.621401139812784E-2</v>
      </c>
      <c r="I9" s="8">
        <f>'05_shares'!I9*INDEX('06_intensity'!$C$43:$BB$43,1,5)</f>
        <v>9.0914373142019334E-2</v>
      </c>
      <c r="J9" s="8">
        <f>'05_shares'!J9*INDEX('06_intensity'!$C$43:$BB$43,1,5)</f>
        <v>8.7800418064519128E-3</v>
      </c>
      <c r="K9" s="8">
        <f>'05_shares'!K9*INDEX('06_intensity'!$C$43:$BB$43,1,5)</f>
        <v>2.2151262115046269E-2</v>
      </c>
      <c r="L9" s="8">
        <f>'05_shares'!L9*INDEX('06_intensity'!$C$43:$BB$43,1,5)</f>
        <v>7.9495356315420679E-2</v>
      </c>
      <c r="M9" s="8">
        <f>'05_shares'!M9*INDEX('06_intensity'!$C$43:$BB$43,1,5)</f>
        <v>0.44311474414009089</v>
      </c>
      <c r="N9" s="8">
        <f>'05_shares'!N9*INDEX('06_intensity'!$C$43:$BB$43,1,5)</f>
        <v>0.32773446726025052</v>
      </c>
      <c r="O9" s="8">
        <f>'05_shares'!O9*INDEX('06_intensity'!$C$43:$BB$43,1,5)</f>
        <v>1.3631750414680031E-2</v>
      </c>
      <c r="P9" s="8">
        <f>'05_shares'!P9*INDEX('06_intensity'!$C$43:$BB$43,1,5)</f>
        <v>0.37985998392750064</v>
      </c>
      <c r="Q9" s="8">
        <f>'05_shares'!Q9*INDEX('06_intensity'!$C$43:$BB$43,1,5)</f>
        <v>0.12354975663495545</v>
      </c>
      <c r="R9" s="8">
        <f>'05_shares'!R9*INDEX('06_intensity'!$C$43:$BB$43,1,5)</f>
        <v>3.2171923474287108E-2</v>
      </c>
      <c r="S9" s="8">
        <f>'05_shares'!S9*INDEX('06_intensity'!$C$43:$BB$43,1,5)</f>
        <v>4.8797111638482132E-2</v>
      </c>
      <c r="T9" s="8">
        <f>'05_shares'!T9*INDEX('06_intensity'!$C$43:$BB$43,1,5)</f>
        <v>1.7927838694623398E-2</v>
      </c>
      <c r="U9" s="8">
        <f>'05_shares'!U9*INDEX('06_intensity'!$C$43:$BB$43,1,5)</f>
        <v>3.5073200914166353E-2</v>
      </c>
      <c r="V9" s="8">
        <f>'05_shares'!V9*INDEX('06_intensity'!$C$43:$BB$43,1,5)</f>
        <v>2.2426856887130094E-2</v>
      </c>
      <c r="W9" s="8">
        <f>'05_shares'!W9*INDEX('06_intensity'!$C$43:$BB$43,1,5)</f>
        <v>4.5070822195998249E-2</v>
      </c>
      <c r="X9" s="8">
        <f>'05_shares'!X9*INDEX('06_intensity'!$C$43:$BB$43,1,5)</f>
        <v>2.2825627457669393E-2</v>
      </c>
      <c r="Y9" s="8">
        <f>'05_shares'!Y9*INDEX('06_intensity'!$C$43:$BB$43,1,5)</f>
        <v>4.5858615612019218E-3</v>
      </c>
      <c r="Z9" s="8">
        <f>'05_shares'!Z9*INDEX('06_intensity'!$C$43:$BB$43,1,5)</f>
        <v>1.8128996293539892E-2</v>
      </c>
      <c r="AA9" s="8">
        <f>'05_shares'!AA9*INDEX('06_intensity'!$C$43:$BB$43,1,5)</f>
        <v>2.2183163760689413E-2</v>
      </c>
      <c r="AB9" s="8">
        <f>'05_shares'!AB9*INDEX('06_intensity'!$C$43:$BB$43,1,5)</f>
        <v>6.1031392742627782E-2</v>
      </c>
      <c r="AC9" s="8">
        <f>'05_shares'!AC9*INDEX('06_intensity'!$C$43:$BB$43,1,5)</f>
        <v>1.3505916145754299E-2</v>
      </c>
      <c r="AD9" s="8">
        <f>'05_shares'!AD9*INDEX('06_intensity'!$C$43:$BB$43,1,5)</f>
        <v>9.7362050189228055E-3</v>
      </c>
      <c r="AE9" s="8">
        <f>'05_shares'!AE9*INDEX('06_intensity'!$C$43:$BB$43,1,5)</f>
        <v>7.2150888562910248E-3</v>
      </c>
      <c r="AF9" s="8">
        <f>'05_shares'!AF9*INDEX('06_intensity'!$C$43:$BB$43,1,5)</f>
        <v>8.151756618646663E-3</v>
      </c>
      <c r="AG9" s="8">
        <f>'05_shares'!AG9*INDEX('06_intensity'!$C$43:$BB$43,1,5)</f>
        <v>6.7418811125843905E-3</v>
      </c>
      <c r="AH9" s="8">
        <f>'05_shares'!AH9*INDEX('06_intensity'!$C$43:$BB$43,1,5)</f>
        <v>2.4404758917005013E-3</v>
      </c>
      <c r="AI9" s="8">
        <f>'05_shares'!AI9*INDEX('06_intensity'!$C$43:$BB$43,1,5)</f>
        <v>5.5154400689701967E-3</v>
      </c>
    </row>
    <row r="10" spans="1:35" x14ac:dyDescent="0.2">
      <c r="A10" s="12" t="s">
        <v>1374</v>
      </c>
      <c r="B10" s="8">
        <f>'05_shares'!B10*INDEX('06_intensity'!$C$43:$BB$43,1,6)</f>
        <v>3.6429115594127273E-2</v>
      </c>
      <c r="C10" s="8">
        <f>'05_shares'!C10*INDEX('06_intensity'!$C$43:$BB$43,1,6)</f>
        <v>9.6299224191666699E-2</v>
      </c>
      <c r="D10" s="8">
        <f>'05_shares'!D10*INDEX('06_intensity'!$C$43:$BB$43,1,6)</f>
        <v>4.9905210022290175E-2</v>
      </c>
      <c r="E10" s="8">
        <f>'05_shares'!E10*INDEX('06_intensity'!$C$43:$BB$43,1,6)</f>
        <v>8.5156589076411937E-2</v>
      </c>
      <c r="F10" s="8">
        <f>'05_shares'!F10*INDEX('06_intensity'!$C$43:$BB$43,1,6)</f>
        <v>3.5988840252069138E-2</v>
      </c>
      <c r="G10" s="8">
        <f>'05_shares'!G10*INDEX('06_intensity'!$C$43:$BB$43,1,6)</f>
        <v>6.31978563912622E-2</v>
      </c>
      <c r="H10" s="8">
        <f>'05_shares'!H10*INDEX('06_intensity'!$C$43:$BB$43,1,6)</f>
        <v>8.6917690444644497E-3</v>
      </c>
      <c r="I10" s="8">
        <f>'05_shares'!I10*INDEX('06_intensity'!$C$43:$BB$43,1,6)</f>
        <v>5.3827329527791443E-2</v>
      </c>
      <c r="J10" s="8">
        <f>'05_shares'!J10*INDEX('06_intensity'!$C$43:$BB$43,1,6)</f>
        <v>1.0926166405409509E-2</v>
      </c>
      <c r="K10" s="8">
        <f>'05_shares'!K10*INDEX('06_intensity'!$C$43:$BB$43,1,6)</f>
        <v>7.708487447201269E-3</v>
      </c>
      <c r="L10" s="8">
        <f>'05_shares'!L10*INDEX('06_intensity'!$C$43:$BB$43,1,6)</f>
        <v>0</v>
      </c>
      <c r="M10" s="8">
        <f>'05_shares'!M10*INDEX('06_intensity'!$C$43:$BB$43,1,6)</f>
        <v>0.24779796939387269</v>
      </c>
      <c r="N10" s="8">
        <f>'05_shares'!N10*INDEX('06_intensity'!$C$43:$BB$43,1,6)</f>
        <v>0.42802834962655617</v>
      </c>
      <c r="O10" s="8">
        <f>'05_shares'!O10*INDEX('06_intensity'!$C$43:$BB$43,1,6)</f>
        <v>3.3427905345764286E-2</v>
      </c>
      <c r="P10" s="8">
        <f>'05_shares'!P10*INDEX('06_intensity'!$C$43:$BB$43,1,6)</f>
        <v>0.42877681770805498</v>
      </c>
      <c r="Q10" s="8">
        <f>'05_shares'!Q10*INDEX('06_intensity'!$C$43:$BB$43,1,6)</f>
        <v>0.10739049385034802</v>
      </c>
      <c r="R10" s="8">
        <f>'05_shares'!R10*INDEX('06_intensity'!$C$43:$BB$43,1,6)</f>
        <v>2.2520083746273865E-2</v>
      </c>
      <c r="S10" s="8">
        <f>'05_shares'!S10*INDEX('06_intensity'!$C$43:$BB$43,1,6)</f>
        <v>4.2229743225743271E-2</v>
      </c>
      <c r="T10" s="8">
        <f>'05_shares'!T10*INDEX('06_intensity'!$C$43:$BB$43,1,6)</f>
        <v>7.4520270604524028E-2</v>
      </c>
      <c r="U10" s="8">
        <f>'05_shares'!U10*INDEX('06_intensity'!$C$43:$BB$43,1,6)</f>
        <v>8.0225505245360762E-2</v>
      </c>
      <c r="V10" s="8">
        <f>'05_shares'!V10*INDEX('06_intensity'!$C$43:$BB$43,1,6)</f>
        <v>7.4964214907765989E-2</v>
      </c>
      <c r="W10" s="8">
        <f>'05_shares'!W10*INDEX('06_intensity'!$C$43:$BB$43,1,6)</f>
        <v>6.1477113596051625E-2</v>
      </c>
      <c r="X10" s="8">
        <f>'05_shares'!X10*INDEX('06_intensity'!$C$43:$BB$43,1,6)</f>
        <v>4.0362241983179996E-2</v>
      </c>
      <c r="Y10" s="8">
        <f>'05_shares'!Y10*INDEX('06_intensity'!$C$43:$BB$43,1,6)</f>
        <v>1.9511535575543242E-2</v>
      </c>
      <c r="Z10" s="8">
        <f>'05_shares'!Z10*INDEX('06_intensity'!$C$43:$BB$43,1,6)</f>
        <v>1.453642421028626E-2</v>
      </c>
      <c r="AA10" s="8">
        <f>'05_shares'!AA10*INDEX('06_intensity'!$C$43:$BB$43,1,6)</f>
        <v>3.6454798322413995E-2</v>
      </c>
      <c r="AB10" s="8">
        <f>'05_shares'!AB10*INDEX('06_intensity'!$C$43:$BB$43,1,6)</f>
        <v>2.855919385483802E-2</v>
      </c>
      <c r="AC10" s="8">
        <f>'05_shares'!AC10*INDEX('06_intensity'!$C$43:$BB$43,1,6)</f>
        <v>3.9136808947784839E-2</v>
      </c>
      <c r="AD10" s="8">
        <f>'05_shares'!AD10*INDEX('06_intensity'!$C$43:$BB$43,1,6)</f>
        <v>1.1579241496129085E-2</v>
      </c>
      <c r="AE10" s="8">
        <f>'05_shares'!AE10*INDEX('06_intensity'!$C$43:$BB$43,1,6)</f>
        <v>7.5764048445838275E-3</v>
      </c>
      <c r="AF10" s="8">
        <f>'05_shares'!AF10*INDEX('06_intensity'!$C$43:$BB$43,1,6)</f>
        <v>1.3593501186045076E-2</v>
      </c>
      <c r="AG10" s="8">
        <f>'05_shares'!AG10*INDEX('06_intensity'!$C$43:$BB$43,1,6)</f>
        <v>1.8961191397970565E-2</v>
      </c>
      <c r="AH10" s="8">
        <f>'05_shares'!AH10*INDEX('06_intensity'!$C$43:$BB$43,1,6)</f>
        <v>1.0203381052197397E-2</v>
      </c>
      <c r="AI10" s="8">
        <f>'05_shares'!AI10*INDEX('06_intensity'!$C$43:$BB$43,1,6)</f>
        <v>1.8040282140832288E-2</v>
      </c>
    </row>
    <row r="11" spans="1:35" x14ac:dyDescent="0.2">
      <c r="A11" s="12" t="s">
        <v>1375</v>
      </c>
      <c r="B11" s="8">
        <f>'05_shares'!B11*INDEX('06_intensity'!$C$43:$BB$43,1,7)</f>
        <v>7.1734415602793741E-2</v>
      </c>
      <c r="C11" s="8">
        <f>'05_shares'!C11*INDEX('06_intensity'!$C$43:$BB$43,1,7)</f>
        <v>0.13985451985026751</v>
      </c>
      <c r="D11" s="8">
        <f>'05_shares'!D11*INDEX('06_intensity'!$C$43:$BB$43,1,7)</f>
        <v>3.5328894622243298E-2</v>
      </c>
      <c r="E11" s="8">
        <f>'05_shares'!E11*INDEX('06_intensity'!$C$43:$BB$43,1,7)</f>
        <v>5.4141239444779686E-2</v>
      </c>
      <c r="F11" s="8">
        <f>'05_shares'!F11*INDEX('06_intensity'!$C$43:$BB$43,1,7)</f>
        <v>2.1675069472358099E-2</v>
      </c>
      <c r="G11" s="8">
        <f>'05_shares'!G11*INDEX('06_intensity'!$C$43:$BB$43,1,7)</f>
        <v>4.451099484760504E-2</v>
      </c>
      <c r="H11" s="8">
        <f>'05_shares'!H11*INDEX('06_intensity'!$C$43:$BB$43,1,7)</f>
        <v>8.997443146855702E-3</v>
      </c>
      <c r="I11" s="8">
        <f>'05_shares'!I11*INDEX('06_intensity'!$C$43:$BB$43,1,7)</f>
        <v>7.9790215635864248E-2</v>
      </c>
      <c r="J11" s="8">
        <f>'05_shares'!J11*INDEX('06_intensity'!$C$43:$BB$43,1,7)</f>
        <v>2.9292443927221287E-2</v>
      </c>
      <c r="K11" s="8">
        <f>'05_shares'!K11*INDEX('06_intensity'!$C$43:$BB$43,1,7)</f>
        <v>4.1088899632484334E-2</v>
      </c>
      <c r="L11" s="8">
        <f>'05_shares'!L11*INDEX('06_intensity'!$C$43:$BB$43,1,7)</f>
        <v>1.6639654518710936E-2</v>
      </c>
      <c r="M11" s="8">
        <f>'05_shares'!M11*INDEX('06_intensity'!$C$43:$BB$43,1,7)</f>
        <v>0.11961999156344776</v>
      </c>
      <c r="N11" s="8">
        <f>'05_shares'!N11*INDEX('06_intensity'!$C$43:$BB$43,1,7)</f>
        <v>0.21658223563441753</v>
      </c>
      <c r="O11" s="8">
        <f>'05_shares'!O11*INDEX('06_intensity'!$C$43:$BB$43,1,7)</f>
        <v>7.998567137393206E-3</v>
      </c>
      <c r="P11" s="8">
        <f>'05_shares'!P11*INDEX('06_intensity'!$C$43:$BB$43,1,7)</f>
        <v>0.26997404810561132</v>
      </c>
      <c r="Q11" s="8">
        <f>'05_shares'!Q11*INDEX('06_intensity'!$C$43:$BB$43,1,7)</f>
        <v>4.3030498621688194E-2</v>
      </c>
      <c r="R11" s="8">
        <f>'05_shares'!R11*INDEX('06_intensity'!$C$43:$BB$43,1,7)</f>
        <v>1.6349170576499681E-2</v>
      </c>
      <c r="S11" s="8">
        <f>'05_shares'!S11*INDEX('06_intensity'!$C$43:$BB$43,1,7)</f>
        <v>6.7181700731557104E-2</v>
      </c>
      <c r="T11" s="8">
        <f>'05_shares'!T11*INDEX('06_intensity'!$C$43:$BB$43,1,7)</f>
        <v>7.8673634237178602E-2</v>
      </c>
      <c r="U11" s="8">
        <f>'05_shares'!U11*INDEX('06_intensity'!$C$43:$BB$43,1,7)</f>
        <v>4.4338216294616935E-2</v>
      </c>
      <c r="V11" s="8">
        <f>'05_shares'!V11*INDEX('06_intensity'!$C$43:$BB$43,1,7)</f>
        <v>3.5924980630052269E-2</v>
      </c>
      <c r="W11" s="8">
        <f>'05_shares'!W11*INDEX('06_intensity'!$C$43:$BB$43,1,7)</f>
        <v>4.3009981168520853E-2</v>
      </c>
      <c r="X11" s="8">
        <f>'05_shares'!X11*INDEX('06_intensity'!$C$43:$BB$43,1,7)</f>
        <v>4.5367328550852348E-2</v>
      </c>
      <c r="Y11" s="8">
        <f>'05_shares'!Y11*INDEX('06_intensity'!$C$43:$BB$43,1,7)</f>
        <v>4.0623477405372616E-2</v>
      </c>
      <c r="Z11" s="8">
        <f>'05_shares'!Z11*INDEX('06_intensity'!$C$43:$BB$43,1,7)</f>
        <v>4.2776730121986906E-2</v>
      </c>
      <c r="AA11" s="8">
        <f>'05_shares'!AA11*INDEX('06_intensity'!$C$43:$BB$43,1,7)</f>
        <v>6.8722669451019791E-2</v>
      </c>
      <c r="AB11" s="8">
        <f>'05_shares'!AB11*INDEX('06_intensity'!$C$43:$BB$43,1,7)</f>
        <v>0.20375774753887529</v>
      </c>
      <c r="AC11" s="8">
        <f>'05_shares'!AC11*INDEX('06_intensity'!$C$43:$BB$43,1,7)</f>
        <v>9.6006562699754328E-2</v>
      </c>
      <c r="AD11" s="8">
        <f>'05_shares'!AD11*INDEX('06_intensity'!$C$43:$BB$43,1,7)</f>
        <v>2.1004472713573002E-2</v>
      </c>
      <c r="AE11" s="8">
        <f>'05_shares'!AE11*INDEX('06_intensity'!$C$43:$BB$43,1,7)</f>
        <v>2.8155345075368307E-2</v>
      </c>
      <c r="AF11" s="8">
        <f>'05_shares'!AF11*INDEX('06_intensity'!$C$43:$BB$43,1,7)</f>
        <v>5.3271947350058267E-2</v>
      </c>
      <c r="AG11" s="8">
        <f>'05_shares'!AG11*INDEX('06_intensity'!$C$43:$BB$43,1,7)</f>
        <v>2.5411405680725925E-2</v>
      </c>
      <c r="AH11" s="8">
        <f>'05_shares'!AH11*INDEX('06_intensity'!$C$43:$BB$43,1,7)</f>
        <v>1.4611666253013024E-2</v>
      </c>
      <c r="AI11" s="8">
        <f>'05_shares'!AI11*INDEX('06_intensity'!$C$43:$BB$43,1,7)</f>
        <v>3.8965883162642968E-2</v>
      </c>
    </row>
    <row r="12" spans="1:35" x14ac:dyDescent="0.2">
      <c r="A12" s="12" t="s">
        <v>1376</v>
      </c>
      <c r="B12" s="8">
        <f>'05_shares'!B12*INDEX('06_intensity'!$C$43:$BB$43,1,8)</f>
        <v>3.9366866793672607E-2</v>
      </c>
      <c r="C12" s="8">
        <f>'05_shares'!C12*INDEX('06_intensity'!$C$43:$BB$43,1,8)</f>
        <v>3.1324173577761002E-3</v>
      </c>
      <c r="D12" s="8">
        <f>'05_shares'!D12*INDEX('06_intensity'!$C$43:$BB$43,1,8)</f>
        <v>8.9104574839441758E-2</v>
      </c>
      <c r="E12" s="8">
        <f>'05_shares'!E12*INDEX('06_intensity'!$C$43:$BB$43,1,8)</f>
        <v>7.5664811176010524E-2</v>
      </c>
      <c r="F12" s="8">
        <f>'05_shares'!F12*INDEX('06_intensity'!$C$43:$BB$43,1,8)</f>
        <v>0.19854869752228105</v>
      </c>
      <c r="G12" s="8">
        <f>'05_shares'!G12*INDEX('06_intensity'!$C$43:$BB$43,1,8)</f>
        <v>0.82621740807774069</v>
      </c>
      <c r="H12" s="8">
        <f>'05_shares'!H12*INDEX('06_intensity'!$C$43:$BB$43,1,8)</f>
        <v>9.2596796893719177E-2</v>
      </c>
      <c r="I12" s="8">
        <f>'05_shares'!I12*INDEX('06_intensity'!$C$43:$BB$43,1,8)</f>
        <v>1.4878982449436475E-2</v>
      </c>
      <c r="J12" s="8">
        <f>'05_shares'!J12*INDEX('06_intensity'!$C$43:$BB$43,1,8)</f>
        <v>0</v>
      </c>
      <c r="K12" s="8">
        <f>'05_shares'!K12*INDEX('06_intensity'!$C$43:$BB$43,1,8)</f>
        <v>1.3757238395638277E-3</v>
      </c>
      <c r="L12" s="8">
        <f>'05_shares'!L12*INDEX('06_intensity'!$C$43:$BB$43,1,8)</f>
        <v>2.3641285058350701E-2</v>
      </c>
      <c r="M12" s="8">
        <f>'05_shares'!M12*INDEX('06_intensity'!$C$43:$BB$43,1,8)</f>
        <v>7.9791982694702002E-2</v>
      </c>
      <c r="N12" s="8">
        <f>'05_shares'!N12*INDEX('06_intensity'!$C$43:$BB$43,1,8)</f>
        <v>4.9610718152886341E-2</v>
      </c>
      <c r="O12" s="8">
        <f>'05_shares'!O12*INDEX('06_intensity'!$C$43:$BB$43,1,8)</f>
        <v>0</v>
      </c>
      <c r="P12" s="8">
        <f>'05_shares'!P12*INDEX('06_intensity'!$C$43:$BB$43,1,8)</f>
        <v>0.12042874841720276</v>
      </c>
      <c r="Q12" s="8">
        <f>'05_shares'!Q12*INDEX('06_intensity'!$C$43:$BB$43,1,8)</f>
        <v>0.1161957519877756</v>
      </c>
      <c r="R12" s="8">
        <f>'05_shares'!R12*INDEX('06_intensity'!$C$43:$BB$43,1,8)</f>
        <v>0</v>
      </c>
      <c r="S12" s="8">
        <f>'05_shares'!S12*INDEX('06_intensity'!$C$43:$BB$43,1,8)</f>
        <v>0</v>
      </c>
      <c r="T12" s="8">
        <f>'05_shares'!T12*INDEX('06_intensity'!$C$43:$BB$43,1,8)</f>
        <v>0</v>
      </c>
      <c r="U12" s="8">
        <f>'05_shares'!U12*INDEX('06_intensity'!$C$43:$BB$43,1,8)</f>
        <v>4.6351310902227423E-3</v>
      </c>
      <c r="V12" s="8">
        <f>'05_shares'!V12*INDEX('06_intensity'!$C$43:$BB$43,1,8)</f>
        <v>0.44112055791060456</v>
      </c>
      <c r="W12" s="8">
        <f>'05_shares'!W12*INDEX('06_intensity'!$C$43:$BB$43,1,8)</f>
        <v>1.4528067045436963</v>
      </c>
      <c r="X12" s="8">
        <f>'05_shares'!X12*INDEX('06_intensity'!$C$43:$BB$43,1,8)</f>
        <v>2.8472403883255919</v>
      </c>
      <c r="Y12" s="8">
        <f>'05_shares'!Y12*INDEX('06_intensity'!$C$43:$BB$43,1,8)</f>
        <v>0.1916700783244619</v>
      </c>
      <c r="Z12" s="8">
        <f>'05_shares'!Z12*INDEX('06_intensity'!$C$43:$BB$43,1,8)</f>
        <v>3.6467264239515004E-2</v>
      </c>
      <c r="AA12" s="8">
        <f>'05_shares'!AA12*INDEX('06_intensity'!$C$43:$BB$43,1,8)</f>
        <v>3.1959123042175075E-3</v>
      </c>
      <c r="AB12" s="8">
        <f>'05_shares'!AB12*INDEX('06_intensity'!$C$43:$BB$43,1,8)</f>
        <v>2.520749373723875E-2</v>
      </c>
      <c r="AC12" s="8">
        <f>'05_shares'!AC12*INDEX('06_intensity'!$C$43:$BB$43,1,8)</f>
        <v>0</v>
      </c>
      <c r="AD12" s="8">
        <f>'05_shares'!AD12*INDEX('06_intensity'!$C$43:$BB$43,1,8)</f>
        <v>2.7091177148333835E-3</v>
      </c>
      <c r="AE12" s="8">
        <f>'05_shares'!AE12*INDEX('06_intensity'!$C$43:$BB$43,1,8)</f>
        <v>2.9419325184518778E-3</v>
      </c>
      <c r="AF12" s="8">
        <f>'05_shares'!AF12*INDEX('06_intensity'!$C$43:$BB$43,1,8)</f>
        <v>0</v>
      </c>
      <c r="AG12" s="8">
        <f>'05_shares'!AG12*INDEX('06_intensity'!$C$43:$BB$43,1,8)</f>
        <v>0</v>
      </c>
      <c r="AH12" s="8">
        <f>'05_shares'!AH12*INDEX('06_intensity'!$C$43:$BB$43,1,8)</f>
        <v>0</v>
      </c>
      <c r="AI12" s="8">
        <f>'05_shares'!AI12*INDEX('06_intensity'!$C$43:$BB$43,1,8)</f>
        <v>0</v>
      </c>
    </row>
    <row r="13" spans="1:35" x14ac:dyDescent="0.2">
      <c r="A13" s="12" t="s">
        <v>1377</v>
      </c>
      <c r="B13" s="8">
        <f>'05_shares'!B13*INDEX('06_intensity'!$C$43:$BB$43,1,9)</f>
        <v>0.32497385302550358</v>
      </c>
      <c r="C13" s="8">
        <f>'05_shares'!C13*INDEX('06_intensity'!$C$43:$BB$43,1,9)</f>
        <v>0.36244389857909071</v>
      </c>
      <c r="D13" s="8">
        <f>'05_shares'!D13*INDEX('06_intensity'!$C$43:$BB$43,1,9)</f>
        <v>8.5515748824168084E-2</v>
      </c>
      <c r="E13" s="8">
        <f>'05_shares'!E13*INDEX('06_intensity'!$C$43:$BB$43,1,9)</f>
        <v>1.9625899373880735</v>
      </c>
      <c r="F13" s="8">
        <f>'05_shares'!F13*INDEX('06_intensity'!$C$43:$BB$43,1,9)</f>
        <v>0.66717692325882483</v>
      </c>
      <c r="G13" s="8">
        <f>'05_shares'!G13*INDEX('06_intensity'!$C$43:$BB$43,1,9)</f>
        <v>1.7353183526751943</v>
      </c>
      <c r="H13" s="8">
        <f>'05_shares'!H13*INDEX('06_intensity'!$C$43:$BB$43,1,9)</f>
        <v>1.1626219741860688E-2</v>
      </c>
      <c r="I13" s="8">
        <f>'05_shares'!I13*INDEX('06_intensity'!$C$43:$BB$43,1,9)</f>
        <v>0.27398657608529525</v>
      </c>
      <c r="J13" s="8">
        <f>'05_shares'!J13*INDEX('06_intensity'!$C$43:$BB$43,1,9)</f>
        <v>0</v>
      </c>
      <c r="K13" s="8">
        <f>'05_shares'!K13*INDEX('06_intensity'!$C$43:$BB$43,1,9)</f>
        <v>0.45244204537602439</v>
      </c>
      <c r="L13" s="8">
        <f>'05_shares'!L13*INDEX('06_intensity'!$C$43:$BB$43,1,9)</f>
        <v>0.12928916652695682</v>
      </c>
      <c r="M13" s="8">
        <f>'05_shares'!M13*INDEX('06_intensity'!$C$43:$BB$43,1,9)</f>
        <v>3.5034842779945614</v>
      </c>
      <c r="N13" s="8">
        <f>'05_shares'!N13*INDEX('06_intensity'!$C$43:$BB$43,1,9)</f>
        <v>0.61773047062175468</v>
      </c>
      <c r="O13" s="8">
        <f>'05_shares'!O13*INDEX('06_intensity'!$C$43:$BB$43,1,9)</f>
        <v>6.2543459213744546E-2</v>
      </c>
      <c r="P13" s="8">
        <f>'05_shares'!P13*INDEX('06_intensity'!$C$43:$BB$43,1,9)</f>
        <v>1.0476904886656266</v>
      </c>
      <c r="Q13" s="8">
        <f>'05_shares'!Q13*INDEX('06_intensity'!$C$43:$BB$43,1,9)</f>
        <v>0.47555440992309683</v>
      </c>
      <c r="R13" s="8">
        <f>'05_shares'!R13*INDEX('06_intensity'!$C$43:$BB$43,1,9)</f>
        <v>1.6178655182950714E-2</v>
      </c>
      <c r="S13" s="8">
        <f>'05_shares'!S13*INDEX('06_intensity'!$C$43:$BB$43,1,9)</f>
        <v>2.0731090624040743E-2</v>
      </c>
      <c r="T13" s="8">
        <f>'05_shares'!T13*INDEX('06_intensity'!$C$43:$BB$43,1,9)</f>
        <v>0</v>
      </c>
      <c r="U13" s="8">
        <f>'05_shares'!U13*INDEX('06_intensity'!$C$43:$BB$43,1,9)</f>
        <v>8.1243463256375891E-3</v>
      </c>
      <c r="V13" s="8">
        <f>'05_shares'!V13*INDEX('06_intensity'!$C$43:$BB$43,1,9)</f>
        <v>3.7189895680289312E-2</v>
      </c>
      <c r="W13" s="8">
        <f>'05_shares'!W13*INDEX('06_intensity'!$C$43:$BB$43,1,9)</f>
        <v>3.2567422770874814E-2</v>
      </c>
      <c r="X13" s="8">
        <f>'05_shares'!X13*INDEX('06_intensity'!$C$43:$BB$43,1,9)</f>
        <v>0.90915637631984081</v>
      </c>
      <c r="Y13" s="8">
        <f>'05_shares'!Y13*INDEX('06_intensity'!$C$43:$BB$43,1,9)</f>
        <v>0.13216070272825975</v>
      </c>
      <c r="Z13" s="8">
        <f>'05_shares'!Z13*INDEX('06_intensity'!$C$43:$BB$43,1,9)</f>
        <v>4.8606003017176609E-2</v>
      </c>
      <c r="AA13" s="8">
        <f>'05_shares'!AA13*INDEX('06_intensity'!$C$43:$BB$43,1,9)</f>
        <v>0.29023526873657041</v>
      </c>
      <c r="AB13" s="8">
        <f>'05_shares'!AB13*INDEX('06_intensity'!$C$43:$BB$43,1,9)</f>
        <v>7.5990653132041244E-2</v>
      </c>
      <c r="AC13" s="8">
        <f>'05_shares'!AC13*INDEX('06_intensity'!$C$43:$BB$43,1,9)</f>
        <v>6.1632972125526542E-3</v>
      </c>
      <c r="AD13" s="8">
        <f>'05_shares'!AD13*INDEX('06_intensity'!$C$43:$BB$43,1,9)</f>
        <v>0</v>
      </c>
      <c r="AE13" s="8">
        <f>'05_shares'!AE13*INDEX('06_intensity'!$C$43:$BB$43,1,9)</f>
        <v>0</v>
      </c>
      <c r="AF13" s="8">
        <f>'05_shares'!AF13*INDEX('06_intensity'!$C$43:$BB$43,1,9)</f>
        <v>3.9431094666672092E-2</v>
      </c>
      <c r="AG13" s="8">
        <f>'05_shares'!AG13*INDEX('06_intensity'!$C$43:$BB$43,1,9)</f>
        <v>1.3937456196567933E-2</v>
      </c>
      <c r="AH13" s="8">
        <f>'05_shares'!AH13*INDEX('06_intensity'!$C$43:$BB$43,1,9)</f>
        <v>6.0792522505632988E-2</v>
      </c>
      <c r="AI13" s="8">
        <f>'05_shares'!AI13*INDEX('06_intensity'!$C$43:$BB$43,1,9)</f>
        <v>1.6668917461221951E-2</v>
      </c>
    </row>
    <row r="14" spans="1:35" x14ac:dyDescent="0.2">
      <c r="A14" s="12" t="s">
        <v>1378</v>
      </c>
      <c r="B14" s="8">
        <f>'05_shares'!B14*INDEX('06_intensity'!$C$43:$BB$43,1,10)</f>
        <v>0.19978025963848792</v>
      </c>
      <c r="C14" s="8">
        <f>'05_shares'!C14*INDEX('06_intensity'!$C$43:$BB$43,1,10)</f>
        <v>0.46957430678723094</v>
      </c>
      <c r="D14" s="8">
        <f>'05_shares'!D14*INDEX('06_intensity'!$C$43:$BB$43,1,10)</f>
        <v>0.37708381770341592</v>
      </c>
      <c r="E14" s="8">
        <f>'05_shares'!E14*INDEX('06_intensity'!$C$43:$BB$43,1,10)</f>
        <v>0.12788560460525181</v>
      </c>
      <c r="F14" s="8">
        <f>'05_shares'!F14*INDEX('06_intensity'!$C$43:$BB$43,1,10)</f>
        <v>0.35904489252749455</v>
      </c>
      <c r="G14" s="8">
        <f>'05_shares'!G14*INDEX('06_intensity'!$C$43:$BB$43,1,10)</f>
        <v>0.25944592903298258</v>
      </c>
      <c r="H14" s="8">
        <f>'05_shares'!H14*INDEX('06_intensity'!$C$43:$BB$43,1,10)</f>
        <v>6.8246709125675042E-2</v>
      </c>
      <c r="I14" s="8">
        <f>'05_shares'!I14*INDEX('06_intensity'!$C$43:$BB$43,1,10)</f>
        <v>0.56114778928510856</v>
      </c>
      <c r="J14" s="8">
        <f>'05_shares'!J14*INDEX('06_intensity'!$C$43:$BB$43,1,10)</f>
        <v>0.78754132035196878</v>
      </c>
      <c r="K14" s="8">
        <f>'05_shares'!K14*INDEX('06_intensity'!$C$43:$BB$43,1,10)</f>
        <v>4.0850300685954764E-2</v>
      </c>
      <c r="L14" s="8">
        <f>'05_shares'!L14*INDEX('06_intensity'!$C$43:$BB$43,1,10)</f>
        <v>4.1225135494805075E-2</v>
      </c>
      <c r="M14" s="8">
        <f>'05_shares'!M14*INDEX('06_intensity'!$C$43:$BB$43,1,10)</f>
        <v>1.0785068407220251</v>
      </c>
      <c r="N14" s="8">
        <f>'05_shares'!N14*INDEX('06_intensity'!$C$43:$BB$43,1,10)</f>
        <v>1.0891963262529885</v>
      </c>
      <c r="O14" s="8">
        <f>'05_shares'!O14*INDEX('06_intensity'!$C$43:$BB$43,1,10)</f>
        <v>7.9879975157493718E-2</v>
      </c>
      <c r="P14" s="8">
        <f>'05_shares'!P14*INDEX('06_intensity'!$C$43:$BB$43,1,10)</f>
        <v>1.1330854662821226</v>
      </c>
      <c r="Q14" s="8">
        <f>'05_shares'!Q14*INDEX('06_intensity'!$C$43:$BB$43,1,10)</f>
        <v>0.37674914376694241</v>
      </c>
      <c r="R14" s="8">
        <f>'05_shares'!R14*INDEX('06_intensity'!$C$43:$BB$43,1,10)</f>
        <v>7.577687269632867E-2</v>
      </c>
      <c r="S14" s="8">
        <f>'05_shares'!S14*INDEX('06_intensity'!$C$43:$BB$43,1,10)</f>
        <v>0.48969490384801745</v>
      </c>
      <c r="T14" s="8">
        <f>'05_shares'!T14*INDEX('06_intensity'!$C$43:$BB$43,1,10)</f>
        <v>0.13318683975899195</v>
      </c>
      <c r="U14" s="8">
        <f>'05_shares'!U14*INDEX('06_intensity'!$C$43:$BB$43,1,10)</f>
        <v>0.51833629933141911</v>
      </c>
      <c r="V14" s="8">
        <f>'05_shares'!V14*INDEX('06_intensity'!$C$43:$BB$43,1,10)</f>
        <v>0.77553991299002922</v>
      </c>
      <c r="W14" s="8">
        <f>'05_shares'!W14*INDEX('06_intensity'!$C$43:$BB$43,1,10)</f>
        <v>0.17127273372967566</v>
      </c>
      <c r="X14" s="8">
        <f>'05_shares'!X14*INDEX('06_intensity'!$C$43:$BB$43,1,10)</f>
        <v>0.11710910385080527</v>
      </c>
      <c r="Y14" s="8">
        <f>'05_shares'!Y14*INDEX('06_intensity'!$C$43:$BB$43,1,10)</f>
        <v>8.0857223051996312E-3</v>
      </c>
      <c r="Z14" s="8">
        <f>'05_shares'!Z14*INDEX('06_intensity'!$C$43:$BB$43,1,10)</f>
        <v>0.26834156226444805</v>
      </c>
      <c r="AA14" s="8">
        <f>'05_shares'!AA14*INDEX('06_intensity'!$C$43:$BB$43,1,10)</f>
        <v>0.20010824009623196</v>
      </c>
      <c r="AB14" s="8">
        <f>'05_shares'!AB14*INDEX('06_intensity'!$C$43:$BB$43,1,10)</f>
        <v>0.34170878261816756</v>
      </c>
      <c r="AC14" s="8">
        <f>'05_shares'!AC14*INDEX('06_intensity'!$C$43:$BB$43,1,10)</f>
        <v>0.2784286347097592</v>
      </c>
      <c r="AD14" s="8">
        <f>'05_shares'!AD14*INDEX('06_intensity'!$C$43:$BB$43,1,10)</f>
        <v>0.13314667888661513</v>
      </c>
      <c r="AE14" s="8">
        <f>'05_shares'!AE14*INDEX('06_intensity'!$C$43:$BB$43,1,10)</f>
        <v>4.4002929167535079E-2</v>
      </c>
      <c r="AF14" s="8">
        <f>'05_shares'!AF14*INDEX('06_intensity'!$C$43:$BB$43,1,10)</f>
        <v>0.11810643218149629</v>
      </c>
      <c r="AG14" s="8">
        <f>'05_shares'!AG14*INDEX('06_intensity'!$C$43:$BB$43,1,10)</f>
        <v>0.10657356833061965</v>
      </c>
      <c r="AH14" s="8">
        <f>'05_shares'!AH14*INDEX('06_intensity'!$C$43:$BB$43,1,10)</f>
        <v>1.2322694340954074E-2</v>
      </c>
      <c r="AI14" s="8">
        <f>'05_shares'!AI14*INDEX('06_intensity'!$C$43:$BB$43,1,10)</f>
        <v>1.7168772941090277E-2</v>
      </c>
    </row>
    <row r="15" spans="1:35" x14ac:dyDescent="0.2">
      <c r="A15" s="12" t="s">
        <v>1379</v>
      </c>
      <c r="B15" s="8">
        <f>'05_shares'!B15*INDEX('06_intensity'!$C$43:$BB$43,1,11)</f>
        <v>4.9962906393016759E-2</v>
      </c>
      <c r="C15" s="8">
        <f>'05_shares'!C15*INDEX('06_intensity'!$C$43:$BB$43,1,11)</f>
        <v>0.10721206996834848</v>
      </c>
      <c r="D15" s="8">
        <f>'05_shares'!D15*INDEX('06_intensity'!$C$43:$BB$43,1,11)</f>
        <v>0</v>
      </c>
      <c r="E15" s="8">
        <f>'05_shares'!E15*INDEX('06_intensity'!$C$43:$BB$43,1,11)</f>
        <v>1.0282730448541966</v>
      </c>
      <c r="F15" s="8">
        <f>'05_shares'!F15*INDEX('06_intensity'!$C$43:$BB$43,1,11)</f>
        <v>0</v>
      </c>
      <c r="G15" s="8">
        <f>'05_shares'!G15*INDEX('06_intensity'!$C$43:$BB$43,1,11)</f>
        <v>0.15600397074277891</v>
      </c>
      <c r="H15" s="8">
        <f>'05_shares'!H15*INDEX('06_intensity'!$C$43:$BB$43,1,11)</f>
        <v>0</v>
      </c>
      <c r="I15" s="8">
        <f>'05_shares'!I15*INDEX('06_intensity'!$C$43:$BB$43,1,11)</f>
        <v>1.7825307749591918E-2</v>
      </c>
      <c r="J15" s="8">
        <f>'05_shares'!J15*INDEX('06_intensity'!$C$43:$BB$43,1,11)</f>
        <v>1.0799274038073936E-2</v>
      </c>
      <c r="K15" s="8">
        <f>'05_shares'!K15*INDEX('06_intensity'!$C$43:$BB$43,1,11)</f>
        <v>0.13154296448786446</v>
      </c>
      <c r="L15" s="8">
        <f>'05_shares'!L15*INDEX('06_intensity'!$C$43:$BB$43,1,11)</f>
        <v>0.51081867317443708</v>
      </c>
      <c r="M15" s="8">
        <f>'05_shares'!M15*INDEX('06_intensity'!$C$43:$BB$43,1,11)</f>
        <v>0.61738018446579312</v>
      </c>
      <c r="N15" s="8">
        <f>'05_shares'!N15*INDEX('06_intensity'!$C$43:$BB$43,1,11)</f>
        <v>2.8325324796249349</v>
      </c>
      <c r="O15" s="8">
        <f>'05_shares'!O15*INDEX('06_intensity'!$C$43:$BB$43,1,11)</f>
        <v>0</v>
      </c>
      <c r="P15" s="8">
        <f>'05_shares'!P15*INDEX('06_intensity'!$C$43:$BB$43,1,11)</f>
        <v>2.6106919707705245</v>
      </c>
      <c r="Q15" s="8">
        <f>'05_shares'!Q15*INDEX('06_intensity'!$C$43:$BB$43,1,11)</f>
        <v>0.17851330096671614</v>
      </c>
      <c r="R15" s="8">
        <f>'05_shares'!R15*INDEX('06_intensity'!$C$43:$BB$43,1,11)</f>
        <v>9.6933242871868455E-2</v>
      </c>
      <c r="S15" s="8">
        <f>'05_shares'!S15*INDEX('06_intensity'!$C$43:$BB$43,1,11)</f>
        <v>0.36522364126353662</v>
      </c>
      <c r="T15" s="8">
        <f>'05_shares'!T15*INDEX('06_intensity'!$C$43:$BB$43,1,11)</f>
        <v>0.34765855698474163</v>
      </c>
      <c r="U15" s="8">
        <f>'05_shares'!U15*INDEX('06_intensity'!$C$43:$BB$43,1,11)</f>
        <v>3.5130168557589908E-2</v>
      </c>
      <c r="V15" s="8">
        <f>'05_shares'!V15*INDEX('06_intensity'!$C$43:$BB$43,1,11)</f>
        <v>0.14936827223745636</v>
      </c>
      <c r="W15" s="8">
        <f>'05_shares'!W15*INDEX('06_intensity'!$C$43:$BB$43,1,11)</f>
        <v>0.28130157193151628</v>
      </c>
      <c r="X15" s="8">
        <f>'05_shares'!X15*INDEX('06_intensity'!$C$43:$BB$43,1,11)</f>
        <v>1.0459682408683899</v>
      </c>
      <c r="Y15" s="8">
        <f>'05_shares'!Y15*INDEX('06_intensity'!$C$43:$BB$43,1,11)</f>
        <v>3.5910838969980798E-2</v>
      </c>
      <c r="Z15" s="8">
        <f>'05_shares'!Z15*INDEX('06_intensity'!$C$43:$BB$43,1,11)</f>
        <v>7.8587488180682619E-2</v>
      </c>
      <c r="AA15" s="8">
        <f>'05_shares'!AA15*INDEX('06_intensity'!$C$43:$BB$43,1,11)</f>
        <v>4.1115308385920049E-2</v>
      </c>
      <c r="AB15" s="8">
        <f>'05_shares'!AB15*INDEX('06_intensity'!$C$43:$BB$43,1,11)</f>
        <v>0.82894186622372346</v>
      </c>
      <c r="AC15" s="8">
        <f>'05_shares'!AC15*INDEX('06_intensity'!$C$43:$BB$43,1,11)</f>
        <v>7.9368158593073508E-3</v>
      </c>
      <c r="AD15" s="8">
        <f>'05_shares'!AD15*INDEX('06_intensity'!$C$43:$BB$43,1,11)</f>
        <v>1.3921955687637485E-2</v>
      </c>
      <c r="AE15" s="8">
        <f>'05_shares'!AE15*INDEX('06_intensity'!$C$43:$BB$43,1,11)</f>
        <v>0</v>
      </c>
      <c r="AF15" s="8">
        <f>'05_shares'!AF15*INDEX('06_intensity'!$C$43:$BB$43,1,11)</f>
        <v>1.6263966924810146E-2</v>
      </c>
      <c r="AG15" s="8">
        <f>'05_shares'!AG15*INDEX('06_intensity'!$C$43:$BB$43,1,11)</f>
        <v>4.8011230362039546E-2</v>
      </c>
      <c r="AH15" s="8">
        <f>'05_shares'!AH15*INDEX('06_intensity'!$C$43:$BB$43,1,11)</f>
        <v>0</v>
      </c>
      <c r="AI15" s="8">
        <f>'05_shares'!AI15*INDEX('06_intensity'!$C$43:$BB$43,1,11)</f>
        <v>3.2527933849620293E-2</v>
      </c>
    </row>
    <row r="16" spans="1:35" x14ac:dyDescent="0.2">
      <c r="A16" s="12" t="s">
        <v>1380</v>
      </c>
      <c r="B16" s="8">
        <f>'05_shares'!B16*INDEX('06_intensity'!$C$43:$BB$43,1,12)</f>
        <v>6.2310487742223766E-2</v>
      </c>
      <c r="C16" s="8">
        <f>'05_shares'!C16*INDEX('06_intensity'!$C$43:$BB$43,1,12)</f>
        <v>0.24518769063100196</v>
      </c>
      <c r="D16" s="8">
        <f>'05_shares'!D16*INDEX('06_intensity'!$C$43:$BB$43,1,12)</f>
        <v>0.102435477932041</v>
      </c>
      <c r="E16" s="8">
        <f>'05_shares'!E16*INDEX('06_intensity'!$C$43:$BB$43,1,12)</f>
        <v>0.11663270140786139</v>
      </c>
      <c r="F16" s="8">
        <f>'05_shares'!F16*INDEX('06_intensity'!$C$43:$BB$43,1,12)</f>
        <v>3.3862417307155925E-2</v>
      </c>
      <c r="G16" s="8">
        <f>'05_shares'!G16*INDEX('06_intensity'!$C$43:$BB$43,1,12)</f>
        <v>9.7165751969801595E-2</v>
      </c>
      <c r="H16" s="8">
        <f>'05_shares'!H16*INDEX('06_intensity'!$C$43:$BB$43,1,12)</f>
        <v>2.6139823216640132E-2</v>
      </c>
      <c r="I16" s="8">
        <f>'05_shares'!I16*INDEX('06_intensity'!$C$43:$BB$43,1,12)</f>
        <v>0.17338828375325649</v>
      </c>
      <c r="J16" s="8">
        <f>'05_shares'!J16*INDEX('06_intensity'!$C$43:$BB$43,1,12)</f>
        <v>3.5522307862329384E-2</v>
      </c>
      <c r="K16" s="8">
        <f>'05_shares'!K16*INDEX('06_intensity'!$C$43:$BB$43,1,12)</f>
        <v>3.5703490238151059E-2</v>
      </c>
      <c r="L16" s="8">
        <f>'05_shares'!L16*INDEX('06_intensity'!$C$43:$BB$43,1,12)</f>
        <v>0.11529861413835829</v>
      </c>
      <c r="M16" s="8">
        <f>'05_shares'!M16*INDEX('06_intensity'!$C$43:$BB$43,1,12)</f>
        <v>0.96216535065440778</v>
      </c>
      <c r="N16" s="8">
        <f>'05_shares'!N16*INDEX('06_intensity'!$C$43:$BB$43,1,12)</f>
        <v>0.88073809107044332</v>
      </c>
      <c r="O16" s="8">
        <f>'05_shares'!O16*INDEX('06_intensity'!$C$43:$BB$43,1,12)</f>
        <v>9.7091004083812396E-2</v>
      </c>
      <c r="P16" s="8">
        <f>'05_shares'!P16*INDEX('06_intensity'!$C$43:$BB$43,1,12)</f>
        <v>0.84549852521163837</v>
      </c>
      <c r="Q16" s="8">
        <f>'05_shares'!Q16*INDEX('06_intensity'!$C$43:$BB$43,1,12)</f>
        <v>0.20803880377138562</v>
      </c>
      <c r="R16" s="8">
        <f>'05_shares'!R16*INDEX('06_intensity'!$C$43:$BB$43,1,12)</f>
        <v>7.0550629695512679E-2</v>
      </c>
      <c r="S16" s="8">
        <f>'05_shares'!S16*INDEX('06_intensity'!$C$43:$BB$43,1,12)</f>
        <v>7.8702211653444806E-2</v>
      </c>
      <c r="T16" s="8">
        <f>'05_shares'!T16*INDEX('06_intensity'!$C$43:$BB$43,1,12)</f>
        <v>6.5397087947365207E-2</v>
      </c>
      <c r="U16" s="8">
        <f>'05_shares'!U16*INDEX('06_intensity'!$C$43:$BB$43,1,12)</f>
        <v>6.6866858879479157E-2</v>
      </c>
      <c r="V16" s="8">
        <f>'05_shares'!V16*INDEX('06_intensity'!$C$43:$BB$43,1,12)</f>
        <v>3.4190658023891152E-2</v>
      </c>
      <c r="W16" s="8">
        <f>'05_shares'!W16*INDEX('06_intensity'!$C$43:$BB$43,1,12)</f>
        <v>5.5520617272529868E-2</v>
      </c>
      <c r="X16" s="8">
        <f>'05_shares'!X16*INDEX('06_intensity'!$C$43:$BB$43,1,12)</f>
        <v>5.1521605372107065E-2</v>
      </c>
      <c r="Y16" s="8">
        <f>'05_shares'!Y16*INDEX('06_intensity'!$C$43:$BB$43,1,12)</f>
        <v>1.010640167195433E-2</v>
      </c>
      <c r="Z16" s="8">
        <f>'05_shares'!Z16*INDEX('06_intensity'!$C$43:$BB$43,1,12)</f>
        <v>5.3036875017431845E-2</v>
      </c>
      <c r="AA16" s="8">
        <f>'05_shares'!AA16*INDEX('06_intensity'!$C$43:$BB$43,1,12)</f>
        <v>4.4964103330597034E-2</v>
      </c>
      <c r="AB16" s="8">
        <f>'05_shares'!AB16*INDEX('06_intensity'!$C$43:$BB$43,1,12)</f>
        <v>0.15212332266634754</v>
      </c>
      <c r="AC16" s="8">
        <f>'05_shares'!AC16*INDEX('06_intensity'!$C$43:$BB$43,1,12)</f>
        <v>4.6016261073597339E-2</v>
      </c>
      <c r="AD16" s="8">
        <f>'05_shares'!AD16*INDEX('06_intensity'!$C$43:$BB$43,1,12)</f>
        <v>2.2560049459374214E-2</v>
      </c>
      <c r="AE16" s="8">
        <f>'05_shares'!AE16*INDEX('06_intensity'!$C$43:$BB$43,1,12)</f>
        <v>2.8537442907446246E-2</v>
      </c>
      <c r="AF16" s="8">
        <f>'05_shares'!AF16*INDEX('06_intensity'!$C$43:$BB$43,1,12)</f>
        <v>4.75160936555113E-2</v>
      </c>
      <c r="AG16" s="8">
        <f>'05_shares'!AG16*INDEX('06_intensity'!$C$43:$BB$43,1,12)</f>
        <v>3.0179458968144026E-2</v>
      </c>
      <c r="AH16" s="8">
        <f>'05_shares'!AH16*INDEX('06_intensity'!$C$43:$BB$43,1,12)</f>
        <v>6.1602007779369503E-3</v>
      </c>
      <c r="AI16" s="8">
        <f>'05_shares'!AI16*INDEX('06_intensity'!$C$43:$BB$43,1,12)</f>
        <v>9.0355569574567165E-3</v>
      </c>
    </row>
    <row r="17" spans="1:35" x14ac:dyDescent="0.2">
      <c r="A17" s="12" t="s">
        <v>1381</v>
      </c>
      <c r="B17" s="8">
        <f>'05_shares'!B17*INDEX('06_intensity'!$C$43:$BB$43,1,13)</f>
        <v>3.2270618448484918E-3</v>
      </c>
      <c r="C17" s="8">
        <f>'05_shares'!C17*INDEX('06_intensity'!$C$43:$BB$43,1,13)</f>
        <v>2.1917954724976235E-2</v>
      </c>
      <c r="D17" s="8">
        <f>'05_shares'!D17*INDEX('06_intensity'!$C$43:$BB$43,1,13)</f>
        <v>3.93820541206269E-4</v>
      </c>
      <c r="E17" s="8">
        <f>'05_shares'!E17*INDEX('06_intensity'!$C$43:$BB$43,1,13)</f>
        <v>3.0882330209700232E-4</v>
      </c>
      <c r="F17" s="8">
        <f>'05_shares'!F17*INDEX('06_intensity'!$C$43:$BB$43,1,13)</f>
        <v>0</v>
      </c>
      <c r="G17" s="8">
        <f>'05_shares'!G17*INDEX('06_intensity'!$C$43:$BB$43,1,13)</f>
        <v>9.9163445627477786E-4</v>
      </c>
      <c r="H17" s="8">
        <f>'05_shares'!H17*INDEX('06_intensity'!$C$43:$BB$43,1,13)</f>
        <v>0</v>
      </c>
      <c r="I17" s="8">
        <f>'05_shares'!I17*INDEX('06_intensity'!$C$43:$BB$43,1,13)</f>
        <v>1.614947543076067E-3</v>
      </c>
      <c r="J17" s="8">
        <f>'05_shares'!J17*INDEX('06_intensity'!$C$43:$BB$43,1,13)</f>
        <v>0</v>
      </c>
      <c r="K17" s="8">
        <f>'05_shares'!K17*INDEX('06_intensity'!$C$43:$BB$43,1,13)</f>
        <v>3.4253887361034474E-3</v>
      </c>
      <c r="L17" s="8">
        <f>'05_shares'!L17*INDEX('06_intensity'!$C$43:$BB$43,1,13)</f>
        <v>1.269292104031716E-3</v>
      </c>
      <c r="M17" s="8">
        <f>'05_shares'!M17*INDEX('06_intensity'!$C$43:$BB$43,1,13)</f>
        <v>4.1875306467832059E-2</v>
      </c>
      <c r="N17" s="8">
        <f>'05_shares'!N17*INDEX('06_intensity'!$C$43:$BB$43,1,13)</f>
        <v>0.55515096751826443</v>
      </c>
      <c r="O17" s="8">
        <f>'05_shares'!O17*INDEX('06_intensity'!$C$43:$BB$43,1,13)</f>
        <v>1.3704388185717432E-2</v>
      </c>
      <c r="P17" s="8">
        <f>'05_shares'!P17*INDEX('06_intensity'!$C$43:$BB$43,1,13)</f>
        <v>1.0431626158641192</v>
      </c>
      <c r="Q17" s="8">
        <f>'05_shares'!Q17*INDEX('06_intensity'!$C$43:$BB$43,1,13)</f>
        <v>4.1790309228722788E-3</v>
      </c>
      <c r="R17" s="8">
        <f>'05_shares'!R17*INDEX('06_intensity'!$C$43:$BB$43,1,13)</f>
        <v>1.2429429599078431E-2</v>
      </c>
      <c r="S17" s="8">
        <f>'05_shares'!S17*INDEX('06_intensity'!$C$43:$BB$43,1,13)</f>
        <v>0.11839832083790484</v>
      </c>
      <c r="T17" s="8">
        <f>'05_shares'!T17*INDEX('06_intensity'!$C$43:$BB$43,1,13)</f>
        <v>4.4765212597547125E-4</v>
      </c>
      <c r="U17" s="8">
        <f>'05_shares'!U17*INDEX('06_intensity'!$C$43:$BB$43,1,13)</f>
        <v>0</v>
      </c>
      <c r="V17" s="8">
        <f>'05_shares'!V17*INDEX('06_intensity'!$C$43:$BB$43,1,13)</f>
        <v>0</v>
      </c>
      <c r="W17" s="8">
        <f>'05_shares'!W17*INDEX('06_intensity'!$C$43:$BB$43,1,13)</f>
        <v>3.0599006079336005E-4</v>
      </c>
      <c r="X17" s="8">
        <f>'05_shares'!X17*INDEX('06_intensity'!$C$43:$BB$43,1,13)</f>
        <v>0</v>
      </c>
      <c r="Y17" s="8">
        <f>'05_shares'!Y17*INDEX('06_intensity'!$C$43:$BB$43,1,13)</f>
        <v>0</v>
      </c>
      <c r="Z17" s="8">
        <f>'05_shares'!Z17*INDEX('06_intensity'!$C$43:$BB$43,1,13)</f>
        <v>0</v>
      </c>
      <c r="AA17" s="8">
        <f>'05_shares'!AA17*INDEX('06_intensity'!$C$43:$BB$43,1,13)</f>
        <v>0</v>
      </c>
      <c r="AB17" s="8">
        <f>'05_shares'!AB17*INDEX('06_intensity'!$C$43:$BB$43,1,13)</f>
        <v>3.2213953622412072E-3</v>
      </c>
      <c r="AC17" s="8">
        <f>'05_shares'!AC17*INDEX('06_intensity'!$C$43:$BB$43,1,13)</f>
        <v>0</v>
      </c>
      <c r="AD17" s="8">
        <f>'05_shares'!AD17*INDEX('06_intensity'!$C$43:$BB$43,1,13)</f>
        <v>2.3799226950594674E-4</v>
      </c>
      <c r="AE17" s="8">
        <f>'05_shares'!AE17*INDEX('06_intensity'!$C$43:$BB$43,1,13)</f>
        <v>0</v>
      </c>
      <c r="AF17" s="8">
        <f>'05_shares'!AF17*INDEX('06_intensity'!$C$43:$BB$43,1,13)</f>
        <v>0</v>
      </c>
      <c r="AG17" s="8">
        <f>'05_shares'!AG17*INDEX('06_intensity'!$C$43:$BB$43,1,13)</f>
        <v>0</v>
      </c>
      <c r="AH17" s="8">
        <f>'05_shares'!AH17*INDEX('06_intensity'!$C$43:$BB$43,1,13)</f>
        <v>0</v>
      </c>
      <c r="AI17" s="8">
        <f>'05_shares'!AI17*INDEX('06_intensity'!$C$43:$BB$43,1,13)</f>
        <v>0</v>
      </c>
    </row>
    <row r="18" spans="1:35" x14ac:dyDescent="0.2">
      <c r="A18" s="12" t="s">
        <v>1382</v>
      </c>
      <c r="B18" s="8">
        <f>'05_shares'!B18*INDEX('06_intensity'!$C$43:$BB$43,1,14)</f>
        <v>2.7393406874213943E-2</v>
      </c>
      <c r="C18" s="8">
        <f>'05_shares'!C18*INDEX('06_intensity'!$C$43:$BB$43,1,14)</f>
        <v>0.10970499574174239</v>
      </c>
      <c r="D18" s="8">
        <f>'05_shares'!D18*INDEX('06_intensity'!$C$43:$BB$43,1,14)</f>
        <v>4.5910967434047802E-2</v>
      </c>
      <c r="E18" s="8">
        <f>'05_shares'!E18*INDEX('06_intensity'!$C$43:$BB$43,1,14)</f>
        <v>2.6724054388363089E-2</v>
      </c>
      <c r="F18" s="8">
        <f>'05_shares'!F18*INDEX('06_intensity'!$C$43:$BB$43,1,14)</f>
        <v>1.0799005926597764E-2</v>
      </c>
      <c r="G18" s="8">
        <f>'05_shares'!G18*INDEX('06_intensity'!$C$43:$BB$43,1,14)</f>
        <v>4.1300567601598455E-2</v>
      </c>
      <c r="H18" s="8">
        <f>'05_shares'!H18*INDEX('06_intensity'!$C$43:$BB$43,1,14)</f>
        <v>6.8195311342161159E-3</v>
      </c>
      <c r="I18" s="8">
        <f>'05_shares'!I18*INDEX('06_intensity'!$C$43:$BB$43,1,14)</f>
        <v>5.0571412312168232E-2</v>
      </c>
      <c r="J18" s="8">
        <f>'05_shares'!J18*INDEX('06_intensity'!$C$43:$BB$43,1,14)</f>
        <v>3.844531901375669E-3</v>
      </c>
      <c r="K18" s="8">
        <f>'05_shares'!K18*INDEX('06_intensity'!$C$43:$BB$43,1,14)</f>
        <v>1.5595287357254023E-2</v>
      </c>
      <c r="L18" s="8">
        <f>'05_shares'!L18*INDEX('06_intensity'!$C$43:$BB$43,1,14)</f>
        <v>0.12507329307041681</v>
      </c>
      <c r="M18" s="8">
        <f>'05_shares'!M18*INDEX('06_intensity'!$C$43:$BB$43,1,14)</f>
        <v>1.2393003187529132</v>
      </c>
      <c r="N18" s="8">
        <f>'05_shares'!N18*INDEX('06_intensity'!$C$43:$BB$43,1,14)</f>
        <v>1.1841238685774746</v>
      </c>
      <c r="O18" s="8">
        <f>'05_shares'!O18*INDEX('06_intensity'!$C$43:$BB$43,1,14)</f>
        <v>8.8611902652906985E-2</v>
      </c>
      <c r="P18" s="8">
        <f>'05_shares'!P18*INDEX('06_intensity'!$C$43:$BB$43,1,14)</f>
        <v>0.40764638782152851</v>
      </c>
      <c r="Q18" s="8">
        <f>'05_shares'!Q18*INDEX('06_intensity'!$C$43:$BB$43,1,14)</f>
        <v>0.18260275405392651</v>
      </c>
      <c r="R18" s="8">
        <f>'05_shares'!R18*INDEX('06_intensity'!$C$43:$BB$43,1,14)</f>
        <v>5.1319407012645084E-2</v>
      </c>
      <c r="S18" s="8">
        <f>'05_shares'!S18*INDEX('06_intensity'!$C$43:$BB$43,1,14)</f>
        <v>3.5056554492599895E-2</v>
      </c>
      <c r="T18" s="8">
        <f>'05_shares'!T18*INDEX('06_intensity'!$C$43:$BB$43,1,14)</f>
        <v>0.12055047206789189</v>
      </c>
      <c r="U18" s="8">
        <f>'05_shares'!U18*INDEX('06_intensity'!$C$43:$BB$43,1,14)</f>
        <v>1.0367367407684597E-2</v>
      </c>
      <c r="V18" s="8">
        <f>'05_shares'!V18*INDEX('06_intensity'!$C$43:$BB$43,1,14)</f>
        <v>5.0634862280786938E-3</v>
      </c>
      <c r="W18" s="8">
        <f>'05_shares'!W18*INDEX('06_intensity'!$C$43:$BB$43,1,14)</f>
        <v>1.9459479812286191E-2</v>
      </c>
      <c r="X18" s="8">
        <f>'05_shares'!X18*INDEX('06_intensity'!$C$43:$BB$43,1,14)</f>
        <v>1.2495175510235846E-2</v>
      </c>
      <c r="Y18" s="8">
        <f>'05_shares'!Y18*INDEX('06_intensity'!$C$43:$BB$43,1,14)</f>
        <v>2.3816079770260712E-3</v>
      </c>
      <c r="Z18" s="8">
        <f>'05_shares'!Z18*INDEX('06_intensity'!$C$43:$BB$43,1,14)</f>
        <v>6.3387412311616976E-3</v>
      </c>
      <c r="AA18" s="8">
        <f>'05_shares'!AA18*INDEX('06_intensity'!$C$43:$BB$43,1,14)</f>
        <v>1.6294130673589629E-2</v>
      </c>
      <c r="AB18" s="8">
        <f>'05_shares'!AB18*INDEX('06_intensity'!$C$43:$BB$43,1,14)</f>
        <v>4.823984938081325E-2</v>
      </c>
      <c r="AC18" s="8">
        <f>'05_shares'!AC18*INDEX('06_intensity'!$C$43:$BB$43,1,14)</f>
        <v>1.1197578968906819E-2</v>
      </c>
      <c r="AD18" s="8">
        <f>'05_shares'!AD18*INDEX('06_intensity'!$C$43:$BB$43,1,14)</f>
        <v>6.4406186455635631E-3</v>
      </c>
      <c r="AE18" s="8">
        <f>'05_shares'!AE18*INDEX('06_intensity'!$C$43:$BB$43,1,14)</f>
        <v>9.9956042112707717E-3</v>
      </c>
      <c r="AF18" s="8">
        <f>'05_shares'!AF18*INDEX('06_intensity'!$C$43:$BB$43,1,14)</f>
        <v>3.9964543614486271E-3</v>
      </c>
      <c r="AG18" s="8">
        <f>'05_shares'!AG18*INDEX('06_intensity'!$C$43:$BB$43,1,14)</f>
        <v>2.2180679170651818E-3</v>
      </c>
      <c r="AH18" s="8">
        <f>'05_shares'!AH18*INDEX('06_intensity'!$C$43:$BB$43,1,14)</f>
        <v>6.9258768562671864E-4</v>
      </c>
      <c r="AI18" s="8">
        <f>'05_shares'!AI18*INDEX('06_intensity'!$C$43:$BB$43,1,14)</f>
        <v>1.1984001115166833E-3</v>
      </c>
    </row>
    <row r="19" spans="1:35" x14ac:dyDescent="0.2">
      <c r="A19" s="12" t="s">
        <v>1383</v>
      </c>
      <c r="B19" s="8">
        <f>'05_shares'!B19*INDEX('06_intensity'!$C$43:$BB$43,1,15)</f>
        <v>1.886558007450455E-3</v>
      </c>
      <c r="C19" s="8">
        <f>'05_shares'!C19*INDEX('06_intensity'!$C$43:$BB$43,1,15)</f>
        <v>1.5521407774981849E-2</v>
      </c>
      <c r="D19" s="8">
        <f>'05_shares'!D19*INDEX('06_intensity'!$C$43:$BB$43,1,15)</f>
        <v>9.9689696814750351E-4</v>
      </c>
      <c r="E19" s="8">
        <f>'05_shares'!E19*INDEX('06_intensity'!$C$43:$BB$43,1,15)</f>
        <v>0</v>
      </c>
      <c r="F19" s="8">
        <f>'05_shares'!F19*INDEX('06_intensity'!$C$43:$BB$43,1,15)</f>
        <v>0</v>
      </c>
      <c r="G19" s="8">
        <f>'05_shares'!G19*INDEX('06_intensity'!$C$43:$BB$43,1,15)</f>
        <v>9.9292526707918686E-4</v>
      </c>
      <c r="H19" s="8">
        <f>'05_shares'!H19*INDEX('06_intensity'!$C$43:$BB$43,1,15)</f>
        <v>0</v>
      </c>
      <c r="I19" s="8">
        <f>'05_shares'!I19*INDEX('06_intensity'!$C$43:$BB$43,1,15)</f>
        <v>1.6283974380098666E-3</v>
      </c>
      <c r="J19" s="8">
        <f>'05_shares'!J19*INDEX('06_intensity'!$C$43:$BB$43,1,15)</f>
        <v>0</v>
      </c>
      <c r="K19" s="8">
        <f>'05_shares'!K19*INDEX('06_intensity'!$C$43:$BB$43,1,15)</f>
        <v>4.8137016947998974E-3</v>
      </c>
      <c r="L19" s="8">
        <f>'05_shares'!L19*INDEX('06_intensity'!$C$43:$BB$43,1,15)</f>
        <v>4.3859494897421844E-2</v>
      </c>
      <c r="M19" s="8">
        <f>'05_shares'!M19*INDEX('06_intensity'!$C$43:$BB$43,1,15)</f>
        <v>1.3642713735646661</v>
      </c>
      <c r="N19" s="8">
        <f>'05_shares'!N19*INDEX('06_intensity'!$C$43:$BB$43,1,15)</f>
        <v>0.9446254103873869</v>
      </c>
      <c r="O19" s="8">
        <f>'05_shares'!O19*INDEX('06_intensity'!$C$43:$BB$43,1,15)</f>
        <v>1.6899588045687759E-2</v>
      </c>
      <c r="P19" s="8">
        <f>'05_shares'!P19*INDEX('06_intensity'!$C$43:$BB$43,1,15)</f>
        <v>0.62785444828164805</v>
      </c>
      <c r="Q19" s="8">
        <f>'05_shares'!Q19*INDEX('06_intensity'!$C$43:$BB$43,1,15)</f>
        <v>0.78611482075086547</v>
      </c>
      <c r="R19" s="8">
        <f>'05_shares'!R19*INDEX('06_intensity'!$C$43:$BB$43,1,15)</f>
        <v>4.3609277730117888E-3</v>
      </c>
      <c r="S19" s="8">
        <f>'05_shares'!S19*INDEX('06_intensity'!$C$43:$BB$43,1,15)</f>
        <v>0</v>
      </c>
      <c r="T19" s="8">
        <f>'05_shares'!T19*INDEX('06_intensity'!$C$43:$BB$43,1,15)</f>
        <v>0</v>
      </c>
      <c r="U19" s="8">
        <f>'05_shares'!U19*INDEX('06_intensity'!$C$43:$BB$43,1,15)</f>
        <v>0</v>
      </c>
      <c r="V19" s="8">
        <f>'05_shares'!V19*INDEX('06_intensity'!$C$43:$BB$43,1,15)</f>
        <v>0</v>
      </c>
      <c r="W19" s="8">
        <f>'05_shares'!W19*INDEX('06_intensity'!$C$43:$BB$43,1,15)</f>
        <v>0</v>
      </c>
      <c r="X19" s="8">
        <f>'05_shares'!X19*INDEX('06_intensity'!$C$43:$BB$43,1,15)</f>
        <v>6.7518918161384709E-4</v>
      </c>
      <c r="Y19" s="8">
        <f>'05_shares'!Y19*INDEX('06_intensity'!$C$43:$BB$43,1,15)</f>
        <v>0</v>
      </c>
      <c r="Z19" s="8">
        <f>'05_shares'!Z19*INDEX('06_intensity'!$C$43:$BB$43,1,15)</f>
        <v>1.9858505341583738E-4</v>
      </c>
      <c r="AA19" s="8">
        <f>'05_shares'!AA19*INDEX('06_intensity'!$C$43:$BB$43,1,15)</f>
        <v>0</v>
      </c>
      <c r="AB19" s="8">
        <f>'05_shares'!AB19*INDEX('06_intensity'!$C$43:$BB$43,1,15)</f>
        <v>2.0295392459098579E-3</v>
      </c>
      <c r="AC19" s="8">
        <f>'05_shares'!AC19*INDEX('06_intensity'!$C$43:$BB$43,1,15)</f>
        <v>0</v>
      </c>
      <c r="AD19" s="8">
        <f>'05_shares'!AD19*INDEX('06_intensity'!$C$43:$BB$43,1,15)</f>
        <v>0</v>
      </c>
      <c r="AE19" s="8">
        <f>'05_shares'!AE19*INDEX('06_intensity'!$C$43:$BB$43,1,15)</f>
        <v>0</v>
      </c>
      <c r="AF19" s="8">
        <f>'05_shares'!AF19*INDEX('06_intensity'!$C$43:$BB$43,1,15)</f>
        <v>0</v>
      </c>
      <c r="AG19" s="8">
        <f>'05_shares'!AG19*INDEX('06_intensity'!$C$43:$BB$43,1,15)</f>
        <v>0</v>
      </c>
      <c r="AH19" s="8">
        <f>'05_shares'!AH19*INDEX('06_intensity'!$C$43:$BB$43,1,15)</f>
        <v>0</v>
      </c>
      <c r="AI19" s="8">
        <f>'05_shares'!AI19*INDEX('06_intensity'!$C$43:$BB$43,1,15)</f>
        <v>0</v>
      </c>
    </row>
    <row r="20" spans="1:35" x14ac:dyDescent="0.2">
      <c r="A20" s="12" t="s">
        <v>1384</v>
      </c>
      <c r="B20" s="8">
        <f>'05_shares'!B20*INDEX('06_intensity'!$C$43:$BB$43,1,16)</f>
        <v>2.3175651962095464E-2</v>
      </c>
      <c r="C20" s="8">
        <f>'05_shares'!C20*INDEX('06_intensity'!$C$43:$BB$43,1,16)</f>
        <v>4.61901999683582E-2</v>
      </c>
      <c r="D20" s="8">
        <f>'05_shares'!D20*INDEX('06_intensity'!$C$43:$BB$43,1,16)</f>
        <v>2.0659462546655301E-2</v>
      </c>
      <c r="E20" s="8">
        <f>'05_shares'!E20*INDEX('06_intensity'!$C$43:$BB$43,1,16)</f>
        <v>2.2679621361242054E-2</v>
      </c>
      <c r="F20" s="8">
        <f>'05_shares'!F20*INDEX('06_intensity'!$C$43:$BB$43,1,16)</f>
        <v>1.4221663680023642E-2</v>
      </c>
      <c r="G20" s="8">
        <f>'05_shares'!G20*INDEX('06_intensity'!$C$43:$BB$43,1,16)</f>
        <v>3.0043767973911919E-2</v>
      </c>
      <c r="H20" s="8">
        <f>'05_shares'!H20*INDEX('06_intensity'!$C$43:$BB$43,1,16)</f>
        <v>3.5824432283857437E-3</v>
      </c>
      <c r="I20" s="8">
        <f>'05_shares'!I20*INDEX('06_intensity'!$C$43:$BB$43,1,16)</f>
        <v>3.8423293466106505E-2</v>
      </c>
      <c r="J20" s="8">
        <f>'05_shares'!J20*INDEX('06_intensity'!$C$43:$BB$43,1,16)</f>
        <v>3.6523962618394299E-3</v>
      </c>
      <c r="K20" s="8">
        <f>'05_shares'!K20*INDEX('06_intensity'!$C$43:$BB$43,1,16)</f>
        <v>9.7510289056653376E-4</v>
      </c>
      <c r="L20" s="8">
        <f>'05_shares'!L20*INDEX('06_intensity'!$C$43:$BB$43,1,16)</f>
        <v>6.4377988666316586E-3</v>
      </c>
      <c r="M20" s="8">
        <f>'05_shares'!M20*INDEX('06_intensity'!$C$43:$BB$43,1,16)</f>
        <v>0.29803807871276849</v>
      </c>
      <c r="N20" s="8">
        <f>'05_shares'!N20*INDEX('06_intensity'!$C$43:$BB$43,1,16)</f>
        <v>0.70924320724246082</v>
      </c>
      <c r="O20" s="8">
        <f>'05_shares'!O20*INDEX('06_intensity'!$C$43:$BB$43,1,16)</f>
        <v>7.8160856045585286E-2</v>
      </c>
      <c r="P20" s="8">
        <f>'05_shares'!P20*INDEX('06_intensity'!$C$43:$BB$43,1,16)</f>
        <v>0.76710708464201449</v>
      </c>
      <c r="Q20" s="8">
        <f>'05_shares'!Q20*INDEX('06_intensity'!$C$43:$BB$43,1,16)</f>
        <v>6.557142981281433E-2</v>
      </c>
      <c r="R20" s="8">
        <f>'05_shares'!R20*INDEX('06_intensity'!$C$43:$BB$43,1,16)</f>
        <v>0.13984459302948868</v>
      </c>
      <c r="S20" s="8">
        <f>'05_shares'!S20*INDEX('06_intensity'!$C$43:$BB$43,1,16)</f>
        <v>7.2865623392030496E-2</v>
      </c>
      <c r="T20" s="8">
        <f>'05_shares'!T20*INDEX('06_intensity'!$C$43:$BB$43,1,16)</f>
        <v>2.2927636661668759E-2</v>
      </c>
      <c r="U20" s="8">
        <f>'05_shares'!U20*INDEX('06_intensity'!$C$43:$BB$43,1,16)</f>
        <v>1.7246602429672433E-2</v>
      </c>
      <c r="V20" s="8">
        <f>'05_shares'!V20*INDEX('06_intensity'!$C$43:$BB$43,1,16)</f>
        <v>1.0242819928733677E-2</v>
      </c>
      <c r="W20" s="8">
        <f>'05_shares'!W20*INDEX('06_intensity'!$C$43:$BB$43,1,16)</f>
        <v>5.0968204132134209E-2</v>
      </c>
      <c r="X20" s="8">
        <f>'05_shares'!X20*INDEX('06_intensity'!$C$43:$BB$43,1,16)</f>
        <v>1.0433600929061912E-2</v>
      </c>
      <c r="Y20" s="8">
        <f>'05_shares'!Y20*INDEX('06_intensity'!$C$43:$BB$43,1,16)</f>
        <v>1.1160688519201741E-2</v>
      </c>
      <c r="Z20" s="8">
        <f>'05_shares'!Z20*INDEX('06_intensity'!$C$43:$BB$43,1,16)</f>
        <v>7.938609402547106E-3</v>
      </c>
      <c r="AA20" s="8">
        <f>'05_shares'!AA20*INDEX('06_intensity'!$C$43:$BB$43,1,16)</f>
        <v>1.4876678447817248E-2</v>
      </c>
      <c r="AB20" s="8">
        <f>'05_shares'!AB20*INDEX('06_intensity'!$C$43:$BB$43,1,16)</f>
        <v>5.4807141816516802E-2</v>
      </c>
      <c r="AC20" s="8">
        <f>'05_shares'!AC20*INDEX('06_intensity'!$C$43:$BB$43,1,16)</f>
        <v>1.0420882195706695E-2</v>
      </c>
      <c r="AD20" s="8">
        <f>'05_shares'!AD20*INDEX('06_intensity'!$C$43:$BB$43,1,16)</f>
        <v>5.0917329198713343E-3</v>
      </c>
      <c r="AE20" s="8">
        <f>'05_shares'!AE20*INDEX('06_intensity'!$C$43:$BB$43,1,16)</f>
        <v>3.8304585288124493E-3</v>
      </c>
      <c r="AF20" s="8">
        <f>'05_shares'!AF20*INDEX('06_intensity'!$C$43:$BB$43,1,16)</f>
        <v>6.2915334330466786E-3</v>
      </c>
      <c r="AG20" s="8">
        <f>'05_shares'!AG20*INDEX('06_intensity'!$C$43:$BB$43,1,16)</f>
        <v>2.0646743813300082E-3</v>
      </c>
      <c r="AH20" s="8">
        <f>'05_shares'!AH20*INDEX('06_intensity'!$C$43:$BB$43,1,16)</f>
        <v>3.370464339132149E-4</v>
      </c>
      <c r="AI20" s="8">
        <f>'05_shares'!AI20*INDEX('06_intensity'!$C$43:$BB$43,1,16)</f>
        <v>5.168045320002629E-3</v>
      </c>
    </row>
    <row r="21" spans="1:35" x14ac:dyDescent="0.2">
      <c r="A21" s="12" t="s">
        <v>1385</v>
      </c>
      <c r="B21" s="8">
        <f>'05_shares'!B21*INDEX('06_intensity'!$C$43:$BB$43,1,17)</f>
        <v>1.0123239017989472E-2</v>
      </c>
      <c r="C21" s="8">
        <f>'05_shares'!C21*INDEX('06_intensity'!$C$43:$BB$43,1,17)</f>
        <v>4.0895908883038207E-2</v>
      </c>
      <c r="D21" s="8">
        <f>'05_shares'!D21*INDEX('06_intensity'!$C$43:$BB$43,1,17)</f>
        <v>3.1034969336412335E-2</v>
      </c>
      <c r="E21" s="8">
        <f>'05_shares'!E21*INDEX('06_intensity'!$C$43:$BB$43,1,17)</f>
        <v>9.0884866106681297E-2</v>
      </c>
      <c r="F21" s="8">
        <f>'05_shares'!F21*INDEX('06_intensity'!$C$43:$BB$43,1,17)</f>
        <v>7.6789120602098132E-3</v>
      </c>
      <c r="G21" s="8">
        <f>'05_shares'!G21*INDEX('06_intensity'!$C$43:$BB$43,1,17)</f>
        <v>2.9297710518830216E-2</v>
      </c>
      <c r="H21" s="8">
        <f>'05_shares'!H21*INDEX('06_intensity'!$C$43:$BB$43,1,17)</f>
        <v>5.2117764527463634E-3</v>
      </c>
      <c r="I21" s="8">
        <f>'05_shares'!I21*INDEX('06_intensity'!$C$43:$BB$43,1,17)</f>
        <v>3.8208289661964767E-2</v>
      </c>
      <c r="J21" s="8">
        <f>'05_shares'!J21*INDEX('06_intensity'!$C$43:$BB$43,1,17)</f>
        <v>5.4702744824960013E-3</v>
      </c>
      <c r="K21" s="8">
        <f>'05_shares'!K21*INDEX('06_intensity'!$C$43:$BB$43,1,17)</f>
        <v>3.2642979139119642E-2</v>
      </c>
      <c r="L21" s="8">
        <f>'05_shares'!L21*INDEX('06_intensity'!$C$43:$BB$43,1,17)</f>
        <v>0.19264565667091721</v>
      </c>
      <c r="M21" s="8">
        <f>'05_shares'!M21*INDEX('06_intensity'!$C$43:$BB$43,1,17)</f>
        <v>0.57494523546256093</v>
      </c>
      <c r="N21" s="8">
        <f>'05_shares'!N21*INDEX('06_intensity'!$C$43:$BB$43,1,17)</f>
        <v>0.37609182463603846</v>
      </c>
      <c r="O21" s="8">
        <f>'05_shares'!O21*INDEX('06_intensity'!$C$43:$BB$43,1,17)</f>
        <v>5.3577518107226295E-2</v>
      </c>
      <c r="P21" s="8">
        <f>'05_shares'!P21*INDEX('06_intensity'!$C$43:$BB$43,1,17)</f>
        <v>0.3950496139648832</v>
      </c>
      <c r="Q21" s="8">
        <f>'05_shares'!Q21*INDEX('06_intensity'!$C$43:$BB$43,1,17)</f>
        <v>0.22399994710290261</v>
      </c>
      <c r="R21" s="8">
        <f>'05_shares'!R21*INDEX('06_intensity'!$C$43:$BB$43,1,17)</f>
        <v>1.8455999035801311E-2</v>
      </c>
      <c r="S21" s="8">
        <f>'05_shares'!S21*INDEX('06_intensity'!$C$43:$BB$43,1,17)</f>
        <v>2.4948861312453965E-2</v>
      </c>
      <c r="T21" s="8">
        <f>'05_shares'!T21*INDEX('06_intensity'!$C$43:$BB$43,1,17)</f>
        <v>5.6033249389847847E-3</v>
      </c>
      <c r="U21" s="8">
        <f>'05_shares'!U21*INDEX('06_intensity'!$C$43:$BB$43,1,17)</f>
        <v>1.3084562035268405E-2</v>
      </c>
      <c r="V21" s="8">
        <f>'05_shares'!V21*INDEX('06_intensity'!$C$43:$BB$43,1,17)</f>
        <v>5.9492561258556228E-3</v>
      </c>
      <c r="W21" s="8">
        <f>'05_shares'!W21*INDEX('06_intensity'!$C$43:$BB$43,1,17)</f>
        <v>2.0136236229173952E-2</v>
      </c>
      <c r="X21" s="8">
        <f>'05_shares'!X21*INDEX('06_intensity'!$C$43:$BB$43,1,17)</f>
        <v>1.2582771742224991E-2</v>
      </c>
      <c r="Y21" s="8">
        <f>'05_shares'!Y21*INDEX('06_intensity'!$C$43:$BB$43,1,17)</f>
        <v>5.8086027861389087E-3</v>
      </c>
      <c r="Z21" s="8">
        <f>'05_shares'!Z21*INDEX('06_intensity'!$C$43:$BB$43,1,17)</f>
        <v>8.4696119159145874E-3</v>
      </c>
      <c r="AA21" s="8">
        <f>'05_shares'!AA21*INDEX('06_intensity'!$C$43:$BB$43,1,17)</f>
        <v>1.1765461795222462E-2</v>
      </c>
      <c r="AB21" s="8">
        <f>'05_shares'!AB21*INDEX('06_intensity'!$C$43:$BB$43,1,17)</f>
        <v>3.7702697927307391E-2</v>
      </c>
      <c r="AC21" s="8">
        <f>'05_shares'!AC21*INDEX('06_intensity'!$C$43:$BB$43,1,17)</f>
        <v>9.7583006230488097E-3</v>
      </c>
      <c r="AD21" s="8">
        <f>'05_shares'!AD21*INDEX('06_intensity'!$C$43:$BB$43,1,17)</f>
        <v>4.497105429320896E-3</v>
      </c>
      <c r="AE21" s="8">
        <f>'05_shares'!AE21*INDEX('06_intensity'!$C$43:$BB$43,1,17)</f>
        <v>4.3412463231483206E-3</v>
      </c>
      <c r="AF21" s="8">
        <f>'05_shares'!AF21*INDEX('06_intensity'!$C$43:$BB$43,1,17)</f>
        <v>2.5887817391103381E-3</v>
      </c>
      <c r="AG21" s="8">
        <f>'05_shares'!AG21*INDEX('06_intensity'!$C$43:$BB$43,1,17)</f>
        <v>1.9387352231222795E-4</v>
      </c>
      <c r="AH21" s="8">
        <f>'05_shares'!AH21*INDEX('06_intensity'!$C$43:$BB$43,1,17)</f>
        <v>1.5699953865676501E-3</v>
      </c>
      <c r="AI21" s="8">
        <f>'05_shares'!AI21*INDEX('06_intensity'!$C$43:$BB$43,1,17)</f>
        <v>7.3139736652691493E-3</v>
      </c>
    </row>
    <row r="22" spans="1:35" x14ac:dyDescent="0.2">
      <c r="A22" s="12" t="s">
        <v>1386</v>
      </c>
      <c r="B22" s="8">
        <f>'05_shares'!B22*INDEX('06_intensity'!$C$43:$BB$43,1,18)</f>
        <v>1.7008474731422883E-2</v>
      </c>
      <c r="C22" s="8">
        <f>'05_shares'!C22*INDEX('06_intensity'!$C$43:$BB$43,1,18)</f>
        <v>7.6299356408564431E-2</v>
      </c>
      <c r="D22" s="8">
        <f>'05_shares'!D22*INDEX('06_intensity'!$C$43:$BB$43,1,18)</f>
        <v>3.5155745827152703E-2</v>
      </c>
      <c r="E22" s="8">
        <f>'05_shares'!E22*INDEX('06_intensity'!$C$43:$BB$43,1,18)</f>
        <v>3.0306677437200603E-2</v>
      </c>
      <c r="F22" s="8">
        <f>'05_shares'!F22*INDEX('06_intensity'!$C$43:$BB$43,1,18)</f>
        <v>4.1373206622602639E-3</v>
      </c>
      <c r="G22" s="8">
        <f>'05_shares'!G22*INDEX('06_intensity'!$C$43:$BB$43,1,18)</f>
        <v>3.2556718640871556E-2</v>
      </c>
      <c r="H22" s="8">
        <f>'05_shares'!H22*INDEX('06_intensity'!$C$43:$BB$43,1,18)</f>
        <v>7.1266611185659603E-3</v>
      </c>
      <c r="I22" s="8">
        <f>'05_shares'!I22*INDEX('06_intensity'!$C$43:$BB$43,1,18)</f>
        <v>4.6888103532008389E-2</v>
      </c>
      <c r="J22" s="8">
        <f>'05_shares'!J22*INDEX('06_intensity'!$C$43:$BB$43,1,18)</f>
        <v>7.6225885675383328E-3</v>
      </c>
      <c r="K22" s="8">
        <f>'05_shares'!K22*INDEX('06_intensity'!$C$43:$BB$43,1,18)</f>
        <v>2.7868367479753096E-2</v>
      </c>
      <c r="L22" s="8">
        <f>'05_shares'!L22*INDEX('06_intensity'!$C$43:$BB$43,1,18)</f>
        <v>2.0962118560730415E-2</v>
      </c>
      <c r="M22" s="8">
        <f>'05_shares'!M22*INDEX('06_intensity'!$C$43:$BB$43,1,18)</f>
        <v>0.59204553565653761</v>
      </c>
      <c r="N22" s="8">
        <f>'05_shares'!N22*INDEX('06_intensity'!$C$43:$BB$43,1,18)</f>
        <v>0.25646336993107438</v>
      </c>
      <c r="O22" s="8">
        <f>'05_shares'!O22*INDEX('06_intensity'!$C$43:$BB$43,1,18)</f>
        <v>5.4997435706871454E-2</v>
      </c>
      <c r="P22" s="8">
        <f>'05_shares'!P22*INDEX('06_intensity'!$C$43:$BB$43,1,18)</f>
        <v>0.47100250274068794</v>
      </c>
      <c r="Q22" s="8">
        <f>'05_shares'!Q22*INDEX('06_intensity'!$C$43:$BB$43,1,18)</f>
        <v>0.15697481336222766</v>
      </c>
      <c r="R22" s="8">
        <f>'05_shares'!R22*INDEX('06_intensity'!$C$43:$BB$43,1,18)</f>
        <v>6.4116990462974546E-2</v>
      </c>
      <c r="S22" s="8">
        <f>'05_shares'!S22*INDEX('06_intensity'!$C$43:$BB$43,1,18)</f>
        <v>5.9580172689042088E-2</v>
      </c>
      <c r="T22" s="8">
        <f>'05_shares'!T22*INDEX('06_intensity'!$C$43:$BB$43,1,18)</f>
        <v>3.4411854653694139E-2</v>
      </c>
      <c r="U22" s="8">
        <f>'05_shares'!U22*INDEX('06_intensity'!$C$43:$BB$43,1,18)</f>
        <v>3.6703223144779459E-2</v>
      </c>
      <c r="V22" s="8">
        <f>'05_shares'!V22*INDEX('06_intensity'!$C$43:$BB$43,1,18)</f>
        <v>1.1493577822017136E-2</v>
      </c>
      <c r="W22" s="8">
        <f>'05_shares'!W22*INDEX('06_intensity'!$C$43:$BB$43,1,18)</f>
        <v>2.9539826659622952E-2</v>
      </c>
      <c r="X22" s="8">
        <f>'05_shares'!X22*INDEX('06_intensity'!$C$43:$BB$43,1,18)</f>
        <v>2.4401467257770301E-2</v>
      </c>
      <c r="Y22" s="8">
        <f>'05_shares'!Y22*INDEX('06_intensity'!$C$43:$BB$43,1,18)</f>
        <v>1.1893074933689329E-3</v>
      </c>
      <c r="Z22" s="8">
        <f>'05_shares'!Z22*INDEX('06_intensity'!$C$43:$BB$43,1,18)</f>
        <v>9.3491507972940039E-3</v>
      </c>
      <c r="AA22" s="8">
        <f>'05_shares'!AA22*INDEX('06_intensity'!$C$43:$BB$43,1,18)</f>
        <v>1.6820205977646333E-2</v>
      </c>
      <c r="AB22" s="8">
        <f>'05_shares'!AB22*INDEX('06_intensity'!$C$43:$BB$43,1,18)</f>
        <v>6.5154764569157475E-2</v>
      </c>
      <c r="AC22" s="8">
        <f>'05_shares'!AC22*INDEX('06_intensity'!$C$43:$BB$43,1,18)</f>
        <v>2.3767782184083382E-2</v>
      </c>
      <c r="AD22" s="8">
        <f>'05_shares'!AD22*INDEX('06_intensity'!$C$43:$BB$43,1,18)</f>
        <v>7.4618713387046938E-3</v>
      </c>
      <c r="AE22" s="8">
        <f>'05_shares'!AE22*INDEX('06_intensity'!$C$43:$BB$43,1,18)</f>
        <v>2.4337180366236846E-4</v>
      </c>
      <c r="AF22" s="8">
        <f>'05_shares'!AF22*INDEX('06_intensity'!$C$43:$BB$43,1,18)</f>
        <v>4.9868260146666444E-3</v>
      </c>
      <c r="AG22" s="8">
        <f>'05_shares'!AG22*INDEX('06_intensity'!$C$43:$BB$43,1,18)</f>
        <v>3.512819430220979E-3</v>
      </c>
      <c r="AH22" s="8">
        <f>'05_shares'!AH22*INDEX('06_intensity'!$C$43:$BB$43,1,18)</f>
        <v>3.3015910723253384E-3</v>
      </c>
      <c r="AI22" s="8">
        <f>'05_shares'!AI22*INDEX('06_intensity'!$C$43:$BB$43,1,18)</f>
        <v>3.3015910723253384E-3</v>
      </c>
    </row>
    <row r="23" spans="1:35" x14ac:dyDescent="0.2">
      <c r="A23" s="12" t="s">
        <v>1387</v>
      </c>
      <c r="B23" s="8">
        <f>'05_shares'!B23*INDEX('06_intensity'!$C$43:$BB$43,1,19)</f>
        <v>0.13685520339461588</v>
      </c>
      <c r="C23" s="8">
        <f>'05_shares'!C23*INDEX('06_intensity'!$C$43:$BB$43,1,19)</f>
        <v>0.92406504856193639</v>
      </c>
      <c r="D23" s="8">
        <f>'05_shares'!D23*INDEX('06_intensity'!$C$43:$BB$43,1,19)</f>
        <v>0.30451257507462964</v>
      </c>
      <c r="E23" s="8">
        <f>'05_shares'!E23*INDEX('06_intensity'!$C$43:$BB$43,1,19)</f>
        <v>0.55794813691651091</v>
      </c>
      <c r="F23" s="8">
        <f>'05_shares'!F23*INDEX('06_intensity'!$C$43:$BB$43,1,19)</f>
        <v>3.8990086437212503E-2</v>
      </c>
      <c r="G23" s="8">
        <f>'05_shares'!G23*INDEX('06_intensity'!$C$43:$BB$43,1,19)</f>
        <v>0.75562787515317842</v>
      </c>
      <c r="H23" s="8">
        <f>'05_shares'!H23*INDEX('06_intensity'!$C$43:$BB$43,1,19)</f>
        <v>0.1399744103095929</v>
      </c>
      <c r="I23" s="8">
        <f>'05_shares'!I23*INDEX('06_intensity'!$C$43:$BB$43,1,19)</f>
        <v>0</v>
      </c>
      <c r="J23" s="8">
        <f>'05_shares'!J23*INDEX('06_intensity'!$C$43:$BB$43,1,19)</f>
        <v>0</v>
      </c>
      <c r="K23" s="8">
        <f>'05_shares'!K23*INDEX('06_intensity'!$C$43:$BB$43,1,19)</f>
        <v>0.12125916881973088</v>
      </c>
      <c r="L23" s="8">
        <f>'05_shares'!L23*INDEX('06_intensity'!$C$43:$BB$43,1,19)</f>
        <v>0.24563754455443876</v>
      </c>
      <c r="M23" s="8">
        <f>'05_shares'!M23*INDEX('06_intensity'!$C$43:$BB$43,1,19)</f>
        <v>3.488832934401775</v>
      </c>
      <c r="N23" s="8">
        <f>'05_shares'!N23*INDEX('06_intensity'!$C$43:$BB$43,1,19)</f>
        <v>1.8005621916704733</v>
      </c>
      <c r="O23" s="8">
        <f>'05_shares'!O23*INDEX('06_intensity'!$C$43:$BB$43,1,19)</f>
        <v>0</v>
      </c>
      <c r="P23" s="8">
        <f>'05_shares'!P23*INDEX('06_intensity'!$C$43:$BB$43,1,19)</f>
        <v>0.90379020361458584</v>
      </c>
      <c r="Q23" s="8">
        <f>'05_shares'!Q23*INDEX('06_intensity'!$C$43:$BB$43,1,19)</f>
        <v>0.98255017821775503</v>
      </c>
      <c r="R23" s="8">
        <f>'05_shares'!R23*INDEX('06_intensity'!$C$43:$BB$43,1,19)</f>
        <v>0</v>
      </c>
      <c r="S23" s="8">
        <f>'05_shares'!S23*INDEX('06_intensity'!$C$43:$BB$43,1,19)</f>
        <v>0</v>
      </c>
      <c r="T23" s="8">
        <f>'05_shares'!T23*INDEX('06_intensity'!$C$43:$BB$43,1,19)</f>
        <v>0.10410353078735739</v>
      </c>
      <c r="U23" s="8">
        <f>'05_shares'!U23*INDEX('06_intensity'!$C$43:$BB$43,1,19)</f>
        <v>0</v>
      </c>
      <c r="V23" s="8">
        <f>'05_shares'!V23*INDEX('06_intensity'!$C$43:$BB$43,1,19)</f>
        <v>0</v>
      </c>
      <c r="W23" s="8">
        <f>'05_shares'!W23*INDEX('06_intensity'!$C$43:$BB$43,1,19)</f>
        <v>5.3806319283353256E-2</v>
      </c>
      <c r="X23" s="8">
        <f>'05_shares'!X23*INDEX('06_intensity'!$C$43:$BB$43,1,19)</f>
        <v>0.71156907747912823</v>
      </c>
      <c r="Y23" s="8">
        <f>'05_shares'!Y23*INDEX('06_intensity'!$C$43:$BB$43,1,19)</f>
        <v>0.16063915612131552</v>
      </c>
      <c r="Z23" s="8">
        <f>'05_shares'!Z23*INDEX('06_intensity'!$C$43:$BB$43,1,19)</f>
        <v>0</v>
      </c>
      <c r="AA23" s="8">
        <f>'05_shares'!AA23*INDEX('06_intensity'!$C$43:$BB$43,1,19)</f>
        <v>0</v>
      </c>
      <c r="AB23" s="8">
        <f>'05_shares'!AB23*INDEX('06_intensity'!$C$43:$BB$43,1,19)</f>
        <v>0.26357298431555654</v>
      </c>
      <c r="AC23" s="8">
        <f>'05_shares'!AC23*INDEX('06_intensity'!$C$43:$BB$43,1,19)</f>
        <v>0</v>
      </c>
      <c r="AD23" s="8">
        <f>'05_shares'!AD23*INDEX('06_intensity'!$C$43:$BB$43,1,19)</f>
        <v>0</v>
      </c>
      <c r="AE23" s="8">
        <f>'05_shares'!AE23*INDEX('06_intensity'!$C$43:$BB$43,1,19)</f>
        <v>0</v>
      </c>
      <c r="AF23" s="8">
        <f>'05_shares'!AF23*INDEX('06_intensity'!$C$43:$BB$43,1,19)</f>
        <v>0</v>
      </c>
      <c r="AG23" s="8">
        <f>'05_shares'!AG23*INDEX('06_intensity'!$C$43:$BB$43,1,19)</f>
        <v>0</v>
      </c>
      <c r="AH23" s="8">
        <f>'05_shares'!AH23*INDEX('06_intensity'!$C$43:$BB$43,1,19)</f>
        <v>2.7293060506048752E-2</v>
      </c>
      <c r="AI23" s="8">
        <f>'05_shares'!AI23*INDEX('06_intensity'!$C$43:$BB$43,1,19)</f>
        <v>0</v>
      </c>
    </row>
    <row r="24" spans="1:35" x14ac:dyDescent="0.2">
      <c r="A24" s="12" t="s">
        <v>1388</v>
      </c>
      <c r="B24" s="8">
        <f>'05_shares'!B24*INDEX('06_intensity'!$C$43:$BB$43,1,20)</f>
        <v>8.4510374064208721E-2</v>
      </c>
      <c r="C24" s="8">
        <f>'05_shares'!C24*INDEX('06_intensity'!$C$43:$BB$43,1,20)</f>
        <v>0.31039113020737619</v>
      </c>
      <c r="D24" s="8">
        <f>'05_shares'!D24*INDEX('06_intensity'!$C$43:$BB$43,1,20)</f>
        <v>0.11063717280659438</v>
      </c>
      <c r="E24" s="8">
        <f>'05_shares'!E24*INDEX('06_intensity'!$C$43:$BB$43,1,20)</f>
        <v>5.0111080959199819E-2</v>
      </c>
      <c r="F24" s="8">
        <f>'05_shares'!F24*INDEX('06_intensity'!$C$43:$BB$43,1,20)</f>
        <v>2.2115531691732367E-2</v>
      </c>
      <c r="G24" s="8">
        <f>'05_shares'!G24*INDEX('06_intensity'!$C$43:$BB$43,1,20)</f>
        <v>0.12874143744767347</v>
      </c>
      <c r="H24" s="8">
        <f>'05_shares'!H24*INDEX('06_intensity'!$C$43:$BB$43,1,20)</f>
        <v>2.2425006300981584E-2</v>
      </c>
      <c r="I24" s="8">
        <f>'05_shares'!I24*INDEX('06_intensity'!$C$43:$BB$43,1,20)</f>
        <v>0.11349386150735637</v>
      </c>
      <c r="J24" s="8">
        <f>'05_shares'!J24*INDEX('06_intensity'!$C$43:$BB$43,1,20)</f>
        <v>4.1183928769318616E-3</v>
      </c>
      <c r="K24" s="8">
        <f>'05_shares'!K24*INDEX('06_intensity'!$C$43:$BB$43,1,20)</f>
        <v>9.6603689564101133E-2</v>
      </c>
      <c r="L24" s="8">
        <f>'05_shares'!L24*INDEX('06_intensity'!$C$43:$BB$43,1,20)</f>
        <v>0.56226775352747771</v>
      </c>
      <c r="M24" s="8">
        <f>'05_shares'!M24*INDEX('06_intensity'!$C$43:$BB$43,1,20)</f>
        <v>2.1661675274398804</v>
      </c>
      <c r="N24" s="8">
        <f>'05_shares'!N24*INDEX('06_intensity'!$C$43:$BB$43,1,20)</f>
        <v>1.2742974121924024</v>
      </c>
      <c r="O24" s="8">
        <f>'05_shares'!O24*INDEX('06_intensity'!$C$43:$BB$43,1,20)</f>
        <v>0.11896918151715018</v>
      </c>
      <c r="P24" s="8">
        <f>'05_shares'!P24*INDEX('06_intensity'!$C$43:$BB$43,1,20)</f>
        <v>1.7105137767987575</v>
      </c>
      <c r="Q24" s="8">
        <f>'05_shares'!Q24*INDEX('06_intensity'!$C$43:$BB$43,1,20)</f>
        <v>1.021908965480081</v>
      </c>
      <c r="R24" s="8">
        <f>'05_shares'!R24*INDEX('06_intensity'!$C$43:$BB$43,1,20)</f>
        <v>6.6382303683956617E-2</v>
      </c>
      <c r="S24" s="8">
        <f>'05_shares'!S24*INDEX('06_intensity'!$C$43:$BB$43,1,20)</f>
        <v>2.9959522749241317E-2</v>
      </c>
      <c r="T24" s="8">
        <f>'05_shares'!T24*INDEX('06_intensity'!$C$43:$BB$43,1,20)</f>
        <v>3.7613067893366133E-3</v>
      </c>
      <c r="U24" s="8">
        <f>'05_shares'!U24*INDEX('06_intensity'!$C$43:$BB$43,1,20)</f>
        <v>3.3982692669481111E-2</v>
      </c>
      <c r="V24" s="8">
        <f>'05_shares'!V24*INDEX('06_intensity'!$C$43:$BB$43,1,20)</f>
        <v>2.3531973172526852E-2</v>
      </c>
      <c r="W24" s="8">
        <f>'05_shares'!W24*INDEX('06_intensity'!$C$43:$BB$43,1,20)</f>
        <v>6.8334374296143988E-2</v>
      </c>
      <c r="X24" s="8">
        <f>'05_shares'!X24*INDEX('06_intensity'!$C$43:$BB$43,1,20)</f>
        <v>4.9075531305173607E-2</v>
      </c>
      <c r="Y24" s="8">
        <f>'05_shares'!Y24*INDEX('06_intensity'!$C$43:$BB$43,1,20)</f>
        <v>4.2136158336239281E-3</v>
      </c>
      <c r="Z24" s="8">
        <f>'05_shares'!Z24*INDEX('06_intensity'!$C$43:$BB$43,1,20)</f>
        <v>2.7150445526825367E-2</v>
      </c>
      <c r="AA24" s="8">
        <f>'05_shares'!AA24*INDEX('06_intensity'!$C$43:$BB$43,1,20)</f>
        <v>2.6150604481558669E-2</v>
      </c>
      <c r="AB24" s="8">
        <f>'05_shares'!AB24*INDEX('06_intensity'!$C$43:$BB$43,1,20)</f>
        <v>0.11962383934440812</v>
      </c>
      <c r="AC24" s="8">
        <f>'05_shares'!AC24*INDEX('06_intensity'!$C$43:$BB$43,1,20)</f>
        <v>6.5703840117525662E-3</v>
      </c>
      <c r="AD24" s="8">
        <f>'05_shares'!AD24*INDEX('06_intensity'!$C$43:$BB$43,1,20)</f>
        <v>9.8198674088693233E-3</v>
      </c>
      <c r="AE24" s="8">
        <f>'05_shares'!AE24*INDEX('06_intensity'!$C$43:$BB$43,1,20)</f>
        <v>1.7461509683407636E-2</v>
      </c>
      <c r="AF24" s="8">
        <f>'05_shares'!AF24*INDEX('06_intensity'!$C$43:$BB$43,1,20)</f>
        <v>2.9840494053376233E-2</v>
      </c>
      <c r="AG24" s="8">
        <f>'05_shares'!AG24*INDEX('06_intensity'!$C$43:$BB$43,1,20)</f>
        <v>3.5946666151254977E-3</v>
      </c>
      <c r="AH24" s="8">
        <f>'05_shares'!AH24*INDEX('06_intensity'!$C$43:$BB$43,1,20)</f>
        <v>1.6544988725246499E-3</v>
      </c>
      <c r="AI24" s="8">
        <f>'05_shares'!AI24*INDEX('06_intensity'!$C$43:$BB$43,1,20)</f>
        <v>1.5354701766595671E-3</v>
      </c>
    </row>
    <row r="25" spans="1:35" x14ac:dyDescent="0.2">
      <c r="A25" s="12" t="s">
        <v>1389</v>
      </c>
      <c r="B25" s="8">
        <f>'05_shares'!B25*INDEX('06_intensity'!$C$43:$BB$43,1,21)</f>
        <v>2.3152174611415458E-2</v>
      </c>
      <c r="C25" s="8">
        <f>'05_shares'!C25*INDEX('06_intensity'!$C$43:$BB$43,1,21)</f>
        <v>0.58862796159620234</v>
      </c>
      <c r="D25" s="8">
        <f>'05_shares'!D25*INDEX('06_intensity'!$C$43:$BB$43,1,21)</f>
        <v>1.7894701626739867E-2</v>
      </c>
      <c r="E25" s="8">
        <f>'05_shares'!E25*INDEX('06_intensity'!$C$43:$BB$43,1,21)</f>
        <v>6.4793933113891878E-3</v>
      </c>
      <c r="F25" s="8">
        <f>'05_shares'!F25*INDEX('06_intensity'!$C$43:$BB$43,1,21)</f>
        <v>2.2509058649987251E-3</v>
      </c>
      <c r="G25" s="8">
        <f>'05_shares'!G25*INDEX('06_intensity'!$C$43:$BB$43,1,21)</f>
        <v>3.456748292676614E-2</v>
      </c>
      <c r="H25" s="8">
        <f>'05_shares'!H25*INDEX('06_intensity'!$C$43:$BB$43,1,21)</f>
        <v>0</v>
      </c>
      <c r="I25" s="8">
        <f>'05_shares'!I25*INDEX('06_intensity'!$C$43:$BB$43,1,21)</f>
        <v>5.3394702697576908E-2</v>
      </c>
      <c r="J25" s="8">
        <f>'05_shares'!J25*INDEX('06_intensity'!$C$43:$BB$43,1,21)</f>
        <v>0</v>
      </c>
      <c r="K25" s="8">
        <f>'05_shares'!K25*INDEX('06_intensity'!$C$43:$BB$43,1,21)</f>
        <v>0.15238632706041369</v>
      </c>
      <c r="L25" s="8">
        <f>'05_shares'!L25*INDEX('06_intensity'!$C$43:$BB$43,1,21)</f>
        <v>0.64215128748606487</v>
      </c>
      <c r="M25" s="8">
        <f>'05_shares'!M25*INDEX('06_intensity'!$C$43:$BB$43,1,21)</f>
        <v>2.2116757913516047</v>
      </c>
      <c r="N25" s="8">
        <f>'05_shares'!N25*INDEX('06_intensity'!$C$43:$BB$43,1,21)</f>
        <v>1.6835971975238679</v>
      </c>
      <c r="O25" s="8">
        <f>'05_shares'!O25*INDEX('06_intensity'!$C$43:$BB$43,1,21)</f>
        <v>8.5695201860308615E-2</v>
      </c>
      <c r="P25" s="8">
        <f>'05_shares'!P25*INDEX('06_intensity'!$C$43:$BB$43,1,21)</f>
        <v>1.7093057580819606</v>
      </c>
      <c r="Q25" s="8">
        <f>'05_shares'!Q25*INDEX('06_intensity'!$C$43:$BB$43,1,21)</f>
        <v>1.6535636821251707</v>
      </c>
      <c r="R25" s="8">
        <f>'05_shares'!R25*INDEX('06_intensity'!$C$43:$BB$43,1,21)</f>
        <v>9.4216488349232359E-3</v>
      </c>
      <c r="S25" s="8">
        <f>'05_shares'!S25*INDEX('06_intensity'!$C$43:$BB$43,1,21)</f>
        <v>9.212636147459069E-3</v>
      </c>
      <c r="T25" s="8">
        <f>'05_shares'!T25*INDEX('06_intensity'!$C$43:$BB$43,1,21)</f>
        <v>2.5113678293771494E-2</v>
      </c>
      <c r="U25" s="8">
        <f>'05_shares'!U25*INDEX('06_intensity'!$C$43:$BB$43,1,21)</f>
        <v>0</v>
      </c>
      <c r="V25" s="8">
        <f>'05_shares'!V25*INDEX('06_intensity'!$C$43:$BB$43,1,21)</f>
        <v>0</v>
      </c>
      <c r="W25" s="8">
        <f>'05_shares'!W25*INDEX('06_intensity'!$C$43:$BB$43,1,21)</f>
        <v>1.2299592762314463E-2</v>
      </c>
      <c r="X25" s="8">
        <f>'05_shares'!X25*INDEX('06_intensity'!$C$43:$BB$43,1,21)</f>
        <v>0</v>
      </c>
      <c r="Y25" s="8">
        <f>'05_shares'!Y25*INDEX('06_intensity'!$C$43:$BB$43,1,21)</f>
        <v>0</v>
      </c>
      <c r="Z25" s="8">
        <f>'05_shares'!Z25*INDEX('06_intensity'!$C$43:$BB$43,1,21)</f>
        <v>8.7302991763879133E-3</v>
      </c>
      <c r="AA25" s="8">
        <f>'05_shares'!AA25*INDEX('06_intensity'!$C$43:$BB$43,1,21)</f>
        <v>1.2990942420849787E-2</v>
      </c>
      <c r="AB25" s="8">
        <f>'05_shares'!AB25*INDEX('06_intensity'!$C$43:$BB$43,1,21)</f>
        <v>2.5515625769664124E-2</v>
      </c>
      <c r="AC25" s="8">
        <f>'05_shares'!AC25*INDEX('06_intensity'!$C$43:$BB$43,1,21)</f>
        <v>2.1062047736773786E-3</v>
      </c>
      <c r="AD25" s="8">
        <f>'05_shares'!AD25*INDEX('06_intensity'!$C$43:$BB$43,1,21)</f>
        <v>0</v>
      </c>
      <c r="AE25" s="8">
        <f>'05_shares'!AE25*INDEX('06_intensity'!$C$43:$BB$43,1,21)</f>
        <v>0</v>
      </c>
      <c r="AF25" s="8">
        <f>'05_shares'!AF25*INDEX('06_intensity'!$C$43:$BB$43,1,21)</f>
        <v>2.1222826727130837E-3</v>
      </c>
      <c r="AG25" s="8">
        <f>'05_shares'!AG25*INDEX('06_intensity'!$C$43:$BB$43,1,21)</f>
        <v>0</v>
      </c>
      <c r="AH25" s="8">
        <f>'05_shares'!AH25*INDEX('06_intensity'!$C$43:$BB$43,1,21)</f>
        <v>0</v>
      </c>
      <c r="AI25" s="8">
        <f>'05_shares'!AI25*INDEX('06_intensity'!$C$43:$BB$43,1,21)</f>
        <v>0</v>
      </c>
    </row>
    <row r="26" spans="1:35" x14ac:dyDescent="0.2">
      <c r="A26" s="12" t="s">
        <v>1390</v>
      </c>
      <c r="B26" s="8">
        <f>'05_shares'!B26*INDEX('06_intensity'!$C$43:$BB$43,1,22)</f>
        <v>4.9193061639685336E-2</v>
      </c>
      <c r="C26" s="8">
        <f>'05_shares'!C26*INDEX('06_intensity'!$C$43:$BB$43,1,22)</f>
        <v>0.62213427036978197</v>
      </c>
      <c r="D26" s="8">
        <f>'05_shares'!D26*INDEX('06_intensity'!$C$43:$BB$43,1,22)</f>
        <v>0.1253294790581708</v>
      </c>
      <c r="E26" s="8">
        <f>'05_shares'!E26*INDEX('06_intensity'!$C$43:$BB$43,1,22)</f>
        <v>1.7556055942970272E-2</v>
      </c>
      <c r="F26" s="8">
        <f>'05_shares'!F26*INDEX('06_intensity'!$C$43:$BB$43,1,22)</f>
        <v>0</v>
      </c>
      <c r="G26" s="8">
        <f>'05_shares'!G26*INDEX('06_intensity'!$C$43:$BB$43,1,22)</f>
        <v>4.5131249210720488E-3</v>
      </c>
      <c r="H26" s="8">
        <f>'05_shares'!H26*INDEX('06_intensity'!$C$43:$BB$43,1,22)</f>
        <v>2.0670112138509982E-2</v>
      </c>
      <c r="I26" s="8">
        <f>'05_shares'!I26*INDEX('06_intensity'!$C$43:$BB$43,1,22)</f>
        <v>8.4169779777993711E-2</v>
      </c>
      <c r="J26" s="8">
        <f>'05_shares'!J26*INDEX('06_intensity'!$C$43:$BB$43,1,22)</f>
        <v>0.16563168460334421</v>
      </c>
      <c r="K26" s="8">
        <f>'05_shares'!K26*INDEX('06_intensity'!$C$43:$BB$43,1,22)</f>
        <v>0.37472476219661222</v>
      </c>
      <c r="L26" s="8">
        <f>'05_shares'!L26*INDEX('06_intensity'!$C$43:$BB$43,1,22)</f>
        <v>0.5842691522819875</v>
      </c>
      <c r="M26" s="8">
        <f>'05_shares'!M26*INDEX('06_intensity'!$C$43:$BB$43,1,22)</f>
        <v>1.5341916856692324</v>
      </c>
      <c r="N26" s="8">
        <f>'05_shares'!N26*INDEX('06_intensity'!$C$43:$BB$43,1,22)</f>
        <v>0.58327626479935157</v>
      </c>
      <c r="O26" s="8">
        <f>'05_shares'!O26*INDEX('06_intensity'!$C$43:$BB$43,1,22)</f>
        <v>0</v>
      </c>
      <c r="P26" s="8">
        <f>'05_shares'!P26*INDEX('06_intensity'!$C$43:$BB$43,1,22)</f>
        <v>0.89143243441015108</v>
      </c>
      <c r="Q26" s="8">
        <f>'05_shares'!Q26*INDEX('06_intensity'!$C$43:$BB$43,1,22)</f>
        <v>1.6009859345010986</v>
      </c>
      <c r="R26" s="8">
        <f>'05_shares'!R26*INDEX('06_intensity'!$C$43:$BB$43,1,22)</f>
        <v>5.6414061513400601E-3</v>
      </c>
      <c r="S26" s="8">
        <f>'05_shares'!S26*INDEX('06_intensity'!$C$43:$BB$43,1,22)</f>
        <v>0.4217966551233937</v>
      </c>
      <c r="T26" s="8">
        <f>'05_shares'!T26*INDEX('06_intensity'!$C$43:$BB$43,1,22)</f>
        <v>3.2088318188822268E-2</v>
      </c>
      <c r="U26" s="8">
        <f>'05_shares'!U26*INDEX('06_intensity'!$C$43:$BB$43,1,22)</f>
        <v>9.2383667134344843E-2</v>
      </c>
      <c r="V26" s="8">
        <f>'05_shares'!V26*INDEX('06_intensity'!$C$43:$BB$43,1,22)</f>
        <v>3.8451824327533857E-2</v>
      </c>
      <c r="W26" s="8">
        <f>'05_shares'!W26*INDEX('06_intensity'!$C$43:$BB$43,1,22)</f>
        <v>3.3758174409618924E-2</v>
      </c>
      <c r="X26" s="8">
        <f>'05_shares'!X26*INDEX('06_intensity'!$C$43:$BB$43,1,22)</f>
        <v>3.4480274396990453E-2</v>
      </c>
      <c r="Y26" s="8">
        <f>'05_shares'!Y26*INDEX('06_intensity'!$C$43:$BB$43,1,22)</f>
        <v>8.3944123531940109E-3</v>
      </c>
      <c r="Z26" s="8">
        <f>'05_shares'!Z26*INDEX('06_intensity'!$C$43:$BB$43,1,22)</f>
        <v>7.925047361402518E-2</v>
      </c>
      <c r="AA26" s="8">
        <f>'05_shares'!AA26*INDEX('06_intensity'!$C$43:$BB$43,1,22)</f>
        <v>0.43668996736293142</v>
      </c>
      <c r="AB26" s="8">
        <f>'05_shares'!AB26*INDEX('06_intensity'!$C$43:$BB$43,1,22)</f>
        <v>0.24777055816685548</v>
      </c>
      <c r="AC26" s="8">
        <f>'05_shares'!AC26*INDEX('06_intensity'!$C$43:$BB$43,1,22)</f>
        <v>0.51955094091381426</v>
      </c>
      <c r="AD26" s="8">
        <f>'05_shares'!AD26*INDEX('06_intensity'!$C$43:$BB$43,1,22)</f>
        <v>0</v>
      </c>
      <c r="AE26" s="8">
        <f>'05_shares'!AE26*INDEX('06_intensity'!$C$43:$BB$43,1,22)</f>
        <v>1.2140306037683811E-2</v>
      </c>
      <c r="AF26" s="8">
        <f>'05_shares'!AF26*INDEX('06_intensity'!$C$43:$BB$43,1,22)</f>
        <v>1.7781712189023871E-2</v>
      </c>
      <c r="AG26" s="8">
        <f>'05_shares'!AG26*INDEX('06_intensity'!$C$43:$BB$43,1,22)</f>
        <v>0.10159044197333182</v>
      </c>
      <c r="AH26" s="8">
        <f>'05_shares'!AH26*INDEX('06_intensity'!$C$43:$BB$43,1,22)</f>
        <v>0</v>
      </c>
      <c r="AI26" s="8">
        <f>'05_shares'!AI26*INDEX('06_intensity'!$C$43:$BB$43,1,22)</f>
        <v>0</v>
      </c>
    </row>
    <row r="27" spans="1:35" x14ac:dyDescent="0.2">
      <c r="A27" s="12" t="s">
        <v>1391</v>
      </c>
      <c r="B27" s="8">
        <f>'05_shares'!B27*INDEX('06_intensity'!$C$43:$BB$43,1,23)</f>
        <v>5.2766164697419501E-2</v>
      </c>
      <c r="C27" s="8">
        <f>'05_shares'!C27*INDEX('06_intensity'!$C$43:$BB$43,1,23)</f>
        <v>0.22936939960115135</v>
      </c>
      <c r="D27" s="8">
        <f>'05_shares'!D27*INDEX('06_intensity'!$C$43:$BB$43,1,23)</f>
        <v>6.388159265228105E-2</v>
      </c>
      <c r="E27" s="8">
        <f>'05_shares'!E27*INDEX('06_intensity'!$C$43:$BB$43,1,23)</f>
        <v>7.1887989672010252E-2</v>
      </c>
      <c r="F27" s="8">
        <f>'05_shares'!F27*INDEX('06_intensity'!$C$43:$BB$43,1,23)</f>
        <v>3.7853093996999612E-2</v>
      </c>
      <c r="G27" s="8">
        <f>'05_shares'!G27*INDEX('06_intensity'!$C$43:$BB$43,1,23)</f>
        <v>8.5274808822456097E-2</v>
      </c>
      <c r="H27" s="8">
        <f>'05_shares'!H27*INDEX('06_intensity'!$C$43:$BB$43,1,23)</f>
        <v>2.6434471289786318E-2</v>
      </c>
      <c r="I27" s="8">
        <f>'05_shares'!I27*INDEX('06_intensity'!$C$43:$BB$43,1,23)</f>
        <v>0.11023955639745259</v>
      </c>
      <c r="J27" s="8">
        <f>'05_shares'!J27*INDEX('06_intensity'!$C$43:$BB$43,1,23)</f>
        <v>6.428756528678593E-3</v>
      </c>
      <c r="K27" s="8">
        <f>'05_shares'!K27*INDEX('06_intensity'!$C$43:$BB$43,1,23)</f>
        <v>0.28207903646338661</v>
      </c>
      <c r="L27" s="8">
        <f>'05_shares'!L27*INDEX('06_intensity'!$C$43:$BB$43,1,23)</f>
        <v>0.27744889287238789</v>
      </c>
      <c r="M27" s="8">
        <f>'05_shares'!M27*INDEX('06_intensity'!$C$43:$BB$43,1,23)</f>
        <v>1.3478240076621044</v>
      </c>
      <c r="N27" s="8">
        <f>'05_shares'!N27*INDEX('06_intensity'!$C$43:$BB$43,1,23)</f>
        <v>0.90297050033869031</v>
      </c>
      <c r="O27" s="8">
        <f>'05_shares'!O27*INDEX('06_intensity'!$C$43:$BB$43,1,23)</f>
        <v>8.9874119048808876E-2</v>
      </c>
      <c r="P27" s="8">
        <f>'05_shares'!P27*INDEX('06_intensity'!$C$43:$BB$43,1,23)</f>
        <v>1.033570355190679</v>
      </c>
      <c r="Q27" s="8">
        <f>'05_shares'!Q27*INDEX('06_intensity'!$C$43:$BB$43,1,23)</f>
        <v>0.61570631972067802</v>
      </c>
      <c r="R27" s="8">
        <f>'05_shares'!R27*INDEX('06_intensity'!$C$43:$BB$43,1,23)</f>
        <v>6.8275347114327561E-2</v>
      </c>
      <c r="S27" s="8">
        <f>'05_shares'!S27*INDEX('06_intensity'!$C$43:$BB$43,1,23)</f>
        <v>5.8275059180827538E-2</v>
      </c>
      <c r="T27" s="8">
        <f>'05_shares'!T27*INDEX('06_intensity'!$C$43:$BB$43,1,23)</f>
        <v>2.6804471665537601E-2</v>
      </c>
      <c r="U27" s="8">
        <f>'05_shares'!U27*INDEX('06_intensity'!$C$43:$BB$43,1,23)</f>
        <v>3.858281696028687E-2</v>
      </c>
      <c r="V27" s="8">
        <f>'05_shares'!V27*INDEX('06_intensity'!$C$43:$BB$43,1,23)</f>
        <v>1.7816545871245947E-2</v>
      </c>
      <c r="W27" s="8">
        <f>'05_shares'!W27*INDEX('06_intensity'!$C$43:$BB$43,1,23)</f>
        <v>5.7267835935726812E-2</v>
      </c>
      <c r="X27" s="8">
        <f>'05_shares'!X27*INDEX('06_intensity'!$C$43:$BB$43,1,23)</f>
        <v>8.8969673685861297E-2</v>
      </c>
      <c r="Y27" s="8">
        <f>'05_shares'!Y27*INDEX('06_intensity'!$C$43:$BB$43,1,23)</f>
        <v>6.8398680572911326E-3</v>
      </c>
      <c r="Z27" s="8">
        <f>'05_shares'!Z27*INDEX('06_intensity'!$C$43:$BB$43,1,23)</f>
        <v>2.0175298266660396E-2</v>
      </c>
      <c r="AA27" s="8">
        <f>'05_shares'!AA27*INDEX('06_intensity'!$C$43:$BB$43,1,23)</f>
        <v>3.8906567289069244E-2</v>
      </c>
      <c r="AB27" s="8">
        <f>'05_shares'!AB27*INDEX('06_intensity'!$C$43:$BB$43,1,23)</f>
        <v>0.13125249440366102</v>
      </c>
      <c r="AC27" s="8">
        <f>'05_shares'!AC27*INDEX('06_intensity'!$C$43:$BB$43,1,23)</f>
        <v>2.7369750017379842E-2</v>
      </c>
      <c r="AD27" s="8">
        <f>'05_shares'!AD27*INDEX('06_intensity'!$C$43:$BB$43,1,23)</f>
        <v>6.9529237276595808E-3</v>
      </c>
      <c r="AE27" s="8">
        <f>'05_shares'!AE27*INDEX('06_intensity'!$C$43:$BB$43,1,23)</f>
        <v>7.1173683391045975E-3</v>
      </c>
      <c r="AF27" s="8">
        <f>'05_shares'!AF27*INDEX('06_intensity'!$C$43:$BB$43,1,23)</f>
        <v>6.9940348805208365E-3</v>
      </c>
      <c r="AG27" s="8">
        <f>'05_shares'!AG27*INDEX('06_intensity'!$C$43:$BB$43,1,23)</f>
        <v>1.0390843885681946E-2</v>
      </c>
      <c r="AH27" s="8">
        <f>'05_shares'!AH27*INDEX('06_intensity'!$C$43:$BB$43,1,23)</f>
        <v>2.1223632664622372E-3</v>
      </c>
      <c r="AI27" s="8">
        <f>'05_shares'!AI27*INDEX('06_intensity'!$C$43:$BB$43,1,23)</f>
        <v>7.7597301025616912E-3</v>
      </c>
    </row>
    <row r="28" spans="1:35" x14ac:dyDescent="0.2">
      <c r="A28" s="12" t="s">
        <v>1392</v>
      </c>
      <c r="B28" s="8">
        <f>'05_shares'!B28*INDEX('06_intensity'!$C$43:$BB$43,1,24)</f>
        <v>5.6888184067459775E-2</v>
      </c>
      <c r="C28" s="8">
        <f>'05_shares'!C28*INDEX('06_intensity'!$C$43:$BB$43,1,24)</f>
        <v>0.2354315923891232</v>
      </c>
      <c r="D28" s="8">
        <f>'05_shares'!D28*INDEX('06_intensity'!$C$43:$BB$43,1,24)</f>
        <v>6.2878551477740213E-2</v>
      </c>
      <c r="E28" s="8">
        <f>'05_shares'!E28*INDEX('06_intensity'!$C$43:$BB$43,1,24)</f>
        <v>6.2482578038755565E-2</v>
      </c>
      <c r="F28" s="8">
        <f>'05_shares'!F28*INDEX('06_intensity'!$C$43:$BB$43,1,24)</f>
        <v>1.484392737937287E-2</v>
      </c>
      <c r="G28" s="8">
        <f>'05_shares'!G28*INDEX('06_intensity'!$C$43:$BB$43,1,24)</f>
        <v>8.3570701955963139E-2</v>
      </c>
      <c r="H28" s="8">
        <f>'05_shares'!H28*INDEX('06_intensity'!$C$43:$BB$43,1,24)</f>
        <v>1.0163318267272396E-2</v>
      </c>
      <c r="I28" s="8">
        <f>'05_shares'!I28*INDEX('06_intensity'!$C$43:$BB$43,1,24)</f>
        <v>0.11296411492674593</v>
      </c>
      <c r="J28" s="8">
        <f>'05_shares'!J28*INDEX('06_intensity'!$C$43:$BB$43,1,24)</f>
        <v>9.7774979933899272E-3</v>
      </c>
      <c r="K28" s="8">
        <f>'05_shares'!K28*INDEX('06_intensity'!$C$43:$BB$43,1,24)</f>
        <v>0.11489321629615828</v>
      </c>
      <c r="L28" s="8">
        <f>'05_shares'!L28*INDEX('06_intensity'!$C$43:$BB$43,1,24)</f>
        <v>0.26837861314566558</v>
      </c>
      <c r="M28" s="8">
        <f>'05_shares'!M28*INDEX('06_intensity'!$C$43:$BB$43,1,24)</f>
        <v>1.3898870771662866</v>
      </c>
      <c r="N28" s="8">
        <f>'05_shares'!N28*INDEX('06_intensity'!$C$43:$BB$43,1,24)</f>
        <v>0.41062445622707044</v>
      </c>
      <c r="O28" s="8">
        <f>'05_shares'!O28*INDEX('06_intensity'!$C$43:$BB$43,1,24)</f>
        <v>4.1343688296037157E-2</v>
      </c>
      <c r="P28" s="8">
        <f>'05_shares'!P28*INDEX('06_intensity'!$C$43:$BB$43,1,24)</f>
        <v>0.58954353165751416</v>
      </c>
      <c r="Q28" s="8">
        <f>'05_shares'!Q28*INDEX('06_intensity'!$C$43:$BB$43,1,24)</f>
        <v>0.34439536026561407</v>
      </c>
      <c r="R28" s="8">
        <f>'05_shares'!R28*INDEX('06_intensity'!$C$43:$BB$43,1,24)</f>
        <v>8.6119146396607865E-2</v>
      </c>
      <c r="S28" s="8">
        <f>'05_shares'!S28*INDEX('06_intensity'!$C$43:$BB$43,1,24)</f>
        <v>0.10597873733645281</v>
      </c>
      <c r="T28" s="8">
        <f>'05_shares'!T28*INDEX('06_intensity'!$C$43:$BB$43,1,24)</f>
        <v>3.0469648471612848E-2</v>
      </c>
      <c r="U28" s="8">
        <f>'05_shares'!U28*INDEX('06_intensity'!$C$43:$BB$43,1,24)</f>
        <v>3.4500455017174428E-2</v>
      </c>
      <c r="V28" s="8">
        <f>'05_shares'!V28*INDEX('06_intensity'!$C$43:$BB$43,1,24)</f>
        <v>2.9434025631191484E-2</v>
      </c>
      <c r="W28" s="8">
        <f>'05_shares'!W28*INDEX('06_intensity'!$C$43:$BB$43,1,24)</f>
        <v>5.0999348308201048E-2</v>
      </c>
      <c r="X28" s="8">
        <f>'05_shares'!X28*INDEX('06_intensity'!$C$43:$BB$43,1,24)</f>
        <v>4.1069552838278567E-2</v>
      </c>
      <c r="Y28" s="8">
        <f>'05_shares'!Y28*INDEX('06_intensity'!$C$43:$BB$43,1,24)</f>
        <v>7.0361434158039658E-3</v>
      </c>
      <c r="Z28" s="8">
        <f>'05_shares'!Z28*INDEX('06_intensity'!$C$43:$BB$43,1,24)</f>
        <v>2.4976786151338755E-2</v>
      </c>
      <c r="AA28" s="8">
        <f>'05_shares'!AA28*INDEX('06_intensity'!$C$43:$BB$43,1,24)</f>
        <v>2.9180196503637228E-2</v>
      </c>
      <c r="AB28" s="8">
        <f>'05_shares'!AB28*INDEX('06_intensity'!$C$43:$BB$43,1,24)</f>
        <v>0.12473163328016122</v>
      </c>
      <c r="AC28" s="8">
        <f>'05_shares'!AC28*INDEX('06_intensity'!$C$43:$BB$43,1,24)</f>
        <v>2.0367249194953474E-2</v>
      </c>
      <c r="AD28" s="8">
        <f>'05_shares'!AD28*INDEX('06_intensity'!$C$43:$BB$43,1,24)</f>
        <v>8.2748295582687342E-3</v>
      </c>
      <c r="AE28" s="8">
        <f>'05_shares'!AE28*INDEX('06_intensity'!$C$43:$BB$43,1,24)</f>
        <v>5.2897990182306873E-3</v>
      </c>
      <c r="AF28" s="8">
        <f>'05_shares'!AF28*INDEX('06_intensity'!$C$43:$BB$43,1,24)</f>
        <v>2.3331973404787178E-2</v>
      </c>
      <c r="AG28" s="8">
        <f>'05_shares'!AG28*INDEX('06_intensity'!$C$43:$BB$43,1,24)</f>
        <v>7.7773244682623937E-3</v>
      </c>
      <c r="AH28" s="8">
        <f>'05_shares'!AH28*INDEX('06_intensity'!$C$43:$BB$43,1,24)</f>
        <v>1.5229747653255339E-3</v>
      </c>
      <c r="AI28" s="8">
        <f>'05_shares'!AI28*INDEX('06_intensity'!$C$43:$BB$43,1,24)</f>
        <v>1.7839111084513085E-2</v>
      </c>
    </row>
    <row r="29" spans="1:35" x14ac:dyDescent="0.2">
      <c r="A29" s="12" t="s">
        <v>1393</v>
      </c>
      <c r="B29" s="8">
        <f>'05_shares'!B29*INDEX('06_intensity'!$C$43:$BB$43,1,25)</f>
        <v>2.910503607895402E-3</v>
      </c>
      <c r="C29" s="8">
        <f>'05_shares'!C29*INDEX('06_intensity'!$C$43:$BB$43,1,25)</f>
        <v>2.5123778635378038E-2</v>
      </c>
      <c r="D29" s="8">
        <f>'05_shares'!D29*INDEX('06_intensity'!$C$43:$BB$43,1,25)</f>
        <v>8.3226775409718024E-4</v>
      </c>
      <c r="E29" s="8">
        <f>'05_shares'!E29*INDEX('06_intensity'!$C$43:$BB$43,1,25)</f>
        <v>5.7966719013435187E-3</v>
      </c>
      <c r="F29" s="8">
        <f>'05_shares'!F29*INDEX('06_intensity'!$C$43:$BB$43,1,25)</f>
        <v>1.7910791433202477E-3</v>
      </c>
      <c r="G29" s="8">
        <f>'05_shares'!G29*INDEX('06_intensity'!$C$43:$BB$43,1,25)</f>
        <v>1.9200563098908632E-2</v>
      </c>
      <c r="H29" s="8">
        <f>'05_shares'!H29*INDEX('06_intensity'!$C$43:$BB$43,1,25)</f>
        <v>6.4731936429780691E-4</v>
      </c>
      <c r="I29" s="8">
        <f>'05_shares'!I29*INDEX('06_intensity'!$C$43:$BB$43,1,25)</f>
        <v>5.3196997381767131E-3</v>
      </c>
      <c r="J29" s="8">
        <f>'05_shares'!J29*INDEX('06_intensity'!$C$43:$BB$43,1,25)</f>
        <v>4.4825649211900761E-3</v>
      </c>
      <c r="K29" s="8">
        <f>'05_shares'!K29*INDEX('06_intensity'!$C$43:$BB$43,1,25)</f>
        <v>0.3046489345026836</v>
      </c>
      <c r="L29" s="8">
        <f>'05_shares'!L29*INDEX('06_intensity'!$C$43:$BB$43,1,25)</f>
        <v>0.14507254354605059</v>
      </c>
      <c r="M29" s="8">
        <f>'05_shares'!M29*INDEX('06_intensity'!$C$43:$BB$43,1,25)</f>
        <v>1.1250605234011462</v>
      </c>
      <c r="N29" s="8">
        <f>'05_shares'!N29*INDEX('06_intensity'!$C$43:$BB$43,1,25)</f>
        <v>0.12643169267942952</v>
      </c>
      <c r="O29" s="8">
        <f>'05_shares'!O29*INDEX('06_intensity'!$C$43:$BB$43,1,25)</f>
        <v>1.3676446719374715E-3</v>
      </c>
      <c r="P29" s="8">
        <f>'05_shares'!P29*INDEX('06_intensity'!$C$43:$BB$43,1,25)</f>
        <v>0.18952829597835261</v>
      </c>
      <c r="Q29" s="8">
        <f>'05_shares'!Q29*INDEX('06_intensity'!$C$43:$BB$43,1,25)</f>
        <v>0.11591396977531254</v>
      </c>
      <c r="R29" s="8">
        <f>'05_shares'!R29*INDEX('06_intensity'!$C$43:$BB$43,1,25)</f>
        <v>5.1590866628246261E-4</v>
      </c>
      <c r="S29" s="8">
        <f>'05_shares'!S29*INDEX('06_intensity'!$C$43:$BB$43,1,25)</f>
        <v>6.4245230140834973E-4</v>
      </c>
      <c r="T29" s="8">
        <f>'05_shares'!T29*INDEX('06_intensity'!$C$43:$BB$43,1,25)</f>
        <v>1.0999562130173258E-3</v>
      </c>
      <c r="U29" s="8">
        <f>'05_shares'!U29*INDEX('06_intensity'!$C$43:$BB$43,1,25)</f>
        <v>7.0572411897129317E-3</v>
      </c>
      <c r="V29" s="8">
        <f>'05_shares'!V29*INDEX('06_intensity'!$C$43:$BB$43,1,25)</f>
        <v>3.285267450383606E-3</v>
      </c>
      <c r="W29" s="8">
        <f>'05_shares'!W29*INDEX('06_intensity'!$C$43:$BB$43,1,25)</f>
        <v>2.6544960999099539E-2</v>
      </c>
      <c r="X29" s="8">
        <f>'05_shares'!X29*INDEX('06_intensity'!$C$43:$BB$43,1,25)</f>
        <v>4.6908752128588443E-2</v>
      </c>
      <c r="Y29" s="8">
        <f>'05_shares'!Y29*INDEX('06_intensity'!$C$43:$BB$43,1,25)</f>
        <v>4.3608883489536458E-3</v>
      </c>
      <c r="Z29" s="8">
        <f>'05_shares'!Z29*INDEX('06_intensity'!$C$43:$BB$43,1,25)</f>
        <v>6.4780607058675258E-3</v>
      </c>
      <c r="AA29" s="8">
        <f>'05_shares'!AA29*INDEX('06_intensity'!$C$43:$BB$43,1,25)</f>
        <v>2.4627338220653402E-3</v>
      </c>
      <c r="AB29" s="8">
        <f>'05_shares'!AB29*INDEX('06_intensity'!$C$43:$BB$43,1,25)</f>
        <v>1.2435345682563131E-2</v>
      </c>
      <c r="AC29" s="8">
        <f>'05_shares'!AC29*INDEX('06_intensity'!$C$43:$BB$43,1,25)</f>
        <v>3.7768408022187828E-3</v>
      </c>
      <c r="AD29" s="8">
        <f>'05_shares'!AD29*INDEX('06_intensity'!$C$43:$BB$43,1,25)</f>
        <v>3.5042852804091797E-4</v>
      </c>
      <c r="AE29" s="8">
        <f>'05_shares'!AE29*INDEX('06_intensity'!$C$43:$BB$43,1,25)</f>
        <v>1.8689521495515629E-3</v>
      </c>
      <c r="AF29" s="8">
        <f>'05_shares'!AF29*INDEX('06_intensity'!$C$43:$BB$43,1,25)</f>
        <v>1.3238411059323567E-3</v>
      </c>
      <c r="AG29" s="8">
        <f>'05_shares'!AG29*INDEX('06_intensity'!$C$43:$BB$43,1,25)</f>
        <v>1.0415514583438396E-3</v>
      </c>
      <c r="AH29" s="8">
        <f>'05_shares'!AH29*INDEX('06_intensity'!$C$43:$BB$43,1,25)</f>
        <v>1.2411010368115847E-3</v>
      </c>
      <c r="AI29" s="8">
        <f>'05_shares'!AI29*INDEX('06_intensity'!$C$43:$BB$43,1,25)</f>
        <v>3.6892336702085532E-3</v>
      </c>
    </row>
    <row r="30" spans="1:35" x14ac:dyDescent="0.2">
      <c r="A30" s="12" t="s">
        <v>1394</v>
      </c>
      <c r="B30" s="8">
        <f>'05_shares'!B30*INDEX('06_intensity'!$C$43:$BB$43,1,26)</f>
        <v>6.0721604502416399E-2</v>
      </c>
      <c r="C30" s="8">
        <f>'05_shares'!C30*INDEX('06_intensity'!$C$43:$BB$43,1,26)</f>
        <v>0.14204160058463053</v>
      </c>
      <c r="D30" s="8">
        <f>'05_shares'!D30*INDEX('06_intensity'!$C$43:$BB$43,1,26)</f>
        <v>4.1566437380386075E-2</v>
      </c>
      <c r="E30" s="8">
        <f>'05_shares'!E30*INDEX('06_intensity'!$C$43:$BB$43,1,26)</f>
        <v>2.2863506805067609E-2</v>
      </c>
      <c r="F30" s="8">
        <f>'05_shares'!F30*INDEX('06_intensity'!$C$43:$BB$43,1,26)</f>
        <v>1.5674911958204248E-2</v>
      </c>
      <c r="G30" s="8">
        <f>'05_shares'!G30*INDEX('06_intensity'!$C$43:$BB$43,1,26)</f>
        <v>3.5333438019183427E-2</v>
      </c>
      <c r="H30" s="8">
        <f>'05_shares'!H30*INDEX('06_intensity'!$C$43:$BB$43,1,26)</f>
        <v>1.0279533331346187E-2</v>
      </c>
      <c r="I30" s="8">
        <f>'05_shares'!I30*INDEX('06_intensity'!$C$43:$BB$43,1,26)</f>
        <v>4.7504499863298369E-2</v>
      </c>
      <c r="J30" s="8">
        <f>'05_shares'!J30*INDEX('06_intensity'!$C$43:$BB$43,1,26)</f>
        <v>3.0830735010617485E-3</v>
      </c>
      <c r="K30" s="8">
        <f>'05_shares'!K30*INDEX('06_intensity'!$C$43:$BB$43,1,26)</f>
        <v>1.4896278599517735E-2</v>
      </c>
      <c r="L30" s="8">
        <f>'05_shares'!L30*INDEX('06_intensity'!$C$43:$BB$43,1,26)</f>
        <v>5.0752738016202704E-2</v>
      </c>
      <c r="M30" s="8">
        <f>'05_shares'!M30*INDEX('06_intensity'!$C$43:$BB$43,1,26)</f>
        <v>0.579079066835265</v>
      </c>
      <c r="N30" s="8">
        <f>'05_shares'!N30*INDEX('06_intensity'!$C$43:$BB$43,1,26)</f>
        <v>1.1301941851168948</v>
      </c>
      <c r="O30" s="8">
        <f>'05_shares'!O30*INDEX('06_intensity'!$C$43:$BB$43,1,26)</f>
        <v>7.8929041122207083E-2</v>
      </c>
      <c r="P30" s="8">
        <f>'05_shares'!P30*INDEX('06_intensity'!$C$43:$BB$43,1,26)</f>
        <v>0.68427322009215497</v>
      </c>
      <c r="Q30" s="8">
        <f>'05_shares'!Q30*INDEX('06_intensity'!$C$43:$BB$43,1,26)</f>
        <v>0.14562016804122008</v>
      </c>
      <c r="R30" s="8">
        <f>'05_shares'!R30*INDEX('06_intensity'!$C$43:$BB$43,1,26)</f>
        <v>3.8758638299061982E-2</v>
      </c>
      <c r="S30" s="8">
        <f>'05_shares'!S30*INDEX('06_intensity'!$C$43:$BB$43,1,26)</f>
        <v>3.6536780482608042E-2</v>
      </c>
      <c r="T30" s="8">
        <f>'05_shares'!T30*INDEX('06_intensity'!$C$43:$BB$43,1,26)</f>
        <v>3.2140254750226617E-2</v>
      </c>
      <c r="U30" s="8">
        <f>'05_shares'!U30*INDEX('06_intensity'!$C$43:$BB$43,1,26)</f>
        <v>2.9328523177191992E-2</v>
      </c>
      <c r="V30" s="8">
        <f>'05_shares'!V30*INDEX('06_intensity'!$C$43:$BB$43,1,26)</f>
        <v>1.1140749015953997E-2</v>
      </c>
      <c r="W30" s="8">
        <f>'05_shares'!W30*INDEX('06_intensity'!$C$43:$BB$43,1,26)</f>
        <v>1.7153528841366512E-2</v>
      </c>
      <c r="X30" s="8">
        <f>'05_shares'!X30*INDEX('06_intensity'!$C$43:$BB$43,1,26)</f>
        <v>2.1152872910983604E-2</v>
      </c>
      <c r="Y30" s="8">
        <f>'05_shares'!Y30*INDEX('06_intensity'!$C$43:$BB$43,1,26)</f>
        <v>1.7617562863209992E-3</v>
      </c>
      <c r="Z30" s="8">
        <f>'05_shares'!Z30*INDEX('06_intensity'!$C$43:$BB$43,1,26)</f>
        <v>1.5639519532809405E-2</v>
      </c>
      <c r="AA30" s="8">
        <f>'05_shares'!AA30*INDEX('06_intensity'!$C$43:$BB$43,1,26)</f>
        <v>1.57221018587307E-2</v>
      </c>
      <c r="AB30" s="8">
        <f>'05_shares'!AB30*INDEX('06_intensity'!$C$43:$BB$43,1,26)</f>
        <v>9.2279850479483408E-2</v>
      </c>
      <c r="AC30" s="8">
        <f>'05_shares'!AC30*INDEX('06_intensity'!$C$43:$BB$43,1,26)</f>
        <v>2.8325737791004814E-2</v>
      </c>
      <c r="AD30" s="8">
        <f>'05_shares'!AD30*INDEX('06_intensity'!$C$43:$BB$43,1,26)</f>
        <v>1.6614777477022814E-2</v>
      </c>
      <c r="AE30" s="8">
        <f>'05_shares'!AE30*INDEX('06_intensity'!$C$43:$BB$43,1,26)</f>
        <v>5.8554801569909998E-3</v>
      </c>
      <c r="AF30" s="8">
        <f>'05_shares'!AF30*INDEX('06_intensity'!$C$43:$BB$43,1,26)</f>
        <v>9.6739296079233431E-3</v>
      </c>
      <c r="AG30" s="8">
        <f>'05_shares'!AG30*INDEX('06_intensity'!$C$43:$BB$43,1,26)</f>
        <v>5.4229060688318247E-3</v>
      </c>
      <c r="AH30" s="8">
        <f>'05_shares'!AH30*INDEX('06_intensity'!$C$43:$BB$43,1,26)</f>
        <v>5.5448133118585017E-3</v>
      </c>
      <c r="AI30" s="8">
        <f>'05_shares'!AI30*INDEX('06_intensity'!$C$43:$BB$43,1,26)</f>
        <v>6.0245773005441301E-3</v>
      </c>
    </row>
    <row r="31" spans="1:35" x14ac:dyDescent="0.2">
      <c r="A31" s="12" t="s">
        <v>1395</v>
      </c>
      <c r="B31" s="8">
        <f>'05_shares'!B31*INDEX('06_intensity'!$C$43:$BB$43,1,27)</f>
        <v>5.8016736064685638E-2</v>
      </c>
      <c r="C31" s="8">
        <f>'05_shares'!C31*INDEX('06_intensity'!$C$43:$BB$43,1,27)</f>
        <v>0.21010388546916586</v>
      </c>
      <c r="D31" s="8">
        <f>'05_shares'!D31*INDEX('06_intensity'!$C$43:$BB$43,1,27)</f>
        <v>5.9066394771891566E-2</v>
      </c>
      <c r="E31" s="8">
        <f>'05_shares'!E31*INDEX('06_intensity'!$C$43:$BB$43,1,27)</f>
        <v>5.7517098520055619E-2</v>
      </c>
      <c r="F31" s="8">
        <f>'05_shares'!F31*INDEX('06_intensity'!$C$43:$BB$43,1,27)</f>
        <v>2.9151121616522824E-2</v>
      </c>
      <c r="G31" s="8">
        <f>'05_shares'!G31*INDEX('06_intensity'!$C$43:$BB$43,1,27)</f>
        <v>7.1141668539588462E-2</v>
      </c>
      <c r="H31" s="8">
        <f>'05_shares'!H31*INDEX('06_intensity'!$C$43:$BB$43,1,27)</f>
        <v>1.9007219870084809E-2</v>
      </c>
      <c r="I31" s="8">
        <f>'05_shares'!I31*INDEX('06_intensity'!$C$43:$BB$43,1,27)</f>
        <v>7.6864407811275154E-2</v>
      </c>
      <c r="J31" s="8">
        <f>'05_shares'!J31*INDEX('06_intensity'!$C$43:$BB$43,1,27)</f>
        <v>1.1852746121769255E-2</v>
      </c>
      <c r="K31" s="8">
        <f>'05_shares'!K31*INDEX('06_intensity'!$C$43:$BB$43,1,27)</f>
        <v>0.10383643795163848</v>
      </c>
      <c r="L31" s="8">
        <f>'05_shares'!L31*INDEX('06_intensity'!$C$43:$BB$43,1,27)</f>
        <v>0.20307117213088621</v>
      </c>
      <c r="M31" s="8">
        <f>'05_shares'!M31*INDEX('06_intensity'!$C$43:$BB$43,1,27)</f>
        <v>1.0628844069167152</v>
      </c>
      <c r="N31" s="8">
        <f>'05_shares'!N31*INDEX('06_intensity'!$C$43:$BB$43,1,27)</f>
        <v>1.152017225697813</v>
      </c>
      <c r="O31" s="8">
        <f>'05_shares'!O31*INDEX('06_intensity'!$C$43:$BB$43,1,27)</f>
        <v>0.12432577591629805</v>
      </c>
      <c r="P31" s="8">
        <f>'05_shares'!P31*INDEX('06_intensity'!$C$43:$BB$43,1,27)</f>
        <v>0.8870329843810929</v>
      </c>
      <c r="Q31" s="8">
        <f>'05_shares'!Q31*INDEX('06_intensity'!$C$43:$BB$43,1,27)</f>
        <v>0.20116919055342908</v>
      </c>
      <c r="R31" s="8">
        <f>'05_shares'!R31*INDEX('06_intensity'!$C$43:$BB$43,1,27)</f>
        <v>0.51311096379571342</v>
      </c>
      <c r="S31" s="8">
        <f>'05_shares'!S31*INDEX('06_intensity'!$C$43:$BB$43,1,27)</f>
        <v>8.0055370281181149E-2</v>
      </c>
      <c r="T31" s="8">
        <f>'05_shares'!T31*INDEX('06_intensity'!$C$43:$BB$43,1,27)</f>
        <v>4.2036731906182706E-2</v>
      </c>
      <c r="U31" s="8">
        <f>'05_shares'!U31*INDEX('06_intensity'!$C$43:$BB$43,1,27)</f>
        <v>3.2900502518662375E-2</v>
      </c>
      <c r="V31" s="8">
        <f>'05_shares'!V31*INDEX('06_intensity'!$C$43:$BB$43,1,27)</f>
        <v>1.0106114032978604E-2</v>
      </c>
      <c r="W31" s="8">
        <f>'05_shares'!W31*INDEX('06_intensity'!$C$43:$BB$43,1,27)</f>
        <v>5.4351327859122563E-2</v>
      </c>
      <c r="X31" s="8">
        <f>'05_shares'!X31*INDEX('06_intensity'!$C$43:$BB$43,1,27)</f>
        <v>6.9470611877716651E-2</v>
      </c>
      <c r="Y31" s="8">
        <f>'05_shares'!Y31*INDEX('06_intensity'!$C$43:$BB$43,1,27)</f>
        <v>1.2184438273246325E-2</v>
      </c>
      <c r="Z31" s="8">
        <f>'05_shares'!Z31*INDEX('06_intensity'!$C$43:$BB$43,1,27)</f>
        <v>1.9456473796768944E-2</v>
      </c>
      <c r="AA31" s="8">
        <f>'05_shares'!AA31*INDEX('06_intensity'!$C$43:$BB$43,1,27)</f>
        <v>1.5644113372197038E-2</v>
      </c>
      <c r="AB31" s="8">
        <f>'05_shares'!AB31*INDEX('06_intensity'!$C$43:$BB$43,1,27)</f>
        <v>6.186268556788814E-2</v>
      </c>
      <c r="AC31" s="8">
        <f>'05_shares'!AC31*INDEX('06_intensity'!$C$43:$BB$43,1,27)</f>
        <v>1.3796714047514621E-2</v>
      </c>
      <c r="AD31" s="8">
        <f>'05_shares'!AD31*INDEX('06_intensity'!$C$43:$BB$43,1,27)</f>
        <v>1.3297076502884602E-2</v>
      </c>
      <c r="AE31" s="8">
        <f>'05_shares'!AE31*INDEX('06_intensity'!$C$43:$BB$43,1,27)</f>
        <v>1.1634417110670424E-2</v>
      </c>
      <c r="AF31" s="8">
        <f>'05_shares'!AF31*INDEX('06_intensity'!$C$43:$BB$43,1,27)</f>
        <v>1.7567088123798286E-2</v>
      </c>
      <c r="AG31" s="8">
        <f>'05_shares'!AG31*INDEX('06_intensity'!$C$43:$BB$43,1,27)</f>
        <v>7.3350150459549728E-3</v>
      </c>
      <c r="AH31" s="8">
        <f>'05_shares'!AH31*INDEX('06_intensity'!$C$43:$BB$43,1,27)</f>
        <v>1.0202682634041548E-3</v>
      </c>
      <c r="AI31" s="8">
        <f>'05_shares'!AI31*INDEX('06_intensity'!$C$43:$BB$43,1,27)</f>
        <v>3.2245515485365881E-3</v>
      </c>
    </row>
    <row r="32" spans="1:35" x14ac:dyDescent="0.2">
      <c r="A32" s="12" t="s">
        <v>1396</v>
      </c>
      <c r="B32" s="8">
        <f>'05_shares'!B32*INDEX('06_intensity'!$C$43:$BB$43,1,28)</f>
        <v>8.7555726052274185E-2</v>
      </c>
      <c r="C32" s="8">
        <f>'05_shares'!C32*INDEX('06_intensity'!$C$43:$BB$43,1,28)</f>
        <v>0.39018298921976929</v>
      </c>
      <c r="D32" s="8">
        <f>'05_shares'!D32*INDEX('06_intensity'!$C$43:$BB$43,1,28)</f>
        <v>0.14505531112338371</v>
      </c>
      <c r="E32" s="8">
        <f>'05_shares'!E32*INDEX('06_intensity'!$C$43:$BB$43,1,28)</f>
        <v>0.15597192836654258</v>
      </c>
      <c r="F32" s="8">
        <f>'05_shares'!F32*INDEX('06_intensity'!$C$43:$BB$43,1,28)</f>
        <v>5.9565438426957766E-2</v>
      </c>
      <c r="G32" s="8">
        <f>'05_shares'!G32*INDEX('06_intensity'!$C$43:$BB$43,1,28)</f>
        <v>0.2304844234269906</v>
      </c>
      <c r="H32" s="8">
        <f>'05_shares'!H32*INDEX('06_intensity'!$C$43:$BB$43,1,28)</f>
        <v>4.4841169900470761E-2</v>
      </c>
      <c r="I32" s="8">
        <f>'05_shares'!I32*INDEX('06_intensity'!$C$43:$BB$43,1,28)</f>
        <v>9.6406489939584825E-2</v>
      </c>
      <c r="J32" s="8">
        <f>'05_shares'!J32*INDEX('06_intensity'!$C$43:$BB$43,1,28)</f>
        <v>4.8648821183798902E-2</v>
      </c>
      <c r="K32" s="8">
        <f>'05_shares'!K32*INDEX('06_intensity'!$C$43:$BB$43,1,28)</f>
        <v>9.8553357152525167E-2</v>
      </c>
      <c r="L32" s="8">
        <f>'05_shares'!L32*INDEX('06_intensity'!$C$43:$BB$43,1,28)</f>
        <v>0.108518061574852</v>
      </c>
      <c r="M32" s="8">
        <f>'05_shares'!M32*INDEX('06_intensity'!$C$43:$BB$43,1,28)</f>
        <v>0.74931741770899574</v>
      </c>
      <c r="N32" s="8">
        <f>'05_shares'!N32*INDEX('06_intensity'!$C$43:$BB$43,1,28)</f>
        <v>0.42169737962859155</v>
      </c>
      <c r="O32" s="8">
        <f>'05_shares'!O32*INDEX('06_intensity'!$C$43:$BB$43,1,28)</f>
        <v>5.8248963249211333E-2</v>
      </c>
      <c r="P32" s="8">
        <f>'05_shares'!P32*INDEX('06_intensity'!$C$43:$BB$43,1,28)</f>
        <v>0.69368115135100417</v>
      </c>
      <c r="Q32" s="8">
        <f>'05_shares'!Q32*INDEX('06_intensity'!$C$43:$BB$43,1,28)</f>
        <v>0.24593781666730641</v>
      </c>
      <c r="R32" s="8">
        <f>'05_shares'!R32*INDEX('06_intensity'!$C$43:$BB$43,1,28)</f>
        <v>6.9084566635278122E-2</v>
      </c>
      <c r="S32" s="8">
        <f>'05_shares'!S32*INDEX('06_intensity'!$C$43:$BB$43,1,28)</f>
        <v>0.12488286070745379</v>
      </c>
      <c r="T32" s="8">
        <f>'05_shares'!T32*INDEX('06_intensity'!$C$43:$BB$43,1,28)</f>
        <v>0.13209309398864963</v>
      </c>
      <c r="U32" s="8">
        <f>'05_shares'!U32*INDEX('06_intensity'!$C$43:$BB$43,1,28)</f>
        <v>0.11005732485960167</v>
      </c>
      <c r="V32" s="8">
        <f>'05_shares'!V32*INDEX('06_intensity'!$C$43:$BB$43,1,28)</f>
        <v>4.4193059043734058E-2</v>
      </c>
      <c r="W32" s="8">
        <f>'05_shares'!W32*INDEX('06_intensity'!$C$43:$BB$43,1,28)</f>
        <v>9.6143194904035542E-2</v>
      </c>
      <c r="X32" s="8">
        <f>'05_shares'!X32*INDEX('06_intensity'!$C$43:$BB$43,1,28)</f>
        <v>0.13101966038217946</v>
      </c>
      <c r="Y32" s="8">
        <f>'05_shares'!Y32*INDEX('06_intensity'!$C$43:$BB$43,1,28)</f>
        <v>2.4891507591544064E-2</v>
      </c>
      <c r="Z32" s="8">
        <f>'05_shares'!Z32*INDEX('06_intensity'!$C$43:$BB$43,1,28)</f>
        <v>4.6785502470680869E-2</v>
      </c>
      <c r="AA32" s="8">
        <f>'05_shares'!AA32*INDEX('06_intensity'!$C$43:$BB$43,1,28)</f>
        <v>0.10971301596696029</v>
      </c>
      <c r="AB32" s="8">
        <f>'05_shares'!AB32*INDEX('06_intensity'!$C$43:$BB$43,1,28)</f>
        <v>0.2606215782652474</v>
      </c>
      <c r="AC32" s="8">
        <f>'05_shares'!AC32*INDEX('06_intensity'!$C$43:$BB$43,1,28)</f>
        <v>9.1910220870973933E-2</v>
      </c>
      <c r="AD32" s="8">
        <f>'05_shares'!AD32*INDEX('06_intensity'!$C$43:$BB$43,1,28)</f>
        <v>1.9281297987916963E-2</v>
      </c>
      <c r="AE32" s="8">
        <f>'05_shares'!AE32*INDEX('06_intensity'!$C$43:$BB$43,1,28)</f>
        <v>2.5296576877004505E-2</v>
      </c>
      <c r="AF32" s="8">
        <f>'05_shares'!AF32*INDEX('06_intensity'!$C$43:$BB$43,1,28)</f>
        <v>7.9474593807338428E-2</v>
      </c>
      <c r="AG32" s="8">
        <f>'05_shares'!AG32*INDEX('06_intensity'!$C$43:$BB$43,1,28)</f>
        <v>4.4091791722368948E-2</v>
      </c>
      <c r="AH32" s="8">
        <f>'05_shares'!AH32*INDEX('06_intensity'!$C$43:$BB$43,1,28)</f>
        <v>8.6279757803073825E-3</v>
      </c>
      <c r="AI32" s="8">
        <f>'05_shares'!AI32*INDEX('06_intensity'!$C$43:$BB$43,1,28)</f>
        <v>2.0496505844298286E-2</v>
      </c>
    </row>
    <row r="33" spans="1:35" x14ac:dyDescent="0.2">
      <c r="A33" s="12" t="s">
        <v>1397</v>
      </c>
      <c r="B33" s="8">
        <f>'05_shares'!B33*INDEX('06_intensity'!$C$43:$BB$43,1,29)</f>
        <v>0.15429120289788814</v>
      </c>
      <c r="C33" s="8">
        <f>'05_shares'!C33*INDEX('06_intensity'!$C$43:$BB$43,1,29)</f>
        <v>0.12778719258414048</v>
      </c>
      <c r="D33" s="8">
        <f>'05_shares'!D33*INDEX('06_intensity'!$C$43:$BB$43,1,29)</f>
        <v>0.11169547203650797</v>
      </c>
      <c r="E33" s="8">
        <f>'05_shares'!E33*INDEX('06_intensity'!$C$43:$BB$43,1,29)</f>
        <v>6.389359629207024E-2</v>
      </c>
      <c r="F33" s="8">
        <f>'05_shares'!F33*INDEX('06_intensity'!$C$43:$BB$43,1,29)</f>
        <v>0</v>
      </c>
      <c r="G33" s="8">
        <f>'05_shares'!G33*INDEX('06_intensity'!$C$43:$BB$43,1,29)</f>
        <v>0.2029213289646305</v>
      </c>
      <c r="H33" s="8">
        <f>'05_shares'!H33*INDEX('06_intensity'!$C$43:$BB$43,1,29)</f>
        <v>9.584039443810536E-3</v>
      </c>
      <c r="I33" s="8">
        <f>'05_shares'!I33*INDEX('06_intensity'!$C$43:$BB$43,1,29)</f>
        <v>0.22504744471762519</v>
      </c>
      <c r="J33" s="8">
        <f>'05_shares'!J33*INDEX('06_intensity'!$C$43:$BB$43,1,29)</f>
        <v>6.732491905590364E-2</v>
      </c>
      <c r="K33" s="8">
        <f>'05_shares'!K33*INDEX('06_intensity'!$C$43:$BB$43,1,29)</f>
        <v>5.892409435824255E-2</v>
      </c>
      <c r="L33" s="8">
        <f>'05_shares'!L33*INDEX('06_intensity'!$C$43:$BB$43,1,29)</f>
        <v>0.22954366075299307</v>
      </c>
      <c r="M33" s="8">
        <f>'05_shares'!M33*INDEX('06_intensity'!$C$43:$BB$43,1,29)</f>
        <v>0.56604993455789632</v>
      </c>
      <c r="N33" s="8">
        <f>'05_shares'!N33*INDEX('06_intensity'!$C$43:$BB$43,1,29)</f>
        <v>1.0063241416001063</v>
      </c>
      <c r="O33" s="8">
        <f>'05_shares'!O33*INDEX('06_intensity'!$C$43:$BB$43,1,29)</f>
        <v>4.6263696574443451E-2</v>
      </c>
      <c r="P33" s="8">
        <f>'05_shares'!P33*INDEX('06_intensity'!$C$43:$BB$43,1,29)</f>
        <v>0.56427511243867212</v>
      </c>
      <c r="Q33" s="8">
        <f>'05_shares'!Q33*INDEX('06_intensity'!$C$43:$BB$43,1,29)</f>
        <v>6.1645488274386283E-2</v>
      </c>
      <c r="R33" s="8">
        <f>'05_shares'!R33*INDEX('06_intensity'!$C$43:$BB$43,1,29)</f>
        <v>0</v>
      </c>
      <c r="S33" s="8">
        <f>'05_shares'!S33*INDEX('06_intensity'!$C$43:$BB$43,1,29)</f>
        <v>1.1713825986879544E-2</v>
      </c>
      <c r="T33" s="8">
        <f>'05_shares'!T33*INDEX('06_intensity'!$C$43:$BB$43,1,29)</f>
        <v>7.868378061893834E-2</v>
      </c>
      <c r="U33" s="8">
        <f>'05_shares'!U33*INDEX('06_intensity'!$C$43:$BB$43,1,29)</f>
        <v>5.206144883057575E-2</v>
      </c>
      <c r="V33" s="8">
        <f>'05_shares'!V33*INDEX('06_intensity'!$C$43:$BB$43,1,29)</f>
        <v>0.16363859939246878</v>
      </c>
      <c r="W33" s="8">
        <f>'05_shares'!W33*INDEX('06_intensity'!$C$43:$BB$43,1,29)</f>
        <v>2.5675759991443042E-2</v>
      </c>
      <c r="X33" s="8">
        <f>'05_shares'!X33*INDEX('06_intensity'!$C$43:$BB$43,1,29)</f>
        <v>0.37247600208784654</v>
      </c>
      <c r="Y33" s="8">
        <f>'05_shares'!Y33*INDEX('06_intensity'!$C$43:$BB$43,1,29)</f>
        <v>2.3072687549914254E-2</v>
      </c>
      <c r="Z33" s="8">
        <f>'05_shares'!Z33*INDEX('06_intensity'!$C$43:$BB$43,1,29)</f>
        <v>6.7679883479748473E-2</v>
      </c>
      <c r="AA33" s="8">
        <f>'05_shares'!AA33*INDEX('06_intensity'!$C$43:$BB$43,1,29)</f>
        <v>0.15535609616942264</v>
      </c>
      <c r="AB33" s="8">
        <f>'05_shares'!AB33*INDEX('06_intensity'!$C$43:$BB$43,1,29)</f>
        <v>0.19333728952081997</v>
      </c>
      <c r="AC33" s="8">
        <f>'05_shares'!AC33*INDEX('06_intensity'!$C$43:$BB$43,1,29)</f>
        <v>0.20280300749001554</v>
      </c>
      <c r="AD33" s="8">
        <f>'05_shares'!AD33*INDEX('06_intensity'!$C$43:$BB$43,1,29)</f>
        <v>7.1939456565886489E-2</v>
      </c>
      <c r="AE33" s="8">
        <f>'05_shares'!AE33*INDEX('06_intensity'!$C$43:$BB$43,1,29)</f>
        <v>0.16777985100399184</v>
      </c>
      <c r="AF33" s="8">
        <f>'05_shares'!AF33*INDEX('06_intensity'!$C$43:$BB$43,1,29)</f>
        <v>8.3653282552766023E-2</v>
      </c>
      <c r="AG33" s="8">
        <f>'05_shares'!AG33*INDEX('06_intensity'!$C$43:$BB$43,1,29)</f>
        <v>9.4065572318881199E-2</v>
      </c>
      <c r="AH33" s="8">
        <f>'05_shares'!AH33*INDEX('06_intensity'!$C$43:$BB$43,1,29)</f>
        <v>3.4313227638334016E-3</v>
      </c>
      <c r="AI33" s="8">
        <f>'05_shares'!AI33*INDEX('06_intensity'!$C$43:$BB$43,1,29)</f>
        <v>5.6084378967483875E-2</v>
      </c>
    </row>
    <row r="34" spans="1:35" x14ac:dyDescent="0.2">
      <c r="A34" s="12" t="s">
        <v>1398</v>
      </c>
      <c r="B34" s="8">
        <f>'05_shares'!B34*INDEX('06_intensity'!$C$43:$BB$43,1,30)</f>
        <v>2.4784234024127882E-2</v>
      </c>
      <c r="C34" s="8">
        <f>'05_shares'!C34*INDEX('06_intensity'!$C$43:$BB$43,1,30)</f>
        <v>0.13058073260790704</v>
      </c>
      <c r="D34" s="8">
        <f>'05_shares'!D34*INDEX('06_intensity'!$C$43:$BB$43,1,30)</f>
        <v>3.6782421648334028E-2</v>
      </c>
      <c r="E34" s="8">
        <f>'05_shares'!E34*INDEX('06_intensity'!$C$43:$BB$43,1,30)</f>
        <v>5.4844378058769148E-2</v>
      </c>
      <c r="F34" s="8">
        <f>'05_shares'!F34*INDEX('06_intensity'!$C$43:$BB$43,1,30)</f>
        <v>1.9861096599755809E-2</v>
      </c>
      <c r="G34" s="8">
        <f>'05_shares'!G34*INDEX('06_intensity'!$C$43:$BB$43,1,30)</f>
        <v>5.8799350718953404E-2</v>
      </c>
      <c r="H34" s="8">
        <f>'05_shares'!H34*INDEX('06_intensity'!$C$43:$BB$43,1,30)</f>
        <v>1.2731170664299756E-2</v>
      </c>
      <c r="I34" s="8">
        <f>'05_shares'!I34*INDEX('06_intensity'!$C$43:$BB$43,1,30)</f>
        <v>4.9721336168917003E-2</v>
      </c>
      <c r="J34" s="8">
        <f>'05_shares'!J34*INDEX('06_intensity'!$C$43:$BB$43,1,30)</f>
        <v>5.9344188379771646E-3</v>
      </c>
      <c r="K34" s="8">
        <f>'05_shares'!K34*INDEX('06_intensity'!$C$43:$BB$43,1,30)</f>
        <v>2.3333946725546936E-2</v>
      </c>
      <c r="L34" s="8">
        <f>'05_shares'!L34*INDEX('06_intensity'!$C$43:$BB$43,1,30)</f>
        <v>9.7533780677269352E-2</v>
      </c>
      <c r="M34" s="8">
        <f>'05_shares'!M34*INDEX('06_intensity'!$C$43:$BB$43,1,30)</f>
        <v>0.41501734911824451</v>
      </c>
      <c r="N34" s="8">
        <f>'05_shares'!N34*INDEX('06_intensity'!$C$43:$BB$43,1,30)</f>
        <v>0.34398854874639234</v>
      </c>
      <c r="O34" s="8">
        <f>'05_shares'!O34*INDEX('06_intensity'!$C$43:$BB$43,1,30)</f>
        <v>3.2670661172086966E-2</v>
      </c>
      <c r="P34" s="8">
        <f>'05_shares'!P34*INDEX('06_intensity'!$C$43:$BB$43,1,30)</f>
        <v>0.47967664446254527</v>
      </c>
      <c r="Q34" s="8">
        <f>'05_shares'!Q34*INDEX('06_intensity'!$C$43:$BB$43,1,30)</f>
        <v>0.13259153634891252</v>
      </c>
      <c r="R34" s="8">
        <f>'05_shares'!R34*INDEX('06_intensity'!$C$43:$BB$43,1,30)</f>
        <v>2.7880793391368279E-2</v>
      </c>
      <c r="S34" s="8">
        <f>'05_shares'!S34*INDEX('06_intensity'!$C$43:$BB$43,1,30)</f>
        <v>3.4614830091265744E-2</v>
      </c>
      <c r="T34" s="8">
        <f>'05_shares'!T34*INDEX('06_intensity'!$C$43:$BB$43,1,30)</f>
        <v>3.0797046770136449E-2</v>
      </c>
      <c r="U34" s="8">
        <f>'05_shares'!U34*INDEX('06_intensity'!$C$43:$BB$43,1,30)</f>
        <v>2.4839109759749865E-2</v>
      </c>
      <c r="V34" s="8">
        <f>'05_shares'!V34*INDEX('06_intensity'!$C$43:$BB$43,1,30)</f>
        <v>1.8308897220734043E-2</v>
      </c>
      <c r="W34" s="8">
        <f>'05_shares'!W34*INDEX('06_intensity'!$C$43:$BB$43,1,30)</f>
        <v>2.2412818306177959E-2</v>
      </c>
      <c r="X34" s="8">
        <f>'05_shares'!X34*INDEX('06_intensity'!$C$43:$BB$43,1,30)</f>
        <v>2.9237008000311541E-2</v>
      </c>
      <c r="Y34" s="8">
        <f>'05_shares'!Y34*INDEX('06_intensity'!$C$43:$BB$43,1,30)</f>
        <v>7.4121440043691004E-3</v>
      </c>
      <c r="Z34" s="8">
        <f>'05_shares'!Z34*INDEX('06_intensity'!$C$43:$BB$43,1,30)</f>
        <v>1.0826198699136676E-2</v>
      </c>
      <c r="AA34" s="8">
        <f>'05_shares'!AA34*INDEX('06_intensity'!$C$43:$BB$43,1,30)</f>
        <v>1.0904592607168081E-2</v>
      </c>
      <c r="AB34" s="8">
        <f>'05_shares'!AB34*INDEX('06_intensity'!$C$43:$BB$43,1,30)</f>
        <v>6.7320768521966848E-2</v>
      </c>
      <c r="AC34" s="8">
        <f>'05_shares'!AC34*INDEX('06_intensity'!$C$43:$BB$43,1,30)</f>
        <v>2.5685763966489007E-2</v>
      </c>
      <c r="AD34" s="8">
        <f>'05_shares'!AD34*INDEX('06_intensity'!$C$43:$BB$43,1,30)</f>
        <v>5.6639598552688259E-3</v>
      </c>
      <c r="AE34" s="8">
        <f>'05_shares'!AE34*INDEX('06_intensity'!$C$43:$BB$43,1,30)</f>
        <v>6.992736596401098E-3</v>
      </c>
      <c r="AF34" s="8">
        <f>'05_shares'!AF34*INDEX('06_intensity'!$C$43:$BB$43,1,30)</f>
        <v>8.6154904926511282E-3</v>
      </c>
      <c r="AG34" s="8">
        <f>'05_shares'!AG34*INDEX('06_intensity'!$C$43:$BB$43,1,30)</f>
        <v>8.0510543548250307E-3</v>
      </c>
      <c r="AH34" s="8">
        <f>'05_shares'!AH34*INDEX('06_intensity'!$C$43:$BB$43,1,30)</f>
        <v>2.5086050570048783E-4</v>
      </c>
      <c r="AI34" s="8">
        <f>'05_shares'!AI34*INDEX('06_intensity'!$C$43:$BB$43,1,30)</f>
        <v>4.4645330623883693E-3</v>
      </c>
    </row>
    <row r="35" spans="1:35" x14ac:dyDescent="0.2">
      <c r="A35" s="12" t="s">
        <v>1399</v>
      </c>
      <c r="B35" s="8">
        <f>'05_shares'!B35*INDEX('06_intensity'!$C$43:$BB$43,1,31)</f>
        <v>6.6572098053290868E-2</v>
      </c>
      <c r="C35" s="8">
        <f>'05_shares'!C35*INDEX('06_intensity'!$C$43:$BB$43,1,31)</f>
        <v>0.17103404915461354</v>
      </c>
      <c r="D35" s="8">
        <f>'05_shares'!D35*INDEX('06_intensity'!$C$43:$BB$43,1,31)</f>
        <v>5.3970586115124508E-2</v>
      </c>
      <c r="E35" s="8">
        <f>'05_shares'!E35*INDEX('06_intensity'!$C$43:$BB$43,1,31)</f>
        <v>6.2439299951889064E-2</v>
      </c>
      <c r="F35" s="8">
        <f>'05_shares'!F35*INDEX('06_intensity'!$C$43:$BB$43,1,31)</f>
        <v>3.2743814957564732E-2</v>
      </c>
      <c r="G35" s="8">
        <f>'05_shares'!G35*INDEX('06_intensity'!$C$43:$BB$43,1,31)</f>
        <v>8.2040347310848166E-2</v>
      </c>
      <c r="H35" s="8">
        <f>'05_shares'!H35*INDEX('06_intensity'!$C$43:$BB$43,1,31)</f>
        <v>1.8808927722857086E-2</v>
      </c>
      <c r="I35" s="8">
        <f>'05_shares'!I35*INDEX('06_intensity'!$C$43:$BB$43,1,31)</f>
        <v>9.3813342811451303E-2</v>
      </c>
      <c r="J35" s="8">
        <f>'05_shares'!J35*INDEX('06_intensity'!$C$43:$BB$43,1,31)</f>
        <v>1.3198732572895449E-2</v>
      </c>
      <c r="K35" s="8">
        <f>'05_shares'!K35*INDEX('06_intensity'!$C$43:$BB$43,1,31)</f>
        <v>2.7957831247144023E-2</v>
      </c>
      <c r="L35" s="8">
        <f>'05_shares'!L35*INDEX('06_intensity'!$C$43:$BB$43,1,31)</f>
        <v>8.5815439212943032E-2</v>
      </c>
      <c r="M35" s="8">
        <f>'05_shares'!M35*INDEX('06_intensity'!$C$43:$BB$43,1,31)</f>
        <v>0.6915177027728614</v>
      </c>
      <c r="N35" s="8">
        <f>'05_shares'!N35*INDEX('06_intensity'!$C$43:$BB$43,1,31)</f>
        <v>0.66991404860662263</v>
      </c>
      <c r="O35" s="8">
        <f>'05_shares'!O35*INDEX('06_intensity'!$C$43:$BB$43,1,31)</f>
        <v>5.2668911258565571E-2</v>
      </c>
      <c r="P35" s="8">
        <f>'05_shares'!P35*INDEX('06_intensity'!$C$43:$BB$43,1,31)</f>
        <v>0.57100006586566654</v>
      </c>
      <c r="Q35" s="8">
        <f>'05_shares'!Q35*INDEX('06_intensity'!$C$43:$BB$43,1,31)</f>
        <v>0.14676912348368426</v>
      </c>
      <c r="R35" s="8">
        <f>'05_shares'!R35*INDEX('06_intensity'!$C$43:$BB$43,1,31)</f>
        <v>7.4735548393929152E-2</v>
      </c>
      <c r="S35" s="8">
        <f>'05_shares'!S35*INDEX('06_intensity'!$C$43:$BB$43,1,31)</f>
        <v>7.2539999402559438E-2</v>
      </c>
      <c r="T35" s="8">
        <f>'05_shares'!T35*INDEX('06_intensity'!$C$43:$BB$43,1,31)</f>
        <v>4.4105878828767126E-2</v>
      </c>
      <c r="U35" s="8">
        <f>'05_shares'!U35*INDEX('06_intensity'!$C$43:$BB$43,1,31)</f>
        <v>6.7108265988794699E-2</v>
      </c>
      <c r="V35" s="8">
        <f>'05_shares'!V35*INDEX('06_intensity'!$C$43:$BB$43,1,31)</f>
        <v>2.6171257067892199E-2</v>
      </c>
      <c r="W35" s="8">
        <f>'05_shares'!W35*INDEX('06_intensity'!$C$43:$BB$43,1,31)</f>
        <v>3.8559867285683322E-2</v>
      </c>
      <c r="X35" s="8">
        <f>'05_shares'!X35*INDEX('06_intensity'!$C$43:$BB$43,1,31)</f>
        <v>5.191044887972876E-2</v>
      </c>
      <c r="Y35" s="8">
        <f>'05_shares'!Y35*INDEX('06_intensity'!$C$43:$BB$43,1,31)</f>
        <v>6.4520179450483139E-3</v>
      </c>
      <c r="Z35" s="8">
        <f>'05_shares'!Z35*INDEX('06_intensity'!$C$43:$BB$43,1,31)</f>
        <v>3.002109939019235E-2</v>
      </c>
      <c r="AA35" s="8">
        <f>'05_shares'!AA35*INDEX('06_intensity'!$C$43:$BB$43,1,31)</f>
        <v>3.1959522590594161E-2</v>
      </c>
      <c r="AB35" s="8">
        <f>'05_shares'!AB35*INDEX('06_intensity'!$C$43:$BB$43,1,31)</f>
        <v>0.12052233326867361</v>
      </c>
      <c r="AC35" s="8">
        <f>'05_shares'!AC35*INDEX('06_intensity'!$C$43:$BB$43,1,31)</f>
        <v>3.3503842790227827E-2</v>
      </c>
      <c r="AD35" s="8">
        <f>'05_shares'!AD35*INDEX('06_intensity'!$C$43:$BB$43,1,31)</f>
        <v>1.3166640769456533E-2</v>
      </c>
      <c r="AE35" s="8">
        <f>'05_shares'!AE35*INDEX('06_intensity'!$C$43:$BB$43,1,31)</f>
        <v>1.3410068839444405E-2</v>
      </c>
      <c r="AF35" s="8">
        <f>'05_shares'!AF35*INDEX('06_intensity'!$C$43:$BB$43,1,31)</f>
        <v>1.2979177673758478E-2</v>
      </c>
      <c r="AG35" s="8">
        <f>'05_shares'!AG35*INDEX('06_intensity'!$C$43:$BB$43,1,31)</f>
        <v>1.0006380857636495E-2</v>
      </c>
      <c r="AH35" s="8">
        <f>'05_shares'!AH35*INDEX('06_intensity'!$C$43:$BB$43,1,31)</f>
        <v>6.3667007115155872E-3</v>
      </c>
      <c r="AI35" s="8">
        <f>'05_shares'!AI35*INDEX('06_intensity'!$C$43:$BB$43,1,31)</f>
        <v>8.9328708962591145E-3</v>
      </c>
    </row>
    <row r="36" spans="1:35" x14ac:dyDescent="0.2">
      <c r="A36" s="12" t="s">
        <v>1400</v>
      </c>
      <c r="B36" s="8">
        <f>'05_shares'!B36*INDEX('06_intensity'!$C$43:$BB$43,1,32)</f>
        <v>1.6147825858861511E-2</v>
      </c>
      <c r="C36" s="8">
        <f>'05_shares'!C36*INDEX('06_intensity'!$C$43:$BB$43,1,32)</f>
        <v>6.4416614311888387E-2</v>
      </c>
      <c r="D36" s="8">
        <f>'05_shares'!D36*INDEX('06_intensity'!$C$43:$BB$43,1,32)</f>
        <v>5.0375976005941188E-2</v>
      </c>
      <c r="E36" s="8">
        <f>'05_shares'!E36*INDEX('06_intensity'!$C$43:$BB$43,1,32)</f>
        <v>6.0933749910957465E-2</v>
      </c>
      <c r="F36" s="8">
        <f>'05_shares'!F36*INDEX('06_intensity'!$C$43:$BB$43,1,32)</f>
        <v>1.3614833567275391E-2</v>
      </c>
      <c r="G36" s="8">
        <f>'05_shares'!G36*INDEX('06_intensity'!$C$43:$BB$43,1,32)</f>
        <v>7.5487537517355305E-2</v>
      </c>
      <c r="H36" s="8">
        <f>'05_shares'!H36*INDEX('06_intensity'!$C$43:$BB$43,1,32)</f>
        <v>1.6813828142425102E-2</v>
      </c>
      <c r="I36" s="8">
        <f>'05_shares'!I36*INDEX('06_intensity'!$C$43:$BB$43,1,32)</f>
        <v>4.3355656852967585E-2</v>
      </c>
      <c r="J36" s="8">
        <f>'05_shares'!J36*INDEX('06_intensity'!$C$43:$BB$43,1,32)</f>
        <v>2.0995449037586673E-2</v>
      </c>
      <c r="K36" s="8">
        <f>'05_shares'!K36*INDEX('06_intensity'!$C$43:$BB$43,1,32)</f>
        <v>2.294978360738803E-2</v>
      </c>
      <c r="L36" s="8">
        <f>'05_shares'!L36*INDEX('06_intensity'!$C$43:$BB$43,1,32)</f>
        <v>0.3558635808274051</v>
      </c>
      <c r="M36" s="8">
        <f>'05_shares'!M36*INDEX('06_intensity'!$C$43:$BB$43,1,32)</f>
        <v>0.44829596332985372</v>
      </c>
      <c r="N36" s="8">
        <f>'05_shares'!N36*INDEX('06_intensity'!$C$43:$BB$43,1,32)</f>
        <v>0.28656658912612443</v>
      </c>
      <c r="O36" s="8">
        <f>'05_shares'!O36*INDEX('06_intensity'!$C$43:$BB$43,1,32)</f>
        <v>4.6150682829890197E-2</v>
      </c>
      <c r="P36" s="8">
        <f>'05_shares'!P36*INDEX('06_intensity'!$C$43:$BB$43,1,32)</f>
        <v>0.17341170934164798</v>
      </c>
      <c r="Q36" s="8">
        <f>'05_shares'!Q36*INDEX('06_intensity'!$C$43:$BB$43,1,32)</f>
        <v>0.19804287576327853</v>
      </c>
      <c r="R36" s="8">
        <f>'05_shares'!R36*INDEX('06_intensity'!$C$43:$BB$43,1,32)</f>
        <v>5.6937736209575915E-2</v>
      </c>
      <c r="S36" s="8">
        <f>'05_shares'!S36*INDEX('06_intensity'!$C$43:$BB$43,1,32)</f>
        <v>2.6629173272321317E-2</v>
      </c>
      <c r="T36" s="8">
        <f>'05_shares'!T36*INDEX('06_intensity'!$C$43:$BB$43,1,32)</f>
        <v>5.568215813400521E-3</v>
      </c>
      <c r="U36" s="8">
        <f>'05_shares'!U36*INDEX('06_intensity'!$C$43:$BB$43,1,32)</f>
        <v>3.4915988571087971E-2</v>
      </c>
      <c r="V36" s="8">
        <f>'05_shares'!V36*INDEX('06_intensity'!$C$43:$BB$43,1,32)</f>
        <v>1.1289284609913996E-2</v>
      </c>
      <c r="W36" s="8">
        <f>'05_shares'!W36*INDEX('06_intensity'!$C$43:$BB$43,1,32)</f>
        <v>2.3921491857177533E-2</v>
      </c>
      <c r="X36" s="8">
        <f>'05_shares'!X36*INDEX('06_intensity'!$C$43:$BB$43,1,32)</f>
        <v>4.770104880146446E-2</v>
      </c>
      <c r="Y36" s="8">
        <f>'05_shares'!Y36*INDEX('06_intensity'!$C$43:$BB$43,1,32)</f>
        <v>1.2119057946812901E-3</v>
      </c>
      <c r="Z36" s="8">
        <f>'05_shares'!Z36*INDEX('06_intensity'!$C$43:$BB$43,1,32)</f>
        <v>2.3692212382508099E-2</v>
      </c>
      <c r="AA36" s="8">
        <f>'05_shares'!AA36*INDEX('06_intensity'!$C$43:$BB$43,1,32)</f>
        <v>1.0241149868568018E-2</v>
      </c>
      <c r="AB36" s="8">
        <f>'05_shares'!AB36*INDEX('06_intensity'!$C$43:$BB$43,1,32)</f>
        <v>6.7790298010595759E-2</v>
      </c>
      <c r="AC36" s="8">
        <f>'05_shares'!AC36*INDEX('06_intensity'!$C$43:$BB$43,1,32)</f>
        <v>1.3145356547714171E-2</v>
      </c>
      <c r="AD36" s="8">
        <f>'05_shares'!AD36*INDEX('06_intensity'!$C$43:$BB$43,1,32)</f>
        <v>7.5225503832018802E-3</v>
      </c>
      <c r="AE36" s="8">
        <f>'05_shares'!AE36*INDEX('06_intensity'!$C$43:$BB$43,1,32)</f>
        <v>9.9245258321197516E-3</v>
      </c>
      <c r="AF36" s="8">
        <f>'05_shares'!AF36*INDEX('06_intensity'!$C$43:$BB$43,1,32)</f>
        <v>3.602963173376808E-3</v>
      </c>
      <c r="AG36" s="8">
        <f>'05_shares'!AG36*INDEX('06_intensity'!$C$43:$BB$43,1,32)</f>
        <v>1.3101684266824756E-3</v>
      </c>
      <c r="AH36" s="8">
        <f>'05_shares'!AH36*INDEX('06_intensity'!$C$43:$BB$43,1,32)</f>
        <v>0</v>
      </c>
      <c r="AI36" s="8">
        <f>'05_shares'!AI36*INDEX('06_intensity'!$C$43:$BB$43,1,32)</f>
        <v>1.8451538675778197E-3</v>
      </c>
    </row>
    <row r="37" spans="1:35" x14ac:dyDescent="0.2">
      <c r="A37" s="12" t="s">
        <v>1401</v>
      </c>
      <c r="B37" s="8">
        <f>'05_shares'!B37*INDEX('06_intensity'!$C$43:$BB$43,1,33)</f>
        <v>3.8391736497296047E-2</v>
      </c>
      <c r="C37" s="8">
        <f>'05_shares'!C37*INDEX('06_intensity'!$C$43:$BB$43,1,33)</f>
        <v>0.15120025459322894</v>
      </c>
      <c r="D37" s="8">
        <f>'05_shares'!D37*INDEX('06_intensity'!$C$43:$BB$43,1,33)</f>
        <v>5.4440750861639214E-2</v>
      </c>
      <c r="E37" s="8">
        <f>'05_shares'!E37*INDEX('06_intensity'!$C$43:$BB$43,1,33)</f>
        <v>5.7046950156371512E-2</v>
      </c>
      <c r="F37" s="8">
        <f>'05_shares'!F37*INDEX('06_intensity'!$C$43:$BB$43,1,33)</f>
        <v>3.039159698572113E-2</v>
      </c>
      <c r="G37" s="8">
        <f>'05_shares'!G37*INDEX('06_intensity'!$C$43:$BB$43,1,33)</f>
        <v>7.5362604544118209E-2</v>
      </c>
      <c r="H37" s="8">
        <f>'05_shares'!H37*INDEX('06_intensity'!$C$43:$BB$43,1,33)</f>
        <v>1.7074540932998161E-2</v>
      </c>
      <c r="I37" s="8">
        <f>'05_shares'!I37*INDEX('06_intensity'!$C$43:$BB$43,1,33)</f>
        <v>9.3266638850543565E-2</v>
      </c>
      <c r="J37" s="8">
        <f>'05_shares'!J37*INDEX('06_intensity'!$C$43:$BB$43,1,33)</f>
        <v>1.3690462068139161E-2</v>
      </c>
      <c r="K37" s="8">
        <f>'05_shares'!K37*INDEX('06_intensity'!$C$43:$BB$43,1,33)</f>
        <v>1.6831459770915692E-2</v>
      </c>
      <c r="L37" s="8">
        <f>'05_shares'!L37*INDEX('06_intensity'!$C$43:$BB$43,1,33)</f>
        <v>0.11641066527973644</v>
      </c>
      <c r="M37" s="8">
        <f>'05_shares'!M37*INDEX('06_intensity'!$C$43:$BB$43,1,33)</f>
        <v>0.54282931732316586</v>
      </c>
      <c r="N37" s="8">
        <f>'05_shares'!N37*INDEX('06_intensity'!$C$43:$BB$43,1,33)</f>
        <v>0.3695500672803867</v>
      </c>
      <c r="O37" s="8">
        <f>'05_shares'!O37*INDEX('06_intensity'!$C$43:$BB$43,1,33)</f>
        <v>4.2324906823420952E-2</v>
      </c>
      <c r="P37" s="8">
        <f>'05_shares'!P37*INDEX('06_intensity'!$C$43:$BB$43,1,33)</f>
        <v>0.42539937868555894</v>
      </c>
      <c r="Q37" s="8">
        <f>'05_shares'!Q37*INDEX('06_intensity'!$C$43:$BB$43,1,33)</f>
        <v>0.11689017736386073</v>
      </c>
      <c r="R37" s="8">
        <f>'05_shares'!R37*INDEX('06_intensity'!$C$43:$BB$43,1,33)</f>
        <v>5.3419790129430038E-2</v>
      </c>
      <c r="S37" s="8">
        <f>'05_shares'!S37*INDEX('06_intensity'!$C$43:$BB$43,1,33)</f>
        <v>5.8265432943519074E-2</v>
      </c>
      <c r="T37" s="8">
        <f>'05_shares'!T37*INDEX('06_intensity'!$C$43:$BB$43,1,33)</f>
        <v>3.5997650082665936E-2</v>
      </c>
      <c r="U37" s="8">
        <f>'05_shares'!U37*INDEX('06_intensity'!$C$43:$BB$43,1,33)</f>
        <v>4.0489539829518577E-2</v>
      </c>
      <c r="V37" s="8">
        <f>'05_shares'!V37*INDEX('06_intensity'!$C$43:$BB$43,1,33)</f>
        <v>2.2112445164381489E-2</v>
      </c>
      <c r="W37" s="8">
        <f>'05_shares'!W37*INDEX('06_intensity'!$C$43:$BB$43,1,33)</f>
        <v>4.1034958770165025E-2</v>
      </c>
      <c r="X37" s="8">
        <f>'05_shares'!X37*INDEX('06_intensity'!$C$43:$BB$43,1,33)</f>
        <v>3.7919668711724704E-2</v>
      </c>
      <c r="Y37" s="8">
        <f>'05_shares'!Y37*INDEX('06_intensity'!$C$43:$BB$43,1,33)</f>
        <v>6.3489940925296456E-3</v>
      </c>
      <c r="Z37" s="8">
        <f>'05_shares'!Z37*INDEX('06_intensity'!$C$43:$BB$43,1,33)</f>
        <v>2.3383732842598006E-2</v>
      </c>
      <c r="AA37" s="8">
        <f>'05_shares'!AA37*INDEX('06_intensity'!$C$43:$BB$43,1,33)</f>
        <v>2.4101065451160687E-2</v>
      </c>
      <c r="AB37" s="8">
        <f>'05_shares'!AB37*INDEX('06_intensity'!$C$43:$BB$43,1,33)</f>
        <v>8.4763264756788928E-2</v>
      </c>
      <c r="AC37" s="8">
        <f>'05_shares'!AC37*INDEX('06_intensity'!$C$43:$BB$43,1,33)</f>
        <v>2.6550338932396698E-2</v>
      </c>
      <c r="AD37" s="8">
        <f>'05_shares'!AD37*INDEX('06_intensity'!$C$43:$BB$43,1,33)</f>
        <v>1.1109970417743075E-2</v>
      </c>
      <c r="AE37" s="8">
        <f>'05_shares'!AE37*INDEX('06_intensity'!$C$43:$BB$43,1,33)</f>
        <v>1.1942937797161643E-2</v>
      </c>
      <c r="AF37" s="8">
        <f>'05_shares'!AF37*INDEX('06_intensity'!$C$43:$BB$43,1,33)</f>
        <v>1.4483825779256014E-2</v>
      </c>
      <c r="AG37" s="8">
        <f>'05_shares'!AG37*INDEX('06_intensity'!$C$43:$BB$43,1,33)</f>
        <v>7.9092198119148326E-3</v>
      </c>
      <c r="AH37" s="8">
        <f>'05_shares'!AH37*INDEX('06_intensity'!$C$43:$BB$43,1,33)</f>
        <v>4.4047418251260545E-3</v>
      </c>
      <c r="AI37" s="8">
        <f>'05_shares'!AI37*INDEX('06_intensity'!$C$43:$BB$43,1,33)</f>
        <v>8.0307107642990476E-3</v>
      </c>
    </row>
    <row r="38" spans="1:35" x14ac:dyDescent="0.2">
      <c r="A38" s="12" t="s">
        <v>1402</v>
      </c>
      <c r="B38" s="8">
        <f>'05_shares'!B38*INDEX('06_intensity'!$C$43:$BB$43,1,34)</f>
        <v>3.9438433316439203E-2</v>
      </c>
      <c r="C38" s="8">
        <f>'05_shares'!C38*INDEX('06_intensity'!$C$43:$BB$43,1,34)</f>
        <v>5.7454454677883605E-2</v>
      </c>
      <c r="D38" s="8">
        <f>'05_shares'!D38*INDEX('06_intensity'!$C$43:$BB$43,1,34)</f>
        <v>4.8446443997161408E-2</v>
      </c>
      <c r="E38" s="8">
        <f>'05_shares'!E38*INDEX('06_intensity'!$C$43:$BB$43,1,34)</f>
        <v>3.368541809177629E-2</v>
      </c>
      <c r="F38" s="8">
        <f>'05_shares'!F38*INDEX('06_intensity'!$C$43:$BB$43,1,34)</f>
        <v>1.9227182461373435E-2</v>
      </c>
      <c r="G38" s="8">
        <f>'05_shares'!G38*INDEX('06_intensity'!$C$43:$BB$43,1,34)</f>
        <v>0.17047092481501169</v>
      </c>
      <c r="H38" s="8">
        <f>'05_shares'!H38*INDEX('06_intensity'!$C$43:$BB$43,1,34)</f>
        <v>0</v>
      </c>
      <c r="I38" s="8">
        <f>'05_shares'!I38*INDEX('06_intensity'!$C$43:$BB$43,1,34)</f>
        <v>4.9581907528344876E-2</v>
      </c>
      <c r="J38" s="8">
        <f>'05_shares'!J38*INDEX('06_intensity'!$C$43:$BB$43,1,34)</f>
        <v>0</v>
      </c>
      <c r="K38" s="8">
        <f>'05_shares'!K38*INDEX('06_intensity'!$C$43:$BB$43,1,34)</f>
        <v>0</v>
      </c>
      <c r="L38" s="8">
        <f>'05_shares'!L38*INDEX('06_intensity'!$C$43:$BB$43,1,34)</f>
        <v>4.965760509709044E-2</v>
      </c>
      <c r="M38" s="8">
        <f>'05_shares'!M38*INDEX('06_intensity'!$C$43:$BB$43,1,34)</f>
        <v>0.58786731887805543</v>
      </c>
      <c r="N38" s="8">
        <f>'05_shares'!N38*INDEX('06_intensity'!$C$43:$BB$43,1,34)</f>
        <v>0.27016462285292042</v>
      </c>
      <c r="O38" s="8">
        <f>'05_shares'!O38*INDEX('06_intensity'!$C$43:$BB$43,1,34)</f>
        <v>0.16888127587135482</v>
      </c>
      <c r="P38" s="8">
        <f>'05_shares'!P38*INDEX('06_intensity'!$C$43:$BB$43,1,34)</f>
        <v>0.46084679852299787</v>
      </c>
      <c r="Q38" s="8">
        <f>'05_shares'!Q38*INDEX('06_intensity'!$C$43:$BB$43,1,34)</f>
        <v>0.14677758579764993</v>
      </c>
      <c r="R38" s="8">
        <f>'05_shares'!R38*INDEX('06_intensity'!$C$43:$BB$43,1,34)</f>
        <v>0</v>
      </c>
      <c r="S38" s="8">
        <f>'05_shares'!S38*INDEX('06_intensity'!$C$43:$BB$43,1,34)</f>
        <v>9.8406839369234098E-3</v>
      </c>
      <c r="T38" s="8">
        <f>'05_shares'!T38*INDEX('06_intensity'!$C$43:$BB$43,1,34)</f>
        <v>0</v>
      </c>
      <c r="U38" s="8">
        <f>'05_shares'!U38*INDEX('06_intensity'!$C$43:$BB$43,1,34)</f>
        <v>1.3928352649183904E-2</v>
      </c>
      <c r="V38" s="8">
        <f>'05_shares'!V38*INDEX('06_intensity'!$C$43:$BB$43,1,34)</f>
        <v>0</v>
      </c>
      <c r="W38" s="8">
        <f>'05_shares'!W38*INDEX('06_intensity'!$C$43:$BB$43,1,34)</f>
        <v>7.7892798239186059E-2</v>
      </c>
      <c r="X38" s="8">
        <f>'05_shares'!X38*INDEX('06_intensity'!$C$43:$BB$43,1,34)</f>
        <v>0</v>
      </c>
      <c r="Y38" s="8">
        <f>'05_shares'!Y38*INDEX('06_intensity'!$C$43:$BB$43,1,34)</f>
        <v>0</v>
      </c>
      <c r="Z38" s="8">
        <f>'05_shares'!Z38*INDEX('06_intensity'!$C$43:$BB$43,1,34)</f>
        <v>0</v>
      </c>
      <c r="AA38" s="8">
        <f>'05_shares'!AA38*INDEX('06_intensity'!$C$43:$BB$43,1,34)</f>
        <v>2.4677407411054092E-2</v>
      </c>
      <c r="AB38" s="8">
        <f>'05_shares'!AB38*INDEX('06_intensity'!$C$43:$BB$43,1,34)</f>
        <v>0</v>
      </c>
      <c r="AC38" s="8">
        <f>'05_shares'!AC38*INDEX('06_intensity'!$C$43:$BB$43,1,34)</f>
        <v>0</v>
      </c>
      <c r="AD38" s="8">
        <f>'05_shares'!AD38*INDEX('06_intensity'!$C$43:$BB$43,1,34)</f>
        <v>0</v>
      </c>
      <c r="AE38" s="8">
        <f>'05_shares'!AE38*INDEX('06_intensity'!$C$43:$BB$43,1,34)</f>
        <v>1.9605670305101255E-2</v>
      </c>
      <c r="AF38" s="8">
        <f>'05_shares'!AF38*INDEX('06_intensity'!$C$43:$BB$43,1,34)</f>
        <v>5.2231322434439639E-3</v>
      </c>
      <c r="AG38" s="8">
        <f>'05_shares'!AG38*INDEX('06_intensity'!$C$43:$BB$43,1,34)</f>
        <v>9.4621960931955875E-3</v>
      </c>
      <c r="AH38" s="8">
        <f>'05_shares'!AH38*INDEX('06_intensity'!$C$43:$BB$43,1,34)</f>
        <v>0</v>
      </c>
      <c r="AI38" s="8">
        <f>'05_shares'!AI38*INDEX('06_intensity'!$C$43:$BB$43,1,34)</f>
        <v>0</v>
      </c>
    </row>
    <row r="39" spans="1:35" x14ac:dyDescent="0.2">
      <c r="A39" s="12" t="s">
        <v>1403</v>
      </c>
      <c r="B39" s="8">
        <f>'05_shares'!B39*INDEX('06_intensity'!$C$43:$BB$43,1,35)</f>
        <v>4.1568399251597811E-2</v>
      </c>
      <c r="C39" s="8">
        <f>'05_shares'!C39*INDEX('06_intensity'!$C$43:$BB$43,1,35)</f>
        <v>0.16439742277466807</v>
      </c>
      <c r="D39" s="8">
        <f>'05_shares'!D39*INDEX('06_intensity'!$C$43:$BB$43,1,35)</f>
        <v>5.8625756181194845E-2</v>
      </c>
      <c r="E39" s="8">
        <f>'05_shares'!E39*INDEX('06_intensity'!$C$43:$BB$43,1,35)</f>
        <v>4.6459505205550346E-2</v>
      </c>
      <c r="F39" s="8">
        <f>'05_shares'!F39*INDEX('06_intensity'!$C$43:$BB$43,1,35)</f>
        <v>2.671579084940361E-2</v>
      </c>
      <c r="G39" s="8">
        <f>'05_shares'!G39*INDEX('06_intensity'!$C$43:$BB$43,1,35)</f>
        <v>9.6772631773900414E-2</v>
      </c>
      <c r="H39" s="8">
        <f>'05_shares'!H39*INDEX('06_intensity'!$C$43:$BB$43,1,35)</f>
        <v>1.5225442705739356E-2</v>
      </c>
      <c r="I39" s="8">
        <f>'05_shares'!I39*INDEX('06_intensity'!$C$43:$BB$43,1,35)</f>
        <v>0.10205157542389488</v>
      </c>
      <c r="J39" s="8">
        <f>'05_shares'!J39*INDEX('06_intensity'!$C$43:$BB$43,1,35)</f>
        <v>4.7995852597221321E-3</v>
      </c>
      <c r="K39" s="8">
        <f>'05_shares'!K39*INDEX('06_intensity'!$C$43:$BB$43,1,35)</f>
        <v>2.0650669432577502E-2</v>
      </c>
      <c r="L39" s="8">
        <f>'05_shares'!L39*INDEX('06_intensity'!$C$43:$BB$43,1,35)</f>
        <v>0.27084349186087181</v>
      </c>
      <c r="M39" s="8">
        <f>'05_shares'!M39*INDEX('06_intensity'!$C$43:$BB$43,1,35)</f>
        <v>0.63228121846546714</v>
      </c>
      <c r="N39" s="8">
        <f>'05_shares'!N39*INDEX('06_intensity'!$C$43:$BB$43,1,35)</f>
        <v>0.32300428621520116</v>
      </c>
      <c r="O39" s="8">
        <f>'05_shares'!O39*INDEX('06_intensity'!$C$43:$BB$43,1,35)</f>
        <v>3.8221892555189492E-2</v>
      </c>
      <c r="P39" s="8">
        <f>'05_shares'!P39*INDEX('06_intensity'!$C$43:$BB$43,1,35)</f>
        <v>0.33150745891275518</v>
      </c>
      <c r="Q39" s="8">
        <f>'05_shares'!Q39*INDEX('06_intensity'!$C$43:$BB$43,1,35)</f>
        <v>0.16680621744002719</v>
      </c>
      <c r="R39" s="8">
        <f>'05_shares'!R39*INDEX('06_intensity'!$C$43:$BB$43,1,35)</f>
        <v>4.3388310761458063E-2</v>
      </c>
      <c r="S39" s="8">
        <f>'05_shares'!S39*INDEX('06_intensity'!$C$43:$BB$43,1,35)</f>
        <v>4.1380856845387975E-2</v>
      </c>
      <c r="T39" s="8">
        <f>'05_shares'!T39*INDEX('06_intensity'!$C$43:$BB$43,1,35)</f>
        <v>8.1061079151265161E-2</v>
      </c>
      <c r="U39" s="8">
        <f>'05_shares'!U39*INDEX('06_intensity'!$C$43:$BB$43,1,35)</f>
        <v>3.2787663792853271E-2</v>
      </c>
      <c r="V39" s="8">
        <f>'05_shares'!V39*INDEX('06_intensity'!$C$43:$BB$43,1,35)</f>
        <v>1.7125622365457418E-2</v>
      </c>
      <c r="W39" s="8">
        <f>'05_shares'!W39*INDEX('06_intensity'!$C$43:$BB$43,1,35)</f>
        <v>3.8136373217957806E-2</v>
      </c>
      <c r="X39" s="8">
        <f>'05_shares'!X39*INDEX('06_intensity'!$C$43:$BB$43,1,35)</f>
        <v>5.1013784997950007E-2</v>
      </c>
      <c r="Y39" s="8">
        <f>'05_shares'!Y39*INDEX('06_intensity'!$C$43:$BB$43,1,35)</f>
        <v>3.1904714144417364E-3</v>
      </c>
      <c r="Z39" s="8">
        <f>'05_shares'!Z39*INDEX('06_intensity'!$C$43:$BB$43,1,35)</f>
        <v>5.2836697186309615E-2</v>
      </c>
      <c r="AA39" s="8">
        <f>'05_shares'!AA39*INDEX('06_intensity'!$C$43:$BB$43,1,35)</f>
        <v>1.9730211302899626E-2</v>
      </c>
      <c r="AB39" s="8">
        <f>'05_shares'!AB39*INDEX('06_intensity'!$C$43:$BB$43,1,35)</f>
        <v>0.10523604548133791</v>
      </c>
      <c r="AC39" s="8">
        <f>'05_shares'!AC39*INDEX('06_intensity'!$C$43:$BB$43,1,35)</f>
        <v>2.5942365966194248E-2</v>
      </c>
      <c r="AD39" s="8">
        <f>'05_shares'!AD39*INDEX('06_intensity'!$C$43:$BB$43,1,35)</f>
        <v>2.4932637651160487E-2</v>
      </c>
      <c r="AE39" s="8">
        <f>'05_shares'!AE39*INDEX('06_intensity'!$C$43:$BB$43,1,35)</f>
        <v>1.0654659181593223E-2</v>
      </c>
      <c r="AF39" s="8">
        <f>'05_shares'!AF39*INDEX('06_intensity'!$C$43:$BB$43,1,35)</f>
        <v>3.4343515594770072E-2</v>
      </c>
      <c r="AG39" s="8">
        <f>'05_shares'!AG39*INDEX('06_intensity'!$C$43:$BB$43,1,35)</f>
        <v>1.687131486263688E-2</v>
      </c>
      <c r="AH39" s="8">
        <f>'05_shares'!AH39*INDEX('06_intensity'!$C$43:$BB$43,1,35)</f>
        <v>6.5167235309793944E-3</v>
      </c>
      <c r="AI39" s="8">
        <f>'05_shares'!AI39*INDEX('06_intensity'!$C$43:$BB$43,1,35)</f>
        <v>2.0050533732706027E-2</v>
      </c>
    </row>
    <row r="40" spans="1:35" x14ac:dyDescent="0.2">
      <c r="A40" s="12" t="s">
        <v>1404</v>
      </c>
      <c r="B40" s="8">
        <f>'05_shares'!B40*INDEX('06_intensity'!$C$43:$BB$43,1,36)</f>
        <v>7.2440936002368967E-3</v>
      </c>
      <c r="C40" s="8">
        <f>'05_shares'!C40*INDEX('06_intensity'!$C$43:$BB$43,1,36)</f>
        <v>6.2684439997425623E-2</v>
      </c>
      <c r="D40" s="8">
        <f>'05_shares'!D40*INDEX('06_intensity'!$C$43:$BB$43,1,36)</f>
        <v>6.3647527585896429E-3</v>
      </c>
      <c r="E40" s="8">
        <f>'05_shares'!E40*INDEX('06_intensity'!$C$43:$BB$43,1,36)</f>
        <v>3.2326244273889498E-2</v>
      </c>
      <c r="F40" s="8">
        <f>'05_shares'!F40*INDEX('06_intensity'!$C$43:$BB$43,1,36)</f>
        <v>1.1724544555296711E-2</v>
      </c>
      <c r="G40" s="8">
        <f>'05_shares'!G40*INDEX('06_intensity'!$C$43:$BB$43,1,36)</f>
        <v>1.6204995510356524E-2</v>
      </c>
      <c r="H40" s="8">
        <f>'05_shares'!H40*INDEX('06_intensity'!$C$43:$BB$43,1,36)</f>
        <v>5.8203989042365824E-3</v>
      </c>
      <c r="I40" s="8">
        <f>'05_shares'!I40*INDEX('06_intensity'!$C$43:$BB$43,1,36)</f>
        <v>0</v>
      </c>
      <c r="J40" s="8">
        <f>'05_shares'!J40*INDEX('06_intensity'!$C$43:$BB$43,1,36)</f>
        <v>1.2436391903296869E-2</v>
      </c>
      <c r="K40" s="8">
        <f>'05_shares'!K40*INDEX('06_intensity'!$C$43:$BB$43,1,36)</f>
        <v>0.12260523734967418</v>
      </c>
      <c r="L40" s="8">
        <f>'05_shares'!L40*INDEX('06_intensity'!$C$43:$BB$43,1,36)</f>
        <v>0.22310133353793171</v>
      </c>
      <c r="M40" s="8">
        <f>'05_shares'!M40*INDEX('06_intensity'!$C$43:$BB$43,1,36)</f>
        <v>0.26788490640182394</v>
      </c>
      <c r="N40" s="8">
        <f>'05_shares'!N40*INDEX('06_intensity'!$C$43:$BB$43,1,36)</f>
        <v>0.15449181120274005</v>
      </c>
      <c r="O40" s="8">
        <f>'05_shares'!O40*INDEX('06_intensity'!$C$43:$BB$43,1,36)</f>
        <v>1.034272323270817E-2</v>
      </c>
      <c r="P40" s="8">
        <f>'05_shares'!P40*INDEX('06_intensity'!$C$43:$BB$43,1,36)</f>
        <v>0.23490962484005196</v>
      </c>
      <c r="Q40" s="8">
        <f>'05_shares'!Q40*INDEX('06_intensity'!$C$43:$BB$43,1,36)</f>
        <v>9.0027752835314029E-2</v>
      </c>
      <c r="R40" s="8">
        <f>'05_shares'!R40*INDEX('06_intensity'!$C$43:$BB$43,1,36)</f>
        <v>1.6539982497650717E-3</v>
      </c>
      <c r="S40" s="8">
        <f>'05_shares'!S40*INDEX('06_intensity'!$C$43:$BB$43,1,36)</f>
        <v>3.2075004033418862E-2</v>
      </c>
      <c r="T40" s="8">
        <f>'05_shares'!T40*INDEX('06_intensity'!$C$43:$BB$43,1,36)</f>
        <v>3.7183555589655283E-2</v>
      </c>
      <c r="U40" s="8">
        <f>'05_shares'!U40*INDEX('06_intensity'!$C$43:$BB$43,1,36)</f>
        <v>5.6822167719777279E-2</v>
      </c>
      <c r="V40" s="8">
        <f>'05_shares'!V40*INDEX('06_intensity'!$C$43:$BB$43,1,36)</f>
        <v>8.3746746823547945E-3</v>
      </c>
      <c r="W40" s="8">
        <f>'05_shares'!W40*INDEX('06_intensity'!$C$43:$BB$43,1,36)</f>
        <v>0.13889397960685426</v>
      </c>
      <c r="X40" s="8">
        <f>'05_shares'!X40*INDEX('06_intensity'!$C$43:$BB$43,1,36)</f>
        <v>9.9533008599786726E-2</v>
      </c>
      <c r="Y40" s="8">
        <f>'05_shares'!Y40*INDEX('06_intensity'!$C$43:$BB$43,1,36)</f>
        <v>2.1146053572945855E-2</v>
      </c>
      <c r="Z40" s="8">
        <f>'05_shares'!Z40*INDEX('06_intensity'!$C$43:$BB$43,1,36)</f>
        <v>5.1839236283776173E-2</v>
      </c>
      <c r="AA40" s="8">
        <f>'05_shares'!AA40*INDEX('06_intensity'!$C$43:$BB$43,1,36)</f>
        <v>5.3158247546247046E-2</v>
      </c>
      <c r="AB40" s="8">
        <f>'05_shares'!AB40*INDEX('06_intensity'!$C$43:$BB$43,1,36)</f>
        <v>0.4076372901636196</v>
      </c>
      <c r="AC40" s="8">
        <f>'05_shares'!AC40*INDEX('06_intensity'!$C$43:$BB$43,1,36)</f>
        <v>2.7447996271417835E-2</v>
      </c>
      <c r="AD40" s="8">
        <f>'05_shares'!AD40*INDEX('06_intensity'!$C$43:$BB$43,1,36)</f>
        <v>8.2071811887076979E-3</v>
      </c>
      <c r="AE40" s="8">
        <f>'05_shares'!AE40*INDEX('06_intensity'!$C$43:$BB$43,1,36)</f>
        <v>1.4341630393532584E-2</v>
      </c>
      <c r="AF40" s="8">
        <f>'05_shares'!AF40*INDEX('06_intensity'!$C$43:$BB$43,1,36)</f>
        <v>2.4998403926829057E-2</v>
      </c>
      <c r="AG40" s="8">
        <f>'05_shares'!AG40*INDEX('06_intensity'!$C$43:$BB$43,1,36)</f>
        <v>6.1344492048248864E-3</v>
      </c>
      <c r="AH40" s="8">
        <f>'05_shares'!AH40*INDEX('06_intensity'!$C$43:$BB$43,1,36)</f>
        <v>0</v>
      </c>
      <c r="AI40" s="8">
        <f>'05_shares'!AI40*INDEX('06_intensity'!$C$43:$BB$43,1,36)</f>
        <v>1.5514084849062255E-2</v>
      </c>
    </row>
    <row r="41" spans="1:35" x14ac:dyDescent="0.2">
      <c r="A41" s="12" t="s">
        <v>1405</v>
      </c>
      <c r="B41" s="8">
        <f>'05_shares'!B41*INDEX('06_intensity'!$C$43:$BB$43,1,37)</f>
        <v>6.2340118970520449E-3</v>
      </c>
      <c r="C41" s="8">
        <f>'05_shares'!C41*INDEX('06_intensity'!$C$43:$BB$43,1,37)</f>
        <v>6.9567159311350699E-2</v>
      </c>
      <c r="D41" s="8">
        <f>'05_shares'!D41*INDEX('06_intensity'!$C$43:$BB$43,1,37)</f>
        <v>6.896030859570846E-3</v>
      </c>
      <c r="E41" s="8">
        <f>'05_shares'!E41*INDEX('06_intensity'!$C$43:$BB$43,1,37)</f>
        <v>0.11857495195336751</v>
      </c>
      <c r="F41" s="8">
        <f>'05_shares'!F41*INDEX('06_intensity'!$C$43:$BB$43,1,37)</f>
        <v>4.6966567507583851E-2</v>
      </c>
      <c r="G41" s="8">
        <f>'05_shares'!G41*INDEX('06_intensity'!$C$43:$BB$43,1,37)</f>
        <v>8.2366192586714196E-2</v>
      </c>
      <c r="H41" s="8">
        <f>'05_shares'!H41*INDEX('06_intensity'!$C$43:$BB$43,1,37)</f>
        <v>2.6112970188241608E-3</v>
      </c>
      <c r="I41" s="8">
        <f>'05_shares'!I41*INDEX('06_intensity'!$C$43:$BB$43,1,37)</f>
        <v>6.5264036054978491E-2</v>
      </c>
      <c r="J41" s="8">
        <f>'05_shares'!J41*INDEX('06_intensity'!$C$43:$BB$43,1,37)</f>
        <v>5.7742765064139889E-3</v>
      </c>
      <c r="K41" s="8">
        <f>'05_shares'!K41*INDEX('06_intensity'!$C$43:$BB$43,1,37)</f>
        <v>9.6397316708987685E-2</v>
      </c>
      <c r="L41" s="8">
        <f>'05_shares'!L41*INDEX('06_intensity'!$C$43:$BB$43,1,37)</f>
        <v>7.651835841779811E-2</v>
      </c>
      <c r="M41" s="8">
        <f>'05_shares'!M41*INDEX('06_intensity'!$C$43:$BB$43,1,37)</f>
        <v>0.16028214659205198</v>
      </c>
      <c r="N41" s="8">
        <f>'05_shares'!N41*INDEX('06_intensity'!$C$43:$BB$43,1,37)</f>
        <v>0.12758576560987342</v>
      </c>
      <c r="O41" s="8">
        <f>'05_shares'!O41*INDEX('06_intensity'!$C$43:$BB$43,1,37)</f>
        <v>6.8408626126942795E-3</v>
      </c>
      <c r="P41" s="8">
        <f>'05_shares'!P41*INDEX('06_intensity'!$C$43:$BB$43,1,37)</f>
        <v>0.20338693681827616</v>
      </c>
      <c r="Q41" s="8">
        <f>'05_shares'!Q41*INDEX('06_intensity'!$C$43:$BB$43,1,37)</f>
        <v>3.830515274796286E-2</v>
      </c>
      <c r="R41" s="8">
        <f>'05_shares'!R41*INDEX('06_intensity'!$C$43:$BB$43,1,37)</f>
        <v>0.43430282882795918</v>
      </c>
      <c r="S41" s="8">
        <f>'05_shares'!S41*INDEX('06_intensity'!$C$43:$BB$43,1,37)</f>
        <v>1.9180160497419711E-2</v>
      </c>
      <c r="T41" s="8">
        <f>'05_shares'!T41*INDEX('06_intensity'!$C$43:$BB$43,1,37)</f>
        <v>3.0177031041482023E-2</v>
      </c>
      <c r="U41" s="8">
        <f>'05_shares'!U41*INDEX('06_intensity'!$C$43:$BB$43,1,37)</f>
        <v>0.10016714691221974</v>
      </c>
      <c r="V41" s="8">
        <f>'05_shares'!V41*INDEX('06_intensity'!$C$43:$BB$43,1,37)</f>
        <v>5.7540481492259148E-2</v>
      </c>
      <c r="W41" s="8">
        <f>'05_shares'!W41*INDEX('06_intensity'!$C$43:$BB$43,1,37)</f>
        <v>5.204204622022799E-2</v>
      </c>
      <c r="X41" s="8">
        <f>'05_shares'!X41*INDEX('06_intensity'!$C$43:$BB$43,1,37)</f>
        <v>0.1228596857941142</v>
      </c>
      <c r="Y41" s="8">
        <f>'05_shares'!Y41*INDEX('06_intensity'!$C$43:$BB$43,1,37)</f>
        <v>4.606548614193326E-2</v>
      </c>
      <c r="Z41" s="8">
        <f>'05_shares'!Z41*INDEX('06_intensity'!$C$43:$BB$43,1,37)</f>
        <v>3.2052751435285298E-2</v>
      </c>
      <c r="AA41" s="8">
        <f>'05_shares'!AA41*INDEX('06_intensity'!$C$43:$BB$43,1,37)</f>
        <v>9.1579289815100842E-3</v>
      </c>
      <c r="AB41" s="8">
        <f>'05_shares'!AB41*INDEX('06_intensity'!$C$43:$BB$43,1,37)</f>
        <v>0.11063072440314189</v>
      </c>
      <c r="AC41" s="8">
        <f>'05_shares'!AC41*INDEX('06_intensity'!$C$43:$BB$43,1,37)</f>
        <v>2.318905310378357E-2</v>
      </c>
      <c r="AD41" s="8">
        <f>'05_shares'!AD41*INDEX('06_intensity'!$C$43:$BB$43,1,37)</f>
        <v>3.2733159813429619E-3</v>
      </c>
      <c r="AE41" s="8">
        <f>'05_shares'!AE41*INDEX('06_intensity'!$C$43:$BB$43,1,37)</f>
        <v>7.3557662502089034E-4</v>
      </c>
      <c r="AF41" s="8">
        <f>'05_shares'!AF41*INDEX('06_intensity'!$C$43:$BB$43,1,37)</f>
        <v>4.553219308879311E-2</v>
      </c>
      <c r="AG41" s="8">
        <f>'05_shares'!AG41*INDEX('06_intensity'!$C$43:$BB$43,1,37)</f>
        <v>4.0033757816761953E-2</v>
      </c>
      <c r="AH41" s="8">
        <f>'05_shares'!AH41*INDEX('06_intensity'!$C$43:$BB$43,1,37)</f>
        <v>1.0224515087790376E-2</v>
      </c>
      <c r="AI41" s="8">
        <f>'05_shares'!AI41*INDEX('06_intensity'!$C$43:$BB$43,1,37)</f>
        <v>1.2394466131602002E-2</v>
      </c>
    </row>
    <row r="42" spans="1:35" x14ac:dyDescent="0.2">
      <c r="A42" s="12" t="s">
        <v>1406</v>
      </c>
      <c r="B42" s="8">
        <f>'05_shares'!B42*INDEX('06_intensity'!$C$43:$BB$43,1,38)</f>
        <v>0</v>
      </c>
      <c r="C42" s="8">
        <f>'05_shares'!C42*INDEX('06_intensity'!$C$43:$BB$43,1,38)</f>
        <v>0</v>
      </c>
      <c r="D42" s="8">
        <f>'05_shares'!D42*INDEX('06_intensity'!$C$43:$BB$43,1,38)</f>
        <v>5.4064732878847603E-2</v>
      </c>
      <c r="E42" s="8">
        <f>'05_shares'!E42*INDEX('06_intensity'!$C$43:$BB$43,1,38)</f>
        <v>4.0306857249429714E-2</v>
      </c>
      <c r="F42" s="8">
        <f>'05_shares'!F42*INDEX('06_intensity'!$C$43:$BB$43,1,38)</f>
        <v>0</v>
      </c>
      <c r="G42" s="8">
        <f>'05_shares'!G42*INDEX('06_intensity'!$C$43:$BB$43,1,38)</f>
        <v>0</v>
      </c>
      <c r="H42" s="8">
        <f>'05_shares'!H42*INDEX('06_intensity'!$C$43:$BB$43,1,38)</f>
        <v>0</v>
      </c>
      <c r="I42" s="8">
        <f>'05_shares'!I42*INDEX('06_intensity'!$C$43:$BB$43,1,38)</f>
        <v>0</v>
      </c>
      <c r="J42" s="8">
        <f>'05_shares'!J42*INDEX('06_intensity'!$C$43:$BB$43,1,38)</f>
        <v>0</v>
      </c>
      <c r="K42" s="8">
        <f>'05_shares'!K42*INDEX('06_intensity'!$C$43:$BB$43,1,38)</f>
        <v>3.5026807683545012E-2</v>
      </c>
      <c r="L42" s="8">
        <f>'05_shares'!L42*INDEX('06_intensity'!$C$43:$BB$43,1,38)</f>
        <v>0.24585695584246242</v>
      </c>
      <c r="M42" s="8">
        <f>'05_shares'!M42*INDEX('06_intensity'!$C$43:$BB$43,1,38)</f>
        <v>0.32907351167661708</v>
      </c>
      <c r="N42" s="8">
        <f>'05_shares'!N42*INDEX('06_intensity'!$C$43:$BB$43,1,38)</f>
        <v>4.1719828260018577E-2</v>
      </c>
      <c r="O42" s="8">
        <f>'05_shares'!O42*INDEX('06_intensity'!$C$43:$BB$43,1,38)</f>
        <v>2.0079061729420703E-2</v>
      </c>
      <c r="P42" s="8">
        <f>'05_shares'!P42*INDEX('06_intensity'!$C$43:$BB$43,1,38)</f>
        <v>0.28824608616012831</v>
      </c>
      <c r="Q42" s="8">
        <f>'05_shares'!Q42*INDEX('06_intensity'!$C$43:$BB$43,1,38)</f>
        <v>0.81498680552859815</v>
      </c>
      <c r="R42" s="8">
        <f>'05_shares'!R42*INDEX('06_intensity'!$C$43:$BB$43,1,38)</f>
        <v>0.13616578528359005</v>
      </c>
      <c r="S42" s="8">
        <f>'05_shares'!S42*INDEX('06_intensity'!$C$43:$BB$43,1,38)</f>
        <v>7.9721311755329621E-2</v>
      </c>
      <c r="T42" s="8">
        <f>'05_shares'!T42*INDEX('06_intensity'!$C$43:$BB$43,1,38)</f>
        <v>1.0188264655298655E-2</v>
      </c>
      <c r="U42" s="8">
        <f>'05_shares'!U42*INDEX('06_intensity'!$C$43:$BB$43,1,38)</f>
        <v>7.2210255330620393E-2</v>
      </c>
      <c r="V42" s="8">
        <f>'05_shares'!V42*INDEX('06_intensity'!$C$43:$BB$43,1,38)</f>
        <v>5.8006178329437592E-3</v>
      </c>
      <c r="W42" s="8">
        <f>'05_shares'!W42*INDEX('06_intensity'!$C$43:$BB$43,1,38)</f>
        <v>6.0311552083556264E-2</v>
      </c>
      <c r="X42" s="8">
        <f>'05_shares'!X42*INDEX('06_intensity'!$C$43:$BB$43,1,38)</f>
        <v>0</v>
      </c>
      <c r="Y42" s="8">
        <f>'05_shares'!Y42*INDEX('06_intensity'!$C$43:$BB$43,1,38)</f>
        <v>1.8368623137655238E-2</v>
      </c>
      <c r="Z42" s="8">
        <f>'05_shares'!Z42*INDEX('06_intensity'!$C$43:$BB$43,1,38)</f>
        <v>1.6435083860007318E-2</v>
      </c>
      <c r="AA42" s="8">
        <f>'05_shares'!AA42*INDEX('06_intensity'!$C$43:$BB$43,1,38)</f>
        <v>0</v>
      </c>
      <c r="AB42" s="8">
        <f>'05_shares'!AB42*INDEX('06_intensity'!$C$43:$BB$43,1,38)</f>
        <v>2.4838543028246354E-2</v>
      </c>
      <c r="AC42" s="8">
        <f>'05_shares'!AC42*INDEX('06_intensity'!$C$43:$BB$43,1,38)</f>
        <v>1.1155034294122615E-2</v>
      </c>
      <c r="AD42" s="8">
        <f>'05_shares'!AD42*INDEX('06_intensity'!$C$43:$BB$43,1,38)</f>
        <v>0</v>
      </c>
      <c r="AE42" s="8">
        <f>'05_shares'!AE42*INDEX('06_intensity'!$C$43:$BB$43,1,38)</f>
        <v>0</v>
      </c>
      <c r="AF42" s="8">
        <f>'05_shares'!AF42*INDEX('06_intensity'!$C$43:$BB$43,1,38)</f>
        <v>0</v>
      </c>
      <c r="AG42" s="8">
        <f>'05_shares'!AG42*INDEX('06_intensity'!$C$43:$BB$43,1,38)</f>
        <v>1.7624954184713729E-2</v>
      </c>
      <c r="AH42" s="8">
        <f>'05_shares'!AH42*INDEX('06_intensity'!$C$43:$BB$43,1,38)</f>
        <v>0</v>
      </c>
      <c r="AI42" s="8">
        <f>'05_shares'!AI42*INDEX('06_intensity'!$C$43:$BB$43,1,38)</f>
        <v>3.4803706997662553E-2</v>
      </c>
    </row>
    <row r="43" spans="1:35" x14ac:dyDescent="0.2">
      <c r="A43" s="12" t="s">
        <v>1407</v>
      </c>
      <c r="B43" s="8">
        <f>'05_shares'!B43*INDEX('06_intensity'!$C$43:$BB$43,1,39)</f>
        <v>2.7777691207189717E-2</v>
      </c>
      <c r="C43" s="8">
        <f>'05_shares'!C43*INDEX('06_intensity'!$C$43:$BB$43,1,39)</f>
        <v>0.1277285623525227</v>
      </c>
      <c r="D43" s="8">
        <f>'05_shares'!D43*INDEX('06_intensity'!$C$43:$BB$43,1,39)</f>
        <v>2.3760833575395098E-2</v>
      </c>
      <c r="E43" s="8">
        <f>'05_shares'!E43*INDEX('06_intensity'!$C$43:$BB$43,1,39)</f>
        <v>4.4614931435348983E-2</v>
      </c>
      <c r="F43" s="8">
        <f>'05_shares'!F43*INDEX('06_intensity'!$C$43:$BB$43,1,39)</f>
        <v>1.8678446662364866E-2</v>
      </c>
      <c r="G43" s="8">
        <f>'05_shares'!G43*INDEX('06_intensity'!$C$43:$BB$43,1,39)</f>
        <v>4.5835361449099034E-2</v>
      </c>
      <c r="H43" s="8">
        <f>'05_shares'!H43*INDEX('06_intensity'!$C$43:$BB$43,1,39)</f>
        <v>1.2277056542166313E-2</v>
      </c>
      <c r="I43" s="8">
        <f>'05_shares'!I43*INDEX('06_intensity'!$C$43:$BB$43,1,39)</f>
        <v>6.6035825157457942E-2</v>
      </c>
      <c r="J43" s="8">
        <f>'05_shares'!J43*INDEX('06_intensity'!$C$43:$BB$43,1,39)</f>
        <v>7.9996840420519747E-3</v>
      </c>
      <c r="K43" s="8">
        <f>'05_shares'!K43*INDEX('06_intensity'!$C$43:$BB$43,1,39)</f>
        <v>3.6521368161470086E-2</v>
      </c>
      <c r="L43" s="8">
        <f>'05_shares'!L43*INDEX('06_intensity'!$C$43:$BB$43,1,39)</f>
        <v>0.26790903131648935</v>
      </c>
      <c r="M43" s="8">
        <f>'05_shares'!M43*INDEX('06_intensity'!$C$43:$BB$43,1,39)</f>
        <v>0.44329421221555343</v>
      </c>
      <c r="N43" s="8">
        <f>'05_shares'!N43*INDEX('06_intensity'!$C$43:$BB$43,1,39)</f>
        <v>0.23833589980060968</v>
      </c>
      <c r="O43" s="8">
        <f>'05_shares'!O43*INDEX('06_intensity'!$C$43:$BB$43,1,39)</f>
        <v>3.7273575506483331E-2</v>
      </c>
      <c r="P43" s="8">
        <f>'05_shares'!P43*INDEX('06_intensity'!$C$43:$BB$43,1,39)</f>
        <v>0.3332642320432021</v>
      </c>
      <c r="Q43" s="8">
        <f>'05_shares'!Q43*INDEX('06_intensity'!$C$43:$BB$43,1,39)</f>
        <v>0.1605510887800119</v>
      </c>
      <c r="R43" s="8">
        <f>'05_shares'!R43*INDEX('06_intensity'!$C$43:$BB$43,1,39)</f>
        <v>2.9764410450727051E-2</v>
      </c>
      <c r="S43" s="8">
        <f>'05_shares'!S43*INDEX('06_intensity'!$C$43:$BB$43,1,39)</f>
        <v>3.0915604531004736E-2</v>
      </c>
      <c r="T43" s="8">
        <f>'05_shares'!T43*INDEX('06_intensity'!$C$43:$BB$43,1,39)</f>
        <v>1.9551523518355284E-2</v>
      </c>
      <c r="U43" s="8">
        <f>'05_shares'!U43*INDEX('06_intensity'!$C$43:$BB$43,1,39)</f>
        <v>3.5040423279400316E-2</v>
      </c>
      <c r="V43" s="8">
        <f>'05_shares'!V43*INDEX('06_intensity'!$C$43:$BB$43,1,39)</f>
        <v>1.2216035041478812E-2</v>
      </c>
      <c r="W43" s="8">
        <f>'05_shares'!W43*INDEX('06_intensity'!$C$43:$BB$43,1,39)</f>
        <v>2.8566276754535901E-2</v>
      </c>
      <c r="X43" s="8">
        <f>'05_shares'!X43*INDEX('06_intensity'!$C$43:$BB$43,1,39)</f>
        <v>5.4682305558389023E-2</v>
      </c>
      <c r="Y43" s="8">
        <f>'05_shares'!Y43*INDEX('06_intensity'!$C$43:$BB$43,1,39)</f>
        <v>7.3307945152851243E-3</v>
      </c>
      <c r="Z43" s="8">
        <f>'05_shares'!Z43*INDEX('06_intensity'!$C$43:$BB$43,1,39)</f>
        <v>2.317291488607897E-2</v>
      </c>
      <c r="AA43" s="8">
        <f>'05_shares'!AA43*INDEX('06_intensity'!$C$43:$BB$43,1,39)</f>
        <v>1.5572217579291434E-2</v>
      </c>
      <c r="AB43" s="8">
        <f>'05_shares'!AB43*INDEX('06_intensity'!$C$43:$BB$43,1,39)</f>
        <v>6.4252119752746348E-2</v>
      </c>
      <c r="AC43" s="8">
        <f>'05_shares'!AC43*INDEX('06_intensity'!$C$43:$BB$43,1,39)</f>
        <v>1.5533492396162828E-2</v>
      </c>
      <c r="AD43" s="8">
        <f>'05_shares'!AD43*INDEX('06_intensity'!$C$43:$BB$43,1,39)</f>
        <v>4.6822266873679597E-3</v>
      </c>
      <c r="AE43" s="8">
        <f>'05_shares'!AE43*INDEX('06_intensity'!$C$43:$BB$43,1,39)</f>
        <v>4.0121636702032714E-3</v>
      </c>
      <c r="AF43" s="8">
        <f>'05_shares'!AF43*INDEX('06_intensity'!$C$43:$BB$43,1,39)</f>
        <v>9.3245547012094764E-3</v>
      </c>
      <c r="AG43" s="8">
        <f>'05_shares'!AG43*INDEX('06_intensity'!$C$43:$BB$43,1,39)</f>
        <v>6.4354213417358117E-3</v>
      </c>
      <c r="AH43" s="8">
        <f>'05_shares'!AH43*INDEX('06_intensity'!$C$43:$BB$43,1,39)</f>
        <v>3.2411804788246381E-3</v>
      </c>
      <c r="AI43" s="8">
        <f>'05_shares'!AI43*INDEX('06_intensity'!$C$43:$BB$43,1,39)</f>
        <v>6.9787473959341496E-3</v>
      </c>
    </row>
    <row r="44" spans="1:35" x14ac:dyDescent="0.2">
      <c r="A44" s="12" t="s">
        <v>1408</v>
      </c>
      <c r="B44" s="8">
        <f>'05_shares'!B44*INDEX('06_intensity'!$C$43:$BB$43,1,40)</f>
        <v>1.6139461182863739E-2</v>
      </c>
      <c r="C44" s="8">
        <f>'05_shares'!C44*INDEX('06_intensity'!$C$43:$BB$43,1,40)</f>
        <v>6.3526375407738089E-2</v>
      </c>
      <c r="D44" s="8">
        <f>'05_shares'!D44*INDEX('06_intensity'!$C$43:$BB$43,1,40)</f>
        <v>4.2162825473578996E-2</v>
      </c>
      <c r="E44" s="8">
        <f>'05_shares'!E44*INDEX('06_intensity'!$C$43:$BB$43,1,40)</f>
        <v>2.2073443527540707E-2</v>
      </c>
      <c r="F44" s="8">
        <f>'05_shares'!F44*INDEX('06_intensity'!$C$43:$BB$43,1,40)</f>
        <v>1.6357889980827305E-2</v>
      </c>
      <c r="G44" s="8">
        <f>'05_shares'!G44*INDEX('06_intensity'!$C$43:$BB$43,1,40)</f>
        <v>5.0748290726869288E-2</v>
      </c>
      <c r="H44" s="8">
        <f>'05_shares'!H44*INDEX('06_intensity'!$C$43:$BB$43,1,40)</f>
        <v>4.8903780877399151E-3</v>
      </c>
      <c r="I44" s="8">
        <f>'05_shares'!I44*INDEX('06_intensity'!$C$43:$BB$43,1,40)</f>
        <v>1.8727235692071027E-2</v>
      </c>
      <c r="J44" s="8">
        <f>'05_shares'!J44*INDEX('06_intensity'!$C$43:$BB$43,1,40)</f>
        <v>1.2869096680020295E-2</v>
      </c>
      <c r="K44" s="8">
        <f>'05_shares'!K44*INDEX('06_intensity'!$C$43:$BB$43,1,40)</f>
        <v>6.0213538638623956E-2</v>
      </c>
      <c r="L44" s="8">
        <f>'05_shares'!L44*INDEX('06_intensity'!$C$43:$BB$43,1,40)</f>
        <v>0.18881045970637039</v>
      </c>
      <c r="M44" s="8">
        <f>'05_shares'!M44*INDEX('06_intensity'!$C$43:$BB$43,1,40)</f>
        <v>0.42581177296345329</v>
      </c>
      <c r="N44" s="8">
        <f>'05_shares'!N44*INDEX('06_intensity'!$C$43:$BB$43,1,40)</f>
        <v>0.22279130645623069</v>
      </c>
      <c r="O44" s="8">
        <f>'05_shares'!O44*INDEX('06_intensity'!$C$43:$BB$43,1,40)</f>
        <v>7.8030654339180119E-2</v>
      </c>
      <c r="P44" s="8">
        <f>'05_shares'!P44*INDEX('06_intensity'!$C$43:$BB$43,1,40)</f>
        <v>0.2826165272318083</v>
      </c>
      <c r="Q44" s="8">
        <f>'05_shares'!Q44*INDEX('06_intensity'!$C$43:$BB$43,1,40)</f>
        <v>0.14719067249439527</v>
      </c>
      <c r="R44" s="8">
        <f>'05_shares'!R44*INDEX('06_intensity'!$C$43:$BB$43,1,40)</f>
        <v>0.50440973543067769</v>
      </c>
      <c r="S44" s="8">
        <f>'05_shares'!S44*INDEX('06_intensity'!$C$43:$BB$43,1,40)</f>
        <v>8.8466696908550649E-2</v>
      </c>
      <c r="T44" s="8">
        <f>'05_shares'!T44*INDEX('06_intensity'!$C$43:$BB$43,1,40)</f>
        <v>4.0306180690888649E-2</v>
      </c>
      <c r="U44" s="8">
        <f>'05_shares'!U44*INDEX('06_intensity'!$C$43:$BB$43,1,40)</f>
        <v>3.9669096696828242E-2</v>
      </c>
      <c r="V44" s="8">
        <f>'05_shares'!V44*INDEX('06_intensity'!$C$43:$BB$43,1,40)</f>
        <v>1.0517953368606876E-2</v>
      </c>
      <c r="W44" s="8">
        <f>'05_shares'!W44*INDEX('06_intensity'!$C$43:$BB$43,1,40)</f>
        <v>2.9348335993049587E-2</v>
      </c>
      <c r="X44" s="8">
        <f>'05_shares'!X44*INDEX('06_intensity'!$C$43:$BB$43,1,40)</f>
        <v>2.1533438999241882E-2</v>
      </c>
      <c r="Y44" s="8">
        <f>'05_shares'!Y44*INDEX('06_intensity'!$C$43:$BB$43,1,40)</f>
        <v>4.0378990290209846E-3</v>
      </c>
      <c r="Z44" s="8">
        <f>'05_shares'!Z44*INDEX('06_intensity'!$C$43:$BB$43,1,40)</f>
        <v>3.2394204231319355E-2</v>
      </c>
      <c r="AA44" s="8">
        <f>'05_shares'!AA44*INDEX('06_intensity'!$C$43:$BB$43,1,40)</f>
        <v>1.9479601551723322E-2</v>
      </c>
      <c r="AB44" s="8">
        <f>'05_shares'!AB44*INDEX('06_intensity'!$C$43:$BB$43,1,40)</f>
        <v>6.0717138367262197E-2</v>
      </c>
      <c r="AC44" s="8">
        <f>'05_shares'!AC44*INDEX('06_intensity'!$C$43:$BB$43,1,40)</f>
        <v>1.5917998651595121E-2</v>
      </c>
      <c r="AD44" s="8">
        <f>'05_shares'!AD44*INDEX('06_intensity'!$C$43:$BB$43,1,40)</f>
        <v>6.1311750095051909E-3</v>
      </c>
      <c r="AE44" s="8">
        <f>'05_shares'!AE44*INDEX('06_intensity'!$C$43:$BB$43,1,40)</f>
        <v>5.5183608818851768E-3</v>
      </c>
      <c r="AF44" s="8">
        <f>'05_shares'!AF44*INDEX('06_intensity'!$C$43:$BB$43,1,40)</f>
        <v>1.1397736027071254E-2</v>
      </c>
      <c r="AG44" s="8">
        <f>'05_shares'!AG44*INDEX('06_intensity'!$C$43:$BB$43,1,40)</f>
        <v>8.0970341911773165E-3</v>
      </c>
      <c r="AH44" s="8">
        <f>'05_shares'!AH44*INDEX('06_intensity'!$C$43:$BB$43,1,40)</f>
        <v>3.4978945007221596E-3</v>
      </c>
      <c r="AI44" s="8">
        <f>'05_shares'!AI44*INDEX('06_intensity'!$C$43:$BB$43,1,40)</f>
        <v>6.8714059359372866E-3</v>
      </c>
    </row>
    <row r="45" spans="1:35" x14ac:dyDescent="0.2">
      <c r="A45" s="12" t="s">
        <v>1409</v>
      </c>
      <c r="B45" s="8">
        <f>'05_shares'!B45*INDEX('06_intensity'!$C$43:$BB$43,1,41)</f>
        <v>3.0564255498104688E-2</v>
      </c>
      <c r="C45" s="8">
        <f>'05_shares'!C45*INDEX('06_intensity'!$C$43:$BB$43,1,41)</f>
        <v>0.13986961116655858</v>
      </c>
      <c r="D45" s="8">
        <f>'05_shares'!D45*INDEX('06_intensity'!$C$43:$BB$43,1,41)</f>
        <v>5.1650621123281615E-2</v>
      </c>
      <c r="E45" s="8">
        <f>'05_shares'!E45*INDEX('06_intensity'!$C$43:$BB$43,1,41)</f>
        <v>4.9363094265792801E-2</v>
      </c>
      <c r="F45" s="8">
        <f>'05_shares'!F45*INDEX('06_intensity'!$C$43:$BB$43,1,41)</f>
        <v>2.1982274409115498E-2</v>
      </c>
      <c r="G45" s="8">
        <f>'05_shares'!G45*INDEX('06_intensity'!$C$43:$BB$43,1,41)</f>
        <v>4.724909928987768E-2</v>
      </c>
      <c r="H45" s="8">
        <f>'05_shares'!H45*INDEX('06_intensity'!$C$43:$BB$43,1,41)</f>
        <v>1.099685434019099E-2</v>
      </c>
      <c r="I45" s="8">
        <f>'05_shares'!I45*INDEX('06_intensity'!$C$43:$BB$43,1,41)</f>
        <v>5.5629971725415193E-2</v>
      </c>
      <c r="J45" s="8">
        <f>'05_shares'!J45*INDEX('06_intensity'!$C$43:$BB$43,1,41)</f>
        <v>1.0852468640276967E-2</v>
      </c>
      <c r="K45" s="8">
        <f>'05_shares'!K45*INDEX('06_intensity'!$C$43:$BB$43,1,41)</f>
        <v>2.0999599684390077E-2</v>
      </c>
      <c r="L45" s="8">
        <f>'05_shares'!L45*INDEX('06_intensity'!$C$43:$BB$43,1,41)</f>
        <v>0.13158200651233198</v>
      </c>
      <c r="M45" s="8">
        <f>'05_shares'!M45*INDEX('06_intensity'!$C$43:$BB$43,1,41)</f>
        <v>0.50491006655742299</v>
      </c>
      <c r="N45" s="8">
        <f>'05_shares'!N45*INDEX('06_intensity'!$C$43:$BB$43,1,41)</f>
        <v>0.36828823683334044</v>
      </c>
      <c r="O45" s="8">
        <f>'05_shares'!O45*INDEX('06_intensity'!$C$43:$BB$43,1,41)</f>
        <v>4.5282853034837312E-2</v>
      </c>
      <c r="P45" s="8">
        <f>'05_shares'!P45*INDEX('06_intensity'!$C$43:$BB$43,1,41)</f>
        <v>0.39620288021718431</v>
      </c>
      <c r="Q45" s="8">
        <f>'05_shares'!Q45*INDEX('06_intensity'!$C$43:$BB$43,1,41)</f>
        <v>9.7908077632538587E-2</v>
      </c>
      <c r="R45" s="8">
        <f>'05_shares'!R45*INDEX('06_intensity'!$C$43:$BB$43,1,41)</f>
        <v>4.8257781376699414E-2</v>
      </c>
      <c r="S45" s="8">
        <f>'05_shares'!S45*INDEX('06_intensity'!$C$43:$BB$43,1,41)</f>
        <v>3.3274626191055999E-2</v>
      </c>
      <c r="T45" s="8">
        <f>'05_shares'!T45*INDEX('06_intensity'!$C$43:$BB$43,1,41)</f>
        <v>6.9551757495852091E-3</v>
      </c>
      <c r="U45" s="8">
        <f>'05_shares'!U45*INDEX('06_intensity'!$C$43:$BB$43,1,41)</f>
        <v>3.7550146839131243E-2</v>
      </c>
      <c r="V45" s="8">
        <f>'05_shares'!V45*INDEX('06_intensity'!$C$43:$BB$43,1,41)</f>
        <v>1.7278080689245832E-2</v>
      </c>
      <c r="W45" s="8">
        <f>'05_shares'!W45*INDEX('06_intensity'!$C$43:$BB$43,1,41)</f>
        <v>3.8680121881936647E-2</v>
      </c>
      <c r="X45" s="8">
        <f>'05_shares'!X45*INDEX('06_intensity'!$C$43:$BB$43,1,41)</f>
        <v>3.5058148307230017E-2</v>
      </c>
      <c r="Y45" s="8">
        <f>'05_shares'!Y45*INDEX('06_intensity'!$C$43:$BB$43,1,41)</f>
        <v>5.5216320147245361E-3</v>
      </c>
      <c r="Z45" s="8">
        <f>'05_shares'!Z45*INDEX('06_intensity'!$C$43:$BB$43,1,41)</f>
        <v>1.5219239257086686E-2</v>
      </c>
      <c r="AA45" s="8">
        <f>'05_shares'!AA45*INDEX('06_intensity'!$C$43:$BB$43,1,41)</f>
        <v>1.7036167381470624E-2</v>
      </c>
      <c r="AB45" s="8">
        <f>'05_shares'!AB45*INDEX('06_intensity'!$C$43:$BB$43,1,41)</f>
        <v>4.8260023390673229E-2</v>
      </c>
      <c r="AC45" s="8">
        <f>'05_shares'!AC45*INDEX('06_intensity'!$C$43:$BB$43,1,41)</f>
        <v>1.1530453665960214E-2</v>
      </c>
      <c r="AD45" s="8">
        <f>'05_shares'!AD45*INDEX('06_intensity'!$C$43:$BB$43,1,41)</f>
        <v>8.692063975103765E-3</v>
      </c>
      <c r="AE45" s="8">
        <f>'05_shares'!AE45*INDEX('06_intensity'!$C$43:$BB$43,1,41)</f>
        <v>5.6238678519307398E-3</v>
      </c>
      <c r="AF45" s="8">
        <f>'05_shares'!AF45*INDEX('06_intensity'!$C$43:$BB$43,1,41)</f>
        <v>8.1508418018235544E-3</v>
      </c>
      <c r="AG45" s="8">
        <f>'05_shares'!AG45*INDEX('06_intensity'!$C$43:$BB$43,1,41)</f>
        <v>4.4295470080766867E-3</v>
      </c>
      <c r="AH45" s="8">
        <f>'05_shares'!AH45*INDEX('06_intensity'!$C$43:$BB$43,1,41)</f>
        <v>9.9074597503117268E-4</v>
      </c>
      <c r="AI45" s="8">
        <f>'05_shares'!AI45*INDEX('06_intensity'!$C$43:$BB$43,1,41)</f>
        <v>4.3755144713076193E-3</v>
      </c>
    </row>
    <row r="46" spans="1:35" x14ac:dyDescent="0.2">
      <c r="A46" s="12" t="s">
        <v>1410</v>
      </c>
      <c r="B46" s="8">
        <f>'05_shares'!B46*INDEX('06_intensity'!$C$43:$BB$43,1,42)</f>
        <v>3.9658029423527322E-2</v>
      </c>
      <c r="C46" s="8">
        <f>'05_shares'!C46*INDEX('06_intensity'!$C$43:$BB$43,1,42)</f>
        <v>0.1645276762549899</v>
      </c>
      <c r="D46" s="8">
        <f>'05_shares'!D46*INDEX('06_intensity'!$C$43:$BB$43,1,42)</f>
        <v>5.543673598624254E-2</v>
      </c>
      <c r="E46" s="8">
        <f>'05_shares'!E46*INDEX('06_intensity'!$C$43:$BB$43,1,42)</f>
        <v>4.0819976015593375E-2</v>
      </c>
      <c r="F46" s="8">
        <f>'05_shares'!F46*INDEX('06_intensity'!$C$43:$BB$43,1,42)</f>
        <v>2.517991080761332E-2</v>
      </c>
      <c r="G46" s="8">
        <f>'05_shares'!G46*INDEX('06_intensity'!$C$43:$BB$43,1,42)</f>
        <v>9.5424863873424984E-2</v>
      </c>
      <c r="H46" s="8">
        <f>'05_shares'!H46*INDEX('06_intensity'!$C$43:$BB$43,1,42)</f>
        <v>3.0851002413208449E-2</v>
      </c>
      <c r="I46" s="8">
        <f>'05_shares'!I46*INDEX('06_intensity'!$C$43:$BB$43,1,42)</f>
        <v>0.10716976721027452</v>
      </c>
      <c r="J46" s="8">
        <f>'05_shares'!J46*INDEX('06_intensity'!$C$43:$BB$43,1,42)</f>
        <v>2.0604746101353214E-2</v>
      </c>
      <c r="K46" s="8">
        <f>'05_shares'!K46*INDEX('06_intensity'!$C$43:$BB$43,1,42)</f>
        <v>4.5045236350379041E-2</v>
      </c>
      <c r="L46" s="8">
        <f>'05_shares'!L46*INDEX('06_intensity'!$C$43:$BB$43,1,42)</f>
        <v>0.63249506424032154</v>
      </c>
      <c r="M46" s="8">
        <f>'05_shares'!M46*INDEX('06_intensity'!$C$43:$BB$43,1,42)</f>
        <v>1.3057969005576904</v>
      </c>
      <c r="N46" s="8">
        <f>'05_shares'!N46*INDEX('06_intensity'!$C$43:$BB$43,1,42)</f>
        <v>0.72190553410595004</v>
      </c>
      <c r="O46" s="8">
        <f>'05_shares'!O46*INDEX('06_intensity'!$C$43:$BB$43,1,42)</f>
        <v>0.12479702516945845</v>
      </c>
      <c r="P46" s="8">
        <f>'05_shares'!P46*INDEX('06_intensity'!$C$43:$BB$43,1,42)</f>
        <v>0.68559470310388582</v>
      </c>
      <c r="Q46" s="8">
        <f>'05_shares'!Q46*INDEX('06_intensity'!$C$43:$BB$43,1,42)</f>
        <v>0.28337632710938293</v>
      </c>
      <c r="R46" s="8">
        <f>'05_shares'!R46*INDEX('06_intensity'!$C$43:$BB$43,1,42)</f>
        <v>8.2788694684706621E-2</v>
      </c>
      <c r="S46" s="8">
        <f>'05_shares'!S46*INDEX('06_intensity'!$C$43:$BB$43,1,42)</f>
        <v>6.2315987968815448E-2</v>
      </c>
      <c r="T46" s="8">
        <f>'05_shares'!T46*INDEX('06_intensity'!$C$43:$BB$43,1,42)</f>
        <v>3.8066954828709594E-2</v>
      </c>
      <c r="U46" s="8">
        <f>'05_shares'!U46*INDEX('06_intensity'!$C$43:$BB$43,1,42)</f>
        <v>5.748334646090434E-2</v>
      </c>
      <c r="V46" s="8">
        <f>'05_shares'!V46*INDEX('06_intensity'!$C$43:$BB$43,1,42)</f>
        <v>3.5558206504930606E-2</v>
      </c>
      <c r="W46" s="8">
        <f>'05_shares'!W46*INDEX('06_intensity'!$C$43:$BB$43,1,42)</f>
        <v>5.679674165650167E-2</v>
      </c>
      <c r="X46" s="8">
        <f>'05_shares'!X46*INDEX('06_intensity'!$C$43:$BB$43,1,42)</f>
        <v>6.6283771501950098E-2</v>
      </c>
      <c r="Y46" s="8">
        <f>'05_shares'!Y46*INDEX('06_intensity'!$C$43:$BB$43,1,42)</f>
        <v>7.1433307534970137E-3</v>
      </c>
      <c r="Z46" s="8">
        <f>'05_shares'!Z46*INDEX('06_intensity'!$C$43:$BB$43,1,42)</f>
        <v>3.0250223209356115E-2</v>
      </c>
      <c r="AA46" s="8">
        <f>'05_shares'!AA46*INDEX('06_intensity'!$C$43:$BB$43,1,42)</f>
        <v>2.2413685682183326E-2</v>
      </c>
      <c r="AB46" s="8">
        <f>'05_shares'!AB46*INDEX('06_intensity'!$C$43:$BB$43,1,42)</f>
        <v>0.10849676303416814</v>
      </c>
      <c r="AC46" s="8">
        <f>'05_shares'!AC46*INDEX('06_intensity'!$C$43:$BB$43,1,42)</f>
        <v>1.5877736101811753E-2</v>
      </c>
      <c r="AD46" s="8">
        <f>'05_shares'!AD46*INDEX('06_intensity'!$C$43:$BB$43,1,42)</f>
        <v>1.5032684034854622E-2</v>
      </c>
      <c r="AE46" s="8">
        <f>'05_shares'!AE46*INDEX('06_intensity'!$C$43:$BB$43,1,42)</f>
        <v>1.8696776981426563E-2</v>
      </c>
      <c r="AF46" s="8">
        <f>'05_shares'!AF46*INDEX('06_intensity'!$C$43:$BB$43,1,42)</f>
        <v>1.5923949886723472E-2</v>
      </c>
      <c r="AG46" s="8">
        <f>'05_shares'!AG46*INDEX('06_intensity'!$C$43:$BB$43,1,42)</f>
        <v>5.3211872341206966E-3</v>
      </c>
      <c r="AH46" s="8">
        <f>'05_shares'!AH46*INDEX('06_intensity'!$C$43:$BB$43,1,42)</f>
        <v>6.9848834909425504E-3</v>
      </c>
      <c r="AI46" s="8">
        <f>'05_shares'!AI46*INDEX('06_intensity'!$C$43:$BB$43,1,42)</f>
        <v>2.4268839047925161E-2</v>
      </c>
    </row>
    <row r="47" spans="1:35" x14ac:dyDescent="0.2">
      <c r="A47" s="12" t="s">
        <v>1411</v>
      </c>
      <c r="B47" s="8">
        <f>'05_shares'!B47*INDEX('06_intensity'!$C$43:$BB$43,1,43)</f>
        <v>1.7165646132334886E-2</v>
      </c>
      <c r="C47" s="8">
        <f>'05_shares'!C47*INDEX('06_intensity'!$C$43:$BB$43,1,43)</f>
        <v>0.10014588120644245</v>
      </c>
      <c r="D47" s="8">
        <f>'05_shares'!D47*INDEX('06_intensity'!$C$43:$BB$43,1,43)</f>
        <v>4.5852728959826679E-2</v>
      </c>
      <c r="E47" s="8">
        <f>'05_shares'!E47*INDEX('06_intensity'!$C$43:$BB$43,1,43)</f>
        <v>3.8207155350658516E-2</v>
      </c>
      <c r="F47" s="8">
        <f>'05_shares'!F47*INDEX('06_intensity'!$C$43:$BB$43,1,43)</f>
        <v>2.3534799900893535E-2</v>
      </c>
      <c r="G47" s="8">
        <f>'05_shares'!G47*INDEX('06_intensity'!$C$43:$BB$43,1,43)</f>
        <v>3.7425251107526515E-2</v>
      </c>
      <c r="H47" s="8">
        <f>'05_shares'!H47*INDEX('06_intensity'!$C$43:$BB$43,1,43)</f>
        <v>1.5534521386728405E-2</v>
      </c>
      <c r="I47" s="8">
        <f>'05_shares'!I47*INDEX('06_intensity'!$C$43:$BB$43,1,43)</f>
        <v>5.3762389432569217E-2</v>
      </c>
      <c r="J47" s="8">
        <f>'05_shares'!J47*INDEX('06_intensity'!$C$43:$BB$43,1,43)</f>
        <v>1.4558435626262302E-2</v>
      </c>
      <c r="K47" s="8">
        <f>'05_shares'!K47*INDEX('06_intensity'!$C$43:$BB$43,1,43)</f>
        <v>2.2493986967982729E-2</v>
      </c>
      <c r="L47" s="8">
        <f>'05_shares'!L47*INDEX('06_intensity'!$C$43:$BB$43,1,43)</f>
        <v>0.2462661784569076</v>
      </c>
      <c r="M47" s="8">
        <f>'05_shares'!M47*INDEX('06_intensity'!$C$43:$BB$43,1,43)</f>
        <v>0.57335329351516751</v>
      </c>
      <c r="N47" s="8">
        <f>'05_shares'!N47*INDEX('06_intensity'!$C$43:$BB$43,1,43)</f>
        <v>0.50814972908127287</v>
      </c>
      <c r="O47" s="8">
        <f>'05_shares'!O47*INDEX('06_intensity'!$C$43:$BB$43,1,43)</f>
        <v>4.9614672222312736E-2</v>
      </c>
      <c r="P47" s="8">
        <f>'05_shares'!P47*INDEX('06_intensity'!$C$43:$BB$43,1,43)</f>
        <v>0.45101893759468137</v>
      </c>
      <c r="Q47" s="8">
        <f>'05_shares'!Q47*INDEX('06_intensity'!$C$43:$BB$43,1,43)</f>
        <v>0.1759880037033483</v>
      </c>
      <c r="R47" s="8">
        <f>'05_shares'!R47*INDEX('06_intensity'!$C$43:$BB$43,1,43)</f>
        <v>0.15911751347736125</v>
      </c>
      <c r="S47" s="8">
        <f>'05_shares'!S47*INDEX('06_intensity'!$C$43:$BB$43,1,43)</f>
        <v>5.9310802654529052E-2</v>
      </c>
      <c r="T47" s="8">
        <f>'05_shares'!T47*INDEX('06_intensity'!$C$43:$BB$43,1,43)</f>
        <v>5.2724165586556203E-2</v>
      </c>
      <c r="U47" s="8">
        <f>'05_shares'!U47*INDEX('06_intensity'!$C$43:$BB$43,1,43)</f>
        <v>5.5279594354673021E-2</v>
      </c>
      <c r="V47" s="8">
        <f>'05_shares'!V47*INDEX('06_intensity'!$C$43:$BB$43,1,43)</f>
        <v>1.6344905585736071E-2</v>
      </c>
      <c r="W47" s="8">
        <f>'05_shares'!W47*INDEX('06_intensity'!$C$43:$BB$43,1,43)</f>
        <v>1.868802922823427E-2</v>
      </c>
      <c r="X47" s="8">
        <f>'05_shares'!X47*INDEX('06_intensity'!$C$43:$BB$43,1,43)</f>
        <v>3.5027756640174768E-2</v>
      </c>
      <c r="Y47" s="8">
        <f>'05_shares'!Y47*INDEX('06_intensity'!$C$43:$BB$43,1,43)</f>
        <v>2.2136692976087976E-3</v>
      </c>
      <c r="Z47" s="8">
        <f>'05_shares'!Z47*INDEX('06_intensity'!$C$43:$BB$43,1,43)</f>
        <v>2.7951782148519976E-2</v>
      </c>
      <c r="AA47" s="8">
        <f>'05_shares'!AA47*INDEX('06_intensity'!$C$43:$BB$43,1,43)</f>
        <v>1.8889978006261739E-2</v>
      </c>
      <c r="AB47" s="8">
        <f>'05_shares'!AB47*INDEX('06_intensity'!$C$43:$BB$43,1,43)</f>
        <v>7.910437198811883E-2</v>
      </c>
      <c r="AC47" s="8">
        <f>'05_shares'!AC47*INDEX('06_intensity'!$C$43:$BB$43,1,43)</f>
        <v>2.3317316601479333E-2</v>
      </c>
      <c r="AD47" s="8">
        <f>'05_shares'!AD47*INDEX('06_intensity'!$C$43:$BB$43,1,43)</f>
        <v>1.1630178344864E-2</v>
      </c>
      <c r="AE47" s="8">
        <f>'05_shares'!AE47*INDEX('06_intensity'!$C$43:$BB$43,1,43)</f>
        <v>8.4714923295625567E-3</v>
      </c>
      <c r="AF47" s="8">
        <f>'05_shares'!AF47*INDEX('06_intensity'!$C$43:$BB$43,1,43)</f>
        <v>1.6135189547015236E-2</v>
      </c>
      <c r="AG47" s="8">
        <f>'05_shares'!AG47*INDEX('06_intensity'!$C$43:$BB$43,1,43)</f>
        <v>6.8455457577516511E-3</v>
      </c>
      <c r="AH47" s="8">
        <f>'05_shares'!AH47*INDEX('06_intensity'!$C$43:$BB$43,1,43)</f>
        <v>2.0479677361503611E-3</v>
      </c>
      <c r="AI47" s="8">
        <f>'05_shares'!AI47*INDEX('06_intensity'!$C$43:$BB$43,1,43)</f>
        <v>1.6541676189967963E-2</v>
      </c>
    </row>
    <row r="48" spans="1:35" x14ac:dyDescent="0.2">
      <c r="A48" s="12" t="s">
        <v>1412</v>
      </c>
      <c r="B48" s="8">
        <f>'05_shares'!B48*INDEX('06_intensity'!$C$43:$BB$43,1,44)</f>
        <v>5.1828568225284286E-3</v>
      </c>
      <c r="C48" s="8">
        <f>'05_shares'!C48*INDEX('06_intensity'!$C$43:$BB$43,1,44)</f>
        <v>0.18027233793171055</v>
      </c>
      <c r="D48" s="8">
        <f>'05_shares'!D48*INDEX('06_intensity'!$C$43:$BB$43,1,44)</f>
        <v>9.9103161836631461E-3</v>
      </c>
      <c r="E48" s="8">
        <f>'05_shares'!E48*INDEX('06_intensity'!$C$43:$BB$43,1,44)</f>
        <v>1.3228211973817327E-2</v>
      </c>
      <c r="F48" s="8">
        <f>'05_shares'!F48*INDEX('06_intensity'!$C$43:$BB$43,1,44)</f>
        <v>2.168559339970054E-2</v>
      </c>
      <c r="G48" s="8">
        <f>'05_shares'!G48*INDEX('06_intensity'!$C$43:$BB$43,1,44)</f>
        <v>4.6537283435757353E-2</v>
      </c>
      <c r="H48" s="8">
        <f>'05_shares'!H48*INDEX('06_intensity'!$C$43:$BB$43,1,44)</f>
        <v>1.0192228897859252E-3</v>
      </c>
      <c r="I48" s="8">
        <f>'05_shares'!I48*INDEX('06_intensity'!$C$43:$BB$43,1,44)</f>
        <v>5.9049870827384561E-2</v>
      </c>
      <c r="J48" s="8">
        <f>'05_shares'!J48*INDEX('06_intensity'!$C$43:$BB$43,1,44)</f>
        <v>6.7225339539071661E-3</v>
      </c>
      <c r="K48" s="8">
        <f>'05_shares'!K48*INDEX('06_intensity'!$C$43:$BB$43,1,44)</f>
        <v>2.4981803596455018E-2</v>
      </c>
      <c r="L48" s="8">
        <f>'05_shares'!L48*INDEX('06_intensity'!$C$43:$BB$43,1,44)</f>
        <v>0.54584807146386216</v>
      </c>
      <c r="M48" s="8">
        <f>'05_shares'!M48*INDEX('06_intensity'!$C$43:$BB$43,1,44)</f>
        <v>0.68400698701335438</v>
      </c>
      <c r="N48" s="8">
        <f>'05_shares'!N48*INDEX('06_intensity'!$C$43:$BB$43,1,44)</f>
        <v>0.15602784451084536</v>
      </c>
      <c r="O48" s="8">
        <f>'05_shares'!O48*INDEX('06_intensity'!$C$43:$BB$43,1,44)</f>
        <v>6.3864072562118082E-2</v>
      </c>
      <c r="P48" s="8">
        <f>'05_shares'!P48*INDEX('06_intensity'!$C$43:$BB$43,1,44)</f>
        <v>0.13009187480480353</v>
      </c>
      <c r="Q48" s="8">
        <f>'05_shares'!Q48*INDEX('06_intensity'!$C$43:$BB$43,1,44)</f>
        <v>0.12928950784901458</v>
      </c>
      <c r="R48" s="8">
        <f>'05_shares'!R48*INDEX('06_intensity'!$C$43:$BB$43,1,44)</f>
        <v>3.3439185022338225E-2</v>
      </c>
      <c r="S48" s="8">
        <f>'05_shares'!S48*INDEX('06_intensity'!$C$43:$BB$43,1,44)</f>
        <v>1.8714667103941564E-2</v>
      </c>
      <c r="T48" s="8">
        <f>'05_shares'!T48*INDEX('06_intensity'!$C$43:$BB$43,1,44)</f>
        <v>2.3919209519869689E-2</v>
      </c>
      <c r="U48" s="8">
        <f>'05_shares'!U48*INDEX('06_intensity'!$C$43:$BB$43,1,44)</f>
        <v>1.8476125576544856E-2</v>
      </c>
      <c r="V48" s="8">
        <f>'05_shares'!V48*INDEX('06_intensity'!$C$43:$BB$43,1,44)</f>
        <v>0</v>
      </c>
      <c r="W48" s="8">
        <f>'05_shares'!W48*INDEX('06_intensity'!$C$43:$BB$43,1,44)</f>
        <v>1.0257285678058354E-2</v>
      </c>
      <c r="X48" s="8">
        <f>'05_shares'!X48*INDEX('06_intensity'!$C$43:$BB$43,1,44)</f>
        <v>4.5539746139371126E-3</v>
      </c>
      <c r="Y48" s="8">
        <f>'05_shares'!Y48*INDEX('06_intensity'!$C$43:$BB$43,1,44)</f>
        <v>0</v>
      </c>
      <c r="Z48" s="8">
        <f>'05_shares'!Z48*INDEX('06_intensity'!$C$43:$BB$43,1,44)</f>
        <v>1.4312491643802354E-2</v>
      </c>
      <c r="AA48" s="8">
        <f>'05_shares'!AA48*INDEX('06_intensity'!$C$43:$BB$43,1,44)</f>
        <v>4.7491449545344171E-3</v>
      </c>
      <c r="AB48" s="8">
        <f>'05_shares'!AB48*INDEX('06_intensity'!$C$43:$BB$43,1,44)</f>
        <v>2.7497332430820278E-2</v>
      </c>
      <c r="AC48" s="8">
        <f>'05_shares'!AC48*INDEX('06_intensity'!$C$43:$BB$43,1,44)</f>
        <v>1.8237584049148152E-2</v>
      </c>
      <c r="AD48" s="8">
        <f>'05_shares'!AD48*INDEX('06_intensity'!$C$43:$BB$43,1,44)</f>
        <v>2.4721576475658612E-3</v>
      </c>
      <c r="AE48" s="8">
        <f>'05_shares'!AE48*INDEX('06_intensity'!$C$43:$BB$43,1,44)</f>
        <v>0</v>
      </c>
      <c r="AF48" s="8">
        <f>'05_shares'!AF48*INDEX('06_intensity'!$C$43:$BB$43,1,44)</f>
        <v>3.3829525703532835E-3</v>
      </c>
      <c r="AG48" s="8">
        <f>'05_shares'!AG48*INDEX('06_intensity'!$C$43:$BB$43,1,44)</f>
        <v>5.3997127565254335E-3</v>
      </c>
      <c r="AH48" s="8">
        <f>'05_shares'!AH48*INDEX('06_intensity'!$C$43:$BB$43,1,44)</f>
        <v>0</v>
      </c>
      <c r="AI48" s="8">
        <f>'05_shares'!AI48*INDEX('06_intensity'!$C$43:$BB$43,1,44)</f>
        <v>0</v>
      </c>
    </row>
    <row r="49" spans="1:35" x14ac:dyDescent="0.2">
      <c r="A49" s="12" t="s">
        <v>1413</v>
      </c>
      <c r="B49" s="8">
        <f>'05_shares'!B49*INDEX('06_intensity'!$C$43:$BB$43,1,45)</f>
        <v>0</v>
      </c>
      <c r="C49" s="8">
        <f>'05_shares'!C49*INDEX('06_intensity'!$C$43:$BB$43,1,45)</f>
        <v>0</v>
      </c>
      <c r="D49" s="8">
        <f>'05_shares'!D49*INDEX('06_intensity'!$C$43:$BB$43,1,45)</f>
        <v>0</v>
      </c>
      <c r="E49" s="8">
        <f>'05_shares'!E49*INDEX('06_intensity'!$C$43:$BB$43,1,45)</f>
        <v>0.24459540710499636</v>
      </c>
      <c r="F49" s="8">
        <f>'05_shares'!F49*INDEX('06_intensity'!$C$43:$BB$43,1,45)</f>
        <v>0</v>
      </c>
      <c r="G49" s="8">
        <f>'05_shares'!G49*INDEX('06_intensity'!$C$43:$BB$43,1,45)</f>
        <v>0</v>
      </c>
      <c r="H49" s="8">
        <f>'05_shares'!H49*INDEX('06_intensity'!$C$43:$BB$43,1,45)</f>
        <v>0</v>
      </c>
      <c r="I49" s="8">
        <f>'05_shares'!I49*INDEX('06_intensity'!$C$43:$BB$43,1,45)</f>
        <v>0</v>
      </c>
      <c r="J49" s="8">
        <f>'05_shares'!J49*INDEX('06_intensity'!$C$43:$BB$43,1,45)</f>
        <v>0</v>
      </c>
      <c r="K49" s="8">
        <f>'05_shares'!K49*INDEX('06_intensity'!$C$43:$BB$43,1,45)</f>
        <v>0</v>
      </c>
      <c r="L49" s="8">
        <f>'05_shares'!L49*INDEX('06_intensity'!$C$43:$BB$43,1,45)</f>
        <v>0</v>
      </c>
      <c r="M49" s="8">
        <f>'05_shares'!M49*INDEX('06_intensity'!$C$43:$BB$43,1,45)</f>
        <v>0.82196012570925459</v>
      </c>
      <c r="N49" s="8">
        <f>'05_shares'!N49*INDEX('06_intensity'!$C$43:$BB$43,1,45)</f>
        <v>0.62817679910264845</v>
      </c>
      <c r="O49" s="8">
        <f>'05_shares'!O49*INDEX('06_intensity'!$C$43:$BB$43,1,45)</f>
        <v>0</v>
      </c>
      <c r="P49" s="8">
        <f>'05_shares'!P49*INDEX('06_intensity'!$C$43:$BB$43,1,45)</f>
        <v>0.26551802848668649</v>
      </c>
      <c r="Q49" s="8">
        <f>'05_shares'!Q49*INDEX('06_intensity'!$C$43:$BB$43,1,45)</f>
        <v>0.24409724945305136</v>
      </c>
      <c r="R49" s="8">
        <f>'05_shares'!R49*INDEX('06_intensity'!$C$43:$BB$43,1,45)</f>
        <v>0</v>
      </c>
      <c r="S49" s="8">
        <f>'05_shares'!S49*INDEX('06_intensity'!$C$43:$BB$43,1,45)</f>
        <v>0</v>
      </c>
      <c r="T49" s="8">
        <f>'05_shares'!T49*INDEX('06_intensity'!$C$43:$BB$43,1,45)</f>
        <v>0</v>
      </c>
      <c r="U49" s="8">
        <f>'05_shares'!U49*INDEX('06_intensity'!$C$43:$BB$43,1,45)</f>
        <v>0</v>
      </c>
      <c r="V49" s="8">
        <f>'05_shares'!V49*INDEX('06_intensity'!$C$43:$BB$43,1,45)</f>
        <v>0</v>
      </c>
      <c r="W49" s="8">
        <f>'05_shares'!W49*INDEX('06_intensity'!$C$43:$BB$43,1,45)</f>
        <v>0</v>
      </c>
      <c r="X49" s="8">
        <f>'05_shares'!X49*INDEX('06_intensity'!$C$43:$BB$43,1,45)</f>
        <v>0</v>
      </c>
      <c r="Y49" s="8">
        <f>'05_shares'!Y49*INDEX('06_intensity'!$C$43:$BB$43,1,45)</f>
        <v>0</v>
      </c>
      <c r="Z49" s="8">
        <f>'05_shares'!Z49*INDEX('06_intensity'!$C$43:$BB$43,1,45)</f>
        <v>0</v>
      </c>
      <c r="AA49" s="8">
        <f>'05_shares'!AA49*INDEX('06_intensity'!$C$43:$BB$43,1,45)</f>
        <v>0</v>
      </c>
      <c r="AB49" s="8">
        <f>'05_shares'!AB49*INDEX('06_intensity'!$C$43:$BB$43,1,45)</f>
        <v>0</v>
      </c>
      <c r="AC49" s="8">
        <f>'05_shares'!AC49*INDEX('06_intensity'!$C$43:$BB$43,1,45)</f>
        <v>0</v>
      </c>
      <c r="AD49" s="8">
        <f>'05_shares'!AD49*INDEX('06_intensity'!$C$43:$BB$43,1,45)</f>
        <v>0</v>
      </c>
      <c r="AE49" s="8">
        <f>'05_shares'!AE49*INDEX('06_intensity'!$C$43:$BB$43,1,45)</f>
        <v>0</v>
      </c>
      <c r="AF49" s="8">
        <f>'05_shares'!AF49*INDEX('06_intensity'!$C$43:$BB$43,1,45)</f>
        <v>0</v>
      </c>
      <c r="AG49" s="8">
        <f>'05_shares'!AG49*INDEX('06_intensity'!$C$43:$BB$43,1,45)</f>
        <v>5.8782602929510333E-2</v>
      </c>
      <c r="AH49" s="8">
        <f>'05_shares'!AH49*INDEX('06_intensity'!$C$43:$BB$43,1,45)</f>
        <v>0</v>
      </c>
      <c r="AI49" s="8">
        <f>'05_shares'!AI49*INDEX('06_intensity'!$C$43:$BB$43,1,45)</f>
        <v>0</v>
      </c>
    </row>
    <row r="50" spans="1:35" x14ac:dyDescent="0.2">
      <c r="A50" s="12" t="s">
        <v>1414</v>
      </c>
      <c r="B50" s="8">
        <f>'05_shares'!B50*INDEX('06_intensity'!$C$43:$BB$43,1,46)</f>
        <v>2.7977764446312427E-2</v>
      </c>
      <c r="C50" s="8">
        <f>'05_shares'!C50*INDEX('06_intensity'!$C$43:$BB$43,1,46)</f>
        <v>0.10409829470962925</v>
      </c>
      <c r="D50" s="8">
        <f>'05_shares'!D50*INDEX('06_intensity'!$C$43:$BB$43,1,46)</f>
        <v>1.8793759160675088E-2</v>
      </c>
      <c r="E50" s="8">
        <f>'05_shares'!E50*INDEX('06_intensity'!$C$43:$BB$43,1,46)</f>
        <v>4.854639759656583E-2</v>
      </c>
      <c r="F50" s="8">
        <f>'05_shares'!F50*INDEX('06_intensity'!$C$43:$BB$43,1,46)</f>
        <v>3.928498347649205E-2</v>
      </c>
      <c r="G50" s="8">
        <f>'05_shares'!G50*INDEX('06_intensity'!$C$43:$BB$43,1,46)</f>
        <v>6.079911024736194E-2</v>
      </c>
      <c r="H50" s="8">
        <f>'05_shares'!H50*INDEX('06_intensity'!$C$43:$BB$43,1,46)</f>
        <v>7.2764304370251292E-3</v>
      </c>
      <c r="I50" s="8">
        <f>'05_shares'!I50*INDEX('06_intensity'!$C$43:$BB$43,1,46)</f>
        <v>8.1854313214072966E-2</v>
      </c>
      <c r="J50" s="8">
        <f>'05_shares'!J50*INDEX('06_intensity'!$C$43:$BB$43,1,46)</f>
        <v>9.1784760831775947E-3</v>
      </c>
      <c r="K50" s="8">
        <f>'05_shares'!K50*INDEX('06_intensity'!$C$43:$BB$43,1,46)</f>
        <v>1.8152371675344604E-2</v>
      </c>
      <c r="L50" s="8">
        <f>'05_shares'!L50*INDEX('06_intensity'!$C$43:$BB$43,1,46)</f>
        <v>0.25518928112463585</v>
      </c>
      <c r="M50" s="8">
        <f>'05_shares'!M50*INDEX('06_intensity'!$C$43:$BB$43,1,46)</f>
        <v>0.40829289723498979</v>
      </c>
      <c r="N50" s="8">
        <f>'05_shares'!N50*INDEX('06_intensity'!$C$43:$BB$43,1,46)</f>
        <v>0.22882051459410938</v>
      </c>
      <c r="O50" s="8">
        <f>'05_shares'!O50*INDEX('06_intensity'!$C$43:$BB$43,1,46)</f>
        <v>3.3744722611827024E-2</v>
      </c>
      <c r="P50" s="8">
        <f>'05_shares'!P50*INDEX('06_intensity'!$C$43:$BB$43,1,46)</f>
        <v>0.26615368960231128</v>
      </c>
      <c r="Q50" s="8">
        <f>'05_shares'!Q50*INDEX('06_intensity'!$C$43:$BB$43,1,46)</f>
        <v>0.1329054395249035</v>
      </c>
      <c r="R50" s="8">
        <f>'05_shares'!R50*INDEX('06_intensity'!$C$43:$BB$43,1,46)</f>
        <v>5.708348619441294E-2</v>
      </c>
      <c r="S50" s="8">
        <f>'05_shares'!S50*INDEX('06_intensity'!$C$43:$BB$43,1,46)</f>
        <v>6.1827541904874612E-2</v>
      </c>
      <c r="T50" s="8">
        <f>'05_shares'!T50*INDEX('06_intensity'!$C$43:$BB$43,1,46)</f>
        <v>2.8149169722564534E-2</v>
      </c>
      <c r="U50" s="8">
        <f>'05_shares'!U50*INDEX('06_intensity'!$C$43:$BB$43,1,46)</f>
        <v>4.032447353892421E-2</v>
      </c>
      <c r="V50" s="8">
        <f>'05_shares'!V50*INDEX('06_intensity'!$C$43:$BB$43,1,46)</f>
        <v>2.8503038679988251E-2</v>
      </c>
      <c r="W50" s="8">
        <f>'05_shares'!W50*INDEX('06_intensity'!$C$43:$BB$43,1,46)</f>
        <v>2.5119166774623981E-2</v>
      </c>
      <c r="X50" s="8">
        <f>'05_shares'!X50*INDEX('06_intensity'!$C$43:$BB$43,1,46)</f>
        <v>4.3487177345898666E-2</v>
      </c>
      <c r="Y50" s="8">
        <f>'05_shares'!Y50*INDEX('06_intensity'!$C$43:$BB$43,1,46)</f>
        <v>3.7819744824659483E-3</v>
      </c>
      <c r="Z50" s="8">
        <f>'05_shares'!Z50*INDEX('06_intensity'!$C$43:$BB$43,1,46)</f>
        <v>3.1687859296801679E-2</v>
      </c>
      <c r="AA50" s="8">
        <f>'05_shares'!AA50*INDEX('06_intensity'!$C$43:$BB$43,1,46)</f>
        <v>2.3897213031020218E-2</v>
      </c>
      <c r="AB50" s="8">
        <f>'05_shares'!AB50*INDEX('06_intensity'!$C$43:$BB$43,1,46)</f>
        <v>0.10245059237662509</v>
      </c>
      <c r="AC50" s="8">
        <f>'05_shares'!AC50*INDEX('06_intensity'!$C$43:$BB$43,1,46)</f>
        <v>2.4444604074535026E-2</v>
      </c>
      <c r="AD50" s="8">
        <f>'05_shares'!AD50*INDEX('06_intensity'!$C$43:$BB$43,1,46)</f>
        <v>1.9573376707499205E-2</v>
      </c>
      <c r="AE50" s="8">
        <f>'05_shares'!AE50*INDEX('06_intensity'!$C$43:$BB$43,1,46)</f>
        <v>8.9241327700293003E-3</v>
      </c>
      <c r="AF50" s="8">
        <f>'05_shares'!AF50*INDEX('06_intensity'!$C$43:$BB$43,1,46)</f>
        <v>1.0947820870296167E-2</v>
      </c>
      <c r="AG50" s="8">
        <f>'05_shares'!AG50*INDEX('06_intensity'!$C$43:$BB$43,1,46)</f>
        <v>2.3277942355528717E-3</v>
      </c>
      <c r="AH50" s="8">
        <f>'05_shares'!AH50*INDEX('06_intensity'!$C$43:$BB$43,1,46)</f>
        <v>1.9739252781291574E-3</v>
      </c>
      <c r="AI50" s="8">
        <f>'05_shares'!AI50*INDEX('06_intensity'!$C$43:$BB$43,1,46)</f>
        <v>7.5584197624721508E-3</v>
      </c>
    </row>
    <row r="51" spans="1:35" x14ac:dyDescent="0.2">
      <c r="A51" s="12" t="s">
        <v>1415</v>
      </c>
      <c r="B51" s="8">
        <f>'05_shares'!B51*INDEX('06_intensity'!$C$43:$BB$43,1,47)</f>
        <v>9.0117773859377717E-3</v>
      </c>
      <c r="C51" s="8">
        <f>'05_shares'!C51*INDEX('06_intensity'!$C$43:$BB$43,1,47)</f>
        <v>4.1042768746825289E-2</v>
      </c>
      <c r="D51" s="8">
        <f>'05_shares'!D51*INDEX('06_intensity'!$C$43:$BB$43,1,47)</f>
        <v>1.5063637341239082E-2</v>
      </c>
      <c r="E51" s="8">
        <f>'05_shares'!E51*INDEX('06_intensity'!$C$43:$BB$43,1,47)</f>
        <v>4.3870661083433356E-2</v>
      </c>
      <c r="F51" s="8">
        <f>'05_shares'!F51*INDEX('06_intensity'!$C$43:$BB$43,1,47)</f>
        <v>1.3296204630859038E-2</v>
      </c>
      <c r="G51" s="8">
        <f>'05_shares'!G51*INDEX('06_intensity'!$C$43:$BB$43,1,47)</f>
        <v>3.682222461191776E-2</v>
      </c>
      <c r="H51" s="8">
        <f>'05_shares'!H51*INDEX('06_intensity'!$C$43:$BB$43,1,47)</f>
        <v>1.0642926128288512E-2</v>
      </c>
      <c r="I51" s="8">
        <f>'05_shares'!I51*INDEX('06_intensity'!$C$43:$BB$43,1,47)</f>
        <v>2.3240675422997362E-2</v>
      </c>
      <c r="J51" s="8">
        <f>'05_shares'!J51*INDEX('06_intensity'!$C$43:$BB$43,1,47)</f>
        <v>5.6855967912225538E-3</v>
      </c>
      <c r="K51" s="8">
        <f>'05_shares'!K51*INDEX('06_intensity'!$C$43:$BB$43,1,47)</f>
        <v>2.1911906734711644E-2</v>
      </c>
      <c r="L51" s="8">
        <f>'05_shares'!L51*INDEX('06_intensity'!$C$43:$BB$43,1,47)</f>
        <v>0.60735802127059813</v>
      </c>
      <c r="M51" s="8">
        <f>'05_shares'!M51*INDEX('06_intensity'!$C$43:$BB$43,1,47)</f>
        <v>0.66552146350110486</v>
      </c>
      <c r="N51" s="8">
        <f>'05_shares'!N51*INDEX('06_intensity'!$C$43:$BB$43,1,47)</f>
        <v>0.12182934967019655</v>
      </c>
      <c r="O51" s="8">
        <f>'05_shares'!O51*INDEX('06_intensity'!$C$43:$BB$43,1,47)</f>
        <v>2.5225310707424113E-2</v>
      </c>
      <c r="P51" s="8">
        <f>'05_shares'!P51*INDEX('06_intensity'!$C$43:$BB$43,1,47)</f>
        <v>0.19358285883762544</v>
      </c>
      <c r="Q51" s="8">
        <f>'05_shares'!Q51*INDEX('06_intensity'!$C$43:$BB$43,1,47)</f>
        <v>0.29273796332694646</v>
      </c>
      <c r="R51" s="8">
        <f>'05_shares'!R51*INDEX('06_intensity'!$C$43:$BB$43,1,47)</f>
        <v>2.1532866948630137E-2</v>
      </c>
      <c r="S51" s="8">
        <f>'05_shares'!S51*INDEX('06_intensity'!$C$43:$BB$43,1,47)</f>
        <v>1.253812505869603E-2</v>
      </c>
      <c r="T51" s="8">
        <f>'05_shares'!T51*INDEX('06_intensity'!$C$43:$BB$43,1,47)</f>
        <v>5.5365362011905025E-3</v>
      </c>
      <c r="U51" s="8">
        <f>'05_shares'!U51*INDEX('06_intensity'!$C$43:$BB$43,1,47)</f>
        <v>1.7687103725803198E-2</v>
      </c>
      <c r="V51" s="8">
        <f>'05_shares'!V51*INDEX('06_intensity'!$C$43:$BB$43,1,47)</f>
        <v>1.2031319052587053E-2</v>
      </c>
      <c r="W51" s="8">
        <f>'05_shares'!W51*INDEX('06_intensity'!$C$43:$BB$43,1,47)</f>
        <v>1.7657291607796787E-2</v>
      </c>
      <c r="X51" s="8">
        <f>'05_shares'!X51*INDEX('06_intensity'!$C$43:$BB$43,1,47)</f>
        <v>5.4930956863811616E-2</v>
      </c>
      <c r="Y51" s="8">
        <f>'05_shares'!Y51*INDEX('06_intensity'!$C$43:$BB$43,1,47)</f>
        <v>7.4998771156126725E-3</v>
      </c>
      <c r="Z51" s="8">
        <f>'05_shares'!Z51*INDEX('06_intensity'!$C$43:$BB$43,1,47)</f>
        <v>1.8202427479914005E-2</v>
      </c>
      <c r="AA51" s="8">
        <f>'05_shares'!AA51*INDEX('06_intensity'!$C$43:$BB$43,1,47)</f>
        <v>5.4258054771666921E-3</v>
      </c>
      <c r="AB51" s="8">
        <f>'05_shares'!AB51*INDEX('06_intensity'!$C$43:$BB$43,1,47)</f>
        <v>3.8670575928315201E-2</v>
      </c>
      <c r="AC51" s="8">
        <f>'05_shares'!AC51*INDEX('06_intensity'!$C$43:$BB$43,1,47)</f>
        <v>8.4538648918178055E-3</v>
      </c>
      <c r="AD51" s="8">
        <f>'05_shares'!AD51*INDEX('06_intensity'!$C$43:$BB$43,1,47)</f>
        <v>2.8534455806135666E-4</v>
      </c>
      <c r="AE51" s="8">
        <f>'05_shares'!AE51*INDEX('06_intensity'!$C$43:$BB$43,1,47)</f>
        <v>3.0365771626529444E-3</v>
      </c>
      <c r="AF51" s="8">
        <f>'05_shares'!AF51*INDEX('06_intensity'!$C$43:$BB$43,1,47)</f>
        <v>4.0203770568644874E-3</v>
      </c>
      <c r="AG51" s="8">
        <f>'05_shares'!AG51*INDEX('06_intensity'!$C$43:$BB$43,1,47)</f>
        <v>8.3048043017857536E-4</v>
      </c>
      <c r="AH51" s="8">
        <f>'05_shares'!AH51*INDEX('06_intensity'!$C$43:$BB$43,1,47)</f>
        <v>5.1958262811172408E-4</v>
      </c>
      <c r="AI51" s="8">
        <f>'05_shares'!AI51*INDEX('06_intensity'!$C$43:$BB$43,1,47)</f>
        <v>1.2819210742756471E-3</v>
      </c>
    </row>
    <row r="52" spans="1:35" x14ac:dyDescent="0.2">
      <c r="A52" s="12" t="s">
        <v>1416</v>
      </c>
      <c r="B52" s="8">
        <f>'05_shares'!B52*INDEX('06_intensity'!$C$43:$BB$43,1,48)</f>
        <v>5.0050181732262153E-2</v>
      </c>
      <c r="C52" s="8">
        <f>'05_shares'!C52*INDEX('06_intensity'!$C$43:$BB$43,1,48)</f>
        <v>0.1547589458383386</v>
      </c>
      <c r="D52" s="8">
        <f>'05_shares'!D52*INDEX('06_intensity'!$C$43:$BB$43,1,48)</f>
        <v>6.2343589470037312E-2</v>
      </c>
      <c r="E52" s="8">
        <f>'05_shares'!E52*INDEX('06_intensity'!$C$43:$BB$43,1,48)</f>
        <v>7.6451934654450118E-2</v>
      </c>
      <c r="F52" s="8">
        <f>'05_shares'!F52*INDEX('06_intensity'!$C$43:$BB$43,1,48)</f>
        <v>3.0071766898263977E-2</v>
      </c>
      <c r="G52" s="8">
        <f>'05_shares'!G52*INDEX('06_intensity'!$C$43:$BB$43,1,48)</f>
        <v>6.3485926069744097E-2</v>
      </c>
      <c r="H52" s="8">
        <f>'05_shares'!H52*INDEX('06_intensity'!$C$43:$BB$43,1,48)</f>
        <v>2.1406064373612727E-2</v>
      </c>
      <c r="I52" s="8">
        <f>'05_shares'!I52*INDEX('06_intensity'!$C$43:$BB$43,1,48)</f>
        <v>5.9657525442616613E-2</v>
      </c>
      <c r="J52" s="8">
        <f>'05_shares'!J52*INDEX('06_intensity'!$C$43:$BB$43,1,48)</f>
        <v>1.5171488458593856E-2</v>
      </c>
      <c r="K52" s="8">
        <f>'05_shares'!K52*INDEX('06_intensity'!$C$43:$BB$43,1,48)</f>
        <v>3.6088289958068162E-2</v>
      </c>
      <c r="L52" s="8">
        <f>'05_shares'!L52*INDEX('06_intensity'!$C$43:$BB$43,1,48)</f>
        <v>0.25776993522595248</v>
      </c>
      <c r="M52" s="8">
        <f>'05_shares'!M52*INDEX('06_intensity'!$C$43:$BB$43,1,48)</f>
        <v>0.59115973276829703</v>
      </c>
      <c r="N52" s="8">
        <f>'05_shares'!N52*INDEX('06_intensity'!$C$43:$BB$43,1,48)</f>
        <v>0.29194348245041901</v>
      </c>
      <c r="O52" s="8">
        <f>'05_shares'!O52*INDEX('06_intensity'!$C$43:$BB$43,1,48)</f>
        <v>6.7851322534340577E-2</v>
      </c>
      <c r="P52" s="8">
        <f>'05_shares'!P52*INDEX('06_intensity'!$C$43:$BB$43,1,48)</f>
        <v>0.41331105075886709</v>
      </c>
      <c r="Q52" s="8">
        <f>'05_shares'!Q52*INDEX('06_intensity'!$C$43:$BB$43,1,48)</f>
        <v>0.17820559439433353</v>
      </c>
      <c r="R52" s="8">
        <f>'05_shares'!R52*INDEX('06_intensity'!$C$43:$BB$43,1,48)</f>
        <v>5.7583311217887873E-2</v>
      </c>
      <c r="S52" s="8">
        <f>'05_shares'!S52*INDEX('06_intensity'!$C$43:$BB$43,1,48)</f>
        <v>5.0761836821918038E-2</v>
      </c>
      <c r="T52" s="8">
        <f>'05_shares'!T52*INDEX('06_intensity'!$C$43:$BB$43,1,48)</f>
        <v>3.7544145339650788E-2</v>
      </c>
      <c r="U52" s="8">
        <f>'05_shares'!U52*INDEX('06_intensity'!$C$43:$BB$43,1,48)</f>
        <v>3.9612935364001053E-2</v>
      </c>
      <c r="V52" s="8">
        <f>'05_shares'!V52*INDEX('06_intensity'!$C$43:$BB$43,1,48)</f>
        <v>3.0693380261637183E-2</v>
      </c>
      <c r="W52" s="8">
        <f>'05_shares'!W52*INDEX('06_intensity'!$C$43:$BB$43,1,48)</f>
        <v>4.8569375028938551E-2</v>
      </c>
      <c r="X52" s="8">
        <f>'05_shares'!X52*INDEX('06_intensity'!$C$43:$BB$43,1,48)</f>
        <v>8.0016719143183729E-2</v>
      </c>
      <c r="Y52" s="8">
        <f>'05_shares'!Y52*INDEX('06_intensity'!$C$43:$BB$43,1,48)</f>
        <v>8.7470655303283715E-3</v>
      </c>
      <c r="Z52" s="8">
        <f>'05_shares'!Z52*INDEX('06_intensity'!$C$43:$BB$43,1,48)</f>
        <v>2.7396551271600234E-2</v>
      </c>
      <c r="AA52" s="8">
        <f>'05_shares'!AA52*INDEX('06_intensity'!$C$43:$BB$43,1,48)</f>
        <v>2.9094325990062828E-2</v>
      </c>
      <c r="AB52" s="8">
        <f>'05_shares'!AB52*INDEX('06_intensity'!$C$43:$BB$43,1,48)</f>
        <v>0.10039760964526472</v>
      </c>
      <c r="AC52" s="8">
        <f>'05_shares'!AC52*INDEX('06_intensity'!$C$43:$BB$43,1,48)</f>
        <v>2.7139444173660533E-2</v>
      </c>
      <c r="AD52" s="8">
        <f>'05_shares'!AD52*INDEX('06_intensity'!$C$43:$BB$43,1,48)</f>
        <v>1.3880528768516868E-2</v>
      </c>
      <c r="AE52" s="8">
        <f>'05_shares'!AE52*INDEX('06_intensity'!$C$43:$BB$43,1,48)</f>
        <v>9.2384980846181835E-3</v>
      </c>
      <c r="AF52" s="8">
        <f>'05_shares'!AF52*INDEX('06_intensity'!$C$43:$BB$43,1,48)</f>
        <v>2.0686815403426977E-2</v>
      </c>
      <c r="AG52" s="8">
        <f>'05_shares'!AG52*INDEX('06_intensity'!$C$43:$BB$43,1,48)</f>
        <v>1.2829318735168462E-2</v>
      </c>
      <c r="AH52" s="8">
        <f>'05_shares'!AH52*INDEX('06_intensity'!$C$43:$BB$43,1,48)</f>
        <v>7.325925031167988E-3</v>
      </c>
      <c r="AI52" s="8">
        <f>'05_shares'!AI52*INDEX('06_intensity'!$C$43:$BB$43,1,48)</f>
        <v>1.1468929280246997E-2</v>
      </c>
    </row>
    <row r="53" spans="1:35" x14ac:dyDescent="0.2">
      <c r="A53" s="12" t="s">
        <v>1417</v>
      </c>
      <c r="B53" s="8">
        <f>'05_shares'!B53*INDEX('06_intensity'!$C$43:$BB$43,1,49)</f>
        <v>7.3276199704284228E-2</v>
      </c>
      <c r="C53" s="8">
        <f>'05_shares'!C53*INDEX('06_intensity'!$C$43:$BB$43,1,49)</f>
        <v>0.11958174900251971</v>
      </c>
      <c r="D53" s="8">
        <f>'05_shares'!D53*INDEX('06_intensity'!$C$43:$BB$43,1,49)</f>
        <v>5.9472231548879165E-2</v>
      </c>
      <c r="E53" s="8">
        <f>'05_shares'!E53*INDEX('06_intensity'!$C$43:$BB$43,1,49)</f>
        <v>6.3628046564470506E-2</v>
      </c>
      <c r="F53" s="8">
        <f>'05_shares'!F53*INDEX('06_intensity'!$C$43:$BB$43,1,49)</f>
        <v>4.4208345484160173E-2</v>
      </c>
      <c r="G53" s="8">
        <f>'05_shares'!G53*INDEX('06_intensity'!$C$43:$BB$43,1,49)</f>
        <v>6.9670329417662269E-2</v>
      </c>
      <c r="H53" s="8">
        <f>'05_shares'!H53*INDEX('06_intensity'!$C$43:$BB$43,1,49)</f>
        <v>3.3030198375385456E-2</v>
      </c>
      <c r="I53" s="8">
        <f>'05_shares'!I53*INDEX('06_intensity'!$C$43:$BB$43,1,49)</f>
        <v>6.8852775388446474E-2</v>
      </c>
      <c r="J53" s="8">
        <f>'05_shares'!J53*INDEX('06_intensity'!$C$43:$BB$43,1,49)</f>
        <v>2.1694634031171677E-2</v>
      </c>
      <c r="K53" s="8">
        <f>'05_shares'!K53*INDEX('06_intensity'!$C$43:$BB$43,1,49)</f>
        <v>2.7189511143062433E-2</v>
      </c>
      <c r="L53" s="8">
        <f>'05_shares'!L53*INDEX('06_intensity'!$C$43:$BB$43,1,49)</f>
        <v>0.11902367951301153</v>
      </c>
      <c r="M53" s="8">
        <f>'05_shares'!M53*INDEX('06_intensity'!$C$43:$BB$43,1,49)</f>
        <v>0.25617877776340142</v>
      </c>
      <c r="N53" s="8">
        <f>'05_shares'!N53*INDEX('06_intensity'!$C$43:$BB$43,1,49)</f>
        <v>0.18587776380891555</v>
      </c>
      <c r="O53" s="8">
        <f>'05_shares'!O53*INDEX('06_intensity'!$C$43:$BB$43,1,49)</f>
        <v>3.4227077162256037E-2</v>
      </c>
      <c r="P53" s="8">
        <f>'05_shares'!P53*INDEX('06_intensity'!$C$43:$BB$43,1,49)</f>
        <v>0.21427329409445467</v>
      </c>
      <c r="Q53" s="8">
        <f>'05_shares'!Q53*INDEX('06_intensity'!$C$43:$BB$43,1,49)</f>
        <v>5.7517718841766367E-2</v>
      </c>
      <c r="R53" s="8">
        <f>'05_shares'!R53*INDEX('06_intensity'!$C$43:$BB$43,1,49)</f>
        <v>5.3436042266091485E-2</v>
      </c>
      <c r="S53" s="8">
        <f>'05_shares'!S53*INDEX('06_intensity'!$C$43:$BB$43,1,49)</f>
        <v>5.2963282762240611E-2</v>
      </c>
      <c r="T53" s="8">
        <f>'05_shares'!T53*INDEX('06_intensity'!$C$43:$BB$43,1,49)</f>
        <v>7.442331433285472E-2</v>
      </c>
      <c r="U53" s="8">
        <f>'05_shares'!U53*INDEX('06_intensity'!$C$43:$BB$43,1,49)</f>
        <v>5.3444167026630282E-2</v>
      </c>
      <c r="V53" s="8">
        <f>'05_shares'!V53*INDEX('06_intensity'!$C$43:$BB$43,1,49)</f>
        <v>4.1618070264887029E-2</v>
      </c>
      <c r="W53" s="8">
        <f>'05_shares'!W53*INDEX('06_intensity'!$C$43:$BB$43,1,49)</f>
        <v>5.1618634893070788E-2</v>
      </c>
      <c r="X53" s="8">
        <f>'05_shares'!X53*INDEX('06_intensity'!$C$43:$BB$43,1,49)</f>
        <v>5.5338759624769494E-2</v>
      </c>
      <c r="Y53" s="8">
        <f>'05_shares'!Y53*INDEX('06_intensity'!$C$43:$BB$43,1,49)</f>
        <v>1.5639148442104379E-2</v>
      </c>
      <c r="Z53" s="8">
        <f>'05_shares'!Z53*INDEX('06_intensity'!$C$43:$BB$43,1,49)</f>
        <v>4.9249759398479684E-2</v>
      </c>
      <c r="AA53" s="8">
        <f>'05_shares'!AA53*INDEX('06_intensity'!$C$43:$BB$43,1,49)</f>
        <v>5.2667744597642112E-2</v>
      </c>
      <c r="AB53" s="8">
        <f>'05_shares'!AB53*INDEX('06_intensity'!$C$43:$BB$43,1,49)</f>
        <v>0.11046932226073247</v>
      </c>
      <c r="AC53" s="8">
        <f>'05_shares'!AC53*INDEX('06_intensity'!$C$43:$BB$43,1,49)</f>
        <v>5.2107643917999241E-2</v>
      </c>
      <c r="AD53" s="8">
        <f>'05_shares'!AD53*INDEX('06_intensity'!$C$43:$BB$43,1,49)</f>
        <v>2.1815489844186187E-2</v>
      </c>
      <c r="AE53" s="8">
        <f>'05_shares'!AE53*INDEX('06_intensity'!$C$43:$BB$43,1,49)</f>
        <v>1.9244510931192664E-2</v>
      </c>
      <c r="AF53" s="8">
        <f>'05_shares'!AF53*INDEX('06_intensity'!$C$43:$BB$43,1,49)</f>
        <v>3.2582320950684626E-2</v>
      </c>
      <c r="AG53" s="8">
        <f>'05_shares'!AG53*INDEX('06_intensity'!$C$43:$BB$43,1,49)</f>
        <v>2.8221355731488824E-2</v>
      </c>
      <c r="AH53" s="8">
        <f>'05_shares'!AH53*INDEX('06_intensity'!$C$43:$BB$43,1,49)</f>
        <v>1.9070336377142342E-2</v>
      </c>
      <c r="AI53" s="8">
        <f>'05_shares'!AI53*INDEX('06_intensity'!$C$43:$BB$43,1,49)</f>
        <v>3.1517977320103072E-2</v>
      </c>
    </row>
    <row r="54" spans="1:35" x14ac:dyDescent="0.2">
      <c r="A54" s="12" t="s">
        <v>1418</v>
      </c>
      <c r="B54" s="8">
        <f>'05_shares'!B54*INDEX('06_intensity'!$C$43:$BB$43,1,50)</f>
        <v>5.9251703938491079E-2</v>
      </c>
      <c r="C54" s="8">
        <f>'05_shares'!C54*INDEX('06_intensity'!$C$43:$BB$43,1,50)</f>
        <v>0.12773314994426066</v>
      </c>
      <c r="D54" s="8">
        <f>'05_shares'!D54*INDEX('06_intensity'!$C$43:$BB$43,1,50)</f>
        <v>6.7542204871459857E-2</v>
      </c>
      <c r="E54" s="8">
        <f>'05_shares'!E54*INDEX('06_intensity'!$C$43:$BB$43,1,50)</f>
        <v>6.3071284551350609E-2</v>
      </c>
      <c r="F54" s="8">
        <f>'05_shares'!F54*INDEX('06_intensity'!$C$43:$BB$43,1,50)</f>
        <v>3.0633506963955597E-2</v>
      </c>
      <c r="G54" s="8">
        <f>'05_shares'!G54*INDEX('06_intensity'!$C$43:$BB$43,1,50)</f>
        <v>7.0425526067896371E-2</v>
      </c>
      <c r="H54" s="8">
        <f>'05_shares'!H54*INDEX('06_intensity'!$C$43:$BB$43,1,50)</f>
        <v>2.2406616012569699E-2</v>
      </c>
      <c r="I54" s="8">
        <f>'05_shares'!I54*INDEX('06_intensity'!$C$43:$BB$43,1,50)</f>
        <v>6.8347268700868186E-2</v>
      </c>
      <c r="J54" s="8">
        <f>'05_shares'!J54*INDEX('06_intensity'!$C$43:$BB$43,1,50)</f>
        <v>1.1702248799325571E-2</v>
      </c>
      <c r="K54" s="8">
        <f>'05_shares'!K54*INDEX('06_intensity'!$C$43:$BB$43,1,50)</f>
        <v>2.3109307527868089E-2</v>
      </c>
      <c r="L54" s="8">
        <f>'05_shares'!L54*INDEX('06_intensity'!$C$43:$BB$43,1,50)</f>
        <v>8.8409591850518804E-2</v>
      </c>
      <c r="M54" s="8">
        <f>'05_shares'!M54*INDEX('06_intensity'!$C$43:$BB$43,1,50)</f>
        <v>0.3735492855434791</v>
      </c>
      <c r="N54" s="8">
        <f>'05_shares'!N54*INDEX('06_intensity'!$C$43:$BB$43,1,50)</f>
        <v>0.26077276382088066</v>
      </c>
      <c r="O54" s="8">
        <f>'05_shares'!O54*INDEX('06_intensity'!$C$43:$BB$43,1,50)</f>
        <v>4.3657981995037815E-2</v>
      </c>
      <c r="P54" s="8">
        <f>'05_shares'!P54*INDEX('06_intensity'!$C$43:$BB$43,1,50)</f>
        <v>0.37463363694827478</v>
      </c>
      <c r="Q54" s="8">
        <f>'05_shares'!Q54*INDEX('06_intensity'!$C$43:$BB$43,1,50)</f>
        <v>0.1012621211501348</v>
      </c>
      <c r="R54" s="8">
        <f>'05_shares'!R54*INDEX('06_intensity'!$C$43:$BB$43,1,50)</f>
        <v>3.8383323053469892E-2</v>
      </c>
      <c r="S54" s="8">
        <f>'05_shares'!S54*INDEX('06_intensity'!$C$43:$BB$43,1,50)</f>
        <v>5.8643764791592189E-2</v>
      </c>
      <c r="T54" s="8">
        <f>'05_shares'!T54*INDEX('06_intensity'!$C$43:$BB$43,1,50)</f>
        <v>6.718506132903096E-2</v>
      </c>
      <c r="U54" s="8">
        <f>'05_shares'!U54*INDEX('06_intensity'!$C$43:$BB$43,1,50)</f>
        <v>4.4306008682413411E-2</v>
      </c>
      <c r="V54" s="8">
        <f>'05_shares'!V54*INDEX('06_intensity'!$C$43:$BB$43,1,50)</f>
        <v>2.587402261281152E-2</v>
      </c>
      <c r="W54" s="8">
        <f>'05_shares'!W54*INDEX('06_intensity'!$C$43:$BB$43,1,50)</f>
        <v>4.3300175848634118E-2</v>
      </c>
      <c r="X54" s="8">
        <f>'05_shares'!X54*INDEX('06_intensity'!$C$43:$BB$43,1,50)</f>
        <v>3.914266720861552E-2</v>
      </c>
      <c r="Y54" s="8">
        <f>'05_shares'!Y54*INDEX('06_intensity'!$C$43:$BB$43,1,50)</f>
        <v>7.1153727836225384E-3</v>
      </c>
      <c r="Z54" s="8">
        <f>'05_shares'!Z54*INDEX('06_intensity'!$C$43:$BB$43,1,50)</f>
        <v>2.3299806170629319E-2</v>
      </c>
      <c r="AA54" s="8">
        <f>'05_shares'!AA54*INDEX('06_intensity'!$C$43:$BB$43,1,50)</f>
        <v>2.7761118733103642E-2</v>
      </c>
      <c r="AB54" s="8">
        <f>'05_shares'!AB54*INDEX('06_intensity'!$C$43:$BB$43,1,50)</f>
        <v>9.1951541397928063E-2</v>
      </c>
      <c r="AC54" s="8">
        <f>'05_shares'!AC54*INDEX('06_intensity'!$C$43:$BB$43,1,50)</f>
        <v>2.8244488332736052E-2</v>
      </c>
      <c r="AD54" s="8">
        <f>'05_shares'!AD54*INDEX('06_intensity'!$C$43:$BB$43,1,50)</f>
        <v>1.1149968386311706E-2</v>
      </c>
      <c r="AE54" s="8">
        <f>'05_shares'!AE54*INDEX('06_intensity'!$C$43:$BB$43,1,50)</f>
        <v>1.6008180729704214E-2</v>
      </c>
      <c r="AF54" s="8">
        <f>'05_shares'!AF54*INDEX('06_intensity'!$C$43:$BB$43,1,50)</f>
        <v>2.2485797187560892E-2</v>
      </c>
      <c r="AG54" s="8">
        <f>'05_shares'!AG54*INDEX('06_intensity'!$C$43:$BB$43,1,50)</f>
        <v>1.3968023091228283E-2</v>
      </c>
      <c r="AH54" s="8">
        <f>'05_shares'!AH54*INDEX('06_intensity'!$C$43:$BB$43,1,50)</f>
        <v>4.602115907123931E-3</v>
      </c>
      <c r="AI54" s="8">
        <f>'05_shares'!AI54*INDEX('06_intensity'!$C$43:$BB$43,1,50)</f>
        <v>7.0547445199263554E-3</v>
      </c>
    </row>
    <row r="55" spans="1:35" x14ac:dyDescent="0.2">
      <c r="A55" s="12" t="s">
        <v>1419</v>
      </c>
      <c r="B55" s="8">
        <f>'05_shares'!B55*INDEX('06_intensity'!$C$43:$BB$43,1,51)</f>
        <v>6.0999872243706885E-2</v>
      </c>
      <c r="C55" s="8">
        <f>'05_shares'!C55*INDEX('06_intensity'!$C$43:$BB$43,1,51)</f>
        <v>0.12626222650878793</v>
      </c>
      <c r="D55" s="8">
        <f>'05_shares'!D55*INDEX('06_intensity'!$C$43:$BB$43,1,51)</f>
        <v>5.5127076559380601E-2</v>
      </c>
      <c r="E55" s="8">
        <f>'05_shares'!E55*INDEX('06_intensity'!$C$43:$BB$43,1,51)</f>
        <v>5.0281732049388711E-2</v>
      </c>
      <c r="F55" s="8">
        <f>'05_shares'!F55*INDEX('06_intensity'!$C$43:$BB$43,1,51)</f>
        <v>2.6276823724916396E-2</v>
      </c>
      <c r="G55" s="8">
        <f>'05_shares'!G55*INDEX('06_intensity'!$C$43:$BB$43,1,51)</f>
        <v>6.3566579710058121E-2</v>
      </c>
      <c r="H55" s="8">
        <f>'05_shares'!H55*INDEX('06_intensity'!$C$43:$BB$43,1,51)</f>
        <v>2.1427638275955029E-2</v>
      </c>
      <c r="I55" s="8">
        <f>'05_shares'!I55*INDEX('06_intensity'!$C$43:$BB$43,1,51)</f>
        <v>5.5312401864657745E-2</v>
      </c>
      <c r="J55" s="8">
        <f>'05_shares'!J55*INDEX('06_intensity'!$C$43:$BB$43,1,51)</f>
        <v>1.3270444139533879E-2</v>
      </c>
      <c r="K55" s="8">
        <f>'05_shares'!K55*INDEX('06_intensity'!$C$43:$BB$43,1,51)</f>
        <v>1.9408264612753887E-2</v>
      </c>
      <c r="L55" s="8">
        <f>'05_shares'!L55*INDEX('06_intensity'!$C$43:$BB$43,1,51)</f>
        <v>0.12431775115549154</v>
      </c>
      <c r="M55" s="8">
        <f>'05_shares'!M55*INDEX('06_intensity'!$C$43:$BB$43,1,51)</f>
        <v>0.36916800811205763</v>
      </c>
      <c r="N55" s="8">
        <f>'05_shares'!N55*INDEX('06_intensity'!$C$43:$BB$43,1,51)</f>
        <v>0.24181015376222717</v>
      </c>
      <c r="O55" s="8">
        <f>'05_shares'!O55*INDEX('06_intensity'!$C$43:$BB$43,1,51)</f>
        <v>3.585420504530068E-2</v>
      </c>
      <c r="P55" s="8">
        <f>'05_shares'!P55*INDEX('06_intensity'!$C$43:$BB$43,1,51)</f>
        <v>0.31774167624976557</v>
      </c>
      <c r="Q55" s="8">
        <f>'05_shares'!Q55*INDEX('06_intensity'!$C$43:$BB$43,1,51)</f>
        <v>7.5883510750419977E-2</v>
      </c>
      <c r="R55" s="8">
        <f>'05_shares'!R55*INDEX('06_intensity'!$C$43:$BB$43,1,51)</f>
        <v>4.8464007682084975E-2</v>
      </c>
      <c r="S55" s="8">
        <f>'05_shares'!S55*INDEX('06_intensity'!$C$43:$BB$43,1,51)</f>
        <v>5.6776759846769838E-2</v>
      </c>
      <c r="T55" s="8">
        <f>'05_shares'!T55*INDEX('06_intensity'!$C$43:$BB$43,1,51)</f>
        <v>6.3301554921164391E-2</v>
      </c>
      <c r="U55" s="8">
        <f>'05_shares'!U55*INDEX('06_intensity'!$C$43:$BB$43,1,51)</f>
        <v>4.4764223219738809E-2</v>
      </c>
      <c r="V55" s="8">
        <f>'05_shares'!V55*INDEX('06_intensity'!$C$43:$BB$43,1,51)</f>
        <v>2.2325457760069656E-2</v>
      </c>
      <c r="W55" s="8">
        <f>'05_shares'!W55*INDEX('06_intensity'!$C$43:$BB$43,1,51)</f>
        <v>3.7222539553175928E-2</v>
      </c>
      <c r="X55" s="8">
        <f>'05_shares'!X55*INDEX('06_intensity'!$C$43:$BB$43,1,51)</f>
        <v>3.9213106174106005E-2</v>
      </c>
      <c r="Y55" s="8">
        <f>'05_shares'!Y55*INDEX('06_intensity'!$C$43:$BB$43,1,51)</f>
        <v>1.0531854654298666E-2</v>
      </c>
      <c r="Z55" s="8">
        <f>'05_shares'!Z55*INDEX('06_intensity'!$C$43:$BB$43,1,51)</f>
        <v>3.0812012413123233E-2</v>
      </c>
      <c r="AA55" s="8">
        <f>'05_shares'!AA55*INDEX('06_intensity'!$C$43:$BB$43,1,51)</f>
        <v>2.8901145275809743E-2</v>
      </c>
      <c r="AB55" s="8">
        <f>'05_shares'!AB55*INDEX('06_intensity'!$C$43:$BB$43,1,51)</f>
        <v>0.10760582569930864</v>
      </c>
      <c r="AC55" s="8">
        <f>'05_shares'!AC55*INDEX('06_intensity'!$C$43:$BB$43,1,51)</f>
        <v>3.9100758709248874E-2</v>
      </c>
      <c r="AD55" s="8">
        <f>'05_shares'!AD55*INDEX('06_intensity'!$C$43:$BB$43,1,51)</f>
        <v>8.5355266249143736E-3</v>
      </c>
      <c r="AE55" s="8">
        <f>'05_shares'!AE55*INDEX('06_intensity'!$C$43:$BB$43,1,51)</f>
        <v>1.4437129351511712E-2</v>
      </c>
      <c r="AF55" s="8">
        <f>'05_shares'!AF55*INDEX('06_intensity'!$C$43:$BB$43,1,51)</f>
        <v>1.9358332406150723E-2</v>
      </c>
      <c r="AG55" s="8">
        <f>'05_shares'!AG55*INDEX('06_intensity'!$C$43:$BB$43,1,51)</f>
        <v>1.6552526488949712E-2</v>
      </c>
      <c r="AH55" s="8">
        <f>'05_shares'!AH55*INDEX('06_intensity'!$C$43:$BB$43,1,51)</f>
        <v>6.9280936661893578E-3</v>
      </c>
      <c r="AI55" s="8">
        <f>'05_shares'!AI55*INDEX('06_intensity'!$C$43:$BB$43,1,51)</f>
        <v>1.159099357513122E-2</v>
      </c>
    </row>
    <row r="56" spans="1:35" x14ac:dyDescent="0.2">
      <c r="A56" s="12" t="s">
        <v>1420</v>
      </c>
      <c r="B56" s="8">
        <f>'05_shares'!B56*INDEX('06_intensity'!$C$43:$BB$43,1,52)</f>
        <v>5.4797607841467658E-2</v>
      </c>
      <c r="C56" s="8">
        <f>'05_shares'!C56*INDEX('06_intensity'!$C$43:$BB$43,1,52)</f>
        <v>2.3270217028568456E-2</v>
      </c>
      <c r="D56" s="8">
        <f>'05_shares'!D56*INDEX('06_intensity'!$C$43:$BB$43,1,52)</f>
        <v>4.9793260093388421E-2</v>
      </c>
      <c r="E56" s="8">
        <f>'05_shares'!E56*INDEX('06_intensity'!$C$43:$BB$43,1,52)</f>
        <v>3.8033042885402206E-2</v>
      </c>
      <c r="F56" s="8">
        <f>'05_shares'!F56*INDEX('06_intensity'!$C$43:$BB$43,1,52)</f>
        <v>3.6781955948382399E-2</v>
      </c>
      <c r="G56" s="8">
        <f>'05_shares'!G56*INDEX('06_intensity'!$C$43:$BB$43,1,52)</f>
        <v>0</v>
      </c>
      <c r="H56" s="8">
        <f>'05_shares'!H56*INDEX('06_intensity'!$C$43:$BB$43,1,52)</f>
        <v>0</v>
      </c>
      <c r="I56" s="8">
        <f>'05_shares'!I56*INDEX('06_intensity'!$C$43:$BB$43,1,52)</f>
        <v>0.13111391099967604</v>
      </c>
      <c r="J56" s="8">
        <f>'05_shares'!J56*INDEX('06_intensity'!$C$43:$BB$43,1,52)</f>
        <v>6.5556955499838018E-2</v>
      </c>
      <c r="K56" s="8">
        <f>'05_shares'!K56*INDEX('06_intensity'!$C$43:$BB$43,1,52)</f>
        <v>0</v>
      </c>
      <c r="L56" s="8">
        <f>'05_shares'!L56*INDEX('06_intensity'!$C$43:$BB$43,1,52)</f>
        <v>0</v>
      </c>
      <c r="M56" s="8">
        <f>'05_shares'!M56*INDEX('06_intensity'!$C$43:$BB$43,1,52)</f>
        <v>4.8041738381560679E-2</v>
      </c>
      <c r="N56" s="8">
        <f>'05_shares'!N56*INDEX('06_intensity'!$C$43:$BB$43,1,52)</f>
        <v>0.60877890355383923</v>
      </c>
      <c r="O56" s="8">
        <f>'05_shares'!O56*INDEX('06_intensity'!$C$43:$BB$43,1,52)</f>
        <v>0.33504108173390496</v>
      </c>
      <c r="P56" s="8">
        <f>'05_shares'!P56*INDEX('06_intensity'!$C$43:$BB$43,1,52)</f>
        <v>0.63880499004231472</v>
      </c>
      <c r="Q56" s="8">
        <f>'05_shares'!Q56*INDEX('06_intensity'!$C$43:$BB$43,1,52)</f>
        <v>0</v>
      </c>
      <c r="R56" s="8">
        <f>'05_shares'!R56*INDEX('06_intensity'!$C$43:$BB$43,1,52)</f>
        <v>0.12235630244053736</v>
      </c>
      <c r="S56" s="8">
        <f>'05_shares'!S56*INDEX('06_intensity'!$C$43:$BB$43,1,52)</f>
        <v>7.9318911807055914E-2</v>
      </c>
      <c r="T56" s="8">
        <f>'05_shares'!T56*INDEX('06_intensity'!$C$43:$BB$43,1,52)</f>
        <v>0</v>
      </c>
      <c r="U56" s="8">
        <f>'05_shares'!U56*INDEX('06_intensity'!$C$43:$BB$43,1,52)</f>
        <v>0</v>
      </c>
      <c r="V56" s="8">
        <f>'05_shares'!V56*INDEX('06_intensity'!$C$43:$BB$43,1,52)</f>
        <v>0</v>
      </c>
      <c r="W56" s="8">
        <f>'05_shares'!W56*INDEX('06_intensity'!$C$43:$BB$43,1,52)</f>
        <v>0.11409912865620662</v>
      </c>
      <c r="X56" s="8">
        <f>'05_shares'!X56*INDEX('06_intensity'!$C$43:$BB$43,1,52)</f>
        <v>3.9784564597229941E-2</v>
      </c>
      <c r="Y56" s="8">
        <f>'05_shares'!Y56*INDEX('06_intensity'!$C$43:$BB$43,1,52)</f>
        <v>1.201043459539017E-2</v>
      </c>
      <c r="Z56" s="8">
        <f>'05_shares'!Z56*INDEX('06_intensity'!$C$43:$BB$43,1,52)</f>
        <v>0</v>
      </c>
      <c r="AA56" s="8">
        <f>'05_shares'!AA56*INDEX('06_intensity'!$C$43:$BB$43,1,52)</f>
        <v>4.4288477570501257E-2</v>
      </c>
      <c r="AB56" s="8">
        <f>'05_shares'!AB56*INDEX('06_intensity'!$C$43:$BB$43,1,52)</f>
        <v>0.11134673739476304</v>
      </c>
      <c r="AC56" s="8">
        <f>'05_shares'!AC56*INDEX('06_intensity'!$C$43:$BB$43,1,52)</f>
        <v>3.8283260272806166E-2</v>
      </c>
      <c r="AD56" s="8">
        <f>'05_shares'!AD56*INDEX('06_intensity'!$C$43:$BB$43,1,52)</f>
        <v>2.0517825767124874E-2</v>
      </c>
      <c r="AE56" s="8">
        <f>'05_shares'!AE56*INDEX('06_intensity'!$C$43:$BB$43,1,52)</f>
        <v>0</v>
      </c>
      <c r="AF56" s="8">
        <f>'05_shares'!AF56*INDEX('06_intensity'!$C$43:$BB$43,1,52)</f>
        <v>0</v>
      </c>
      <c r="AG56" s="8">
        <f>'05_shares'!AG56*INDEX('06_intensity'!$C$43:$BB$43,1,52)</f>
        <v>7.7567390095228195E-3</v>
      </c>
      <c r="AH56" s="8">
        <f>'05_shares'!AH56*INDEX('06_intensity'!$C$43:$BB$43,1,52)</f>
        <v>0</v>
      </c>
      <c r="AI56" s="8">
        <f>'05_shares'!AI56*INDEX('06_intensity'!$C$43:$BB$43,1,52)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5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0" customWidth="1"/>
    <col min="2" max="35" width="11" customWidth="1"/>
  </cols>
  <sheetData>
    <row r="1" spans="1:35" ht="17" x14ac:dyDescent="0.2">
      <c r="A1" s="1" t="s">
        <v>1469</v>
      </c>
    </row>
    <row r="2" spans="1:35" x14ac:dyDescent="0.2">
      <c r="A2" s="2" t="s">
        <v>1470</v>
      </c>
    </row>
    <row r="4" spans="1:35" ht="30" customHeight="1" x14ac:dyDescent="0.2">
      <c r="A4" s="5" t="s">
        <v>1334</v>
      </c>
      <c r="B4" s="5" t="s">
        <v>1335</v>
      </c>
      <c r="C4" s="5" t="s">
        <v>1336</v>
      </c>
      <c r="D4" s="5" t="s">
        <v>1337</v>
      </c>
      <c r="E4" s="5" t="s">
        <v>1338</v>
      </c>
      <c r="F4" s="5" t="s">
        <v>1339</v>
      </c>
      <c r="G4" s="5" t="s">
        <v>1340</v>
      </c>
      <c r="H4" s="5" t="s">
        <v>1341</v>
      </c>
      <c r="I4" s="5" t="s">
        <v>1342</v>
      </c>
      <c r="J4" s="5" t="s">
        <v>1343</v>
      </c>
      <c r="K4" s="5" t="s">
        <v>1344</v>
      </c>
      <c r="L4" s="5" t="s">
        <v>1345</v>
      </c>
      <c r="M4" s="5" t="s">
        <v>1346</v>
      </c>
      <c r="N4" s="5" t="s">
        <v>1347</v>
      </c>
      <c r="O4" s="5" t="s">
        <v>1348</v>
      </c>
      <c r="P4" s="5" t="s">
        <v>1349</v>
      </c>
      <c r="Q4" s="5" t="s">
        <v>1350</v>
      </c>
      <c r="R4" s="5" t="s">
        <v>1351</v>
      </c>
      <c r="S4" s="5" t="s">
        <v>1352</v>
      </c>
      <c r="T4" s="5" t="s">
        <v>1353</v>
      </c>
      <c r="U4" s="5" t="s">
        <v>1354</v>
      </c>
      <c r="V4" s="5" t="s">
        <v>1355</v>
      </c>
      <c r="W4" s="5" t="s">
        <v>1356</v>
      </c>
      <c r="X4" s="5" t="s">
        <v>1357</v>
      </c>
      <c r="Y4" s="5" t="s">
        <v>1358</v>
      </c>
      <c r="Z4" s="5" t="s">
        <v>1359</v>
      </c>
      <c r="AA4" s="5" t="s">
        <v>1360</v>
      </c>
      <c r="AB4" s="5" t="s">
        <v>1361</v>
      </c>
      <c r="AC4" s="5" t="s">
        <v>1362</v>
      </c>
      <c r="AD4" s="5" t="s">
        <v>1363</v>
      </c>
      <c r="AE4" s="5" t="s">
        <v>1364</v>
      </c>
      <c r="AF4" s="5" t="s">
        <v>1365</v>
      </c>
      <c r="AG4" s="5" t="s">
        <v>1366</v>
      </c>
      <c r="AH4" s="5" t="s">
        <v>1367</v>
      </c>
      <c r="AI4" s="5" t="s">
        <v>1368</v>
      </c>
    </row>
    <row r="5" spans="1:35" x14ac:dyDescent="0.2">
      <c r="A5" s="12" t="s">
        <v>1369</v>
      </c>
      <c r="B5" s="17">
        <f>'07_E_manual'!B5/100*'04_L0'!B5</f>
        <v>298.01474095832208</v>
      </c>
      <c r="C5" s="17">
        <f>'07_E_manual'!C5/100*'04_L0'!C5</f>
        <v>1802.8682583275627</v>
      </c>
      <c r="D5" s="17">
        <f>'07_E_manual'!D5/100*'04_L0'!D5</f>
        <v>432.23808248671781</v>
      </c>
      <c r="E5" s="17">
        <f>'07_E_manual'!E5/100*'04_L0'!E5</f>
        <v>5.6778825115792042</v>
      </c>
      <c r="F5" s="17">
        <f>'07_E_manual'!F5/100*'04_L0'!F5</f>
        <v>19.175491628742598</v>
      </c>
      <c r="G5" s="17">
        <f>'07_E_manual'!G5/100*'04_L0'!G5</f>
        <v>344.26045355993864</v>
      </c>
      <c r="H5" s="17">
        <f>'07_E_manual'!H5/100*'04_L0'!H5</f>
        <v>13.08077293248596</v>
      </c>
      <c r="I5" s="17">
        <f>'07_E_manual'!I5/100*'04_L0'!I5</f>
        <v>1300.3993577584677</v>
      </c>
      <c r="J5" s="17">
        <f>'07_E_manual'!J5/100*'04_L0'!J5</f>
        <v>0.68226353687727082</v>
      </c>
      <c r="K5" s="17">
        <f>'07_E_manual'!K5/100*'04_L0'!K5</f>
        <v>0.18597705930888916</v>
      </c>
      <c r="L5" s="17">
        <f>'07_E_manual'!L5/100*'04_L0'!L5</f>
        <v>2.8992546876192623E-3</v>
      </c>
      <c r="M5" s="17">
        <f>'07_E_manual'!M5/100*'04_L0'!M5</f>
        <v>12918.156205189611</v>
      </c>
      <c r="N5" s="17">
        <f>'07_E_manual'!N5/100*'04_L0'!N5</f>
        <v>16851.289213591092</v>
      </c>
      <c r="O5" s="17">
        <f>'07_E_manual'!O5/100*'04_L0'!O5</f>
        <v>61.322509019321814</v>
      </c>
      <c r="P5" s="17">
        <f>'07_E_manual'!P5/100*'04_L0'!P5</f>
        <v>21639.987997785778</v>
      </c>
      <c r="Q5" s="17">
        <f>'07_E_manual'!Q5/100*'04_L0'!Q5</f>
        <v>633.67052967836707</v>
      </c>
      <c r="R5" s="17">
        <f>'07_E_manual'!R5/100*'04_L0'!R5</f>
        <v>40.734928349933305</v>
      </c>
      <c r="S5" s="17">
        <f>'07_E_manual'!S5/100*'04_L0'!S5</f>
        <v>463.23840893615125</v>
      </c>
      <c r="T5" s="17">
        <f>'07_E_manual'!T5/100*'04_L0'!T5</f>
        <v>1158.175202393099</v>
      </c>
      <c r="U5" s="17">
        <f>'07_E_manual'!U5/100*'04_L0'!U5</f>
        <v>273.69633075705281</v>
      </c>
      <c r="V5" s="17">
        <f>'07_E_manual'!V5/100*'04_L0'!V5</f>
        <v>17.32478251189578</v>
      </c>
      <c r="W5" s="17">
        <f>'07_E_manual'!W5/100*'04_L0'!W5</f>
        <v>142.24182125105486</v>
      </c>
      <c r="X5" s="17">
        <f>'07_E_manual'!X5/100*'04_L0'!X5</f>
        <v>19.342196642189929</v>
      </c>
      <c r="Y5" s="17">
        <f>'07_E_manual'!Y5/100*'04_L0'!Y5</f>
        <v>3.6479654101600283</v>
      </c>
      <c r="Z5" s="17">
        <f>'07_E_manual'!Z5/100*'04_L0'!Z5</f>
        <v>17.376282138559123</v>
      </c>
      <c r="AA5" s="17">
        <f>'07_E_manual'!AA5/100*'04_L0'!AA5</f>
        <v>97.647445559312928</v>
      </c>
      <c r="AB5" s="17">
        <f>'07_E_manual'!AB5/100*'04_L0'!AB5</f>
        <v>1539.369407974254</v>
      </c>
      <c r="AC5" s="17">
        <f>'07_E_manual'!AC5/100*'04_L0'!AC5</f>
        <v>48.513834377242631</v>
      </c>
      <c r="AD5" s="17">
        <f>'07_E_manual'!AD5/100*'04_L0'!AD5</f>
        <v>32.266884850106571</v>
      </c>
      <c r="AE5" s="17">
        <f>'07_E_manual'!AE5/100*'04_L0'!AE5</f>
        <v>21.12256992668247</v>
      </c>
      <c r="AF5" s="17">
        <f>'07_E_manual'!AF5/100*'04_L0'!AF5</f>
        <v>42.806556267715749</v>
      </c>
      <c r="AG5" s="17">
        <f>'07_E_manual'!AG5/100*'04_L0'!AG5</f>
        <v>4.7221522129817393</v>
      </c>
      <c r="AH5" s="17">
        <f>'07_E_manual'!AH5/100*'04_L0'!AH5</f>
        <v>16.307584018225917</v>
      </c>
      <c r="AI5" s="17">
        <f>'07_E_manual'!AI5/100*'04_L0'!AI5</f>
        <v>8.1108026185508528</v>
      </c>
    </row>
    <row r="6" spans="1:35" x14ac:dyDescent="0.2">
      <c r="A6" s="12" t="s">
        <v>1370</v>
      </c>
      <c r="B6" s="17">
        <f>'07_E_manual'!B6/100*'04_L0'!B6</f>
        <v>45.716463833363726</v>
      </c>
      <c r="C6" s="17">
        <f>'07_E_manual'!C6/100*'04_L0'!C6</f>
        <v>1078.105740637116</v>
      </c>
      <c r="D6" s="17">
        <f>'07_E_manual'!D6/100*'04_L0'!D6</f>
        <v>178.67609346428429</v>
      </c>
      <c r="E6" s="17">
        <f>'07_E_manual'!E6/100*'04_L0'!E6</f>
        <v>83.98473653876809</v>
      </c>
      <c r="F6" s="17">
        <f>'07_E_manual'!F6/100*'04_L0'!F6</f>
        <v>292.36855749176561</v>
      </c>
      <c r="G6" s="17">
        <f>'07_E_manual'!G6/100*'04_L0'!G6</f>
        <v>2689.112520607342</v>
      </c>
      <c r="H6" s="17">
        <f>'07_E_manual'!H6/100*'04_L0'!H6</f>
        <v>42.463876505309337</v>
      </c>
      <c r="I6" s="17">
        <f>'07_E_manual'!I6/100*'04_L0'!I6</f>
        <v>485.65883386611529</v>
      </c>
      <c r="J6" s="17">
        <f>'07_E_manual'!J6/100*'04_L0'!J6</f>
        <v>7.9922530242724026</v>
      </c>
      <c r="K6" s="17">
        <f>'07_E_manual'!K6/100*'04_L0'!K6</f>
        <v>0.7011389494638236</v>
      </c>
      <c r="L6" s="17">
        <f>'07_E_manual'!L6/100*'04_L0'!L6</f>
        <v>2.0891376195031281E-6</v>
      </c>
      <c r="M6" s="17">
        <f>'07_E_manual'!M6/100*'04_L0'!M6</f>
        <v>385.53456200837405</v>
      </c>
      <c r="N6" s="17">
        <f>'07_E_manual'!N6/100*'04_L0'!N6</f>
        <v>903.79235557894003</v>
      </c>
      <c r="O6" s="17">
        <f>'07_E_manual'!O6/100*'04_L0'!O6</f>
        <v>10.925431780789424</v>
      </c>
      <c r="P6" s="17">
        <f>'07_E_manual'!P6/100*'04_L0'!P6</f>
        <v>831.45865572459695</v>
      </c>
      <c r="Q6" s="17">
        <f>'07_E_manual'!Q6/100*'04_L0'!Q6</f>
        <v>12.708905769889538</v>
      </c>
      <c r="R6" s="17">
        <f>'07_E_manual'!R6/100*'04_L0'!R6</f>
        <v>35.756490622349517</v>
      </c>
      <c r="S6" s="17">
        <f>'07_E_manual'!S6/100*'04_L0'!S6</f>
        <v>11.591133069872317</v>
      </c>
      <c r="T6" s="17">
        <f>'07_E_manual'!T6/100*'04_L0'!T6</f>
        <v>272.04569798955293</v>
      </c>
      <c r="U6" s="17">
        <f>'07_E_manual'!U6/100*'04_L0'!U6</f>
        <v>442.95194344449015</v>
      </c>
      <c r="V6" s="17">
        <f>'07_E_manual'!V6/100*'04_L0'!V6</f>
        <v>35.439138116547475</v>
      </c>
      <c r="W6" s="17">
        <f>'07_E_manual'!W6/100*'04_L0'!W6</f>
        <v>128.44023609722146</v>
      </c>
      <c r="X6" s="17">
        <f>'07_E_manual'!X6/100*'04_L0'!X6</f>
        <v>7.0054914747370569</v>
      </c>
      <c r="Y6" s="17">
        <f>'07_E_manual'!Y6/100*'04_L0'!Y6</f>
        <v>3.5567631481824395E-2</v>
      </c>
      <c r="Z6" s="17">
        <f>'07_E_manual'!Z6/100*'04_L0'!Z6</f>
        <v>66.05650232090683</v>
      </c>
      <c r="AA6" s="17">
        <f>'07_E_manual'!AA6/100*'04_L0'!AA6</f>
        <v>88.422568361527851</v>
      </c>
      <c r="AB6" s="17">
        <f>'07_E_manual'!AB6/100*'04_L0'!AB6</f>
        <v>236.17445987565196</v>
      </c>
      <c r="AC6" s="17">
        <f>'07_E_manual'!AC6/100*'04_L0'!AC6</f>
        <v>77.731713409485323</v>
      </c>
      <c r="AD6" s="17">
        <f>'07_E_manual'!AD6/100*'04_L0'!AD6</f>
        <v>1.220187520835649</v>
      </c>
      <c r="AE6" s="17">
        <f>'07_E_manual'!AE6/100*'04_L0'!AE6</f>
        <v>1.4972093753110902</v>
      </c>
      <c r="AF6" s="17">
        <f>'07_E_manual'!AF6/100*'04_L0'!AF6</f>
        <v>16.144297336031823</v>
      </c>
      <c r="AG6" s="17">
        <f>'07_E_manual'!AG6/100*'04_L0'!AG6</f>
        <v>20.388157430544716</v>
      </c>
      <c r="AH6" s="17">
        <f>'07_E_manual'!AH6/100*'04_L0'!AH6</f>
        <v>0.19582311197741975</v>
      </c>
      <c r="AI6" s="17">
        <f>'07_E_manual'!AI6/100*'04_L0'!AI6</f>
        <v>1.0581240170786308</v>
      </c>
    </row>
    <row r="7" spans="1:35" x14ac:dyDescent="0.2">
      <c r="A7" s="12" t="s">
        <v>1371</v>
      </c>
      <c r="B7" s="17">
        <f>'07_E_manual'!B7/100*'04_L0'!B7</f>
        <v>1400.1448231550955</v>
      </c>
      <c r="C7" s="17">
        <f>'07_E_manual'!C7/100*'04_L0'!C7</f>
        <v>7545.3997922895633</v>
      </c>
      <c r="D7" s="17">
        <f>'07_E_manual'!D7/100*'04_L0'!D7</f>
        <v>409.03785363064048</v>
      </c>
      <c r="E7" s="17">
        <f>'07_E_manual'!E7/100*'04_L0'!E7</f>
        <v>9292.7819104762348</v>
      </c>
      <c r="F7" s="17">
        <f>'07_E_manual'!F7/100*'04_L0'!F7</f>
        <v>1922.9335798302006</v>
      </c>
      <c r="G7" s="17">
        <f>'07_E_manual'!G7/100*'04_L0'!G7</f>
        <v>5446.5037705048308</v>
      </c>
      <c r="H7" s="17">
        <f>'07_E_manual'!H7/100*'04_L0'!H7</f>
        <v>1040.1409332874111</v>
      </c>
      <c r="I7" s="17">
        <f>'07_E_manual'!I7/100*'04_L0'!I7</f>
        <v>1960.5294348504483</v>
      </c>
      <c r="J7" s="17">
        <f>'07_E_manual'!J7/100*'04_L0'!J7</f>
        <v>108.21626551843332</v>
      </c>
      <c r="K7" s="17">
        <f>'07_E_manual'!K7/100*'04_L0'!K7</f>
        <v>0.45087315670626432</v>
      </c>
      <c r="L7" s="17">
        <f>'07_E_manual'!L7/100*'04_L0'!L7</f>
        <v>0.16290670657617007</v>
      </c>
      <c r="M7" s="17">
        <f>'07_E_manual'!M7/100*'04_L0'!M7</f>
        <v>284.96259197781995</v>
      </c>
      <c r="N7" s="17">
        <f>'07_E_manual'!N7/100*'04_L0'!N7</f>
        <v>3729.8160977450316</v>
      </c>
      <c r="O7" s="17">
        <f>'07_E_manual'!O7/100*'04_L0'!O7</f>
        <v>0.82369346678489141</v>
      </c>
      <c r="P7" s="17">
        <f>'07_E_manual'!P7/100*'04_L0'!P7</f>
        <v>21689.007012679369</v>
      </c>
      <c r="Q7" s="17">
        <f>'07_E_manual'!Q7/100*'04_L0'!Q7</f>
        <v>10.388575727057779</v>
      </c>
      <c r="R7" s="17">
        <f>'07_E_manual'!R7/100*'04_L0'!R7</f>
        <v>23.57921501734948</v>
      </c>
      <c r="S7" s="17">
        <f>'07_E_manual'!S7/100*'04_L0'!S7</f>
        <v>718.98084442132665</v>
      </c>
      <c r="T7" s="17">
        <f>'07_E_manual'!T7/100*'04_L0'!T7</f>
        <v>397.77874714592605</v>
      </c>
      <c r="U7" s="17">
        <f>'07_E_manual'!U7/100*'04_L0'!U7</f>
        <v>3599.3147385617413</v>
      </c>
      <c r="V7" s="17">
        <f>'07_E_manual'!V7/100*'04_L0'!V7</f>
        <v>754.58174858145105</v>
      </c>
      <c r="W7" s="17">
        <f>'07_E_manual'!W7/100*'04_L0'!W7</f>
        <v>80.534673764424156</v>
      </c>
      <c r="X7" s="17">
        <f>'07_E_manual'!X7/100*'04_L0'!X7</f>
        <v>308.44952141473499</v>
      </c>
      <c r="Y7" s="17">
        <f>'07_E_manual'!Y7/100*'04_L0'!Y7</f>
        <v>9.8608840656435959</v>
      </c>
      <c r="Z7" s="17">
        <f>'07_E_manual'!Z7/100*'04_L0'!Z7</f>
        <v>65.101493425432366</v>
      </c>
      <c r="AA7" s="17">
        <f>'07_E_manual'!AA7/100*'04_L0'!AA7</f>
        <v>523.86324933034859</v>
      </c>
      <c r="AB7" s="17">
        <f>'07_E_manual'!AB7/100*'04_L0'!AB7</f>
        <v>242.94157588628369</v>
      </c>
      <c r="AC7" s="17">
        <f>'07_E_manual'!AC7/100*'04_L0'!AC7</f>
        <v>59.878891406468277</v>
      </c>
      <c r="AD7" s="17">
        <f>'07_E_manual'!AD7/100*'04_L0'!AD7</f>
        <v>4.9867478115000887</v>
      </c>
      <c r="AE7" s="17">
        <f>'07_E_manual'!AE7/100*'04_L0'!AE7</f>
        <v>388.54732193914441</v>
      </c>
      <c r="AF7" s="17">
        <f>'07_E_manual'!AF7/100*'04_L0'!AF7</f>
        <v>23.055223392361434</v>
      </c>
      <c r="AG7" s="17">
        <f>'07_E_manual'!AG7/100*'04_L0'!AG7</f>
        <v>229.34762555219231</v>
      </c>
      <c r="AH7" s="17">
        <f>'07_E_manual'!AH7/100*'04_L0'!AH7</f>
        <v>0.4396482111966078</v>
      </c>
      <c r="AI7" s="17">
        <f>'07_E_manual'!AI7/100*'04_L0'!AI7</f>
        <v>0.53012685910996704</v>
      </c>
    </row>
    <row r="8" spans="1:35" x14ac:dyDescent="0.2">
      <c r="A8" s="12" t="s">
        <v>1372</v>
      </c>
      <c r="B8" s="17">
        <f>'07_E_manual'!B8/100*'04_L0'!B8</f>
        <v>2.4258557122355979</v>
      </c>
      <c r="C8" s="17">
        <f>'07_E_manual'!C8/100*'04_L0'!C8</f>
        <v>66.986690775279783</v>
      </c>
      <c r="D8" s="17">
        <f>'07_E_manual'!D8/100*'04_L0'!D8</f>
        <v>8.8609661113182643</v>
      </c>
      <c r="E8" s="17">
        <f>'07_E_manual'!E8/100*'04_L0'!E8</f>
        <v>2.0305937777301675</v>
      </c>
      <c r="F8" s="17">
        <f>'07_E_manual'!F8/100*'04_L0'!F8</f>
        <v>0.2589772566775928</v>
      </c>
      <c r="G8" s="17">
        <f>'07_E_manual'!G8/100*'04_L0'!G8</f>
        <v>3.7207551140069852</v>
      </c>
      <c r="H8" s="17">
        <f>'07_E_manual'!H8/100*'04_L0'!H8</f>
        <v>0.41413528466302169</v>
      </c>
      <c r="I8" s="17">
        <f>'07_E_manual'!I8/100*'04_L0'!I8</f>
        <v>282.882965172024</v>
      </c>
      <c r="J8" s="17">
        <f>'07_E_manual'!J8/100*'04_L0'!J8</f>
        <v>4.4904364908209073E-2</v>
      </c>
      <c r="K8" s="17">
        <f>'07_E_manual'!K8/100*'04_L0'!K8</f>
        <v>2.7829356283901957E-2</v>
      </c>
      <c r="L8" s="17">
        <f>'07_E_manual'!L8/100*'04_L0'!L8</f>
        <v>8.7029182430712004E-2</v>
      </c>
      <c r="M8" s="17">
        <f>'07_E_manual'!M8/100*'04_L0'!M8</f>
        <v>855.63393389788519</v>
      </c>
      <c r="N8" s="17">
        <f>'07_E_manual'!N8/100*'04_L0'!N8</f>
        <v>4583.4247374227025</v>
      </c>
      <c r="O8" s="17">
        <f>'07_E_manual'!O8/100*'04_L0'!O8</f>
        <v>110.22671491401751</v>
      </c>
      <c r="P8" s="17">
        <f>'07_E_manual'!P8/100*'04_L0'!P8</f>
        <v>14741.854075228239</v>
      </c>
      <c r="Q8" s="17">
        <f>'07_E_manual'!Q8/100*'04_L0'!Q8</f>
        <v>9.5092920229151812</v>
      </c>
      <c r="R8" s="17">
        <f>'07_E_manual'!R8/100*'04_L0'!R8</f>
        <v>117.04973154965018</v>
      </c>
      <c r="S8" s="17">
        <f>'07_E_manual'!S8/100*'04_L0'!S8</f>
        <v>303.42586816242732</v>
      </c>
      <c r="T8" s="17">
        <f>'07_E_manual'!T8/100*'04_L0'!T8</f>
        <v>171.40212912611889</v>
      </c>
      <c r="U8" s="17">
        <f>'07_E_manual'!U8/100*'04_L0'!U8</f>
        <v>1.6399806083349016</v>
      </c>
      <c r="V8" s="17">
        <f>'07_E_manual'!V8/100*'04_L0'!V8</f>
        <v>0.71731385550664484</v>
      </c>
      <c r="W8" s="17">
        <f>'07_E_manual'!W8/100*'04_L0'!W8</f>
        <v>3.1574668557859233</v>
      </c>
      <c r="X8" s="17">
        <f>'07_E_manual'!X8/100*'04_L0'!X8</f>
        <v>0.28186918188154597</v>
      </c>
      <c r="Y8" s="17">
        <f>'07_E_manual'!Y8/100*'04_L0'!Y8</f>
        <v>9.6763965177123282E-2</v>
      </c>
      <c r="Z8" s="17">
        <f>'07_E_manual'!Z8/100*'04_L0'!Z8</f>
        <v>0.15876137985201283</v>
      </c>
      <c r="AA8" s="17">
        <f>'07_E_manual'!AA8/100*'04_L0'!AA8</f>
        <v>0.89711331876806277</v>
      </c>
      <c r="AB8" s="17">
        <f>'07_E_manual'!AB8/100*'04_L0'!AB8</f>
        <v>108.52874447830224</v>
      </c>
      <c r="AC8" s="17">
        <f>'07_E_manual'!AC8/100*'04_L0'!AC8</f>
        <v>1.4907396481524282</v>
      </c>
      <c r="AD8" s="17">
        <f>'07_E_manual'!AD8/100*'04_L0'!AD8</f>
        <v>0.24700018415046099</v>
      </c>
      <c r="AE8" s="17">
        <f>'07_E_manual'!AE8/100*'04_L0'!AE8</f>
        <v>4.3101428633248506</v>
      </c>
      <c r="AF8" s="17">
        <f>'07_E_manual'!AF8/100*'04_L0'!AF8</f>
        <v>9.952268313901913E-2</v>
      </c>
      <c r="AG8" s="17">
        <f>'07_E_manual'!AG8/100*'04_L0'!AG8</f>
        <v>3.4199675579529754E-3</v>
      </c>
      <c r="AH8" s="17">
        <f>'07_E_manual'!AH8/100*'04_L0'!AH8</f>
        <v>4.3031932006811137E-2</v>
      </c>
      <c r="AI8" s="17">
        <f>'07_E_manual'!AI8/100*'04_L0'!AI8</f>
        <v>0.21610148766077736</v>
      </c>
    </row>
    <row r="9" spans="1:35" x14ac:dyDescent="0.2">
      <c r="A9" s="12" t="s">
        <v>1373</v>
      </c>
      <c r="B9" s="17">
        <f>'07_E_manual'!B9/100*'04_L0'!B9</f>
        <v>48.623048071764089</v>
      </c>
      <c r="C9" s="17">
        <f>'07_E_manual'!C9/100*'04_L0'!C9</f>
        <v>207.82296819441373</v>
      </c>
      <c r="D9" s="17">
        <f>'07_E_manual'!D9/100*'04_L0'!D9</f>
        <v>24.39121220219911</v>
      </c>
      <c r="E9" s="17">
        <f>'07_E_manual'!E9/100*'04_L0'!E9</f>
        <v>29.165212522269758</v>
      </c>
      <c r="F9" s="17">
        <f>'07_E_manual'!F9/100*'04_L0'!F9</f>
        <v>4.0886425122078824</v>
      </c>
      <c r="G9" s="17">
        <f>'07_E_manual'!G9/100*'04_L0'!G9</f>
        <v>35.950723344516064</v>
      </c>
      <c r="H9" s="17">
        <f>'07_E_manual'!H9/100*'04_L0'!H9</f>
        <v>2.966677665515451</v>
      </c>
      <c r="I9" s="17">
        <f>'07_E_manual'!I9/100*'04_L0'!I9</f>
        <v>93.27269198132332</v>
      </c>
      <c r="J9" s="17">
        <f>'07_E_manual'!J9/100*'04_L0'!J9</f>
        <v>0.86992654218325549</v>
      </c>
      <c r="K9" s="17">
        <f>'07_E_manual'!K9/100*'04_L0'!K9</f>
        <v>5.537150990898116</v>
      </c>
      <c r="L9" s="17">
        <f>'07_E_manual'!L9/100*'04_L0'!L9</f>
        <v>71.313694243437581</v>
      </c>
      <c r="M9" s="17">
        <f>'07_E_manual'!M9/100*'04_L0'!M9</f>
        <v>2215.7553977455518</v>
      </c>
      <c r="N9" s="17">
        <f>'07_E_manual'!N9/100*'04_L0'!N9</f>
        <v>1212.0865990259654</v>
      </c>
      <c r="O9" s="17">
        <f>'07_E_manual'!O9/100*'04_L0'!O9</f>
        <v>2.0969721662902292</v>
      </c>
      <c r="P9" s="17">
        <f>'07_E_manual'!P9/100*'04_L0'!P9</f>
        <v>1628.3078071036243</v>
      </c>
      <c r="Q9" s="17">
        <f>'07_E_manual'!Q9/100*'04_L0'!Q9</f>
        <v>172.25554169558757</v>
      </c>
      <c r="R9" s="17">
        <f>'07_E_manual'!R9/100*'04_L0'!R9</f>
        <v>11.680016817339935</v>
      </c>
      <c r="S9" s="17">
        <f>'07_E_manual'!S9/100*'04_L0'!S9</f>
        <v>26.870617494846574</v>
      </c>
      <c r="T9" s="17">
        <f>'07_E_manual'!T9/100*'04_L0'!T9</f>
        <v>3.6269810463092598</v>
      </c>
      <c r="U9" s="17">
        <f>'07_E_manual'!U9/100*'04_L0'!U9</f>
        <v>13.8816221898179</v>
      </c>
      <c r="V9" s="17">
        <f>'07_E_manual'!V9/100*'04_L0'!V9</f>
        <v>5.6757889409948845</v>
      </c>
      <c r="W9" s="17">
        <f>'07_E_manual'!W9/100*'04_L0'!W9</f>
        <v>22.92347087710667</v>
      </c>
      <c r="X9" s="17">
        <f>'07_E_manual'!X9/100*'04_L0'!X9</f>
        <v>5.8794251205464825</v>
      </c>
      <c r="Y9" s="17">
        <f>'07_E_manual'!Y9/100*'04_L0'!Y9</f>
        <v>0.23731833579219946</v>
      </c>
      <c r="Z9" s="17">
        <f>'07_E_manual'!Z9/100*'04_L0'!Z9</f>
        <v>3.7088300617323906</v>
      </c>
      <c r="AA9" s="17">
        <f>'07_E_manual'!AA9/100*'04_L0'!AA9</f>
        <v>5.5531113842133806</v>
      </c>
      <c r="AB9" s="17">
        <f>'07_E_manual'!AB9/100*'04_L0'!AB9</f>
        <v>42.033540809702608</v>
      </c>
      <c r="AC9" s="17">
        <f>'07_E_manual'!AC9/100*'04_L0'!AC9</f>
        <v>2.0584366797744127</v>
      </c>
      <c r="AD9" s="17">
        <f>'07_E_manual'!AD9/100*'04_L0'!AD9</f>
        <v>1.0697168454290487</v>
      </c>
      <c r="AE9" s="17">
        <f>'07_E_manual'!AE9/100*'04_L0'!AE9</f>
        <v>0.58745253467921532</v>
      </c>
      <c r="AF9" s="17">
        <f>'07_E_manual'!AF9/100*'04_L0'!AF9</f>
        <v>0.74988009134930655</v>
      </c>
      <c r="AG9" s="17">
        <f>'07_E_manual'!AG9/100*'04_L0'!AG9</f>
        <v>0.51292231504542052</v>
      </c>
      <c r="AH9" s="17">
        <f>'07_E_manual'!AH9/100*'04_L0'!AH9</f>
        <v>6.7210706057431804E-2</v>
      </c>
      <c r="AI9" s="17">
        <f>'07_E_manual'!AI9/100*'04_L0'!AI9</f>
        <v>0.34328098989270506</v>
      </c>
    </row>
    <row r="10" spans="1:35" x14ac:dyDescent="0.2">
      <c r="A10" s="12" t="s">
        <v>1374</v>
      </c>
      <c r="B10" s="17">
        <f>'07_E_manual'!B10/100*'04_L0'!B10</f>
        <v>3.617046887340897</v>
      </c>
      <c r="C10" s="17">
        <f>'07_E_manual'!C10/100*'04_L0'!C10</f>
        <v>25.27565737358676</v>
      </c>
      <c r="D10" s="17">
        <f>'07_E_manual'!D10/100*'04_L0'!D10</f>
        <v>6.7881066672319097</v>
      </c>
      <c r="E10" s="17">
        <f>'07_E_manual'!E10/100*'04_L0'!E10</f>
        <v>19.764844324635209</v>
      </c>
      <c r="F10" s="17">
        <f>'07_E_manual'!F10/100*'04_L0'!F10</f>
        <v>3.5301453403254617</v>
      </c>
      <c r="G10" s="17">
        <f>'07_E_manual'!G10/100*'04_L0'!G10</f>
        <v>10.885830763394914</v>
      </c>
      <c r="H10" s="17">
        <f>'07_E_manual'!H10/100*'04_L0'!H10</f>
        <v>0.20590800866336281</v>
      </c>
      <c r="I10" s="17">
        <f>'07_E_manual'!I10/100*'04_L0'!I10</f>
        <v>7.8970075150222829</v>
      </c>
      <c r="J10" s="17">
        <f>'07_E_manual'!J10/100*'04_L0'!J10</f>
        <v>0.32538123555309517</v>
      </c>
      <c r="K10" s="17">
        <f>'07_E_manual'!K10/100*'04_L0'!K10</f>
        <v>0.16195532126569867</v>
      </c>
      <c r="L10" s="17">
        <f>'07_E_manual'!L10/100*'04_L0'!L10</f>
        <v>0</v>
      </c>
      <c r="M10" s="17">
        <f>'07_E_manual'!M10/100*'04_L0'!M10</f>
        <v>167.36027054892767</v>
      </c>
      <c r="N10" s="17">
        <f>'07_E_manual'!N10/100*'04_L0'!N10</f>
        <v>499.34643324133299</v>
      </c>
      <c r="O10" s="17">
        <f>'07_E_manual'!O10/100*'04_L0'!O10</f>
        <v>3.045616456052584</v>
      </c>
      <c r="P10" s="17">
        <f>'07_E_manual'!P10/100*'04_L0'!P10</f>
        <v>501.09431578269556</v>
      </c>
      <c r="Q10" s="17">
        <f>'07_E_manual'!Q10/100*'04_L0'!Q10</f>
        <v>31.433197549996862</v>
      </c>
      <c r="R10" s="17">
        <f>'07_E_manual'!R10/100*'04_L0'!R10</f>
        <v>1.3822827403462898</v>
      </c>
      <c r="S10" s="17">
        <f>'07_E_manual'!S10/100*'04_L0'!S10</f>
        <v>4.8606434452830509</v>
      </c>
      <c r="T10" s="17">
        <f>'07_E_manual'!T10/100*'04_L0'!T10</f>
        <v>15.135812162484877</v>
      </c>
      <c r="U10" s="17">
        <f>'07_E_manual'!U10/100*'04_L0'!U10</f>
        <v>17.542108976950583</v>
      </c>
      <c r="V10" s="17">
        <f>'07_E_manual'!V10/100*'04_L0'!V10</f>
        <v>15.316688389954747</v>
      </c>
      <c r="W10" s="17">
        <f>'07_E_manual'!W10/100*'04_L0'!W10</f>
        <v>10.30110515415441</v>
      </c>
      <c r="X10" s="17">
        <f>'07_E_manual'!X10/100*'04_L0'!X10</f>
        <v>4.4402502405696307</v>
      </c>
      <c r="Y10" s="17">
        <f>'07_E_manual'!Y10/100*'04_L0'!Y10</f>
        <v>1.0376234619073896</v>
      </c>
      <c r="Z10" s="17">
        <f>'07_E_manual'!Z10/100*'04_L0'!Z10</f>
        <v>0.57593312721154155</v>
      </c>
      <c r="AA10" s="17">
        <f>'07_E_manual'!AA10/100*'04_L0'!AA10</f>
        <v>3.6221487613150547</v>
      </c>
      <c r="AB10" s="17">
        <f>'07_E_manual'!AB10/100*'04_L0'!AB10</f>
        <v>2.2230476496605913</v>
      </c>
      <c r="AC10" s="17">
        <f>'07_E_manual'!AC10/100*'04_L0'!AC10</f>
        <v>4.1747234104602082</v>
      </c>
      <c r="AD10" s="17">
        <f>'07_E_manual'!AD10/100*'04_L0'!AD10</f>
        <v>0.3654408616178339</v>
      </c>
      <c r="AE10" s="17">
        <f>'07_E_manual'!AE10/100*'04_L0'!AE10</f>
        <v>0.15645276004065603</v>
      </c>
      <c r="AF10" s="17">
        <f>'07_E_manual'!AF10/100*'04_L0'!AF10</f>
        <v>0.50363921894297004</v>
      </c>
      <c r="AG10" s="17">
        <f>'07_E_manual'!AG10/100*'04_L0'!AG10</f>
        <v>0.97991437144711879</v>
      </c>
      <c r="AH10" s="17">
        <f>'07_E_manual'!AH10/100*'04_L0'!AH10</f>
        <v>0.28375602706160957</v>
      </c>
      <c r="AI10" s="17">
        <f>'07_E_manual'!AI10/100*'04_L0'!AI10</f>
        <v>0.88704067286472355</v>
      </c>
    </row>
    <row r="11" spans="1:35" x14ac:dyDescent="0.2">
      <c r="A11" s="12" t="s">
        <v>1375</v>
      </c>
      <c r="B11" s="17">
        <f>'07_E_manual'!B11/100*'04_L0'!B11</f>
        <v>47.652454940779855</v>
      </c>
      <c r="C11" s="17">
        <f>'07_E_manual'!C11/100*'04_L0'!C11</f>
        <v>181.12698720327992</v>
      </c>
      <c r="D11" s="17">
        <f>'07_E_manual'!D11/100*'04_L0'!D11</f>
        <v>11.558201164613116</v>
      </c>
      <c r="E11" s="17">
        <f>'07_E_manual'!E11/100*'04_L0'!E11</f>
        <v>27.14479322042919</v>
      </c>
      <c r="F11" s="17">
        <f>'07_E_manual'!F11/100*'04_L0'!F11</f>
        <v>4.3506199444917177</v>
      </c>
      <c r="G11" s="17">
        <f>'07_E_manual'!G11/100*'04_L0'!G11</f>
        <v>18.346986966234322</v>
      </c>
      <c r="H11" s="17">
        <f>'07_E_manual'!H11/100*'04_L0'!H11</f>
        <v>0.74966696299601709</v>
      </c>
      <c r="I11" s="17">
        <f>'07_E_manual'!I11/100*'04_L0'!I11</f>
        <v>58.95619243118373</v>
      </c>
      <c r="J11" s="17">
        <f>'07_E_manual'!J11/100*'04_L0'!J11</f>
        <v>7.9458683396980456</v>
      </c>
      <c r="K11" s="17">
        <f>'07_E_manual'!K11/100*'04_L0'!K11</f>
        <v>15.63432631016029</v>
      </c>
      <c r="L11" s="17">
        <f>'07_E_manual'!L11/100*'04_L0'!L11</f>
        <v>2.5640043647881678</v>
      </c>
      <c r="M11" s="17">
        <f>'07_E_manual'!M11/100*'04_L0'!M11</f>
        <v>132.50665325457797</v>
      </c>
      <c r="N11" s="17">
        <f>'07_E_manual'!N11/100*'04_L0'!N11</f>
        <v>434.38599507781322</v>
      </c>
      <c r="O11" s="17">
        <f>'07_E_manual'!O11/100*'04_L0'!O11</f>
        <v>0.59245386786671483</v>
      </c>
      <c r="P11" s="17">
        <f>'07_E_manual'!P11/100*'04_L0'!P11</f>
        <v>674.9540184473957</v>
      </c>
      <c r="Q11" s="17">
        <f>'07_E_manual'!Q11/100*'04_L0'!Q11</f>
        <v>17.146793090770313</v>
      </c>
      <c r="R11" s="17">
        <f>'07_E_manual'!R11/100*'04_L0'!R11</f>
        <v>2.4752644252820515</v>
      </c>
      <c r="S11" s="17">
        <f>'07_E_manual'!S11/100*'04_L0'!S11</f>
        <v>41.79575147612362</v>
      </c>
      <c r="T11" s="17">
        <f>'07_E_manual'!T11/100*'04_L0'!T11</f>
        <v>57.31767622349647</v>
      </c>
      <c r="U11" s="17">
        <f>'07_E_manual'!U11/100*'04_L0'!U11</f>
        <v>18.204828228406768</v>
      </c>
      <c r="V11" s="17">
        <f>'07_E_manual'!V11/100*'04_L0'!V11</f>
        <v>11.951522556005788</v>
      </c>
      <c r="W11" s="17">
        <f>'07_E_manual'!W11/100*'04_L0'!W11</f>
        <v>17.130445399610171</v>
      </c>
      <c r="X11" s="17">
        <f>'07_E_manual'!X11/100*'04_L0'!X11</f>
        <v>19.05972207078409</v>
      </c>
      <c r="Y11" s="17">
        <f>'07_E_manual'!Y11/100*'04_L0'!Y11</f>
        <v>15.282145965127125</v>
      </c>
      <c r="Z11" s="17">
        <f>'07_E_manual'!Z11/100*'04_L0'!Z11</f>
        <v>16.945146103222672</v>
      </c>
      <c r="AA11" s="17">
        <f>'07_E_manual'!AA11/100*'04_L0'!AA11</f>
        <v>43.735106838628994</v>
      </c>
      <c r="AB11" s="17">
        <f>'07_E_manual'!AB11/100*'04_L0'!AB11</f>
        <v>384.46641867615307</v>
      </c>
      <c r="AC11" s="17">
        <f>'07_E_manual'!AC11/100*'04_L0'!AC11</f>
        <v>85.35559463384358</v>
      </c>
      <c r="AD11" s="17">
        <f>'07_E_manual'!AD11/100*'04_L0'!AD11</f>
        <v>4.0855799875170842</v>
      </c>
      <c r="AE11" s="17">
        <f>'07_E_manual'!AE11/100*'04_L0'!AE11</f>
        <v>7.3409431215007785</v>
      </c>
      <c r="AF11" s="17">
        <f>'07_E_manual'!AF11/100*'04_L0'!AF11</f>
        <v>26.280117066730746</v>
      </c>
      <c r="AG11" s="17">
        <f>'07_E_manual'!AG11/100*'04_L0'!AG11</f>
        <v>5.9798119847884248</v>
      </c>
      <c r="AH11" s="17">
        <f>'07_E_manual'!AH11/100*'04_L0'!AH11</f>
        <v>1.9771045606951922</v>
      </c>
      <c r="AI11" s="17">
        <f>'07_E_manual'!AI11/100*'04_L0'!AI11</f>
        <v>14.06044928040809</v>
      </c>
    </row>
    <row r="12" spans="1:35" x14ac:dyDescent="0.2">
      <c r="A12" s="12" t="s">
        <v>1376</v>
      </c>
      <c r="B12" s="17">
        <f>'07_E_manual'!B12/100*'04_L0'!B12</f>
        <v>0.73222372236231048</v>
      </c>
      <c r="C12" s="17">
        <f>'07_E_manual'!C12/100*'04_L0'!C12</f>
        <v>4.6359776895086285E-3</v>
      </c>
      <c r="D12" s="17">
        <f>'07_E_manual'!D12/100*'04_L0'!D12</f>
        <v>3.7513026007404977</v>
      </c>
      <c r="E12" s="17">
        <f>'07_E_manual'!E12/100*'04_L0'!E12</f>
        <v>2.7050169995423761</v>
      </c>
      <c r="F12" s="17">
        <f>'07_E_manual'!F12/100*'04_L0'!F12</f>
        <v>18.625853314565184</v>
      </c>
      <c r="G12" s="17">
        <f>'07_E_manual'!G12/100*'04_L0'!G12</f>
        <v>322.53048959130763</v>
      </c>
      <c r="H12" s="17">
        <f>'07_E_manual'!H12/100*'04_L0'!H12</f>
        <v>4.0511098641002139</v>
      </c>
      <c r="I12" s="17">
        <f>'07_E_manual'!I12/100*'04_L0'!I12</f>
        <v>0.10459924661953841</v>
      </c>
      <c r="J12" s="17">
        <f>'07_E_manual'!J12/100*'04_L0'!J12</f>
        <v>0</v>
      </c>
      <c r="K12" s="17">
        <f>'07_E_manual'!K12/100*'04_L0'!K12</f>
        <v>8.9422049571648797E-4</v>
      </c>
      <c r="L12" s="17">
        <f>'07_E_manual'!L12/100*'04_L0'!L12</f>
        <v>0.26407315410177734</v>
      </c>
      <c r="M12" s="17">
        <f>'07_E_manual'!M12/100*'04_L0'!M12</f>
        <v>3.0081577475902654</v>
      </c>
      <c r="N12" s="17">
        <f>'07_E_manual'!N12/100*'04_L0'!N12</f>
        <v>1.1628752335036558</v>
      </c>
      <c r="O12" s="17">
        <f>'07_E_manual'!O12/100*'04_L0'!O12</f>
        <v>0</v>
      </c>
      <c r="P12" s="17">
        <f>'07_E_manual'!P12/100*'04_L0'!P12</f>
        <v>6.8523957849388371</v>
      </c>
      <c r="Q12" s="17">
        <f>'07_E_manual'!Q12/100*'04_L0'!Q12</f>
        <v>6.3791467841288805</v>
      </c>
      <c r="R12" s="17">
        <f>'07_E_manual'!R12/100*'04_L0'!R12</f>
        <v>0</v>
      </c>
      <c r="S12" s="17">
        <f>'07_E_manual'!S12/100*'04_L0'!S12</f>
        <v>0</v>
      </c>
      <c r="T12" s="17">
        <f>'07_E_manual'!T12/100*'04_L0'!T12</f>
        <v>0</v>
      </c>
      <c r="U12" s="17">
        <f>'07_E_manual'!U12/100*'04_L0'!U12</f>
        <v>1.0150937087587806E-2</v>
      </c>
      <c r="V12" s="17">
        <f>'07_E_manual'!V12/100*'04_L0'!V12</f>
        <v>91.938346679728198</v>
      </c>
      <c r="W12" s="17">
        <f>'07_E_manual'!W12/100*'04_L0'!W12</f>
        <v>997.23557813288403</v>
      </c>
      <c r="X12" s="17">
        <f>'07_E_manual'!X12/100*'04_L0'!X12</f>
        <v>3830.2786047988857</v>
      </c>
      <c r="Y12" s="17">
        <f>'07_E_manual'!Y12/100*'04_L0'!Y12</f>
        <v>17.357642293063272</v>
      </c>
      <c r="Z12" s="17">
        <f>'07_E_manual'!Z12/100*'04_L0'!Z12</f>
        <v>0.62833096284684353</v>
      </c>
      <c r="AA12" s="17">
        <f>'07_E_manual'!AA12/100*'04_L0'!AA12</f>
        <v>4.8258275793684365E-3</v>
      </c>
      <c r="AB12" s="17">
        <f>'07_E_manual'!AB12/100*'04_L0'!AB12</f>
        <v>0.30022125041051356</v>
      </c>
      <c r="AC12" s="17">
        <f>'07_E_manual'!AC12/100*'04_L0'!AC12</f>
        <v>0</v>
      </c>
      <c r="AD12" s="17">
        <f>'07_E_manual'!AD12/100*'04_L0'!AD12</f>
        <v>3.467670674986731E-3</v>
      </c>
      <c r="AE12" s="17">
        <f>'07_E_manual'!AE12/100*'04_L0'!AE12</f>
        <v>4.0892862006481102E-3</v>
      </c>
      <c r="AF12" s="17">
        <f>'07_E_manual'!AF12/100*'04_L0'!AF12</f>
        <v>0</v>
      </c>
      <c r="AG12" s="17">
        <f>'07_E_manual'!AG12/100*'04_L0'!AG12</f>
        <v>0</v>
      </c>
      <c r="AH12" s="17">
        <f>'07_E_manual'!AH12/100*'04_L0'!AH12</f>
        <v>0</v>
      </c>
      <c r="AI12" s="17">
        <f>'07_E_manual'!AI12/100*'04_L0'!AI12</f>
        <v>0</v>
      </c>
    </row>
    <row r="13" spans="1:35" x14ac:dyDescent="0.2">
      <c r="A13" s="12" t="s">
        <v>1377</v>
      </c>
      <c r="B13" s="17">
        <f>'07_E_manual'!B13/100*'04_L0'!B13</f>
        <v>15.078786780383366</v>
      </c>
      <c r="C13" s="17">
        <f>'07_E_manual'!C13/100*'04_L0'!C13</f>
        <v>18.756471751467945</v>
      </c>
      <c r="D13" s="17">
        <f>'07_E_manual'!D13/100*'04_L0'!D13</f>
        <v>1.0441472931430924</v>
      </c>
      <c r="E13" s="17">
        <f>'07_E_manual'!E13/100*'04_L0'!E13</f>
        <v>549.95695225488589</v>
      </c>
      <c r="F13" s="17">
        <f>'07_E_manual'!F13/100*'04_L0'!F13</f>
        <v>63.555273709635657</v>
      </c>
      <c r="G13" s="17">
        <f>'07_E_manual'!G13/100*'04_L0'!G13</f>
        <v>429.95982824233289</v>
      </c>
      <c r="H13" s="17">
        <f>'07_E_manual'!H13/100*'04_L0'!H13</f>
        <v>1.9299524771488739E-2</v>
      </c>
      <c r="I13" s="17">
        <f>'07_E_manual'!I13/100*'04_L0'!I13</f>
        <v>10.718354856456751</v>
      </c>
      <c r="J13" s="17">
        <f>'07_E_manual'!J13/100*'04_L0'!J13</f>
        <v>0</v>
      </c>
      <c r="K13" s="17">
        <f>'07_E_manual'!K13/100*'04_L0'!K13</f>
        <v>29.227756131291176</v>
      </c>
      <c r="L13" s="17">
        <f>'07_E_manual'!L13/100*'04_L0'!L13</f>
        <v>2.3866780140876229</v>
      </c>
      <c r="M13" s="17">
        <f>'07_E_manual'!M13/100*'04_L0'!M13</f>
        <v>1752.5479403812194</v>
      </c>
      <c r="N13" s="17">
        <f>'07_E_manual'!N13/100*'04_L0'!N13</f>
        <v>54.483827508838765</v>
      </c>
      <c r="O13" s="17">
        <f>'07_E_manual'!O13/100*'04_L0'!O13</f>
        <v>0.55851309077873879</v>
      </c>
      <c r="P13" s="17">
        <f>'07_E_manual'!P13/100*'04_L0'!P13</f>
        <v>156.72402019949109</v>
      </c>
      <c r="Q13" s="17">
        <f>'07_E_manual'!Q13/100*'04_L0'!Q13</f>
        <v>32.290144433778273</v>
      </c>
      <c r="R13" s="17">
        <f>'07_E_manual'!R13/100*'04_L0'!R13</f>
        <v>3.7372693472616146E-2</v>
      </c>
      <c r="S13" s="17">
        <f>'07_E_manual'!S13/100*'04_L0'!S13</f>
        <v>6.1364028247160606E-2</v>
      </c>
      <c r="T13" s="17">
        <f>'07_E_manual'!T13/100*'04_L0'!T13</f>
        <v>0</v>
      </c>
      <c r="U13" s="17">
        <f>'07_E_manual'!U13/100*'04_L0'!U13</f>
        <v>9.4242417377396036E-3</v>
      </c>
      <c r="V13" s="17">
        <f>'07_E_manual'!V13/100*'04_L0'!V13</f>
        <v>0.19747834606233625</v>
      </c>
      <c r="W13" s="17">
        <f>'07_E_manual'!W13/100*'04_L0'!W13</f>
        <v>0.15143851588456789</v>
      </c>
      <c r="X13" s="17">
        <f>'07_E_manual'!X13/100*'04_L0'!X13</f>
        <v>118.01758921007853</v>
      </c>
      <c r="Y13" s="17">
        <f>'07_E_manual'!Y13/100*'04_L0'!Y13</f>
        <v>2.4938724604822613</v>
      </c>
      <c r="Z13" s="17">
        <f>'07_E_manual'!Z13/100*'04_L0'!Z13</f>
        <v>0.33732566093920568</v>
      </c>
      <c r="AA13" s="17">
        <f>'07_E_manual'!AA13/100*'04_L0'!AA13</f>
        <v>12.027349536443479</v>
      </c>
      <c r="AB13" s="17">
        <f>'07_E_manual'!AB13/100*'04_L0'!AB13</f>
        <v>0.82449858648264751</v>
      </c>
      <c r="AC13" s="17">
        <f>'07_E_manual'!AC13/100*'04_L0'!AC13</f>
        <v>5.4237015470463357E-3</v>
      </c>
      <c r="AD13" s="17">
        <f>'07_E_manual'!AD13/100*'04_L0'!AD13</f>
        <v>0</v>
      </c>
      <c r="AE13" s="17">
        <f>'07_E_manual'!AE13/100*'04_L0'!AE13</f>
        <v>0</v>
      </c>
      <c r="AF13" s="17">
        <f>'07_E_manual'!AF13/100*'04_L0'!AF13</f>
        <v>0.22199706297336388</v>
      </c>
      <c r="AG13" s="17">
        <f>'07_E_manual'!AG13/100*'04_L0'!AG13</f>
        <v>2.7735537831170189E-2</v>
      </c>
      <c r="AH13" s="17">
        <f>'07_E_manual'!AH13/100*'04_L0'!AH13</f>
        <v>0.52767909534889434</v>
      </c>
      <c r="AI13" s="17">
        <f>'07_E_manual'!AI13/100*'04_L0'!AI13</f>
        <v>3.9672023557708241E-2</v>
      </c>
    </row>
    <row r="14" spans="1:35" x14ac:dyDescent="0.2">
      <c r="A14" s="12" t="s">
        <v>1378</v>
      </c>
      <c r="B14" s="17">
        <f>'07_E_manual'!B14/100*'04_L0'!B14</f>
        <v>59.628414094299494</v>
      </c>
      <c r="C14" s="17">
        <f>'07_E_manual'!C14/100*'04_L0'!C14</f>
        <v>329.42515918351404</v>
      </c>
      <c r="D14" s="17">
        <f>'07_E_manual'!D14/100*'04_L0'!D14</f>
        <v>212.4339395413964</v>
      </c>
      <c r="E14" s="17">
        <f>'07_E_manual'!E14/100*'04_L0'!E14</f>
        <v>24.433823615879408</v>
      </c>
      <c r="F14" s="17">
        <f>'07_E_manual'!F14/100*'04_L0'!F14</f>
        <v>192.59527080067335</v>
      </c>
      <c r="G14" s="17">
        <f>'07_E_manual'!G14/100*'04_L0'!G14</f>
        <v>100.56383655247437</v>
      </c>
      <c r="H14" s="17">
        <f>'07_E_manual'!H14/100*'04_L0'!H14</f>
        <v>6.9584344624538268</v>
      </c>
      <c r="I14" s="17">
        <f>'07_E_manual'!I14/100*'04_L0'!I14</f>
        <v>470.43824914717078</v>
      </c>
      <c r="J14" s="17">
        <f>'07_E_manual'!J14/100*'04_L0'!J14</f>
        <v>926.60536669971953</v>
      </c>
      <c r="K14" s="17">
        <f>'07_E_manual'!K14/100*'04_L0'!K14</f>
        <v>2.4930938508638194</v>
      </c>
      <c r="L14" s="17">
        <f>'07_E_manual'!L14/100*'04_L0'!L14</f>
        <v>2.5390560951250447</v>
      </c>
      <c r="M14" s="17">
        <f>'07_E_manual'!M14/100*'04_L0'!M14</f>
        <v>1737.7765023185846</v>
      </c>
      <c r="N14" s="17">
        <f>'07_E_manual'!N14/100*'04_L0'!N14</f>
        <v>1772.3947218951755</v>
      </c>
      <c r="O14" s="17">
        <f>'07_E_manual'!O14/100*'04_L0'!O14</f>
        <v>9.5328762352952996</v>
      </c>
      <c r="P14" s="17">
        <f>'07_E_manual'!P14/100*'04_L0'!P14</f>
        <v>1918.1097390317029</v>
      </c>
      <c r="Q14" s="17">
        <f>'07_E_manual'!Q14/100*'04_L0'!Q14</f>
        <v>212.05702306066121</v>
      </c>
      <c r="R14" s="17">
        <f>'07_E_manual'!R14/100*'04_L0'!R14</f>
        <v>8.5786997579513677</v>
      </c>
      <c r="S14" s="17">
        <f>'07_E_manual'!S14/100*'04_L0'!S14</f>
        <v>358.26079165520952</v>
      </c>
      <c r="T14" s="17">
        <f>'07_E_manual'!T14/100*'04_L0'!T14</f>
        <v>26.501517375244219</v>
      </c>
      <c r="U14" s="17">
        <f>'07_E_manual'!U14/100*'04_L0'!U14</f>
        <v>401.39444683925763</v>
      </c>
      <c r="V14" s="17">
        <f>'07_E_manual'!V14/100*'04_L0'!V14</f>
        <v>898.57932018589736</v>
      </c>
      <c r="W14" s="17">
        <f>'07_E_manual'!W14/100*'04_L0'!W14</f>
        <v>43.825267106749408</v>
      </c>
      <c r="X14" s="17">
        <f>'07_E_manual'!X14/100*'04_L0'!X14</f>
        <v>20.48940880973689</v>
      </c>
      <c r="Y14" s="17">
        <f>'07_E_manual'!Y14/100*'04_L0'!Y14</f>
        <v>9.7675525446811545E-2</v>
      </c>
      <c r="Z14" s="17">
        <f>'07_E_manual'!Z14/100*'04_L0'!Z14</f>
        <v>107.57813231181721</v>
      </c>
      <c r="AA14" s="17">
        <f>'07_E_manual'!AA14/100*'04_L0'!AA14</f>
        <v>59.824359459169507</v>
      </c>
      <c r="AB14" s="17">
        <f>'07_E_manual'!AB14/100*'04_L0'!AB14</f>
        <v>174.44575061440074</v>
      </c>
      <c r="AC14" s="17">
        <f>'07_E_manual'!AC14/100*'04_L0'!AC14</f>
        <v>115.81795918021854</v>
      </c>
      <c r="AD14" s="17">
        <f>'07_E_manual'!AD14/100*'04_L0'!AD14</f>
        <v>26.485537364125481</v>
      </c>
      <c r="AE14" s="17">
        <f>'07_E_manual'!AE14/100*'04_L0'!AE14</f>
        <v>2.8927525634737563</v>
      </c>
      <c r="AF14" s="17">
        <f>'07_E_manual'!AF14/100*'04_L0'!AF14</f>
        <v>20.839879958425019</v>
      </c>
      <c r="AG14" s="17">
        <f>'07_E_manual'!AG14/100*'04_L0'!AG14</f>
        <v>16.968643549601261</v>
      </c>
      <c r="AH14" s="17">
        <f>'07_E_manual'!AH14/100*'04_L0'!AH14</f>
        <v>0.2268608028169645</v>
      </c>
      <c r="AI14" s="17">
        <f>'07_E_manual'!AI14/100*'04_L0'!AI14</f>
        <v>0.44037902593896566</v>
      </c>
    </row>
    <row r="15" spans="1:35" x14ac:dyDescent="0.2">
      <c r="A15" s="12" t="s">
        <v>1379</v>
      </c>
      <c r="B15" s="17">
        <f>'07_E_manual'!B15/100*'04_L0'!B15</f>
        <v>0.19185756054918435</v>
      </c>
      <c r="C15" s="17">
        <f>'07_E_manual'!C15/100*'04_L0'!C15</f>
        <v>0.88342745653919141</v>
      </c>
      <c r="D15" s="17">
        <f>'07_E_manual'!D15/100*'04_L0'!D15</f>
        <v>0</v>
      </c>
      <c r="E15" s="17">
        <f>'07_E_manual'!E15/100*'04_L0'!E15</f>
        <v>81.26441873482716</v>
      </c>
      <c r="F15" s="17">
        <f>'07_E_manual'!F15/100*'04_L0'!F15</f>
        <v>0</v>
      </c>
      <c r="G15" s="17">
        <f>'07_E_manual'!G15/100*'04_L0'!G15</f>
        <v>1.8704876092059193</v>
      </c>
      <c r="H15" s="17">
        <f>'07_E_manual'!H15/100*'04_L0'!H15</f>
        <v>0</v>
      </c>
      <c r="I15" s="17">
        <f>'07_E_manual'!I15/100*'04_L0'!I15</f>
        <v>2.4420671616940927E-2</v>
      </c>
      <c r="J15" s="17">
        <f>'07_E_manual'!J15/100*'04_L0'!J15</f>
        <v>8.9633974516013671E-3</v>
      </c>
      <c r="K15" s="17">
        <f>'07_E_manual'!K15/100*'04_L0'!K15</f>
        <v>1.3298993709723097</v>
      </c>
      <c r="L15" s="17">
        <f>'07_E_manual'!L15/100*'04_L0'!L15</f>
        <v>20.054741108828399</v>
      </c>
      <c r="M15" s="17">
        <f>'07_E_manual'!M15/100*'04_L0'!M15</f>
        <v>29.294689752901881</v>
      </c>
      <c r="N15" s="17">
        <f>'07_E_manual'!N15/100*'04_L0'!N15</f>
        <v>616.64232081434841</v>
      </c>
      <c r="O15" s="17">
        <f>'07_E_manual'!O15/100*'04_L0'!O15</f>
        <v>0</v>
      </c>
      <c r="P15" s="17">
        <f>'07_E_manual'!P15/100*'04_L0'!P15</f>
        <v>523.8353439351057</v>
      </c>
      <c r="Q15" s="17">
        <f>'07_E_manual'!Q15/100*'04_L0'!Q15</f>
        <v>2.4492024892633455</v>
      </c>
      <c r="R15" s="17">
        <f>'07_E_manual'!R15/100*'04_L0'!R15</f>
        <v>0.72215265939541995</v>
      </c>
      <c r="S15" s="17">
        <f>'07_E_manual'!S15/100*'04_L0'!S15</f>
        <v>10.251827610267473</v>
      </c>
      <c r="T15" s="17">
        <f>'07_E_manual'!T15/100*'04_L0'!T15</f>
        <v>9.2894366426322961</v>
      </c>
      <c r="U15" s="17">
        <f>'07_E_manual'!U15/100*'04_L0'!U15</f>
        <v>9.4851455105492755E-2</v>
      </c>
      <c r="V15" s="17">
        <f>'07_E_manual'!V15/100*'04_L0'!V15</f>
        <v>1.7147477652859988</v>
      </c>
      <c r="W15" s="17">
        <f>'07_E_manual'!W15/100*'04_L0'!W15</f>
        <v>6.0817399851593823</v>
      </c>
      <c r="X15" s="17">
        <f>'07_E_manual'!X15/100*'04_L0'!X15</f>
        <v>84.085386883409868</v>
      </c>
      <c r="Y15" s="17">
        <f>'07_E_manual'!Y15/100*'04_L0'!Y15</f>
        <v>9.9113915557147006E-2</v>
      </c>
      <c r="Z15" s="17">
        <f>'07_E_manual'!Z15/100*'04_L0'!Z15</f>
        <v>0.47466842861132302</v>
      </c>
      <c r="AA15" s="17">
        <f>'07_E_manual'!AA15/100*'04_L0'!AA15</f>
        <v>0.12992437449950736</v>
      </c>
      <c r="AB15" s="17">
        <f>'07_E_manual'!AB15/100*'04_L0'!AB15</f>
        <v>52.811886297113425</v>
      </c>
      <c r="AC15" s="17">
        <f>'07_E_manual'!AC15/100*'04_L0'!AC15</f>
        <v>4.8414576741774842E-3</v>
      </c>
      <c r="AD15" s="17">
        <f>'07_E_manual'!AD15/100*'04_L0'!AD15</f>
        <v>1.4896492585772109E-2</v>
      </c>
      <c r="AE15" s="17">
        <f>'07_E_manual'!AE15/100*'04_L0'!AE15</f>
        <v>0</v>
      </c>
      <c r="AF15" s="17">
        <f>'07_E_manual'!AF15/100*'04_L0'!AF15</f>
        <v>2.0329958656012684E-2</v>
      </c>
      <c r="AG15" s="17">
        <f>'07_E_manual'!AG15/100*'04_L0'!AG15</f>
        <v>0.17716144003592593</v>
      </c>
      <c r="AH15" s="17">
        <f>'07_E_manual'!AH15/100*'04_L0'!AH15</f>
        <v>0</v>
      </c>
      <c r="AI15" s="17">
        <f>'07_E_manual'!AI15/100*'04_L0'!AI15</f>
        <v>8.1319834624050735E-2</v>
      </c>
    </row>
    <row r="16" spans="1:35" x14ac:dyDescent="0.2">
      <c r="A16" s="12" t="s">
        <v>1380</v>
      </c>
      <c r="B16" s="17">
        <f>'07_E_manual'!B16/100*'04_L0'!B16</f>
        <v>47.787159259266254</v>
      </c>
      <c r="C16" s="17">
        <f>'07_E_manual'!C16/100*'04_L0'!C16</f>
        <v>739.92250903242507</v>
      </c>
      <c r="D16" s="17">
        <f>'07_E_manual'!D16/100*'04_L0'!D16</f>
        <v>129.14860186715865</v>
      </c>
      <c r="E16" s="17">
        <f>'07_E_manual'!E16/100*'04_L0'!E16</f>
        <v>167.42857552501317</v>
      </c>
      <c r="F16" s="17">
        <f>'07_E_manual'!F16/100*'04_L0'!F16</f>
        <v>14.113178285276446</v>
      </c>
      <c r="G16" s="17">
        <f>'07_E_manual'!G16/100*'04_L0'!G16</f>
        <v>116.20246609572513</v>
      </c>
      <c r="H16" s="17">
        <f>'07_E_manual'!H16/100*'04_L0'!H16</f>
        <v>8.4099653234896294</v>
      </c>
      <c r="I16" s="17">
        <f>'07_E_manual'!I16/100*'04_L0'!I16</f>
        <v>370.02273470931209</v>
      </c>
      <c r="J16" s="17">
        <f>'07_E_manual'!J16/100*'04_L0'!J16</f>
        <v>15.53070822048903</v>
      </c>
      <c r="K16" s="17">
        <f>'07_E_manual'!K16/100*'04_L0'!K16</f>
        <v>15.689541750253102</v>
      </c>
      <c r="L16" s="17">
        <f>'07_E_manual'!L16/100*'04_L0'!L16</f>
        <v>163.62026332374427</v>
      </c>
      <c r="M16" s="17">
        <f>'07_E_manual'!M16/100*'04_L0'!M16</f>
        <v>11394.318083629239</v>
      </c>
      <c r="N16" s="17">
        <f>'07_E_manual'!N16/100*'04_L0'!N16</f>
        <v>9547.3418252981774</v>
      </c>
      <c r="O16" s="17">
        <f>'07_E_manual'!O16/100*'04_L0'!O16</f>
        <v>116.02374988015582</v>
      </c>
      <c r="P16" s="17">
        <f>'07_E_manual'!P16/100*'04_L0'!P16</f>
        <v>8798.6212177181496</v>
      </c>
      <c r="Q16" s="17">
        <f>'07_E_manual'!Q16/100*'04_L0'!Q16</f>
        <v>532.69375899682143</v>
      </c>
      <c r="R16" s="17">
        <f>'07_E_manual'!R16/100*'04_L0'!R16</f>
        <v>61.261933789801482</v>
      </c>
      <c r="S16" s="17">
        <f>'07_E_manual'!S16/100*'04_L0'!S16</f>
        <v>76.236471362342385</v>
      </c>
      <c r="T16" s="17">
        <f>'07_E_manual'!T16/100*'04_L0'!T16</f>
        <v>52.638770059713728</v>
      </c>
      <c r="U16" s="17">
        <f>'07_E_manual'!U16/100*'04_L0'!U16</f>
        <v>55.031424857811345</v>
      </c>
      <c r="V16" s="17">
        <f>'07_E_manual'!V16/100*'04_L0'!V16</f>
        <v>14.388112709613873</v>
      </c>
      <c r="W16" s="17">
        <f>'07_E_manual'!W16/100*'04_L0'!W16</f>
        <v>37.940013813183292</v>
      </c>
      <c r="X16" s="17">
        <f>'07_E_manual'!X16/100*'04_L0'!X16</f>
        <v>32.671395614614255</v>
      </c>
      <c r="Y16" s="17">
        <f>'07_E_manual'!Y16/100*'04_L0'!Y16</f>
        <v>1.2571353039743991</v>
      </c>
      <c r="Z16" s="17">
        <f>'07_E_manual'!Z16/100*'04_L0'!Z16</f>
        <v>34.621411273879154</v>
      </c>
      <c r="AA16" s="17">
        <f>'07_E_manual'!AA16/100*'04_L0'!AA16</f>
        <v>24.884034065219012</v>
      </c>
      <c r="AB16" s="17">
        <f>'07_E_manual'!AB16/100*'04_L0'!AB16</f>
        <v>284.82658196110913</v>
      </c>
      <c r="AC16" s="17">
        <f>'07_E_manual'!AC16/100*'04_L0'!AC16</f>
        <v>26.062229784253322</v>
      </c>
      <c r="AD16" s="17">
        <f>'07_E_manual'!AD16/100*'04_L0'!AD16</f>
        <v>6.2642489333844376</v>
      </c>
      <c r="AE16" s="17">
        <f>'07_E_manual'!AE16/100*'04_L0'!AE16</f>
        <v>10.02349144681142</v>
      </c>
      <c r="AF16" s="17">
        <f>'07_E_manual'!AF16/100*'04_L0'!AF16</f>
        <v>27.788837052552672</v>
      </c>
      <c r="AG16" s="17">
        <f>'07_E_manual'!AG16/100*'04_L0'!AG16</f>
        <v>11.210160033717099</v>
      </c>
      <c r="AH16" s="17">
        <f>'07_E_manual'!AH16/100*'04_L0'!AH16</f>
        <v>0.46706642298317952</v>
      </c>
      <c r="AI16" s="17">
        <f>'07_E_manual'!AI16/100*'04_L0'!AI16</f>
        <v>1.0048442892387615</v>
      </c>
    </row>
    <row r="17" spans="1:35" x14ac:dyDescent="0.2">
      <c r="A17" s="12" t="s">
        <v>1381</v>
      </c>
      <c r="B17" s="17">
        <f>'07_E_manual'!B17/100*'04_L0'!B17</f>
        <v>3.6756234412824322E-2</v>
      </c>
      <c r="C17" s="17">
        <f>'07_E_manual'!C17/100*'04_L0'!C17</f>
        <v>1.6955729775241617</v>
      </c>
      <c r="D17" s="17">
        <f>'07_E_manual'!D17/100*'04_L0'!D17</f>
        <v>5.4741055227671396E-4</v>
      </c>
      <c r="E17" s="17">
        <f>'07_E_manual'!E17/100*'04_L0'!E17</f>
        <v>3.3661739928573251E-4</v>
      </c>
      <c r="F17" s="17">
        <f>'07_E_manual'!F17/100*'04_L0'!F17</f>
        <v>0</v>
      </c>
      <c r="G17" s="17">
        <f>'07_E_manual'!G17/100*'04_L0'!G17</f>
        <v>3.4707205969617227E-3</v>
      </c>
      <c r="H17" s="17">
        <f>'07_E_manual'!H17/100*'04_L0'!H17</f>
        <v>0</v>
      </c>
      <c r="I17" s="17">
        <f>'07_E_manual'!I17/100*'04_L0'!I17</f>
        <v>9.2052009955335811E-3</v>
      </c>
      <c r="J17" s="17">
        <f>'07_E_manual'!J17/100*'04_L0'!J17</f>
        <v>0</v>
      </c>
      <c r="K17" s="17">
        <f>'07_E_manual'!K17/100*'04_L0'!K17</f>
        <v>4.1412949819490681E-2</v>
      </c>
      <c r="L17" s="17">
        <f>'07_E_manual'!L17/100*'04_L0'!L17</f>
        <v>5.6864286260620879E-3</v>
      </c>
      <c r="M17" s="17">
        <f>'07_E_manual'!M17/100*'04_L0'!M17</f>
        <v>6.1891702959455781</v>
      </c>
      <c r="N17" s="17">
        <f>'07_E_manual'!N17/100*'04_L0'!N17</f>
        <v>1087.7739087746377</v>
      </c>
      <c r="O17" s="17">
        <f>'07_E_manual'!O17/100*'04_L0'!O17</f>
        <v>0.66288125654315222</v>
      </c>
      <c r="P17" s="17">
        <f>'07_E_manual'!P17/100*'04_L0'!P17</f>
        <v>3840.7891404716243</v>
      </c>
      <c r="Q17" s="17">
        <f>'07_E_manual'!Q17/100*'04_L0'!Q17</f>
        <v>6.1640706112366106E-2</v>
      </c>
      <c r="R17" s="17">
        <f>'07_E_manual'!R17/100*'04_L0'!R17</f>
        <v>0.54527907651157081</v>
      </c>
      <c r="S17" s="17">
        <f>'07_E_manual'!S17/100*'04_L0'!S17</f>
        <v>49.477474294952053</v>
      </c>
      <c r="T17" s="17">
        <f>'07_E_manual'!T17/100*'04_L0'!T17</f>
        <v>7.0729035904124461E-4</v>
      </c>
      <c r="U17" s="17">
        <f>'07_E_manual'!U17/100*'04_L0'!U17</f>
        <v>0</v>
      </c>
      <c r="V17" s="17">
        <f>'07_E_manual'!V17/100*'04_L0'!V17</f>
        <v>0</v>
      </c>
      <c r="W17" s="17">
        <f>'07_E_manual'!W17/100*'04_L0'!W17</f>
        <v>3.3046926565682885E-4</v>
      </c>
      <c r="X17" s="17">
        <f>'07_E_manual'!X17/100*'04_L0'!X17</f>
        <v>0</v>
      </c>
      <c r="Y17" s="17">
        <f>'07_E_manual'!Y17/100*'04_L0'!Y17</f>
        <v>0</v>
      </c>
      <c r="Z17" s="17">
        <f>'07_E_manual'!Z17/100*'04_L0'!Z17</f>
        <v>0</v>
      </c>
      <c r="AA17" s="17">
        <f>'07_E_manual'!AA17/100*'04_L0'!AA17</f>
        <v>0</v>
      </c>
      <c r="AB17" s="17">
        <f>'07_E_manual'!AB17/100*'04_L0'!AB17</f>
        <v>3.6627265268682527E-2</v>
      </c>
      <c r="AC17" s="17">
        <f>'07_E_manual'!AC17/100*'04_L0'!AC17</f>
        <v>0</v>
      </c>
      <c r="AD17" s="17">
        <f>'07_E_manual'!AD17/100*'04_L0'!AD17</f>
        <v>1.9991350638499526E-4</v>
      </c>
      <c r="AE17" s="17">
        <f>'07_E_manual'!AE17/100*'04_L0'!AE17</f>
        <v>0</v>
      </c>
      <c r="AF17" s="17">
        <f>'07_E_manual'!AF17/100*'04_L0'!AF17</f>
        <v>0</v>
      </c>
      <c r="AG17" s="17">
        <f>'07_E_manual'!AG17/100*'04_L0'!AG17</f>
        <v>0</v>
      </c>
      <c r="AH17" s="17">
        <f>'07_E_manual'!AH17/100*'04_L0'!AH17</f>
        <v>0</v>
      </c>
      <c r="AI17" s="17">
        <f>'07_E_manual'!AI17/100*'04_L0'!AI17</f>
        <v>0</v>
      </c>
    </row>
    <row r="18" spans="1:35" x14ac:dyDescent="0.2">
      <c r="A18" s="12" t="s">
        <v>1382</v>
      </c>
      <c r="B18" s="17">
        <f>'07_E_manual'!B18/100*'04_L0'!B18</f>
        <v>8.3969010091527991</v>
      </c>
      <c r="C18" s="17">
        <f>'07_E_manual'!C18/100*'04_L0'!C18</f>
        <v>134.67275572260553</v>
      </c>
      <c r="D18" s="17">
        <f>'07_E_manual'!D18/100*'04_L0'!D18</f>
        <v>23.586300409567716</v>
      </c>
      <c r="E18" s="17">
        <f>'07_E_manual'!E18/100*'04_L0'!E18</f>
        <v>7.9915612242960972</v>
      </c>
      <c r="F18" s="17">
        <f>'07_E_manual'!F18/100*'04_L0'!F18</f>
        <v>1.3049518761700738</v>
      </c>
      <c r="G18" s="17">
        <f>'07_E_manual'!G18/100*'04_L0'!G18</f>
        <v>19.087057317078727</v>
      </c>
      <c r="H18" s="17">
        <f>'07_E_manual'!H18/100*'04_L0'!H18</f>
        <v>0.52039842085203181</v>
      </c>
      <c r="I18" s="17">
        <f>'07_E_manual'!I18/100*'04_L0'!I18</f>
        <v>28.617856513332882</v>
      </c>
      <c r="J18" s="17">
        <f>'07_E_manual'!J18/100*'04_L0'!J18</f>
        <v>0.16539176239718129</v>
      </c>
      <c r="K18" s="17">
        <f>'07_E_manual'!K18/100*'04_L0'!K18</f>
        <v>2.7215335967143996</v>
      </c>
      <c r="L18" s="17">
        <f>'07_E_manual'!L18/100*'04_L0'!L18</f>
        <v>175.04757804963256</v>
      </c>
      <c r="M18" s="17">
        <f>'07_E_manual'!M18/100*'04_L0'!M18</f>
        <v>17186.207851360214</v>
      </c>
      <c r="N18" s="17">
        <f>'07_E_manual'!N18/100*'04_L0'!N18</f>
        <v>15689.937289618683</v>
      </c>
      <c r="O18" s="17">
        <f>'07_E_manual'!O18/100*'04_L0'!O18</f>
        <v>87.864018194516447</v>
      </c>
      <c r="P18" s="17">
        <f>'07_E_manual'!P18/100*'04_L0'!P18</f>
        <v>1859.4912274395369</v>
      </c>
      <c r="Q18" s="17">
        <f>'07_E_manual'!Q18/100*'04_L0'!Q18</f>
        <v>373.11403338592856</v>
      </c>
      <c r="R18" s="17">
        <f>'07_E_manual'!R18/100*'04_L0'!R18</f>
        <v>29.470682671081569</v>
      </c>
      <c r="S18" s="17">
        <f>'07_E_manual'!S18/100*'04_L0'!S18</f>
        <v>13.751985196357088</v>
      </c>
      <c r="T18" s="17">
        <f>'07_E_manual'!T18/100*'04_L0'!T18</f>
        <v>162.61655929598277</v>
      </c>
      <c r="U18" s="17">
        <f>'07_E_manual'!U18/100*'04_L0'!U18</f>
        <v>1.20271829296549</v>
      </c>
      <c r="V18" s="17">
        <f>'07_E_manual'!V18/100*'04_L0'!V18</f>
        <v>0.28689712968293879</v>
      </c>
      <c r="W18" s="17">
        <f>'07_E_manual'!W18/100*'04_L0'!W18</f>
        <v>4.2373017291253179</v>
      </c>
      <c r="X18" s="17">
        <f>'07_E_manual'!X18/100*'04_L0'!X18</f>
        <v>1.7470754398411759</v>
      </c>
      <c r="Y18" s="17">
        <f>'07_E_manual'!Y18/100*'04_L0'!Y18</f>
        <v>6.3469852587744804E-2</v>
      </c>
      <c r="Z18" s="17">
        <f>'07_E_manual'!Z18/100*'04_L0'!Z18</f>
        <v>0.44960691552629917</v>
      </c>
      <c r="AA18" s="17">
        <f>'07_E_manual'!AA18/100*'04_L0'!AA18</f>
        <v>2.9709088457155968</v>
      </c>
      <c r="AB18" s="17">
        <f>'07_E_manual'!AB18/100*'04_L0'!AB18</f>
        <v>26.039870695762993</v>
      </c>
      <c r="AC18" s="17">
        <f>'07_E_manual'!AC18/100*'04_L0'!AC18</f>
        <v>1.4030566448040245</v>
      </c>
      <c r="AD18" s="17">
        <f>'07_E_manual'!AD18/100*'04_L0'!AD18</f>
        <v>0.464175385785766</v>
      </c>
      <c r="AE18" s="17">
        <f>'07_E_manual'!AE18/100*'04_L0'!AE18</f>
        <v>1.1180083310306359</v>
      </c>
      <c r="AF18" s="17">
        <f>'07_E_manual'!AF18/100*'04_L0'!AF18</f>
        <v>0.17872143904398261</v>
      </c>
      <c r="AG18" s="17">
        <f>'07_E_manual'!AG18/100*'04_L0'!AG18</f>
        <v>5.505244570155781E-2</v>
      </c>
      <c r="AH18" s="17">
        <f>'07_E_manual'!AH18/100*'04_L0'!AH18</f>
        <v>5.3675545636070691E-3</v>
      </c>
      <c r="AI18" s="17">
        <f>'07_E_manual'!AI18/100*'04_L0'!AI18</f>
        <v>1.6070545495438723E-2</v>
      </c>
    </row>
    <row r="19" spans="1:35" x14ac:dyDescent="0.2">
      <c r="A19" s="12" t="s">
        <v>1383</v>
      </c>
      <c r="B19" s="17">
        <f>'07_E_manual'!B19/100*'04_L0'!B19</f>
        <v>8.9611505353896607E-3</v>
      </c>
      <c r="C19" s="17">
        <f>'07_E_manual'!C19/100*'04_L0'!C19</f>
        <v>0.60657661584629075</v>
      </c>
      <c r="D19" s="17">
        <f>'07_E_manual'!D19/100*'04_L0'!D19</f>
        <v>2.5022113900502341E-3</v>
      </c>
      <c r="E19" s="17">
        <f>'07_E_manual'!E19/100*'04_L0'!E19</f>
        <v>0</v>
      </c>
      <c r="F19" s="17">
        <f>'07_E_manual'!F19/100*'04_L0'!F19</f>
        <v>0</v>
      </c>
      <c r="G19" s="17">
        <f>'07_E_manual'!G19/100*'04_L0'!G19</f>
        <v>2.4823131676979669E-3</v>
      </c>
      <c r="H19" s="17">
        <f>'07_E_manual'!H19/100*'04_L0'!H19</f>
        <v>0</v>
      </c>
      <c r="I19" s="17">
        <f>'07_E_manual'!I19/100*'04_L0'!I19</f>
        <v>6.6764294958404531E-3</v>
      </c>
      <c r="J19" s="17">
        <f>'07_E_manual'!J19/100*'04_L0'!J19</f>
        <v>0</v>
      </c>
      <c r="K19" s="17">
        <f>'07_E_manual'!K19/100*'04_L0'!K19</f>
        <v>5.8342064540974757E-2</v>
      </c>
      <c r="L19" s="17">
        <f>'07_E_manual'!L19/100*'04_L0'!L19</f>
        <v>4.8434040215222938</v>
      </c>
      <c r="M19" s="17">
        <f>'07_E_manual'!M19/100*'04_L0'!M19</f>
        <v>4686.2448827671569</v>
      </c>
      <c r="N19" s="17">
        <f>'07_E_manual'!N19/100*'04_L0'!N19</f>
        <v>2246.687629811257</v>
      </c>
      <c r="O19" s="17">
        <f>'07_E_manual'!O19/100*'04_L0'!O19</f>
        <v>0.71907747134401412</v>
      </c>
      <c r="P19" s="17">
        <f>'07_E_manual'!P19/100*'04_L0'!P19</f>
        <v>992.52486893259493</v>
      </c>
      <c r="Q19" s="17">
        <f>'07_E_manual'!Q19/100*'04_L0'!Q19</f>
        <v>1555.9492035639805</v>
      </c>
      <c r="R19" s="17">
        <f>'07_E_manual'!R19/100*'04_L0'!R19</f>
        <v>4.7882986947669445E-2</v>
      </c>
      <c r="S19" s="17">
        <f>'07_E_manual'!S19/100*'04_L0'!S19</f>
        <v>0</v>
      </c>
      <c r="T19" s="17">
        <f>'07_E_manual'!T19/100*'04_L0'!T19</f>
        <v>0</v>
      </c>
      <c r="U19" s="17">
        <f>'07_E_manual'!U19/100*'04_L0'!U19</f>
        <v>0</v>
      </c>
      <c r="V19" s="17">
        <f>'07_E_manual'!V19/100*'04_L0'!V19</f>
        <v>0</v>
      </c>
      <c r="W19" s="17">
        <f>'07_E_manual'!W19/100*'04_L0'!W19</f>
        <v>0</v>
      </c>
      <c r="X19" s="17">
        <f>'07_E_manual'!X19/100*'04_L0'!X19</f>
        <v>1.14782160874354E-3</v>
      </c>
      <c r="Y19" s="17">
        <f>'07_E_manual'!Y19/100*'04_L0'!Y19</f>
        <v>0</v>
      </c>
      <c r="Z19" s="17">
        <f>'07_E_manual'!Z19/100*'04_L0'!Z19</f>
        <v>9.9292526707918692E-5</v>
      </c>
      <c r="AA19" s="17">
        <f>'07_E_manual'!AA19/100*'04_L0'!AA19</f>
        <v>0</v>
      </c>
      <c r="AB19" s="17">
        <f>'07_E_manual'!AB19/100*'04_L0'!AB19</f>
        <v>1.0370945546599375E-2</v>
      </c>
      <c r="AC19" s="17">
        <f>'07_E_manual'!AC19/100*'04_L0'!AC19</f>
        <v>0</v>
      </c>
      <c r="AD19" s="17">
        <f>'07_E_manual'!AD19/100*'04_L0'!AD19</f>
        <v>0</v>
      </c>
      <c r="AE19" s="17">
        <f>'07_E_manual'!AE19/100*'04_L0'!AE19</f>
        <v>0</v>
      </c>
      <c r="AF19" s="17">
        <f>'07_E_manual'!AF19/100*'04_L0'!AF19</f>
        <v>0</v>
      </c>
      <c r="AG19" s="17">
        <f>'07_E_manual'!AG19/100*'04_L0'!AG19</f>
        <v>0</v>
      </c>
      <c r="AH19" s="17">
        <f>'07_E_manual'!AH19/100*'04_L0'!AH19</f>
        <v>0</v>
      </c>
      <c r="AI19" s="17">
        <f>'07_E_manual'!AI19/100*'04_L0'!AI19</f>
        <v>0</v>
      </c>
    </row>
    <row r="20" spans="1:35" x14ac:dyDescent="0.2">
      <c r="A20" s="12" t="s">
        <v>1384</v>
      </c>
      <c r="B20" s="17">
        <f>'07_E_manual'!B20/100*'04_L0'!B20</f>
        <v>2.5337940290158971</v>
      </c>
      <c r="C20" s="17">
        <f>'07_E_manual'!C20/100*'04_L0'!C20</f>
        <v>10.064844573105253</v>
      </c>
      <c r="D20" s="17">
        <f>'07_E_manual'!D20/100*'04_L0'!D20</f>
        <v>2.0134712197970255</v>
      </c>
      <c r="E20" s="17">
        <f>'07_E_manual'!E20/100*'04_L0'!E20</f>
        <v>2.4264926894392871</v>
      </c>
      <c r="F20" s="17">
        <f>'07_E_manual'!F20/100*'04_L0'!F20</f>
        <v>0.95413141629278619</v>
      </c>
      <c r="G20" s="17">
        <f>'07_E_manual'!G20/100*'04_L0'!G20</f>
        <v>4.2581032349425358</v>
      </c>
      <c r="H20" s="17">
        <f>'07_E_manual'!H20/100*'04_L0'!H20</f>
        <v>6.0543290559719076E-2</v>
      </c>
      <c r="I20" s="17">
        <f>'07_E_manual'!I20/100*'04_L0'!I20</f>
        <v>6.9646061736664651</v>
      </c>
      <c r="J20" s="17">
        <f>'07_E_manual'!J20/100*'04_L0'!J20</f>
        <v>6.2930787591493384E-2</v>
      </c>
      <c r="K20" s="17">
        <f>'07_E_manual'!K20/100*'04_L0'!K20</f>
        <v>4.4854732966060551E-3</v>
      </c>
      <c r="L20" s="17">
        <f>'07_E_manual'!L20/100*'04_L0'!L20</f>
        <v>0.1955159515796035</v>
      </c>
      <c r="M20" s="17">
        <f>'07_E_manual'!M20/100*'04_L0'!M20</f>
        <v>419.03557790857826</v>
      </c>
      <c r="N20" s="17">
        <f>'07_E_manual'!N20/100*'04_L0'!N20</f>
        <v>2373.0001076559702</v>
      </c>
      <c r="O20" s="17">
        <f>'07_E_manual'!O20/100*'04_L0'!O20</f>
        <v>28.819470841128208</v>
      </c>
      <c r="P20" s="17">
        <f>'07_E_manual'!P20/100*'04_L0'!P20</f>
        <v>2775.9994468316759</v>
      </c>
      <c r="Q20" s="17">
        <f>'07_E_manual'!Q20/100*'04_L0'!Q20</f>
        <v>20.283210383997858</v>
      </c>
      <c r="R20" s="17">
        <f>'07_E_manual'!R20/100*'04_L0'!R20</f>
        <v>92.256876467483977</v>
      </c>
      <c r="S20" s="17">
        <f>'07_E_manual'!S20/100*'04_L0'!S20</f>
        <v>25.046829384776562</v>
      </c>
      <c r="T20" s="17">
        <f>'07_E_manual'!T20/100*'04_L0'!T20</f>
        <v>2.4798531813260931</v>
      </c>
      <c r="U20" s="17">
        <f>'07_E_manual'!U20/100*'04_L0'!U20</f>
        <v>1.4031835736781491</v>
      </c>
      <c r="V20" s="17">
        <f>'07_E_manual'!V20/100*'04_L0'!V20</f>
        <v>0.49493305895641126</v>
      </c>
      <c r="W20" s="17">
        <f>'07_E_manual'!W20/100*'04_L0'!W20</f>
        <v>12.254795001530349</v>
      </c>
      <c r="X20" s="17">
        <f>'07_E_manual'!X20/100*'04_L0'!X20</f>
        <v>0.51354183772842732</v>
      </c>
      <c r="Y20" s="17">
        <f>'07_E_manual'!Y20/100*'04_L0'!Y20</f>
        <v>0.58761025053597171</v>
      </c>
      <c r="Z20" s="17">
        <f>'07_E_manual'!Z20/100*'04_L0'!Z20</f>
        <v>0.29730092212538911</v>
      </c>
      <c r="AA20" s="17">
        <f>'07_E_manual'!AA20/100*'04_L0'!AA20</f>
        <v>1.0440452934678144</v>
      </c>
      <c r="AB20" s="17">
        <f>'07_E_manual'!AB20/100*'04_L0'!AB20</f>
        <v>14.170386516660418</v>
      </c>
      <c r="AC20" s="17">
        <f>'07_E_manual'!AC20/100*'04_L0'!AC20</f>
        <v>0.51229056874094114</v>
      </c>
      <c r="AD20" s="17">
        <f>'07_E_manual'!AD20/100*'04_L0'!AD20</f>
        <v>0.12230342473530945</v>
      </c>
      <c r="AE20" s="17">
        <f>'07_E_manual'!AE20/100*'04_L0'!AE20</f>
        <v>6.9216385615640946E-2</v>
      </c>
      <c r="AF20" s="17">
        <f>'07_E_manual'!AF20/100*'04_L0'!AF20</f>
        <v>0.18673271229282543</v>
      </c>
      <c r="AG20" s="17">
        <f>'07_E_manual'!AG20/100*'04_L0'!AG20</f>
        <v>2.0109928474154281E-2</v>
      </c>
      <c r="AH20" s="17">
        <f>'07_E_manual'!AH20/100*'04_L0'!AH20</f>
        <v>5.3590382992201166E-4</v>
      </c>
      <c r="AI20" s="17">
        <f>'07_E_manual'!AI20/100*'04_L0'!AI20</f>
        <v>0.12599694490166408</v>
      </c>
    </row>
    <row r="21" spans="1:35" x14ac:dyDescent="0.2">
      <c r="A21" s="12" t="s">
        <v>1385</v>
      </c>
      <c r="B21" s="17">
        <f>'07_E_manual'!B21/100*'04_L0'!B21</f>
        <v>0.26958185504905963</v>
      </c>
      <c r="C21" s="17">
        <f>'07_E_manual'!C21/100*'04_L0'!C21</f>
        <v>4.3995818776372504</v>
      </c>
      <c r="D21" s="17">
        <f>'07_E_manual'!D21/100*'04_L0'!D21</f>
        <v>2.533694896624703</v>
      </c>
      <c r="E21" s="17">
        <f>'07_E_manual'!E21/100*'04_L0'!E21</f>
        <v>21.728753788785365</v>
      </c>
      <c r="F21" s="17">
        <f>'07_E_manual'!F21/100*'04_L0'!F21</f>
        <v>0.15511402361623822</v>
      </c>
      <c r="G21" s="17">
        <f>'07_E_manual'!G21/100*'04_L0'!G21</f>
        <v>2.2579745496862449</v>
      </c>
      <c r="H21" s="17">
        <f>'07_E_manual'!H21/100*'04_L0'!H21</f>
        <v>7.1453455167152638E-2</v>
      </c>
      <c r="I21" s="17">
        <f>'07_E_manual'!I21/100*'04_L0'!I21</f>
        <v>3.8403151939240789</v>
      </c>
      <c r="J21" s="17">
        <f>'07_E_manual'!J21/100*'04_L0'!J21</f>
        <v>7.8717249803117464E-2</v>
      </c>
      <c r="K21" s="17">
        <f>'07_E_manual'!K21/100*'04_L0'!K21</f>
        <v>2.8030526186762037</v>
      </c>
      <c r="L21" s="17">
        <f>'07_E_manual'!L21/100*'04_L0'!L21</f>
        <v>97.627039431120707</v>
      </c>
      <c r="M21" s="17">
        <f>'07_E_manual'!M21/100*'04_L0'!M21</f>
        <v>869.57017192299566</v>
      </c>
      <c r="N21" s="17">
        <f>'07_E_manual'!N21/100*'04_L0'!N21</f>
        <v>372.08268578541828</v>
      </c>
      <c r="O21" s="17">
        <f>'07_E_manual'!O21/100*'04_L0'!O21</f>
        <v>7.551215402032474</v>
      </c>
      <c r="P21" s="17">
        <f>'07_E_manual'!P21/100*'04_L0'!P21</f>
        <v>410.53950932844629</v>
      </c>
      <c r="Q21" s="17">
        <f>'07_E_manual'!Q21/100*'04_L0'!Q21</f>
        <v>131.99196883038536</v>
      </c>
      <c r="R21" s="17">
        <f>'07_E_manual'!R21/100*'04_L0'!R21</f>
        <v>0.89603875318815351</v>
      </c>
      <c r="S21" s="17">
        <f>'07_E_manual'!S21/100*'04_L0'!S21</f>
        <v>1.6373937679363537</v>
      </c>
      <c r="T21" s="17">
        <f>'07_E_manual'!T21/100*'04_L0'!T21</f>
        <v>8.2593009600635731E-2</v>
      </c>
      <c r="U21" s="17">
        <f>'07_E_manual'!U21/100*'04_L0'!U21</f>
        <v>0.45037062525393851</v>
      </c>
      <c r="V21" s="17">
        <f>'07_E_manual'!V21/100*'04_L0'!V21</f>
        <v>9.3105858369640498E-2</v>
      </c>
      <c r="W21" s="17">
        <f>'07_E_manual'!W21/100*'04_L0'!W21</f>
        <v>1.0666164330593444</v>
      </c>
      <c r="X21" s="17">
        <f>'07_E_manual'!X21/100*'04_L0'!X21</f>
        <v>0.41648974466764715</v>
      </c>
      <c r="Y21" s="17">
        <f>'07_E_manual'!Y21/100*'04_L0'!Y21</f>
        <v>8.8755450572202521E-2</v>
      </c>
      <c r="Z21" s="17">
        <f>'07_E_manual'!Z21/100*'04_L0'!Z21</f>
        <v>0.18870295348657701</v>
      </c>
      <c r="AA21" s="17">
        <f>'07_E_manual'!AA21/100*'04_L0'!AA21</f>
        <v>0.3641410425621352</v>
      </c>
      <c r="AB21" s="17">
        <f>'07_E_manual'!AB21/100*'04_L0'!AB21</f>
        <v>3.7393535804303468</v>
      </c>
      <c r="AC21" s="17">
        <f>'07_E_manual'!AC21/100*'04_L0'!AC21</f>
        <v>0.25049557699366293</v>
      </c>
      <c r="AD21" s="17">
        <f>'07_E_manual'!AD21/100*'04_L0'!AD21</f>
        <v>5.3200757228866198E-2</v>
      </c>
      <c r="AE21" s="17">
        <f>'07_E_manual'!AE21/100*'04_L0'!AE21</f>
        <v>4.9577033010353821E-2</v>
      </c>
      <c r="AF21" s="17">
        <f>'07_E_manual'!AF21/100*'04_L0'!AF21</f>
        <v>1.7629603643341402E-2</v>
      </c>
      <c r="AG21" s="17">
        <f>'07_E_manual'!AG21/100*'04_L0'!AG21</f>
        <v>9.8875496379236249E-5</v>
      </c>
      <c r="AH21" s="17">
        <f>'07_E_manual'!AH21/100*'04_L0'!AH21</f>
        <v>6.484080946524395E-3</v>
      </c>
      <c r="AI21" s="17">
        <f>'07_E_manual'!AI21/100*'04_L0'!AI21</f>
        <v>0.14072085331977843</v>
      </c>
    </row>
    <row r="22" spans="1:35" x14ac:dyDescent="0.2">
      <c r="A22" s="12" t="s">
        <v>1386</v>
      </c>
      <c r="B22" s="17">
        <f>'07_E_manual'!B22/100*'04_L0'!B22</f>
        <v>0.62999390405190359</v>
      </c>
      <c r="C22" s="17">
        <f>'07_E_manual'!C22/100*'04_L0'!C22</f>
        <v>12.677901060847066</v>
      </c>
      <c r="D22" s="17">
        <f>'07_E_manual'!D22/100*'04_L0'!D22</f>
        <v>2.691523900526811</v>
      </c>
      <c r="E22" s="17">
        <f>'07_E_manual'!E22/100*'04_L0'!E22</f>
        <v>2.0002407108552398</v>
      </c>
      <c r="F22" s="17">
        <f>'07_E_manual'!F22/100*'04_L0'!F22</f>
        <v>3.7277259166964977E-2</v>
      </c>
      <c r="G22" s="17">
        <f>'07_E_manual'!G22/100*'04_L0'!G22</f>
        <v>2.3082713516377935</v>
      </c>
      <c r="H22" s="17">
        <f>'07_E_manual'!H22/100*'04_L0'!H22</f>
        <v>0.1106057805601437</v>
      </c>
      <c r="I22" s="17">
        <f>'07_E_manual'!I22/100*'04_L0'!I22</f>
        <v>4.7877442516533764</v>
      </c>
      <c r="J22" s="17">
        <f>'07_E_manual'!J22/100*'04_L0'!J22</f>
        <v>0.12653497022113633</v>
      </c>
      <c r="K22" s="17">
        <f>'07_E_manual'!K22/100*'04_L0'!K22</f>
        <v>1.6913312223462154</v>
      </c>
      <c r="L22" s="17">
        <f>'07_E_manual'!L22/100*'04_L0'!L22</f>
        <v>0.95692071229734355</v>
      </c>
      <c r="M22" s="17">
        <f>'07_E_manual'!M22/100*'04_L0'!M22</f>
        <v>763.3361500326871</v>
      </c>
      <c r="N22" s="17">
        <f>'07_E_manual'!N22/100*'04_L0'!N22</f>
        <v>143.23735674020435</v>
      </c>
      <c r="O22" s="17">
        <f>'07_E_manual'!O22/100*'04_L0'!O22</f>
        <v>6.5870428746119938</v>
      </c>
      <c r="P22" s="17">
        <f>'07_E_manual'!P22/100*'04_L0'!P22</f>
        <v>483.11668711117841</v>
      </c>
      <c r="Q22" s="17">
        <f>'07_E_manual'!Q22/100*'04_L0'!Q22</f>
        <v>53.661839947877525</v>
      </c>
      <c r="R22" s="17">
        <f>'07_E_manual'!R22/100*'04_L0'!R22</f>
        <v>8.9526553783451366</v>
      </c>
      <c r="S22" s="17">
        <f>'07_E_manual'!S22/100*'04_L0'!S22</f>
        <v>7.730527406403211</v>
      </c>
      <c r="T22" s="17">
        <f>'07_E_manual'!T22/100*'04_L0'!T22</f>
        <v>2.5788243877478387</v>
      </c>
      <c r="U22" s="17">
        <f>'07_E_manual'!U22/100*'04_L0'!U22</f>
        <v>2.9336886259622221</v>
      </c>
      <c r="V22" s="17">
        <f>'07_E_manual'!V22/100*'04_L0'!V22</f>
        <v>0.28768425288508892</v>
      </c>
      <c r="W22" s="17">
        <f>'07_E_manual'!W22/100*'04_L0'!W22</f>
        <v>1.9002970490135445</v>
      </c>
      <c r="X22" s="17">
        <f>'07_E_manual'!X22/100*'04_L0'!X22</f>
        <v>1.2966939700779136</v>
      </c>
      <c r="Y22" s="17">
        <f>'07_E_manual'!Y22/100*'04_L0'!Y22</f>
        <v>3.080306407825536E-3</v>
      </c>
      <c r="Z22" s="17">
        <f>'07_E_manual'!Z22/100*'04_L0'!Z22</f>
        <v>0.19034871023290592</v>
      </c>
      <c r="AA22" s="17">
        <f>'07_E_manual'!AA22/100*'04_L0'!AA22</f>
        <v>0.61612414496118517</v>
      </c>
      <c r="AB22" s="17">
        <f>'07_E_manual'!AB22/100*'04_L0'!AB22</f>
        <v>9.2448095447177554</v>
      </c>
      <c r="AC22" s="17">
        <f>'07_E_manual'!AC22/100*'04_L0'!AC22</f>
        <v>1.2302204058481558</v>
      </c>
      <c r="AD22" s="17">
        <f>'07_E_manual'!AD22/100*'04_L0'!AD22</f>
        <v>0.12125540925395129</v>
      </c>
      <c r="AE22" s="17">
        <f>'07_E_manual'!AE22/100*'04_L0'!AE22</f>
        <v>1.2898705594105529E-4</v>
      </c>
      <c r="AF22" s="17">
        <f>'07_E_manual'!AF22/100*'04_L0'!AF22</f>
        <v>5.4156930519279764E-2</v>
      </c>
      <c r="AG22" s="17">
        <f>'07_E_manual'!AG22/100*'04_L0'!AG22</f>
        <v>2.687306864119049E-2</v>
      </c>
      <c r="AH22" s="17">
        <f>'07_E_manual'!AH22/100*'04_L0'!AH22</f>
        <v>2.3738439810019184E-2</v>
      </c>
      <c r="AI22" s="17">
        <f>'07_E_manual'!AI22/100*'04_L0'!AI22</f>
        <v>2.3738439810019184E-2</v>
      </c>
    </row>
    <row r="23" spans="1:35" x14ac:dyDescent="0.2">
      <c r="A23" s="12" t="s">
        <v>1387</v>
      </c>
      <c r="B23" s="17">
        <f>'07_E_manual'!B23/100*'04_L0'!B23</f>
        <v>0.48036176391510171</v>
      </c>
      <c r="C23" s="17">
        <f>'07_E_manual'!C23/100*'04_L0'!C23</f>
        <v>21.900341650917891</v>
      </c>
      <c r="D23" s="17">
        <f>'07_E_manual'!D23/100*'04_L0'!D23</f>
        <v>2.3782432113328573</v>
      </c>
      <c r="E23" s="17">
        <f>'07_E_manual'!E23/100*'04_L0'!E23</f>
        <v>7.9842378392752709</v>
      </c>
      <c r="F23" s="17">
        <f>'07_E_manual'!F23/100*'04_L0'!F23</f>
        <v>3.8990086437212503E-2</v>
      </c>
      <c r="G23" s="17">
        <f>'07_E_manual'!G23/100*'04_L0'!G23</f>
        <v>14.644068220468599</v>
      </c>
      <c r="H23" s="17">
        <f>'07_E_manual'!H23/100*'04_L0'!H23</f>
        <v>0.50250813301143848</v>
      </c>
      <c r="I23" s="17">
        <f>'07_E_manual'!I23/100*'04_L0'!I23</f>
        <v>0</v>
      </c>
      <c r="J23" s="17">
        <f>'07_E_manual'!J23/100*'04_L0'!J23</f>
        <v>0</v>
      </c>
      <c r="K23" s="17">
        <f>'07_E_manual'!K23/100*'04_L0'!K23</f>
        <v>0.37711601502936304</v>
      </c>
      <c r="L23" s="17">
        <f>'07_E_manual'!L23/100*'04_L0'!L23</f>
        <v>1.5475165306929641</v>
      </c>
      <c r="M23" s="17">
        <f>'07_E_manual'!M23/100*'04_L0'!M23</f>
        <v>312.18077097027083</v>
      </c>
      <c r="N23" s="17">
        <f>'07_E_manual'!N23/100*'04_L0'!N23</f>
        <v>83.149962011342453</v>
      </c>
      <c r="O23" s="17">
        <f>'07_E_manual'!O23/100*'04_L0'!O23</f>
        <v>0</v>
      </c>
      <c r="P23" s="17">
        <f>'07_E_manual'!P23/100*'04_L0'!P23</f>
        <v>20.949856919786097</v>
      </c>
      <c r="Q23" s="17">
        <f>'07_E_manual'!Q23/100*'04_L0'!Q23</f>
        <v>24.760264491087426</v>
      </c>
      <c r="R23" s="17">
        <f>'07_E_manual'!R23/100*'04_L0'!R23</f>
        <v>0</v>
      </c>
      <c r="S23" s="17">
        <f>'07_E_manual'!S23/100*'04_L0'!S23</f>
        <v>0</v>
      </c>
      <c r="T23" s="17">
        <f>'07_E_manual'!T23/100*'04_L0'!T23</f>
        <v>0.27795642720224423</v>
      </c>
      <c r="U23" s="17">
        <f>'07_E_manual'!U23/100*'04_L0'!U23</f>
        <v>0</v>
      </c>
      <c r="V23" s="17">
        <f>'07_E_manual'!V23/100*'04_L0'!V23</f>
        <v>0</v>
      </c>
      <c r="W23" s="17">
        <f>'07_E_manual'!W23/100*'04_L0'!W23</f>
        <v>7.4252720611027487E-2</v>
      </c>
      <c r="X23" s="17">
        <f>'07_E_manual'!X23/100*'04_L0'!X23</f>
        <v>12.986135663994091</v>
      </c>
      <c r="Y23" s="17">
        <f>'07_E_manual'!Y23/100*'04_L0'!Y23</f>
        <v>0.66183332321981991</v>
      </c>
      <c r="Z23" s="17">
        <f>'07_E_manual'!Z23/100*'04_L0'!Z23</f>
        <v>0</v>
      </c>
      <c r="AA23" s="17">
        <f>'07_E_manual'!AA23/100*'04_L0'!AA23</f>
        <v>0</v>
      </c>
      <c r="AB23" s="17">
        <f>'07_E_manual'!AB23/100*'04_L0'!AB23</f>
        <v>1.7817533739731621</v>
      </c>
      <c r="AC23" s="17">
        <f>'07_E_manual'!AC23/100*'04_L0'!AC23</f>
        <v>0</v>
      </c>
      <c r="AD23" s="17">
        <f>'07_E_manual'!AD23/100*'04_L0'!AD23</f>
        <v>0</v>
      </c>
      <c r="AE23" s="17">
        <f>'07_E_manual'!AE23/100*'04_L0'!AE23</f>
        <v>0</v>
      </c>
      <c r="AF23" s="17">
        <f>'07_E_manual'!AF23/100*'04_L0'!AF23</f>
        <v>0</v>
      </c>
      <c r="AG23" s="17">
        <f>'07_E_manual'!AG23/100*'04_L0'!AG23</f>
        <v>0</v>
      </c>
      <c r="AH23" s="17">
        <f>'07_E_manual'!AH23/100*'04_L0'!AH23</f>
        <v>1.9105142354234127E-2</v>
      </c>
      <c r="AI23" s="17">
        <f>'07_E_manual'!AI23/100*'04_L0'!AI23</f>
        <v>0</v>
      </c>
    </row>
    <row r="24" spans="1:35" x14ac:dyDescent="0.2">
      <c r="A24" s="12" t="s">
        <v>1388</v>
      </c>
      <c r="B24" s="17">
        <f>'07_E_manual'!B24/100*'04_L0'!B24</f>
        <v>6.0002365585588189</v>
      </c>
      <c r="C24" s="17">
        <f>'07_E_manual'!C24/100*'04_L0'!C24</f>
        <v>80.940695024177487</v>
      </c>
      <c r="D24" s="17">
        <f>'07_E_manual'!D24/100*'04_L0'!D24</f>
        <v>10.283725212372948</v>
      </c>
      <c r="E24" s="17">
        <f>'07_E_manual'!E24/100*'04_L0'!E24</f>
        <v>2.1096765083823121</v>
      </c>
      <c r="F24" s="17">
        <f>'07_E_manual'!F24/100*'04_L0'!F24</f>
        <v>0.41090657883238735</v>
      </c>
      <c r="G24" s="17">
        <f>'07_E_manual'!G24/100*'04_L0'!G24</f>
        <v>13.924673874340362</v>
      </c>
      <c r="H24" s="17">
        <f>'07_E_manual'!H24/100*'04_L0'!H24</f>
        <v>0.42248711871049305</v>
      </c>
      <c r="I24" s="17">
        <f>'07_E_manual'!I24/100*'04_L0'!I24</f>
        <v>10.82163969472643</v>
      </c>
      <c r="J24" s="17">
        <f>'07_E_manual'!J24/100*'04_L0'!J24</f>
        <v>1.4249639354184241E-2</v>
      </c>
      <c r="K24" s="17">
        <f>'07_E_manual'!K24/100*'04_L0'!K24</f>
        <v>7.840355445022448</v>
      </c>
      <c r="L24" s="17">
        <f>'07_E_manual'!L24/100*'04_L0'!L24</f>
        <v>265.60404141130994</v>
      </c>
      <c r="M24" s="17">
        <f>'07_E_manual'!M24/100*'04_L0'!M24</f>
        <v>3942.1432981620151</v>
      </c>
      <c r="N24" s="17">
        <f>'07_E_manual'!N24/100*'04_L0'!N24</f>
        <v>1364.2373235449422</v>
      </c>
      <c r="O24" s="17">
        <f>'07_E_manual'!O24/100*'04_L0'!O24</f>
        <v>11.89096969263916</v>
      </c>
      <c r="P24" s="17">
        <f>'07_E_manual'!P24/100*'04_L0'!P24</f>
        <v>2458.1109280864225</v>
      </c>
      <c r="Q24" s="17">
        <f>'07_E_manual'!Q24/100*'04_L0'!Q24</f>
        <v>877.34972322326871</v>
      </c>
      <c r="R24" s="17">
        <f>'07_E_manual'!R24/100*'04_L0'!R24</f>
        <v>3.7021410764542604</v>
      </c>
      <c r="S24" s="17">
        <f>'07_E_manual'!S24/100*'04_L0'!S24</f>
        <v>0.75408118759840403</v>
      </c>
      <c r="T24" s="17">
        <f>'07_E_manual'!T24/100*'04_L0'!T24</f>
        <v>1.1885729454303698E-2</v>
      </c>
      <c r="U24" s="17">
        <f>'07_E_manual'!U24/100*'04_L0'!U24</f>
        <v>0.97020587571368566</v>
      </c>
      <c r="V24" s="17">
        <f>'07_E_manual'!V24/100*'04_L0'!V24</f>
        <v>0.46522710962085584</v>
      </c>
      <c r="W24" s="17">
        <f>'07_E_manual'!W24/100*'04_L0'!W24</f>
        <v>3.9230764283416262</v>
      </c>
      <c r="X24" s="17">
        <f>'07_E_manual'!X24/100*'04_L0'!X24</f>
        <v>2.023384155712308</v>
      </c>
      <c r="Y24" s="17">
        <f>'07_E_manual'!Y24/100*'04_L0'!Y24</f>
        <v>1.4916200051028705E-2</v>
      </c>
      <c r="Z24" s="17">
        <f>'07_E_manual'!Z24/100*'04_L0'!Z24</f>
        <v>0.61930166246688656</v>
      </c>
      <c r="AA24" s="17">
        <f>'07_E_manual'!AA24/100*'04_L0'!AA24</f>
        <v>0.5745287804598439</v>
      </c>
      <c r="AB24" s="17">
        <f>'07_E_manual'!AB24/100*'04_L0'!AB24</f>
        <v>12.022195854113017</v>
      </c>
      <c r="AC24" s="17">
        <f>'07_E_manual'!AC24/100*'04_L0'!AC24</f>
        <v>3.6268519744874168E-2</v>
      </c>
      <c r="AD24" s="17">
        <f>'07_E_manual'!AD24/100*'04_L0'!AD24</f>
        <v>8.1013906123171914E-2</v>
      </c>
      <c r="AE24" s="17">
        <f>'07_E_manual'!AE24/100*'04_L0'!AE24</f>
        <v>0.25616034705558999</v>
      </c>
      <c r="AF24" s="17">
        <f>'07_E_manual'!AF24/100*'04_L0'!AF24</f>
        <v>0.74810118591814212</v>
      </c>
      <c r="AG24" s="17">
        <f>'07_E_manual'!AG24/100*'04_L0'!AG24</f>
        <v>1.0855893177679004E-2</v>
      </c>
      <c r="AH24" s="17">
        <f>'07_E_manual'!AH24/100*'04_L0'!AH24</f>
        <v>2.2997534328092631E-3</v>
      </c>
      <c r="AI24" s="17">
        <f>'07_E_manual'!AI24/100*'04_L0'!AI24</f>
        <v>1.9807565278908415E-3</v>
      </c>
    </row>
    <row r="25" spans="1:35" x14ac:dyDescent="0.2">
      <c r="A25" s="12" t="s">
        <v>1389</v>
      </c>
      <c r="B25" s="17">
        <f>'07_E_manual'!B25/100*'04_L0'!B25</f>
        <v>0.33339131440438258</v>
      </c>
      <c r="C25" s="17">
        <f>'07_E_manual'!C25/100*'04_L0'!C25</f>
        <v>215.50258301998562</v>
      </c>
      <c r="D25" s="17">
        <f>'07_E_manual'!D25/100*'04_L0'!D25</f>
        <v>0.19916802910561471</v>
      </c>
      <c r="E25" s="17">
        <f>'07_E_manual'!E25/100*'04_L0'!E25</f>
        <v>2.6111955044898424E-2</v>
      </c>
      <c r="F25" s="17">
        <f>'07_E_manual'!F25/100*'04_L0'!F25</f>
        <v>3.1512682109982155E-3</v>
      </c>
      <c r="G25" s="17">
        <f>'07_E_manual'!G25/100*'04_L0'!G25</f>
        <v>0.74320088292547204</v>
      </c>
      <c r="H25" s="17">
        <f>'07_E_manual'!H25/100*'04_L0'!H25</f>
        <v>0</v>
      </c>
      <c r="I25" s="17">
        <f>'07_E_manual'!I25/100*'04_L0'!I25</f>
        <v>1.773238076586529</v>
      </c>
      <c r="J25" s="17">
        <f>'07_E_manual'!J25/100*'04_L0'!J25</f>
        <v>0</v>
      </c>
      <c r="K25" s="17">
        <f>'07_E_manual'!K25/100*'04_L0'!K25</f>
        <v>14.443176078786008</v>
      </c>
      <c r="L25" s="17">
        <f>'07_E_manual'!L25/100*'04_L0'!L25</f>
        <v>256.4752242219343</v>
      </c>
      <c r="M25" s="17">
        <f>'07_E_manual'!M25/100*'04_L0'!M25</f>
        <v>3042.3812185832676</v>
      </c>
      <c r="N25" s="17">
        <f>'07_E_manual'!N25/100*'04_L0'!N25</f>
        <v>1762.9788053871184</v>
      </c>
      <c r="O25" s="17">
        <f>'07_E_manual'!O25/100*'04_L0'!O25</f>
        <v>4.5675542591544493</v>
      </c>
      <c r="P25" s="17">
        <f>'07_E_manual'!P25/100*'04_L0'!P25</f>
        <v>1817.2313236472555</v>
      </c>
      <c r="Q25" s="17">
        <f>'07_E_manual'!Q25/100*'04_L0'!Q25</f>
        <v>1700.6406401552745</v>
      </c>
      <c r="R25" s="17">
        <f>'07_E_manual'!R25/100*'04_L0'!R25</f>
        <v>5.5210862172650164E-2</v>
      </c>
      <c r="S25" s="17">
        <f>'07_E_manual'!S25/100*'04_L0'!S25</f>
        <v>5.2788405124940464E-2</v>
      </c>
      <c r="T25" s="17">
        <f>'07_E_manual'!T25/100*'04_L0'!T25</f>
        <v>0.39227565494871075</v>
      </c>
      <c r="U25" s="17">
        <f>'07_E_manual'!U25/100*'04_L0'!U25</f>
        <v>0</v>
      </c>
      <c r="V25" s="17">
        <f>'07_E_manual'!V25/100*'04_L0'!V25</f>
        <v>0</v>
      </c>
      <c r="W25" s="17">
        <f>'07_E_manual'!W25/100*'04_L0'!W25</f>
        <v>9.4091884631705633E-2</v>
      </c>
      <c r="X25" s="17">
        <f>'07_E_manual'!X25/100*'04_L0'!X25</f>
        <v>0</v>
      </c>
      <c r="Y25" s="17">
        <f>'07_E_manual'!Y25/100*'04_L0'!Y25</f>
        <v>0</v>
      </c>
      <c r="Z25" s="17">
        <f>'07_E_manual'!Z25/100*'04_L0'!Z25</f>
        <v>4.7405524527786368E-2</v>
      </c>
      <c r="AA25" s="17">
        <f>'07_E_manual'!AA25/100*'04_L0'!AA25</f>
        <v>0.10496681476046629</v>
      </c>
      <c r="AB25" s="17">
        <f>'07_E_manual'!AB25/100*'04_L0'!AB25</f>
        <v>0.40493298096456964</v>
      </c>
      <c r="AC25" s="17">
        <f>'07_E_manual'!AC25/100*'04_L0'!AC25</f>
        <v>2.759128253517366E-3</v>
      </c>
      <c r="AD25" s="17">
        <f>'07_E_manual'!AD25/100*'04_L0'!AD25</f>
        <v>0</v>
      </c>
      <c r="AE25" s="17">
        <f>'07_E_manual'!AE25/100*'04_L0'!AE25</f>
        <v>0</v>
      </c>
      <c r="AF25" s="17">
        <f>'07_E_manual'!AF25/100*'04_L0'!AF25</f>
        <v>2.8014131279812705E-3</v>
      </c>
      <c r="AG25" s="17">
        <f>'07_E_manual'!AG25/100*'04_L0'!AG25</f>
        <v>0</v>
      </c>
      <c r="AH25" s="17">
        <f>'07_E_manual'!AH25/100*'04_L0'!AH25</f>
        <v>0</v>
      </c>
      <c r="AI25" s="17">
        <f>'07_E_manual'!AI25/100*'04_L0'!AI25</f>
        <v>0</v>
      </c>
    </row>
    <row r="26" spans="1:35" x14ac:dyDescent="0.2">
      <c r="A26" s="12" t="s">
        <v>1390</v>
      </c>
      <c r="B26" s="17">
        <f>'07_E_manual'!B26/100*'04_L0'!B26</f>
        <v>0.5362043718725702</v>
      </c>
      <c r="C26" s="17">
        <f>'07_E_manual'!C26/100*'04_L0'!C26</f>
        <v>85.761209170474444</v>
      </c>
      <c r="D26" s="17">
        <f>'07_E_manual'!D26/100*'04_L0'!D26</f>
        <v>3.480399633445403</v>
      </c>
      <c r="E26" s="17">
        <f>'07_E_manual'!E26/100*'04_L0'!E26</f>
        <v>6.8293057618154351E-2</v>
      </c>
      <c r="F26" s="17">
        <f>'07_E_manual'!F26/100*'04_L0'!F26</f>
        <v>0</v>
      </c>
      <c r="G26" s="17">
        <f>'07_E_manual'!G26/100*'04_L0'!G26</f>
        <v>4.5131249210720488E-3</v>
      </c>
      <c r="H26" s="17">
        <f>'07_E_manual'!H26/100*'04_L0'!H26</f>
        <v>9.4669113594375728E-2</v>
      </c>
      <c r="I26" s="17">
        <f>'07_E_manual'!I26/100*'04_L0'!I26</f>
        <v>1.5697663928595829</v>
      </c>
      <c r="J26" s="17">
        <f>'07_E_manual'!J26/100*'04_L0'!J26</f>
        <v>6.0786828249427325</v>
      </c>
      <c r="K26" s="17">
        <f>'07_E_manual'!K26/100*'04_L0'!K26</f>
        <v>31.113397005184712</v>
      </c>
      <c r="L26" s="17">
        <f>'07_E_manual'!L26/100*'04_L0'!L26</f>
        <v>75.639484454426096</v>
      </c>
      <c r="M26" s="17">
        <f>'07_E_manual'!M26/100*'04_L0'!M26</f>
        <v>521.53312162639884</v>
      </c>
      <c r="N26" s="17">
        <f>'07_E_manual'!N26/100*'04_L0'!N26</f>
        <v>75.38262446266819</v>
      </c>
      <c r="O26" s="17">
        <f>'07_E_manual'!O26/100*'04_L0'!O26</f>
        <v>0</v>
      </c>
      <c r="P26" s="17">
        <f>'07_E_manual'!P26/100*'04_L0'!P26</f>
        <v>176.07573444469304</v>
      </c>
      <c r="Q26" s="17">
        <f>'07_E_manual'!Q26/100*'04_L0'!Q26</f>
        <v>567.93375040491969</v>
      </c>
      <c r="R26" s="17">
        <f>'07_E_manual'!R26/100*'04_L0'!R26</f>
        <v>7.0517576891750752E-3</v>
      </c>
      <c r="S26" s="17">
        <f>'07_E_manual'!S26/100*'04_L0'!S26</f>
        <v>39.421115387832373</v>
      </c>
      <c r="T26" s="17">
        <f>'07_E_manual'!T26/100*'04_L0'!T26</f>
        <v>0.22814794232252633</v>
      </c>
      <c r="U26" s="17">
        <f>'07_E_manual'!U26/100*'04_L0'!U26</f>
        <v>1.8910936662400388</v>
      </c>
      <c r="V26" s="17">
        <f>'07_E_manual'!V26/100*'04_L0'!V26</f>
        <v>0.32760954327058844</v>
      </c>
      <c r="W26" s="17">
        <f>'07_E_manual'!W26/100*'04_L0'!W26</f>
        <v>0.25251114458394952</v>
      </c>
      <c r="X26" s="17">
        <f>'07_E_manual'!X26/100*'04_L0'!X26</f>
        <v>0.26342929639300705</v>
      </c>
      <c r="Y26" s="17">
        <f>'07_E_manual'!Y26/100*'04_L0'!Y26</f>
        <v>1.561360697694086E-2</v>
      </c>
      <c r="Z26" s="17">
        <f>'07_E_manual'!Z26/100*'04_L0'!Z26</f>
        <v>1.3916383166622821</v>
      </c>
      <c r="AA26" s="17">
        <f>'07_E_manual'!AA26/100*'04_L0'!AA26</f>
        <v>42.254121242037243</v>
      </c>
      <c r="AB26" s="17">
        <f>'07_E_manual'!AB26/100*'04_L0'!AB26</f>
        <v>13.602603643360364</v>
      </c>
      <c r="AC26" s="17">
        <f>'07_E_manual'!AC26/100*'04_L0'!AC26</f>
        <v>59.810704317998301</v>
      </c>
      <c r="AD26" s="17">
        <f>'07_E_manual'!AD26/100*'04_L0'!AD26</f>
        <v>0</v>
      </c>
      <c r="AE26" s="17">
        <f>'07_E_manual'!AE26/100*'04_L0'!AE26</f>
        <v>3.265742324136945E-2</v>
      </c>
      <c r="AF26" s="17">
        <f>'07_E_manual'!AF26/100*'04_L0'!AF26</f>
        <v>7.0059946024754058E-2</v>
      </c>
      <c r="AG26" s="17">
        <f>'07_E_manual'!AG26/100*'04_L0'!AG26</f>
        <v>2.2868008488196994</v>
      </c>
      <c r="AH26" s="17">
        <f>'07_E_manual'!AH26/100*'04_L0'!AH26</f>
        <v>0</v>
      </c>
      <c r="AI26" s="17">
        <f>'07_E_manual'!AI26/100*'04_L0'!AI26</f>
        <v>0</v>
      </c>
    </row>
    <row r="27" spans="1:35" x14ac:dyDescent="0.2">
      <c r="A27" s="12" t="s">
        <v>1391</v>
      </c>
      <c r="B27" s="17">
        <f>'07_E_manual'!B27/100*'04_L0'!B27</f>
        <v>5.4180297911310351</v>
      </c>
      <c r="C27" s="17">
        <f>'07_E_manual'!C27/100*'04_L0'!C27</f>
        <v>102.3767378179779</v>
      </c>
      <c r="D27" s="17">
        <f>'07_E_manual'!D27/100*'04_L0'!D27</f>
        <v>7.9411207826050569</v>
      </c>
      <c r="E27" s="17">
        <f>'07_E_manual'!E27/100*'04_L0'!E27</f>
        <v>10.056410875217514</v>
      </c>
      <c r="F27" s="17">
        <f>'07_E_manual'!F27/100*'04_L0'!F27</f>
        <v>2.7882589038189916</v>
      </c>
      <c r="G27" s="17">
        <f>'07_E_manual'!G27/100*'04_L0'!G27</f>
        <v>14.150501775998364</v>
      </c>
      <c r="H27" s="17">
        <f>'07_E_manual'!H27/100*'04_L0'!H27</f>
        <v>1.3597892031466081</v>
      </c>
      <c r="I27" s="17">
        <f>'07_E_manual'!I27/100*'04_L0'!I27</f>
        <v>23.64858963838153</v>
      </c>
      <c r="J27" s="17">
        <f>'07_E_manual'!J27/100*'04_L0'!J27</f>
        <v>8.0423744173769199E-2</v>
      </c>
      <c r="K27" s="17">
        <f>'07_E_manual'!K27/100*'04_L0'!K27</f>
        <v>154.83600390511754</v>
      </c>
      <c r="L27" s="17">
        <f>'07_E_manual'!L27/100*'04_L0'!L27</f>
        <v>149.79465726180223</v>
      </c>
      <c r="M27" s="17">
        <f>'07_E_manual'!M27/100*'04_L0'!M27</f>
        <v>3535.0593290560905</v>
      </c>
      <c r="N27" s="17">
        <f>'07_E_manual'!N27/100*'04_L0'!N27</f>
        <v>1586.6365552601228</v>
      </c>
      <c r="O27" s="17">
        <f>'07_E_manual'!O27/100*'04_L0'!O27</f>
        <v>15.718084680446184</v>
      </c>
      <c r="P27" s="17">
        <f>'07_E_manual'!P27/100*'04_L0'!P27</f>
        <v>2078.7890482843568</v>
      </c>
      <c r="Q27" s="17">
        <f>'07_E_manual'!Q27/100*'04_L0'!Q27</f>
        <v>737.69621284693596</v>
      </c>
      <c r="R27" s="17">
        <f>'07_E_manual'!R27/100*'04_L0'!R27</f>
        <v>9.0710626176095595</v>
      </c>
      <c r="S27" s="17">
        <f>'07_E_manual'!S27/100*'04_L0'!S27</f>
        <v>6.6083917111058428</v>
      </c>
      <c r="T27" s="17">
        <f>'07_E_manual'!T27/100*'04_L0'!T27</f>
        <v>1.3981212420744411</v>
      </c>
      <c r="U27" s="17">
        <f>'07_E_manual'!U27/100*'04_L0'!U27</f>
        <v>2.8967978973783381</v>
      </c>
      <c r="V27" s="17">
        <f>'07_E_manual'!V27/100*'04_L0'!V27</f>
        <v>0.617699645356097</v>
      </c>
      <c r="W27" s="17">
        <f>'07_E_manual'!W27/100*'04_L0'!W27</f>
        <v>6.3819276366773954</v>
      </c>
      <c r="X27" s="17">
        <f>'07_E_manual'!X27/100*'04_L0'!X27</f>
        <v>15.403319605233166</v>
      </c>
      <c r="Y27" s="17">
        <f>'07_E_manual'!Y27/100*'04_L0'!Y27</f>
        <v>9.1038643842544981E-2</v>
      </c>
      <c r="Z27" s="17">
        <f>'07_E_manual'!Z27/100*'04_L0'!Z27</f>
        <v>0.79208220994908718</v>
      </c>
      <c r="AA27" s="17">
        <f>'07_E_manual'!AA27/100*'04_L0'!AA27</f>
        <v>2.9456162094554328</v>
      </c>
      <c r="AB27" s="17">
        <f>'07_E_manual'!AB27/100*'04_L0'!AB27</f>
        <v>33.523199595639063</v>
      </c>
      <c r="AC27" s="17">
        <f>'07_E_manual'!AC27/100*'04_L0'!AC27</f>
        <v>1.4577128859256503</v>
      </c>
      <c r="AD27" s="17">
        <f>'07_E_manual'!AD27/100*'04_L0'!AD27</f>
        <v>9.4073058035234136E-2</v>
      </c>
      <c r="AE27" s="17">
        <f>'07_E_manual'!AE27/100*'04_L0'!AE27</f>
        <v>9.8575551496598676E-2</v>
      </c>
      <c r="AF27" s="17">
        <f>'07_E_manual'!AF27/100*'04_L0'!AF27</f>
        <v>9.5188814723888585E-2</v>
      </c>
      <c r="AG27" s="17">
        <f>'07_E_manual'!AG27/100*'04_L0'!AG27</f>
        <v>0.21010286336848896</v>
      </c>
      <c r="AH27" s="17">
        <f>'07_E_manual'!AH27/100*'04_L0'!AH27</f>
        <v>8.7653602904890389E-3</v>
      </c>
      <c r="AI27" s="17">
        <f>'07_E_manual'!AI27/100*'04_L0'!AI27</f>
        <v>0.11717192454868154</v>
      </c>
    </row>
    <row r="28" spans="1:35" x14ac:dyDescent="0.2">
      <c r="A28" s="12" t="s">
        <v>1392</v>
      </c>
      <c r="B28" s="17">
        <f>'07_E_manual'!B28/100*'04_L0'!B28</f>
        <v>3.1874449532997713</v>
      </c>
      <c r="C28" s="17">
        <f>'07_E_manual'!C28/100*'04_L0'!C28</f>
        <v>54.591877643189882</v>
      </c>
      <c r="D28" s="17">
        <f>'07_E_manual'!D28/100*'04_L0'!D28</f>
        <v>3.8940686930164512</v>
      </c>
      <c r="E28" s="17">
        <f>'07_E_manual'!E28/100*'04_L0'!E28</f>
        <v>3.8451778525050173</v>
      </c>
      <c r="F28" s="17">
        <f>'07_E_manual'!F28/100*'04_L0'!F28</f>
        <v>0.21701821828643136</v>
      </c>
      <c r="G28" s="17">
        <f>'07_E_manual'!G28/100*'04_L0'!G28</f>
        <v>6.8787044779953259</v>
      </c>
      <c r="H28" s="17">
        <f>'07_E_manual'!H28/100*'04_L0'!H28</f>
        <v>0.10173481585539669</v>
      </c>
      <c r="I28" s="17">
        <f>'07_E_manual'!I28/100*'04_L0'!I28</f>
        <v>12.568387426749752</v>
      </c>
      <c r="J28" s="17">
        <f>'07_E_manual'!J28/100*'04_L0'!J28</f>
        <v>9.4157305676345004E-2</v>
      </c>
      <c r="K28" s="17">
        <f>'07_E_manual'!K28/100*'04_L0'!K28</f>
        <v>13.001316356073271</v>
      </c>
      <c r="L28" s="17">
        <f>'07_E_manual'!L28/100*'04_L0'!L28</f>
        <v>70.940518812793783</v>
      </c>
      <c r="M28" s="17">
        <f>'07_E_manual'!M28/100*'04_L0'!M28</f>
        <v>1902.6442176744731</v>
      </c>
      <c r="N28" s="17">
        <f>'07_E_manual'!N28/100*'04_L0'!N28</f>
        <v>166.0688488319141</v>
      </c>
      <c r="O28" s="17">
        <f>'07_E_manual'!O28/100*'04_L0'!O28</f>
        <v>1.6835149874146331</v>
      </c>
      <c r="P28" s="17">
        <f>'07_E_manual'!P28/100*'04_L0'!P28</f>
        <v>342.31845165693562</v>
      </c>
      <c r="Q28" s="17">
        <f>'07_E_manual'!Q28/100*'04_L0'!Q28</f>
        <v>116.8189062020963</v>
      </c>
      <c r="R28" s="17">
        <f>'07_E_manual'!R28/100*'04_L0'!R28</f>
        <v>7.3046259973602794</v>
      </c>
      <c r="S28" s="17">
        <f>'07_E_manual'!S28/100*'04_L0'!S28</f>
        <v>11.062060603178944</v>
      </c>
      <c r="T28" s="17">
        <f>'07_E_manual'!T28/100*'04_L0'!T28</f>
        <v>0.91439415063310159</v>
      </c>
      <c r="U28" s="17">
        <f>'07_E_manual'!U28/100*'04_L0'!U28</f>
        <v>1.172325461483587</v>
      </c>
      <c r="V28" s="17">
        <f>'07_E_manual'!V28/100*'04_L0'!V28</f>
        <v>0.85329240304824105</v>
      </c>
      <c r="W28" s="17">
        <f>'07_E_manual'!W28/100*'04_L0'!W28</f>
        <v>2.5616972655209387</v>
      </c>
      <c r="X28" s="17">
        <f>'07_E_manual'!X28/100*'04_L0'!X28</f>
        <v>1.6612634123083678</v>
      </c>
      <c r="Y28" s="17">
        <f>'07_E_manual'!Y28/100*'04_L0'!Y28</f>
        <v>4.8760473871521486E-2</v>
      </c>
      <c r="Z28" s="17">
        <f>'07_E_manual'!Z28/100*'04_L0'!Z28</f>
        <v>0.61442893932293341</v>
      </c>
      <c r="AA28" s="17">
        <f>'07_E_manual'!AA28/100*'04_L0'!AA28</f>
        <v>0.83863884751453388</v>
      </c>
      <c r="AB28" s="17">
        <f>'07_E_manual'!AB28/100*'04_L0'!AB28</f>
        <v>15.323281148467807</v>
      </c>
      <c r="AC28" s="17">
        <f>'07_E_manual'!AC28/100*'04_L0'!AC28</f>
        <v>0.40856701885076668</v>
      </c>
      <c r="AD28" s="17">
        <f>'07_E_manual'!AD28/100*'04_L0'!AD28</f>
        <v>6.7439860899890181E-2</v>
      </c>
      <c r="AE28" s="17">
        <f>'07_E_manual'!AE28/100*'04_L0'!AE28</f>
        <v>2.7559852884981882E-2</v>
      </c>
      <c r="AF28" s="17">
        <f>'07_E_manual'!AF28/100*'04_L0'!AF28</f>
        <v>0.53616874884200938</v>
      </c>
      <c r="AG28" s="17">
        <f>'07_E_manual'!AG28/100*'04_L0'!AG28</f>
        <v>5.9574305426889934E-2</v>
      </c>
      <c r="AH28" s="17">
        <f>'07_E_manual'!AH28/100*'04_L0'!AH28</f>
        <v>2.284462147988301E-3</v>
      </c>
      <c r="AI28" s="17">
        <f>'07_E_manual'!AI28/100*'04_L0'!AI28</f>
        <v>0.31343318175489493</v>
      </c>
    </row>
    <row r="29" spans="1:35" x14ac:dyDescent="0.2">
      <c r="A29" s="12" t="s">
        <v>1393</v>
      </c>
      <c r="B29" s="17">
        <f>'07_E_manual'!B29/100*'04_L0'!B29</f>
        <v>1.7404811575214504E-2</v>
      </c>
      <c r="C29" s="17">
        <f>'07_E_manual'!C29/100*'04_L0'!C29</f>
        <v>1.2968894531582145</v>
      </c>
      <c r="D29" s="17">
        <f>'07_E_manual'!D29/100*'04_L0'!D29</f>
        <v>1.4231778595061783E-3</v>
      </c>
      <c r="E29" s="17">
        <f>'07_E_manual'!E29/100*'04_L0'!E29</f>
        <v>6.9038362345001311E-2</v>
      </c>
      <c r="F29" s="17">
        <f>'07_E_manual'!F29/100*'04_L0'!F29</f>
        <v>6.5911712474185117E-3</v>
      </c>
      <c r="G29" s="17">
        <f>'07_E_manual'!G29/100*'04_L0'!G29</f>
        <v>0.75746221425194549</v>
      </c>
      <c r="H29" s="17">
        <f>'07_E_manual'!H29/100*'04_L0'!H29</f>
        <v>8.6093475451608323E-4</v>
      </c>
      <c r="I29" s="17">
        <f>'07_E_manual'!I29/100*'04_L0'!I29</f>
        <v>5.8144318138271478E-2</v>
      </c>
      <c r="J29" s="17">
        <f>'07_E_manual'!J29/100*'04_L0'!J29</f>
        <v>4.1284422924160603E-2</v>
      </c>
      <c r="K29" s="17">
        <f>'07_E_manual'!K29/100*'04_L0'!K29</f>
        <v>190.69195406260977</v>
      </c>
      <c r="L29" s="17">
        <f>'07_E_manual'!L29/100*'04_L0'!L29</f>
        <v>43.241773054771301</v>
      </c>
      <c r="M29" s="17">
        <f>'07_E_manual'!M29/100*'04_L0'!M29</f>
        <v>2600.6674046836215</v>
      </c>
      <c r="N29" s="17">
        <f>'07_E_manual'!N29/100*'04_L0'!N29</f>
        <v>32.843160807335408</v>
      </c>
      <c r="O29" s="17">
        <f>'07_E_manual'!O29/100*'04_L0'!O29</f>
        <v>3.8430815281442952E-3</v>
      </c>
      <c r="P29" s="17">
        <f>'07_E_manual'!P29/100*'04_L0'!P29</f>
        <v>73.804213736930279</v>
      </c>
      <c r="Q29" s="17">
        <f>'07_E_manual'!Q29/100*'04_L0'!Q29</f>
        <v>27.606071041688438</v>
      </c>
      <c r="R29" s="17">
        <f>'07_E_manual'!R29/100*'04_L0'!R29</f>
        <v>5.4686318625941032E-4</v>
      </c>
      <c r="S29" s="17">
        <f>'07_E_manual'!S29/100*'04_L0'!S29</f>
        <v>8.4803703785902163E-4</v>
      </c>
      <c r="T29" s="17">
        <f>'07_E_manual'!T29/100*'04_L0'!T29</f>
        <v>2.4859010414191563E-3</v>
      </c>
      <c r="U29" s="17">
        <f>'07_E_manual'!U29/100*'04_L0'!U29</f>
        <v>0.10232999725083751</v>
      </c>
      <c r="V29" s="17">
        <f>'07_E_manual'!V29/100*'04_L0'!V29</f>
        <v>2.2175555290089341E-2</v>
      </c>
      <c r="W29" s="17">
        <f>'07_E_manual'!W29/100*'04_L0'!W29</f>
        <v>1.4477621728908889</v>
      </c>
      <c r="X29" s="17">
        <f>'07_E_manual'!X29/100*'04_L0'!X29</f>
        <v>4.5210655301533542</v>
      </c>
      <c r="Y29" s="17">
        <f>'07_E_manual'!Y29/100*'04_L0'!Y29</f>
        <v>3.9073559606624668E-2</v>
      </c>
      <c r="Z29" s="17">
        <f>'07_E_manual'!Z29/100*'04_L0'!Z29</f>
        <v>8.622298799509677E-2</v>
      </c>
      <c r="AA29" s="17">
        <f>'07_E_manual'!AA29/100*'04_L0'!AA29</f>
        <v>1.2461433139650622E-2</v>
      </c>
      <c r="AB29" s="17">
        <f>'07_E_manual'!AB29/100*'04_L0'!AB29</f>
        <v>0.31772308218948803</v>
      </c>
      <c r="AC29" s="17">
        <f>'07_E_manual'!AC29/100*'04_L0'!AC29</f>
        <v>2.9308284625217756E-2</v>
      </c>
      <c r="AD29" s="17">
        <f>'07_E_manual'!AD29/100*'04_L0'!AD29</f>
        <v>2.5230854018946095E-4</v>
      </c>
      <c r="AE29" s="17">
        <f>'07_E_manual'!AE29/100*'04_L0'!AE29</f>
        <v>7.1767762542780007E-3</v>
      </c>
      <c r="AF29" s="17">
        <f>'07_E_manual'!AF29/100*'04_L0'!AF29</f>
        <v>3.6008478081360103E-3</v>
      </c>
      <c r="AG29" s="17">
        <f>'07_E_manual'!AG29/100*'04_L0'!AG29</f>
        <v>2.2289201208558164E-3</v>
      </c>
      <c r="AH29" s="17">
        <f>'07_E_manual'!AH29/100*'04_L0'!AH29</f>
        <v>3.164807643869541E-3</v>
      </c>
      <c r="AI29" s="17">
        <f>'07_E_manual'!AI29/100*'04_L0'!AI29</f>
        <v>2.796439122018083E-2</v>
      </c>
    </row>
    <row r="30" spans="1:35" x14ac:dyDescent="0.2">
      <c r="A30" s="12" t="s">
        <v>1394</v>
      </c>
      <c r="B30" s="17">
        <f>'07_E_manual'!B30/100*'04_L0'!B30</f>
        <v>9.3760229512181166</v>
      </c>
      <c r="C30" s="17">
        <f>'07_E_manual'!C30/100*'04_L0'!C30</f>
        <v>51.305426131168545</v>
      </c>
      <c r="D30" s="17">
        <f>'07_E_manual'!D30/100*'04_L0'!D30</f>
        <v>4.3935724311068078</v>
      </c>
      <c r="E30" s="17">
        <f>'07_E_manual'!E30/100*'04_L0'!E30</f>
        <v>1.3292842856466307</v>
      </c>
      <c r="F30" s="17">
        <f>'07_E_manual'!F30/100*'04_L0'!F30</f>
        <v>0.62480199065402131</v>
      </c>
      <c r="G30" s="17">
        <f>'07_E_manual'!G30/100*'04_L0'!G30</f>
        <v>3.1747094060236307</v>
      </c>
      <c r="H30" s="17">
        <f>'07_E_manual'!H30/100*'04_L0'!H30</f>
        <v>0.2687070012813893</v>
      </c>
      <c r="I30" s="17">
        <f>'07_E_manual'!I30/100*'04_L0'!I30</f>
        <v>5.7385435834864431</v>
      </c>
      <c r="J30" s="17">
        <f>'07_E_manual'!J30/100*'04_L0'!J30</f>
        <v>2.4171296248324106E-2</v>
      </c>
      <c r="K30" s="17">
        <f>'07_E_manual'!K30/100*'04_L0'!K30</f>
        <v>0.56427103334973183</v>
      </c>
      <c r="L30" s="17">
        <f>'07_E_manual'!L30/100*'04_L0'!L30</f>
        <v>6.5501483683711221</v>
      </c>
      <c r="M30" s="17">
        <f>'07_E_manual'!M30/100*'04_L0'!M30</f>
        <v>852.72287986826939</v>
      </c>
      <c r="N30" s="17">
        <f>'07_E_manual'!N30/100*'04_L0'!N30</f>
        <v>3248.1667860841048</v>
      </c>
      <c r="O30" s="17">
        <f>'07_E_manual'!O30/100*'04_L0'!O30</f>
        <v>15.841847843638183</v>
      </c>
      <c r="P30" s="17">
        <f>'07_E_manual'!P30/100*'04_L0'!P30</f>
        <v>1190.6696166213544</v>
      </c>
      <c r="Q30" s="17">
        <f>'07_E_manual'!Q30/100*'04_L0'!Q30</f>
        <v>53.923148225663795</v>
      </c>
      <c r="R30" s="17">
        <f>'07_E_manual'!R30/100*'04_L0'!R30</f>
        <v>3.8200513907555491</v>
      </c>
      <c r="S30" s="17">
        <f>'07_E_manual'!S30/100*'04_L0'!S30</f>
        <v>3.3946322746391133</v>
      </c>
      <c r="T30" s="17">
        <f>'07_E_manual'!T30/100*'04_L0'!T30</f>
        <v>2.6268230207360213</v>
      </c>
      <c r="U30" s="17">
        <f>'07_E_manual'!U30/100*'04_L0'!U30</f>
        <v>2.1873212585549786</v>
      </c>
      <c r="V30" s="17">
        <f>'07_E_manual'!V30/100*'04_L0'!V30</f>
        <v>0.3156174196219767</v>
      </c>
      <c r="W30" s="17">
        <f>'07_E_manual'!W30/100*'04_L0'!W30</f>
        <v>0.74823692806040731</v>
      </c>
      <c r="X30" s="17">
        <f>'07_E_manual'!X30/100*'04_L0'!X30</f>
        <v>1.137813033881808</v>
      </c>
      <c r="Y30" s="17">
        <f>'07_E_manual'!Y30/100*'04_L0'!Y30</f>
        <v>7.8926681627180754E-3</v>
      </c>
      <c r="Z30" s="17">
        <f>'07_E_manual'!Z30/100*'04_L0'!Z30</f>
        <v>0.62198369181983004</v>
      </c>
      <c r="AA30" s="17">
        <f>'07_E_manual'!AA30/100*'04_L0'!AA30</f>
        <v>0.62856963231205332</v>
      </c>
      <c r="AB30" s="17">
        <f>'07_E_manual'!AB30/100*'04_L0'!AB30</f>
        <v>21.654389713515574</v>
      </c>
      <c r="AC30" s="17">
        <f>'07_E_manual'!AC30/100*'04_L0'!AC30</f>
        <v>2.0403028930860767</v>
      </c>
      <c r="AD30" s="17">
        <f>'07_E_manual'!AD30/100*'04_L0'!AD30</f>
        <v>0.70197434840421391</v>
      </c>
      <c r="AE30" s="17">
        <f>'07_E_manual'!AE30/100*'04_L0'!AE30</f>
        <v>8.7188099537595987E-2</v>
      </c>
      <c r="AF30" s="17">
        <f>'07_E_manual'!AF30/100*'04_L0'!AF30</f>
        <v>0.23797866835491424</v>
      </c>
      <c r="AG30" s="17">
        <f>'07_E_manual'!AG30/100*'04_L0'!AG30</f>
        <v>7.4781874689190869E-2</v>
      </c>
      <c r="AH30" s="17">
        <f>'07_E_manual'!AH30/100*'04_L0'!AH30</f>
        <v>7.8181867697204879E-2</v>
      </c>
      <c r="AI30" s="17">
        <f>'07_E_manual'!AI30/100*'04_L0'!AI30</f>
        <v>9.2296524244336084E-2</v>
      </c>
    </row>
    <row r="31" spans="1:35" x14ac:dyDescent="0.2">
      <c r="A31" s="12" t="s">
        <v>1395</v>
      </c>
      <c r="B31" s="17">
        <f>'07_E_manual'!B31/100*'04_L0'!B31</f>
        <v>8.0167525894182621</v>
      </c>
      <c r="C31" s="17">
        <f>'07_E_manual'!C31/100*'04_L0'!C31</f>
        <v>105.13808532762529</v>
      </c>
      <c r="D31" s="17">
        <f>'07_E_manual'!D31/100*'04_L0'!D31</f>
        <v>8.3094604165097063</v>
      </c>
      <c r="E31" s="17">
        <f>'07_E_manual'!E31/100*'04_L0'!E31</f>
        <v>7.8792673262624193</v>
      </c>
      <c r="F31" s="17">
        <f>'07_E_manual'!F31/100*'04_L0'!F31</f>
        <v>2.0239623738351797</v>
      </c>
      <c r="G31" s="17">
        <f>'07_E_manual'!G31/100*'04_L0'!G31</f>
        <v>12.054244317347869</v>
      </c>
      <c r="H31" s="17">
        <f>'07_E_manual'!H31/100*'04_L0'!H31</f>
        <v>0.8604568435187393</v>
      </c>
      <c r="I31" s="17">
        <f>'07_E_manual'!I31/100*'04_L0'!I31</f>
        <v>14.071567138010144</v>
      </c>
      <c r="J31" s="17">
        <f>'07_E_manual'!J31/100*'04_L0'!J31</f>
        <v>0.33460302301754608</v>
      </c>
      <c r="K31" s="17">
        <f>'07_E_manual'!K31/100*'04_L0'!K31</f>
        <v>25.679789469819713</v>
      </c>
      <c r="L31" s="17">
        <f>'07_E_manual'!L31/100*'04_L0'!L31</f>
        <v>98.217403112824428</v>
      </c>
      <c r="M31" s="17">
        <f>'07_E_manual'!M31/100*'04_L0'!M31</f>
        <v>2690.6918761096645</v>
      </c>
      <c r="N31" s="17">
        <f>'07_E_manual'!N31/100*'04_L0'!N31</f>
        <v>3160.8933436974025</v>
      </c>
      <c r="O31" s="17">
        <f>'07_E_manual'!O31/100*'04_L0'!O31</f>
        <v>36.814105506575018</v>
      </c>
      <c r="P31" s="17">
        <f>'07_E_manual'!P31/100*'04_L0'!P31</f>
        <v>1874.0079751124035</v>
      </c>
      <c r="Q31" s="17">
        <f>'07_E_manual'!Q31/100*'04_L0'!Q31</f>
        <v>96.386194269864475</v>
      </c>
      <c r="R31" s="17">
        <f>'07_E_manual'!R31/100*'04_L0'!R31</f>
        <v>627.0677777451034</v>
      </c>
      <c r="S31" s="17">
        <f>'07_E_manual'!S31/100*'04_L0'!S31</f>
        <v>15.26415745151281</v>
      </c>
      <c r="T31" s="17">
        <f>'07_E_manual'!T31/100*'04_L0'!T31</f>
        <v>4.2087175984470129</v>
      </c>
      <c r="U31" s="17">
        <f>'07_E_manual'!U31/100*'04_L0'!U31</f>
        <v>2.5780833773623835</v>
      </c>
      <c r="V31" s="17">
        <f>'07_E_manual'!V31/100*'04_L0'!V31</f>
        <v>0.243254164773795</v>
      </c>
      <c r="W31" s="17">
        <f>'07_E_manual'!W31/100*'04_L0'!W31</f>
        <v>7.0357793913634161</v>
      </c>
      <c r="X31" s="17">
        <f>'07_E_manual'!X31/100*'04_L0'!X31</f>
        <v>11.494607441286997</v>
      </c>
      <c r="Y31" s="17">
        <f>'07_E_manual'!Y31/100*'04_L0'!Y31</f>
        <v>0.35359239868960834</v>
      </c>
      <c r="Z31" s="17">
        <f>'07_E_manual'!Z31/100*'04_L0'!Z31</f>
        <v>0.90161299574227283</v>
      </c>
      <c r="AA31" s="17">
        <f>'07_E_manual'!AA31/100*'04_L0'!AA31</f>
        <v>0.58289966424806161</v>
      </c>
      <c r="AB31" s="17">
        <f>'07_E_manual'!AB31/100*'04_L0'!AB31</f>
        <v>9.1148480915726395</v>
      </c>
      <c r="AC31" s="17">
        <f>'07_E_manual'!AC31/100*'04_L0'!AC31</f>
        <v>0.45336002360133043</v>
      </c>
      <c r="AD31" s="17">
        <f>'07_E_manual'!AD31/100*'04_L0'!AD31</f>
        <v>0.42111841284635532</v>
      </c>
      <c r="AE31" s="17">
        <f>'07_E_manual'!AE31/100*'04_L0'!AE31</f>
        <v>0.32238969813667745</v>
      </c>
      <c r="AF31" s="17">
        <f>'07_E_manual'!AF31/100*'04_L0'!AF31</f>
        <v>0.73500696709972024</v>
      </c>
      <c r="AG31" s="17">
        <f>'07_E_manual'!AG31/100*'04_L0'!AG31</f>
        <v>0.12814271285283338</v>
      </c>
      <c r="AH31" s="17">
        <f>'07_E_manual'!AH31/100*'04_L0'!AH31</f>
        <v>2.479251880072096E-3</v>
      </c>
      <c r="AI31" s="17">
        <f>'07_E_manual'!AI31/100*'04_L0'!AI31</f>
        <v>2.4764555892760998E-2</v>
      </c>
    </row>
    <row r="32" spans="1:35" x14ac:dyDescent="0.2">
      <c r="A32" s="12" t="s">
        <v>1396</v>
      </c>
      <c r="B32" s="17">
        <f>'07_E_manual'!B32/100*'04_L0'!B32</f>
        <v>3.785034037239813</v>
      </c>
      <c r="C32" s="17">
        <f>'07_E_manual'!C32/100*'04_L0'!C32</f>
        <v>75.168752873188552</v>
      </c>
      <c r="D32" s="17">
        <f>'07_E_manual'!D32/100*'04_L0'!D32</f>
        <v>10.38886138265674</v>
      </c>
      <c r="E32" s="17">
        <f>'07_E_manual'!E32/100*'04_L0'!E32</f>
        <v>12.011398203507444</v>
      </c>
      <c r="F32" s="17">
        <f>'07_E_manual'!F32/100*'04_L0'!F32</f>
        <v>1.7518195441368281</v>
      </c>
      <c r="G32" s="17">
        <f>'07_E_manual'!G32/100*'04_L0'!G32</f>
        <v>26.229127385991529</v>
      </c>
      <c r="H32" s="17">
        <f>'07_E_manual'!H32/100*'04_L0'!H32</f>
        <v>0.99278350159642259</v>
      </c>
      <c r="I32" s="17">
        <f>'07_E_manual'!I32/100*'04_L0'!I32</f>
        <v>4.5889489211242376</v>
      </c>
      <c r="J32" s="17">
        <f>'07_E_manual'!J32/100*'04_L0'!J32</f>
        <v>1.1685446848348497</v>
      </c>
      <c r="K32" s="17">
        <f>'07_E_manual'!K32/100*'04_L0'!K32</f>
        <v>4.7956063590418747</v>
      </c>
      <c r="L32" s="17">
        <f>'07_E_manual'!L32/100*'04_L0'!L32</f>
        <v>5.8143977391805697</v>
      </c>
      <c r="M32" s="17">
        <f>'07_E_manual'!M32/100*'04_L0'!M32</f>
        <v>277.22496502979715</v>
      </c>
      <c r="N32" s="17">
        <f>'07_E_manual'!N32/100*'04_L0'!N32</f>
        <v>87.801611412469043</v>
      </c>
      <c r="O32" s="17">
        <f>'07_E_manual'!O32/100*'04_L0'!O32</f>
        <v>1.6752401830473178</v>
      </c>
      <c r="P32" s="17">
        <f>'07_E_manual'!P32/100*'04_L0'!P32</f>
        <v>237.58579433771894</v>
      </c>
      <c r="Q32" s="17">
        <f>'07_E_manual'!Q32/100*'04_L0'!Q32</f>
        <v>29.864229077911016</v>
      </c>
      <c r="R32" s="17">
        <f>'07_E_manual'!R32/100*'04_L0'!R32</f>
        <v>2.3564745679293368</v>
      </c>
      <c r="S32" s="17">
        <f>'07_E_manual'!S32/100*'04_L0'!S32</f>
        <v>7.7002771912216001</v>
      </c>
      <c r="T32" s="17">
        <f>'07_E_manual'!T32/100*'04_L0'!T32</f>
        <v>8.6151115899397279</v>
      </c>
      <c r="U32" s="17">
        <f>'07_E_manual'!U32/100*'04_L0'!U32</f>
        <v>5.9805150328707546</v>
      </c>
      <c r="V32" s="17">
        <f>'07_E_manual'!V32/100*'04_L0'!V32</f>
        <v>0.96429254833427713</v>
      </c>
      <c r="W32" s="17">
        <f>'07_E_manual'!W32/100*'04_L0'!W32</f>
        <v>4.5639174620945671</v>
      </c>
      <c r="X32" s="17">
        <f>'07_E_manual'!X32/100*'04_L0'!X32</f>
        <v>8.4756618301231903</v>
      </c>
      <c r="Y32" s="17">
        <f>'07_E_manual'!Y32/100*'04_L0'!Y32</f>
        <v>0.30591662830007654</v>
      </c>
      <c r="Z32" s="17">
        <f>'07_E_manual'!Z32/100*'04_L0'!Z32</f>
        <v>1.0807451070727281</v>
      </c>
      <c r="AA32" s="17">
        <f>'07_E_manual'!AA32/100*'04_L0'!AA32</f>
        <v>5.9431540749302387</v>
      </c>
      <c r="AB32" s="17">
        <f>'07_E_manual'!AB32/100*'04_L0'!AB32</f>
        <v>33.536784691172038</v>
      </c>
      <c r="AC32" s="17">
        <f>'07_E_manual'!AC32/100*'04_L0'!AC32</f>
        <v>4.1708858231247969</v>
      </c>
      <c r="AD32" s="17">
        <f>'07_E_manual'!AD32/100*'04_L0'!AD32</f>
        <v>0.18355795684496951</v>
      </c>
      <c r="AE32" s="17">
        <f>'07_E_manual'!AE32/100*'04_L0'!AE32</f>
        <v>0.31595424519378623</v>
      </c>
      <c r="AF32" s="17">
        <f>'07_E_manual'!AF32/100*'04_L0'!AF32</f>
        <v>3.1185830609999599</v>
      </c>
      <c r="AG32" s="17">
        <f>'07_E_manual'!AG32/100*'04_L0'!AG32</f>
        <v>0.95987830579597189</v>
      </c>
      <c r="AH32" s="17">
        <f>'07_E_manual'!AH32/100*'04_L0'!AH32</f>
        <v>3.6755176824109448E-2</v>
      </c>
      <c r="AI32" s="17">
        <f>'07_E_manual'!AI32/100*'04_L0'!AI32</f>
        <v>0.20742463914429865</v>
      </c>
    </row>
    <row r="33" spans="1:35" x14ac:dyDescent="0.2">
      <c r="A33" s="12" t="s">
        <v>1397</v>
      </c>
      <c r="B33" s="17">
        <f>'07_E_manual'!B33/100*'04_L0'!B33</f>
        <v>2.0119572857884611</v>
      </c>
      <c r="C33" s="17">
        <f>'07_E_manual'!C33/100*'04_L0'!C33</f>
        <v>1.3801016799087171</v>
      </c>
      <c r="D33" s="17">
        <f>'07_E_manual'!D33/100*'04_L0'!D33</f>
        <v>1.0544052560246353</v>
      </c>
      <c r="E33" s="17">
        <f>'07_E_manual'!E33/100*'04_L0'!E33</f>
        <v>0.34502541997717928</v>
      </c>
      <c r="F33" s="17">
        <f>'07_E_manual'!F33/100*'04_L0'!F33</f>
        <v>0</v>
      </c>
      <c r="G33" s="17">
        <f>'07_E_manual'!G33/100*'04_L0'!G33</f>
        <v>3.4801007917434128</v>
      </c>
      <c r="H33" s="17">
        <f>'07_E_manual'!H33/100*'04_L0'!H33</f>
        <v>7.7630719494865344E-3</v>
      </c>
      <c r="I33" s="17">
        <f>'07_E_manual'!I33/100*'04_L0'!I33</f>
        <v>4.2804023985292314</v>
      </c>
      <c r="J33" s="17">
        <f>'07_E_manual'!J33/100*'04_L0'!J33</f>
        <v>0.38307878942809176</v>
      </c>
      <c r="K33" s="17">
        <f>'07_E_manual'!K33/100*'04_L0'!K33</f>
        <v>0.29344198990404791</v>
      </c>
      <c r="L33" s="17">
        <f>'07_E_manual'!L33/100*'04_L0'!L33</f>
        <v>4.4531470186080648</v>
      </c>
      <c r="M33" s="17">
        <f>'07_E_manual'!M33/100*'04_L0'!M33</f>
        <v>27.079828869249759</v>
      </c>
      <c r="N33" s="17">
        <f>'07_E_manual'!N33/100*'04_L0'!N33</f>
        <v>85.587868243089034</v>
      </c>
      <c r="O33" s="17">
        <f>'07_E_manual'!O33/100*'04_L0'!O33</f>
        <v>0.18089105360607388</v>
      </c>
      <c r="P33" s="17">
        <f>'07_E_manual'!P33/100*'04_L0'!P33</f>
        <v>26.910280112200272</v>
      </c>
      <c r="Q33" s="17">
        <f>'07_E_manual'!Q33/100*'04_L0'!Q33</f>
        <v>0.32117299390955251</v>
      </c>
      <c r="R33" s="17">
        <f>'07_E_manual'!R33/100*'04_L0'!R33</f>
        <v>0</v>
      </c>
      <c r="S33" s="17">
        <f>'07_E_manual'!S33/100*'04_L0'!S33</f>
        <v>1.1596687727010748E-2</v>
      </c>
      <c r="T33" s="17">
        <f>'07_E_manual'!T33/100*'04_L0'!T33</f>
        <v>0.52324714111593995</v>
      </c>
      <c r="U33" s="17">
        <f>'07_E_manual'!U33/100*'04_L0'!U33</f>
        <v>0.22907037485453327</v>
      </c>
      <c r="V33" s="17">
        <f>'07_E_manual'!V33/100*'04_L0'!V33</f>
        <v>2.2631218295978432</v>
      </c>
      <c r="W33" s="17">
        <f>'07_E_manual'!W33/100*'04_L0'!W33</f>
        <v>5.5716399181431397E-2</v>
      </c>
      <c r="X33" s="17">
        <f>'07_E_manual'!X33/100*'04_L0'!X33</f>
        <v>11.725544545725409</v>
      </c>
      <c r="Y33" s="17">
        <f>'07_E_manual'!Y33/100*'04_L0'!Y33</f>
        <v>4.49917407223328E-2</v>
      </c>
      <c r="Z33" s="17">
        <f>'07_E_manual'!Z33/100*'04_L0'!Z33</f>
        <v>0.38712893350416128</v>
      </c>
      <c r="AA33" s="17">
        <f>'07_E_manual'!AA33/100*'04_L0'!AA33</f>
        <v>2.0398255427045195</v>
      </c>
      <c r="AB33" s="17">
        <f>'07_E_manual'!AB33/100*'04_L0'!AB33</f>
        <v>3.1591313107701984</v>
      </c>
      <c r="AC33" s="17">
        <f>'07_E_manual'!AC33/100*'04_L0'!AC33</f>
        <v>3.4760435483788661</v>
      </c>
      <c r="AD33" s="17">
        <f>'07_E_manual'!AD33/100*'04_L0'!AD33</f>
        <v>0.4373918959205898</v>
      </c>
      <c r="AE33" s="17">
        <f>'07_E_manual'!AE33/100*'04_L0'!AE33</f>
        <v>2.3791182872366043</v>
      </c>
      <c r="AF33" s="17">
        <f>'07_E_manual'!AF33/100*'04_L0'!AF33</f>
        <v>0.59142870764805577</v>
      </c>
      <c r="AG33" s="17">
        <f>'07_E_manual'!AG33/100*'04_L0'!AG33</f>
        <v>0.74782129993510549</v>
      </c>
      <c r="AH33" s="17">
        <f>'07_E_manual'!AH33/100*'04_L0'!AH33</f>
        <v>9.9508360151168629E-4</v>
      </c>
      <c r="AI33" s="17">
        <f>'07_E_manual'!AI33/100*'04_L0'!AI33</f>
        <v>0.26583995630587359</v>
      </c>
    </row>
    <row r="34" spans="1:35" x14ac:dyDescent="0.2">
      <c r="A34" s="12" t="s">
        <v>1398</v>
      </c>
      <c r="B34" s="17">
        <f>'07_E_manual'!B34/100*'04_L0'!B34</f>
        <v>1.5671071173456059</v>
      </c>
      <c r="C34" s="17">
        <f>'07_E_manual'!C34/100*'04_L0'!C34</f>
        <v>43.501665260998152</v>
      </c>
      <c r="D34" s="17">
        <f>'07_E_manual'!D34/100*'04_L0'!D34</f>
        <v>3.4516624474796651</v>
      </c>
      <c r="E34" s="17">
        <f>'07_E_manual'!E34/100*'04_L0'!E34</f>
        <v>7.6738253779829799</v>
      </c>
      <c r="F34" s="17">
        <f>'07_E_manual'!F34/100*'04_L0'!F34</f>
        <v>1.0063617647096268</v>
      </c>
      <c r="G34" s="17">
        <f>'07_E_manual'!G34/100*'04_L0'!G34</f>
        <v>8.8204906013502011</v>
      </c>
      <c r="H34" s="17">
        <f>'07_E_manual'!H34/100*'04_L0'!H34</f>
        <v>0.41350842317645603</v>
      </c>
      <c r="I34" s="17">
        <f>'07_E_manual'!I34/100*'04_L0'!I34</f>
        <v>6.3071514930271224</v>
      </c>
      <c r="J34" s="17">
        <f>'07_E_manual'!J34/100*'04_L0'!J34</f>
        <v>8.984710120697427E-2</v>
      </c>
      <c r="K34" s="17">
        <f>'07_E_manual'!K34/100*'04_L0'!K34</f>
        <v>1.3890698485718092</v>
      </c>
      <c r="L34" s="17">
        <f>'07_E_manual'!L34/100*'04_L0'!L34</f>
        <v>24.269330645924931</v>
      </c>
      <c r="M34" s="17">
        <f>'07_E_manual'!M34/100*'04_L0'!M34</f>
        <v>439.42036924639734</v>
      </c>
      <c r="N34" s="17">
        <f>'07_E_manual'!N34/100*'04_L0'!N34</f>
        <v>301.88091049434649</v>
      </c>
      <c r="O34" s="17">
        <f>'07_E_manual'!O34/100*'04_L0'!O34</f>
        <v>2.7230996086934485</v>
      </c>
      <c r="P34" s="17">
        <f>'07_E_manual'!P34/100*'04_L0'!P34</f>
        <v>587.00909042748447</v>
      </c>
      <c r="Q34" s="17">
        <f>'07_E_manual'!Q34/100*'04_L0'!Q34</f>
        <v>44.85173900074664</v>
      </c>
      <c r="R34" s="17">
        <f>'07_E_manual'!R34/100*'04_L0'!R34</f>
        <v>1.9831608339280256</v>
      </c>
      <c r="S34" s="17">
        <f>'07_E_manual'!S34/100*'04_L0'!S34</f>
        <v>3.0568356453596777</v>
      </c>
      <c r="T34" s="17">
        <f>'07_E_manual'!T34/100*'04_L0'!T34</f>
        <v>2.4197239647296205</v>
      </c>
      <c r="U34" s="17">
        <f>'07_E_manual'!U34/100*'04_L0'!U34</f>
        <v>1.5740543854753488</v>
      </c>
      <c r="V34" s="17">
        <f>'07_E_manual'!V34/100*'04_L0'!V34</f>
        <v>0.85520858918048714</v>
      </c>
      <c r="W34" s="17">
        <f>'07_E_manual'!W34/100*'04_L0'!W34</f>
        <v>1.2815649507472557</v>
      </c>
      <c r="X34" s="17">
        <f>'07_E_manual'!X34/100*'04_L0'!X34</f>
        <v>2.1807884267432378</v>
      </c>
      <c r="Y34" s="17">
        <f>'07_E_manual'!Y34/100*'04_L0'!Y34</f>
        <v>0.1401636431226197</v>
      </c>
      <c r="Z34" s="17">
        <f>'07_E_manual'!Z34/100*'04_L0'!Z34</f>
        <v>0.29901960807015499</v>
      </c>
      <c r="AA34" s="17">
        <f>'07_E_manual'!AA34/100*'04_L0'!AA34</f>
        <v>0.30336576633141599</v>
      </c>
      <c r="AB34" s="17">
        <f>'07_E_manual'!AB34/100*'04_L0'!AB34</f>
        <v>11.562341993647806</v>
      </c>
      <c r="AC34" s="17">
        <f>'07_E_manual'!AC34/100*'04_L0'!AC34</f>
        <v>1.6831881127240245</v>
      </c>
      <c r="AD34" s="17">
        <f>'07_E_manual'!AD34/100*'04_L0'!AD34</f>
        <v>8.1844219908634538E-2</v>
      </c>
      <c r="AE34" s="17">
        <f>'07_E_manual'!AE34/100*'04_L0'!AE34</f>
        <v>0.12475042087979558</v>
      </c>
      <c r="AF34" s="17">
        <f>'07_E_manual'!AF34/100*'04_L0'!AF34</f>
        <v>0.18936848102847179</v>
      </c>
      <c r="AG34" s="17">
        <f>'07_E_manual'!AG34/100*'04_L0'!AG34</f>
        <v>0.16536865644810611</v>
      </c>
      <c r="AH34" s="17">
        <f>'07_E_manual'!AH34/100*'04_L0'!AH34</f>
        <v>1.605507236483122E-4</v>
      </c>
      <c r="AI34" s="17">
        <f>'07_E_manual'!AI34/100*'04_L0'!AI34</f>
        <v>5.0851031580603528E-2</v>
      </c>
    </row>
    <row r="35" spans="1:35" x14ac:dyDescent="0.2">
      <c r="A35" s="12" t="s">
        <v>1399</v>
      </c>
      <c r="B35" s="17">
        <f>'07_E_manual'!B35/100*'04_L0'!B35</f>
        <v>113.24113595158936</v>
      </c>
      <c r="C35" s="17">
        <f>'07_E_manual'!C35/100*'04_L0'!C35</f>
        <v>747.45471195598373</v>
      </c>
      <c r="D35" s="17">
        <f>'07_E_manual'!D35/100*'04_L0'!D35</f>
        <v>74.427597076201295</v>
      </c>
      <c r="E35" s="17">
        <f>'07_E_manual'!E35/100*'04_L0'!E35</f>
        <v>99.617532322242369</v>
      </c>
      <c r="F35" s="17">
        <f>'07_E_manual'!F35/100*'04_L0'!F35</f>
        <v>27.395440222396108</v>
      </c>
      <c r="G35" s="17">
        <f>'07_E_manual'!G35/100*'04_L0'!G35</f>
        <v>171.97871885731169</v>
      </c>
      <c r="H35" s="17">
        <f>'07_E_manual'!H35/100*'04_L0'!H35</f>
        <v>9.0395706636051152</v>
      </c>
      <c r="I35" s="17">
        <f>'07_E_manual'!I35/100*'04_L0'!I35</f>
        <v>224.87902591990178</v>
      </c>
      <c r="J35" s="17">
        <f>'07_E_manual'!J35/100*'04_L0'!J35</f>
        <v>4.4512725602089906</v>
      </c>
      <c r="K35" s="17">
        <f>'07_E_manual'!K35/100*'04_L0'!K35</f>
        <v>19.972235908022274</v>
      </c>
      <c r="L35" s="17">
        <f>'07_E_manual'!L35/100*'04_L0'!L35</f>
        <v>188.17008802539658</v>
      </c>
      <c r="M35" s="17">
        <f>'07_E_manual'!M35/100*'04_L0'!M35</f>
        <v>12218.737473259936</v>
      </c>
      <c r="N35" s="17">
        <f>'07_E_manual'!N35/100*'04_L0'!N35</f>
        <v>11467.213532180947</v>
      </c>
      <c r="O35" s="17">
        <f>'07_E_manual'!O35/100*'04_L0'!O35</f>
        <v>70.880767393552375</v>
      </c>
      <c r="P35" s="17">
        <f>'07_E_manual'!P35/100*'04_L0'!P35</f>
        <v>8330.9023809813916</v>
      </c>
      <c r="Q35" s="17">
        <f>'07_E_manual'!Q35/100*'04_L0'!Q35</f>
        <v>550.41356688851272</v>
      </c>
      <c r="R35" s="17">
        <f>'07_E_manual'!R35/100*'04_L0'!R35</f>
        <v>142.71649792401499</v>
      </c>
      <c r="S35" s="17">
        <f>'07_E_manual'!S35/100*'04_L0'!S35</f>
        <v>134.45433969263198</v>
      </c>
      <c r="T35" s="17">
        <f>'07_E_manual'!T35/100*'04_L0'!T35</f>
        <v>49.706443322443981</v>
      </c>
      <c r="U35" s="17">
        <f>'07_E_manual'!U35/100*'04_L0'!U35</f>
        <v>115.07255693896593</v>
      </c>
      <c r="V35" s="17">
        <f>'07_E_manual'!V35/100*'04_L0'!V35</f>
        <v>17.501243026440871</v>
      </c>
      <c r="W35" s="17">
        <f>'07_E_manual'!W35/100*'04_L0'!W35</f>
        <v>37.991880440565204</v>
      </c>
      <c r="X35" s="17">
        <f>'07_E_manual'!X35/100*'04_L0'!X35</f>
        <v>68.854019394072239</v>
      </c>
      <c r="Y35" s="17">
        <f>'07_E_manual'!Y35/100*'04_L0'!Y35</f>
        <v>1.063679678420665</v>
      </c>
      <c r="Z35" s="17">
        <f>'07_E_manual'!Z35/100*'04_L0'!Z35</f>
        <v>23.028885131222651</v>
      </c>
      <c r="AA35" s="17">
        <f>'07_E_manual'!AA35/100*'04_L0'!AA35</f>
        <v>26.098785337931005</v>
      </c>
      <c r="AB35" s="17">
        <f>'07_E_manual'!AB35/100*'04_L0'!AB35</f>
        <v>371.15455141754381</v>
      </c>
      <c r="AC35" s="17">
        <f>'07_E_manual'!AC35/100*'04_L0'!AC35</f>
        <v>28.681969735858235</v>
      </c>
      <c r="AD35" s="17">
        <f>'07_E_manual'!AD35/100*'04_L0'!AD35</f>
        <v>4.4296529540682616</v>
      </c>
      <c r="AE35" s="17">
        <f>'07_E_manual'!AE35/100*'04_L0'!AE35</f>
        <v>4.5949600878356254</v>
      </c>
      <c r="AF35" s="17">
        <f>'07_E_manual'!AF35/100*'04_L0'!AF35</f>
        <v>4.3044144837252611</v>
      </c>
      <c r="AG35" s="17">
        <f>'07_E_manual'!AG35/100*'04_L0'!AG35</f>
        <v>2.5584314576804994</v>
      </c>
      <c r="AH35" s="17">
        <f>'07_E_manual'!AH35/100*'04_L0'!AH35</f>
        <v>1.0357348717493557</v>
      </c>
      <c r="AI35" s="17">
        <f>'07_E_manual'!AI35/100*'04_L0'!AI35</f>
        <v>2.0389277820711427</v>
      </c>
    </row>
    <row r="36" spans="1:35" x14ac:dyDescent="0.2">
      <c r="A36" s="12" t="s">
        <v>1400</v>
      </c>
      <c r="B36" s="17">
        <f>'07_E_manual'!B36/100*'04_L0'!B36</f>
        <v>0.23882634445256173</v>
      </c>
      <c r="C36" s="17">
        <f>'07_E_manual'!C36/100*'04_L0'!C36</f>
        <v>3.8005802444014147</v>
      </c>
      <c r="D36" s="17">
        <f>'07_E_manual'!D36/100*'04_L0'!D36</f>
        <v>2.3243475329141265</v>
      </c>
      <c r="E36" s="17">
        <f>'07_E_manual'!E36/100*'04_L0'!E36</f>
        <v>3.4007125825305362</v>
      </c>
      <c r="F36" s="17">
        <f>'07_E_manual'!F36/100*'04_L0'!F36</f>
        <v>0.16977697458392413</v>
      </c>
      <c r="G36" s="17">
        <f>'07_E_manual'!G36/100*'04_L0'!G36</f>
        <v>5.2192083439499459</v>
      </c>
      <c r="H36" s="17">
        <f>'07_E_manual'!H36/100*'04_L0'!H36</f>
        <v>0.2589329533933466</v>
      </c>
      <c r="I36" s="17">
        <f>'07_E_manual'!I36/100*'04_L0'!I36</f>
        <v>1.7216531336313428</v>
      </c>
      <c r="J36" s="17">
        <f>'07_E_manual'!J36/100*'04_L0'!J36</f>
        <v>0.40374248499279169</v>
      </c>
      <c r="K36" s="17">
        <f>'07_E_manual'!K36/100*'04_L0'!K36</f>
        <v>0.48240445142729638</v>
      </c>
      <c r="L36" s="17">
        <f>'07_E_manual'!L36/100*'04_L0'!L36</f>
        <v>115.99017553488441</v>
      </c>
      <c r="M36" s="17">
        <f>'07_E_manual'!M36/100*'04_L0'!M36</f>
        <v>184.07032254323792</v>
      </c>
      <c r="N36" s="17">
        <f>'07_E_manual'!N36/100*'04_L0'!N36</f>
        <v>75.215132647933885</v>
      </c>
      <c r="O36" s="17">
        <f>'07_E_manual'!O36/100*'04_L0'!O36</f>
        <v>1.9507893632194586</v>
      </c>
      <c r="P36" s="17">
        <f>'07_E_manual'!P36/100*'04_L0'!P36</f>
        <v>27.542981794733951</v>
      </c>
      <c r="Q36" s="17">
        <f>'07_E_manual'!Q36/100*'04_L0'!Q36</f>
        <v>35.922997234701093</v>
      </c>
      <c r="R36" s="17">
        <f>'07_E_manual'!R36/100*'04_L0'!R36</f>
        <v>2.9693029433293838</v>
      </c>
      <c r="S36" s="17">
        <f>'07_E_manual'!S36/100*'04_L0'!S36</f>
        <v>0.64948553611191684</v>
      </c>
      <c r="T36" s="17">
        <f>'07_E_manual'!T36/100*'04_L0'!T36</f>
        <v>2.8397900648342658E-2</v>
      </c>
      <c r="U36" s="17">
        <f>'07_E_manual'!U36/100*'04_L0'!U36</f>
        <v>1.1166133145033934</v>
      </c>
      <c r="V36" s="17">
        <f>'07_E_manual'!V36/100*'04_L0'!V36</f>
        <v>0.11673120286651072</v>
      </c>
      <c r="W36" s="17">
        <f>'07_E_manual'!W36/100*'04_L0'!W36</f>
        <v>0.5241198865907597</v>
      </c>
      <c r="X36" s="17">
        <f>'07_E_manual'!X36/100*'04_L0'!X36</f>
        <v>2.0840588221359821</v>
      </c>
      <c r="Y36" s="17">
        <f>'07_E_manual'!Y36/100*'04_L0'!Y36</f>
        <v>1.3452154320962319E-3</v>
      </c>
      <c r="Z36" s="17">
        <f>'07_E_manual'!Z36/100*'04_L0'!Z36</f>
        <v>0.51412100870042576</v>
      </c>
      <c r="AA36" s="17">
        <f>'07_E_manual'!AA36/100*'04_L0'!AA36</f>
        <v>9.6061985767167998E-2</v>
      </c>
      <c r="AB36" s="17">
        <f>'07_E_manual'!AB36/100*'04_L0'!AB36</f>
        <v>4.2090996034778909</v>
      </c>
      <c r="AC36" s="17">
        <f>'07_E_manual'!AC36/100*'04_L0'!AC36</f>
        <v>0.15827009283447863</v>
      </c>
      <c r="AD36" s="17">
        <f>'07_E_manual'!AD36/100*'04_L0'!AD36</f>
        <v>5.1830372140260955E-2</v>
      </c>
      <c r="AE36" s="17">
        <f>'07_E_manual'!AE36/100*'04_L0'!AE36</f>
        <v>9.0213939813968538E-2</v>
      </c>
      <c r="AF36" s="17">
        <f>'07_E_manual'!AF36/100*'04_L0'!AF36</f>
        <v>1.1889778472143465E-2</v>
      </c>
      <c r="AG36" s="17">
        <f>'07_E_manual'!AG36/100*'04_L0'!AG36</f>
        <v>1.5722021120189709E-3</v>
      </c>
      <c r="AH36" s="17">
        <f>'07_E_manual'!AH36/100*'04_L0'!AH36</f>
        <v>0</v>
      </c>
      <c r="AI36" s="17">
        <f>'07_E_manual'!AI36/100*'04_L0'!AI36</f>
        <v>3.1183100362065157E-3</v>
      </c>
    </row>
    <row r="37" spans="1:35" x14ac:dyDescent="0.2">
      <c r="A37" s="12" t="s">
        <v>1401</v>
      </c>
      <c r="B37" s="17">
        <f>'07_E_manual'!B37/100*'04_L0'!B37</f>
        <v>148.49539759789138</v>
      </c>
      <c r="C37" s="17">
        <f>'07_E_manual'!C37/100*'04_L0'!C37</f>
        <v>2303.2576702593915</v>
      </c>
      <c r="D37" s="17">
        <f>'07_E_manual'!D37/100*'04_L0'!D37</f>
        <v>298.59717473342738</v>
      </c>
      <c r="E37" s="17">
        <f>'07_E_manual'!E37/100*'04_L0'!E37</f>
        <v>327.87050038972649</v>
      </c>
      <c r="F37" s="17">
        <f>'07_E_manual'!F37/100*'04_L0'!F37</f>
        <v>93.056030810579529</v>
      </c>
      <c r="G37" s="17">
        <f>'07_E_manual'!G37/100*'04_L0'!G37</f>
        <v>572.20187939189907</v>
      </c>
      <c r="H37" s="17">
        <f>'07_E_manual'!H37/100*'04_L0'!H37</f>
        <v>29.372137549171427</v>
      </c>
      <c r="I37" s="17">
        <f>'07_E_manual'!I37/100*'04_L0'!I37</f>
        <v>876.37530862719007</v>
      </c>
      <c r="J37" s="17">
        <f>'07_E_manual'!J37/100*'04_L0'!J37</f>
        <v>18.883117425963665</v>
      </c>
      <c r="K37" s="17">
        <f>'07_E_manual'!K37/100*'04_L0'!K37</f>
        <v>28.541779591932578</v>
      </c>
      <c r="L37" s="17">
        <f>'07_E_manual'!L37/100*'04_L0'!L37</f>
        <v>1365.2840722138465</v>
      </c>
      <c r="M37" s="17">
        <f>'07_E_manual'!M37/100*'04_L0'!M37</f>
        <v>29686.846818018352</v>
      </c>
      <c r="N37" s="17">
        <f>'07_E_manual'!N37/100*'04_L0'!N37</f>
        <v>13758.910720951062</v>
      </c>
      <c r="O37" s="17">
        <f>'07_E_manual'!O37/100*'04_L0'!O37</f>
        <v>180.48017468015868</v>
      </c>
      <c r="P37" s="17">
        <f>'07_E_manual'!P37/100*'04_L0'!P37</f>
        <v>18231.86866755657</v>
      </c>
      <c r="Q37" s="17">
        <f>'07_E_manual'!Q37/100*'04_L0'!Q37</f>
        <v>1376.5548359219588</v>
      </c>
      <c r="R37" s="17">
        <f>'07_E_manual'!R37/100*'04_L0'!R37</f>
        <v>287.50263948708601</v>
      </c>
      <c r="S37" s="17">
        <f>'07_E_manual'!S37/100*'04_L0'!S37</f>
        <v>342.02624853906906</v>
      </c>
      <c r="T37" s="17">
        <f>'07_E_manual'!T37/100*'04_L0'!T37</f>
        <v>130.55267755480455</v>
      </c>
      <c r="U37" s="17">
        <f>'07_E_manual'!U37/100*'04_L0'!U37</f>
        <v>165.16695534956366</v>
      </c>
      <c r="V37" s="17">
        <f>'07_E_manual'!V37/100*'04_L0'!V37</f>
        <v>49.261884212757437</v>
      </c>
      <c r="W37" s="17">
        <f>'07_E_manual'!W37/100*'04_L0'!W37</f>
        <v>169.64672654761625</v>
      </c>
      <c r="X37" s="17">
        <f>'07_E_manual'!X37/100*'04_L0'!X37</f>
        <v>144.86602716615036</v>
      </c>
      <c r="Y37" s="17">
        <f>'07_E_manual'!Y37/100*'04_L0'!Y37</f>
        <v>4.0611340712865882</v>
      </c>
      <c r="Z37" s="17">
        <f>'07_E_manual'!Z37/100*'04_L0'!Z37</f>
        <v>55.089034691891371</v>
      </c>
      <c r="AA37" s="17">
        <f>'07_E_manual'!AA37/100*'04_L0'!AA37</f>
        <v>58.520761064581308</v>
      </c>
      <c r="AB37" s="17">
        <f>'07_E_manual'!AB37/100*'04_L0'!AB37</f>
        <v>723.85709020678826</v>
      </c>
      <c r="AC37" s="17">
        <f>'07_E_manual'!AC37/100*'04_L0'!AC37</f>
        <v>71.019501610267938</v>
      </c>
      <c r="AD37" s="17">
        <f>'07_E_manual'!AD37/100*'04_L0'!AD37</f>
        <v>12.435500988284002</v>
      </c>
      <c r="AE37" s="17">
        <f>'07_E_manual'!AE37/100*'04_L0'!AE37</f>
        <v>14.370101045678805</v>
      </c>
      <c r="AF37" s="17">
        <f>'07_E_manual'!AF37/100*'04_L0'!AF37</f>
        <v>21.135088253605961</v>
      </c>
      <c r="AG37" s="17">
        <f>'07_E_manual'!AG37/100*'04_L0'!AG37</f>
        <v>6.3023827149262148</v>
      </c>
      <c r="AH37" s="17">
        <f>'07_E_manual'!AH37/100*'04_L0'!AH37</f>
        <v>1.9546922797361892</v>
      </c>
      <c r="AI37" s="17">
        <f>'07_E_manual'!AI37/100*'04_L0'!AI37</f>
        <v>6.4974874651790726</v>
      </c>
    </row>
    <row r="38" spans="1:35" x14ac:dyDescent="0.2">
      <c r="A38" s="12" t="s">
        <v>1402</v>
      </c>
      <c r="B38" s="17">
        <f>'07_E_manual'!B38/100*'04_L0'!B38</f>
        <v>0.20547423757864824</v>
      </c>
      <c r="C38" s="17">
        <f>'07_E_manual'!C38/100*'04_L0'!C38</f>
        <v>0.43607931100513658</v>
      </c>
      <c r="D38" s="17">
        <f>'07_E_manual'!D38/100*'04_L0'!D38</f>
        <v>0.31005724158183301</v>
      </c>
      <c r="E38" s="17">
        <f>'07_E_manual'!E38/100*'04_L0'!E38</f>
        <v>0.14990011050840449</v>
      </c>
      <c r="F38" s="17">
        <f>'07_E_manual'!F38/100*'04_L0'!F38</f>
        <v>4.8837043451888523E-2</v>
      </c>
      <c r="G38" s="17">
        <f>'07_E_manual'!G38/100*'04_L0'!G38</f>
        <v>3.8390052268340633</v>
      </c>
      <c r="H38" s="17">
        <f>'07_E_manual'!H38/100*'04_L0'!H38</f>
        <v>0</v>
      </c>
      <c r="I38" s="17">
        <f>'07_E_manual'!I38/100*'04_L0'!I38</f>
        <v>0.32476149431065893</v>
      </c>
      <c r="J38" s="17">
        <f>'07_E_manual'!J38/100*'04_L0'!J38</f>
        <v>0</v>
      </c>
      <c r="K38" s="17">
        <f>'07_E_manual'!K38/100*'04_L0'!K38</f>
        <v>0</v>
      </c>
      <c r="L38" s="17">
        <f>'07_E_manual'!L38/100*'04_L0'!L38</f>
        <v>0.3257538894369133</v>
      </c>
      <c r="M38" s="17">
        <f>'07_E_manual'!M38/100*'04_L0'!M38</f>
        <v>45.653775984069789</v>
      </c>
      <c r="N38" s="17">
        <f>'07_E_manual'!N38/100*'04_L0'!N38</f>
        <v>9.6421753896207285</v>
      </c>
      <c r="O38" s="17">
        <f>'07_E_manual'!O38/100*'04_L0'!O38</f>
        <v>3.767741264689926</v>
      </c>
      <c r="P38" s="17">
        <f>'07_E_manual'!P38/100*'04_L0'!P38</f>
        <v>28.056353094080112</v>
      </c>
      <c r="Q38" s="17">
        <f>'07_E_manual'!Q38/100*'04_L0'!Q38</f>
        <v>2.8460173886164322</v>
      </c>
      <c r="R38" s="17">
        <f>'07_E_manual'!R38/100*'04_L0'!R38</f>
        <v>0</v>
      </c>
      <c r="S38" s="17">
        <f>'07_E_manual'!S38/100*'04_L0'!S38</f>
        <v>1.2792889118000434E-2</v>
      </c>
      <c r="T38" s="17">
        <f>'07_E_manual'!T38/100*'04_L0'!T38</f>
        <v>0</v>
      </c>
      <c r="U38" s="17">
        <f>'07_E_manual'!U38/100*'04_L0'!U38</f>
        <v>2.5628168874498383E-2</v>
      </c>
      <c r="V38" s="17">
        <f>'07_E_manual'!V38/100*'04_L0'!V38</f>
        <v>0</v>
      </c>
      <c r="W38" s="17">
        <f>'07_E_manual'!W38/100*'04_L0'!W38</f>
        <v>0.80151689388122449</v>
      </c>
      <c r="X38" s="17">
        <f>'07_E_manual'!X38/100*'04_L0'!X38</f>
        <v>0</v>
      </c>
      <c r="Y38" s="17">
        <f>'07_E_manual'!Y38/100*'04_L0'!Y38</f>
        <v>0</v>
      </c>
      <c r="Z38" s="17">
        <f>'07_E_manual'!Z38/100*'04_L0'!Z38</f>
        <v>0</v>
      </c>
      <c r="AA38" s="17">
        <f>'07_E_manual'!AA38/100*'04_L0'!AA38</f>
        <v>8.0448348160036334E-2</v>
      </c>
      <c r="AB38" s="17">
        <f>'07_E_manual'!AB38/100*'04_L0'!AB38</f>
        <v>0</v>
      </c>
      <c r="AC38" s="17">
        <f>'07_E_manual'!AC38/100*'04_L0'!AC38</f>
        <v>0</v>
      </c>
      <c r="AD38" s="17">
        <f>'07_E_manual'!AD38/100*'04_L0'!AD38</f>
        <v>0</v>
      </c>
      <c r="AE38" s="17">
        <f>'07_E_manual'!AE38/100*'04_L0'!AE38</f>
        <v>5.0778686090212251E-2</v>
      </c>
      <c r="AF38" s="17">
        <f>'07_E_manual'!AF38/100*'04_L0'!AF38</f>
        <v>3.6039612479763349E-3</v>
      </c>
      <c r="AG38" s="17">
        <f>'07_E_manual'!AG38/100*'04_L0'!AG38</f>
        <v>1.1827745116494485E-2</v>
      </c>
      <c r="AH38" s="17">
        <f>'07_E_manual'!AH38/100*'04_L0'!AH38</f>
        <v>0</v>
      </c>
      <c r="AI38" s="17">
        <f>'07_E_manual'!AI38/100*'04_L0'!AI38</f>
        <v>0</v>
      </c>
    </row>
    <row r="39" spans="1:35" x14ac:dyDescent="0.2">
      <c r="A39" s="12" t="s">
        <v>1403</v>
      </c>
      <c r="B39" s="17">
        <f>'07_E_manual'!B39/100*'04_L0'!B39</f>
        <v>23.033881393295381</v>
      </c>
      <c r="C39" s="17">
        <f>'07_E_manual'!C39/100*'04_L0'!C39</f>
        <v>360.27202008800185</v>
      </c>
      <c r="D39" s="17">
        <f>'07_E_manual'!D39/100*'04_L0'!D39</f>
        <v>45.816028455603778</v>
      </c>
      <c r="E39" s="17">
        <f>'07_E_manual'!E39/100*'04_L0'!E39</f>
        <v>28.773300763901439</v>
      </c>
      <c r="F39" s="17">
        <f>'07_E_manual'!F39/100*'04_L0'!F39</f>
        <v>9.5142945951981073</v>
      </c>
      <c r="G39" s="17">
        <f>'07_E_manual'!G39/100*'04_L0'!G39</f>
        <v>124.83766271464928</v>
      </c>
      <c r="H39" s="17">
        <f>'07_E_manual'!H39/100*'04_L0'!H39</f>
        <v>3.0901558515568599</v>
      </c>
      <c r="I39" s="17">
        <f>'07_E_manual'!I39/100*'04_L0'!I39</f>
        <v>138.82892217515814</v>
      </c>
      <c r="J39" s="17">
        <f>'07_E_manual'!J39/100*'04_L0'!J39</f>
        <v>0.30707746491702204</v>
      </c>
      <c r="K39" s="17">
        <f>'07_E_manual'!K39/100*'04_L0'!K39</f>
        <v>5.6847162813999343</v>
      </c>
      <c r="L39" s="17">
        <f>'07_E_manual'!L39/100*'04_L0'!L39</f>
        <v>977.86146831924748</v>
      </c>
      <c r="M39" s="17">
        <f>'07_E_manual'!M39/100*'04_L0'!M39</f>
        <v>5329.1885726483742</v>
      </c>
      <c r="N39" s="17">
        <f>'07_E_manual'!N39/100*'04_L0'!N39</f>
        <v>1390.7757053711023</v>
      </c>
      <c r="O39" s="17">
        <f>'07_E_manual'!O39/100*'04_L0'!O39</f>
        <v>19.474436475794597</v>
      </c>
      <c r="P39" s="17">
        <f>'07_E_manual'!P39/100*'04_L0'!P39</f>
        <v>1464.9646116813565</v>
      </c>
      <c r="Q39" s="17">
        <f>'07_E_manual'!Q39/100*'04_L0'!Q39</f>
        <v>370.90696897529568</v>
      </c>
      <c r="R39" s="17">
        <f>'07_E_manual'!R39/100*'04_L0'!R39</f>
        <v>25.094931178212114</v>
      </c>
      <c r="S39" s="17">
        <f>'07_E_manual'!S39/100*'04_L0'!S39</f>
        <v>22.826508253052918</v>
      </c>
      <c r="T39" s="17">
        <f>'07_E_manual'!T39/100*'04_L0'!T39</f>
        <v>87.5921702984826</v>
      </c>
      <c r="U39" s="17">
        <f>'07_E_manual'!U39/100*'04_L0'!U39</f>
        <v>14.330504213942378</v>
      </c>
      <c r="V39" s="17">
        <f>'07_E_manual'!V39/100*'04_L0'!V39</f>
        <v>3.9096083298102742</v>
      </c>
      <c r="W39" s="17">
        <f>'07_E_manual'!W39/100*'04_L0'!W39</f>
        <v>19.387388052813208</v>
      </c>
      <c r="X39" s="17">
        <f>'07_E_manual'!X39/100*'04_L0'!X39</f>
        <v>34.690904212155949</v>
      </c>
      <c r="Y39" s="17">
        <f>'07_E_manual'!Y39/100*'04_L0'!Y39</f>
        <v>0.13569074925620705</v>
      </c>
      <c r="Z39" s="17">
        <f>'07_E_manual'!Z39/100*'04_L0'!Z39</f>
        <v>37.21447092923345</v>
      </c>
      <c r="AA39" s="17">
        <f>'07_E_manual'!AA39/100*'04_L0'!AA39</f>
        <v>5.1892428747756307</v>
      </c>
      <c r="AB39" s="17">
        <f>'07_E_manual'!AB39/100*'04_L0'!AB39</f>
        <v>147.62828168258528</v>
      </c>
      <c r="AC39" s="17">
        <f>'07_E_manual'!AC39/100*'04_L0'!AC39</f>
        <v>8.971388998429294</v>
      </c>
      <c r="AD39" s="17">
        <f>'07_E_manual'!AD39/100*'04_L0'!AD39</f>
        <v>8.2866114497397003</v>
      </c>
      <c r="AE39" s="17">
        <f>'07_E_manual'!AE39/100*'04_L0'!AE39</f>
        <v>1.5132812435616856</v>
      </c>
      <c r="AF39" s="17">
        <f>'07_E_manual'!AF39/100*'04_L0'!AF39</f>
        <v>15.722804874441687</v>
      </c>
      <c r="AG39" s="17">
        <f>'07_E_manual'!AG39/100*'04_L0'!AG39</f>
        <v>3.7943587126070342</v>
      </c>
      <c r="AH39" s="17">
        <f>'07_E_manual'!AH39/100*'04_L0'!AH39</f>
        <v>0.56610777313617999</v>
      </c>
      <c r="AI39" s="17">
        <f>'07_E_manual'!AI39/100*'04_L0'!AI39</f>
        <v>5.3591066560776666</v>
      </c>
    </row>
    <row r="40" spans="1:35" x14ac:dyDescent="0.2">
      <c r="A40" s="12" t="s">
        <v>1404</v>
      </c>
      <c r="B40" s="17">
        <f>'07_E_manual'!B40/100*'04_L0'!B40</f>
        <v>2.5064563856819665E-2</v>
      </c>
      <c r="C40" s="17">
        <f>'07_E_manual'!C40/100*'04_L0'!C40</f>
        <v>1.876772133522923</v>
      </c>
      <c r="D40" s="17">
        <f>'07_E_manual'!D40/100*'04_L0'!D40</f>
        <v>1.9348848386112515E-2</v>
      </c>
      <c r="E40" s="17">
        <f>'07_E_manual'!E40/100*'04_L0'!E40</f>
        <v>0.4991172115888538</v>
      </c>
      <c r="F40" s="17">
        <f>'07_E_manual'!F40/100*'04_L0'!F40</f>
        <v>6.5657449509661583E-2</v>
      </c>
      <c r="G40" s="17">
        <f>'07_E_manual'!G40/100*'04_L0'!G40</f>
        <v>0.1254266652501595</v>
      </c>
      <c r="H40" s="17">
        <f>'07_E_manual'!H40/100*'04_L0'!H40</f>
        <v>1.6180708953777701E-2</v>
      </c>
      <c r="I40" s="17">
        <f>'07_E_manual'!I40/100*'04_L0'!I40</f>
        <v>0</v>
      </c>
      <c r="J40" s="17">
        <f>'07_E_manual'!J40/100*'04_L0'!J40</f>
        <v>7.3872167905583416E-2</v>
      </c>
      <c r="K40" s="17">
        <f>'07_E_manual'!K40/100*'04_L0'!K40</f>
        <v>7.1797626991969201</v>
      </c>
      <c r="L40" s="17">
        <f>'07_E_manual'!L40/100*'04_L0'!L40</f>
        <v>23.773678101802005</v>
      </c>
      <c r="M40" s="17">
        <f>'07_E_manual'!M40/100*'04_L0'!M40</f>
        <v>34.275873774113379</v>
      </c>
      <c r="N40" s="17">
        <f>'07_E_manual'!N40/100*'04_L0'!N40</f>
        <v>11.399950748650189</v>
      </c>
      <c r="O40" s="17">
        <f>'07_E_manual'!O40/100*'04_L0'!O40</f>
        <v>5.1093052769578359E-2</v>
      </c>
      <c r="P40" s="17">
        <f>'07_E_manual'!P40/100*'04_L0'!P40</f>
        <v>26.356859907053828</v>
      </c>
      <c r="Q40" s="17">
        <f>'07_E_manual'!Q40/100*'04_L0'!Q40</f>
        <v>3.8711933719185034</v>
      </c>
      <c r="R40" s="17">
        <f>'07_E_manual'!R40/100*'04_L0'!R40</f>
        <v>1.3066586173144067E-3</v>
      </c>
      <c r="S40" s="17">
        <f>'07_E_manual'!S40/100*'04_L0'!S40</f>
        <v>0.491389061791977</v>
      </c>
      <c r="T40" s="17">
        <f>'07_E_manual'!T40/100*'04_L0'!T40</f>
        <v>0.66037994727227789</v>
      </c>
      <c r="U40" s="17">
        <f>'07_E_manual'!U40/100*'04_L0'!U40</f>
        <v>1.5421536319147555</v>
      </c>
      <c r="V40" s="17">
        <f>'07_E_manual'!V40/100*'04_L0'!V40</f>
        <v>3.3498698729419178E-2</v>
      </c>
      <c r="W40" s="17">
        <f>'07_E_manual'!W40/100*'04_L0'!W40</f>
        <v>9.2142266071187109</v>
      </c>
      <c r="X40" s="17">
        <f>'07_E_manual'!X40/100*'04_L0'!X40</f>
        <v>4.7317992288338608</v>
      </c>
      <c r="Y40" s="17">
        <f>'07_E_manual'!Y40/100*'04_L0'!Y40</f>
        <v>0.21357514108675313</v>
      </c>
      <c r="Z40" s="17">
        <f>'07_E_manual'!Z40/100*'04_L0'!Z40</f>
        <v>1.283539490386298</v>
      </c>
      <c r="AA40" s="17">
        <f>'07_E_manual'!AA40/100*'04_L0'!AA40</f>
        <v>1.3496879051992126</v>
      </c>
      <c r="AB40" s="17">
        <f>'07_E_manual'!AB40/100*'04_L0'!AB40</f>
        <v>79.366980394856739</v>
      </c>
      <c r="AC40" s="17">
        <f>'07_E_manual'!AC40/100*'04_L0'!AC40</f>
        <v>0.35984323111828781</v>
      </c>
      <c r="AD40" s="17">
        <f>'07_E_manual'!AD40/100*'04_L0'!AD40</f>
        <v>3.2172150259734175E-2</v>
      </c>
      <c r="AE40" s="17">
        <f>'07_E_manual'!AE40/100*'04_L0'!AE40</f>
        <v>9.824016819569821E-2</v>
      </c>
      <c r="AF40" s="17">
        <f>'07_E_manual'!AF40/100*'04_L0'!AF40</f>
        <v>0.29848094288633897</v>
      </c>
      <c r="AG40" s="17">
        <f>'07_E_manual'!AG40/100*'04_L0'!AG40</f>
        <v>1.7973936170136918E-2</v>
      </c>
      <c r="AH40" s="17">
        <f>'07_E_manual'!AH40/100*'04_L0'!AH40</f>
        <v>0</v>
      </c>
      <c r="AI40" s="17">
        <f>'07_E_manual'!AI40/100*'04_L0'!AI40</f>
        <v>0.11495936873155131</v>
      </c>
    </row>
    <row r="41" spans="1:35" x14ac:dyDescent="0.2">
      <c r="A41" s="12" t="s">
        <v>1405</v>
      </c>
      <c r="B41" s="17">
        <f>'07_E_manual'!B41/100*'04_L0'!B41</f>
        <v>2.1133300331006431E-2</v>
      </c>
      <c r="C41" s="17">
        <f>'07_E_manual'!C41/100*'04_L0'!C41</f>
        <v>2.631725636748397</v>
      </c>
      <c r="D41" s="17">
        <f>'07_E_manual'!D41/100*'04_L0'!D41</f>
        <v>2.5860115723390673E-2</v>
      </c>
      <c r="E41" s="17">
        <f>'07_E_manual'!E41/100*'04_L0'!E41</f>
        <v>7.6457129019531367</v>
      </c>
      <c r="F41" s="17">
        <f>'07_E_manual'!F41/100*'04_L0'!F41</f>
        <v>1.1995261341436916</v>
      </c>
      <c r="G41" s="17">
        <f>'07_E_manual'!G41/100*'04_L0'!G41</f>
        <v>3.6891817659589288</v>
      </c>
      <c r="H41" s="17">
        <f>'07_E_manual'!H41/100*'04_L0'!H41</f>
        <v>3.7080417667303082E-3</v>
      </c>
      <c r="I41" s="17">
        <f>'07_E_manual'!I41/100*'04_L0'!I41</f>
        <v>2.3162206395911866</v>
      </c>
      <c r="J41" s="17">
        <f>'07_E_manual'!J41/100*'04_L0'!J41</f>
        <v>1.8131228230139927E-2</v>
      </c>
      <c r="K41" s="17">
        <f>'07_E_manual'!K41/100*'04_L0'!K41</f>
        <v>5.0531473418851345</v>
      </c>
      <c r="L41" s="17">
        <f>'07_E_manual'!L41/100*'04_L0'!L41</f>
        <v>3.1839288937645791</v>
      </c>
      <c r="M41" s="17">
        <f>'07_E_manual'!M41/100*'04_L0'!M41</f>
        <v>13.97019189696325</v>
      </c>
      <c r="N41" s="17">
        <f>'07_E_manual'!N41/100*'04_L0'!N41</f>
        <v>8.8519004180130185</v>
      </c>
      <c r="O41" s="17">
        <f>'07_E_manual'!O41/100*'04_L0'!O41</f>
        <v>2.5448008919222723E-2</v>
      </c>
      <c r="P41" s="17">
        <f>'07_E_manual'!P41/100*'04_L0'!P41</f>
        <v>22.494595212101341</v>
      </c>
      <c r="Q41" s="17">
        <f>'07_E_manual'!Q41/100*'04_L0'!Q41</f>
        <v>0.79789633174006636</v>
      </c>
      <c r="R41" s="17">
        <f>'07_E_manual'!R41/100*'04_L0'!R41</f>
        <v>102.56929908429912</v>
      </c>
      <c r="S41" s="17">
        <f>'07_E_manual'!S41/100*'04_L0'!S41</f>
        <v>0.20004907398808758</v>
      </c>
      <c r="T41" s="17">
        <f>'07_E_manual'!T41/100*'04_L0'!T41</f>
        <v>0.49520507939072</v>
      </c>
      <c r="U41" s="17">
        <f>'07_E_manual'!U41/100*'04_L0'!U41</f>
        <v>5.4561044923086097</v>
      </c>
      <c r="V41" s="17">
        <f>'07_E_manual'!V41/100*'04_L0'!V41</f>
        <v>1.8004416658927889</v>
      </c>
      <c r="W41" s="17">
        <f>'07_E_manual'!W41/100*'04_L0'!W41</f>
        <v>1.472789908032452</v>
      </c>
      <c r="X41" s="17">
        <f>'07_E_manual'!X41/100*'04_L0'!X41</f>
        <v>8.2082556079047695</v>
      </c>
      <c r="Y41" s="17">
        <f>'07_E_manual'!Y41/100*'04_L0'!Y41</f>
        <v>1.1539404278554282</v>
      </c>
      <c r="Z41" s="17">
        <f>'07_E_manual'!Z41/100*'04_L0'!Z41</f>
        <v>0.55867945751702275</v>
      </c>
      <c r="AA41" s="17">
        <f>'07_E_manual'!AA41/100*'04_L0'!AA41</f>
        <v>4.560648632792022E-2</v>
      </c>
      <c r="AB41" s="17">
        <f>'07_E_manual'!AB41/100*'04_L0'!AB41</f>
        <v>6.6555443800930165</v>
      </c>
      <c r="AC41" s="17">
        <f>'07_E_manual'!AC41/100*'04_L0'!AC41</f>
        <v>0.29241395963871081</v>
      </c>
      <c r="AD41" s="17">
        <f>'07_E_manual'!AD41/100*'04_L0'!AD41</f>
        <v>5.8265024467904726E-3</v>
      </c>
      <c r="AE41" s="17">
        <f>'07_E_manual'!AE41/100*'04_L0'!AE41</f>
        <v>2.9423065000835609E-4</v>
      </c>
      <c r="AF41" s="17">
        <f>'07_E_manual'!AF41/100*'04_L0'!AF41</f>
        <v>1.1273771008785174</v>
      </c>
      <c r="AG41" s="17">
        <f>'07_E_manual'!AG41/100*'04_L0'!AG41</f>
        <v>0.87153490767090769</v>
      </c>
      <c r="AH41" s="17">
        <f>'07_E_manual'!AH41/100*'04_L0'!AH41</f>
        <v>5.6848303888114488E-2</v>
      </c>
      <c r="AI41" s="17">
        <f>'07_E_manual'!AI41/100*'04_L0'!AI41</f>
        <v>8.3538701726997497E-2</v>
      </c>
    </row>
    <row r="42" spans="1:35" x14ac:dyDescent="0.2">
      <c r="A42" s="12" t="s">
        <v>1406</v>
      </c>
      <c r="B42" s="17">
        <f>'07_E_manual'!B42/100*'04_L0'!B42</f>
        <v>0</v>
      </c>
      <c r="C42" s="17">
        <f>'07_E_manual'!C42/100*'04_L0'!C42</f>
        <v>0</v>
      </c>
      <c r="D42" s="17">
        <f>'07_E_manual'!D42/100*'04_L0'!D42</f>
        <v>0.39305060802922209</v>
      </c>
      <c r="E42" s="17">
        <f>'07_E_manual'!E42/100*'04_L0'!E42</f>
        <v>0.21846316629190907</v>
      </c>
      <c r="F42" s="17">
        <f>'07_E_manual'!F42/100*'04_L0'!F42</f>
        <v>0</v>
      </c>
      <c r="G42" s="17">
        <f>'07_E_manual'!G42/100*'04_L0'!G42</f>
        <v>0</v>
      </c>
      <c r="H42" s="17">
        <f>'07_E_manual'!H42/100*'04_L0'!H42</f>
        <v>0</v>
      </c>
      <c r="I42" s="17">
        <f>'07_E_manual'!I42/100*'04_L0'!I42</f>
        <v>0</v>
      </c>
      <c r="J42" s="17">
        <f>'07_E_manual'!J42/100*'04_L0'!J42</f>
        <v>0</v>
      </c>
      <c r="K42" s="17">
        <f>'07_E_manual'!K42/100*'04_L0'!K42</f>
        <v>0.16497626418949699</v>
      </c>
      <c r="L42" s="17">
        <f>'07_E_manual'!L42/100*'04_L0'!L42</f>
        <v>8.1280309601518077</v>
      </c>
      <c r="M42" s="17">
        <f>'07_E_manual'!M42/100*'04_L0'!M42</f>
        <v>14.561502891690306</v>
      </c>
      <c r="N42" s="17">
        <f>'07_E_manual'!N42/100*'04_L0'!N42</f>
        <v>0.23404823653870424</v>
      </c>
      <c r="O42" s="17">
        <f>'07_E_manual'!O42/100*'04_L0'!O42</f>
        <v>5.4213466669435897E-2</v>
      </c>
      <c r="P42" s="17">
        <f>'07_E_manual'!P42/100*'04_L0'!P42</f>
        <v>11.172418299566575</v>
      </c>
      <c r="Q42" s="17">
        <f>'07_E_manual'!Q42/100*'04_L0'!Q42</f>
        <v>89.31440401787907</v>
      </c>
      <c r="R42" s="17">
        <f>'07_E_manual'!R42/100*'04_L0'!R42</f>
        <v>2.4931955285425338</v>
      </c>
      <c r="S42" s="17">
        <f>'07_E_manual'!S42/100*'04_L0'!S42</f>
        <v>0.85461246201713359</v>
      </c>
      <c r="T42" s="17">
        <f>'07_E_manual'!T42/100*'04_L0'!T42</f>
        <v>1.3957922577759158E-2</v>
      </c>
      <c r="U42" s="17">
        <f>'07_E_manual'!U42/100*'04_L0'!U42</f>
        <v>0.70116157926032396</v>
      </c>
      <c r="V42" s="17">
        <f>'07_E_manual'!V42/100*'04_L0'!V42</f>
        <v>4.5244819096961321E-3</v>
      </c>
      <c r="W42" s="17">
        <f>'07_E_manual'!W42/100*'04_L0'!W42</f>
        <v>0.48912668739764126</v>
      </c>
      <c r="X42" s="17">
        <f>'07_E_manual'!X42/100*'04_L0'!X42</f>
        <v>0</v>
      </c>
      <c r="Y42" s="17">
        <f>'07_E_manual'!Y42/100*'04_L0'!Y42</f>
        <v>4.5370499150008438E-2</v>
      </c>
      <c r="Z42" s="17">
        <f>'07_E_manual'!Z42/100*'04_L0'!Z42</f>
        <v>3.6321535330616175E-2</v>
      </c>
      <c r="AA42" s="17">
        <f>'07_E_manual'!AA42/100*'04_L0'!AA42</f>
        <v>0</v>
      </c>
      <c r="AB42" s="17">
        <f>'07_E_manual'!AB42/100*'04_L0'!AB42</f>
        <v>8.2960733714342816E-2</v>
      </c>
      <c r="AC42" s="17">
        <f>'07_E_manual'!AC42/100*'04_L0'!AC42</f>
        <v>1.6732551441183921E-2</v>
      </c>
      <c r="AD42" s="17">
        <f>'07_E_manual'!AD42/100*'04_L0'!AD42</f>
        <v>0</v>
      </c>
      <c r="AE42" s="17">
        <f>'07_E_manual'!AE42/100*'04_L0'!AE42</f>
        <v>0</v>
      </c>
      <c r="AF42" s="17">
        <f>'07_E_manual'!AF42/100*'04_L0'!AF42</f>
        <v>0</v>
      </c>
      <c r="AG42" s="17">
        <f>'07_E_manual'!AG42/100*'04_L0'!AG42</f>
        <v>4.1771141417771537E-2</v>
      </c>
      <c r="AH42" s="17">
        <f>'07_E_manual'!AH42/100*'04_L0'!AH42</f>
        <v>0</v>
      </c>
      <c r="AI42" s="17">
        <f>'07_E_manual'!AI42/100*'04_L0'!AI42</f>
        <v>0.16288134874906077</v>
      </c>
    </row>
    <row r="43" spans="1:35" x14ac:dyDescent="0.2">
      <c r="A43" s="12" t="s">
        <v>1407</v>
      </c>
      <c r="B43" s="17">
        <f>'07_E_manual'!B43/100*'04_L0'!B43</f>
        <v>6.5752572856538771</v>
      </c>
      <c r="C43" s="17">
        <f>'07_E_manual'!C43/100*'04_L0'!C43</f>
        <v>139.02615369260332</v>
      </c>
      <c r="D43" s="17">
        <f>'07_E_manual'!D43/100*'04_L0'!D43</f>
        <v>4.8110935823459995</v>
      </c>
      <c r="E43" s="17">
        <f>'07_E_manual'!E43/100*'04_L0'!E43</f>
        <v>16.962150782405327</v>
      </c>
      <c r="F43" s="17">
        <f>'07_E_manual'!F43/100*'04_L0'!F43</f>
        <v>2.9730483552486158</v>
      </c>
      <c r="G43" s="17">
        <f>'07_E_manual'!G43/100*'04_L0'!G43</f>
        <v>17.90283382840359</v>
      </c>
      <c r="H43" s="17">
        <f>'07_E_manual'!H43/100*'04_L0'!H43</f>
        <v>1.2844256554414395</v>
      </c>
      <c r="I43" s="17">
        <f>'07_E_manual'!I43/100*'04_L0'!I43</f>
        <v>37.160339890856307</v>
      </c>
      <c r="J43" s="17">
        <f>'07_E_manual'!J43/100*'04_L0'!J43</f>
        <v>0.54533846114668305</v>
      </c>
      <c r="K43" s="17">
        <f>'07_E_manual'!K43/100*'04_L0'!K43</f>
        <v>11.366180199212719</v>
      </c>
      <c r="L43" s="17">
        <f>'07_E_manual'!L43/100*'04_L0'!L43</f>
        <v>611.63899758585842</v>
      </c>
      <c r="M43" s="17">
        <f>'07_E_manual'!M43/100*'04_L0'!M43</f>
        <v>1674.5749172391081</v>
      </c>
      <c r="N43" s="17">
        <f>'07_E_manual'!N43/100*'04_L0'!N43</f>
        <v>484.06021249503829</v>
      </c>
      <c r="O43" s="17">
        <f>'07_E_manual'!O43/100*'04_L0'!O43</f>
        <v>11.8392057881243</v>
      </c>
      <c r="P43" s="17">
        <f>'07_E_manual'!P43/100*'04_L0'!P43</f>
        <v>946.45042314877139</v>
      </c>
      <c r="Q43" s="17">
        <f>'07_E_manual'!Q43/100*'04_L0'!Q43</f>
        <v>219.65797211437328</v>
      </c>
      <c r="R43" s="17">
        <f>'07_E_manual'!R43/100*'04_L0'!R43</f>
        <v>7.5494450667224093</v>
      </c>
      <c r="S43" s="17">
        <f>'07_E_manual'!S43/100*'04_L0'!S43</f>
        <v>8.1447160136931984</v>
      </c>
      <c r="T43" s="17">
        <f>'07_E_manual'!T43/100*'04_L0'!T43</f>
        <v>3.257479333393174</v>
      </c>
      <c r="U43" s="17">
        <f>'07_E_manual'!U43/100*'04_L0'!U43</f>
        <v>10.463070391228934</v>
      </c>
      <c r="V43" s="17">
        <f>'07_E_manual'!V43/100*'04_L0'!V43</f>
        <v>1.2716892478179445</v>
      </c>
      <c r="W43" s="17">
        <f>'07_E_manual'!W43/100*'04_L0'!W43</f>
        <v>6.9538887503566738</v>
      </c>
      <c r="X43" s="17">
        <f>'07_E_manual'!X43/100*'04_L0'!X43</f>
        <v>25.480860744098116</v>
      </c>
      <c r="Y43" s="17">
        <f>'07_E_manual'!Y43/100*'04_L0'!Y43</f>
        <v>0.4579547333698617</v>
      </c>
      <c r="Z43" s="17">
        <f>'07_E_manual'!Z43/100*'04_L0'!Z43</f>
        <v>4.575955502554014</v>
      </c>
      <c r="AA43" s="17">
        <f>'07_E_manual'!AA43/100*'04_L0'!AA43</f>
        <v>2.0664332727719734</v>
      </c>
      <c r="AB43" s="17">
        <f>'07_E_manual'!AB43/100*'04_L0'!AB43</f>
        <v>35.17996312822121</v>
      </c>
      <c r="AC43" s="17">
        <f>'07_E_manual'!AC43/100*'04_L0'!AC43</f>
        <v>2.0561683884800734</v>
      </c>
      <c r="AD43" s="17">
        <f>'07_E_manual'!AD43/100*'04_L0'!AD43</f>
        <v>0.18682084482598157</v>
      </c>
      <c r="AE43" s="17">
        <f>'07_E_manual'!AE43/100*'04_L0'!AE43</f>
        <v>0.13717587588424984</v>
      </c>
      <c r="AF43" s="17">
        <f>'07_E_manual'!AF43/100*'04_L0'!AF43</f>
        <v>0.74092911655810501</v>
      </c>
      <c r="AG43" s="17">
        <f>'07_E_manual'!AG43/100*'04_L0'!AG43</f>
        <v>0.35291850638079192</v>
      </c>
      <c r="AH43" s="17">
        <f>'07_E_manual'!AH43/100*'04_L0'!AH43</f>
        <v>8.95214048251365E-2</v>
      </c>
      <c r="AI43" s="17">
        <f>'07_E_manual'!AI43/100*'04_L0'!AI43</f>
        <v>0.4150261076362039</v>
      </c>
    </row>
    <row r="44" spans="1:35" x14ac:dyDescent="0.2">
      <c r="A44" s="12" t="s">
        <v>1408</v>
      </c>
      <c r="B44" s="17">
        <f>'07_E_manual'!B44/100*'04_L0'!B44</f>
        <v>0.85861933492835085</v>
      </c>
      <c r="C44" s="17">
        <f>'07_E_manual'!C44/100*'04_L0'!C44</f>
        <v>13.302423010380355</v>
      </c>
      <c r="D44" s="17">
        <f>'07_E_manual'!D44/100*'04_L0'!D44</f>
        <v>5.8597894843180089</v>
      </c>
      <c r="E44" s="17">
        <f>'07_E_manual'!E44/100*'04_L0'!E44</f>
        <v>1.6060637510638618</v>
      </c>
      <c r="F44" s="17">
        <f>'07_E_manual'!F44/100*'04_L0'!F44</f>
        <v>0.88201742776620828</v>
      </c>
      <c r="G44" s="17">
        <f>'07_E_manual'!G44/100*'04_L0'!G44</f>
        <v>8.4891740727906946</v>
      </c>
      <c r="H44" s="17">
        <f>'07_E_manual'!H44/100*'04_L0'!H44</f>
        <v>7.8832894774367432E-2</v>
      </c>
      <c r="I44" s="17">
        <f>'07_E_manual'!I44/100*'04_L0'!I44</f>
        <v>1.1560322592715444</v>
      </c>
      <c r="J44" s="17">
        <f>'07_E_manual'!J44/100*'04_L0'!J44</f>
        <v>0.54590708116646092</v>
      </c>
      <c r="K44" s="17">
        <f>'07_E_manual'!K44/100*'04_L0'!K44</f>
        <v>11.951183148994083</v>
      </c>
      <c r="L44" s="17">
        <f>'07_E_manual'!L44/100*'04_L0'!L44</f>
        <v>117.50996580745374</v>
      </c>
      <c r="M44" s="17">
        <f>'07_E_manual'!M44/100*'04_L0'!M44</f>
        <v>597.66514641377341</v>
      </c>
      <c r="N44" s="17">
        <f>'07_E_manual'!N44/100*'04_L0'!N44</f>
        <v>163.61347963532668</v>
      </c>
      <c r="O44" s="17">
        <f>'07_E_manual'!O44/100*'04_L0'!O44</f>
        <v>20.070264602580519</v>
      </c>
      <c r="P44" s="17">
        <f>'07_E_manual'!P44/100*'04_L0'!P44</f>
        <v>263.27990443860796</v>
      </c>
      <c r="Q44" s="17">
        <f>'07_E_manual'!Q44/100*'04_L0'!Q44</f>
        <v>71.413970480830699</v>
      </c>
      <c r="R44" s="17">
        <f>'07_E_manual'!R44/100*'04_L0'!R44</f>
        <v>838.66693480852484</v>
      </c>
      <c r="S44" s="17">
        <f>'07_E_manual'!S44/100*'04_L0'!S44</f>
        <v>25.797773485502454</v>
      </c>
      <c r="T44" s="17">
        <f>'07_E_manual'!T44/100*'04_L0'!T44</f>
        <v>5.3550791665914659</v>
      </c>
      <c r="U44" s="17">
        <f>'07_E_manual'!U44/100*'04_L0'!U44</f>
        <v>5.1871310840772606</v>
      </c>
      <c r="V44" s="17">
        <f>'07_E_manual'!V44/100*'04_L0'!V44</f>
        <v>0.36465744328960037</v>
      </c>
      <c r="W44" s="17">
        <f>'07_E_manual'!W44/100*'04_L0'!W44</f>
        <v>2.8391580239676171</v>
      </c>
      <c r="X44" s="17">
        <f>'07_E_manual'!X44/100*'04_L0'!X44</f>
        <v>1.5284435001661889</v>
      </c>
      <c r="Y44" s="17">
        <f>'07_E_manual'!Y44/100*'04_L0'!Y44</f>
        <v>5.3744436076269303E-2</v>
      </c>
      <c r="Z44" s="17">
        <f>'07_E_manual'!Z44/100*'04_L0'!Z44</f>
        <v>3.459053127820281</v>
      </c>
      <c r="AA44" s="17">
        <f>'07_E_manual'!AA44/100*'04_L0'!AA44</f>
        <v>1.2507852156361545</v>
      </c>
      <c r="AB44" s="17">
        <f>'07_E_manual'!AB44/100*'04_L0'!AB44</f>
        <v>12.151928072823857</v>
      </c>
      <c r="AC44" s="17">
        <f>'07_E_manual'!AC44/100*'04_L0'!AC44</f>
        <v>0.83521738924919608</v>
      </c>
      <c r="AD44" s="17">
        <f>'07_E_manual'!AD44/100*'04_L0'!AD44</f>
        <v>0.1239110469420999</v>
      </c>
      <c r="AE44" s="17">
        <f>'07_E_manual'!AE44/100*'04_L0'!AE44</f>
        <v>0.10037898444149136</v>
      </c>
      <c r="AF44" s="17">
        <f>'07_E_manual'!AF44/100*'04_L0'!AF44</f>
        <v>0.42821294253706699</v>
      </c>
      <c r="AG44" s="17">
        <f>'07_E_manual'!AG44/100*'04_L0'!AG44</f>
        <v>0.21610984256252258</v>
      </c>
      <c r="AH44" s="17">
        <f>'07_E_manual'!AH44/100*'04_L0'!AH44</f>
        <v>4.0330723593326498E-2</v>
      </c>
      <c r="AI44" s="17">
        <f>'07_E_manual'!AI44/100*'04_L0'!AI44</f>
        <v>0.15563734444897953</v>
      </c>
    </row>
    <row r="45" spans="1:35" x14ac:dyDescent="0.2">
      <c r="A45" s="12" t="s">
        <v>1409</v>
      </c>
      <c r="B45" s="17">
        <f>'07_E_manual'!B45/100*'04_L0'!B45</f>
        <v>41.666721307791214</v>
      </c>
      <c r="C45" s="17">
        <f>'07_E_manual'!C45/100*'04_L0'!C45</f>
        <v>872.58636013535727</v>
      </c>
      <c r="D45" s="17">
        <f>'07_E_manual'!D45/100*'04_L0'!D45</f>
        <v>118.99063491897127</v>
      </c>
      <c r="E45" s="17">
        <f>'07_E_manual'!E45/100*'04_L0'!E45</f>
        <v>108.68420553782397</v>
      </c>
      <c r="F45" s="17">
        <f>'07_E_manual'!F45/100*'04_L0'!F45</f>
        <v>21.552960589905471</v>
      </c>
      <c r="G45" s="17">
        <f>'07_E_manual'!G45/100*'04_L0'!G45</f>
        <v>99.574641807459827</v>
      </c>
      <c r="H45" s="17">
        <f>'07_E_manual'!H45/100*'04_L0'!H45</f>
        <v>5.3938470853202789</v>
      </c>
      <c r="I45" s="17">
        <f>'07_E_manual'!I45/100*'04_L0'!I45</f>
        <v>138.03186734368646</v>
      </c>
      <c r="J45" s="17">
        <f>'07_E_manual'!J45/100*'04_L0'!J45</f>
        <v>5.2531374453260655</v>
      </c>
      <c r="K45" s="17">
        <f>'07_E_manual'!K45/100*'04_L0'!K45</f>
        <v>19.669065048387122</v>
      </c>
      <c r="L45" s="17">
        <f>'07_E_manual'!L45/100*'04_L0'!L45</f>
        <v>772.24426966035537</v>
      </c>
      <c r="M45" s="17">
        <f>'07_E_manual'!M45/100*'04_L0'!M45</f>
        <v>11370.766564698459</v>
      </c>
      <c r="N45" s="17">
        <f>'07_E_manual'!N45/100*'04_L0'!N45</f>
        <v>6049.7493313431287</v>
      </c>
      <c r="O45" s="17">
        <f>'07_E_manual'!O45/100*'04_L0'!O45</f>
        <v>91.459589588582318</v>
      </c>
      <c r="P45" s="17">
        <f>'07_E_manual'!P45/100*'04_L0'!P45</f>
        <v>7001.5942864492245</v>
      </c>
      <c r="Q45" s="17">
        <f>'07_E_manual'!Q45/100*'04_L0'!Q45</f>
        <v>427.56163777896705</v>
      </c>
      <c r="R45" s="17">
        <f>'07_E_manual'!R45/100*'04_L0'!R45</f>
        <v>103.87149636864912</v>
      </c>
      <c r="S45" s="17">
        <f>'07_E_manual'!S45/100*'04_L0'!S45</f>
        <v>49.384203715193848</v>
      </c>
      <c r="T45" s="17">
        <f>'07_E_manual'!T45/100*'04_L0'!T45</f>
        <v>2.1576346210363235</v>
      </c>
      <c r="U45" s="17">
        <f>'07_E_manual'!U45/100*'04_L0'!U45</f>
        <v>62.890487932050569</v>
      </c>
      <c r="V45" s="17">
        <f>'07_E_manual'!V45/100*'04_L0'!V45</f>
        <v>13.3153528831673</v>
      </c>
      <c r="W45" s="17">
        <f>'07_E_manual'!W45/100*'04_L0'!W45</f>
        <v>66.732493475592378</v>
      </c>
      <c r="X45" s="17">
        <f>'07_E_manual'!X45/100*'04_L0'!X45</f>
        <v>54.82007592653251</v>
      </c>
      <c r="Y45" s="17">
        <f>'07_E_manual'!Y45/100*'04_L0'!Y45</f>
        <v>1.3598675325863587</v>
      </c>
      <c r="Z45" s="17">
        <f>'07_E_manual'!Z45/100*'04_L0'!Z45</f>
        <v>10.331123992495584</v>
      </c>
      <c r="AA45" s="17">
        <f>'07_E_manual'!AA45/100*'04_L0'!AA45</f>
        <v>12.945102146484269</v>
      </c>
      <c r="AB45" s="17">
        <f>'07_E_manual'!AB45/100*'04_L0'!AB45</f>
        <v>103.88114814912585</v>
      </c>
      <c r="AC45" s="17">
        <f>'07_E_manual'!AC45/100*'04_L0'!AC45</f>
        <v>5.9299970158666788</v>
      </c>
      <c r="AD45" s="17">
        <f>'07_E_manual'!AD45/100*'04_L0'!AD45</f>
        <v>3.369826282507979</v>
      </c>
      <c r="AE45" s="17">
        <f>'07_E_manual'!AE45/100*'04_L0'!AE45</f>
        <v>1.4106910119783067</v>
      </c>
      <c r="AF45" s="17">
        <f>'07_E_manual'!AF45/100*'04_L0'!AF45</f>
        <v>2.9632385370529528</v>
      </c>
      <c r="AG45" s="17">
        <f>'07_E_manual'!AG45/100*'04_L0'!AG45</f>
        <v>0.87514560238571104</v>
      </c>
      <c r="AH45" s="17">
        <f>'07_E_manual'!AH45/100*'04_L0'!AH45</f>
        <v>4.3781064636627516E-2</v>
      </c>
      <c r="AI45" s="17">
        <f>'07_E_manual'!AI45/100*'04_L0'!AI45</f>
        <v>0.85392540422039498</v>
      </c>
    </row>
    <row r="46" spans="1:35" x14ac:dyDescent="0.2">
      <c r="A46" s="12" t="s">
        <v>1410</v>
      </c>
      <c r="B46" s="17">
        <f>'07_E_manual'!B46/100*'04_L0'!B46</f>
        <v>2.3822578274712862</v>
      </c>
      <c r="C46" s="17">
        <f>'07_E_manual'!C46/100*'04_L0'!C46</f>
        <v>41.001942199506033</v>
      </c>
      <c r="D46" s="17">
        <f>'07_E_manual'!D46/100*'04_L0'!D46</f>
        <v>4.6550227207647863</v>
      </c>
      <c r="E46" s="17">
        <f>'07_E_manual'!E46/100*'04_L0'!E46</f>
        <v>2.5238991170441385</v>
      </c>
      <c r="F46" s="17">
        <f>'07_E_manual'!F46/100*'04_L0'!F46</f>
        <v>0.960361798202372</v>
      </c>
      <c r="G46" s="17">
        <f>'07_E_manual'!G46/100*'04_L0'!G46</f>
        <v>13.792709824264847</v>
      </c>
      <c r="H46" s="17">
        <f>'07_E_manual'!H46/100*'04_L0'!H46</f>
        <v>1.4416673427692308</v>
      </c>
      <c r="I46" s="17">
        <f>'07_E_manual'!I46/100*'04_L0'!I46</f>
        <v>17.39686831124386</v>
      </c>
      <c r="J46" s="17">
        <f>'07_E_manual'!J46/100*'04_L0'!J46</f>
        <v>0.64307412582323387</v>
      </c>
      <c r="K46" s="17">
        <f>'07_E_manual'!K46/100*'04_L0'!K46</f>
        <v>3.073436476186362</v>
      </c>
      <c r="L46" s="17">
        <f>'07_E_manual'!L46/100*'04_L0'!L46</f>
        <v>605.95557134479759</v>
      </c>
      <c r="M46" s="17">
        <f>'07_E_manual'!M46/100*'04_L0'!M46</f>
        <v>2582.7226316440501</v>
      </c>
      <c r="N46" s="17">
        <f>'07_E_manual'!N46/100*'04_L0'!N46</f>
        <v>789.38204437883314</v>
      </c>
      <c r="O46" s="17">
        <f>'07_E_manual'!O46/100*'04_L0'!O46</f>
        <v>23.590381667782733</v>
      </c>
      <c r="P46" s="17">
        <f>'07_E_manual'!P46/100*'04_L0'!P46</f>
        <v>711.96953133229238</v>
      </c>
      <c r="Q46" s="17">
        <f>'07_E_manual'!Q46/100*'04_L0'!Q46</f>
        <v>121.63362088516043</v>
      </c>
      <c r="R46" s="17">
        <f>'07_E_manual'!R46/100*'04_L0'!R46</f>
        <v>10.381702313462212</v>
      </c>
      <c r="S46" s="17">
        <f>'07_E_manual'!S46/100*'04_L0'!S46</f>
        <v>5.8820061043764893</v>
      </c>
      <c r="T46" s="17">
        <f>'07_E_manual'!T46/100*'04_L0'!T46</f>
        <v>2.1949406154233952</v>
      </c>
      <c r="U46" s="17">
        <f>'07_E_manual'!U46/100*'04_L0'!U46</f>
        <v>5.005074976350941</v>
      </c>
      <c r="V46" s="17">
        <f>'07_E_manual'!V46/100*'04_L0'!V46</f>
        <v>1.9151650023555624</v>
      </c>
      <c r="W46" s="17">
        <f>'07_E_manual'!W46/100*'04_L0'!W46</f>
        <v>4.8862236847088383</v>
      </c>
      <c r="X46" s="17">
        <f>'07_E_manual'!X46/100*'04_L0'!X46</f>
        <v>6.6548906587957894</v>
      </c>
      <c r="Y46" s="17">
        <f>'07_E_manual'!Y46/100*'04_L0'!Y46</f>
        <v>7.7290838752837696E-2</v>
      </c>
      <c r="Z46" s="17">
        <f>'07_E_manual'!Z46/100*'04_L0'!Z46</f>
        <v>1.3860652274526972</v>
      </c>
      <c r="AA46" s="17">
        <f>'07_E_manual'!AA46/100*'04_L0'!AA46</f>
        <v>0.76094462891012393</v>
      </c>
      <c r="AB46" s="17">
        <f>'07_E_manual'!AB46/100*'04_L0'!AB46</f>
        <v>17.830358037035193</v>
      </c>
      <c r="AC46" s="17">
        <f>'07_E_manual'!AC46/100*'04_L0'!AC46</f>
        <v>0.38185955324857268</v>
      </c>
      <c r="AD46" s="17">
        <f>'07_E_manual'!AD46/100*'04_L0'!AD46</f>
        <v>0.34229421547363975</v>
      </c>
      <c r="AE46" s="17">
        <f>'07_E_manual'!AE46/100*'04_L0'!AE46</f>
        <v>0.52949272411400028</v>
      </c>
      <c r="AF46" s="17">
        <f>'07_E_manual'!AF46/100*'04_L0'!AF46</f>
        <v>0.38408567126777016</v>
      </c>
      <c r="AG46" s="17">
        <f>'07_E_manual'!AG46/100*'04_L0'!AG46</f>
        <v>4.2888769107012815E-2</v>
      </c>
      <c r="AH46" s="17">
        <f>'07_E_manual'!AH46/100*'04_L0'!AH46</f>
        <v>7.3900067334172176E-2</v>
      </c>
      <c r="AI46" s="17">
        <f>'07_E_manual'!AI46/100*'04_L0'!AI46</f>
        <v>0.89212252340172893</v>
      </c>
    </row>
    <row r="47" spans="1:35" x14ac:dyDescent="0.2">
      <c r="A47" s="12" t="s">
        <v>1411</v>
      </c>
      <c r="B47" s="17">
        <f>'07_E_manual'!B47/100*'04_L0'!B47</f>
        <v>1.138082338573803</v>
      </c>
      <c r="C47" s="17">
        <f>'07_E_manual'!C47/100*'04_L0'!C47</f>
        <v>38.736426850651945</v>
      </c>
      <c r="D47" s="17">
        <f>'07_E_manual'!D47/100*'04_L0'!D47</f>
        <v>8.1205182987853046</v>
      </c>
      <c r="E47" s="17">
        <f>'07_E_manual'!E47/100*'04_L0'!E47</f>
        <v>5.6382299150966775</v>
      </c>
      <c r="F47" s="17">
        <f>'07_E_manual'!F47/100*'04_L0'!F47</f>
        <v>2.1393133109912221</v>
      </c>
      <c r="G47" s="17">
        <f>'07_E_manual'!G47/100*'04_L0'!G47</f>
        <v>5.4098200475929579</v>
      </c>
      <c r="H47" s="17">
        <f>'07_E_manual'!H47/100*'04_L0'!H47</f>
        <v>0.93207128320370436</v>
      </c>
      <c r="I47" s="17">
        <f>'07_E_manual'!I47/100*'04_L0'!I47</f>
        <v>11.163760165672997</v>
      </c>
      <c r="J47" s="17">
        <f>'07_E_manual'!J47/100*'04_L0'!J47</f>
        <v>0.81862083526472929</v>
      </c>
      <c r="K47" s="17">
        <f>'07_E_manual'!K47/100*'04_L0'!K47</f>
        <v>1.9542775877783396</v>
      </c>
      <c r="L47" s="17">
        <f>'07_E_manual'!L47/100*'04_L0'!L47</f>
        <v>234.24100096285682</v>
      </c>
      <c r="M47" s="17">
        <f>'07_E_manual'!M47/100*'04_L0'!M47</f>
        <v>1269.6908684893385</v>
      </c>
      <c r="N47" s="17">
        <f>'07_E_manual'!N47/100*'04_L0'!N47</f>
        <v>997.325147278651</v>
      </c>
      <c r="O47" s="17">
        <f>'07_E_manual'!O47/100*'04_L0'!O47</f>
        <v>9.5076596379617904</v>
      </c>
      <c r="P47" s="17">
        <f>'07_E_manual'!P47/100*'04_L0'!P47</f>
        <v>785.67498928993496</v>
      </c>
      <c r="Q47" s="17">
        <f>'07_E_manual'!Q47/100*'04_L0'!Q47</f>
        <v>119.62432575727694</v>
      </c>
      <c r="R47" s="17">
        <f>'07_E_manual'!R47/100*'04_L0'!R47</f>
        <v>97.788850257781903</v>
      </c>
      <c r="S47" s="17">
        <f>'07_E_manual'!S47/100*'04_L0'!S47</f>
        <v>13.586918672099516</v>
      </c>
      <c r="T47" s="17">
        <f>'07_E_manual'!T47/100*'04_L0'!T47</f>
        <v>10.736749080046305</v>
      </c>
      <c r="U47" s="17">
        <f>'07_E_manual'!U47/100*'04_L0'!U47</f>
        <v>11.802746190666237</v>
      </c>
      <c r="V47" s="17">
        <f>'07_E_manual'!V47/100*'04_L0'!V47</f>
        <v>1.031853889627518</v>
      </c>
      <c r="W47" s="17">
        <f>'07_E_manual'!W47/100*'04_L0'!W47</f>
        <v>1.3489019496939496</v>
      </c>
      <c r="X47" s="17">
        <f>'07_E_manual'!X47/100*'04_L0'!X47</f>
        <v>4.7389051958492443</v>
      </c>
      <c r="Y47" s="17">
        <f>'07_E_manual'!Y47/100*'04_L0'!Y47</f>
        <v>1.8926872494555221E-2</v>
      </c>
      <c r="Z47" s="17">
        <f>'07_E_manual'!Z47/100*'04_L0'!Z47</f>
        <v>3.0176744007542164</v>
      </c>
      <c r="AA47" s="17">
        <f>'07_E_manual'!AA47/100*'04_L0'!AA47</f>
        <v>1.3782127953368564</v>
      </c>
      <c r="AB47" s="17">
        <f>'07_E_manual'!AB47/100*'04_L0'!AB47</f>
        <v>24.168758773529945</v>
      </c>
      <c r="AC47" s="17">
        <f>'07_E_manual'!AC47/100*'04_L0'!AC47</f>
        <v>2.0999575331292286</v>
      </c>
      <c r="AD47" s="17">
        <f>'07_E_manual'!AD47/100*'04_L0'!AD47</f>
        <v>0.52242761125129089</v>
      </c>
      <c r="AE47" s="17">
        <f>'07_E_manual'!AE47/100*'04_L0'!AE47</f>
        <v>0.27718722902328685</v>
      </c>
      <c r="AF47" s="17">
        <f>'07_E_manual'!AF47/100*'04_L0'!AF47</f>
        <v>1.0055450125699894</v>
      </c>
      <c r="AG47" s="17">
        <f>'07_E_manual'!AG47/100*'04_L0'!AG47</f>
        <v>0.18099622983495364</v>
      </c>
      <c r="AH47" s="17">
        <f>'07_E_manual'!AH47/100*'04_L0'!AH47</f>
        <v>1.6199424792949356E-2</v>
      </c>
      <c r="AI47" s="17">
        <f>'07_E_manual'!AI47/100*'04_L0'!AI47</f>
        <v>1.0568476917770531</v>
      </c>
    </row>
    <row r="48" spans="1:35" x14ac:dyDescent="0.2">
      <c r="A48" s="12" t="s">
        <v>1412</v>
      </c>
      <c r="B48" s="17">
        <f>'07_E_manual'!B48/100*'04_L0'!B48</f>
        <v>1.2387027805842945E-2</v>
      </c>
      <c r="C48" s="17">
        <f>'07_E_manual'!C48/100*'04_L0'!C48</f>
        <v>14.986039452263098</v>
      </c>
      <c r="D48" s="17">
        <f>'07_E_manual'!D48/100*'04_L0'!D48</f>
        <v>4.5290144959340577E-2</v>
      </c>
      <c r="E48" s="17">
        <f>'07_E_manual'!E48/100*'04_L0'!E48</f>
        <v>8.0692093040285698E-2</v>
      </c>
      <c r="F48" s="17">
        <f>'07_E_manual'!F48/100*'04_L0'!F48</f>
        <v>0.2168559339970054</v>
      </c>
      <c r="G48" s="17">
        <f>'07_E_manual'!G48/100*'04_L0'!G48</f>
        <v>0.99869010253135271</v>
      </c>
      <c r="H48" s="17">
        <f>'07_E_manual'!H48/100*'04_L0'!H48</f>
        <v>4.7903475819938488E-4</v>
      </c>
      <c r="I48" s="17">
        <f>'07_E_manual'!I48/100*'04_L0'!I48</f>
        <v>1.6079279826296815</v>
      </c>
      <c r="J48" s="17">
        <f>'07_E_manual'!J48/100*'04_L0'!J48</f>
        <v>2.0839855257112214E-2</v>
      </c>
      <c r="K48" s="17">
        <f>'07_E_manual'!K48/100*'04_L0'!K48</f>
        <v>0.28779037743116181</v>
      </c>
      <c r="L48" s="17">
        <f>'07_E_manual'!L48/100*'04_L0'!L48</f>
        <v>137.39541806816874</v>
      </c>
      <c r="M48" s="17">
        <f>'07_E_manual'!M48/100*'04_L0'!M48</f>
        <v>215.74948384375224</v>
      </c>
      <c r="N48" s="17">
        <f>'07_E_manual'!N48/100*'04_L0'!N48</f>
        <v>11.226203412555323</v>
      </c>
      <c r="O48" s="17">
        <f>'07_E_manual'!O48/100*'04_L0'!O48</f>
        <v>1.8807969369543776</v>
      </c>
      <c r="P48" s="17">
        <f>'07_E_manual'!P48/100*'04_L0'!P48</f>
        <v>7.8042115695401639</v>
      </c>
      <c r="Q48" s="17">
        <f>'07_E_manual'!Q48/100*'04_L0'!Q48</f>
        <v>7.70824045795825</v>
      </c>
      <c r="R48" s="17">
        <f>'07_E_manual'!R48/100*'04_L0'!R48</f>
        <v>0.51563223304445538</v>
      </c>
      <c r="S48" s="17">
        <f>'07_E_manual'!S48/100*'04_L0'!S48</f>
        <v>0.16150757710701569</v>
      </c>
      <c r="T48" s="17">
        <f>'07_E_manual'!T48/100*'04_L0'!T48</f>
        <v>0.26382888100416269</v>
      </c>
      <c r="U48" s="17">
        <f>'07_E_manual'!U48/100*'04_L0'!U48</f>
        <v>0.15741658991216217</v>
      </c>
      <c r="V48" s="17">
        <f>'07_E_manual'!V48/100*'04_L0'!V48</f>
        <v>0</v>
      </c>
      <c r="W48" s="17">
        <f>'07_E_manual'!W48/100*'04_L0'!W48</f>
        <v>4.8516961257216017E-2</v>
      </c>
      <c r="X48" s="17">
        <f>'07_E_manual'!X48/100*'04_L0'!X48</f>
        <v>9.5633466892679365E-3</v>
      </c>
      <c r="Y48" s="17">
        <f>'07_E_manual'!Y48/100*'04_L0'!Y48</f>
        <v>0</v>
      </c>
      <c r="Z48" s="17">
        <f>'07_E_manual'!Z48/100*'04_L0'!Z48</f>
        <v>9.4462444849095537E-2</v>
      </c>
      <c r="AA48" s="17">
        <f>'07_E_manual'!AA48/100*'04_L0'!AA48</f>
        <v>1.0400627450430373E-2</v>
      </c>
      <c r="AB48" s="17">
        <f>'07_E_manual'!AB48/100*'04_L0'!AB48</f>
        <v>0.34866617522280113</v>
      </c>
      <c r="AC48" s="17">
        <f>'07_E_manual'!AC48/100*'04_L0'!AC48</f>
        <v>0.15337808185333596</v>
      </c>
      <c r="AD48" s="17">
        <f>'07_E_manual'!AD48/100*'04_L0'!AD48</f>
        <v>2.8182597182250814E-3</v>
      </c>
      <c r="AE48" s="17">
        <f>'07_E_manual'!AE48/100*'04_L0'!AE48</f>
        <v>0</v>
      </c>
      <c r="AF48" s="17">
        <f>'07_E_manual'!AF48/100*'04_L0'!AF48</f>
        <v>5.2774060097511219E-3</v>
      </c>
      <c r="AG48" s="17">
        <f>'07_E_manual'!AG48/100*'04_L0'!AG48</f>
        <v>1.344528476374833E-2</v>
      </c>
      <c r="AH48" s="17">
        <f>'07_E_manual'!AH48/100*'04_L0'!AH48</f>
        <v>0</v>
      </c>
      <c r="AI48" s="17">
        <f>'07_E_manual'!AI48/100*'04_L0'!AI48</f>
        <v>0</v>
      </c>
    </row>
    <row r="49" spans="1:35" x14ac:dyDescent="0.2">
      <c r="A49" s="12" t="s">
        <v>1413</v>
      </c>
      <c r="B49" s="17">
        <f>'07_E_manual'!B49/100*'04_L0'!B49</f>
        <v>0</v>
      </c>
      <c r="C49" s="17">
        <f>'07_E_manual'!C49/100*'04_L0'!C49</f>
        <v>0</v>
      </c>
      <c r="D49" s="17">
        <f>'07_E_manual'!D49/100*'04_L0'!D49</f>
        <v>0</v>
      </c>
      <c r="E49" s="17">
        <f>'07_E_manual'!E49/100*'04_L0'!E49</f>
        <v>1.2009634488855321</v>
      </c>
      <c r="F49" s="17">
        <f>'07_E_manual'!F49/100*'04_L0'!F49</f>
        <v>0</v>
      </c>
      <c r="G49" s="17">
        <f>'07_E_manual'!G49/100*'04_L0'!G49</f>
        <v>0</v>
      </c>
      <c r="H49" s="17">
        <f>'07_E_manual'!H49/100*'04_L0'!H49</f>
        <v>0</v>
      </c>
      <c r="I49" s="17">
        <f>'07_E_manual'!I49/100*'04_L0'!I49</f>
        <v>0</v>
      </c>
      <c r="J49" s="17">
        <f>'07_E_manual'!J49/100*'04_L0'!J49</f>
        <v>0</v>
      </c>
      <c r="K49" s="17">
        <f>'07_E_manual'!K49/100*'04_L0'!K49</f>
        <v>0</v>
      </c>
      <c r="L49" s="17">
        <f>'07_E_manual'!L49/100*'04_L0'!L49</f>
        <v>0</v>
      </c>
      <c r="M49" s="17">
        <f>'07_E_manual'!M49/100*'04_L0'!M49</f>
        <v>13.5623420742027</v>
      </c>
      <c r="N49" s="17">
        <f>'07_E_manual'!N49/100*'04_L0'!N49</f>
        <v>7.921309436684397</v>
      </c>
      <c r="O49" s="17">
        <f>'07_E_manual'!O49/100*'04_L0'!O49</f>
        <v>0</v>
      </c>
      <c r="P49" s="17">
        <f>'07_E_manual'!P49/100*'04_L0'!P49</f>
        <v>1.415211091834039</v>
      </c>
      <c r="Q49" s="17">
        <f>'07_E_manual'!Q49/100*'04_L0'!Q49</f>
        <v>1.1960765223199517</v>
      </c>
      <c r="R49" s="17">
        <f>'07_E_manual'!R49/100*'04_L0'!R49</f>
        <v>0</v>
      </c>
      <c r="S49" s="17">
        <f>'07_E_manual'!S49/100*'04_L0'!S49</f>
        <v>0</v>
      </c>
      <c r="T49" s="17">
        <f>'07_E_manual'!T49/100*'04_L0'!T49</f>
        <v>0</v>
      </c>
      <c r="U49" s="17">
        <f>'07_E_manual'!U49/100*'04_L0'!U49</f>
        <v>0</v>
      </c>
      <c r="V49" s="17">
        <f>'07_E_manual'!V49/100*'04_L0'!V49</f>
        <v>0</v>
      </c>
      <c r="W49" s="17">
        <f>'07_E_manual'!W49/100*'04_L0'!W49</f>
        <v>0</v>
      </c>
      <c r="X49" s="17">
        <f>'07_E_manual'!X49/100*'04_L0'!X49</f>
        <v>0</v>
      </c>
      <c r="Y49" s="17">
        <f>'07_E_manual'!Y49/100*'04_L0'!Y49</f>
        <v>0</v>
      </c>
      <c r="Z49" s="17">
        <f>'07_E_manual'!Z49/100*'04_L0'!Z49</f>
        <v>0</v>
      </c>
      <c r="AA49" s="17">
        <f>'07_E_manual'!AA49/100*'04_L0'!AA49</f>
        <v>0</v>
      </c>
      <c r="AB49" s="17">
        <f>'07_E_manual'!AB49/100*'04_L0'!AB49</f>
        <v>0</v>
      </c>
      <c r="AC49" s="17">
        <f>'07_E_manual'!AC49/100*'04_L0'!AC49</f>
        <v>0</v>
      </c>
      <c r="AD49" s="17">
        <f>'07_E_manual'!AD49/100*'04_L0'!AD49</f>
        <v>0</v>
      </c>
      <c r="AE49" s="17">
        <f>'07_E_manual'!AE49/100*'04_L0'!AE49</f>
        <v>0</v>
      </c>
      <c r="AF49" s="17">
        <f>'07_E_manual'!AF49/100*'04_L0'!AF49</f>
        <v>0</v>
      </c>
      <c r="AG49" s="17">
        <f>'07_E_manual'!AG49/100*'04_L0'!AG49</f>
        <v>6.9363471456822187E-2</v>
      </c>
      <c r="AH49" s="17">
        <f>'07_E_manual'!AH49/100*'04_L0'!AH49</f>
        <v>0</v>
      </c>
      <c r="AI49" s="17">
        <f>'07_E_manual'!AI49/100*'04_L0'!AI49</f>
        <v>0</v>
      </c>
    </row>
    <row r="50" spans="1:35" x14ac:dyDescent="0.2">
      <c r="A50" s="12" t="s">
        <v>1414</v>
      </c>
      <c r="B50" s="17">
        <f>'07_E_manual'!B50/100*'04_L0'!B50</f>
        <v>1.415674880983409</v>
      </c>
      <c r="C50" s="17">
        <f>'07_E_manual'!C50/100*'04_L0'!C50</f>
        <v>19.598585944981899</v>
      </c>
      <c r="D50" s="17">
        <f>'07_E_manual'!D50/100*'04_L0'!D50</f>
        <v>0.63879987387134629</v>
      </c>
      <c r="E50" s="17">
        <f>'07_E_manual'!E50/100*'04_L0'!E50</f>
        <v>4.2623737089784797</v>
      </c>
      <c r="F50" s="17">
        <f>'07_E_manual'!F50/100*'04_L0'!F50</f>
        <v>2.7911980760047603</v>
      </c>
      <c r="G50" s="17">
        <f>'07_E_manual'!G50/100*'04_L0'!G50</f>
        <v>6.6854701627999189</v>
      </c>
      <c r="H50" s="17">
        <f>'07_E_manual'!H50/100*'04_L0'!H50</f>
        <v>9.5757824551250703E-2</v>
      </c>
      <c r="I50" s="17">
        <f>'07_E_manual'!I50/100*'04_L0'!I50</f>
        <v>12.117712528211362</v>
      </c>
      <c r="J50" s="17">
        <f>'07_E_manual'!J50/100*'04_L0'!J50</f>
        <v>0.15236270298074808</v>
      </c>
      <c r="K50" s="17">
        <f>'07_E_manual'!K50/100*'04_L0'!K50</f>
        <v>0.59594236210156337</v>
      </c>
      <c r="L50" s="17">
        <f>'07_E_manual'!L50/100*'04_L0'!L50</f>
        <v>117.77750891745318</v>
      </c>
      <c r="M50" s="17">
        <f>'07_E_manual'!M50/100*'04_L0'!M50</f>
        <v>301.49572410523353</v>
      </c>
      <c r="N50" s="17">
        <f>'07_E_manual'!N50/100*'04_L0'!N50</f>
        <v>94.69508175962622</v>
      </c>
      <c r="O50" s="17">
        <f>'07_E_manual'!O50/100*'04_L0'!O50</f>
        <v>2.0594404209998034</v>
      </c>
      <c r="P50" s="17">
        <f>'07_E_manual'!P50/100*'04_L0'!P50</f>
        <v>128.11574002696855</v>
      </c>
      <c r="Q50" s="17">
        <f>'07_E_manual'!Q50/100*'04_L0'!Q50</f>
        <v>31.946480498601055</v>
      </c>
      <c r="R50" s="17">
        <f>'07_E_manual'!R50/100*'04_L0'!R50</f>
        <v>5.8932991147111924</v>
      </c>
      <c r="S50" s="17">
        <f>'07_E_manual'!S50/100*'04_L0'!S50</f>
        <v>6.9135557358030795</v>
      </c>
      <c r="T50" s="17">
        <f>'07_E_manual'!T50/100*'04_L0'!T50</f>
        <v>1.4330742305757604</v>
      </c>
      <c r="U50" s="17">
        <f>'07_E_manual'!U50/100*'04_L0'!U50</f>
        <v>2.9408638551937427</v>
      </c>
      <c r="V50" s="17">
        <f>'07_E_manual'!V50/100*'04_L0'!V50</f>
        <v>1.4693316439533943</v>
      </c>
      <c r="W50" s="17">
        <f>'07_E_manual'!W50/100*'04_L0'!W50</f>
        <v>1.1411637465711675</v>
      </c>
      <c r="X50" s="17">
        <f>'07_E_manual'!X50/100*'04_L0'!X50</f>
        <v>3.42026649825493</v>
      </c>
      <c r="Y50" s="17">
        <f>'07_E_manual'!Y50/100*'04_L0'!Y50</f>
        <v>2.5868705460067084E-2</v>
      </c>
      <c r="Z50" s="17">
        <f>'07_E_manual'!Z50/100*'04_L0'!Z50</f>
        <v>1.8160312162997043</v>
      </c>
      <c r="AA50" s="17">
        <f>'07_E_manual'!AA50/100*'04_L0'!AA50</f>
        <v>1.0328375472006939</v>
      </c>
      <c r="AB50" s="17">
        <f>'07_E_manual'!AB50/100*'04_L0'!AB50</f>
        <v>18.98307026146486</v>
      </c>
      <c r="AC50" s="17">
        <f>'07_E_manual'!AC50/100*'04_L0'!AC50</f>
        <v>1.0806959461351935</v>
      </c>
      <c r="AD50" s="17">
        <f>'07_E_manual'!AD50/100*'04_L0'!AD50</f>
        <v>0.69289753544547183</v>
      </c>
      <c r="AE50" s="17">
        <f>'07_E_manual'!AE50/100*'04_L0'!AE50</f>
        <v>0.14403550290827291</v>
      </c>
      <c r="AF50" s="17">
        <f>'07_E_manual'!AF50/100*'04_L0'!AF50</f>
        <v>0.21676685323186412</v>
      </c>
      <c r="AG50" s="17">
        <f>'07_E_manual'!AG50/100*'04_L0'!AG50</f>
        <v>9.8000137316775898E-3</v>
      </c>
      <c r="AH50" s="17">
        <f>'07_E_manual'!AH50/100*'04_L0'!AH50</f>
        <v>7.0469132429210922E-3</v>
      </c>
      <c r="AI50" s="17">
        <f>'07_E_manual'!AI50/100*'04_L0'!AI50</f>
        <v>0.1033235981529943</v>
      </c>
    </row>
    <row r="51" spans="1:35" x14ac:dyDescent="0.2">
      <c r="A51" s="12" t="s">
        <v>1415</v>
      </c>
      <c r="B51" s="17">
        <f>'07_E_manual'!B51/100*'04_L0'!B51</f>
        <v>0.19068920948644325</v>
      </c>
      <c r="C51" s="17">
        <f>'07_E_manual'!C51/100*'04_L0'!C51</f>
        <v>3.955291624131553</v>
      </c>
      <c r="D51" s="17">
        <f>'07_E_manual'!D51/100*'04_L0'!D51</f>
        <v>0.5328008527596263</v>
      </c>
      <c r="E51" s="17">
        <f>'07_E_manual'!E51/100*'04_L0'!E51</f>
        <v>4.51911679820447</v>
      </c>
      <c r="F51" s="17">
        <f>'07_E_manual'!F51/100*'04_L0'!F51</f>
        <v>0.41510750857541917</v>
      </c>
      <c r="G51" s="17">
        <f>'07_E_manual'!G51/100*'04_L0'!G51</f>
        <v>3.1836495399464093</v>
      </c>
      <c r="H51" s="17">
        <f>'07_E_manual'!H51/100*'04_L0'!H51</f>
        <v>0.26596672394592991</v>
      </c>
      <c r="I51" s="17">
        <f>'07_E_manual'!I51/100*'04_L0'!I51</f>
        <v>1.2682436578329661</v>
      </c>
      <c r="J51" s="17">
        <f>'07_E_manual'!J51/100*'04_L0'!J51</f>
        <v>7.5902717162821098E-2</v>
      </c>
      <c r="K51" s="17">
        <f>'07_E_manual'!K51/100*'04_L0'!K51</f>
        <v>1.1273676015009142</v>
      </c>
      <c r="L51" s="17">
        <f>'07_E_manual'!L51/100*'04_L0'!L51</f>
        <v>866.15327413400007</v>
      </c>
      <c r="M51" s="17">
        <f>'07_E_manual'!M51/100*'04_L0'!M51</f>
        <v>1039.9904253692714</v>
      </c>
      <c r="N51" s="17">
        <f>'07_E_manual'!N51/100*'04_L0'!N51</f>
        <v>34.850503766656431</v>
      </c>
      <c r="O51" s="17">
        <f>'07_E_manual'!O51/100*'04_L0'!O51</f>
        <v>1.4940951532007303</v>
      </c>
      <c r="P51" s="17">
        <f>'07_E_manual'!P51/100*'04_L0'!P51</f>
        <v>87.991152656054268</v>
      </c>
      <c r="Q51" s="17">
        <f>'07_E_manual'!Q51/100*'04_L0'!Q51</f>
        <v>201.2163664724099</v>
      </c>
      <c r="R51" s="17">
        <f>'07_E_manual'!R51/100*'04_L0'!R51</f>
        <v>1.0887017529227396</v>
      </c>
      <c r="S51" s="17">
        <f>'07_E_manual'!S51/100*'04_L0'!S51</f>
        <v>0.36912240172801108</v>
      </c>
      <c r="T51" s="17">
        <f>'07_E_manual'!T51/100*'04_L0'!T51</f>
        <v>7.197497061547653E-2</v>
      </c>
      <c r="U51" s="17">
        <f>'07_E_manual'!U51/100*'04_L0'!U51</f>
        <v>0.73454541773260673</v>
      </c>
      <c r="V51" s="17">
        <f>'07_E_manual'!V51/100*'04_L0'!V51</f>
        <v>0.33988476323558425</v>
      </c>
      <c r="W51" s="17">
        <f>'07_E_manual'!W51/100*'04_L0'!W51</f>
        <v>0.73207131005925485</v>
      </c>
      <c r="X51" s="17">
        <f>'07_E_manual'!X51/100*'04_L0'!X51</f>
        <v>7.0849948162944223</v>
      </c>
      <c r="Y51" s="17">
        <f>'07_E_manual'!Y51/100*'04_L0'!Y51</f>
        <v>0.13207283600593916</v>
      </c>
      <c r="Z51" s="17">
        <f>'07_E_manual'!Z51/100*'04_L0'!Z51</f>
        <v>0.77797175049152456</v>
      </c>
      <c r="AA51" s="17">
        <f>'07_E_manual'!AA51/100*'04_L0'!AA51</f>
        <v>6.9124761779103649E-2</v>
      </c>
      <c r="AB51" s="17">
        <f>'07_E_manual'!AB51/100*'04_L0'!AB51</f>
        <v>3.5112882942910204</v>
      </c>
      <c r="AC51" s="17">
        <f>'07_E_manual'!AC51/100*'04_L0'!AC51</f>
        <v>0.16780921810258345</v>
      </c>
      <c r="AD51" s="17">
        <f>'07_E_manual'!AD51/100*'04_L0'!AD51</f>
        <v>1.9118085390110897E-4</v>
      </c>
      <c r="AE51" s="17">
        <f>'07_E_manual'!AE51/100*'04_L0'!AE51</f>
        <v>2.1650795169715496E-2</v>
      </c>
      <c r="AF51" s="17">
        <f>'07_E_manual'!AF51/100*'04_L0'!AF51</f>
        <v>3.7952359416800766E-2</v>
      </c>
      <c r="AG51" s="17">
        <f>'07_E_manual'!AG51/100*'04_L0'!AG51</f>
        <v>1.6194368388482219E-3</v>
      </c>
      <c r="AH51" s="17">
        <f>'07_E_manual'!AH51/100*'04_L0'!AH51</f>
        <v>6.338908062963034E-4</v>
      </c>
      <c r="AI51" s="17">
        <f>'07_E_manual'!AI51/100*'04_L0'!AI51</f>
        <v>3.8585824335696977E-3</v>
      </c>
    </row>
    <row r="52" spans="1:35" x14ac:dyDescent="0.2">
      <c r="A52" s="12" t="s">
        <v>1416</v>
      </c>
      <c r="B52" s="17">
        <f>'07_E_manual'!B52/100*'04_L0'!B52</f>
        <v>23.091151843996467</v>
      </c>
      <c r="C52" s="17">
        <f>'07_E_manual'!C52/100*'04_L0'!C52</f>
        <v>220.7729217751403</v>
      </c>
      <c r="D52" s="17">
        <f>'07_E_manual'!D52/100*'04_L0'!D52</f>
        <v>35.827613996641041</v>
      </c>
      <c r="E52" s="17">
        <f>'07_E_manual'!E52/100*'04_L0'!E52</f>
        <v>53.877971909030634</v>
      </c>
      <c r="F52" s="17">
        <f>'07_E_manual'!F52/100*'04_L0'!F52</f>
        <v>8.3358937841987739</v>
      </c>
      <c r="G52" s="17">
        <f>'07_E_manual'!G52/100*'04_L0'!G52</f>
        <v>37.15259879527494</v>
      </c>
      <c r="H52" s="17">
        <f>'07_E_manual'!H52/100*'04_L0'!H52</f>
        <v>4.2238446222012636</v>
      </c>
      <c r="I52" s="17">
        <f>'07_E_manual'!I52/100*'04_L0'!I52</f>
        <v>32.80686639140373</v>
      </c>
      <c r="J52" s="17">
        <f>'07_E_manual'!J52/100*'04_L0'!J52</f>
        <v>2.1217326609343505</v>
      </c>
      <c r="K52" s="17">
        <f>'07_E_manual'!K52/100*'04_L0'!K52</f>
        <v>12.005130537450954</v>
      </c>
      <c r="L52" s="17">
        <f>'07_E_manual'!L52/100*'04_L0'!L52</f>
        <v>612.48972078973793</v>
      </c>
      <c r="M52" s="17">
        <f>'07_E_manual'!M52/100*'04_L0'!M52</f>
        <v>3221.3949085796257</v>
      </c>
      <c r="N52" s="17">
        <f>'07_E_manual'!N52/100*'04_L0'!N52</f>
        <v>785.65494449197161</v>
      </c>
      <c r="O52" s="17">
        <f>'07_E_manual'!O52/100*'04_L0'!O52</f>
        <v>42.437609679103311</v>
      </c>
      <c r="P52" s="17">
        <f>'07_E_manual'!P52/100*'04_L0'!P52</f>
        <v>1574.6655060651926</v>
      </c>
      <c r="Q52" s="17">
        <f>'07_E_manual'!Q52/100*'04_L0'!Q52</f>
        <v>292.73654785562775</v>
      </c>
      <c r="R52" s="17">
        <f>'07_E_manual'!R52/100*'04_L0'!R52</f>
        <v>30.565221594454883</v>
      </c>
      <c r="S52" s="17">
        <f>'07_E_manual'!S52/100*'04_L0'!S52</f>
        <v>23.752478685711885</v>
      </c>
      <c r="T52" s="17">
        <f>'07_E_manual'!T52/100*'04_L0'!T52</f>
        <v>12.993277819146344</v>
      </c>
      <c r="U52" s="17">
        <f>'07_E_manual'!U52/100*'04_L0'!U52</f>
        <v>14.464663348164986</v>
      </c>
      <c r="V52" s="17">
        <f>'07_E_manual'!V52/100*'04_L0'!V52</f>
        <v>8.6840780774250081</v>
      </c>
      <c r="W52" s="17">
        <f>'07_E_manual'!W52/100*'04_L0'!W52</f>
        <v>21.74499489420608</v>
      </c>
      <c r="X52" s="17">
        <f>'07_E_manual'!X52/100*'04_L0'!X52</f>
        <v>59.019531872820885</v>
      </c>
      <c r="Y52" s="17">
        <f>'07_E_manual'!Y52/100*'04_L0'!Y52</f>
        <v>0.70527589371037658</v>
      </c>
      <c r="Z52" s="17">
        <f>'07_E_manual'!Z52/100*'04_L0'!Z52</f>
        <v>6.9187250581299233</v>
      </c>
      <c r="AA52" s="17">
        <f>'07_E_manual'!AA52/100*'04_L0'!AA52</f>
        <v>7.8028072872749492</v>
      </c>
      <c r="AB52" s="17">
        <f>'07_E_manual'!AB52/100*'04_L0'!AB52</f>
        <v>92.913971822306692</v>
      </c>
      <c r="AC52" s="17">
        <f>'07_E_manual'!AC52/100*'04_L0'!AC52</f>
        <v>6.789474748924655</v>
      </c>
      <c r="AD52" s="17">
        <f>'07_E_manual'!AD52/100*'04_L0'!AD52</f>
        <v>1.776013655931733</v>
      </c>
      <c r="AE52" s="17">
        <f>'07_E_manual'!AE52/100*'04_L0'!AE52</f>
        <v>0.78675049688608456</v>
      </c>
      <c r="AF52" s="17">
        <f>'07_E_manual'!AF52/100*'04_L0'!AF52</f>
        <v>3.9447688292794902</v>
      </c>
      <c r="AG52" s="17">
        <f>'07_E_manual'!AG52/100*'04_L0'!AG52</f>
        <v>1.5171952336210224</v>
      </c>
      <c r="AH52" s="17">
        <f>'07_E_manual'!AH52/100*'04_L0'!AH52</f>
        <v>0.49471971735477427</v>
      </c>
      <c r="AI52" s="17">
        <f>'07_E_manual'!AI52/100*'04_L0'!AI52</f>
        <v>1.2124952035077126</v>
      </c>
    </row>
    <row r="53" spans="1:35" x14ac:dyDescent="0.2">
      <c r="A53" s="12" t="s">
        <v>1417</v>
      </c>
      <c r="B53" s="17">
        <f>'07_E_manual'!B53/100*'04_L0'!B53</f>
        <v>105.73902169727621</v>
      </c>
      <c r="C53" s="17">
        <f>'07_E_manual'!C53/100*'04_L0'!C53</f>
        <v>281.60425654352372</v>
      </c>
      <c r="D53" s="17">
        <f>'07_E_manual'!D53/100*'04_L0'!D53</f>
        <v>69.652688145416306</v>
      </c>
      <c r="E53" s="17">
        <f>'07_E_manual'!E53/100*'04_L0'!E53</f>
        <v>79.727214906212822</v>
      </c>
      <c r="F53" s="17">
        <f>'07_E_manual'!F53/100*'04_L0'!F53</f>
        <v>38.487343495055008</v>
      </c>
      <c r="G53" s="17">
        <f>'07_E_manual'!G53/100*'04_L0'!G53</f>
        <v>95.5883886643268</v>
      </c>
      <c r="H53" s="17">
        <f>'07_E_manual'!H53/100*'04_L0'!H53</f>
        <v>21.484822835253222</v>
      </c>
      <c r="I53" s="17">
        <f>'07_E_manual'!I53/100*'04_L0'!I53</f>
        <v>93.358166676948457</v>
      </c>
      <c r="J53" s="17">
        <f>'07_E_manual'!J53/100*'04_L0'!J53</f>
        <v>9.2685984971374751</v>
      </c>
      <c r="K53" s="17">
        <f>'07_E_manual'!K53/100*'04_L0'!K53</f>
        <v>14.558351846441351</v>
      </c>
      <c r="L53" s="17">
        <f>'07_E_manual'!L53/100*'04_L0'!L53</f>
        <v>278.98198288413801</v>
      </c>
      <c r="M53" s="17">
        <f>'07_E_manual'!M53/100*'04_L0'!M53</f>
        <v>1292.3963159385839</v>
      </c>
      <c r="N53" s="17">
        <f>'07_E_manual'!N53/100*'04_L0'!N53</f>
        <v>680.39997808962107</v>
      </c>
      <c r="O53" s="17">
        <f>'07_E_manual'!O53/100*'04_L0'!O53</f>
        <v>23.070076819675435</v>
      </c>
      <c r="P53" s="17">
        <f>'07_E_manual'!P53/100*'04_L0'!P53</f>
        <v>904.16044815860664</v>
      </c>
      <c r="Q53" s="17">
        <f>'07_E_manual'!Q53/100*'04_L0'!Q53</f>
        <v>65.149744954880347</v>
      </c>
      <c r="R53" s="17">
        <f>'07_E_manual'!R53/100*'04_L0'!R53</f>
        <v>56.231281637030726</v>
      </c>
      <c r="S53" s="17">
        <f>'07_E_manual'!S53/100*'04_L0'!S53</f>
        <v>55.240703921016951</v>
      </c>
      <c r="T53" s="17">
        <f>'07_E_manual'!T53/100*'04_L0'!T53</f>
        <v>109.07555371937521</v>
      </c>
      <c r="U53" s="17">
        <f>'07_E_manual'!U53/100*'04_L0'!U53</f>
        <v>56.248382470517576</v>
      </c>
      <c r="V53" s="17">
        <f>'07_E_manual'!V53/100*'04_L0'!V53</f>
        <v>34.109338027696111</v>
      </c>
      <c r="W53" s="17">
        <f>'07_E_manual'!W53/100*'04_L0'!W53</f>
        <v>52.471374741504313</v>
      </c>
      <c r="X53" s="17">
        <f>'07_E_manual'!X53/100*'04_L0'!X53</f>
        <v>60.307073463881295</v>
      </c>
      <c r="Y53" s="17">
        <f>'07_E_manual'!Y53/100*'04_L0'!Y53</f>
        <v>4.816544937199307</v>
      </c>
      <c r="Z53" s="17">
        <f>'07_E_manual'!Z53/100*'04_L0'!Z53</f>
        <v>47.765864147803491</v>
      </c>
      <c r="AA53" s="17">
        <f>'07_E_manual'!AA53/100*'04_L0'!AA53</f>
        <v>54.62593134178244</v>
      </c>
      <c r="AB53" s="17">
        <f>'07_E_manual'!AB53/100*'04_L0'!AB53</f>
        <v>240.32159180533304</v>
      </c>
      <c r="AC53" s="17">
        <f>'07_E_manual'!AC53/100*'04_L0'!AC53</f>
        <v>53.470258806454915</v>
      </c>
      <c r="AD53" s="17">
        <f>'07_E_manual'!AD53/100*'04_L0'!AD53</f>
        <v>9.3721525919608268</v>
      </c>
      <c r="AE53" s="17">
        <f>'07_E_manual'!AE53/100*'04_L0'!AE53</f>
        <v>7.2932847527033955</v>
      </c>
      <c r="AF53" s="17">
        <f>'07_E_manual'!AF53/100*'04_L0'!AF53</f>
        <v>20.906120414797282</v>
      </c>
      <c r="AG53" s="17">
        <f>'07_E_manual'!AG53/100*'04_L0'!AG53</f>
        <v>15.68430066133223</v>
      </c>
      <c r="AH53" s="17">
        <f>'07_E_manual'!AH53/100*'04_L0'!AH53</f>
        <v>7.1618648264358074</v>
      </c>
      <c r="AI53" s="17">
        <f>'07_E_manual'!AI53/100*'04_L0'!AI53</f>
        <v>19.562578163041575</v>
      </c>
    </row>
    <row r="54" spans="1:35" x14ac:dyDescent="0.2">
      <c r="A54" s="12" t="s">
        <v>1418</v>
      </c>
      <c r="B54" s="17">
        <f>'07_E_manual'!B54/100*'04_L0'!B54</f>
        <v>105.96870990879437</v>
      </c>
      <c r="C54" s="17">
        <f>'07_E_manual'!C54/100*'04_L0'!C54</f>
        <v>492.47388227859756</v>
      </c>
      <c r="D54" s="17">
        <f>'07_E_manual'!D54/100*'04_L0'!D54</f>
        <v>137.69761764939651</v>
      </c>
      <c r="E54" s="17">
        <f>'07_E_manual'!E54/100*'04_L0'!E54</f>
        <v>120.0713272517882</v>
      </c>
      <c r="F54" s="17">
        <f>'07_E_manual'!F54/100*'04_L0'!F54</f>
        <v>28.324965879151904</v>
      </c>
      <c r="G54" s="17">
        <f>'07_E_manual'!G54/100*'04_L0'!G54</f>
        <v>149.70494927304867</v>
      </c>
      <c r="H54" s="17">
        <f>'07_E_manual'!H54/100*'04_L0'!H54</f>
        <v>15.15404254162114</v>
      </c>
      <c r="I54" s="17">
        <f>'07_E_manual'!I54/100*'04_L0'!I54</f>
        <v>140.99973185720407</v>
      </c>
      <c r="J54" s="17">
        <f>'07_E_manual'!J54/100*'04_L0'!J54</f>
        <v>4.1334683208977783</v>
      </c>
      <c r="K54" s="17">
        <f>'07_E_manual'!K54/100*'04_L0'!K54</f>
        <v>16.119435279913827</v>
      </c>
      <c r="L54" s="17">
        <f>'07_E_manual'!L54/100*'04_L0'!L54</f>
        <v>235.92541633270196</v>
      </c>
      <c r="M54" s="17">
        <f>'07_E_manual'!M54/100*'04_L0'!M54</f>
        <v>4211.8391688669799</v>
      </c>
      <c r="N54" s="17">
        <f>'07_E_manual'!N54/100*'04_L0'!N54</f>
        <v>2052.5815399487251</v>
      </c>
      <c r="O54" s="17">
        <f>'07_E_manual'!O54/100*'04_L0'!O54</f>
        <v>57.531178933600977</v>
      </c>
      <c r="P54" s="17">
        <f>'07_E_manual'!P54/100*'04_L0'!P54</f>
        <v>4236.3271959201347</v>
      </c>
      <c r="Q54" s="17">
        <f>'07_E_manual'!Q54/100*'04_L0'!Q54</f>
        <v>309.50666067417558</v>
      </c>
      <c r="R54" s="17">
        <f>'07_E_manual'!R54/100*'04_L0'!R54</f>
        <v>44.469382756828075</v>
      </c>
      <c r="S54" s="17">
        <f>'07_E_manual'!S54/100*'04_L0'!S54</f>
        <v>103.80532805759732</v>
      </c>
      <c r="T54" s="17">
        <f>'07_E_manual'!T54/100*'04_L0'!T54</f>
        <v>136.24525771975516</v>
      </c>
      <c r="U54" s="17">
        <f>'07_E_manual'!U54/100*'04_L0'!U54</f>
        <v>59.251754591251924</v>
      </c>
      <c r="V54" s="17">
        <f>'07_E_manual'!V54/100*'04_L0'!V54</f>
        <v>20.20709418015354</v>
      </c>
      <c r="W54" s="17">
        <f>'07_E_manual'!W54/100*'04_L0'!W54</f>
        <v>56.592030828889335</v>
      </c>
      <c r="X54" s="17">
        <f>'07_E_manual'!X54/100*'04_L0'!X54</f>
        <v>46.246278453635064</v>
      </c>
      <c r="Y54" s="17">
        <f>'07_E_manual'!Y54/100*'04_L0'!Y54</f>
        <v>1.5281686127386127</v>
      </c>
      <c r="Z54" s="17">
        <f>'07_E_manual'!Z54/100*'04_L0'!Z54</f>
        <v>16.386287683680187</v>
      </c>
      <c r="AA54" s="17">
        <f>'07_E_manual'!AA54/100*'04_L0'!AA54</f>
        <v>23.262151831216865</v>
      </c>
      <c r="AB54" s="17">
        <f>'07_E_manual'!AB54/100*'04_L0'!AB54</f>
        <v>255.20782508829342</v>
      </c>
      <c r="AC54" s="17">
        <f>'07_E_manual'!AC54/100*'04_L0'!AC54</f>
        <v>24.079273638307466</v>
      </c>
      <c r="AD54" s="17">
        <f>'07_E_manual'!AD54/100*'04_L0'!AD54</f>
        <v>3.7525218604132049</v>
      </c>
      <c r="AE54" s="17">
        <f>'07_E_manual'!AE54/100*'04_L0'!AE54</f>
        <v>7.7349928467857794</v>
      </c>
      <c r="AF54" s="17">
        <f>'07_E_manual'!AF54/100*'04_L0'!AF54</f>
        <v>15.261335409169453</v>
      </c>
      <c r="AG54" s="17">
        <f>'07_E_manual'!AG54/100*'04_L0'!AG54</f>
        <v>5.8890582154927564</v>
      </c>
      <c r="AH54" s="17">
        <f>'07_E_manual'!AH54/100*'04_L0'!AH54</f>
        <v>0.6392799206585853</v>
      </c>
      <c r="AI54" s="17">
        <f>'07_E_manual'!AI54/100*'04_L0'!AI54</f>
        <v>1.502237298073118</v>
      </c>
    </row>
    <row r="55" spans="1:35" x14ac:dyDescent="0.2">
      <c r="A55" s="12" t="s">
        <v>1419</v>
      </c>
      <c r="B55" s="17">
        <f>'07_E_manual'!B55/100*'04_L0'!B55</f>
        <v>38.75077884153724</v>
      </c>
      <c r="C55" s="17">
        <f>'07_E_manual'!C55/100*'04_L0'!C55</f>
        <v>166.02346425867034</v>
      </c>
      <c r="D55" s="17">
        <f>'07_E_manual'!D55/100*'04_L0'!D55</f>
        <v>31.648454652740401</v>
      </c>
      <c r="E55" s="17">
        <f>'07_E_manual'!E55/100*'04_L0'!E55</f>
        <v>26.329526170341904</v>
      </c>
      <c r="F55" s="17">
        <f>'07_E_manual'!F55/100*'04_L0'!F55</f>
        <v>7.1906528123233722</v>
      </c>
      <c r="G55" s="17">
        <f>'07_E_manual'!G55/100*'04_L0'!G55</f>
        <v>42.08044010226137</v>
      </c>
      <c r="H55" s="17">
        <f>'07_E_manual'!H55/100*'04_L0'!H55</f>
        <v>4.7815774812793652</v>
      </c>
      <c r="I55" s="17">
        <f>'07_E_manual'!I55/100*'04_L0'!I55</f>
        <v>31.861602846098801</v>
      </c>
      <c r="J55" s="17">
        <f>'07_E_manual'!J55/100*'04_L0'!J55</f>
        <v>1.8339753800835819</v>
      </c>
      <c r="K55" s="17">
        <f>'07_E_manual'!K55/100*'04_L0'!K55</f>
        <v>3.9227984435298158</v>
      </c>
      <c r="L55" s="17">
        <f>'07_E_manual'!L55/100*'04_L0'!L55</f>
        <v>160.94921971096869</v>
      </c>
      <c r="M55" s="17">
        <f>'07_E_manual'!M55/100*'04_L0'!M55</f>
        <v>1419.2885572672924</v>
      </c>
      <c r="N55" s="17">
        <f>'07_E_manual'!N55/100*'04_L0'!N55</f>
        <v>608.93600161019094</v>
      </c>
      <c r="O55" s="17">
        <f>'07_E_manual'!O55/100*'04_L0'!O55</f>
        <v>13.387601621864821</v>
      </c>
      <c r="P55" s="17">
        <f>'07_E_manual'!P55/100*'04_L0'!P55</f>
        <v>1051.4072067104744</v>
      </c>
      <c r="Q55" s="17">
        <f>'07_E_manual'!Q55/100*'04_L0'!Q55</f>
        <v>59.96770320562689</v>
      </c>
      <c r="R55" s="17">
        <f>'07_E_manual'!R55/100*'04_L0'!R55</f>
        <v>24.460269317225109</v>
      </c>
      <c r="S55" s="17">
        <f>'07_E_manual'!S55/100*'04_L0'!S55</f>
        <v>33.570962562198069</v>
      </c>
      <c r="T55" s="17">
        <f>'07_E_manual'!T55/100*'04_L0'!T55</f>
        <v>41.730284050679202</v>
      </c>
      <c r="U55" s="17">
        <f>'07_E_manual'!U55/100*'04_L0'!U55</f>
        <v>20.868185580577837</v>
      </c>
      <c r="V55" s="17">
        <f>'07_E_manual'!V55/100*'04_L0'!V55</f>
        <v>5.1906689292161952</v>
      </c>
      <c r="W55" s="17">
        <f>'07_E_manual'!W55/100*'04_L0'!W55</f>
        <v>14.428945232393117</v>
      </c>
      <c r="X55" s="17">
        <f>'07_E_manual'!X55/100*'04_L0'!X55</f>
        <v>16.013456168319671</v>
      </c>
      <c r="Y55" s="17">
        <f>'07_E_manual'!Y55/100*'04_L0'!Y55</f>
        <v>1.1551338184834776</v>
      </c>
      <c r="Z55" s="17">
        <f>'07_E_manual'!Z55/100*'04_L0'!Z55</f>
        <v>9.8869585431229829</v>
      </c>
      <c r="AA55" s="17">
        <f>'07_E_manual'!AA55/100*'04_L0'!AA55</f>
        <v>8.6986667051132169</v>
      </c>
      <c r="AB55" s="17">
        <f>'07_E_manual'!AB55/100*'04_L0'!AB55</f>
        <v>120.58524039515926</v>
      </c>
      <c r="AC55" s="17">
        <f>'07_E_manual'!AC55/100*'04_L0'!AC55</f>
        <v>15.921828946406141</v>
      </c>
      <c r="AD55" s="17">
        <f>'07_E_manual'!AD55/100*'04_L0'!AD55</f>
        <v>0.75872296168863862</v>
      </c>
      <c r="AE55" s="17">
        <f>'07_E_manual'!AE55/100*'04_L0'!AE55</f>
        <v>2.1706223979997858</v>
      </c>
      <c r="AF55" s="17">
        <f>'07_E_manual'!AF55/100*'04_L0'!AF55</f>
        <v>3.9026398130799858</v>
      </c>
      <c r="AG55" s="17">
        <f>'07_E_manual'!AG55/100*'04_L0'!AG55</f>
        <v>2.8533245161651513</v>
      </c>
      <c r="AH55" s="17">
        <f>'07_E_manual'!AH55/100*'04_L0'!AH55</f>
        <v>0.49986195801556221</v>
      </c>
      <c r="AI55" s="17">
        <f>'07_E_manual'!AI55/100*'04_L0'!AI55</f>
        <v>1.3991488344540894</v>
      </c>
    </row>
    <row r="56" spans="1:35" x14ac:dyDescent="0.2">
      <c r="A56" s="12" t="s">
        <v>1420</v>
      </c>
      <c r="B56" s="17">
        <f>'07_E_manual'!B56/100*'04_L0'!B56</f>
        <v>0.12000676117281417</v>
      </c>
      <c r="C56" s="17">
        <f>'07_E_manual'!C56/100*'04_L0'!C56</f>
        <v>2.1641301836568663E-2</v>
      </c>
      <c r="D56" s="17">
        <f>'07_E_manual'!D56/100*'04_L0'!D56</f>
        <v>9.9088587585842963E-2</v>
      </c>
      <c r="E56" s="17">
        <f>'07_E_manual'!E56/100*'04_L0'!E56</f>
        <v>5.7810225185811359E-2</v>
      </c>
      <c r="F56" s="17">
        <f>'07_E_manual'!F56/100*'04_L0'!F56</f>
        <v>5.4069475244122124E-2</v>
      </c>
      <c r="G56" s="17">
        <f>'07_E_manual'!G56/100*'04_L0'!G56</f>
        <v>0</v>
      </c>
      <c r="H56" s="17">
        <f>'07_E_manual'!H56/100*'04_L0'!H56</f>
        <v>0</v>
      </c>
      <c r="I56" s="17">
        <f>'07_E_manual'!I56/100*'04_L0'!I56</f>
        <v>0.68703689363830245</v>
      </c>
      <c r="J56" s="17">
        <f>'07_E_manual'!J56/100*'04_L0'!J56</f>
        <v>0.17175922340957561</v>
      </c>
      <c r="K56" s="17">
        <f>'07_E_manual'!K56/100*'04_L0'!K56</f>
        <v>0</v>
      </c>
      <c r="L56" s="17">
        <f>'07_E_manual'!L56/100*'04_L0'!L56</f>
        <v>0</v>
      </c>
      <c r="M56" s="17">
        <f>'07_E_manual'!M56/100*'04_L0'!M56</f>
        <v>9.2240137692596508E-2</v>
      </c>
      <c r="N56" s="17">
        <f>'07_E_manual'!N56/100*'04_L0'!N56</f>
        <v>14.811590723464908</v>
      </c>
      <c r="O56" s="17">
        <f>'07_E_manual'!O56/100*'04_L0'!O56</f>
        <v>4.4862000844169874</v>
      </c>
      <c r="P56" s="17">
        <f>'07_E_manual'!P56/100*'04_L0'!P56</f>
        <v>16.308691395780293</v>
      </c>
      <c r="Q56" s="17">
        <f>'07_E_manual'!Q56/100*'04_L0'!Q56</f>
        <v>0</v>
      </c>
      <c r="R56" s="17">
        <f>'07_E_manual'!R56/100*'04_L0'!R56</f>
        <v>0.59832231893422771</v>
      </c>
      <c r="S56" s="17">
        <f>'07_E_manual'!S56/100*'04_L0'!S56</f>
        <v>0.25144095042836723</v>
      </c>
      <c r="T56" s="17">
        <f>'07_E_manual'!T56/100*'04_L0'!T56</f>
        <v>0</v>
      </c>
      <c r="U56" s="17">
        <f>'07_E_manual'!U56/100*'04_L0'!U56</f>
        <v>0</v>
      </c>
      <c r="V56" s="17">
        <f>'07_E_manual'!V56/100*'04_L0'!V56</f>
        <v>0</v>
      </c>
      <c r="W56" s="17">
        <f>'07_E_manual'!W56/100*'04_L0'!W56</f>
        <v>0.52029202667230223</v>
      </c>
      <c r="X56" s="17">
        <f>'07_E_manual'!X56/100*'04_L0'!X56</f>
        <v>6.3257457709595608E-2</v>
      </c>
      <c r="Y56" s="17">
        <f>'07_E_manual'!Y56/100*'04_L0'!Y56</f>
        <v>5.7650086057872817E-3</v>
      </c>
      <c r="Z56" s="17">
        <f>'07_E_manual'!Z56/100*'04_L0'!Z56</f>
        <v>0</v>
      </c>
      <c r="AA56" s="17">
        <f>'07_E_manual'!AA56/100*'04_L0'!AA56</f>
        <v>7.8390605299787225E-2</v>
      </c>
      <c r="AB56" s="17">
        <f>'07_E_manual'!AB56/100*'04_L0'!AB56</f>
        <v>0.49549298140669551</v>
      </c>
      <c r="AC56" s="17">
        <f>'07_E_manual'!AC56/100*'04_L0'!AC56</f>
        <v>5.8573388217393441E-2</v>
      </c>
      <c r="AD56" s="17">
        <f>'07_E_manual'!AD56/100*'04_L0'!AD56</f>
        <v>1.6824617129042395E-2</v>
      </c>
      <c r="AE56" s="17">
        <f>'07_E_manual'!AE56/100*'04_L0'!AE56</f>
        <v>0</v>
      </c>
      <c r="AF56" s="17">
        <f>'07_E_manual'!AF56/100*'04_L0'!AF56</f>
        <v>0</v>
      </c>
      <c r="AG56" s="17">
        <f>'07_E_manual'!AG56/100*'04_L0'!AG56</f>
        <v>2.4045890929520744E-3</v>
      </c>
      <c r="AH56" s="17">
        <f>'07_E_manual'!AH56/100*'04_L0'!AH56</f>
        <v>0</v>
      </c>
      <c r="AI56" s="17">
        <f>'07_E_manual'!AI56/100*'04_L0'!AI56</f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56"/>
  <sheetViews>
    <sheetView workbookViewId="0">
      <pane xSplit="1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0" customWidth="1"/>
    <col min="2" max="35" width="11" customWidth="1"/>
  </cols>
  <sheetData>
    <row r="1" spans="1:35" ht="17" x14ac:dyDescent="0.2">
      <c r="A1" s="1" t="s">
        <v>1471</v>
      </c>
    </row>
    <row r="2" spans="1:35" x14ac:dyDescent="0.2">
      <c r="A2" s="2" t="s">
        <v>1472</v>
      </c>
    </row>
    <row r="4" spans="1:35" ht="30" customHeight="1" x14ac:dyDescent="0.2">
      <c r="A4" s="5" t="s">
        <v>1334</v>
      </c>
      <c r="B4" s="5" t="s">
        <v>1335</v>
      </c>
      <c r="C4" s="5" t="s">
        <v>1336</v>
      </c>
      <c r="D4" s="5" t="s">
        <v>1337</v>
      </c>
      <c r="E4" s="5" t="s">
        <v>1338</v>
      </c>
      <c r="F4" s="5" t="s">
        <v>1339</v>
      </c>
      <c r="G4" s="5" t="s">
        <v>1340</v>
      </c>
      <c r="H4" s="5" t="s">
        <v>1341</v>
      </c>
      <c r="I4" s="5" t="s">
        <v>1342</v>
      </c>
      <c r="J4" s="5" t="s">
        <v>1343</v>
      </c>
      <c r="K4" s="5" t="s">
        <v>1344</v>
      </c>
      <c r="L4" s="5" t="s">
        <v>1345</v>
      </c>
      <c r="M4" s="5" t="s">
        <v>1346</v>
      </c>
      <c r="N4" s="5" t="s">
        <v>1347</v>
      </c>
      <c r="O4" s="5" t="s">
        <v>1348</v>
      </c>
      <c r="P4" s="5" t="s">
        <v>1349</v>
      </c>
      <c r="Q4" s="5" t="s">
        <v>1350</v>
      </c>
      <c r="R4" s="5" t="s">
        <v>1351</v>
      </c>
      <c r="S4" s="5" t="s">
        <v>1352</v>
      </c>
      <c r="T4" s="5" t="s">
        <v>1353</v>
      </c>
      <c r="U4" s="5" t="s">
        <v>1354</v>
      </c>
      <c r="V4" s="5" t="s">
        <v>1355</v>
      </c>
      <c r="W4" s="5" t="s">
        <v>1356</v>
      </c>
      <c r="X4" s="5" t="s">
        <v>1357</v>
      </c>
      <c r="Y4" s="5" t="s">
        <v>1358</v>
      </c>
      <c r="Z4" s="5" t="s">
        <v>1359</v>
      </c>
      <c r="AA4" s="5" t="s">
        <v>1360</v>
      </c>
      <c r="AB4" s="5" t="s">
        <v>1361</v>
      </c>
      <c r="AC4" s="5" t="s">
        <v>1362</v>
      </c>
      <c r="AD4" s="5" t="s">
        <v>1363</v>
      </c>
      <c r="AE4" s="5" t="s">
        <v>1364</v>
      </c>
      <c r="AF4" s="5" t="s">
        <v>1365</v>
      </c>
      <c r="AG4" s="5" t="s">
        <v>1366</v>
      </c>
      <c r="AH4" s="5" t="s">
        <v>1367</v>
      </c>
      <c r="AI4" s="5" t="s">
        <v>1368</v>
      </c>
    </row>
    <row r="5" spans="1:35" x14ac:dyDescent="0.2">
      <c r="A5" s="12" t="s">
        <v>1369</v>
      </c>
      <c r="B5" s="8">
        <v>7.733170571767585E-2</v>
      </c>
      <c r="C5" s="8">
        <v>0.19020446715938061</v>
      </c>
      <c r="D5" s="8">
        <v>9.3132278951356035E-2</v>
      </c>
      <c r="E5" s="8">
        <v>1.067411597687515E-2</v>
      </c>
      <c r="F5" s="8">
        <v>1.9616068527878741E-2</v>
      </c>
      <c r="G5" s="8">
        <v>8.311555029875746E-2</v>
      </c>
      <c r="H5" s="8">
        <v>1.6201507261123571E-2</v>
      </c>
      <c r="I5" s="8">
        <v>0.1615388882032662</v>
      </c>
      <c r="J5" s="8">
        <v>3.7001113773917809E-3</v>
      </c>
      <c r="K5" s="8">
        <v>1.931827768867653E-3</v>
      </c>
      <c r="L5" s="8">
        <v>2.412025530465275E-4</v>
      </c>
      <c r="M5" s="8">
        <v>0.50914206796320427</v>
      </c>
      <c r="N5" s="8">
        <v>0.58150744923383491</v>
      </c>
      <c r="O5" s="8">
        <v>3.5079118721438901E-2</v>
      </c>
      <c r="P5" s="8">
        <v>0.65897239829196241</v>
      </c>
      <c r="Q5" s="8">
        <v>0.1127639995583842</v>
      </c>
      <c r="R5" s="8">
        <v>2.859052924326963E-2</v>
      </c>
      <c r="S5" s="8">
        <v>9.6414198880703808E-2</v>
      </c>
      <c r="T5" s="8">
        <v>0.15244944490643139</v>
      </c>
      <c r="U5" s="8">
        <v>7.4109384089704827E-2</v>
      </c>
      <c r="V5" s="8">
        <v>1.8645438952931949E-2</v>
      </c>
      <c r="W5" s="8">
        <v>5.3425964164443063E-2</v>
      </c>
      <c r="X5" s="8">
        <v>1.9701151624793668E-2</v>
      </c>
      <c r="Y5" s="8">
        <v>8.5558679319840212E-3</v>
      </c>
      <c r="Z5" s="8">
        <v>1.8673131092965568E-2</v>
      </c>
      <c r="AA5" s="8">
        <v>4.4265885843754287E-2</v>
      </c>
      <c r="AB5" s="8">
        <v>0.1757559927629945</v>
      </c>
      <c r="AC5" s="8">
        <v>3.1201215778323979E-2</v>
      </c>
      <c r="AD5" s="8">
        <v>2.5445866008001639E-2</v>
      </c>
      <c r="AE5" s="8">
        <v>2.058790210891397E-2</v>
      </c>
      <c r="AF5" s="8">
        <v>2.930851820732994E-2</v>
      </c>
      <c r="AG5" s="8">
        <v>9.7343892248644356E-3</v>
      </c>
      <c r="AH5" s="8">
        <v>1.8089790143126758E-2</v>
      </c>
      <c r="AI5" s="8">
        <v>1.275764851288356E-2</v>
      </c>
    </row>
    <row r="6" spans="1:35" x14ac:dyDescent="0.2">
      <c r="A6" s="12" t="s">
        <v>1370</v>
      </c>
      <c r="B6" s="8">
        <v>3.9091274612104307E-2</v>
      </c>
      <c r="C6" s="8">
        <v>0.18983408589891471</v>
      </c>
      <c r="D6" s="8">
        <v>7.7281713082678838E-2</v>
      </c>
      <c r="E6" s="8">
        <v>5.2983872650790548E-2</v>
      </c>
      <c r="F6" s="8">
        <v>9.88573236308498E-2</v>
      </c>
      <c r="G6" s="8">
        <v>0.29981130411984619</v>
      </c>
      <c r="H6" s="8">
        <v>3.7675006437090729E-2</v>
      </c>
      <c r="I6" s="8">
        <v>0.12741165661421849</v>
      </c>
      <c r="J6" s="8">
        <v>1.6344744210954242E-2</v>
      </c>
      <c r="K6" s="8">
        <v>4.8411168229222099E-3</v>
      </c>
      <c r="L6" s="8">
        <v>8.356550478012514E-6</v>
      </c>
      <c r="M6" s="8">
        <v>0.11352072988562791</v>
      </c>
      <c r="N6" s="8">
        <v>0.1738112360123735</v>
      </c>
      <c r="O6" s="8">
        <v>1.9110093895138139E-2</v>
      </c>
      <c r="P6" s="8">
        <v>0.16671084220221591</v>
      </c>
      <c r="Q6" s="8">
        <v>2.0610930360989189E-2</v>
      </c>
      <c r="R6" s="8">
        <v>3.4571717851576013E-2</v>
      </c>
      <c r="S6" s="8">
        <v>1.9683687519948909E-2</v>
      </c>
      <c r="T6" s="8">
        <v>9.5359605862772881E-2</v>
      </c>
      <c r="U6" s="8">
        <v>0.1216807342963976</v>
      </c>
      <c r="V6" s="8">
        <v>3.4417957322780593E-2</v>
      </c>
      <c r="W6" s="8">
        <v>6.5523043774057876E-2</v>
      </c>
      <c r="X6" s="8">
        <v>1.530251523533652E-2</v>
      </c>
      <c r="Y6" s="8">
        <v>1.0903627063710731E-3</v>
      </c>
      <c r="Z6" s="8">
        <v>4.6989551861902623E-2</v>
      </c>
      <c r="AA6" s="8">
        <v>5.4365711837834702E-2</v>
      </c>
      <c r="AB6" s="8">
        <v>8.8850521564439414E-2</v>
      </c>
      <c r="AC6" s="8">
        <v>5.0973286605780758E-2</v>
      </c>
      <c r="AD6" s="8">
        <v>6.3864101373162854E-3</v>
      </c>
      <c r="AE6" s="8">
        <v>7.0743213726662726E-3</v>
      </c>
      <c r="AF6" s="8">
        <v>2.323020754281744E-2</v>
      </c>
      <c r="AG6" s="8">
        <v>2.610552943129197E-2</v>
      </c>
      <c r="AH6" s="8">
        <v>2.5584414943483121E-3</v>
      </c>
      <c r="AI6" s="8">
        <v>5.9471898441919458E-3</v>
      </c>
    </row>
    <row r="7" spans="1:35" x14ac:dyDescent="0.2">
      <c r="A7" s="12" t="s">
        <v>1371</v>
      </c>
      <c r="B7" s="8">
        <v>0.44328580845546589</v>
      </c>
      <c r="C7" s="8">
        <v>1.029054737122777</v>
      </c>
      <c r="D7" s="8">
        <v>0.2395957436917999</v>
      </c>
      <c r="E7" s="8">
        <v>1.1420108256363339</v>
      </c>
      <c r="F7" s="8">
        <v>0.51949274895725117</v>
      </c>
      <c r="G7" s="8">
        <v>0.87429149298108622</v>
      </c>
      <c r="H7" s="8">
        <v>0.38207044324723649</v>
      </c>
      <c r="I7" s="8">
        <v>0.52454654624540742</v>
      </c>
      <c r="J7" s="8">
        <v>0.1232377099889916</v>
      </c>
      <c r="K7" s="8">
        <v>7.9547134210702988E-3</v>
      </c>
      <c r="L7" s="8">
        <v>4.7815293975981823E-3</v>
      </c>
      <c r="M7" s="8">
        <v>0.19998216905822019</v>
      </c>
      <c r="N7" s="8">
        <v>0.72350420210719513</v>
      </c>
      <c r="O7" s="8">
        <v>1.0751774791605429E-2</v>
      </c>
      <c r="P7" s="8">
        <v>1.7446856254875229</v>
      </c>
      <c r="Q7" s="8">
        <v>3.8183466486778332E-2</v>
      </c>
      <c r="R7" s="8">
        <v>5.7525714258336372E-2</v>
      </c>
      <c r="S7" s="8">
        <v>0.31765522860357281</v>
      </c>
      <c r="T7" s="8">
        <v>0.2362751981811696</v>
      </c>
      <c r="U7" s="8">
        <v>0.71073427666289068</v>
      </c>
      <c r="V7" s="8">
        <v>0.3254246875836444</v>
      </c>
      <c r="W7" s="8">
        <v>0.106313594049562</v>
      </c>
      <c r="X7" s="8">
        <v>0.20806038543995631</v>
      </c>
      <c r="Y7" s="8">
        <v>3.7201056572390707E-2</v>
      </c>
      <c r="Z7" s="8">
        <v>9.5585677784448819E-2</v>
      </c>
      <c r="AA7" s="8">
        <v>0.27114794325646152</v>
      </c>
      <c r="AB7" s="8">
        <v>0.18464955718009851</v>
      </c>
      <c r="AC7" s="8">
        <v>9.1671475996981472E-2</v>
      </c>
      <c r="AD7" s="8">
        <v>2.645489555172462E-2</v>
      </c>
      <c r="AE7" s="8">
        <v>0.23351743320721</v>
      </c>
      <c r="AF7" s="8">
        <v>5.6882937485779911E-2</v>
      </c>
      <c r="AG7" s="8">
        <v>0.17940910200820781</v>
      </c>
      <c r="AH7" s="8">
        <v>7.8550689868966943E-3</v>
      </c>
      <c r="AI7" s="8">
        <v>8.6255590483235861E-3</v>
      </c>
    </row>
    <row r="8" spans="1:35" x14ac:dyDescent="0.2">
      <c r="A8" s="12" t="s">
        <v>1372</v>
      </c>
      <c r="B8" s="8">
        <v>9.6589914880971378E-3</v>
      </c>
      <c r="C8" s="8">
        <v>5.0756721506394979E-2</v>
      </c>
      <c r="D8" s="8">
        <v>1.846034606524638E-2</v>
      </c>
      <c r="E8" s="8">
        <v>8.8371214976506601E-3</v>
      </c>
      <c r="F8" s="8">
        <v>3.1559499960710801E-3</v>
      </c>
      <c r="G8" s="8">
        <v>1.196230425027966E-2</v>
      </c>
      <c r="H8" s="8">
        <v>3.9908960649804532E-3</v>
      </c>
      <c r="I8" s="8">
        <v>0.10430441658352931</v>
      </c>
      <c r="J8" s="8">
        <v>1.3141458855197271E-3</v>
      </c>
      <c r="K8" s="8">
        <v>1.0345485607398501E-3</v>
      </c>
      <c r="L8" s="8">
        <v>1.829497213174523E-3</v>
      </c>
      <c r="M8" s="8">
        <v>0.1814025135628588</v>
      </c>
      <c r="N8" s="8">
        <v>0.4198501886011301</v>
      </c>
      <c r="O8" s="8">
        <v>6.5109255981580974E-2</v>
      </c>
      <c r="P8" s="8">
        <v>0.75296597957687217</v>
      </c>
      <c r="Q8" s="8">
        <v>1.9123764751966182E-2</v>
      </c>
      <c r="R8" s="8">
        <v>6.7094127774138021E-2</v>
      </c>
      <c r="S8" s="8">
        <v>0.1080253300873055</v>
      </c>
      <c r="T8" s="8">
        <v>8.1190909538211814E-2</v>
      </c>
      <c r="U8" s="8">
        <v>7.9417947134862096E-3</v>
      </c>
      <c r="V8" s="8">
        <v>5.2523530461056241E-3</v>
      </c>
      <c r="W8" s="8">
        <v>1.1019672829323011E-2</v>
      </c>
      <c r="X8" s="8">
        <v>3.292479638845297E-3</v>
      </c>
      <c r="Y8" s="8">
        <v>1.9291061638182479E-3</v>
      </c>
      <c r="Z8" s="8">
        <v>2.470994238941834E-3</v>
      </c>
      <c r="AA8" s="8">
        <v>5.8738513636355854E-3</v>
      </c>
      <c r="AB8" s="8">
        <v>6.4605826960759991E-2</v>
      </c>
      <c r="AC8" s="8">
        <v>7.5718186110952284E-3</v>
      </c>
      <c r="AD8" s="8">
        <v>3.082108611810094E-3</v>
      </c>
      <c r="AE8" s="8">
        <v>1.2874937608880281E-2</v>
      </c>
      <c r="AF8" s="8">
        <v>1.9564120923730912E-3</v>
      </c>
      <c r="AG8" s="8">
        <v>3.6266888207348632E-4</v>
      </c>
      <c r="AH8" s="8">
        <v>1.2864553664218581E-3</v>
      </c>
      <c r="AI8" s="8">
        <v>2.8828907105226441E-3</v>
      </c>
    </row>
    <row r="9" spans="1:35" x14ac:dyDescent="0.2">
      <c r="A9" s="12" t="s">
        <v>1373</v>
      </c>
      <c r="B9" s="8">
        <v>6.5641180538062102E-2</v>
      </c>
      <c r="C9" s="8">
        <v>0.1357069420954635</v>
      </c>
      <c r="D9" s="8">
        <v>4.6491331583941593E-2</v>
      </c>
      <c r="E9" s="8">
        <v>5.0837930802819939E-2</v>
      </c>
      <c r="F9" s="8">
        <v>1.9034648567075822E-2</v>
      </c>
      <c r="G9" s="8">
        <v>5.6442872710955612E-2</v>
      </c>
      <c r="H9" s="8">
        <v>1.6214011398127851E-2</v>
      </c>
      <c r="I9" s="8">
        <v>9.0914373142019334E-2</v>
      </c>
      <c r="J9" s="8">
        <v>8.7800418064519128E-3</v>
      </c>
      <c r="K9" s="8">
        <v>2.2151262115046269E-2</v>
      </c>
      <c r="L9" s="8">
        <v>7.9495356315420693E-2</v>
      </c>
      <c r="M9" s="8">
        <v>0.44311474414009089</v>
      </c>
      <c r="N9" s="8">
        <v>0.32773446726025057</v>
      </c>
      <c r="O9" s="8">
        <v>1.363175041468003E-2</v>
      </c>
      <c r="P9" s="8">
        <v>0.37985998392750081</v>
      </c>
      <c r="Q9" s="8">
        <v>0.1235497566349555</v>
      </c>
      <c r="R9" s="8">
        <v>3.2171923474287108E-2</v>
      </c>
      <c r="S9" s="8">
        <v>4.8797111638482139E-2</v>
      </c>
      <c r="T9" s="8">
        <v>1.7927838694623392E-2</v>
      </c>
      <c r="U9" s="8">
        <v>3.5073200914166373E-2</v>
      </c>
      <c r="V9" s="8">
        <v>2.2426856887130111E-2</v>
      </c>
      <c r="W9" s="8">
        <v>4.507082219599827E-2</v>
      </c>
      <c r="X9" s="8">
        <v>2.28256274576694E-2</v>
      </c>
      <c r="Y9" s="8">
        <v>4.5858615612019227E-3</v>
      </c>
      <c r="Z9" s="8">
        <v>1.8128996293539899E-2</v>
      </c>
      <c r="AA9" s="8">
        <v>2.218316376068941E-2</v>
      </c>
      <c r="AB9" s="8">
        <v>6.1031392742627789E-2</v>
      </c>
      <c r="AC9" s="8">
        <v>1.3505916145754301E-2</v>
      </c>
      <c r="AD9" s="8">
        <v>9.736205018922809E-3</v>
      </c>
      <c r="AE9" s="8">
        <v>7.2150888562910274E-3</v>
      </c>
      <c r="AF9" s="8">
        <v>8.1517566186466665E-3</v>
      </c>
      <c r="AG9" s="8">
        <v>6.7418811125843922E-3</v>
      </c>
      <c r="AH9" s="8">
        <v>2.440475891700503E-3</v>
      </c>
      <c r="AI9" s="8">
        <v>5.5154400689701993E-3</v>
      </c>
    </row>
    <row r="10" spans="1:35" x14ac:dyDescent="0.2">
      <c r="A10" s="12" t="s">
        <v>1374</v>
      </c>
      <c r="B10" s="8">
        <v>3.6429115594127287E-2</v>
      </c>
      <c r="C10" s="8">
        <v>9.6299224191666741E-2</v>
      </c>
      <c r="D10" s="8">
        <v>4.990521002229021E-2</v>
      </c>
      <c r="E10" s="8">
        <v>8.5156589076411937E-2</v>
      </c>
      <c r="F10" s="8">
        <v>3.5988840252069151E-2</v>
      </c>
      <c r="G10" s="8">
        <v>6.3197856391262242E-2</v>
      </c>
      <c r="H10" s="8">
        <v>8.6917690444644497E-3</v>
      </c>
      <c r="I10" s="8">
        <v>5.3827329527791477E-2</v>
      </c>
      <c r="J10" s="8">
        <v>1.0926166405409511E-2</v>
      </c>
      <c r="K10" s="8">
        <v>7.7084874472012734E-3</v>
      </c>
      <c r="L10" s="8">
        <v>0</v>
      </c>
      <c r="M10" s="8">
        <v>0.2477979693938728</v>
      </c>
      <c r="N10" s="8">
        <v>0.42802834962655628</v>
      </c>
      <c r="O10" s="8">
        <v>3.3427905345764279E-2</v>
      </c>
      <c r="P10" s="8">
        <v>0.42877681770805509</v>
      </c>
      <c r="Q10" s="8">
        <v>0.1073904938503481</v>
      </c>
      <c r="R10" s="8">
        <v>2.252008374627389E-2</v>
      </c>
      <c r="S10" s="8">
        <v>4.2229743225743299E-2</v>
      </c>
      <c r="T10" s="8">
        <v>7.4520270604524083E-2</v>
      </c>
      <c r="U10" s="8">
        <v>8.0225505245360776E-2</v>
      </c>
      <c r="V10" s="8">
        <v>7.4964214907765975E-2</v>
      </c>
      <c r="W10" s="8">
        <v>6.1477113596051673E-2</v>
      </c>
      <c r="X10" s="8">
        <v>4.0362241983180017E-2</v>
      </c>
      <c r="Y10" s="8">
        <v>1.9511535575543248E-2</v>
      </c>
      <c r="Z10" s="8">
        <v>1.453642421028627E-2</v>
      </c>
      <c r="AA10" s="8">
        <v>3.6454798322414009E-2</v>
      </c>
      <c r="AB10" s="8">
        <v>2.855919385483803E-2</v>
      </c>
      <c r="AC10" s="8">
        <v>3.9136808947784811E-2</v>
      </c>
      <c r="AD10" s="8">
        <v>1.157924149612909E-2</v>
      </c>
      <c r="AE10" s="8">
        <v>7.5764048445838301E-3</v>
      </c>
      <c r="AF10" s="8">
        <v>1.359350118604508E-2</v>
      </c>
      <c r="AG10" s="8">
        <v>1.8961191397970568E-2</v>
      </c>
      <c r="AH10" s="8">
        <v>1.02033810521974E-2</v>
      </c>
      <c r="AI10" s="8">
        <v>1.8040282140832298E-2</v>
      </c>
    </row>
    <row r="11" spans="1:35" x14ac:dyDescent="0.2">
      <c r="A11" s="12" t="s">
        <v>1375</v>
      </c>
      <c r="B11" s="8">
        <v>7.1734415602793741E-2</v>
      </c>
      <c r="C11" s="8">
        <v>0.13985451985026759</v>
      </c>
      <c r="D11" s="8">
        <v>3.5328894622243277E-2</v>
      </c>
      <c r="E11" s="8">
        <v>5.4141239444779693E-2</v>
      </c>
      <c r="F11" s="8">
        <v>2.1675069472358109E-2</v>
      </c>
      <c r="G11" s="8">
        <v>4.4510994847605047E-2</v>
      </c>
      <c r="H11" s="8">
        <v>8.9974431468557055E-3</v>
      </c>
      <c r="I11" s="8">
        <v>7.9790215635864317E-2</v>
      </c>
      <c r="J11" s="8">
        <v>2.9292443927221291E-2</v>
      </c>
      <c r="K11" s="8">
        <v>4.1088899632484341E-2</v>
      </c>
      <c r="L11" s="8">
        <v>1.6639654518710949E-2</v>
      </c>
      <c r="M11" s="8">
        <v>0.1196199915634478</v>
      </c>
      <c r="N11" s="8">
        <v>0.21658223563441761</v>
      </c>
      <c r="O11" s="8">
        <v>7.9985671373932078E-3</v>
      </c>
      <c r="P11" s="8">
        <v>0.26997404810561149</v>
      </c>
      <c r="Q11" s="8">
        <v>4.3030498621688222E-2</v>
      </c>
      <c r="R11" s="8">
        <v>1.6349170576499691E-2</v>
      </c>
      <c r="S11" s="8">
        <v>6.7181700731557145E-2</v>
      </c>
      <c r="T11" s="8">
        <v>7.8673634237178616E-2</v>
      </c>
      <c r="U11" s="8">
        <v>4.4338216294616963E-2</v>
      </c>
      <c r="V11" s="8">
        <v>3.5924980630052283E-2</v>
      </c>
      <c r="W11" s="8">
        <v>4.3009981168520887E-2</v>
      </c>
      <c r="X11" s="8">
        <v>4.5367328550852383E-2</v>
      </c>
      <c r="Y11" s="8">
        <v>4.0623477405372643E-2</v>
      </c>
      <c r="Z11" s="8">
        <v>4.2776730121986913E-2</v>
      </c>
      <c r="AA11" s="8">
        <v>6.8722669451019847E-2</v>
      </c>
      <c r="AB11" s="8">
        <v>0.20375774753887541</v>
      </c>
      <c r="AC11" s="8">
        <v>9.6006562699754355E-2</v>
      </c>
      <c r="AD11" s="8">
        <v>2.1004472713573009E-2</v>
      </c>
      <c r="AE11" s="8">
        <v>2.8155345075368321E-2</v>
      </c>
      <c r="AF11" s="8">
        <v>5.3271947350058288E-2</v>
      </c>
      <c r="AG11" s="8">
        <v>2.5411405680725949E-2</v>
      </c>
      <c r="AH11" s="8">
        <v>1.461166625301303E-2</v>
      </c>
      <c r="AI11" s="8">
        <v>3.8965883162643003E-2</v>
      </c>
    </row>
    <row r="12" spans="1:35" x14ac:dyDescent="0.2">
      <c r="A12" s="12" t="s">
        <v>1376</v>
      </c>
      <c r="B12" s="8">
        <v>3.93668667936726E-2</v>
      </c>
      <c r="C12" s="8">
        <v>3.132417357776101E-3</v>
      </c>
      <c r="D12" s="8">
        <v>8.9104574839441772E-2</v>
      </c>
      <c r="E12" s="8">
        <v>7.5664811176010496E-2</v>
      </c>
      <c r="F12" s="8">
        <v>0.19854869752228099</v>
      </c>
      <c r="G12" s="8">
        <v>0.82621740807774091</v>
      </c>
      <c r="H12" s="8">
        <v>9.2596796893719177E-2</v>
      </c>
      <c r="I12" s="8">
        <v>1.487898244943647E-2</v>
      </c>
      <c r="J12" s="8">
        <v>0</v>
      </c>
      <c r="K12" s="8">
        <v>1.3757238395638281E-3</v>
      </c>
      <c r="L12" s="8">
        <v>2.3641285058350701E-2</v>
      </c>
      <c r="M12" s="8">
        <v>7.979198269470196E-2</v>
      </c>
      <c r="N12" s="8">
        <v>4.9610718152886327E-2</v>
      </c>
      <c r="O12" s="8">
        <v>0</v>
      </c>
      <c r="P12" s="8">
        <v>0.12042874841720271</v>
      </c>
      <c r="Q12" s="8">
        <v>0.1161957519877756</v>
      </c>
      <c r="R12" s="8">
        <v>0</v>
      </c>
      <c r="S12" s="8">
        <v>0</v>
      </c>
      <c r="T12" s="8">
        <v>0</v>
      </c>
      <c r="U12" s="8">
        <v>4.6351310902227397E-3</v>
      </c>
      <c r="V12" s="8">
        <v>0.44112055791060473</v>
      </c>
      <c r="W12" s="8">
        <v>1.4528067045436961</v>
      </c>
      <c r="X12" s="8">
        <v>2.847240388325591</v>
      </c>
      <c r="Y12" s="8">
        <v>0.1916700783244619</v>
      </c>
      <c r="Z12" s="8">
        <v>3.6467264239514997E-2</v>
      </c>
      <c r="AA12" s="8">
        <v>3.1959123042175062E-3</v>
      </c>
      <c r="AB12" s="8">
        <v>2.520749373723874E-2</v>
      </c>
      <c r="AC12" s="8">
        <v>0</v>
      </c>
      <c r="AD12" s="8">
        <v>2.7091177148333831E-3</v>
      </c>
      <c r="AE12" s="8">
        <v>2.9419325184518782E-3</v>
      </c>
      <c r="AF12" s="8">
        <v>0</v>
      </c>
      <c r="AG12" s="8">
        <v>0</v>
      </c>
      <c r="AH12" s="8">
        <v>0</v>
      </c>
      <c r="AI12" s="8">
        <v>0</v>
      </c>
    </row>
    <row r="13" spans="1:35" x14ac:dyDescent="0.2">
      <c r="A13" s="12" t="s">
        <v>1377</v>
      </c>
      <c r="B13" s="8">
        <v>0.32497385302550358</v>
      </c>
      <c r="C13" s="8">
        <v>0.36244389857909087</v>
      </c>
      <c r="D13" s="8">
        <v>8.5515748824168125E-2</v>
      </c>
      <c r="E13" s="8">
        <v>1.962589937388074</v>
      </c>
      <c r="F13" s="8">
        <v>0.66717692325882549</v>
      </c>
      <c r="G13" s="8">
        <v>1.735318352675195</v>
      </c>
      <c r="H13" s="8">
        <v>1.16262197418607E-2</v>
      </c>
      <c r="I13" s="8">
        <v>0.27398657608529547</v>
      </c>
      <c r="J13" s="8">
        <v>0</v>
      </c>
      <c r="K13" s="8">
        <v>0.4524420453760245</v>
      </c>
      <c r="L13" s="8">
        <v>0.12928916652695679</v>
      </c>
      <c r="M13" s="8">
        <v>3.5034842779945641</v>
      </c>
      <c r="N13" s="8">
        <v>0.61773047062175479</v>
      </c>
      <c r="O13" s="8">
        <v>6.2543459213744573E-2</v>
      </c>
      <c r="P13" s="8">
        <v>1.047690488665628</v>
      </c>
      <c r="Q13" s="8">
        <v>0.475554409923097</v>
      </c>
      <c r="R13" s="8">
        <v>1.6178655182950721E-2</v>
      </c>
      <c r="S13" s="8">
        <v>2.073109062404075E-2</v>
      </c>
      <c r="T13" s="8">
        <v>0</v>
      </c>
      <c r="U13" s="8">
        <v>8.1243463256375961E-3</v>
      </c>
      <c r="V13" s="8">
        <v>3.7189895680289332E-2</v>
      </c>
      <c r="W13" s="8">
        <v>3.2567422770874849E-2</v>
      </c>
      <c r="X13" s="8">
        <v>0.90915637631984136</v>
      </c>
      <c r="Y13" s="8">
        <v>0.13216070272825969</v>
      </c>
      <c r="Z13" s="8">
        <v>4.8606003017176637E-2</v>
      </c>
      <c r="AA13" s="8">
        <v>0.29023526873657052</v>
      </c>
      <c r="AB13" s="8">
        <v>7.59906531320413E-2</v>
      </c>
      <c r="AC13" s="8">
        <v>6.1632972125526602E-3</v>
      </c>
      <c r="AD13" s="8">
        <v>0</v>
      </c>
      <c r="AE13" s="8">
        <v>0</v>
      </c>
      <c r="AF13" s="8">
        <v>3.9431094666672127E-2</v>
      </c>
      <c r="AG13" s="8">
        <v>1.3937456196567929E-2</v>
      </c>
      <c r="AH13" s="8">
        <v>6.0792522505633002E-2</v>
      </c>
      <c r="AI13" s="8">
        <v>1.6668917461221958E-2</v>
      </c>
    </row>
    <row r="14" spans="1:35" x14ac:dyDescent="0.2">
      <c r="A14" s="12" t="s">
        <v>1378</v>
      </c>
      <c r="B14" s="8">
        <v>0.19978025963848789</v>
      </c>
      <c r="C14" s="8">
        <v>0.46957430678723089</v>
      </c>
      <c r="D14" s="8">
        <v>0.37708381770341592</v>
      </c>
      <c r="E14" s="8">
        <v>0.12788560460525189</v>
      </c>
      <c r="F14" s="8">
        <v>0.35904489252749472</v>
      </c>
      <c r="G14" s="8">
        <v>0.25944592903298253</v>
      </c>
      <c r="H14" s="8">
        <v>6.8246709125675056E-2</v>
      </c>
      <c r="I14" s="8">
        <v>0.56114778928510822</v>
      </c>
      <c r="J14" s="8">
        <v>0.78754132035196844</v>
      </c>
      <c r="K14" s="8">
        <v>4.0850300685954737E-2</v>
      </c>
      <c r="L14" s="8">
        <v>4.1225135494805082E-2</v>
      </c>
      <c r="M14" s="8">
        <v>1.0785068407220251</v>
      </c>
      <c r="N14" s="8">
        <v>1.089196326252988</v>
      </c>
      <c r="O14" s="8">
        <v>7.9879975157493732E-2</v>
      </c>
      <c r="P14" s="8">
        <v>1.133085466282123</v>
      </c>
      <c r="Q14" s="8">
        <v>0.37674914376694252</v>
      </c>
      <c r="R14" s="8">
        <v>7.5776872696328698E-2</v>
      </c>
      <c r="S14" s="8">
        <v>0.48969490384801762</v>
      </c>
      <c r="T14" s="8">
        <v>0.13318683975899201</v>
      </c>
      <c r="U14" s="8">
        <v>0.518336299331419</v>
      </c>
      <c r="V14" s="8">
        <v>0.77553991299002933</v>
      </c>
      <c r="W14" s="8">
        <v>0.17127273372967569</v>
      </c>
      <c r="X14" s="8">
        <v>0.11710910385080529</v>
      </c>
      <c r="Y14" s="8">
        <v>8.0857223051996312E-3</v>
      </c>
      <c r="Z14" s="8">
        <v>0.26834156226444822</v>
      </c>
      <c r="AA14" s="8">
        <v>0.20010824009623199</v>
      </c>
      <c r="AB14" s="8">
        <v>0.34170878261816762</v>
      </c>
      <c r="AC14" s="8">
        <v>0.27842863470975909</v>
      </c>
      <c r="AD14" s="8">
        <v>0.13314667888661519</v>
      </c>
      <c r="AE14" s="8">
        <v>4.4002929167535093E-2</v>
      </c>
      <c r="AF14" s="8">
        <v>0.1181064321814962</v>
      </c>
      <c r="AG14" s="8">
        <v>0.10657356833061959</v>
      </c>
      <c r="AH14" s="8">
        <v>1.2322694340954069E-2</v>
      </c>
      <c r="AI14" s="8">
        <v>1.7168772941090281E-2</v>
      </c>
    </row>
    <row r="15" spans="1:35" x14ac:dyDescent="0.2">
      <c r="A15" s="12" t="s">
        <v>1379</v>
      </c>
      <c r="B15" s="8">
        <v>4.9962906393016773E-2</v>
      </c>
      <c r="C15" s="8">
        <v>0.10721206996834851</v>
      </c>
      <c r="D15" s="8">
        <v>0</v>
      </c>
      <c r="E15" s="8">
        <v>1.0282730448541979</v>
      </c>
      <c r="F15" s="8">
        <v>0</v>
      </c>
      <c r="G15" s="8">
        <v>0.15600397074277911</v>
      </c>
      <c r="H15" s="8">
        <v>0</v>
      </c>
      <c r="I15" s="8">
        <v>1.7825307749591939E-2</v>
      </c>
      <c r="J15" s="8">
        <v>1.079927403807395E-2</v>
      </c>
      <c r="K15" s="8">
        <v>0.13154296448786451</v>
      </c>
      <c r="L15" s="8">
        <v>0.51081867317443719</v>
      </c>
      <c r="M15" s="8">
        <v>0.61738018446579357</v>
      </c>
      <c r="N15" s="8">
        <v>2.8325324796249358</v>
      </c>
      <c r="O15" s="8">
        <v>0</v>
      </c>
      <c r="P15" s="8">
        <v>2.6106919707705272</v>
      </c>
      <c r="Q15" s="8">
        <v>0.17851330096671619</v>
      </c>
      <c r="R15" s="8">
        <v>9.6933242871868552E-2</v>
      </c>
      <c r="S15" s="8">
        <v>0.36522364126353679</v>
      </c>
      <c r="T15" s="8">
        <v>0.34765855698474202</v>
      </c>
      <c r="U15" s="8">
        <v>3.5130168557589943E-2</v>
      </c>
      <c r="V15" s="8">
        <v>0.1493682722374565</v>
      </c>
      <c r="W15" s="8">
        <v>0.28130157193151661</v>
      </c>
      <c r="X15" s="8">
        <v>1.045968240868391</v>
      </c>
      <c r="Y15" s="8">
        <v>3.5910838969980818E-2</v>
      </c>
      <c r="Z15" s="8">
        <v>7.8587488180682716E-2</v>
      </c>
      <c r="AA15" s="8">
        <v>4.1115308385920077E-2</v>
      </c>
      <c r="AB15" s="8">
        <v>0.82894186622372401</v>
      </c>
      <c r="AC15" s="8">
        <v>7.9368158593073612E-3</v>
      </c>
      <c r="AD15" s="8">
        <v>1.392195568763749E-2</v>
      </c>
      <c r="AE15" s="8">
        <v>0</v>
      </c>
      <c r="AF15" s="8">
        <v>1.626396692481015E-2</v>
      </c>
      <c r="AG15" s="8">
        <v>4.8011230362039567E-2</v>
      </c>
      <c r="AH15" s="8">
        <v>0</v>
      </c>
      <c r="AI15" s="8">
        <v>3.25279338496203E-2</v>
      </c>
    </row>
    <row r="16" spans="1:35" x14ac:dyDescent="0.2">
      <c r="A16" s="12" t="s">
        <v>1380</v>
      </c>
      <c r="B16" s="8">
        <v>6.2310487742223787E-2</v>
      </c>
      <c r="C16" s="8">
        <v>0.24518769063100221</v>
      </c>
      <c r="D16" s="8">
        <v>0.102435477932041</v>
      </c>
      <c r="E16" s="8">
        <v>0.1166327014078615</v>
      </c>
      <c r="F16" s="8">
        <v>3.3862417307155938E-2</v>
      </c>
      <c r="G16" s="8">
        <v>9.7165751969801636E-2</v>
      </c>
      <c r="H16" s="8">
        <v>2.613982321664015E-2</v>
      </c>
      <c r="I16" s="8">
        <v>0.17338828375325649</v>
      </c>
      <c r="J16" s="8">
        <v>3.5522307862329412E-2</v>
      </c>
      <c r="K16" s="8">
        <v>3.5703490238151073E-2</v>
      </c>
      <c r="L16" s="8">
        <v>0.1152986141383583</v>
      </c>
      <c r="M16" s="8">
        <v>0.96216535065440756</v>
      </c>
      <c r="N16" s="8">
        <v>0.88073809107044321</v>
      </c>
      <c r="O16" s="8">
        <v>9.7091004083812438E-2</v>
      </c>
      <c r="P16" s="8">
        <v>0.8454985252116386</v>
      </c>
      <c r="Q16" s="8">
        <v>0.20803880377138559</v>
      </c>
      <c r="R16" s="8">
        <v>7.0550629695512679E-2</v>
      </c>
      <c r="S16" s="8">
        <v>7.8702211653444848E-2</v>
      </c>
      <c r="T16" s="8">
        <v>6.5397087947365221E-2</v>
      </c>
      <c r="U16" s="8">
        <v>6.6866858879479213E-2</v>
      </c>
      <c r="V16" s="8">
        <v>3.4190658023891131E-2</v>
      </c>
      <c r="W16" s="8">
        <v>5.5520617272529861E-2</v>
      </c>
      <c r="X16" s="8">
        <v>5.1521605372107072E-2</v>
      </c>
      <c r="Y16" s="8">
        <v>1.010640167195433E-2</v>
      </c>
      <c r="Z16" s="8">
        <v>5.3036875017431852E-2</v>
      </c>
      <c r="AA16" s="8">
        <v>4.4964103330597041E-2</v>
      </c>
      <c r="AB16" s="8">
        <v>0.15212332266634751</v>
      </c>
      <c r="AC16" s="8">
        <v>4.6016261073597367E-2</v>
      </c>
      <c r="AD16" s="8">
        <v>2.2560049459374221E-2</v>
      </c>
      <c r="AE16" s="8">
        <v>2.853744290744625E-2</v>
      </c>
      <c r="AF16" s="8">
        <v>4.7516093655511307E-2</v>
      </c>
      <c r="AG16" s="8">
        <v>3.0179458968144009E-2</v>
      </c>
      <c r="AH16" s="8">
        <v>6.1602007779369529E-3</v>
      </c>
      <c r="AI16" s="8">
        <v>9.03555695745672E-3</v>
      </c>
    </row>
    <row r="17" spans="1:35" x14ac:dyDescent="0.2">
      <c r="A17" s="12" t="s">
        <v>1381</v>
      </c>
      <c r="B17" s="8">
        <v>3.2270618448484922E-3</v>
      </c>
      <c r="C17" s="8">
        <v>2.1917954724976249E-2</v>
      </c>
      <c r="D17" s="8">
        <v>3.9382054120626922E-4</v>
      </c>
      <c r="E17" s="8">
        <v>3.0882330209700221E-4</v>
      </c>
      <c r="F17" s="8">
        <v>0</v>
      </c>
      <c r="G17" s="8">
        <v>9.9163445627477829E-4</v>
      </c>
      <c r="H17" s="8">
        <v>0</v>
      </c>
      <c r="I17" s="8">
        <v>1.614947543076067E-3</v>
      </c>
      <c r="J17" s="8">
        <v>0</v>
      </c>
      <c r="K17" s="8">
        <v>3.42538873610345E-3</v>
      </c>
      <c r="L17" s="8">
        <v>1.269292104031716E-3</v>
      </c>
      <c r="M17" s="8">
        <v>4.187530646783208E-2</v>
      </c>
      <c r="N17" s="8">
        <v>0.55515096751826487</v>
      </c>
      <c r="O17" s="8">
        <v>1.3704388185717439E-2</v>
      </c>
      <c r="P17" s="8">
        <v>1.0431626158641201</v>
      </c>
      <c r="Q17" s="8">
        <v>4.1790309228722806E-3</v>
      </c>
      <c r="R17" s="8">
        <v>1.242942959907844E-2</v>
      </c>
      <c r="S17" s="8">
        <v>0.1183983208379049</v>
      </c>
      <c r="T17" s="8">
        <v>4.4765212597547142E-4</v>
      </c>
      <c r="U17" s="8">
        <v>0</v>
      </c>
      <c r="V17" s="8">
        <v>0</v>
      </c>
      <c r="W17" s="8">
        <v>3.0599006079336011E-4</v>
      </c>
      <c r="X17" s="8">
        <v>0</v>
      </c>
      <c r="Y17" s="8">
        <v>0</v>
      </c>
      <c r="Z17" s="8">
        <v>0</v>
      </c>
      <c r="AA17" s="8">
        <v>0</v>
      </c>
      <c r="AB17" s="8">
        <v>3.2213953622412081E-3</v>
      </c>
      <c r="AC17" s="8">
        <v>0</v>
      </c>
      <c r="AD17" s="8">
        <v>2.379922695059468E-4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x14ac:dyDescent="0.2">
      <c r="A18" s="12" t="s">
        <v>1382</v>
      </c>
      <c r="B18" s="8">
        <v>2.7393406874213939E-2</v>
      </c>
      <c r="C18" s="8">
        <v>0.1097049957417424</v>
      </c>
      <c r="D18" s="8">
        <v>4.5910967434047822E-2</v>
      </c>
      <c r="E18" s="8">
        <v>2.6724054388363089E-2</v>
      </c>
      <c r="F18" s="8">
        <v>1.0799005926597761E-2</v>
      </c>
      <c r="G18" s="8">
        <v>4.1300567601598483E-2</v>
      </c>
      <c r="H18" s="8">
        <v>6.8195311342161159E-3</v>
      </c>
      <c r="I18" s="8">
        <v>5.0571412312168239E-2</v>
      </c>
      <c r="J18" s="8">
        <v>3.844531901375669E-3</v>
      </c>
      <c r="K18" s="8">
        <v>1.5595287357254021E-2</v>
      </c>
      <c r="L18" s="8">
        <v>0.1250732930704169</v>
      </c>
      <c r="M18" s="8">
        <v>1.239300318752913</v>
      </c>
      <c r="N18" s="8">
        <v>1.1841238685774751</v>
      </c>
      <c r="O18" s="8">
        <v>8.8611902652907013E-2</v>
      </c>
      <c r="P18" s="8">
        <v>0.40764638782152862</v>
      </c>
      <c r="Q18" s="8">
        <v>0.18260275405392659</v>
      </c>
      <c r="R18" s="8">
        <v>5.1319407012645077E-2</v>
      </c>
      <c r="S18" s="8">
        <v>3.5056554492599888E-2</v>
      </c>
      <c r="T18" s="8">
        <v>0.12055047206789191</v>
      </c>
      <c r="U18" s="8">
        <v>1.03673674076846E-2</v>
      </c>
      <c r="V18" s="8">
        <v>5.063486228078699E-3</v>
      </c>
      <c r="W18" s="8">
        <v>1.9459479812286191E-2</v>
      </c>
      <c r="X18" s="8">
        <v>1.249517551023584E-2</v>
      </c>
      <c r="Y18" s="8">
        <v>2.3816079770260712E-3</v>
      </c>
      <c r="Z18" s="8">
        <v>6.3387412311617002E-3</v>
      </c>
      <c r="AA18" s="8">
        <v>1.6294130673589639E-2</v>
      </c>
      <c r="AB18" s="8">
        <v>4.8239849380813257E-2</v>
      </c>
      <c r="AC18" s="8">
        <v>1.1197578968906821E-2</v>
      </c>
      <c r="AD18" s="8">
        <v>6.4406186455635639E-3</v>
      </c>
      <c r="AE18" s="8">
        <v>9.9956042112707717E-3</v>
      </c>
      <c r="AF18" s="8">
        <v>3.9964543614486271E-3</v>
      </c>
      <c r="AG18" s="8">
        <v>2.2180679170651831E-3</v>
      </c>
      <c r="AH18" s="8">
        <v>6.9258768562671896E-4</v>
      </c>
      <c r="AI18" s="8">
        <v>1.1984001115166829E-3</v>
      </c>
    </row>
    <row r="19" spans="1:35" x14ac:dyDescent="0.2">
      <c r="A19" s="12" t="s">
        <v>1383</v>
      </c>
      <c r="B19" s="8">
        <v>1.886558007450456E-3</v>
      </c>
      <c r="C19" s="8">
        <v>1.552140777498185E-2</v>
      </c>
      <c r="D19" s="8">
        <v>9.9689696814750373E-4</v>
      </c>
      <c r="E19" s="8">
        <v>0</v>
      </c>
      <c r="F19" s="8">
        <v>0</v>
      </c>
      <c r="G19" s="8">
        <v>9.9292526707918708E-4</v>
      </c>
      <c r="H19" s="8">
        <v>0</v>
      </c>
      <c r="I19" s="8">
        <v>1.6283974380098671E-3</v>
      </c>
      <c r="J19" s="8">
        <v>0</v>
      </c>
      <c r="K19" s="8">
        <v>4.8137016947998974E-3</v>
      </c>
      <c r="L19" s="8">
        <v>4.3859494897421858E-2</v>
      </c>
      <c r="M19" s="8">
        <v>1.3642713735646661</v>
      </c>
      <c r="N19" s="8">
        <v>0.94462541038738712</v>
      </c>
      <c r="O19" s="8">
        <v>1.6899588045687759E-2</v>
      </c>
      <c r="P19" s="8">
        <v>0.62785444828164805</v>
      </c>
      <c r="Q19" s="8">
        <v>0.78611482075086581</v>
      </c>
      <c r="R19" s="8">
        <v>4.3609277730117897E-3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6.7518918161384753E-4</v>
      </c>
      <c r="Y19" s="8">
        <v>0</v>
      </c>
      <c r="Z19" s="8">
        <v>1.9858505341583741E-4</v>
      </c>
      <c r="AA19" s="8">
        <v>0</v>
      </c>
      <c r="AB19" s="8">
        <v>2.0295392459098579E-3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x14ac:dyDescent="0.2">
      <c r="A20" s="12" t="s">
        <v>1384</v>
      </c>
      <c r="B20" s="8">
        <v>2.3175651962095499E-2</v>
      </c>
      <c r="C20" s="8">
        <v>4.6190199968358242E-2</v>
      </c>
      <c r="D20" s="8">
        <v>2.0659462546655322E-2</v>
      </c>
      <c r="E20" s="8">
        <v>2.2679621361242071E-2</v>
      </c>
      <c r="F20" s="8">
        <v>1.422166368002366E-2</v>
      </c>
      <c r="G20" s="8">
        <v>3.004376797391195E-2</v>
      </c>
      <c r="H20" s="8">
        <v>3.5824432283857481E-3</v>
      </c>
      <c r="I20" s="8">
        <v>3.8423293466106553E-2</v>
      </c>
      <c r="J20" s="8">
        <v>3.6523962618394351E-3</v>
      </c>
      <c r="K20" s="8">
        <v>9.7510289056653517E-4</v>
      </c>
      <c r="L20" s="8">
        <v>6.4377988666316647E-3</v>
      </c>
      <c r="M20" s="8">
        <v>0.29803807871276888</v>
      </c>
      <c r="N20" s="8">
        <v>0.70924320724246182</v>
      </c>
      <c r="O20" s="8">
        <v>7.8160856045585356E-2</v>
      </c>
      <c r="P20" s="8">
        <v>0.76710708464201571</v>
      </c>
      <c r="Q20" s="8">
        <v>6.5571429812814372E-2</v>
      </c>
      <c r="R20" s="8">
        <v>0.13984459302948879</v>
      </c>
      <c r="S20" s="8">
        <v>7.2865623392030565E-2</v>
      </c>
      <c r="T20" s="8">
        <v>2.2927636661668801E-2</v>
      </c>
      <c r="U20" s="8">
        <v>1.724660242967245E-2</v>
      </c>
      <c r="V20" s="8">
        <v>1.0242819928733689E-2</v>
      </c>
      <c r="W20" s="8">
        <v>5.0968204132134258E-2</v>
      </c>
      <c r="X20" s="8">
        <v>1.0433600929061929E-2</v>
      </c>
      <c r="Y20" s="8">
        <v>1.116068851920175E-2</v>
      </c>
      <c r="Z20" s="8">
        <v>7.9386094025471147E-3</v>
      </c>
      <c r="AA20" s="8">
        <v>1.487667844781727E-2</v>
      </c>
      <c r="AB20" s="8">
        <v>5.4807141816516872E-2</v>
      </c>
      <c r="AC20" s="8">
        <v>1.0420882195706711E-2</v>
      </c>
      <c r="AD20" s="8">
        <v>5.0917329198713421E-3</v>
      </c>
      <c r="AE20" s="8">
        <v>3.8304585288124532E-3</v>
      </c>
      <c r="AF20" s="8">
        <v>6.2915334330466864E-3</v>
      </c>
      <c r="AG20" s="8">
        <v>2.0646743813300108E-3</v>
      </c>
      <c r="AH20" s="8">
        <v>3.3704643391321528E-4</v>
      </c>
      <c r="AI20" s="8">
        <v>5.1680453200026368E-3</v>
      </c>
    </row>
    <row r="21" spans="1:35" x14ac:dyDescent="0.2">
      <c r="A21" s="12" t="s">
        <v>1385</v>
      </c>
      <c r="B21" s="8">
        <v>1.012323901798947E-2</v>
      </c>
      <c r="C21" s="8">
        <v>4.0895908883038207E-2</v>
      </c>
      <c r="D21" s="8">
        <v>3.1034969336412331E-2</v>
      </c>
      <c r="E21" s="8">
        <v>9.0884866106681325E-2</v>
      </c>
      <c r="F21" s="8">
        <v>7.678912060209815E-3</v>
      </c>
      <c r="G21" s="8">
        <v>2.9297710518830219E-2</v>
      </c>
      <c r="H21" s="8">
        <v>5.2117764527463651E-3</v>
      </c>
      <c r="I21" s="8">
        <v>3.820828966196476E-2</v>
      </c>
      <c r="J21" s="8">
        <v>5.4702744824960013E-3</v>
      </c>
      <c r="K21" s="8">
        <v>3.2642979139119642E-2</v>
      </c>
      <c r="L21" s="8">
        <v>0.19264565667091721</v>
      </c>
      <c r="M21" s="8">
        <v>0.57494523546256138</v>
      </c>
      <c r="N21" s="8">
        <v>0.37609182463603857</v>
      </c>
      <c r="O21" s="8">
        <v>5.3577518107226323E-2</v>
      </c>
      <c r="P21" s="8">
        <v>0.39504961396488331</v>
      </c>
      <c r="Q21" s="8">
        <v>0.22399994710290261</v>
      </c>
      <c r="R21" s="8">
        <v>1.8455999035801321E-2</v>
      </c>
      <c r="S21" s="8">
        <v>2.4948861312453972E-2</v>
      </c>
      <c r="T21" s="8">
        <v>5.6033249389847864E-3</v>
      </c>
      <c r="U21" s="8">
        <v>1.3084562035268411E-2</v>
      </c>
      <c r="V21" s="8">
        <v>5.9492561258556219E-3</v>
      </c>
      <c r="W21" s="8">
        <v>2.0136236229173959E-2</v>
      </c>
      <c r="X21" s="8">
        <v>1.2582771742224989E-2</v>
      </c>
      <c r="Y21" s="8">
        <v>5.8086027861389104E-3</v>
      </c>
      <c r="Z21" s="8">
        <v>8.4696119159145856E-3</v>
      </c>
      <c r="AA21" s="8">
        <v>1.1765461795222471E-2</v>
      </c>
      <c r="AB21" s="8">
        <v>3.7702697927307398E-2</v>
      </c>
      <c r="AC21" s="8">
        <v>9.758300623048808E-3</v>
      </c>
      <c r="AD21" s="8">
        <v>4.4971054293208969E-3</v>
      </c>
      <c r="AE21" s="8">
        <v>4.3412463231483206E-3</v>
      </c>
      <c r="AF21" s="8">
        <v>2.588781739110339E-3</v>
      </c>
      <c r="AG21" s="8">
        <v>1.9387352231222801E-4</v>
      </c>
      <c r="AH21" s="8">
        <v>1.5699953865676501E-3</v>
      </c>
      <c r="AI21" s="8">
        <v>7.3139736652691528E-3</v>
      </c>
    </row>
    <row r="22" spans="1:35" x14ac:dyDescent="0.2">
      <c r="A22" s="12" t="s">
        <v>1386</v>
      </c>
      <c r="B22" s="8">
        <v>1.700847473142288E-2</v>
      </c>
      <c r="C22" s="8">
        <v>7.6299356408564459E-2</v>
      </c>
      <c r="D22" s="8">
        <v>3.5155745827152703E-2</v>
      </c>
      <c r="E22" s="8">
        <v>3.030667743720061E-2</v>
      </c>
      <c r="F22" s="8">
        <v>4.1373206622602647E-3</v>
      </c>
      <c r="G22" s="8">
        <v>3.2556718640871563E-2</v>
      </c>
      <c r="H22" s="8">
        <v>7.1266611185659611E-3</v>
      </c>
      <c r="I22" s="8">
        <v>4.6888103532008389E-2</v>
      </c>
      <c r="J22" s="8">
        <v>7.6225885675383371E-3</v>
      </c>
      <c r="K22" s="8">
        <v>2.78683674797531E-2</v>
      </c>
      <c r="L22" s="8">
        <v>2.0962118560730419E-2</v>
      </c>
      <c r="M22" s="8">
        <v>0.59204553565653784</v>
      </c>
      <c r="N22" s="8">
        <v>0.25646336993107438</v>
      </c>
      <c r="O22" s="8">
        <v>5.4997435706871461E-2</v>
      </c>
      <c r="P22" s="8">
        <v>0.47100250274068789</v>
      </c>
      <c r="Q22" s="8">
        <v>0.15697481336222771</v>
      </c>
      <c r="R22" s="8">
        <v>6.4116990462974546E-2</v>
      </c>
      <c r="S22" s="8">
        <v>5.9580172689042102E-2</v>
      </c>
      <c r="T22" s="8">
        <v>3.4411854653694132E-2</v>
      </c>
      <c r="U22" s="8">
        <v>3.6703223144779473E-2</v>
      </c>
      <c r="V22" s="8">
        <v>1.149357782201714E-2</v>
      </c>
      <c r="W22" s="8">
        <v>2.9539826659622952E-2</v>
      </c>
      <c r="X22" s="8">
        <v>2.4401467257770301E-2</v>
      </c>
      <c r="Y22" s="8">
        <v>1.1893074933689331E-3</v>
      </c>
      <c r="Z22" s="8">
        <v>9.3491507972940039E-3</v>
      </c>
      <c r="AA22" s="8">
        <v>1.682020597764634E-2</v>
      </c>
      <c r="AB22" s="8">
        <v>6.5154764569157489E-2</v>
      </c>
      <c r="AC22" s="8">
        <v>2.3767782184083371E-2</v>
      </c>
      <c r="AD22" s="8">
        <v>7.4618713387046929E-3</v>
      </c>
      <c r="AE22" s="8">
        <v>2.433718036623686E-4</v>
      </c>
      <c r="AF22" s="8">
        <v>4.9868260146666453E-3</v>
      </c>
      <c r="AG22" s="8">
        <v>3.512819430220979E-3</v>
      </c>
      <c r="AH22" s="8">
        <v>3.3015910723253388E-3</v>
      </c>
      <c r="AI22" s="8">
        <v>3.3015910723253388E-3</v>
      </c>
    </row>
    <row r="23" spans="1:35" x14ac:dyDescent="0.2">
      <c r="A23" s="12" t="s">
        <v>1387</v>
      </c>
      <c r="B23" s="8">
        <v>0.13685520339461599</v>
      </c>
      <c r="C23" s="8">
        <v>0.92406504856193716</v>
      </c>
      <c r="D23" s="8">
        <v>0.30451257507462992</v>
      </c>
      <c r="E23" s="8">
        <v>0.55794813691651124</v>
      </c>
      <c r="F23" s="8">
        <v>3.8990086437212558E-2</v>
      </c>
      <c r="G23" s="8">
        <v>0.75562787515317886</v>
      </c>
      <c r="H23" s="8">
        <v>0.13997441030959301</v>
      </c>
      <c r="I23" s="8">
        <v>0</v>
      </c>
      <c r="J23" s="8">
        <v>0</v>
      </c>
      <c r="K23" s="8">
        <v>0.12125916881973101</v>
      </c>
      <c r="L23" s="8">
        <v>0.24563754455443909</v>
      </c>
      <c r="M23" s="8">
        <v>3.4888329344017759</v>
      </c>
      <c r="N23" s="8">
        <v>1.800562191670475</v>
      </c>
      <c r="O23" s="8">
        <v>0</v>
      </c>
      <c r="P23" s="8">
        <v>0.90379020361458628</v>
      </c>
      <c r="Q23" s="8">
        <v>0.98255017821775636</v>
      </c>
      <c r="R23" s="8">
        <v>0</v>
      </c>
      <c r="S23" s="8">
        <v>0</v>
      </c>
      <c r="T23" s="8">
        <v>0.1041035307873575</v>
      </c>
      <c r="U23" s="8">
        <v>0</v>
      </c>
      <c r="V23" s="8">
        <v>0</v>
      </c>
      <c r="W23" s="8">
        <v>5.3806319283353291E-2</v>
      </c>
      <c r="X23" s="8">
        <v>0.71156907747912912</v>
      </c>
      <c r="Y23" s="8">
        <v>0.16063915612131571</v>
      </c>
      <c r="Z23" s="8">
        <v>0</v>
      </c>
      <c r="AA23" s="8">
        <v>0</v>
      </c>
      <c r="AB23" s="8">
        <v>0.26357298431555681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2.729306050604878E-2</v>
      </c>
      <c r="AI23" s="8">
        <v>0</v>
      </c>
    </row>
    <row r="24" spans="1:35" x14ac:dyDescent="0.2">
      <c r="A24" s="12" t="s">
        <v>1388</v>
      </c>
      <c r="B24" s="8">
        <v>8.4510374064208721E-2</v>
      </c>
      <c r="C24" s="8">
        <v>0.31039113020737608</v>
      </c>
      <c r="D24" s="8">
        <v>0.11063717280659439</v>
      </c>
      <c r="E24" s="8">
        <v>5.0111080959199833E-2</v>
      </c>
      <c r="F24" s="8">
        <v>2.211553169173236E-2</v>
      </c>
      <c r="G24" s="8">
        <v>0.1287414374476735</v>
      </c>
      <c r="H24" s="8">
        <v>2.242500630098157E-2</v>
      </c>
      <c r="I24" s="8">
        <v>0.11349386150735639</v>
      </c>
      <c r="J24" s="8">
        <v>4.1183928769318607E-3</v>
      </c>
      <c r="K24" s="8">
        <v>9.6603689564101147E-2</v>
      </c>
      <c r="L24" s="8">
        <v>0.56226775352747793</v>
      </c>
      <c r="M24" s="8">
        <v>2.1661675274398799</v>
      </c>
      <c r="N24" s="8">
        <v>1.274297412192402</v>
      </c>
      <c r="O24" s="8">
        <v>0.1189691815171502</v>
      </c>
      <c r="P24" s="8">
        <v>1.7105137767987579</v>
      </c>
      <c r="Q24" s="8">
        <v>1.021908965480081</v>
      </c>
      <c r="R24" s="8">
        <v>6.6382303683956631E-2</v>
      </c>
      <c r="S24" s="8">
        <v>2.995952274924131E-2</v>
      </c>
      <c r="T24" s="8">
        <v>3.7613067893366142E-3</v>
      </c>
      <c r="U24" s="8">
        <v>3.3982692669481097E-2</v>
      </c>
      <c r="V24" s="8">
        <v>2.3531973172526841E-2</v>
      </c>
      <c r="W24" s="8">
        <v>6.8334374296143988E-2</v>
      </c>
      <c r="X24" s="8">
        <v>4.9075531305173621E-2</v>
      </c>
      <c r="Y24" s="8">
        <v>4.2136158336239272E-3</v>
      </c>
      <c r="Z24" s="8">
        <v>2.715044552682537E-2</v>
      </c>
      <c r="AA24" s="8">
        <v>2.6150604481558679E-2</v>
      </c>
      <c r="AB24" s="8">
        <v>0.11962383934440809</v>
      </c>
      <c r="AC24" s="8">
        <v>6.5703840117525654E-3</v>
      </c>
      <c r="AD24" s="8">
        <v>9.8198674088693268E-3</v>
      </c>
      <c r="AE24" s="8">
        <v>1.746150968340764E-2</v>
      </c>
      <c r="AF24" s="8">
        <v>2.984049405337624E-2</v>
      </c>
      <c r="AG24" s="8">
        <v>3.5946666151254981E-3</v>
      </c>
      <c r="AH24" s="8">
        <v>1.6544988725246501E-3</v>
      </c>
      <c r="AI24" s="8">
        <v>1.5354701766595669E-3</v>
      </c>
    </row>
    <row r="25" spans="1:35" x14ac:dyDescent="0.2">
      <c r="A25" s="12" t="s">
        <v>1389</v>
      </c>
      <c r="B25" s="8">
        <v>2.3152174611415478E-2</v>
      </c>
      <c r="C25" s="8">
        <v>0.58862796159620279</v>
      </c>
      <c r="D25" s="8">
        <v>1.7894701626739871E-2</v>
      </c>
      <c r="E25" s="8">
        <v>6.4793933113891904E-3</v>
      </c>
      <c r="F25" s="8">
        <v>2.250905864998726E-3</v>
      </c>
      <c r="G25" s="8">
        <v>3.4567482926766181E-2</v>
      </c>
      <c r="H25" s="8">
        <v>0</v>
      </c>
      <c r="I25" s="8">
        <v>5.3394702697576971E-2</v>
      </c>
      <c r="J25" s="8">
        <v>0</v>
      </c>
      <c r="K25" s="8">
        <v>0.1523863270604138</v>
      </c>
      <c r="L25" s="8">
        <v>0.64215128748606509</v>
      </c>
      <c r="M25" s="8">
        <v>2.211675791351607</v>
      </c>
      <c r="N25" s="8">
        <v>1.683597197523869</v>
      </c>
      <c r="O25" s="8">
        <v>8.5695201860308684E-2</v>
      </c>
      <c r="P25" s="8">
        <v>1.7093057580819611</v>
      </c>
      <c r="Q25" s="8">
        <v>1.653563682125172</v>
      </c>
      <c r="R25" s="8">
        <v>9.4216488349232446E-3</v>
      </c>
      <c r="S25" s="8">
        <v>9.2126361474590794E-3</v>
      </c>
      <c r="T25" s="8">
        <v>2.5113678293771511E-2</v>
      </c>
      <c r="U25" s="8">
        <v>0</v>
      </c>
      <c r="V25" s="8">
        <v>0</v>
      </c>
      <c r="W25" s="8">
        <v>1.229959276231447E-2</v>
      </c>
      <c r="X25" s="8">
        <v>0</v>
      </c>
      <c r="Y25" s="8">
        <v>0</v>
      </c>
      <c r="Z25" s="8">
        <v>8.7302991763879255E-3</v>
      </c>
      <c r="AA25" s="8">
        <v>1.2990942420849789E-2</v>
      </c>
      <c r="AB25" s="8">
        <v>2.5515625769664142E-2</v>
      </c>
      <c r="AC25" s="8">
        <v>2.1062047736773799E-3</v>
      </c>
      <c r="AD25" s="8">
        <v>0</v>
      </c>
      <c r="AE25" s="8">
        <v>0</v>
      </c>
      <c r="AF25" s="8">
        <v>2.1222826727130828E-3</v>
      </c>
      <c r="AG25" s="8">
        <v>0</v>
      </c>
      <c r="AH25" s="8">
        <v>0</v>
      </c>
      <c r="AI25" s="8">
        <v>0</v>
      </c>
    </row>
    <row r="26" spans="1:35" x14ac:dyDescent="0.2">
      <c r="A26" s="12" t="s">
        <v>1390</v>
      </c>
      <c r="B26" s="8">
        <v>4.9193061639685363E-2</v>
      </c>
      <c r="C26" s="8">
        <v>0.62213427036978208</v>
      </c>
      <c r="D26" s="8">
        <v>0.1253294790581708</v>
      </c>
      <c r="E26" s="8">
        <v>1.7556055942970279E-2</v>
      </c>
      <c r="F26" s="8">
        <v>0</v>
      </c>
      <c r="G26" s="8">
        <v>4.5131249210720497E-3</v>
      </c>
      <c r="H26" s="8">
        <v>2.0670112138509989E-2</v>
      </c>
      <c r="I26" s="8">
        <v>8.4169779777993753E-2</v>
      </c>
      <c r="J26" s="8">
        <v>0.16563168460334421</v>
      </c>
      <c r="K26" s="8">
        <v>0.37472476219661238</v>
      </c>
      <c r="L26" s="8">
        <v>0.58426915228198739</v>
      </c>
      <c r="M26" s="8">
        <v>1.5341916856692319</v>
      </c>
      <c r="N26" s="8">
        <v>0.58327626479935191</v>
      </c>
      <c r="O26" s="8">
        <v>0</v>
      </c>
      <c r="P26" s="8">
        <v>0.89143243441015141</v>
      </c>
      <c r="Q26" s="8">
        <v>1.6009859345010991</v>
      </c>
      <c r="R26" s="8">
        <v>5.641406151340061E-3</v>
      </c>
      <c r="S26" s="8">
        <v>0.42179665512339382</v>
      </c>
      <c r="T26" s="8">
        <v>3.2088318188822282E-2</v>
      </c>
      <c r="U26" s="8">
        <v>9.2383667134344871E-2</v>
      </c>
      <c r="V26" s="8">
        <v>3.8451824327533857E-2</v>
      </c>
      <c r="W26" s="8">
        <v>3.3758174409618917E-2</v>
      </c>
      <c r="X26" s="8">
        <v>3.4480274396990453E-2</v>
      </c>
      <c r="Y26" s="8">
        <v>8.394412353194004E-3</v>
      </c>
      <c r="Z26" s="8">
        <v>7.9250473614025235E-2</v>
      </c>
      <c r="AA26" s="8">
        <v>0.43668996736293147</v>
      </c>
      <c r="AB26" s="8">
        <v>0.2477705581668557</v>
      </c>
      <c r="AC26" s="8">
        <v>0.5195509409138146</v>
      </c>
      <c r="AD26" s="8">
        <v>0</v>
      </c>
      <c r="AE26" s="8">
        <v>1.214030603768382E-2</v>
      </c>
      <c r="AF26" s="8">
        <v>1.7781712189023881E-2</v>
      </c>
      <c r="AG26" s="8">
        <v>0.1015904419733319</v>
      </c>
      <c r="AH26" s="8">
        <v>0</v>
      </c>
      <c r="AI26" s="8">
        <v>0</v>
      </c>
    </row>
    <row r="27" spans="1:35" x14ac:dyDescent="0.2">
      <c r="A27" s="12" t="s">
        <v>1391</v>
      </c>
      <c r="B27" s="8">
        <v>5.2766164697419488E-2</v>
      </c>
      <c r="C27" s="8">
        <v>0.2293693996011513</v>
      </c>
      <c r="D27" s="8">
        <v>6.388159265228105E-2</v>
      </c>
      <c r="E27" s="8">
        <v>7.188798967201028E-2</v>
      </c>
      <c r="F27" s="8">
        <v>3.7853093996999612E-2</v>
      </c>
      <c r="G27" s="8">
        <v>8.5274808822456069E-2</v>
      </c>
      <c r="H27" s="8">
        <v>2.6434471289786321E-2</v>
      </c>
      <c r="I27" s="8">
        <v>0.1102395563974526</v>
      </c>
      <c r="J27" s="8">
        <v>6.4287565286785921E-3</v>
      </c>
      <c r="K27" s="8">
        <v>0.2820790364633865</v>
      </c>
      <c r="L27" s="8">
        <v>0.27744889287238789</v>
      </c>
      <c r="M27" s="8">
        <v>1.3478240076621051</v>
      </c>
      <c r="N27" s="8">
        <v>0.9029705003386902</v>
      </c>
      <c r="O27" s="8">
        <v>8.9874119048808876E-2</v>
      </c>
      <c r="P27" s="8">
        <v>1.033570355190679</v>
      </c>
      <c r="Q27" s="8">
        <v>0.61570631972067824</v>
      </c>
      <c r="R27" s="8">
        <v>6.8275347114327548E-2</v>
      </c>
      <c r="S27" s="8">
        <v>5.8275059180827517E-2</v>
      </c>
      <c r="T27" s="8">
        <v>2.680447166553759E-2</v>
      </c>
      <c r="U27" s="8">
        <v>3.858281696028687E-2</v>
      </c>
      <c r="V27" s="8">
        <v>1.781654587124595E-2</v>
      </c>
      <c r="W27" s="8">
        <v>5.7267835935726798E-2</v>
      </c>
      <c r="X27" s="8">
        <v>8.8969673685861297E-2</v>
      </c>
      <c r="Y27" s="8">
        <v>6.83986805729113E-3</v>
      </c>
      <c r="Z27" s="8">
        <v>2.01752982666604E-2</v>
      </c>
      <c r="AA27" s="8">
        <v>3.890656728906923E-2</v>
      </c>
      <c r="AB27" s="8">
        <v>0.13125249440366099</v>
      </c>
      <c r="AC27" s="8">
        <v>2.7369750017379828E-2</v>
      </c>
      <c r="AD27" s="8">
        <v>6.9529237276595782E-3</v>
      </c>
      <c r="AE27" s="8">
        <v>7.1173683391045966E-3</v>
      </c>
      <c r="AF27" s="8">
        <v>6.9940348805208382E-3</v>
      </c>
      <c r="AG27" s="8">
        <v>1.039084388568194E-2</v>
      </c>
      <c r="AH27" s="8">
        <v>2.1223632664622359E-3</v>
      </c>
      <c r="AI27" s="8">
        <v>7.7597301025616886E-3</v>
      </c>
    </row>
    <row r="28" spans="1:35" x14ac:dyDescent="0.2">
      <c r="A28" s="12" t="s">
        <v>1392</v>
      </c>
      <c r="B28" s="8">
        <v>5.6888184067459782E-2</v>
      </c>
      <c r="C28" s="8">
        <v>0.2354315923891232</v>
      </c>
      <c r="D28" s="8">
        <v>6.2878551477740227E-2</v>
      </c>
      <c r="E28" s="8">
        <v>6.2482578038755572E-2</v>
      </c>
      <c r="F28" s="8">
        <v>1.484392737937287E-2</v>
      </c>
      <c r="G28" s="8">
        <v>8.3570701955963125E-2</v>
      </c>
      <c r="H28" s="8">
        <v>1.01633182672724E-2</v>
      </c>
      <c r="I28" s="8">
        <v>0.112964114926746</v>
      </c>
      <c r="J28" s="8">
        <v>9.7774979933899255E-3</v>
      </c>
      <c r="K28" s="8">
        <v>0.1148932162961583</v>
      </c>
      <c r="L28" s="8">
        <v>0.26837861314566569</v>
      </c>
      <c r="M28" s="8">
        <v>1.389887077166287</v>
      </c>
      <c r="N28" s="8">
        <v>0.41062445622707072</v>
      </c>
      <c r="O28" s="8">
        <v>4.1343688296037157E-2</v>
      </c>
      <c r="P28" s="8">
        <v>0.58954353165751427</v>
      </c>
      <c r="Q28" s="8">
        <v>0.34439536026561401</v>
      </c>
      <c r="R28" s="8">
        <v>8.6119146396607879E-2</v>
      </c>
      <c r="S28" s="8">
        <v>0.1059787373364528</v>
      </c>
      <c r="T28" s="8">
        <v>3.0469648471612858E-2</v>
      </c>
      <c r="U28" s="8">
        <v>3.4500455017174428E-2</v>
      </c>
      <c r="V28" s="8">
        <v>2.9434025631191491E-2</v>
      </c>
      <c r="W28" s="8">
        <v>5.0999348308201048E-2</v>
      </c>
      <c r="X28" s="8">
        <v>4.1069552838278581E-2</v>
      </c>
      <c r="Y28" s="8">
        <v>7.0361434158039693E-3</v>
      </c>
      <c r="Z28" s="8">
        <v>2.4976786151338758E-2</v>
      </c>
      <c r="AA28" s="8">
        <v>2.9180196503637231E-2</v>
      </c>
      <c r="AB28" s="8">
        <v>0.12473163328016131</v>
      </c>
      <c r="AC28" s="8">
        <v>2.0367249194953481E-2</v>
      </c>
      <c r="AD28" s="8">
        <v>8.2748295582687325E-3</v>
      </c>
      <c r="AE28" s="8">
        <v>5.2897990182306891E-3</v>
      </c>
      <c r="AF28" s="8">
        <v>2.3331973404787189E-2</v>
      </c>
      <c r="AG28" s="8">
        <v>7.7773244682623954E-3</v>
      </c>
      <c r="AH28" s="8">
        <v>1.522974765325535E-3</v>
      </c>
      <c r="AI28" s="8">
        <v>1.7839111084513089E-2</v>
      </c>
    </row>
    <row r="29" spans="1:35" x14ac:dyDescent="0.2">
      <c r="A29" s="12" t="s">
        <v>1393</v>
      </c>
      <c r="B29" s="8">
        <v>2.9105036078954051E-3</v>
      </c>
      <c r="C29" s="8">
        <v>2.5123778635378059E-2</v>
      </c>
      <c r="D29" s="8">
        <v>8.3226775409718078E-4</v>
      </c>
      <c r="E29" s="8">
        <v>5.7966719013435204E-3</v>
      </c>
      <c r="F29" s="8">
        <v>1.791079143320249E-3</v>
      </c>
      <c r="G29" s="8">
        <v>1.9200563098908649E-2</v>
      </c>
      <c r="H29" s="8">
        <v>6.4731936429780767E-4</v>
      </c>
      <c r="I29" s="8">
        <v>5.3196997381767157E-3</v>
      </c>
      <c r="J29" s="8">
        <v>4.4825649211900796E-3</v>
      </c>
      <c r="K29" s="8">
        <v>0.30464893450268382</v>
      </c>
      <c r="L29" s="8">
        <v>0.1450725435460507</v>
      </c>
      <c r="M29" s="8">
        <v>1.125060523401147</v>
      </c>
      <c r="N29" s="8">
        <v>0.12643169267942961</v>
      </c>
      <c r="O29" s="8">
        <v>1.3676446719374719E-3</v>
      </c>
      <c r="P29" s="8">
        <v>0.18952829597835269</v>
      </c>
      <c r="Q29" s="8">
        <v>0.1159139697753126</v>
      </c>
      <c r="R29" s="8">
        <v>5.1590866628246283E-4</v>
      </c>
      <c r="S29" s="8">
        <v>6.4245230140835006E-4</v>
      </c>
      <c r="T29" s="8">
        <v>1.0999562130173269E-3</v>
      </c>
      <c r="U29" s="8">
        <v>7.0572411897129378E-3</v>
      </c>
      <c r="V29" s="8">
        <v>3.2852674503836081E-3</v>
      </c>
      <c r="W29" s="8">
        <v>2.6544960999099549E-2</v>
      </c>
      <c r="X29" s="8">
        <v>4.6908752128588492E-2</v>
      </c>
      <c r="Y29" s="8">
        <v>4.3608883489536492E-3</v>
      </c>
      <c r="Z29" s="8">
        <v>6.4780607058675284E-3</v>
      </c>
      <c r="AA29" s="8">
        <v>2.4627338220653402E-3</v>
      </c>
      <c r="AB29" s="8">
        <v>1.243534568256314E-2</v>
      </c>
      <c r="AC29" s="8">
        <v>3.776840802218788E-3</v>
      </c>
      <c r="AD29" s="8">
        <v>3.504285280409183E-4</v>
      </c>
      <c r="AE29" s="8">
        <v>1.868952149551564E-3</v>
      </c>
      <c r="AF29" s="8">
        <v>1.323841105932358E-3</v>
      </c>
      <c r="AG29" s="8">
        <v>1.04155145834384E-3</v>
      </c>
      <c r="AH29" s="8">
        <v>1.241101036811586E-3</v>
      </c>
      <c r="AI29" s="8">
        <v>3.689233670208555E-3</v>
      </c>
    </row>
    <row r="30" spans="1:35" x14ac:dyDescent="0.2">
      <c r="A30" s="12" t="s">
        <v>1394</v>
      </c>
      <c r="B30" s="8">
        <v>6.0721604502416433E-2</v>
      </c>
      <c r="C30" s="8">
        <v>0.14204160058463061</v>
      </c>
      <c r="D30" s="8">
        <v>4.1566437380386068E-2</v>
      </c>
      <c r="E30" s="8">
        <v>2.2863506805067619E-2</v>
      </c>
      <c r="F30" s="8">
        <v>1.5674911958204259E-2</v>
      </c>
      <c r="G30" s="8">
        <v>3.5333438019183441E-2</v>
      </c>
      <c r="H30" s="8">
        <v>1.027953333134619E-2</v>
      </c>
      <c r="I30" s="8">
        <v>4.750449986329839E-2</v>
      </c>
      <c r="J30" s="8">
        <v>3.0830735010617498E-3</v>
      </c>
      <c r="K30" s="8">
        <v>1.489627859951774E-2</v>
      </c>
      <c r="L30" s="8">
        <v>5.0752738016202732E-2</v>
      </c>
      <c r="M30" s="8">
        <v>0.57907906683526511</v>
      </c>
      <c r="N30" s="8">
        <v>1.1301941851168951</v>
      </c>
      <c r="O30" s="8">
        <v>7.8929041122207111E-2</v>
      </c>
      <c r="P30" s="8">
        <v>0.68427322009215541</v>
      </c>
      <c r="Q30" s="8">
        <v>0.14562016804122019</v>
      </c>
      <c r="R30" s="8">
        <v>3.8758638299062002E-2</v>
      </c>
      <c r="S30" s="8">
        <v>3.6536780482608062E-2</v>
      </c>
      <c r="T30" s="8">
        <v>3.2140254750226617E-2</v>
      </c>
      <c r="U30" s="8">
        <v>2.9328523177191999E-2</v>
      </c>
      <c r="V30" s="8">
        <v>1.1140749015954E-2</v>
      </c>
      <c r="W30" s="8">
        <v>1.7153528841366519E-2</v>
      </c>
      <c r="X30" s="8">
        <v>2.1152872910983611E-2</v>
      </c>
      <c r="Y30" s="8">
        <v>1.7617562863210001E-3</v>
      </c>
      <c r="Z30" s="8">
        <v>1.5639519532809409E-2</v>
      </c>
      <c r="AA30" s="8">
        <v>1.572210185873071E-2</v>
      </c>
      <c r="AB30" s="8">
        <v>9.2279850479483463E-2</v>
      </c>
      <c r="AC30" s="8">
        <v>2.8325737791004821E-2</v>
      </c>
      <c r="AD30" s="8">
        <v>1.6614777477022821E-2</v>
      </c>
      <c r="AE30" s="8">
        <v>5.8554801569910032E-3</v>
      </c>
      <c r="AF30" s="8">
        <v>9.6739296079233449E-3</v>
      </c>
      <c r="AG30" s="8">
        <v>5.422906068831829E-3</v>
      </c>
      <c r="AH30" s="8">
        <v>5.5448133118585043E-3</v>
      </c>
      <c r="AI30" s="8">
        <v>6.0245773005441344E-3</v>
      </c>
    </row>
    <row r="31" spans="1:35" x14ac:dyDescent="0.2">
      <c r="A31" s="12" t="s">
        <v>1395</v>
      </c>
      <c r="B31" s="8">
        <v>5.8016736064685687E-2</v>
      </c>
      <c r="C31" s="8">
        <v>0.21010388546916611</v>
      </c>
      <c r="D31" s="8">
        <v>5.9066394771891621E-2</v>
      </c>
      <c r="E31" s="8">
        <v>5.7517098520055647E-2</v>
      </c>
      <c r="F31" s="8">
        <v>2.9151121616522859E-2</v>
      </c>
      <c r="G31" s="8">
        <v>7.1141668539588518E-2</v>
      </c>
      <c r="H31" s="8">
        <v>1.9007219870084829E-2</v>
      </c>
      <c r="I31" s="8">
        <v>7.6864407811275223E-2</v>
      </c>
      <c r="J31" s="8">
        <v>1.1852746121769271E-2</v>
      </c>
      <c r="K31" s="8">
        <v>0.10383643795163849</v>
      </c>
      <c r="L31" s="8">
        <v>0.20307117213088641</v>
      </c>
      <c r="M31" s="8">
        <v>1.062884406916716</v>
      </c>
      <c r="N31" s="8">
        <v>1.1520172256978141</v>
      </c>
      <c r="O31" s="8">
        <v>0.12432577591629811</v>
      </c>
      <c r="P31" s="8">
        <v>0.88703298438109357</v>
      </c>
      <c r="Q31" s="8">
        <v>0.20116919055342919</v>
      </c>
      <c r="R31" s="8">
        <v>0.51311096379571375</v>
      </c>
      <c r="S31" s="8">
        <v>8.0055370281181218E-2</v>
      </c>
      <c r="T31" s="8">
        <v>4.2036731906182727E-2</v>
      </c>
      <c r="U31" s="8">
        <v>3.290050251866241E-2</v>
      </c>
      <c r="V31" s="8">
        <v>1.0106114032978611E-2</v>
      </c>
      <c r="W31" s="8">
        <v>5.4351327859122618E-2</v>
      </c>
      <c r="X31" s="8">
        <v>6.947061187771672E-2</v>
      </c>
      <c r="Y31" s="8">
        <v>1.2184438273246339E-2</v>
      </c>
      <c r="Z31" s="8">
        <v>1.9456473796768951E-2</v>
      </c>
      <c r="AA31" s="8">
        <v>1.5644113372197049E-2</v>
      </c>
      <c r="AB31" s="8">
        <v>6.1862685567888168E-2</v>
      </c>
      <c r="AC31" s="8">
        <v>1.3796714047514629E-2</v>
      </c>
      <c r="AD31" s="8">
        <v>1.329707650288461E-2</v>
      </c>
      <c r="AE31" s="8">
        <v>1.163441711067043E-2</v>
      </c>
      <c r="AF31" s="8">
        <v>1.75670881237983E-2</v>
      </c>
      <c r="AG31" s="8">
        <v>7.335015045954978E-3</v>
      </c>
      <c r="AH31" s="8">
        <v>1.0202682634041561E-3</v>
      </c>
      <c r="AI31" s="8">
        <v>3.2245515485365911E-3</v>
      </c>
    </row>
    <row r="32" spans="1:35" x14ac:dyDescent="0.2">
      <c r="A32" s="12" t="s">
        <v>1396</v>
      </c>
      <c r="B32" s="8">
        <v>8.7555726052274171E-2</v>
      </c>
      <c r="C32" s="8">
        <v>0.39018298921976929</v>
      </c>
      <c r="D32" s="8">
        <v>0.1450553111233836</v>
      </c>
      <c r="E32" s="8">
        <v>0.1559719283665425</v>
      </c>
      <c r="F32" s="8">
        <v>5.9565438426957752E-2</v>
      </c>
      <c r="G32" s="8">
        <v>0.23048442342699049</v>
      </c>
      <c r="H32" s="8">
        <v>4.4841169900470747E-2</v>
      </c>
      <c r="I32" s="8">
        <v>9.6406489939584797E-2</v>
      </c>
      <c r="J32" s="8">
        <v>4.8648821183798867E-2</v>
      </c>
      <c r="K32" s="8">
        <v>9.8553357152525126E-2</v>
      </c>
      <c r="L32" s="8">
        <v>0.108518061574852</v>
      </c>
      <c r="M32" s="8">
        <v>0.74931741770899551</v>
      </c>
      <c r="N32" s="8">
        <v>0.42169737962859138</v>
      </c>
      <c r="O32" s="8">
        <v>5.8248963249211319E-2</v>
      </c>
      <c r="P32" s="8">
        <v>0.69368115135100383</v>
      </c>
      <c r="Q32" s="8">
        <v>0.24593781666730621</v>
      </c>
      <c r="R32" s="8">
        <v>6.9084566635278108E-2</v>
      </c>
      <c r="S32" s="8">
        <v>0.12488286070745359</v>
      </c>
      <c r="T32" s="8">
        <v>0.13209309398864949</v>
      </c>
      <c r="U32" s="8">
        <v>0.1100573248596016</v>
      </c>
      <c r="V32" s="8">
        <v>4.4193059043734037E-2</v>
      </c>
      <c r="W32" s="8">
        <v>9.6143194904035542E-2</v>
      </c>
      <c r="X32" s="8">
        <v>0.13101966038217941</v>
      </c>
      <c r="Y32" s="8">
        <v>2.489150759154405E-2</v>
      </c>
      <c r="Z32" s="8">
        <v>4.6785502470680883E-2</v>
      </c>
      <c r="AA32" s="8">
        <v>0.1097130159669602</v>
      </c>
      <c r="AB32" s="8">
        <v>0.26062157826524729</v>
      </c>
      <c r="AC32" s="8">
        <v>9.1910220870973891E-2</v>
      </c>
      <c r="AD32" s="8">
        <v>1.9281297987916959E-2</v>
      </c>
      <c r="AE32" s="8">
        <v>2.5296576877004501E-2</v>
      </c>
      <c r="AF32" s="8">
        <v>7.9474593807338359E-2</v>
      </c>
      <c r="AG32" s="8">
        <v>4.4091791722368927E-2</v>
      </c>
      <c r="AH32" s="8">
        <v>8.627975780307379E-3</v>
      </c>
      <c r="AI32" s="8">
        <v>2.0496505844298279E-2</v>
      </c>
    </row>
    <row r="33" spans="1:35" x14ac:dyDescent="0.2">
      <c r="A33" s="12" t="s">
        <v>1397</v>
      </c>
      <c r="B33" s="8">
        <v>0.15429120289788811</v>
      </c>
      <c r="C33" s="8">
        <v>0.1277871925841404</v>
      </c>
      <c r="D33" s="8">
        <v>0.111695472036508</v>
      </c>
      <c r="E33" s="8">
        <v>6.3893596292070212E-2</v>
      </c>
      <c r="F33" s="8">
        <v>0</v>
      </c>
      <c r="G33" s="8">
        <v>0.20292132896463039</v>
      </c>
      <c r="H33" s="8">
        <v>9.5840394438105343E-3</v>
      </c>
      <c r="I33" s="8">
        <v>0.22504744471762511</v>
      </c>
      <c r="J33" s="8">
        <v>6.7324919055903654E-2</v>
      </c>
      <c r="K33" s="8">
        <v>5.8924094358242543E-2</v>
      </c>
      <c r="L33" s="8">
        <v>0.22954366075299301</v>
      </c>
      <c r="M33" s="8">
        <v>0.56604993455789632</v>
      </c>
      <c r="N33" s="8">
        <v>1.0063241416001061</v>
      </c>
      <c r="O33" s="8">
        <v>4.6263696574443409E-2</v>
      </c>
      <c r="P33" s="8">
        <v>0.56427511243867179</v>
      </c>
      <c r="Q33" s="8">
        <v>6.1645488274386262E-2</v>
      </c>
      <c r="R33" s="8">
        <v>0</v>
      </c>
      <c r="S33" s="8">
        <v>1.1713825986879541E-2</v>
      </c>
      <c r="T33" s="8">
        <v>7.8683780618938354E-2</v>
      </c>
      <c r="U33" s="8">
        <v>5.2061448830575743E-2</v>
      </c>
      <c r="V33" s="8">
        <v>0.16363859939246869</v>
      </c>
      <c r="W33" s="8">
        <v>2.5675759991443031E-2</v>
      </c>
      <c r="X33" s="8">
        <v>0.37247600208784643</v>
      </c>
      <c r="Y33" s="8">
        <v>2.3072687549914251E-2</v>
      </c>
      <c r="Z33" s="8">
        <v>6.7679883479748459E-2</v>
      </c>
      <c r="AA33" s="8">
        <v>0.15535609616942259</v>
      </c>
      <c r="AB33" s="8">
        <v>0.19333728952081991</v>
      </c>
      <c r="AC33" s="8">
        <v>0.20280300749001551</v>
      </c>
      <c r="AD33" s="8">
        <v>7.1939456565886462E-2</v>
      </c>
      <c r="AE33" s="8">
        <v>0.16777985100399179</v>
      </c>
      <c r="AF33" s="8">
        <v>8.3653282552765981E-2</v>
      </c>
      <c r="AG33" s="8">
        <v>9.4065572318881172E-2</v>
      </c>
      <c r="AH33" s="8">
        <v>3.4313227638334011E-3</v>
      </c>
      <c r="AI33" s="8">
        <v>5.6084378967483868E-2</v>
      </c>
    </row>
    <row r="34" spans="1:35" x14ac:dyDescent="0.2">
      <c r="A34" s="12" t="s">
        <v>1398</v>
      </c>
      <c r="B34" s="8">
        <v>2.4784234024127889E-2</v>
      </c>
      <c r="C34" s="8">
        <v>0.13058073260790701</v>
      </c>
      <c r="D34" s="8">
        <v>3.6782421648334042E-2</v>
      </c>
      <c r="E34" s="8">
        <v>5.4844378058769162E-2</v>
      </c>
      <c r="F34" s="8">
        <v>1.986109659975582E-2</v>
      </c>
      <c r="G34" s="8">
        <v>5.8799350718953418E-2</v>
      </c>
      <c r="H34" s="8">
        <v>1.2731170664299759E-2</v>
      </c>
      <c r="I34" s="8">
        <v>4.9721336168917017E-2</v>
      </c>
      <c r="J34" s="8">
        <v>5.934418837977168E-3</v>
      </c>
      <c r="K34" s="8">
        <v>2.333394672554695E-2</v>
      </c>
      <c r="L34" s="8">
        <v>9.7533780677269394E-2</v>
      </c>
      <c r="M34" s="8">
        <v>0.41501734911824462</v>
      </c>
      <c r="N34" s="8">
        <v>0.34398854874639262</v>
      </c>
      <c r="O34" s="8">
        <v>3.2670661172086959E-2</v>
      </c>
      <c r="P34" s="8">
        <v>0.47967664446254549</v>
      </c>
      <c r="Q34" s="8">
        <v>0.1325915363489126</v>
      </c>
      <c r="R34" s="8">
        <v>2.7880793391368279E-2</v>
      </c>
      <c r="S34" s="8">
        <v>3.4614830091265758E-2</v>
      </c>
      <c r="T34" s="8">
        <v>3.079704677013646E-2</v>
      </c>
      <c r="U34" s="8">
        <v>2.4839109759749869E-2</v>
      </c>
      <c r="V34" s="8">
        <v>1.830889722073405E-2</v>
      </c>
      <c r="W34" s="8">
        <v>2.2412818306177959E-2</v>
      </c>
      <c r="X34" s="8">
        <v>2.9237008000311551E-2</v>
      </c>
      <c r="Y34" s="8">
        <v>7.412144004369103E-3</v>
      </c>
      <c r="Z34" s="8">
        <v>1.082619869913668E-2</v>
      </c>
      <c r="AA34" s="8">
        <v>1.0904592607168081E-2</v>
      </c>
      <c r="AB34" s="8">
        <v>6.7320768521966848E-2</v>
      </c>
      <c r="AC34" s="8">
        <v>2.5685763966489011E-2</v>
      </c>
      <c r="AD34" s="8">
        <v>5.6639598552688233E-3</v>
      </c>
      <c r="AE34" s="8">
        <v>6.9927365964011024E-3</v>
      </c>
      <c r="AF34" s="8">
        <v>8.6154904926511316E-3</v>
      </c>
      <c r="AG34" s="8">
        <v>8.0510543548250307E-3</v>
      </c>
      <c r="AH34" s="8">
        <v>2.5086050570048788E-4</v>
      </c>
      <c r="AI34" s="8">
        <v>4.4645330623883693E-3</v>
      </c>
    </row>
    <row r="35" spans="1:35" x14ac:dyDescent="0.2">
      <c r="A35" s="12" t="s">
        <v>1399</v>
      </c>
      <c r="B35" s="8">
        <v>6.6572098053290882E-2</v>
      </c>
      <c r="C35" s="8">
        <v>0.17103404915461359</v>
      </c>
      <c r="D35" s="8">
        <v>5.3970586115124522E-2</v>
      </c>
      <c r="E35" s="8">
        <v>6.2439299951889078E-2</v>
      </c>
      <c r="F35" s="8">
        <v>3.2743814957564739E-2</v>
      </c>
      <c r="G35" s="8">
        <v>8.2040347310848222E-2</v>
      </c>
      <c r="H35" s="8">
        <v>1.880892772285709E-2</v>
      </c>
      <c r="I35" s="8">
        <v>9.3813342811451317E-2</v>
      </c>
      <c r="J35" s="8">
        <v>1.3198732572895449E-2</v>
      </c>
      <c r="K35" s="8">
        <v>2.795783124714403E-2</v>
      </c>
      <c r="L35" s="8">
        <v>8.5815439212943045E-2</v>
      </c>
      <c r="M35" s="8">
        <v>0.6915177027728614</v>
      </c>
      <c r="N35" s="8">
        <v>0.66991404860662285</v>
      </c>
      <c r="O35" s="8">
        <v>5.2668911258565571E-2</v>
      </c>
      <c r="P35" s="8">
        <v>0.57100006586566676</v>
      </c>
      <c r="Q35" s="8">
        <v>0.14676912348368429</v>
      </c>
      <c r="R35" s="8">
        <v>7.4735548393929152E-2</v>
      </c>
      <c r="S35" s="8">
        <v>7.2539999402559438E-2</v>
      </c>
      <c r="T35" s="8">
        <v>4.4105878828767119E-2</v>
      </c>
      <c r="U35" s="8">
        <v>6.7108265988794713E-2</v>
      </c>
      <c r="V35" s="8">
        <v>2.6171257067892199E-2</v>
      </c>
      <c r="W35" s="8">
        <v>3.8559867285683308E-2</v>
      </c>
      <c r="X35" s="8">
        <v>5.191044887972876E-2</v>
      </c>
      <c r="Y35" s="8">
        <v>6.4520179450483148E-3</v>
      </c>
      <c r="Z35" s="8">
        <v>3.002109939019235E-2</v>
      </c>
      <c r="AA35" s="8">
        <v>3.1959522590594168E-2</v>
      </c>
      <c r="AB35" s="8">
        <v>0.12052233326867361</v>
      </c>
      <c r="AC35" s="8">
        <v>3.350384279022784E-2</v>
      </c>
      <c r="AD35" s="8">
        <v>1.316664076945654E-2</v>
      </c>
      <c r="AE35" s="8">
        <v>1.341006883944441E-2</v>
      </c>
      <c r="AF35" s="8">
        <v>1.2979177673758479E-2</v>
      </c>
      <c r="AG35" s="8">
        <v>1.00063808576365E-2</v>
      </c>
      <c r="AH35" s="8">
        <v>6.3667007115155872E-3</v>
      </c>
      <c r="AI35" s="8">
        <v>8.932870896259118E-3</v>
      </c>
    </row>
    <row r="36" spans="1:35" x14ac:dyDescent="0.2">
      <c r="A36" s="12" t="s">
        <v>1400</v>
      </c>
      <c r="B36" s="8">
        <v>1.6147825858861511E-2</v>
      </c>
      <c r="C36" s="8">
        <v>6.4416614311888401E-2</v>
      </c>
      <c r="D36" s="8">
        <v>5.0375976005941209E-2</v>
      </c>
      <c r="E36" s="8">
        <v>6.0933749910957437E-2</v>
      </c>
      <c r="F36" s="8">
        <v>1.361483356727539E-2</v>
      </c>
      <c r="G36" s="8">
        <v>7.5487537517355319E-2</v>
      </c>
      <c r="H36" s="8">
        <v>1.6813828142425099E-2</v>
      </c>
      <c r="I36" s="8">
        <v>4.3355656852967578E-2</v>
      </c>
      <c r="J36" s="8">
        <v>2.0995449037586669E-2</v>
      </c>
      <c r="K36" s="8">
        <v>2.2949783607388041E-2</v>
      </c>
      <c r="L36" s="8">
        <v>0.35586358082740499</v>
      </c>
      <c r="M36" s="8">
        <v>0.44829596332985389</v>
      </c>
      <c r="N36" s="8">
        <v>0.28656658912612448</v>
      </c>
      <c r="O36" s="8">
        <v>4.6150682829890211E-2</v>
      </c>
      <c r="P36" s="8">
        <v>0.1734117093416481</v>
      </c>
      <c r="Q36" s="8">
        <v>0.19804287576327859</v>
      </c>
      <c r="R36" s="8">
        <v>5.6937736209575908E-2</v>
      </c>
      <c r="S36" s="8">
        <v>2.6629173272321321E-2</v>
      </c>
      <c r="T36" s="8">
        <v>5.5682158134005219E-3</v>
      </c>
      <c r="U36" s="8">
        <v>3.4915988571087998E-2</v>
      </c>
      <c r="V36" s="8">
        <v>1.1289284609914E-2</v>
      </c>
      <c r="W36" s="8">
        <v>2.392149185717754E-2</v>
      </c>
      <c r="X36" s="8">
        <v>4.7701048801464453E-2</v>
      </c>
      <c r="Y36" s="8">
        <v>1.2119057946812901E-3</v>
      </c>
      <c r="Z36" s="8">
        <v>2.3692212382508099E-2</v>
      </c>
      <c r="AA36" s="8">
        <v>1.0241149868568019E-2</v>
      </c>
      <c r="AB36" s="8">
        <v>6.7790298010595801E-2</v>
      </c>
      <c r="AC36" s="8">
        <v>1.314535654771417E-2</v>
      </c>
      <c r="AD36" s="8">
        <v>7.5225503832018802E-3</v>
      </c>
      <c r="AE36" s="8">
        <v>9.9245258321197516E-3</v>
      </c>
      <c r="AF36" s="8">
        <v>3.602963173376808E-3</v>
      </c>
      <c r="AG36" s="8">
        <v>1.310168426682476E-3</v>
      </c>
      <c r="AH36" s="8">
        <v>0</v>
      </c>
      <c r="AI36" s="8">
        <v>1.845153867577819E-3</v>
      </c>
    </row>
    <row r="37" spans="1:35" x14ac:dyDescent="0.2">
      <c r="A37" s="12" t="s">
        <v>1401</v>
      </c>
      <c r="B37" s="8">
        <v>3.8391736497296061E-2</v>
      </c>
      <c r="C37" s="8">
        <v>0.151200254593229</v>
      </c>
      <c r="D37" s="8">
        <v>5.4440750861639207E-2</v>
      </c>
      <c r="E37" s="8">
        <v>5.7046950156371519E-2</v>
      </c>
      <c r="F37" s="8">
        <v>3.039159698572113E-2</v>
      </c>
      <c r="G37" s="8">
        <v>7.5362604544118236E-2</v>
      </c>
      <c r="H37" s="8">
        <v>1.7074540932998161E-2</v>
      </c>
      <c r="I37" s="8">
        <v>9.3266638850543593E-2</v>
      </c>
      <c r="J37" s="8">
        <v>1.369046206813916E-2</v>
      </c>
      <c r="K37" s="8">
        <v>1.6831459770915689E-2</v>
      </c>
      <c r="L37" s="8">
        <v>0.1164106652797364</v>
      </c>
      <c r="M37" s="8">
        <v>0.54282931732316597</v>
      </c>
      <c r="N37" s="8">
        <v>0.36955006728038681</v>
      </c>
      <c r="O37" s="8">
        <v>4.2324906823420938E-2</v>
      </c>
      <c r="P37" s="8">
        <v>0.42539937868555899</v>
      </c>
      <c r="Q37" s="8">
        <v>0.1168901773638608</v>
      </c>
      <c r="R37" s="8">
        <v>5.3419790129430038E-2</v>
      </c>
      <c r="S37" s="8">
        <v>5.8265432943519102E-2</v>
      </c>
      <c r="T37" s="8">
        <v>3.5997650082665943E-2</v>
      </c>
      <c r="U37" s="8">
        <v>4.0489539829518598E-2</v>
      </c>
      <c r="V37" s="8">
        <v>2.2112445164381499E-2</v>
      </c>
      <c r="W37" s="8">
        <v>4.1034958770165018E-2</v>
      </c>
      <c r="X37" s="8">
        <v>3.7919668711724717E-2</v>
      </c>
      <c r="Y37" s="8">
        <v>6.3489940925296456E-3</v>
      </c>
      <c r="Z37" s="8">
        <v>2.338373284259803E-2</v>
      </c>
      <c r="AA37" s="8">
        <v>2.410106545116068E-2</v>
      </c>
      <c r="AB37" s="8">
        <v>8.476326475678897E-2</v>
      </c>
      <c r="AC37" s="8">
        <v>2.6550338932396701E-2</v>
      </c>
      <c r="AD37" s="8">
        <v>1.110997041774308E-2</v>
      </c>
      <c r="AE37" s="8">
        <v>1.1942937797161639E-2</v>
      </c>
      <c r="AF37" s="8">
        <v>1.448382577925602E-2</v>
      </c>
      <c r="AG37" s="8">
        <v>7.9092198119148343E-3</v>
      </c>
      <c r="AH37" s="8">
        <v>4.4047418251260562E-3</v>
      </c>
      <c r="AI37" s="8">
        <v>8.0307107642990493E-3</v>
      </c>
    </row>
    <row r="38" spans="1:35" x14ac:dyDescent="0.2">
      <c r="A38" s="12" t="s">
        <v>1402</v>
      </c>
      <c r="B38" s="8">
        <v>3.943843331643921E-2</v>
      </c>
      <c r="C38" s="8">
        <v>5.7454454677883612E-2</v>
      </c>
      <c r="D38" s="8">
        <v>4.8446443997161387E-2</v>
      </c>
      <c r="E38" s="8">
        <v>3.3685418091776297E-2</v>
      </c>
      <c r="F38" s="8">
        <v>1.9227182461373438E-2</v>
      </c>
      <c r="G38" s="8">
        <v>0.1704709248150118</v>
      </c>
      <c r="H38" s="8">
        <v>0</v>
      </c>
      <c r="I38" s="8">
        <v>4.958190752834489E-2</v>
      </c>
      <c r="J38" s="8">
        <v>0</v>
      </c>
      <c r="K38" s="8">
        <v>0</v>
      </c>
      <c r="L38" s="8">
        <v>4.9657605097090447E-2</v>
      </c>
      <c r="M38" s="8">
        <v>0.58786731887805566</v>
      </c>
      <c r="N38" s="8">
        <v>0.27016462285292042</v>
      </c>
      <c r="O38" s="8">
        <v>0.16888127587135479</v>
      </c>
      <c r="P38" s="8">
        <v>0.46084679852299781</v>
      </c>
      <c r="Q38" s="8">
        <v>0.14677758579764991</v>
      </c>
      <c r="R38" s="8">
        <v>0</v>
      </c>
      <c r="S38" s="8">
        <v>9.8406839369234132E-3</v>
      </c>
      <c r="T38" s="8">
        <v>0</v>
      </c>
      <c r="U38" s="8">
        <v>1.3928352649183901E-2</v>
      </c>
      <c r="V38" s="8">
        <v>0</v>
      </c>
      <c r="W38" s="8">
        <v>7.7892798239186101E-2</v>
      </c>
      <c r="X38" s="8">
        <v>0</v>
      </c>
      <c r="Y38" s="8">
        <v>0</v>
      </c>
      <c r="Z38" s="8">
        <v>0</v>
      </c>
      <c r="AA38" s="8">
        <v>2.4677407411054088E-2</v>
      </c>
      <c r="AB38" s="8">
        <v>0</v>
      </c>
      <c r="AC38" s="8">
        <v>0</v>
      </c>
      <c r="AD38" s="8">
        <v>0</v>
      </c>
      <c r="AE38" s="8">
        <v>1.9605670305101248E-2</v>
      </c>
      <c r="AF38" s="8">
        <v>5.2231322434439656E-3</v>
      </c>
      <c r="AG38" s="8">
        <v>9.4621960931955927E-3</v>
      </c>
      <c r="AH38" s="8">
        <v>0</v>
      </c>
      <c r="AI38" s="8">
        <v>0</v>
      </c>
    </row>
    <row r="39" spans="1:35" x14ac:dyDescent="0.2">
      <c r="A39" s="12" t="s">
        <v>1403</v>
      </c>
      <c r="B39" s="8">
        <v>4.1568399251597797E-2</v>
      </c>
      <c r="C39" s="8">
        <v>0.16439742277466809</v>
      </c>
      <c r="D39" s="8">
        <v>5.8625756181194838E-2</v>
      </c>
      <c r="E39" s="8">
        <v>4.6459505205550353E-2</v>
      </c>
      <c r="F39" s="8">
        <v>2.671579084940361E-2</v>
      </c>
      <c r="G39" s="8">
        <v>9.6772631773900414E-2</v>
      </c>
      <c r="H39" s="8">
        <v>1.5225442705739349E-2</v>
      </c>
      <c r="I39" s="8">
        <v>0.1020515754238949</v>
      </c>
      <c r="J39" s="8">
        <v>4.7995852597221321E-3</v>
      </c>
      <c r="K39" s="8">
        <v>2.0650669432577509E-2</v>
      </c>
      <c r="L39" s="8">
        <v>0.27084349186087159</v>
      </c>
      <c r="M39" s="8">
        <v>0.63228121846546692</v>
      </c>
      <c r="N39" s="8">
        <v>0.32300428621520128</v>
      </c>
      <c r="O39" s="8">
        <v>3.8221892555189513E-2</v>
      </c>
      <c r="P39" s="8">
        <v>0.33150745891275502</v>
      </c>
      <c r="Q39" s="8">
        <v>0.1668062174400271</v>
      </c>
      <c r="R39" s="8">
        <v>4.3388310761458083E-2</v>
      </c>
      <c r="S39" s="8">
        <v>4.1380856845387962E-2</v>
      </c>
      <c r="T39" s="8">
        <v>8.1061079151265175E-2</v>
      </c>
      <c r="U39" s="8">
        <v>3.2787663792853271E-2</v>
      </c>
      <c r="V39" s="8">
        <v>1.7125622365457411E-2</v>
      </c>
      <c r="W39" s="8">
        <v>3.8136373217957813E-2</v>
      </c>
      <c r="X39" s="8">
        <v>5.1013784997950021E-2</v>
      </c>
      <c r="Y39" s="8">
        <v>3.1904714144417369E-3</v>
      </c>
      <c r="Z39" s="8">
        <v>5.2836697186309622E-2</v>
      </c>
      <c r="AA39" s="8">
        <v>1.973021130289962E-2</v>
      </c>
      <c r="AB39" s="8">
        <v>0.1052360454813379</v>
      </c>
      <c r="AC39" s="8">
        <v>2.5942365966194241E-2</v>
      </c>
      <c r="AD39" s="8">
        <v>2.4932637651160491E-2</v>
      </c>
      <c r="AE39" s="8">
        <v>1.065465918159323E-2</v>
      </c>
      <c r="AF39" s="8">
        <v>3.4343515594770099E-2</v>
      </c>
      <c r="AG39" s="8">
        <v>1.6871314862636891E-2</v>
      </c>
      <c r="AH39" s="8">
        <v>6.5167235309793962E-3</v>
      </c>
      <c r="AI39" s="8">
        <v>2.005053373270603E-2</v>
      </c>
    </row>
    <row r="40" spans="1:35" x14ac:dyDescent="0.2">
      <c r="A40" s="12" t="s">
        <v>1404</v>
      </c>
      <c r="B40" s="8">
        <v>7.2440936002368958E-3</v>
      </c>
      <c r="C40" s="8">
        <v>6.2684439997425664E-2</v>
      </c>
      <c r="D40" s="8">
        <v>6.3647527585896447E-3</v>
      </c>
      <c r="E40" s="8">
        <v>3.2326244273889498E-2</v>
      </c>
      <c r="F40" s="8">
        <v>1.172454455529671E-2</v>
      </c>
      <c r="G40" s="8">
        <v>1.6204995510356531E-2</v>
      </c>
      <c r="H40" s="8">
        <v>5.8203989042365832E-3</v>
      </c>
      <c r="I40" s="8">
        <v>0</v>
      </c>
      <c r="J40" s="8">
        <v>1.2436391903296869E-2</v>
      </c>
      <c r="K40" s="8">
        <v>0.1226052373496742</v>
      </c>
      <c r="L40" s="8">
        <v>0.22310133353793171</v>
      </c>
      <c r="M40" s="8">
        <v>0.26788490640182411</v>
      </c>
      <c r="N40" s="8">
        <v>0.15449181120274019</v>
      </c>
      <c r="O40" s="8">
        <v>1.0342723232708181E-2</v>
      </c>
      <c r="P40" s="8">
        <v>0.23490962484005201</v>
      </c>
      <c r="Q40" s="8">
        <v>9.0027752835314043E-2</v>
      </c>
      <c r="R40" s="8">
        <v>1.653998249765072E-3</v>
      </c>
      <c r="S40" s="8">
        <v>3.2075004033418869E-2</v>
      </c>
      <c r="T40" s="8">
        <v>3.7183555589655283E-2</v>
      </c>
      <c r="U40" s="8">
        <v>5.6822167719777279E-2</v>
      </c>
      <c r="V40" s="8">
        <v>8.3746746823547963E-3</v>
      </c>
      <c r="W40" s="8">
        <v>0.13889397960685429</v>
      </c>
      <c r="X40" s="8">
        <v>9.953300859978674E-2</v>
      </c>
      <c r="Y40" s="8">
        <v>2.1146053572945859E-2</v>
      </c>
      <c r="Z40" s="8">
        <v>5.183923628377618E-2</v>
      </c>
      <c r="AA40" s="8">
        <v>5.3158247546247081E-2</v>
      </c>
      <c r="AB40" s="8">
        <v>0.40763729016361949</v>
      </c>
      <c r="AC40" s="8">
        <v>2.7447996271417838E-2</v>
      </c>
      <c r="AD40" s="8">
        <v>8.2071811887076997E-3</v>
      </c>
      <c r="AE40" s="8">
        <v>1.434163039353259E-2</v>
      </c>
      <c r="AF40" s="8">
        <v>2.4998403926829071E-2</v>
      </c>
      <c r="AG40" s="8">
        <v>6.1344492048248872E-3</v>
      </c>
      <c r="AH40" s="8">
        <v>0</v>
      </c>
      <c r="AI40" s="8">
        <v>1.5514084849062261E-2</v>
      </c>
    </row>
    <row r="41" spans="1:35" x14ac:dyDescent="0.2">
      <c r="A41" s="12" t="s">
        <v>1405</v>
      </c>
      <c r="B41" s="8">
        <v>6.2340118970520449E-3</v>
      </c>
      <c r="C41" s="8">
        <v>6.9567159311350713E-2</v>
      </c>
      <c r="D41" s="8">
        <v>6.8960308595708503E-3</v>
      </c>
      <c r="E41" s="8">
        <v>0.11857495195336749</v>
      </c>
      <c r="F41" s="8">
        <v>4.6966567507583851E-2</v>
      </c>
      <c r="G41" s="8">
        <v>8.2366192586714196E-2</v>
      </c>
      <c r="H41" s="8">
        <v>2.6112970188241621E-3</v>
      </c>
      <c r="I41" s="8">
        <v>6.5264036054978505E-2</v>
      </c>
      <c r="J41" s="8">
        <v>5.7742765064139898E-3</v>
      </c>
      <c r="K41" s="8">
        <v>9.6397316708987657E-2</v>
      </c>
      <c r="L41" s="8">
        <v>7.6518358417798124E-2</v>
      </c>
      <c r="M41" s="8">
        <v>0.160282146592052</v>
      </c>
      <c r="N41" s="8">
        <v>0.1275857656098735</v>
      </c>
      <c r="O41" s="8">
        <v>6.840862612694283E-3</v>
      </c>
      <c r="P41" s="8">
        <v>0.20338693681827619</v>
      </c>
      <c r="Q41" s="8">
        <v>3.8305152747962888E-2</v>
      </c>
      <c r="R41" s="8">
        <v>0.43430282882795918</v>
      </c>
      <c r="S41" s="8">
        <v>1.9180160497419722E-2</v>
      </c>
      <c r="T41" s="8">
        <v>3.017703104148203E-2</v>
      </c>
      <c r="U41" s="8">
        <v>0.1001671469122197</v>
      </c>
      <c r="V41" s="8">
        <v>5.7540481492259168E-2</v>
      </c>
      <c r="W41" s="8">
        <v>5.2042046220227997E-2</v>
      </c>
      <c r="X41" s="8">
        <v>0.1228596857941142</v>
      </c>
      <c r="Y41" s="8">
        <v>4.6065486141933253E-2</v>
      </c>
      <c r="Z41" s="8">
        <v>3.2052751435285298E-2</v>
      </c>
      <c r="AA41" s="8">
        <v>9.1579289815100825E-3</v>
      </c>
      <c r="AB41" s="8">
        <v>0.11063072440314189</v>
      </c>
      <c r="AC41" s="8">
        <v>2.318905310378358E-2</v>
      </c>
      <c r="AD41" s="8">
        <v>3.2733159813429619E-3</v>
      </c>
      <c r="AE41" s="8">
        <v>7.3557662502089045E-4</v>
      </c>
      <c r="AF41" s="8">
        <v>4.5532193088793117E-2</v>
      </c>
      <c r="AG41" s="8">
        <v>4.0033757816761967E-2</v>
      </c>
      <c r="AH41" s="8">
        <v>1.022451508779037E-2</v>
      </c>
      <c r="AI41" s="8">
        <v>1.239446613160201E-2</v>
      </c>
    </row>
    <row r="42" spans="1:35" x14ac:dyDescent="0.2">
      <c r="A42" s="12" t="s">
        <v>1406</v>
      </c>
      <c r="B42" s="8">
        <v>0</v>
      </c>
      <c r="C42" s="8">
        <v>0</v>
      </c>
      <c r="D42" s="8">
        <v>5.4064732878847603E-2</v>
      </c>
      <c r="E42" s="8">
        <v>4.0306857249429728E-2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3.5026807683545012E-2</v>
      </c>
      <c r="L42" s="8">
        <v>0.24585695584246259</v>
      </c>
      <c r="M42" s="8">
        <v>0.32907351167661708</v>
      </c>
      <c r="N42" s="8">
        <v>4.171982826001859E-2</v>
      </c>
      <c r="O42" s="8">
        <v>2.007906172942071E-2</v>
      </c>
      <c r="P42" s="8">
        <v>0.28824608616012842</v>
      </c>
      <c r="Q42" s="8">
        <v>0.81498680552859837</v>
      </c>
      <c r="R42" s="8">
        <v>0.13616578528359011</v>
      </c>
      <c r="S42" s="8">
        <v>7.9721311755329635E-2</v>
      </c>
      <c r="T42" s="8">
        <v>1.0188264655298649E-2</v>
      </c>
      <c r="U42" s="8">
        <v>7.2210255330620393E-2</v>
      </c>
      <c r="V42" s="8">
        <v>5.8006178329437601E-3</v>
      </c>
      <c r="W42" s="8">
        <v>6.031155208355627E-2</v>
      </c>
      <c r="X42" s="8">
        <v>0</v>
      </c>
      <c r="Y42" s="8">
        <v>1.8368623137655249E-2</v>
      </c>
      <c r="Z42" s="8">
        <v>1.6435083860007318E-2</v>
      </c>
      <c r="AA42" s="8">
        <v>0</v>
      </c>
      <c r="AB42" s="8">
        <v>2.4838543028246361E-2</v>
      </c>
      <c r="AC42" s="8">
        <v>1.1155034294122609E-2</v>
      </c>
      <c r="AD42" s="8">
        <v>0</v>
      </c>
      <c r="AE42" s="8">
        <v>0</v>
      </c>
      <c r="AF42" s="8">
        <v>0</v>
      </c>
      <c r="AG42" s="8">
        <v>1.7624954184713729E-2</v>
      </c>
      <c r="AH42" s="8">
        <v>0</v>
      </c>
      <c r="AI42" s="8">
        <v>3.480370699766256E-2</v>
      </c>
    </row>
    <row r="43" spans="1:35" x14ac:dyDescent="0.2">
      <c r="A43" s="12" t="s">
        <v>1407</v>
      </c>
      <c r="B43" s="8">
        <v>2.777769120718972E-2</v>
      </c>
      <c r="C43" s="8">
        <v>0.1277285623525227</v>
      </c>
      <c r="D43" s="8">
        <v>2.3760833575395102E-2</v>
      </c>
      <c r="E43" s="8">
        <v>4.4614931435348983E-2</v>
      </c>
      <c r="F43" s="8">
        <v>1.8678446662364869E-2</v>
      </c>
      <c r="G43" s="8">
        <v>4.5835361449099048E-2</v>
      </c>
      <c r="H43" s="8">
        <v>1.227705654216631E-2</v>
      </c>
      <c r="I43" s="8">
        <v>6.603582515745797E-2</v>
      </c>
      <c r="J43" s="8">
        <v>7.9996840420519747E-3</v>
      </c>
      <c r="K43" s="8">
        <v>3.6521368161470072E-2</v>
      </c>
      <c r="L43" s="8">
        <v>0.26790903131648941</v>
      </c>
      <c r="M43" s="8">
        <v>0.44329421221555337</v>
      </c>
      <c r="N43" s="8">
        <v>0.23833589980060971</v>
      </c>
      <c r="O43" s="8">
        <v>3.7273575506483338E-2</v>
      </c>
      <c r="P43" s="8">
        <v>0.33326423204320221</v>
      </c>
      <c r="Q43" s="8">
        <v>0.1605510887800119</v>
      </c>
      <c r="R43" s="8">
        <v>2.9764410450727051E-2</v>
      </c>
      <c r="S43" s="8">
        <v>3.0915604531004739E-2</v>
      </c>
      <c r="T43" s="8">
        <v>1.955152351835529E-2</v>
      </c>
      <c r="U43" s="8">
        <v>3.5040423279400323E-2</v>
      </c>
      <c r="V43" s="8">
        <v>1.221603504147881E-2</v>
      </c>
      <c r="W43" s="8">
        <v>2.8566276754535901E-2</v>
      </c>
      <c r="X43" s="8">
        <v>5.4682305558389023E-2</v>
      </c>
      <c r="Y43" s="8">
        <v>7.3307945152851261E-3</v>
      </c>
      <c r="Z43" s="8">
        <v>2.317291488607897E-2</v>
      </c>
      <c r="AA43" s="8">
        <v>1.557221757929143E-2</v>
      </c>
      <c r="AB43" s="8">
        <v>6.4252119752746362E-2</v>
      </c>
      <c r="AC43" s="8">
        <v>1.5533492396162829E-2</v>
      </c>
      <c r="AD43" s="8">
        <v>4.6822266873679597E-3</v>
      </c>
      <c r="AE43" s="8">
        <v>4.0121636702032714E-3</v>
      </c>
      <c r="AF43" s="8">
        <v>9.3245547012094782E-3</v>
      </c>
      <c r="AG43" s="8">
        <v>6.4354213417358126E-3</v>
      </c>
      <c r="AH43" s="8">
        <v>3.241180478824639E-3</v>
      </c>
      <c r="AI43" s="8">
        <v>6.9787473959341496E-3</v>
      </c>
    </row>
    <row r="44" spans="1:35" x14ac:dyDescent="0.2">
      <c r="A44" s="12" t="s">
        <v>1408</v>
      </c>
      <c r="B44" s="8">
        <v>1.6139461182863739E-2</v>
      </c>
      <c r="C44" s="8">
        <v>6.3526375407738117E-2</v>
      </c>
      <c r="D44" s="8">
        <v>4.216282547357901E-2</v>
      </c>
      <c r="E44" s="8">
        <v>2.2073443527540711E-2</v>
      </c>
      <c r="F44" s="8">
        <v>1.6357889980827319E-2</v>
      </c>
      <c r="G44" s="8">
        <v>5.0748290726869302E-2</v>
      </c>
      <c r="H44" s="8">
        <v>4.8903780877399142E-3</v>
      </c>
      <c r="I44" s="8">
        <v>1.8727235692071031E-2</v>
      </c>
      <c r="J44" s="8">
        <v>1.28690966800203E-2</v>
      </c>
      <c r="K44" s="8">
        <v>6.0213538638623991E-2</v>
      </c>
      <c r="L44" s="8">
        <v>0.18881045970637039</v>
      </c>
      <c r="M44" s="8">
        <v>0.42581177296345352</v>
      </c>
      <c r="N44" s="8">
        <v>0.22279130645623069</v>
      </c>
      <c r="O44" s="8">
        <v>7.8030654339180175E-2</v>
      </c>
      <c r="P44" s="8">
        <v>0.28261652723180841</v>
      </c>
      <c r="Q44" s="8">
        <v>0.14719067249439541</v>
      </c>
      <c r="R44" s="8">
        <v>0.5044097354306778</v>
      </c>
      <c r="S44" s="8">
        <v>8.846669690855069E-2</v>
      </c>
      <c r="T44" s="8">
        <v>4.0306180690888663E-2</v>
      </c>
      <c r="U44" s="8">
        <v>3.9669096696828249E-2</v>
      </c>
      <c r="V44" s="8">
        <v>1.0517953368606879E-2</v>
      </c>
      <c r="W44" s="8">
        <v>2.9348335993049601E-2</v>
      </c>
      <c r="X44" s="8">
        <v>2.1533438999241889E-2</v>
      </c>
      <c r="Y44" s="8">
        <v>4.0378990290209863E-3</v>
      </c>
      <c r="Z44" s="8">
        <v>3.2394204231319362E-2</v>
      </c>
      <c r="AA44" s="8">
        <v>1.947960155172334E-2</v>
      </c>
      <c r="AB44" s="8">
        <v>6.0717138367262218E-2</v>
      </c>
      <c r="AC44" s="8">
        <v>1.5917998651595121E-2</v>
      </c>
      <c r="AD44" s="8">
        <v>6.1311750095051944E-3</v>
      </c>
      <c r="AE44" s="8">
        <v>5.5183608818851777E-3</v>
      </c>
      <c r="AF44" s="8">
        <v>1.139773602707126E-2</v>
      </c>
      <c r="AG44" s="8">
        <v>8.0970341911773217E-3</v>
      </c>
      <c r="AH44" s="8">
        <v>3.4978945007221622E-3</v>
      </c>
      <c r="AI44" s="8">
        <v>6.8714059359372892E-3</v>
      </c>
    </row>
    <row r="45" spans="1:35" x14ac:dyDescent="0.2">
      <c r="A45" s="12" t="s">
        <v>1409</v>
      </c>
      <c r="B45" s="8">
        <v>3.0564255498104691E-2</v>
      </c>
      <c r="C45" s="8">
        <v>0.13986961116655861</v>
      </c>
      <c r="D45" s="8">
        <v>5.1650621123281622E-2</v>
      </c>
      <c r="E45" s="8">
        <v>4.9363094265792828E-2</v>
      </c>
      <c r="F45" s="8">
        <v>2.1982274409115508E-2</v>
      </c>
      <c r="G45" s="8">
        <v>4.7249099289877673E-2</v>
      </c>
      <c r="H45" s="8">
        <v>1.0996854340191001E-2</v>
      </c>
      <c r="I45" s="8">
        <v>5.5629971725415187E-2</v>
      </c>
      <c r="J45" s="8">
        <v>1.0852468640276971E-2</v>
      </c>
      <c r="K45" s="8">
        <v>2.099959968439008E-2</v>
      </c>
      <c r="L45" s="8">
        <v>0.13158200651233201</v>
      </c>
      <c r="M45" s="8">
        <v>0.5049100665574231</v>
      </c>
      <c r="N45" s="8">
        <v>0.36828823683334072</v>
      </c>
      <c r="O45" s="8">
        <v>4.5282853034837318E-2</v>
      </c>
      <c r="P45" s="8">
        <v>0.39620288021718442</v>
      </c>
      <c r="Q45" s="8">
        <v>9.7908077632538629E-2</v>
      </c>
      <c r="R45" s="8">
        <v>4.8257781376699428E-2</v>
      </c>
      <c r="S45" s="8">
        <v>3.3274626191056013E-2</v>
      </c>
      <c r="T45" s="8">
        <v>6.9551757495852134E-3</v>
      </c>
      <c r="U45" s="8">
        <v>3.755014683913125E-2</v>
      </c>
      <c r="V45" s="8">
        <v>1.7278080689245828E-2</v>
      </c>
      <c r="W45" s="8">
        <v>3.8680121881936647E-2</v>
      </c>
      <c r="X45" s="8">
        <v>3.505814830723003E-2</v>
      </c>
      <c r="Y45" s="8">
        <v>5.5216320147245378E-3</v>
      </c>
      <c r="Z45" s="8">
        <v>1.5219239257086689E-2</v>
      </c>
      <c r="AA45" s="8">
        <v>1.7036167381470631E-2</v>
      </c>
      <c r="AB45" s="8">
        <v>4.826002339067325E-2</v>
      </c>
      <c r="AC45" s="8">
        <v>1.1530453665960221E-2</v>
      </c>
      <c r="AD45" s="8">
        <v>8.6920639751037632E-3</v>
      </c>
      <c r="AE45" s="8">
        <v>5.6238678519307406E-3</v>
      </c>
      <c r="AF45" s="8">
        <v>8.1508418018235527E-3</v>
      </c>
      <c r="AG45" s="8">
        <v>4.4295470080766893E-3</v>
      </c>
      <c r="AH45" s="8">
        <v>9.907459750311729E-4</v>
      </c>
      <c r="AI45" s="8">
        <v>4.3755144713076202E-3</v>
      </c>
    </row>
    <row r="46" spans="1:35" x14ac:dyDescent="0.2">
      <c r="A46" s="12" t="s">
        <v>1410</v>
      </c>
      <c r="B46" s="8">
        <v>3.9658029423527343E-2</v>
      </c>
      <c r="C46" s="8">
        <v>0.1645276762549899</v>
      </c>
      <c r="D46" s="8">
        <v>5.5436735986242561E-2</v>
      </c>
      <c r="E46" s="8">
        <v>4.0819976015593368E-2</v>
      </c>
      <c r="F46" s="8">
        <v>2.517991080761332E-2</v>
      </c>
      <c r="G46" s="8">
        <v>9.5424863873425025E-2</v>
      </c>
      <c r="H46" s="8">
        <v>3.0851002413208459E-2</v>
      </c>
      <c r="I46" s="8">
        <v>0.10716976721027451</v>
      </c>
      <c r="J46" s="8">
        <v>2.0604746101353211E-2</v>
      </c>
      <c r="K46" s="8">
        <v>4.5045236350379041E-2</v>
      </c>
      <c r="L46" s="8">
        <v>0.63249506424032154</v>
      </c>
      <c r="M46" s="8">
        <v>1.3057969005576899</v>
      </c>
      <c r="N46" s="8">
        <v>0.72190553410594993</v>
      </c>
      <c r="O46" s="8">
        <v>0.12479702516945849</v>
      </c>
      <c r="P46" s="8">
        <v>0.68559470310388571</v>
      </c>
      <c r="Q46" s="8">
        <v>0.28337632710938288</v>
      </c>
      <c r="R46" s="8">
        <v>8.2788694684706635E-2</v>
      </c>
      <c r="S46" s="8">
        <v>6.2315987968815448E-2</v>
      </c>
      <c r="T46" s="8">
        <v>3.8066954828709601E-2</v>
      </c>
      <c r="U46" s="8">
        <v>5.7483346460904347E-2</v>
      </c>
      <c r="V46" s="8">
        <v>3.555820650493062E-2</v>
      </c>
      <c r="W46" s="8">
        <v>5.6796741656501677E-2</v>
      </c>
      <c r="X46" s="8">
        <v>6.6283771501950112E-2</v>
      </c>
      <c r="Y46" s="8">
        <v>7.1433307534970146E-3</v>
      </c>
      <c r="Z46" s="8">
        <v>3.0250223209356119E-2</v>
      </c>
      <c r="AA46" s="8">
        <v>2.241368568218333E-2</v>
      </c>
      <c r="AB46" s="8">
        <v>0.10849676303416821</v>
      </c>
      <c r="AC46" s="8">
        <v>1.587773610181175E-2</v>
      </c>
      <c r="AD46" s="8">
        <v>1.503268403485462E-2</v>
      </c>
      <c r="AE46" s="8">
        <v>1.869677698142657E-2</v>
      </c>
      <c r="AF46" s="8">
        <v>1.5923949886723469E-2</v>
      </c>
      <c r="AG46" s="8">
        <v>5.3211872341206966E-3</v>
      </c>
      <c r="AH46" s="8">
        <v>6.9848834909425539E-3</v>
      </c>
      <c r="AI46" s="8">
        <v>2.4268839047925171E-2</v>
      </c>
    </row>
    <row r="47" spans="1:35" x14ac:dyDescent="0.2">
      <c r="A47" s="12" t="s">
        <v>1411</v>
      </c>
      <c r="B47" s="8">
        <v>1.7165646132334889E-2</v>
      </c>
      <c r="C47" s="8">
        <v>0.10014588120644249</v>
      </c>
      <c r="D47" s="8">
        <v>4.5852728959826693E-2</v>
      </c>
      <c r="E47" s="8">
        <v>3.8207155350658523E-2</v>
      </c>
      <c r="F47" s="8">
        <v>2.3534799900893539E-2</v>
      </c>
      <c r="G47" s="8">
        <v>3.7425251107526543E-2</v>
      </c>
      <c r="H47" s="8">
        <v>1.553452138672841E-2</v>
      </c>
      <c r="I47" s="8">
        <v>5.3762389432569238E-2</v>
      </c>
      <c r="J47" s="8">
        <v>1.45584356262623E-2</v>
      </c>
      <c r="K47" s="8">
        <v>2.249398696798274E-2</v>
      </c>
      <c r="L47" s="8">
        <v>0.24626617845690771</v>
      </c>
      <c r="M47" s="8">
        <v>0.57335329351516762</v>
      </c>
      <c r="N47" s="8">
        <v>0.50814972908127298</v>
      </c>
      <c r="O47" s="8">
        <v>4.9614672222312757E-2</v>
      </c>
      <c r="P47" s="8">
        <v>0.45101893759468131</v>
      </c>
      <c r="Q47" s="8">
        <v>0.17598800370334841</v>
      </c>
      <c r="R47" s="8">
        <v>0.15911751347736131</v>
      </c>
      <c r="S47" s="8">
        <v>5.9310802654529093E-2</v>
      </c>
      <c r="T47" s="8">
        <v>5.2724165586556217E-2</v>
      </c>
      <c r="U47" s="8">
        <v>5.5279594354673063E-2</v>
      </c>
      <c r="V47" s="8">
        <v>1.6344905585736081E-2</v>
      </c>
      <c r="W47" s="8">
        <v>1.8688029228234281E-2</v>
      </c>
      <c r="X47" s="8">
        <v>3.5027756640174768E-2</v>
      </c>
      <c r="Y47" s="8">
        <v>2.2136692976087989E-3</v>
      </c>
      <c r="Z47" s="8">
        <v>2.7951782148519979E-2</v>
      </c>
      <c r="AA47" s="8">
        <v>1.8889978006261739E-2</v>
      </c>
      <c r="AB47" s="8">
        <v>7.9104371988118843E-2</v>
      </c>
      <c r="AC47" s="8">
        <v>2.331731660147934E-2</v>
      </c>
      <c r="AD47" s="8">
        <v>1.163017834486401E-2</v>
      </c>
      <c r="AE47" s="8">
        <v>8.4714923295625567E-3</v>
      </c>
      <c r="AF47" s="8">
        <v>1.613518954701524E-2</v>
      </c>
      <c r="AG47" s="8">
        <v>6.8455457577516511E-3</v>
      </c>
      <c r="AH47" s="8">
        <v>2.047967736150362E-3</v>
      </c>
      <c r="AI47" s="8">
        <v>1.654167618996797E-2</v>
      </c>
    </row>
    <row r="48" spans="1:35" x14ac:dyDescent="0.2">
      <c r="A48" s="12" t="s">
        <v>1412</v>
      </c>
      <c r="B48" s="8">
        <v>5.1828568225284286E-3</v>
      </c>
      <c r="C48" s="8">
        <v>0.18027233793171049</v>
      </c>
      <c r="D48" s="8">
        <v>9.9103161836631461E-3</v>
      </c>
      <c r="E48" s="8">
        <v>1.3228211973817331E-2</v>
      </c>
      <c r="F48" s="8">
        <v>2.168559339970054E-2</v>
      </c>
      <c r="G48" s="8">
        <v>4.6537283435757353E-2</v>
      </c>
      <c r="H48" s="8">
        <v>1.019222889785925E-3</v>
      </c>
      <c r="I48" s="8">
        <v>5.9049870827384589E-2</v>
      </c>
      <c r="J48" s="8">
        <v>6.7225339539071678E-3</v>
      </c>
      <c r="K48" s="8">
        <v>2.4981803596455032E-2</v>
      </c>
      <c r="L48" s="8">
        <v>0.54584807146386227</v>
      </c>
      <c r="M48" s="8">
        <v>0.68400698701335461</v>
      </c>
      <c r="N48" s="8">
        <v>0.15602784451084539</v>
      </c>
      <c r="O48" s="8">
        <v>6.3864072562118082E-2</v>
      </c>
      <c r="P48" s="8">
        <v>0.13009187480480361</v>
      </c>
      <c r="Q48" s="8">
        <v>0.12928950784901461</v>
      </c>
      <c r="R48" s="8">
        <v>3.3439185022338232E-2</v>
      </c>
      <c r="S48" s="8">
        <v>1.8714667103941571E-2</v>
      </c>
      <c r="T48" s="8">
        <v>2.39192095198697E-2</v>
      </c>
      <c r="U48" s="8">
        <v>1.847612557654486E-2</v>
      </c>
      <c r="V48" s="8">
        <v>0</v>
      </c>
      <c r="W48" s="8">
        <v>1.0257285678058361E-2</v>
      </c>
      <c r="X48" s="8">
        <v>4.5539746139371118E-3</v>
      </c>
      <c r="Y48" s="8">
        <v>0</v>
      </c>
      <c r="Z48" s="8">
        <v>1.431249164380236E-2</v>
      </c>
      <c r="AA48" s="8">
        <v>4.7491449545344171E-3</v>
      </c>
      <c r="AB48" s="8">
        <v>2.7497332430820282E-2</v>
      </c>
      <c r="AC48" s="8">
        <v>1.8237584049148159E-2</v>
      </c>
      <c r="AD48" s="8">
        <v>2.472157647565862E-3</v>
      </c>
      <c r="AE48" s="8">
        <v>0</v>
      </c>
      <c r="AF48" s="8">
        <v>3.3829525703532848E-3</v>
      </c>
      <c r="AG48" s="8">
        <v>5.3997127565254353E-3</v>
      </c>
      <c r="AH48" s="8">
        <v>0</v>
      </c>
      <c r="AI48" s="8">
        <v>0</v>
      </c>
    </row>
    <row r="49" spans="1:35" x14ac:dyDescent="0.2">
      <c r="A49" s="12" t="s">
        <v>1413</v>
      </c>
      <c r="B49" s="8">
        <v>0</v>
      </c>
      <c r="C49" s="8">
        <v>0</v>
      </c>
      <c r="D49" s="8">
        <v>0</v>
      </c>
      <c r="E49" s="8">
        <v>0.24459540710499639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0.82196012570925503</v>
      </c>
      <c r="N49" s="8">
        <v>0.62817679910264856</v>
      </c>
      <c r="O49" s="8">
        <v>0</v>
      </c>
      <c r="P49" s="8">
        <v>0.26551802848668649</v>
      </c>
      <c r="Q49" s="8">
        <v>0.24409724945305131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5.8782602929510361E-2</v>
      </c>
      <c r="AH49" s="8">
        <v>0</v>
      </c>
      <c r="AI49" s="8">
        <v>0</v>
      </c>
    </row>
    <row r="50" spans="1:35" x14ac:dyDescent="0.2">
      <c r="A50" s="12" t="s">
        <v>1414</v>
      </c>
      <c r="B50" s="8">
        <v>2.7977764446312441E-2</v>
      </c>
      <c r="C50" s="8">
        <v>0.1040982947096292</v>
      </c>
      <c r="D50" s="8">
        <v>1.8793759160675091E-2</v>
      </c>
      <c r="E50" s="8">
        <v>4.8546397596565843E-2</v>
      </c>
      <c r="F50" s="8">
        <v>3.9284983476492043E-2</v>
      </c>
      <c r="G50" s="8">
        <v>6.0799110247361968E-2</v>
      </c>
      <c r="H50" s="8">
        <v>7.27643043702513E-3</v>
      </c>
      <c r="I50" s="8">
        <v>8.1854313214072966E-2</v>
      </c>
      <c r="J50" s="8">
        <v>9.1784760831775947E-3</v>
      </c>
      <c r="K50" s="8">
        <v>1.8152371675344611E-2</v>
      </c>
      <c r="L50" s="8">
        <v>0.25518928112463601</v>
      </c>
      <c r="M50" s="8">
        <v>0.40829289723498979</v>
      </c>
      <c r="N50" s="8">
        <v>0.2288205145941094</v>
      </c>
      <c r="O50" s="8">
        <v>3.3744722611827017E-2</v>
      </c>
      <c r="P50" s="8">
        <v>0.26615368960231139</v>
      </c>
      <c r="Q50" s="8">
        <v>0.1329054395249035</v>
      </c>
      <c r="R50" s="8">
        <v>5.7083486194412947E-2</v>
      </c>
      <c r="S50" s="8">
        <v>6.1827541904874633E-2</v>
      </c>
      <c r="T50" s="8">
        <v>2.8149169722564531E-2</v>
      </c>
      <c r="U50" s="8">
        <v>4.032447353892421E-2</v>
      </c>
      <c r="V50" s="8">
        <v>2.8503038679988251E-2</v>
      </c>
      <c r="W50" s="8">
        <v>2.5119166774623988E-2</v>
      </c>
      <c r="X50" s="8">
        <v>4.3487177345898687E-2</v>
      </c>
      <c r="Y50" s="8">
        <v>3.7819744824659491E-3</v>
      </c>
      <c r="Z50" s="8">
        <v>3.1687859296801693E-2</v>
      </c>
      <c r="AA50" s="8">
        <v>2.3897213031020229E-2</v>
      </c>
      <c r="AB50" s="8">
        <v>0.1024505923766251</v>
      </c>
      <c r="AC50" s="8">
        <v>2.444460407453504E-2</v>
      </c>
      <c r="AD50" s="8">
        <v>1.9573376707499208E-2</v>
      </c>
      <c r="AE50" s="8">
        <v>8.924132770029302E-3</v>
      </c>
      <c r="AF50" s="8">
        <v>1.0947820870296171E-2</v>
      </c>
      <c r="AG50" s="8">
        <v>2.3277942355528708E-3</v>
      </c>
      <c r="AH50" s="8">
        <v>1.9739252781291578E-3</v>
      </c>
      <c r="AI50" s="8">
        <v>7.5584197624721534E-3</v>
      </c>
    </row>
    <row r="51" spans="1:35" x14ac:dyDescent="0.2">
      <c r="A51" s="12" t="s">
        <v>1415</v>
      </c>
      <c r="B51" s="8">
        <v>9.0117773859377734E-3</v>
      </c>
      <c r="C51" s="8">
        <v>4.1042768746825303E-2</v>
      </c>
      <c r="D51" s="8">
        <v>1.506363734123908E-2</v>
      </c>
      <c r="E51" s="8">
        <v>4.3870661083433363E-2</v>
      </c>
      <c r="F51" s="8">
        <v>1.3296204630859039E-2</v>
      </c>
      <c r="G51" s="8">
        <v>3.682222461191776E-2</v>
      </c>
      <c r="H51" s="8">
        <v>1.0642926128288519E-2</v>
      </c>
      <c r="I51" s="8">
        <v>2.3240675422997369E-2</v>
      </c>
      <c r="J51" s="8">
        <v>5.6855967912225556E-3</v>
      </c>
      <c r="K51" s="8">
        <v>2.1911906734711651E-2</v>
      </c>
      <c r="L51" s="8">
        <v>0.60735802127059835</v>
      </c>
      <c r="M51" s="8">
        <v>0.66552146350110497</v>
      </c>
      <c r="N51" s="8">
        <v>0.1218293496701966</v>
      </c>
      <c r="O51" s="8">
        <v>2.522531070742412E-2</v>
      </c>
      <c r="P51" s="8">
        <v>0.19358285883762549</v>
      </c>
      <c r="Q51" s="8">
        <v>0.29273796332694652</v>
      </c>
      <c r="R51" s="8">
        <v>2.1532866948630151E-2</v>
      </c>
      <c r="S51" s="8">
        <v>1.253812505869604E-2</v>
      </c>
      <c r="T51" s="8">
        <v>5.5365362011905042E-3</v>
      </c>
      <c r="U51" s="8">
        <v>1.7687103725803201E-2</v>
      </c>
      <c r="V51" s="8">
        <v>1.203131905258705E-2</v>
      </c>
      <c r="W51" s="8">
        <v>1.7657291607796801E-2</v>
      </c>
      <c r="X51" s="8">
        <v>5.4930956863811609E-2</v>
      </c>
      <c r="Y51" s="8">
        <v>7.4998771156126734E-3</v>
      </c>
      <c r="Z51" s="8">
        <v>1.8202427479914011E-2</v>
      </c>
      <c r="AA51" s="8">
        <v>5.4258054771666956E-3</v>
      </c>
      <c r="AB51" s="8">
        <v>3.8670575928315208E-2</v>
      </c>
      <c r="AC51" s="8">
        <v>8.4538648918178073E-3</v>
      </c>
      <c r="AD51" s="8">
        <v>2.8534455806135682E-4</v>
      </c>
      <c r="AE51" s="8">
        <v>3.0365771626529449E-3</v>
      </c>
      <c r="AF51" s="8">
        <v>4.0203770568644883E-3</v>
      </c>
      <c r="AG51" s="8">
        <v>8.3048043017857568E-4</v>
      </c>
      <c r="AH51" s="8">
        <v>5.1958262811172408E-4</v>
      </c>
      <c r="AI51" s="8">
        <v>1.2819210742756469E-3</v>
      </c>
    </row>
    <row r="52" spans="1:35" x14ac:dyDescent="0.2">
      <c r="A52" s="12" t="s">
        <v>1416</v>
      </c>
      <c r="B52" s="8">
        <v>5.0050181732262229E-2</v>
      </c>
      <c r="C52" s="8">
        <v>0.1547589458383388</v>
      </c>
      <c r="D52" s="8">
        <v>6.2343589470037417E-2</v>
      </c>
      <c r="E52" s="8">
        <v>7.6451934654450243E-2</v>
      </c>
      <c r="F52" s="8">
        <v>3.0071766898264029E-2</v>
      </c>
      <c r="G52" s="8">
        <v>6.3485926069744208E-2</v>
      </c>
      <c r="H52" s="8">
        <v>2.1406064373612761E-2</v>
      </c>
      <c r="I52" s="8">
        <v>5.9657525442616689E-2</v>
      </c>
      <c r="J52" s="8">
        <v>1.517148845859388E-2</v>
      </c>
      <c r="K52" s="8">
        <v>3.6088289958068218E-2</v>
      </c>
      <c r="L52" s="8">
        <v>0.25776993522595282</v>
      </c>
      <c r="M52" s="8">
        <v>0.59115973276829814</v>
      </c>
      <c r="N52" s="8">
        <v>0.29194348245041951</v>
      </c>
      <c r="O52" s="8">
        <v>6.7851322534340675E-2</v>
      </c>
      <c r="P52" s="8">
        <v>0.4133110507588677</v>
      </c>
      <c r="Q52" s="8">
        <v>0.1782055943943337</v>
      </c>
      <c r="R52" s="8">
        <v>5.7583311217887997E-2</v>
      </c>
      <c r="S52" s="8">
        <v>5.0761836821918108E-2</v>
      </c>
      <c r="T52" s="8">
        <v>3.754414533965085E-2</v>
      </c>
      <c r="U52" s="8">
        <v>3.9612935364001109E-2</v>
      </c>
      <c r="V52" s="8">
        <v>3.0693380261637239E-2</v>
      </c>
      <c r="W52" s="8">
        <v>4.856937502893862E-2</v>
      </c>
      <c r="X52" s="8">
        <v>8.0016719143183868E-2</v>
      </c>
      <c r="Y52" s="8">
        <v>8.7470655303283837E-3</v>
      </c>
      <c r="Z52" s="8">
        <v>2.7396551271600272E-2</v>
      </c>
      <c r="AA52" s="8">
        <v>2.9094325990062869E-2</v>
      </c>
      <c r="AB52" s="8">
        <v>0.1003976096452648</v>
      </c>
      <c r="AC52" s="8">
        <v>2.7139444173660571E-2</v>
      </c>
      <c r="AD52" s="8">
        <v>1.3880528768516901E-2</v>
      </c>
      <c r="AE52" s="8">
        <v>9.2384980846181991E-3</v>
      </c>
      <c r="AF52" s="8">
        <v>2.0686815403427011E-2</v>
      </c>
      <c r="AG52" s="8">
        <v>1.2829318735168479E-2</v>
      </c>
      <c r="AH52" s="8">
        <v>7.3259250311680001E-3</v>
      </c>
      <c r="AI52" s="8">
        <v>1.1468929280247019E-2</v>
      </c>
    </row>
    <row r="53" spans="1:35" x14ac:dyDescent="0.2">
      <c r="A53" s="12" t="s">
        <v>1417</v>
      </c>
      <c r="B53" s="8">
        <v>7.3276199704284242E-2</v>
      </c>
      <c r="C53" s="8">
        <v>0.11958174900251969</v>
      </c>
      <c r="D53" s="8">
        <v>5.9472231548879158E-2</v>
      </c>
      <c r="E53" s="8">
        <v>6.362804656447052E-2</v>
      </c>
      <c r="F53" s="8">
        <v>4.4208345484160201E-2</v>
      </c>
      <c r="G53" s="8">
        <v>6.9670329417662283E-2</v>
      </c>
      <c r="H53" s="8">
        <v>3.3030198375385483E-2</v>
      </c>
      <c r="I53" s="8">
        <v>6.8852775388446447E-2</v>
      </c>
      <c r="J53" s="8">
        <v>2.1694634031171681E-2</v>
      </c>
      <c r="K53" s="8">
        <v>2.718951114306244E-2</v>
      </c>
      <c r="L53" s="8">
        <v>0.1190236795130116</v>
      </c>
      <c r="M53" s="8">
        <v>0.25617877776340142</v>
      </c>
      <c r="N53" s="8">
        <v>0.18587776380891549</v>
      </c>
      <c r="O53" s="8">
        <v>3.422707716225603E-2</v>
      </c>
      <c r="P53" s="8">
        <v>0.2142732940944547</v>
      </c>
      <c r="Q53" s="8">
        <v>5.7517718841766353E-2</v>
      </c>
      <c r="R53" s="8">
        <v>5.3436042266091513E-2</v>
      </c>
      <c r="S53" s="8">
        <v>5.2963282762240611E-2</v>
      </c>
      <c r="T53" s="8">
        <v>7.4423314332854762E-2</v>
      </c>
      <c r="U53" s="8">
        <v>5.3444167026630303E-2</v>
      </c>
      <c r="V53" s="8">
        <v>4.1618070264887029E-2</v>
      </c>
      <c r="W53" s="8">
        <v>5.1618634893070808E-2</v>
      </c>
      <c r="X53" s="8">
        <v>5.5338759624769508E-2</v>
      </c>
      <c r="Y53" s="8">
        <v>1.5639148442104379E-2</v>
      </c>
      <c r="Z53" s="8">
        <v>4.9249759398479677E-2</v>
      </c>
      <c r="AA53" s="8">
        <v>5.2667744597642098E-2</v>
      </c>
      <c r="AB53" s="8">
        <v>0.1104693222607325</v>
      </c>
      <c r="AC53" s="8">
        <v>5.2107643917999269E-2</v>
      </c>
      <c r="AD53" s="8">
        <v>2.181548984418619E-2</v>
      </c>
      <c r="AE53" s="8">
        <v>1.9244510931192671E-2</v>
      </c>
      <c r="AF53" s="8">
        <v>3.2582320950684633E-2</v>
      </c>
      <c r="AG53" s="8">
        <v>2.8221355731488831E-2</v>
      </c>
      <c r="AH53" s="8">
        <v>1.9070336377142349E-2</v>
      </c>
      <c r="AI53" s="8">
        <v>3.1517977320103072E-2</v>
      </c>
    </row>
    <row r="54" spans="1:35" x14ac:dyDescent="0.2">
      <c r="A54" s="12" t="s">
        <v>1418</v>
      </c>
      <c r="B54" s="8">
        <v>5.9251703938491058E-2</v>
      </c>
      <c r="C54" s="8">
        <v>0.12773314994426069</v>
      </c>
      <c r="D54" s="8">
        <v>6.7542204871459885E-2</v>
      </c>
      <c r="E54" s="8">
        <v>6.3071284551350637E-2</v>
      </c>
      <c r="F54" s="8">
        <v>3.063350696395559E-2</v>
      </c>
      <c r="G54" s="8">
        <v>7.0425526067896399E-2</v>
      </c>
      <c r="H54" s="8">
        <v>2.240661601256971E-2</v>
      </c>
      <c r="I54" s="8">
        <v>6.8347268700868227E-2</v>
      </c>
      <c r="J54" s="8">
        <v>1.1702248799325569E-2</v>
      </c>
      <c r="K54" s="8">
        <v>2.3109307527868099E-2</v>
      </c>
      <c r="L54" s="8">
        <v>8.8409591850518832E-2</v>
      </c>
      <c r="M54" s="8">
        <v>0.37354928554347921</v>
      </c>
      <c r="N54" s="8">
        <v>0.26077276382088083</v>
      </c>
      <c r="O54" s="8">
        <v>4.3657981995037842E-2</v>
      </c>
      <c r="P54" s="8">
        <v>0.37463363694827478</v>
      </c>
      <c r="Q54" s="8">
        <v>0.1012621211501348</v>
      </c>
      <c r="R54" s="8">
        <v>3.8383323053469892E-2</v>
      </c>
      <c r="S54" s="8">
        <v>5.8643764791592203E-2</v>
      </c>
      <c r="T54" s="8">
        <v>6.7185061329031001E-2</v>
      </c>
      <c r="U54" s="8">
        <v>4.4306008682413398E-2</v>
      </c>
      <c r="V54" s="8">
        <v>2.5874022612811531E-2</v>
      </c>
      <c r="W54" s="8">
        <v>4.3300175848634118E-2</v>
      </c>
      <c r="X54" s="8">
        <v>3.9142667208615547E-2</v>
      </c>
      <c r="Y54" s="8">
        <v>7.115372783622541E-3</v>
      </c>
      <c r="Z54" s="8">
        <v>2.3299806170629329E-2</v>
      </c>
      <c r="AA54" s="8">
        <v>2.7761118733103649E-2</v>
      </c>
      <c r="AB54" s="8">
        <v>9.1951541397928035E-2</v>
      </c>
      <c r="AC54" s="8">
        <v>2.8244488332736059E-2</v>
      </c>
      <c r="AD54" s="8">
        <v>1.114996838631171E-2</v>
      </c>
      <c r="AE54" s="8">
        <v>1.6008180729704221E-2</v>
      </c>
      <c r="AF54" s="8">
        <v>2.2485797187560899E-2</v>
      </c>
      <c r="AG54" s="8">
        <v>1.396802309122829E-2</v>
      </c>
      <c r="AH54" s="8">
        <v>4.6021159071239319E-3</v>
      </c>
      <c r="AI54" s="8">
        <v>7.054744519926358E-3</v>
      </c>
    </row>
    <row r="55" spans="1:35" x14ac:dyDescent="0.2">
      <c r="A55" s="12" t="s">
        <v>1419</v>
      </c>
      <c r="B55" s="8">
        <v>6.0999872243706912E-2</v>
      </c>
      <c r="C55" s="8">
        <v>0.12626222650878799</v>
      </c>
      <c r="D55" s="8">
        <v>5.5127076559380608E-2</v>
      </c>
      <c r="E55" s="8">
        <v>5.0281732049388753E-2</v>
      </c>
      <c r="F55" s="8">
        <v>2.6276823724916399E-2</v>
      </c>
      <c r="G55" s="8">
        <v>6.3566579710058121E-2</v>
      </c>
      <c r="H55" s="8">
        <v>2.1427638275955029E-2</v>
      </c>
      <c r="I55" s="8">
        <v>5.5312401864657752E-2</v>
      </c>
      <c r="J55" s="8">
        <v>1.3270444139533891E-2</v>
      </c>
      <c r="K55" s="8">
        <v>1.9408264612753891E-2</v>
      </c>
      <c r="L55" s="8">
        <v>0.1243177511554916</v>
      </c>
      <c r="M55" s="8">
        <v>0.36916800811205758</v>
      </c>
      <c r="N55" s="8">
        <v>0.24181015376222731</v>
      </c>
      <c r="O55" s="8">
        <v>3.5854205045300687E-2</v>
      </c>
      <c r="P55" s="8">
        <v>0.3177416762497659</v>
      </c>
      <c r="Q55" s="8">
        <v>7.5883510750420019E-2</v>
      </c>
      <c r="R55" s="8">
        <v>4.8464007682085003E-2</v>
      </c>
      <c r="S55" s="8">
        <v>5.6776759846769831E-2</v>
      </c>
      <c r="T55" s="8">
        <v>6.3301554921164391E-2</v>
      </c>
      <c r="U55" s="8">
        <v>4.4764223219738823E-2</v>
      </c>
      <c r="V55" s="8">
        <v>2.232545776006965E-2</v>
      </c>
      <c r="W55" s="8">
        <v>3.7222539553175907E-2</v>
      </c>
      <c r="X55" s="8">
        <v>3.9213106174106019E-2</v>
      </c>
      <c r="Y55" s="8">
        <v>1.0531854654298669E-2</v>
      </c>
      <c r="Z55" s="8">
        <v>3.081201241312323E-2</v>
      </c>
      <c r="AA55" s="8">
        <v>2.890114527580976E-2</v>
      </c>
      <c r="AB55" s="8">
        <v>0.1076058256993087</v>
      </c>
      <c r="AC55" s="8">
        <v>3.9100758709248888E-2</v>
      </c>
      <c r="AD55" s="8">
        <v>8.5355266249143719E-3</v>
      </c>
      <c r="AE55" s="8">
        <v>1.4437129351511721E-2</v>
      </c>
      <c r="AF55" s="8">
        <v>1.935833240615072E-2</v>
      </c>
      <c r="AG55" s="8">
        <v>1.6552526488949709E-2</v>
      </c>
      <c r="AH55" s="8">
        <v>6.9280936661893586E-3</v>
      </c>
      <c r="AI55" s="8">
        <v>1.159099357513122E-2</v>
      </c>
    </row>
    <row r="56" spans="1:35" x14ac:dyDescent="0.2">
      <c r="A56" s="12" t="s">
        <v>1420</v>
      </c>
      <c r="B56" s="8">
        <v>5.4797607841467658E-2</v>
      </c>
      <c r="C56" s="8">
        <v>2.3270217028568459E-2</v>
      </c>
      <c r="D56" s="8">
        <v>4.9793260093388421E-2</v>
      </c>
      <c r="E56" s="8">
        <v>3.8033042885402213E-2</v>
      </c>
      <c r="F56" s="8">
        <v>3.6781955948382412E-2</v>
      </c>
      <c r="G56" s="8">
        <v>0</v>
      </c>
      <c r="H56" s="8">
        <v>0</v>
      </c>
      <c r="I56" s="8">
        <v>0.13111391099967609</v>
      </c>
      <c r="J56" s="8">
        <v>6.5556955499838046E-2</v>
      </c>
      <c r="K56" s="8">
        <v>0</v>
      </c>
      <c r="L56" s="8">
        <v>0</v>
      </c>
      <c r="M56" s="8">
        <v>4.8041738381560679E-2</v>
      </c>
      <c r="N56" s="8">
        <v>0.60877890355383912</v>
      </c>
      <c r="O56" s="8">
        <v>0.33504108173390512</v>
      </c>
      <c r="P56" s="8">
        <v>0.63880499004231484</v>
      </c>
      <c r="Q56" s="8">
        <v>0</v>
      </c>
      <c r="R56" s="8">
        <v>0.1223563024405373</v>
      </c>
      <c r="S56" s="8">
        <v>7.9318911807055928E-2</v>
      </c>
      <c r="T56" s="8">
        <v>0</v>
      </c>
      <c r="U56" s="8">
        <v>0</v>
      </c>
      <c r="V56" s="8">
        <v>0</v>
      </c>
      <c r="W56" s="8">
        <v>0.1140991286562066</v>
      </c>
      <c r="X56" s="8">
        <v>3.9784564597229927E-2</v>
      </c>
      <c r="Y56" s="8">
        <v>1.201043459539017E-2</v>
      </c>
      <c r="Z56" s="8">
        <v>0</v>
      </c>
      <c r="AA56" s="8">
        <v>4.4288477570501257E-2</v>
      </c>
      <c r="AB56" s="8">
        <v>0.1113467373947631</v>
      </c>
      <c r="AC56" s="8">
        <v>3.8283260272806173E-2</v>
      </c>
      <c r="AD56" s="8">
        <v>2.0517825767124871E-2</v>
      </c>
      <c r="AE56" s="8">
        <v>0</v>
      </c>
      <c r="AF56" s="8">
        <v>0</v>
      </c>
      <c r="AG56" s="8">
        <v>7.7567390095228204E-3</v>
      </c>
      <c r="AH56" s="8">
        <v>0</v>
      </c>
      <c r="AI56" s="8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5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0" customWidth="1"/>
    <col min="2" max="35" width="11" customWidth="1"/>
  </cols>
  <sheetData>
    <row r="1" spans="1:35" ht="17" x14ac:dyDescent="0.2">
      <c r="A1" s="1" t="s">
        <v>1473</v>
      </c>
    </row>
    <row r="2" spans="1:35" x14ac:dyDescent="0.2">
      <c r="A2" s="2" t="s">
        <v>1474</v>
      </c>
    </row>
    <row r="4" spans="1:35" ht="30" customHeight="1" x14ac:dyDescent="0.2">
      <c r="A4" s="5" t="s">
        <v>1334</v>
      </c>
      <c r="B4" s="5" t="s">
        <v>1335</v>
      </c>
      <c r="C4" s="5" t="s">
        <v>1336</v>
      </c>
      <c r="D4" s="5" t="s">
        <v>1337</v>
      </c>
      <c r="E4" s="5" t="s">
        <v>1338</v>
      </c>
      <c r="F4" s="5" t="s">
        <v>1339</v>
      </c>
      <c r="G4" s="5" t="s">
        <v>1340</v>
      </c>
      <c r="H4" s="5" t="s">
        <v>1341</v>
      </c>
      <c r="I4" s="5" t="s">
        <v>1342</v>
      </c>
      <c r="J4" s="5" t="s">
        <v>1343</v>
      </c>
      <c r="K4" s="5" t="s">
        <v>1344</v>
      </c>
      <c r="L4" s="5" t="s">
        <v>1345</v>
      </c>
      <c r="M4" s="5" t="s">
        <v>1346</v>
      </c>
      <c r="N4" s="5" t="s">
        <v>1347</v>
      </c>
      <c r="O4" s="5" t="s">
        <v>1348</v>
      </c>
      <c r="P4" s="5" t="s">
        <v>1349</v>
      </c>
      <c r="Q4" s="5" t="s">
        <v>1350</v>
      </c>
      <c r="R4" s="5" t="s">
        <v>1351</v>
      </c>
      <c r="S4" s="5" t="s">
        <v>1352</v>
      </c>
      <c r="T4" s="5" t="s">
        <v>1353</v>
      </c>
      <c r="U4" s="5" t="s">
        <v>1354</v>
      </c>
      <c r="V4" s="5" t="s">
        <v>1355</v>
      </c>
      <c r="W4" s="5" t="s">
        <v>1356</v>
      </c>
      <c r="X4" s="5" t="s">
        <v>1357</v>
      </c>
      <c r="Y4" s="5" t="s">
        <v>1358</v>
      </c>
      <c r="Z4" s="5" t="s">
        <v>1359</v>
      </c>
      <c r="AA4" s="5" t="s">
        <v>1360</v>
      </c>
      <c r="AB4" s="5" t="s">
        <v>1361</v>
      </c>
      <c r="AC4" s="5" t="s">
        <v>1362</v>
      </c>
      <c r="AD4" s="5" t="s">
        <v>1363</v>
      </c>
      <c r="AE4" s="5" t="s">
        <v>1364</v>
      </c>
      <c r="AF4" s="5" t="s">
        <v>1365</v>
      </c>
      <c r="AG4" s="5" t="s">
        <v>1366</v>
      </c>
      <c r="AH4" s="5" t="s">
        <v>1367</v>
      </c>
      <c r="AI4" s="5" t="s">
        <v>1368</v>
      </c>
    </row>
    <row r="5" spans="1:35" x14ac:dyDescent="0.2">
      <c r="A5" s="12" t="s">
        <v>1369</v>
      </c>
      <c r="B5" s="17">
        <v>298.0147409583218</v>
      </c>
      <c r="C5" s="17">
        <v>1802.868258327562</v>
      </c>
      <c r="D5" s="17">
        <v>432.23808248671747</v>
      </c>
      <c r="E5" s="17">
        <v>5.6778825115792007</v>
      </c>
      <c r="F5" s="17">
        <v>19.175491628742581</v>
      </c>
      <c r="G5" s="17">
        <v>344.26045355993853</v>
      </c>
      <c r="H5" s="17">
        <v>13.080772932485949</v>
      </c>
      <c r="I5" s="17">
        <v>1300.399357758467</v>
      </c>
      <c r="J5" s="17">
        <v>0.68226353687727048</v>
      </c>
      <c r="K5" s="17">
        <v>0.185977059308889</v>
      </c>
      <c r="L5" s="17">
        <v>2.8992546876192601E-3</v>
      </c>
      <c r="M5" s="17">
        <v>12918.1562051896</v>
      </c>
      <c r="N5" s="17">
        <v>16851.289213591081</v>
      </c>
      <c r="O5" s="17">
        <v>61.322509019321771</v>
      </c>
      <c r="P5" s="17">
        <v>21639.987997785771</v>
      </c>
      <c r="Q5" s="17">
        <v>633.67052967836685</v>
      </c>
      <c r="R5" s="17">
        <v>40.73492834993327</v>
      </c>
      <c r="S5" s="17">
        <v>463.23840893615107</v>
      </c>
      <c r="T5" s="17">
        <v>1158.175202393099</v>
      </c>
      <c r="U5" s="17">
        <v>273.69633075705252</v>
      </c>
      <c r="V5" s="17">
        <v>17.32478251189578</v>
      </c>
      <c r="W5" s="17">
        <v>142.2418212510548</v>
      </c>
      <c r="X5" s="17">
        <v>19.342196642189929</v>
      </c>
      <c r="Y5" s="17">
        <v>3.647965410160027</v>
      </c>
      <c r="Z5" s="17">
        <v>17.376282138559109</v>
      </c>
      <c r="AA5" s="17">
        <v>97.647445559312899</v>
      </c>
      <c r="AB5" s="17">
        <v>1539.3694079742529</v>
      </c>
      <c r="AC5" s="17">
        <v>48.51383437724261</v>
      </c>
      <c r="AD5" s="17">
        <v>32.266884850106557</v>
      </c>
      <c r="AE5" s="17">
        <v>21.12256992668247</v>
      </c>
      <c r="AF5" s="17">
        <v>42.806556267715742</v>
      </c>
      <c r="AG5" s="17">
        <v>4.7221522129817366</v>
      </c>
      <c r="AH5" s="17">
        <v>16.30758401822591</v>
      </c>
      <c r="AI5" s="17">
        <v>8.1108026185508511</v>
      </c>
    </row>
    <row r="6" spans="1:35" x14ac:dyDescent="0.2">
      <c r="A6" s="12" t="s">
        <v>1370</v>
      </c>
      <c r="B6" s="17">
        <v>45.716463833363747</v>
      </c>
      <c r="C6" s="17">
        <v>1078.105740637116</v>
      </c>
      <c r="D6" s="17">
        <v>178.67609346428429</v>
      </c>
      <c r="E6" s="17">
        <v>83.984736538768104</v>
      </c>
      <c r="F6" s="17">
        <v>292.36855749176561</v>
      </c>
      <c r="G6" s="17">
        <v>2689.112520607343</v>
      </c>
      <c r="H6" s="17">
        <v>42.463876505309329</v>
      </c>
      <c r="I6" s="17">
        <v>485.65883386611517</v>
      </c>
      <c r="J6" s="17">
        <v>7.9922530242724052</v>
      </c>
      <c r="K6" s="17">
        <v>0.7011389494638236</v>
      </c>
      <c r="L6" s="17">
        <v>2.0891376195031281E-6</v>
      </c>
      <c r="M6" s="17">
        <v>385.53456200837422</v>
      </c>
      <c r="N6" s="17">
        <v>903.79235557894037</v>
      </c>
      <c r="O6" s="17">
        <v>10.92543178078942</v>
      </c>
      <c r="P6" s="17">
        <v>831.45865572459763</v>
      </c>
      <c r="Q6" s="17">
        <v>12.70890576988954</v>
      </c>
      <c r="R6" s="17">
        <v>35.756490622349517</v>
      </c>
      <c r="S6" s="17">
        <v>11.59113306987231</v>
      </c>
      <c r="T6" s="17">
        <v>272.04569798955299</v>
      </c>
      <c r="U6" s="17">
        <v>442.95194344449021</v>
      </c>
      <c r="V6" s="17">
        <v>35.439138116547497</v>
      </c>
      <c r="W6" s="17">
        <v>128.44023609722149</v>
      </c>
      <c r="X6" s="17">
        <v>7.0054914747370578</v>
      </c>
      <c r="Y6" s="17">
        <v>3.5567631481824423E-2</v>
      </c>
      <c r="Z6" s="17">
        <v>66.056502320906844</v>
      </c>
      <c r="AA6" s="17">
        <v>88.422568361527865</v>
      </c>
      <c r="AB6" s="17">
        <v>236.17445987565199</v>
      </c>
      <c r="AC6" s="17">
        <v>77.731713409485366</v>
      </c>
      <c r="AD6" s="17">
        <v>1.220187520835649</v>
      </c>
      <c r="AE6" s="17">
        <v>1.49720937531109</v>
      </c>
      <c r="AF6" s="17">
        <v>16.14429733603184</v>
      </c>
      <c r="AG6" s="17">
        <v>20.38815743054472</v>
      </c>
      <c r="AH6" s="17">
        <v>0.19582311197741981</v>
      </c>
      <c r="AI6" s="17">
        <v>1.058124017078631</v>
      </c>
    </row>
    <row r="7" spans="1:35" x14ac:dyDescent="0.2">
      <c r="A7" s="12" t="s">
        <v>1371</v>
      </c>
      <c r="B7" s="17">
        <v>1400.1448231550969</v>
      </c>
      <c r="C7" s="17">
        <v>7545.399792289566</v>
      </c>
      <c r="D7" s="17">
        <v>409.03785363064071</v>
      </c>
      <c r="E7" s="17">
        <v>9292.7819104762366</v>
      </c>
      <c r="F7" s="17">
        <v>1922.9335798302029</v>
      </c>
      <c r="G7" s="17">
        <v>5446.5037705048344</v>
      </c>
      <c r="H7" s="17">
        <v>1040.1409332874121</v>
      </c>
      <c r="I7" s="17">
        <v>1960.5294348504481</v>
      </c>
      <c r="J7" s="17">
        <v>108.2162655184334</v>
      </c>
      <c r="K7" s="17">
        <v>0.45087315670626449</v>
      </c>
      <c r="L7" s="17">
        <v>0.1629067065761701</v>
      </c>
      <c r="M7" s="17">
        <v>284.96259197782018</v>
      </c>
      <c r="N7" s="17">
        <v>3729.8160977450329</v>
      </c>
      <c r="O7" s="17">
        <v>0.8236934667848923</v>
      </c>
      <c r="P7" s="17">
        <v>21689.00701267938</v>
      </c>
      <c r="Q7" s="17">
        <v>10.388575727057781</v>
      </c>
      <c r="R7" s="17">
        <v>23.579215017349501</v>
      </c>
      <c r="S7" s="17">
        <v>718.98084442132665</v>
      </c>
      <c r="T7" s="17">
        <v>397.77874714592627</v>
      </c>
      <c r="U7" s="17">
        <v>3599.314738561744</v>
      </c>
      <c r="V7" s="17">
        <v>754.58174858145128</v>
      </c>
      <c r="W7" s="17">
        <v>80.534673764424184</v>
      </c>
      <c r="X7" s="17">
        <v>308.44952141473522</v>
      </c>
      <c r="Y7" s="17">
        <v>9.8608840656436048</v>
      </c>
      <c r="Z7" s="17">
        <v>65.101493425432409</v>
      </c>
      <c r="AA7" s="17">
        <v>523.86324933034882</v>
      </c>
      <c r="AB7" s="17">
        <v>242.9415758862838</v>
      </c>
      <c r="AC7" s="17">
        <v>59.878891406468327</v>
      </c>
      <c r="AD7" s="17">
        <v>4.9867478115000914</v>
      </c>
      <c r="AE7" s="17">
        <v>388.54732193914458</v>
      </c>
      <c r="AF7" s="17">
        <v>23.055223392361459</v>
      </c>
      <c r="AG7" s="17">
        <v>229.34762555219251</v>
      </c>
      <c r="AH7" s="17">
        <v>0.43964821119660802</v>
      </c>
      <c r="AI7" s="17">
        <v>0.5301268591099676</v>
      </c>
    </row>
    <row r="8" spans="1:35" x14ac:dyDescent="0.2">
      <c r="A8" s="12" t="s">
        <v>1372</v>
      </c>
      <c r="B8" s="17">
        <v>2.4258557122355962</v>
      </c>
      <c r="C8" s="17">
        <v>66.98669077527984</v>
      </c>
      <c r="D8" s="17">
        <v>8.8609661113182643</v>
      </c>
      <c r="E8" s="17">
        <v>2.0305937777301688</v>
      </c>
      <c r="F8" s="17">
        <v>0.2589772566775928</v>
      </c>
      <c r="G8" s="17">
        <v>3.7207551140069861</v>
      </c>
      <c r="H8" s="17">
        <v>0.41413528466302169</v>
      </c>
      <c r="I8" s="17">
        <v>282.882965172024</v>
      </c>
      <c r="J8" s="17">
        <v>4.4904364908209073E-2</v>
      </c>
      <c r="K8" s="17">
        <v>2.7829356283901961E-2</v>
      </c>
      <c r="L8" s="17">
        <v>8.7029182430712046E-2</v>
      </c>
      <c r="M8" s="17">
        <v>855.63393389788564</v>
      </c>
      <c r="N8" s="17">
        <v>4583.4247374227034</v>
      </c>
      <c r="O8" s="17">
        <v>110.22671491401751</v>
      </c>
      <c r="P8" s="17">
        <v>14741.854075228241</v>
      </c>
      <c r="Q8" s="17">
        <v>9.5092920229151847</v>
      </c>
      <c r="R8" s="17">
        <v>117.0497315496502</v>
      </c>
      <c r="S8" s="17">
        <v>303.42586816242732</v>
      </c>
      <c r="T8" s="17">
        <v>171.40212912611901</v>
      </c>
      <c r="U8" s="17">
        <v>1.639980608334902</v>
      </c>
      <c r="V8" s="17">
        <v>0.71731385550664517</v>
      </c>
      <c r="W8" s="17">
        <v>3.1574668557859229</v>
      </c>
      <c r="X8" s="17">
        <v>0.28186918188154592</v>
      </c>
      <c r="Y8" s="17">
        <v>9.6763965177123296E-2</v>
      </c>
      <c r="Z8" s="17">
        <v>0.15876137985201291</v>
      </c>
      <c r="AA8" s="17">
        <v>0.89711331876806288</v>
      </c>
      <c r="AB8" s="17">
        <v>108.5287444783023</v>
      </c>
      <c r="AC8" s="17">
        <v>1.4907396481524291</v>
      </c>
      <c r="AD8" s="17">
        <v>0.24700018415046099</v>
      </c>
      <c r="AE8" s="17">
        <v>4.3101428633248524</v>
      </c>
      <c r="AF8" s="17">
        <v>9.952268313901913E-2</v>
      </c>
      <c r="AG8" s="17">
        <v>3.4199675579529758E-3</v>
      </c>
      <c r="AH8" s="17">
        <v>4.3031932006811158E-2</v>
      </c>
      <c r="AI8" s="17">
        <v>0.21610148766077741</v>
      </c>
    </row>
    <row r="9" spans="1:35" x14ac:dyDescent="0.2">
      <c r="A9" s="12" t="s">
        <v>1373</v>
      </c>
      <c r="B9" s="17">
        <v>48.623048071764117</v>
      </c>
      <c r="C9" s="17">
        <v>207.82296819441379</v>
      </c>
      <c r="D9" s="17">
        <v>24.391212202199121</v>
      </c>
      <c r="E9" s="17">
        <v>29.165212522269769</v>
      </c>
      <c r="F9" s="17">
        <v>4.088642512207886</v>
      </c>
      <c r="G9" s="17">
        <v>35.950723344516057</v>
      </c>
      <c r="H9" s="17">
        <v>2.9666776655154519</v>
      </c>
      <c r="I9" s="17">
        <v>93.27269198132332</v>
      </c>
      <c r="J9" s="17">
        <v>0.86992654218325549</v>
      </c>
      <c r="K9" s="17">
        <v>5.5371509908981169</v>
      </c>
      <c r="L9" s="17">
        <v>71.313694243437595</v>
      </c>
      <c r="M9" s="17">
        <v>2215.7553977455518</v>
      </c>
      <c r="N9" s="17">
        <v>1212.0865990259661</v>
      </c>
      <c r="O9" s="17">
        <v>2.0969721662902292</v>
      </c>
      <c r="P9" s="17">
        <v>1628.307807103625</v>
      </c>
      <c r="Q9" s="17">
        <v>172.2555416955876</v>
      </c>
      <c r="R9" s="17">
        <v>11.68001681733994</v>
      </c>
      <c r="S9" s="17">
        <v>26.87061749484657</v>
      </c>
      <c r="T9" s="17">
        <v>3.626981046309258</v>
      </c>
      <c r="U9" s="17">
        <v>13.881622189817911</v>
      </c>
      <c r="V9" s="17">
        <v>5.6757889409948872</v>
      </c>
      <c r="W9" s="17">
        <v>22.923470877106681</v>
      </c>
      <c r="X9" s="17">
        <v>5.8794251205464834</v>
      </c>
      <c r="Y9" s="17">
        <v>0.23731833579219949</v>
      </c>
      <c r="Z9" s="17">
        <v>3.7088300617323919</v>
      </c>
      <c r="AA9" s="17">
        <v>5.5531113842133788</v>
      </c>
      <c r="AB9" s="17">
        <v>42.033540809702608</v>
      </c>
      <c r="AC9" s="17">
        <v>2.0584366797744131</v>
      </c>
      <c r="AD9" s="17">
        <v>1.0697168454290491</v>
      </c>
      <c r="AE9" s="17">
        <v>0.58745253467921543</v>
      </c>
      <c r="AF9" s="17">
        <v>0.74988009134930678</v>
      </c>
      <c r="AG9" s="17">
        <v>0.51292231504542063</v>
      </c>
      <c r="AH9" s="17">
        <v>6.7210706057431846E-2</v>
      </c>
      <c r="AI9" s="17">
        <v>0.34328098989270522</v>
      </c>
    </row>
    <row r="10" spans="1:35" x14ac:dyDescent="0.2">
      <c r="A10" s="12" t="s">
        <v>1374</v>
      </c>
      <c r="B10" s="17">
        <v>3.6170468873408992</v>
      </c>
      <c r="C10" s="17">
        <v>25.275657373586771</v>
      </c>
      <c r="D10" s="17">
        <v>6.7881066672319141</v>
      </c>
      <c r="E10" s="17">
        <v>19.764844324635209</v>
      </c>
      <c r="F10" s="17">
        <v>3.530145340325463</v>
      </c>
      <c r="G10" s="17">
        <v>10.885830763394919</v>
      </c>
      <c r="H10" s="17">
        <v>0.20590800866336281</v>
      </c>
      <c r="I10" s="17">
        <v>7.8970075150222891</v>
      </c>
      <c r="J10" s="17">
        <v>0.32538123555309528</v>
      </c>
      <c r="K10" s="17">
        <v>0.16195532126569881</v>
      </c>
      <c r="L10" s="17">
        <v>0</v>
      </c>
      <c r="M10" s="17">
        <v>167.3602705489277</v>
      </c>
      <c r="N10" s="17">
        <v>499.34643324133322</v>
      </c>
      <c r="O10" s="17">
        <v>3.045616456052584</v>
      </c>
      <c r="P10" s="17">
        <v>501.09431578269567</v>
      </c>
      <c r="Q10" s="17">
        <v>31.43319754999688</v>
      </c>
      <c r="R10" s="17">
        <v>1.382282740346291</v>
      </c>
      <c r="S10" s="17">
        <v>4.8606434452830536</v>
      </c>
      <c r="T10" s="17">
        <v>15.135812162484889</v>
      </c>
      <c r="U10" s="17">
        <v>17.54210897695059</v>
      </c>
      <c r="V10" s="17">
        <v>15.31668838995474</v>
      </c>
      <c r="W10" s="17">
        <v>10.301105154154421</v>
      </c>
      <c r="X10" s="17">
        <v>4.4402502405696334</v>
      </c>
      <c r="Y10" s="17">
        <v>1.0376234619073901</v>
      </c>
      <c r="Z10" s="17">
        <v>0.57593312721154188</v>
      </c>
      <c r="AA10" s="17">
        <v>3.622148761315056</v>
      </c>
      <c r="AB10" s="17">
        <v>2.2230476496605922</v>
      </c>
      <c r="AC10" s="17">
        <v>4.1747234104602056</v>
      </c>
      <c r="AD10" s="17">
        <v>0.36544086161783412</v>
      </c>
      <c r="AE10" s="17">
        <v>0.15645276004065611</v>
      </c>
      <c r="AF10" s="17">
        <v>0.50363921894297026</v>
      </c>
      <c r="AG10" s="17">
        <v>0.97991437144711924</v>
      </c>
      <c r="AH10" s="17">
        <v>0.28375602706160979</v>
      </c>
      <c r="AI10" s="17">
        <v>0.8870406728647241</v>
      </c>
    </row>
    <row r="11" spans="1:35" x14ac:dyDescent="0.2">
      <c r="A11" s="12" t="s">
        <v>1375</v>
      </c>
      <c r="B11" s="17">
        <v>47.652454940779847</v>
      </c>
      <c r="C11" s="17">
        <v>181.12698720328009</v>
      </c>
      <c r="D11" s="17">
        <v>11.558201164613109</v>
      </c>
      <c r="E11" s="17">
        <v>27.14479322042919</v>
      </c>
      <c r="F11" s="17">
        <v>4.3506199444917186</v>
      </c>
      <c r="G11" s="17">
        <v>18.346986966234329</v>
      </c>
      <c r="H11" s="17">
        <v>0.74966696299601732</v>
      </c>
      <c r="I11" s="17">
        <v>58.95619243118378</v>
      </c>
      <c r="J11" s="17">
        <v>7.9458683396980474</v>
      </c>
      <c r="K11" s="17">
        <v>15.63432631016029</v>
      </c>
      <c r="L11" s="17">
        <v>2.5640043647881701</v>
      </c>
      <c r="M11" s="17">
        <v>132.506653254578</v>
      </c>
      <c r="N11" s="17">
        <v>434.38599507781328</v>
      </c>
      <c r="O11" s="17">
        <v>0.59245386786671483</v>
      </c>
      <c r="P11" s="17">
        <v>674.95401844739615</v>
      </c>
      <c r="Q11" s="17">
        <v>17.14679309077032</v>
      </c>
      <c r="R11" s="17">
        <v>2.4752644252820528</v>
      </c>
      <c r="S11" s="17">
        <v>41.795751476123648</v>
      </c>
      <c r="T11" s="17">
        <v>57.317676223496477</v>
      </c>
      <c r="U11" s="17">
        <v>18.204828228406779</v>
      </c>
      <c r="V11" s="17">
        <v>11.95152255600579</v>
      </c>
      <c r="W11" s="17">
        <v>17.130445399610181</v>
      </c>
      <c r="X11" s="17">
        <v>19.059722070784101</v>
      </c>
      <c r="Y11" s="17">
        <v>15.28214596512713</v>
      </c>
      <c r="Z11" s="17">
        <v>16.945146103222669</v>
      </c>
      <c r="AA11" s="17">
        <v>43.735106838629029</v>
      </c>
      <c r="AB11" s="17">
        <v>384.46641867615313</v>
      </c>
      <c r="AC11" s="17">
        <v>85.355594633843609</v>
      </c>
      <c r="AD11" s="17">
        <v>4.085579987517086</v>
      </c>
      <c r="AE11" s="17">
        <v>7.340943121500783</v>
      </c>
      <c r="AF11" s="17">
        <v>26.28011706673076</v>
      </c>
      <c r="AG11" s="17">
        <v>5.9798119847884301</v>
      </c>
      <c r="AH11" s="17">
        <v>1.9771045606951929</v>
      </c>
      <c r="AI11" s="17">
        <v>14.0604492804081</v>
      </c>
    </row>
    <row r="12" spans="1:35" x14ac:dyDescent="0.2">
      <c r="A12" s="12" t="s">
        <v>1376</v>
      </c>
      <c r="B12" s="17">
        <v>0.73222372236231037</v>
      </c>
      <c r="C12" s="17">
        <v>4.6359776895086293E-3</v>
      </c>
      <c r="D12" s="17">
        <v>3.751302600740499</v>
      </c>
      <c r="E12" s="17">
        <v>2.7050169995423752</v>
      </c>
      <c r="F12" s="17">
        <v>18.62585331456518</v>
      </c>
      <c r="G12" s="17">
        <v>322.53048959130768</v>
      </c>
      <c r="H12" s="17">
        <v>4.0511098641002139</v>
      </c>
      <c r="I12" s="17">
        <v>0.1045992466195384</v>
      </c>
      <c r="J12" s="17">
        <v>0</v>
      </c>
      <c r="K12" s="17">
        <v>8.9422049571648797E-4</v>
      </c>
      <c r="L12" s="17">
        <v>0.26407315410177729</v>
      </c>
      <c r="M12" s="17">
        <v>3.0081577475902641</v>
      </c>
      <c r="N12" s="17">
        <v>1.1628752335036561</v>
      </c>
      <c r="O12" s="17">
        <v>0</v>
      </c>
      <c r="P12" s="17">
        <v>6.8523957849388344</v>
      </c>
      <c r="Q12" s="17">
        <v>6.3791467841288796</v>
      </c>
      <c r="R12" s="17">
        <v>0</v>
      </c>
      <c r="S12" s="17">
        <v>0</v>
      </c>
      <c r="T12" s="17">
        <v>0</v>
      </c>
      <c r="U12" s="17">
        <v>1.01509370875878E-2</v>
      </c>
      <c r="V12" s="17">
        <v>91.938346679728241</v>
      </c>
      <c r="W12" s="17">
        <v>997.23557813288369</v>
      </c>
      <c r="X12" s="17">
        <v>3830.2786047988852</v>
      </c>
      <c r="Y12" s="17">
        <v>17.357642293063261</v>
      </c>
      <c r="Z12" s="17">
        <v>0.62833096284684353</v>
      </c>
      <c r="AA12" s="17">
        <v>4.8258275793684347E-3</v>
      </c>
      <c r="AB12" s="17">
        <v>0.3002212504105134</v>
      </c>
      <c r="AC12" s="17">
        <v>0</v>
      </c>
      <c r="AD12" s="17">
        <v>3.467670674986731E-3</v>
      </c>
      <c r="AE12" s="17">
        <v>4.0892862006481102E-3</v>
      </c>
      <c r="AF12" s="17">
        <v>0</v>
      </c>
      <c r="AG12" s="17">
        <v>0</v>
      </c>
      <c r="AH12" s="17">
        <v>0</v>
      </c>
      <c r="AI12" s="17">
        <v>0</v>
      </c>
    </row>
    <row r="13" spans="1:35" x14ac:dyDescent="0.2">
      <c r="A13" s="12" t="s">
        <v>1377</v>
      </c>
      <c r="B13" s="17">
        <v>15.07878678038337</v>
      </c>
      <c r="C13" s="17">
        <v>18.756471751467949</v>
      </c>
      <c r="D13" s="17">
        <v>1.0441472931430931</v>
      </c>
      <c r="E13" s="17">
        <v>549.95695225488612</v>
      </c>
      <c r="F13" s="17">
        <v>63.555273709635721</v>
      </c>
      <c r="G13" s="17">
        <v>429.95982824233317</v>
      </c>
      <c r="H13" s="17">
        <v>1.929952477148876E-2</v>
      </c>
      <c r="I13" s="17">
        <v>10.718354856456759</v>
      </c>
      <c r="J13" s="17">
        <v>0</v>
      </c>
      <c r="K13" s="17">
        <v>29.22775613129118</v>
      </c>
      <c r="L13" s="17">
        <v>2.3866780140876229</v>
      </c>
      <c r="M13" s="17">
        <v>1752.547940381221</v>
      </c>
      <c r="N13" s="17">
        <v>54.483827508838772</v>
      </c>
      <c r="O13" s="17">
        <v>0.55851309077873901</v>
      </c>
      <c r="P13" s="17">
        <v>156.72402019949121</v>
      </c>
      <c r="Q13" s="17">
        <v>32.290144433778288</v>
      </c>
      <c r="R13" s="17">
        <v>3.7372693472616153E-2</v>
      </c>
      <c r="S13" s="17">
        <v>6.1364028247160619E-2</v>
      </c>
      <c r="T13" s="17">
        <v>0</v>
      </c>
      <c r="U13" s="17">
        <v>9.4242417377396123E-3</v>
      </c>
      <c r="V13" s="17">
        <v>0.1974783460623363</v>
      </c>
      <c r="W13" s="17">
        <v>0.15143851588456811</v>
      </c>
      <c r="X13" s="17">
        <v>118.0175892100786</v>
      </c>
      <c r="Y13" s="17">
        <v>2.4938724604822609</v>
      </c>
      <c r="Z13" s="17">
        <v>0.33732566093920591</v>
      </c>
      <c r="AA13" s="17">
        <v>12.027349536443481</v>
      </c>
      <c r="AB13" s="17">
        <v>0.82449858648264807</v>
      </c>
      <c r="AC13" s="17">
        <v>5.4237015470463409E-3</v>
      </c>
      <c r="AD13" s="17">
        <v>0</v>
      </c>
      <c r="AE13" s="17">
        <v>0</v>
      </c>
      <c r="AF13" s="17">
        <v>0.22199706297336411</v>
      </c>
      <c r="AG13" s="17">
        <v>2.7735537831170189E-2</v>
      </c>
      <c r="AH13" s="17">
        <v>0.52767909534889446</v>
      </c>
      <c r="AI13" s="17">
        <v>3.9672023557708269E-2</v>
      </c>
    </row>
    <row r="14" spans="1:35" x14ac:dyDescent="0.2">
      <c r="A14" s="12" t="s">
        <v>1378</v>
      </c>
      <c r="B14" s="17">
        <v>59.628414094299487</v>
      </c>
      <c r="C14" s="17">
        <v>329.42515918351398</v>
      </c>
      <c r="D14" s="17">
        <v>212.43393954139631</v>
      </c>
      <c r="E14" s="17">
        <v>24.433823615879419</v>
      </c>
      <c r="F14" s="17">
        <v>192.59527080067349</v>
      </c>
      <c r="G14" s="17">
        <v>100.5638365524744</v>
      </c>
      <c r="H14" s="17">
        <v>6.9584344624538286</v>
      </c>
      <c r="I14" s="17">
        <v>470.4382491471705</v>
      </c>
      <c r="J14" s="17">
        <v>926.60536669971907</v>
      </c>
      <c r="K14" s="17">
        <v>2.4930938508638181</v>
      </c>
      <c r="L14" s="17">
        <v>2.5390560951250452</v>
      </c>
      <c r="M14" s="17">
        <v>1737.776502318585</v>
      </c>
      <c r="N14" s="17">
        <v>1772.394721895176</v>
      </c>
      <c r="O14" s="17">
        <v>9.5328762352953031</v>
      </c>
      <c r="P14" s="17">
        <v>1918.1097390317029</v>
      </c>
      <c r="Q14" s="17">
        <v>212.05702306066129</v>
      </c>
      <c r="R14" s="17">
        <v>8.5786997579513731</v>
      </c>
      <c r="S14" s="17">
        <v>358.26079165520969</v>
      </c>
      <c r="T14" s="17">
        <v>26.50151737524423</v>
      </c>
      <c r="U14" s="17">
        <v>401.39444683925763</v>
      </c>
      <c r="V14" s="17">
        <v>898.57932018589747</v>
      </c>
      <c r="W14" s="17">
        <v>43.825267106749429</v>
      </c>
      <c r="X14" s="17">
        <v>20.48940880973689</v>
      </c>
      <c r="Y14" s="17">
        <v>9.7675525446811545E-2</v>
      </c>
      <c r="Z14" s="17">
        <v>107.5781323118173</v>
      </c>
      <c r="AA14" s="17">
        <v>59.824359459169521</v>
      </c>
      <c r="AB14" s="17">
        <v>174.44575061440071</v>
      </c>
      <c r="AC14" s="17">
        <v>115.81795918021849</v>
      </c>
      <c r="AD14" s="17">
        <v>26.485537364125499</v>
      </c>
      <c r="AE14" s="17">
        <v>2.8927525634737559</v>
      </c>
      <c r="AF14" s="17">
        <v>20.839879958425009</v>
      </c>
      <c r="AG14" s="17">
        <v>16.968643549601261</v>
      </c>
      <c r="AH14" s="17">
        <v>0.2268608028169645</v>
      </c>
      <c r="AI14" s="17">
        <v>0.44037902593896577</v>
      </c>
    </row>
    <row r="15" spans="1:35" x14ac:dyDescent="0.2">
      <c r="A15" s="12" t="s">
        <v>1379</v>
      </c>
      <c r="B15" s="17">
        <v>0.1918575605491844</v>
      </c>
      <c r="C15" s="17">
        <v>0.88342745653919197</v>
      </c>
      <c r="D15" s="17">
        <v>0</v>
      </c>
      <c r="E15" s="17">
        <v>81.264418734827245</v>
      </c>
      <c r="F15" s="17">
        <v>0</v>
      </c>
      <c r="G15" s="17">
        <v>1.8704876092059211</v>
      </c>
      <c r="H15" s="17">
        <v>0</v>
      </c>
      <c r="I15" s="17">
        <v>2.4420671616940951E-2</v>
      </c>
      <c r="J15" s="17">
        <v>8.9633974516013775E-3</v>
      </c>
      <c r="K15" s="17">
        <v>1.329899370972311</v>
      </c>
      <c r="L15" s="17">
        <v>20.054741108828399</v>
      </c>
      <c r="M15" s="17">
        <v>29.29468975290191</v>
      </c>
      <c r="N15" s="17">
        <v>616.64232081434852</v>
      </c>
      <c r="O15" s="17">
        <v>0</v>
      </c>
      <c r="P15" s="17">
        <v>523.83534393510627</v>
      </c>
      <c r="Q15" s="17">
        <v>2.4492024892633468</v>
      </c>
      <c r="R15" s="17">
        <v>0.72215265939542073</v>
      </c>
      <c r="S15" s="17">
        <v>10.25182761026748</v>
      </c>
      <c r="T15" s="17">
        <v>9.289436642632305</v>
      </c>
      <c r="U15" s="17">
        <v>9.4851455105492824E-2</v>
      </c>
      <c r="V15" s="17">
        <v>1.7147477652859999</v>
      </c>
      <c r="W15" s="17">
        <v>6.0817399851593876</v>
      </c>
      <c r="X15" s="17">
        <v>84.085386883409967</v>
      </c>
      <c r="Y15" s="17">
        <v>9.9113915557147061E-2</v>
      </c>
      <c r="Z15" s="17">
        <v>0.47466842861132358</v>
      </c>
      <c r="AA15" s="17">
        <v>0.1299243744995075</v>
      </c>
      <c r="AB15" s="17">
        <v>52.81188629711346</v>
      </c>
      <c r="AC15" s="17">
        <v>4.8414576741774903E-3</v>
      </c>
      <c r="AD15" s="17">
        <v>1.4896492585772121E-2</v>
      </c>
      <c r="AE15" s="17">
        <v>0</v>
      </c>
      <c r="AF15" s="17">
        <v>2.0329958656012691E-2</v>
      </c>
      <c r="AG15" s="17">
        <v>0.17716144003592599</v>
      </c>
      <c r="AH15" s="17">
        <v>0</v>
      </c>
      <c r="AI15" s="17">
        <v>8.1319834624050749E-2</v>
      </c>
    </row>
    <row r="16" spans="1:35" x14ac:dyDescent="0.2">
      <c r="A16" s="12" t="s">
        <v>1380</v>
      </c>
      <c r="B16" s="17">
        <v>47.787159259266268</v>
      </c>
      <c r="C16" s="17">
        <v>739.92250903242564</v>
      </c>
      <c r="D16" s="17">
        <v>129.1486018671587</v>
      </c>
      <c r="E16" s="17">
        <v>167.4285755250134</v>
      </c>
      <c r="F16" s="17">
        <v>14.113178285276449</v>
      </c>
      <c r="G16" s="17">
        <v>116.2024660957252</v>
      </c>
      <c r="H16" s="17">
        <v>8.4099653234896348</v>
      </c>
      <c r="I16" s="17">
        <v>370.02273470931209</v>
      </c>
      <c r="J16" s="17">
        <v>15.530708220489039</v>
      </c>
      <c r="K16" s="17">
        <v>15.689541750253101</v>
      </c>
      <c r="L16" s="17">
        <v>163.6202633237443</v>
      </c>
      <c r="M16" s="17">
        <v>11394.318083629239</v>
      </c>
      <c r="N16" s="17">
        <v>9547.3418252981755</v>
      </c>
      <c r="O16" s="17">
        <v>116.0237498801559</v>
      </c>
      <c r="P16" s="17">
        <v>8798.6212177181533</v>
      </c>
      <c r="Q16" s="17">
        <v>532.69375899682154</v>
      </c>
      <c r="R16" s="17">
        <v>61.261933789801482</v>
      </c>
      <c r="S16" s="17">
        <v>76.236471362342428</v>
      </c>
      <c r="T16" s="17">
        <v>52.638770059713742</v>
      </c>
      <c r="U16" s="17">
        <v>55.031424857811388</v>
      </c>
      <c r="V16" s="17">
        <v>14.388112709613861</v>
      </c>
      <c r="W16" s="17">
        <v>37.940013813183278</v>
      </c>
      <c r="X16" s="17">
        <v>32.671395614614262</v>
      </c>
      <c r="Y16" s="17">
        <v>1.2571353039744</v>
      </c>
      <c r="Z16" s="17">
        <v>34.621411273879161</v>
      </c>
      <c r="AA16" s="17">
        <v>24.884034065219019</v>
      </c>
      <c r="AB16" s="17">
        <v>284.82658196110913</v>
      </c>
      <c r="AC16" s="17">
        <v>26.06222978425334</v>
      </c>
      <c r="AD16" s="17">
        <v>6.2642489333844411</v>
      </c>
      <c r="AE16" s="17">
        <v>10.02349144681142</v>
      </c>
      <c r="AF16" s="17">
        <v>27.78883705255268</v>
      </c>
      <c r="AG16" s="17">
        <v>11.21016003371709</v>
      </c>
      <c r="AH16" s="17">
        <v>0.46706642298317969</v>
      </c>
      <c r="AI16" s="17">
        <v>1.0048442892387619</v>
      </c>
    </row>
    <row r="17" spans="1:35" x14ac:dyDescent="0.2">
      <c r="A17" s="12" t="s">
        <v>1381</v>
      </c>
      <c r="B17" s="17">
        <v>3.6756234412824322E-2</v>
      </c>
      <c r="C17" s="17">
        <v>1.695572977524163</v>
      </c>
      <c r="D17" s="17">
        <v>5.4741055227671418E-4</v>
      </c>
      <c r="E17" s="17">
        <v>3.366173992857324E-4</v>
      </c>
      <c r="F17" s="17">
        <v>0</v>
      </c>
      <c r="G17" s="17">
        <v>3.470720596961724E-3</v>
      </c>
      <c r="H17" s="17">
        <v>0</v>
      </c>
      <c r="I17" s="17">
        <v>9.2052009955335846E-3</v>
      </c>
      <c r="J17" s="17">
        <v>0</v>
      </c>
      <c r="K17" s="17">
        <v>4.1412949819490709E-2</v>
      </c>
      <c r="L17" s="17">
        <v>5.6864286260620888E-3</v>
      </c>
      <c r="M17" s="17">
        <v>6.1891702959455817</v>
      </c>
      <c r="N17" s="17">
        <v>1087.773908774639</v>
      </c>
      <c r="O17" s="17">
        <v>0.66288125654315266</v>
      </c>
      <c r="P17" s="17">
        <v>3840.789140471627</v>
      </c>
      <c r="Q17" s="17">
        <v>6.1640706112366141E-2</v>
      </c>
      <c r="R17" s="17">
        <v>0.54527907651157104</v>
      </c>
      <c r="S17" s="17">
        <v>49.477474294952088</v>
      </c>
      <c r="T17" s="17">
        <v>7.0729035904124483E-4</v>
      </c>
      <c r="U17" s="17">
        <v>0</v>
      </c>
      <c r="V17" s="17">
        <v>0</v>
      </c>
      <c r="W17" s="17">
        <v>3.304692656568289E-4</v>
      </c>
      <c r="X17" s="17">
        <v>0</v>
      </c>
      <c r="Y17" s="17">
        <v>0</v>
      </c>
      <c r="Z17" s="17">
        <v>0</v>
      </c>
      <c r="AA17" s="17">
        <v>0</v>
      </c>
      <c r="AB17" s="17">
        <v>3.6627265268682527E-2</v>
      </c>
      <c r="AC17" s="17">
        <v>0</v>
      </c>
      <c r="AD17" s="17">
        <v>1.9991350638499529E-4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</row>
    <row r="18" spans="1:35" x14ac:dyDescent="0.2">
      <c r="A18" s="12" t="s">
        <v>1382</v>
      </c>
      <c r="B18" s="17">
        <v>8.3969010091527974</v>
      </c>
      <c r="C18" s="17">
        <v>134.6727557226055</v>
      </c>
      <c r="D18" s="17">
        <v>23.58630040956773</v>
      </c>
      <c r="E18" s="17">
        <v>7.9915612242960972</v>
      </c>
      <c r="F18" s="17">
        <v>1.304951876170074</v>
      </c>
      <c r="G18" s="17">
        <v>19.087057317078742</v>
      </c>
      <c r="H18" s="17">
        <v>0.52039842085203181</v>
      </c>
      <c r="I18" s="17">
        <v>28.617856513332889</v>
      </c>
      <c r="J18" s="17">
        <v>0.16539176239718131</v>
      </c>
      <c r="K18" s="17">
        <v>2.7215335967143992</v>
      </c>
      <c r="L18" s="17">
        <v>175.04757804963259</v>
      </c>
      <c r="M18" s="17">
        <v>17186.20785136021</v>
      </c>
      <c r="N18" s="17">
        <v>15689.937289618691</v>
      </c>
      <c r="O18" s="17">
        <v>87.864018194516476</v>
      </c>
      <c r="P18" s="17">
        <v>1859.4912274395369</v>
      </c>
      <c r="Q18" s="17">
        <v>373.11403338592879</v>
      </c>
      <c r="R18" s="17">
        <v>29.470682671081569</v>
      </c>
      <c r="S18" s="17">
        <v>13.751985196357079</v>
      </c>
      <c r="T18" s="17">
        <v>162.6165592959828</v>
      </c>
      <c r="U18" s="17">
        <v>1.20271829296549</v>
      </c>
      <c r="V18" s="17">
        <v>0.28689712968293912</v>
      </c>
      <c r="W18" s="17">
        <v>4.2373017291253179</v>
      </c>
      <c r="X18" s="17">
        <v>1.7470754398411761</v>
      </c>
      <c r="Y18" s="17">
        <v>6.3469852587744777E-2</v>
      </c>
      <c r="Z18" s="17">
        <v>0.44960691552629939</v>
      </c>
      <c r="AA18" s="17">
        <v>2.970908845715599</v>
      </c>
      <c r="AB18" s="17">
        <v>26.039870695763</v>
      </c>
      <c r="AC18" s="17">
        <v>1.4030566448040249</v>
      </c>
      <c r="AD18" s="17">
        <v>0.464175385785766</v>
      </c>
      <c r="AE18" s="17">
        <v>1.1180083310306359</v>
      </c>
      <c r="AF18" s="17">
        <v>0.17872143904398261</v>
      </c>
      <c r="AG18" s="17">
        <v>5.5052445701557838E-2</v>
      </c>
      <c r="AH18" s="17">
        <v>5.3675545636070717E-3</v>
      </c>
      <c r="AI18" s="17">
        <v>1.607054549543872E-2</v>
      </c>
    </row>
    <row r="19" spans="1:35" x14ac:dyDescent="0.2">
      <c r="A19" s="12" t="s">
        <v>1383</v>
      </c>
      <c r="B19" s="17">
        <v>8.9611505353896642E-3</v>
      </c>
      <c r="C19" s="17">
        <v>0.60657661584629075</v>
      </c>
      <c r="D19" s="17">
        <v>2.502211390050235E-3</v>
      </c>
      <c r="E19" s="17">
        <v>0</v>
      </c>
      <c r="F19" s="17">
        <v>0</v>
      </c>
      <c r="G19" s="17">
        <v>2.4823131676979678E-3</v>
      </c>
      <c r="H19" s="17">
        <v>0</v>
      </c>
      <c r="I19" s="17">
        <v>6.6764294958404531E-3</v>
      </c>
      <c r="J19" s="17">
        <v>0</v>
      </c>
      <c r="K19" s="17">
        <v>5.8342064540974757E-2</v>
      </c>
      <c r="L19" s="17">
        <v>4.8434040215222964</v>
      </c>
      <c r="M19" s="17">
        <v>4686.2448827671569</v>
      </c>
      <c r="N19" s="17">
        <v>2246.687629811257</v>
      </c>
      <c r="O19" s="17">
        <v>0.71907747134401412</v>
      </c>
      <c r="P19" s="17">
        <v>992.52486893259493</v>
      </c>
      <c r="Q19" s="17">
        <v>1555.949203563981</v>
      </c>
      <c r="R19" s="17">
        <v>4.7882986947669452E-2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1.1478216087435411E-3</v>
      </c>
      <c r="Y19" s="17">
        <v>0</v>
      </c>
      <c r="Z19" s="17">
        <v>9.9292526707918719E-5</v>
      </c>
      <c r="AA19" s="17">
        <v>0</v>
      </c>
      <c r="AB19" s="17">
        <v>1.037094554659938E-2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</row>
    <row r="20" spans="1:35" x14ac:dyDescent="0.2">
      <c r="A20" s="12" t="s">
        <v>1384</v>
      </c>
      <c r="B20" s="17">
        <v>2.5337940290159011</v>
      </c>
      <c r="C20" s="17">
        <v>10.06484457310526</v>
      </c>
      <c r="D20" s="17">
        <v>2.0134712197970281</v>
      </c>
      <c r="E20" s="17">
        <v>2.4264926894392889</v>
      </c>
      <c r="F20" s="17">
        <v>0.95413141629278708</v>
      </c>
      <c r="G20" s="17">
        <v>4.2581032349425412</v>
      </c>
      <c r="H20" s="17">
        <v>6.0543290559719153E-2</v>
      </c>
      <c r="I20" s="17">
        <v>6.9646061736664739</v>
      </c>
      <c r="J20" s="17">
        <v>6.2930787591493467E-2</v>
      </c>
      <c r="K20" s="17">
        <v>4.485473296606062E-3</v>
      </c>
      <c r="L20" s="17">
        <v>0.19551595157960369</v>
      </c>
      <c r="M20" s="17">
        <v>419.03557790857889</v>
      </c>
      <c r="N20" s="17">
        <v>2373.0001076559738</v>
      </c>
      <c r="O20" s="17">
        <v>28.819470841128229</v>
      </c>
      <c r="P20" s="17">
        <v>2775.99944683168</v>
      </c>
      <c r="Q20" s="17">
        <v>20.283210383997869</v>
      </c>
      <c r="R20" s="17">
        <v>92.256876467484062</v>
      </c>
      <c r="S20" s="17">
        <v>25.04682938477659</v>
      </c>
      <c r="T20" s="17">
        <v>2.4798531813260971</v>
      </c>
      <c r="U20" s="17">
        <v>1.4031835736781511</v>
      </c>
      <c r="V20" s="17">
        <v>0.49493305895641221</v>
      </c>
      <c r="W20" s="17">
        <v>12.254795001530359</v>
      </c>
      <c r="X20" s="17">
        <v>0.5135418377284281</v>
      </c>
      <c r="Y20" s="17">
        <v>0.58761025053597216</v>
      </c>
      <c r="Z20" s="17">
        <v>0.29730092212538939</v>
      </c>
      <c r="AA20" s="17">
        <v>1.0440452934678159</v>
      </c>
      <c r="AB20" s="17">
        <v>14.170386516660439</v>
      </c>
      <c r="AC20" s="17">
        <v>0.51229056874094181</v>
      </c>
      <c r="AD20" s="17">
        <v>0.1223034247353096</v>
      </c>
      <c r="AE20" s="17">
        <v>6.921638561564103E-2</v>
      </c>
      <c r="AF20" s="17">
        <v>0.18673271229282559</v>
      </c>
      <c r="AG20" s="17">
        <v>2.0109928474154309E-2</v>
      </c>
      <c r="AH20" s="17">
        <v>5.3590382992201242E-4</v>
      </c>
      <c r="AI20" s="17">
        <v>0.1259969449016643</v>
      </c>
    </row>
    <row r="21" spans="1:35" x14ac:dyDescent="0.2">
      <c r="A21" s="12" t="s">
        <v>1385</v>
      </c>
      <c r="B21" s="17">
        <v>0.26958185504905963</v>
      </c>
      <c r="C21" s="17">
        <v>4.3995818776372504</v>
      </c>
      <c r="D21" s="17">
        <v>2.533694896624703</v>
      </c>
      <c r="E21" s="17">
        <v>21.728753788785369</v>
      </c>
      <c r="F21" s="17">
        <v>0.15511402361623819</v>
      </c>
      <c r="G21" s="17">
        <v>2.2579745496862449</v>
      </c>
      <c r="H21" s="17">
        <v>7.1453455167152666E-2</v>
      </c>
      <c r="I21" s="17">
        <v>3.8403151939240781</v>
      </c>
      <c r="J21" s="17">
        <v>7.8717249803117464E-2</v>
      </c>
      <c r="K21" s="17">
        <v>2.8030526186762041</v>
      </c>
      <c r="L21" s="17">
        <v>97.627039431120707</v>
      </c>
      <c r="M21" s="17">
        <v>869.57017192299634</v>
      </c>
      <c r="N21" s="17">
        <v>372.08268578541839</v>
      </c>
      <c r="O21" s="17">
        <v>7.5512154020324784</v>
      </c>
      <c r="P21" s="17">
        <v>410.53950932844629</v>
      </c>
      <c r="Q21" s="17">
        <v>131.99196883038539</v>
      </c>
      <c r="R21" s="17">
        <v>0.89603875318815396</v>
      </c>
      <c r="S21" s="17">
        <v>1.6373937679363539</v>
      </c>
      <c r="T21" s="17">
        <v>8.2593009600635731E-2</v>
      </c>
      <c r="U21" s="17">
        <v>0.45037062525393851</v>
      </c>
      <c r="V21" s="17">
        <v>9.3105858369640485E-2</v>
      </c>
      <c r="W21" s="17">
        <v>1.0666164330593439</v>
      </c>
      <c r="X21" s="17">
        <v>0.41648974466764721</v>
      </c>
      <c r="Y21" s="17">
        <v>8.8755450572202549E-2</v>
      </c>
      <c r="Z21" s="17">
        <v>0.18870295348657701</v>
      </c>
      <c r="AA21" s="17">
        <v>0.36414104256213548</v>
      </c>
      <c r="AB21" s="17">
        <v>3.739353580430349</v>
      </c>
      <c r="AC21" s="17">
        <v>0.25049557699366293</v>
      </c>
      <c r="AD21" s="17">
        <v>5.3200757228866212E-2</v>
      </c>
      <c r="AE21" s="17">
        <v>4.9577033010353828E-2</v>
      </c>
      <c r="AF21" s="17">
        <v>1.7629603643341409E-2</v>
      </c>
      <c r="AG21" s="17">
        <v>9.8875496379236276E-5</v>
      </c>
      <c r="AH21" s="17">
        <v>6.484080946524395E-3</v>
      </c>
      <c r="AI21" s="17">
        <v>0.14072085331977849</v>
      </c>
    </row>
    <row r="22" spans="1:35" x14ac:dyDescent="0.2">
      <c r="A22" s="12" t="s">
        <v>1386</v>
      </c>
      <c r="B22" s="17">
        <v>0.62999390405190347</v>
      </c>
      <c r="C22" s="17">
        <v>12.67790106084707</v>
      </c>
      <c r="D22" s="17">
        <v>2.691523900526811</v>
      </c>
      <c r="E22" s="17">
        <v>2.0002407108552398</v>
      </c>
      <c r="F22" s="17">
        <v>3.7277259166964977E-2</v>
      </c>
      <c r="G22" s="17">
        <v>2.308271351637794</v>
      </c>
      <c r="H22" s="17">
        <v>0.1106057805601437</v>
      </c>
      <c r="I22" s="17">
        <v>4.7877442516533764</v>
      </c>
      <c r="J22" s="17">
        <v>0.12653497022113641</v>
      </c>
      <c r="K22" s="17">
        <v>1.6913312223462149</v>
      </c>
      <c r="L22" s="17">
        <v>0.95692071229734366</v>
      </c>
      <c r="M22" s="17">
        <v>763.33615003268744</v>
      </c>
      <c r="N22" s="17">
        <v>143.2373567402044</v>
      </c>
      <c r="O22" s="17">
        <v>6.5870428746119947</v>
      </c>
      <c r="P22" s="17">
        <v>483.11668711117841</v>
      </c>
      <c r="Q22" s="17">
        <v>53.661839947877517</v>
      </c>
      <c r="R22" s="17">
        <v>8.9526553783451366</v>
      </c>
      <c r="S22" s="17">
        <v>7.7305274064032119</v>
      </c>
      <c r="T22" s="17">
        <v>2.5788243877478378</v>
      </c>
      <c r="U22" s="17">
        <v>2.933688625962223</v>
      </c>
      <c r="V22" s="17">
        <v>0.28768425288508909</v>
      </c>
      <c r="W22" s="17">
        <v>1.900297049013544</v>
      </c>
      <c r="X22" s="17">
        <v>1.2966939700779141</v>
      </c>
      <c r="Y22" s="17">
        <v>3.080306407825536E-3</v>
      </c>
      <c r="Z22" s="17">
        <v>0.19034871023290589</v>
      </c>
      <c r="AA22" s="17">
        <v>0.61612414496118539</v>
      </c>
      <c r="AB22" s="17">
        <v>9.2448095447177554</v>
      </c>
      <c r="AC22" s="17">
        <v>1.230220405848155</v>
      </c>
      <c r="AD22" s="17">
        <v>0.1212554092539513</v>
      </c>
      <c r="AE22" s="17">
        <v>1.2898705594105531E-4</v>
      </c>
      <c r="AF22" s="17">
        <v>5.4156930519279771E-2</v>
      </c>
      <c r="AG22" s="17">
        <v>2.687306864119049E-2</v>
      </c>
      <c r="AH22" s="17">
        <v>2.3738439810019191E-2</v>
      </c>
      <c r="AI22" s="17">
        <v>2.3738439810019191E-2</v>
      </c>
    </row>
    <row r="23" spans="1:35" x14ac:dyDescent="0.2">
      <c r="A23" s="12" t="s">
        <v>1387</v>
      </c>
      <c r="B23" s="17">
        <v>0.4803617639151021</v>
      </c>
      <c r="C23" s="17">
        <v>21.900341650917909</v>
      </c>
      <c r="D23" s="17">
        <v>2.3782432113328591</v>
      </c>
      <c r="E23" s="17">
        <v>7.9842378392752762</v>
      </c>
      <c r="F23" s="17">
        <v>3.8990086437212558E-2</v>
      </c>
      <c r="G23" s="17">
        <v>14.644068220468609</v>
      </c>
      <c r="H23" s="17">
        <v>0.50250813301143893</v>
      </c>
      <c r="I23" s="17">
        <v>0</v>
      </c>
      <c r="J23" s="17">
        <v>0</v>
      </c>
      <c r="K23" s="17">
        <v>0.37711601502936348</v>
      </c>
      <c r="L23" s="17">
        <v>1.5475165306929659</v>
      </c>
      <c r="M23" s="17">
        <v>312.18077097027088</v>
      </c>
      <c r="N23" s="17">
        <v>83.149962011342552</v>
      </c>
      <c r="O23" s="17">
        <v>0</v>
      </c>
      <c r="P23" s="17">
        <v>20.949856919786111</v>
      </c>
      <c r="Q23" s="17">
        <v>24.760264491087462</v>
      </c>
      <c r="R23" s="17">
        <v>0</v>
      </c>
      <c r="S23" s="17">
        <v>0</v>
      </c>
      <c r="T23" s="17">
        <v>0.2779564272022445</v>
      </c>
      <c r="U23" s="17">
        <v>0</v>
      </c>
      <c r="V23" s="17">
        <v>0</v>
      </c>
      <c r="W23" s="17">
        <v>7.4252720611027528E-2</v>
      </c>
      <c r="X23" s="17">
        <v>12.98613566399411</v>
      </c>
      <c r="Y23" s="17">
        <v>0.6618333232198208</v>
      </c>
      <c r="Z23" s="17">
        <v>0</v>
      </c>
      <c r="AA23" s="17">
        <v>0</v>
      </c>
      <c r="AB23" s="17">
        <v>1.7817533739731639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1.9105142354234151E-2</v>
      </c>
      <c r="AI23" s="17">
        <v>0</v>
      </c>
    </row>
    <row r="24" spans="1:35" x14ac:dyDescent="0.2">
      <c r="A24" s="12" t="s">
        <v>1388</v>
      </c>
      <c r="B24" s="17">
        <v>6.0002365585588189</v>
      </c>
      <c r="C24" s="17">
        <v>80.940695024177472</v>
      </c>
      <c r="D24" s="17">
        <v>10.28372521237295</v>
      </c>
      <c r="E24" s="17">
        <v>2.109676508382313</v>
      </c>
      <c r="F24" s="17">
        <v>0.41090657883238729</v>
      </c>
      <c r="G24" s="17">
        <v>13.92467387434036</v>
      </c>
      <c r="H24" s="17">
        <v>0.42248711871049283</v>
      </c>
      <c r="I24" s="17">
        <v>10.82163969472643</v>
      </c>
      <c r="J24" s="17">
        <v>1.4249639354184241E-2</v>
      </c>
      <c r="K24" s="17">
        <v>7.8403554450224489</v>
      </c>
      <c r="L24" s="17">
        <v>265.60404141130999</v>
      </c>
      <c r="M24" s="17">
        <v>3942.1432981620128</v>
      </c>
      <c r="N24" s="17">
        <v>1364.237323544942</v>
      </c>
      <c r="O24" s="17">
        <v>11.89096969263916</v>
      </c>
      <c r="P24" s="17">
        <v>2458.110928086423</v>
      </c>
      <c r="Q24" s="17">
        <v>877.34972322326905</v>
      </c>
      <c r="R24" s="17">
        <v>3.7021410764542622</v>
      </c>
      <c r="S24" s="17">
        <v>0.7540811875984037</v>
      </c>
      <c r="T24" s="17">
        <v>1.18857294543037E-2</v>
      </c>
      <c r="U24" s="17">
        <v>0.97020587571368555</v>
      </c>
      <c r="V24" s="17">
        <v>0.46522710962085573</v>
      </c>
      <c r="W24" s="17">
        <v>3.9230764283416262</v>
      </c>
      <c r="X24" s="17">
        <v>2.023384155712308</v>
      </c>
      <c r="Y24" s="17">
        <v>1.49162000510287E-2</v>
      </c>
      <c r="Z24" s="17">
        <v>0.61930166246688656</v>
      </c>
      <c r="AA24" s="17">
        <v>0.57452878045984412</v>
      </c>
      <c r="AB24" s="17">
        <v>12.02219585411301</v>
      </c>
      <c r="AC24" s="17">
        <v>3.6268519744874161E-2</v>
      </c>
      <c r="AD24" s="17">
        <v>8.1013906123171942E-2</v>
      </c>
      <c r="AE24" s="17">
        <v>0.25616034705559021</v>
      </c>
      <c r="AF24" s="17">
        <v>0.74810118591814234</v>
      </c>
      <c r="AG24" s="17">
        <v>1.0855893177679E-2</v>
      </c>
      <c r="AH24" s="17">
        <v>2.2997534328092631E-3</v>
      </c>
      <c r="AI24" s="17">
        <v>1.980756527890841E-3</v>
      </c>
    </row>
    <row r="25" spans="1:35" x14ac:dyDescent="0.2">
      <c r="A25" s="12" t="s">
        <v>1389</v>
      </c>
      <c r="B25" s="17">
        <v>0.33339131440438291</v>
      </c>
      <c r="C25" s="17">
        <v>215.50258301998579</v>
      </c>
      <c r="D25" s="17">
        <v>0.19916802910561479</v>
      </c>
      <c r="E25" s="17">
        <v>2.6111955044898431E-2</v>
      </c>
      <c r="F25" s="17">
        <v>3.1512682109982159E-3</v>
      </c>
      <c r="G25" s="17">
        <v>0.74320088292547293</v>
      </c>
      <c r="H25" s="17">
        <v>0</v>
      </c>
      <c r="I25" s="17">
        <v>1.773238076586531</v>
      </c>
      <c r="J25" s="17">
        <v>0</v>
      </c>
      <c r="K25" s="17">
        <v>14.443176078786021</v>
      </c>
      <c r="L25" s="17">
        <v>256.47522422193441</v>
      </c>
      <c r="M25" s="17">
        <v>3042.3812185832699</v>
      </c>
      <c r="N25" s="17">
        <v>1762.9788053871191</v>
      </c>
      <c r="O25" s="17">
        <v>4.5675542591544529</v>
      </c>
      <c r="P25" s="17">
        <v>1817.231323647256</v>
      </c>
      <c r="Q25" s="17">
        <v>1700.6406401552761</v>
      </c>
      <c r="R25" s="17">
        <v>5.521086217265022E-2</v>
      </c>
      <c r="S25" s="17">
        <v>5.2788405124940527E-2</v>
      </c>
      <c r="T25" s="17">
        <v>0.39227565494871097</v>
      </c>
      <c r="U25" s="17">
        <v>0</v>
      </c>
      <c r="V25" s="17">
        <v>0</v>
      </c>
      <c r="W25" s="17">
        <v>9.4091884631705716E-2</v>
      </c>
      <c r="X25" s="17">
        <v>0</v>
      </c>
      <c r="Y25" s="17">
        <v>0</v>
      </c>
      <c r="Z25" s="17">
        <v>4.7405524527786437E-2</v>
      </c>
      <c r="AA25" s="17">
        <v>0.10496681476046631</v>
      </c>
      <c r="AB25" s="17">
        <v>0.40493298096456992</v>
      </c>
      <c r="AC25" s="17">
        <v>2.7591282535173681E-3</v>
      </c>
      <c r="AD25" s="17">
        <v>0</v>
      </c>
      <c r="AE25" s="17">
        <v>0</v>
      </c>
      <c r="AF25" s="17">
        <v>2.8014131279812701E-3</v>
      </c>
      <c r="AG25" s="17">
        <v>0</v>
      </c>
      <c r="AH25" s="17">
        <v>0</v>
      </c>
      <c r="AI25" s="17">
        <v>0</v>
      </c>
    </row>
    <row r="26" spans="1:35" x14ac:dyDescent="0.2">
      <c r="A26" s="12" t="s">
        <v>1390</v>
      </c>
      <c r="B26" s="17">
        <v>0.53620437187257042</v>
      </c>
      <c r="C26" s="17">
        <v>85.761209170474459</v>
      </c>
      <c r="D26" s="17">
        <v>3.4803996334454039</v>
      </c>
      <c r="E26" s="17">
        <v>6.8293057618154379E-2</v>
      </c>
      <c r="F26" s="17">
        <v>0</v>
      </c>
      <c r="G26" s="17">
        <v>4.5131249210720497E-3</v>
      </c>
      <c r="H26" s="17">
        <v>9.4669113594375756E-2</v>
      </c>
      <c r="I26" s="17">
        <v>1.569766392859584</v>
      </c>
      <c r="J26" s="17">
        <v>6.0786828249427316</v>
      </c>
      <c r="K26" s="17">
        <v>31.11339700518473</v>
      </c>
      <c r="L26" s="17">
        <v>75.639484454426082</v>
      </c>
      <c r="M26" s="17">
        <v>521.53312162639884</v>
      </c>
      <c r="N26" s="17">
        <v>75.382624462668247</v>
      </c>
      <c r="O26" s="17">
        <v>0</v>
      </c>
      <c r="P26" s="17">
        <v>176.0757344446931</v>
      </c>
      <c r="Q26" s="17">
        <v>567.93375040491992</v>
      </c>
      <c r="R26" s="17">
        <v>7.051757689175076E-3</v>
      </c>
      <c r="S26" s="17">
        <v>39.421115387832387</v>
      </c>
      <c r="T26" s="17">
        <v>0.22814794232252639</v>
      </c>
      <c r="U26" s="17">
        <v>1.8910936662400391</v>
      </c>
      <c r="V26" s="17">
        <v>0.32760954327058861</v>
      </c>
      <c r="W26" s="17">
        <v>0.25251114458394952</v>
      </c>
      <c r="X26" s="17">
        <v>0.26342929639300711</v>
      </c>
      <c r="Y26" s="17">
        <v>1.561360697694085E-2</v>
      </c>
      <c r="Z26" s="17">
        <v>1.391638316662283</v>
      </c>
      <c r="AA26" s="17">
        <v>42.25412124203725</v>
      </c>
      <c r="AB26" s="17">
        <v>13.60260364336038</v>
      </c>
      <c r="AC26" s="17">
        <v>59.810704317998344</v>
      </c>
      <c r="AD26" s="17">
        <v>0</v>
      </c>
      <c r="AE26" s="17">
        <v>3.2657423241369457E-2</v>
      </c>
      <c r="AF26" s="17">
        <v>7.0059946024754113E-2</v>
      </c>
      <c r="AG26" s="17">
        <v>2.2868008488197011</v>
      </c>
      <c r="AH26" s="17">
        <v>0</v>
      </c>
      <c r="AI26" s="17">
        <v>0</v>
      </c>
    </row>
    <row r="27" spans="1:35" x14ac:dyDescent="0.2">
      <c r="A27" s="12" t="s">
        <v>1391</v>
      </c>
      <c r="B27" s="17">
        <v>5.4180297911310333</v>
      </c>
      <c r="C27" s="17">
        <v>102.3767378179779</v>
      </c>
      <c r="D27" s="17">
        <v>7.9411207826050569</v>
      </c>
      <c r="E27" s="17">
        <v>10.056410875217519</v>
      </c>
      <c r="F27" s="17">
        <v>2.7882589038189911</v>
      </c>
      <c r="G27" s="17">
        <v>14.150501775998359</v>
      </c>
      <c r="H27" s="17">
        <v>1.3597892031466079</v>
      </c>
      <c r="I27" s="17">
        <v>23.64858963838152</v>
      </c>
      <c r="J27" s="17">
        <v>8.0423744173769185E-2</v>
      </c>
      <c r="K27" s="17">
        <v>154.83600390511751</v>
      </c>
      <c r="L27" s="17">
        <v>149.7946572618022</v>
      </c>
      <c r="M27" s="17">
        <v>3535.0593290560919</v>
      </c>
      <c r="N27" s="17">
        <v>1586.636555260123</v>
      </c>
      <c r="O27" s="17">
        <v>15.71808468044618</v>
      </c>
      <c r="P27" s="17">
        <v>2078.7890482843559</v>
      </c>
      <c r="Q27" s="17">
        <v>737.69621284693619</v>
      </c>
      <c r="R27" s="17">
        <v>9.0710626176095577</v>
      </c>
      <c r="S27" s="17">
        <v>6.6083917111058401</v>
      </c>
      <c r="T27" s="17">
        <v>1.3981212420744411</v>
      </c>
      <c r="U27" s="17">
        <v>2.8967978973783381</v>
      </c>
      <c r="V27" s="17">
        <v>0.61769964535609712</v>
      </c>
      <c r="W27" s="17">
        <v>6.3819276366773954</v>
      </c>
      <c r="X27" s="17">
        <v>15.40331960523317</v>
      </c>
      <c r="Y27" s="17">
        <v>9.1038643842544953E-2</v>
      </c>
      <c r="Z27" s="17">
        <v>0.79208220994908729</v>
      </c>
      <c r="AA27" s="17">
        <v>2.945616209455431</v>
      </c>
      <c r="AB27" s="17">
        <v>33.523199595639063</v>
      </c>
      <c r="AC27" s="17">
        <v>1.4577128859256501</v>
      </c>
      <c r="AD27" s="17">
        <v>9.4073058035234094E-2</v>
      </c>
      <c r="AE27" s="17">
        <v>9.8575551496598676E-2</v>
      </c>
      <c r="AF27" s="17">
        <v>9.5188814723888612E-2</v>
      </c>
      <c r="AG27" s="17">
        <v>0.21010286336848891</v>
      </c>
      <c r="AH27" s="17">
        <v>8.7653602904890372E-3</v>
      </c>
      <c r="AI27" s="17">
        <v>0.1171719245486815</v>
      </c>
    </row>
    <row r="28" spans="1:35" x14ac:dyDescent="0.2">
      <c r="A28" s="12" t="s">
        <v>1392</v>
      </c>
      <c r="B28" s="17">
        <v>3.1874449532997708</v>
      </c>
      <c r="C28" s="17">
        <v>54.591877643189903</v>
      </c>
      <c r="D28" s="17">
        <v>3.894068693016453</v>
      </c>
      <c r="E28" s="17">
        <v>3.8451778525050182</v>
      </c>
      <c r="F28" s="17">
        <v>0.21701821828643139</v>
      </c>
      <c r="G28" s="17">
        <v>6.878704477995325</v>
      </c>
      <c r="H28" s="17">
        <v>0.1017348158553967</v>
      </c>
      <c r="I28" s="17">
        <v>12.56838742674976</v>
      </c>
      <c r="J28" s="17">
        <v>9.4157305676344991E-2</v>
      </c>
      <c r="K28" s="17">
        <v>13.00131635607327</v>
      </c>
      <c r="L28" s="17">
        <v>70.940518812793812</v>
      </c>
      <c r="M28" s="17">
        <v>1902.6442176744731</v>
      </c>
      <c r="N28" s="17">
        <v>166.06884883191421</v>
      </c>
      <c r="O28" s="17">
        <v>1.6835149874146329</v>
      </c>
      <c r="P28" s="17">
        <v>342.31845165693568</v>
      </c>
      <c r="Q28" s="17">
        <v>116.8189062020963</v>
      </c>
      <c r="R28" s="17">
        <v>7.3046259973602803</v>
      </c>
      <c r="S28" s="17">
        <v>11.062060603178949</v>
      </c>
      <c r="T28" s="17">
        <v>0.91439415063310192</v>
      </c>
      <c r="U28" s="17">
        <v>1.172325461483587</v>
      </c>
      <c r="V28" s="17">
        <v>0.85329240304824117</v>
      </c>
      <c r="W28" s="17">
        <v>2.5616972655209391</v>
      </c>
      <c r="X28" s="17">
        <v>1.661263412308368</v>
      </c>
      <c r="Y28" s="17">
        <v>4.8760473871521513E-2</v>
      </c>
      <c r="Z28" s="17">
        <v>0.61442893932293341</v>
      </c>
      <c r="AA28" s="17">
        <v>0.8386388475145341</v>
      </c>
      <c r="AB28" s="17">
        <v>15.32328114846781</v>
      </c>
      <c r="AC28" s="17">
        <v>0.40856701885076679</v>
      </c>
      <c r="AD28" s="17">
        <v>6.7439860899890167E-2</v>
      </c>
      <c r="AE28" s="17">
        <v>2.7559852884981889E-2</v>
      </c>
      <c r="AF28" s="17">
        <v>0.5361687488420096</v>
      </c>
      <c r="AG28" s="17">
        <v>5.9574305426889948E-2</v>
      </c>
      <c r="AH28" s="17">
        <v>2.2844621479883032E-3</v>
      </c>
      <c r="AI28" s="17">
        <v>0.31343318175489487</v>
      </c>
    </row>
    <row r="29" spans="1:35" x14ac:dyDescent="0.2">
      <c r="A29" s="12" t="s">
        <v>1393</v>
      </c>
      <c r="B29" s="17">
        <v>1.7404811575214521E-2</v>
      </c>
      <c r="C29" s="17">
        <v>1.2968894531582149</v>
      </c>
      <c r="D29" s="17">
        <v>1.423177859506179E-3</v>
      </c>
      <c r="E29" s="17">
        <v>6.9038362345001325E-2</v>
      </c>
      <c r="F29" s="17">
        <v>6.5911712474185169E-3</v>
      </c>
      <c r="G29" s="17">
        <v>0.75746221425194615</v>
      </c>
      <c r="H29" s="17">
        <v>8.6093475451608421E-4</v>
      </c>
      <c r="I29" s="17">
        <v>5.8144318138271513E-2</v>
      </c>
      <c r="J29" s="17">
        <v>4.1284422924160631E-2</v>
      </c>
      <c r="K29" s="17">
        <v>190.69195406260991</v>
      </c>
      <c r="L29" s="17">
        <v>43.241773054771343</v>
      </c>
      <c r="M29" s="17">
        <v>2600.6674046836251</v>
      </c>
      <c r="N29" s="17">
        <v>32.843160807335437</v>
      </c>
      <c r="O29" s="17">
        <v>3.8430815281442969E-3</v>
      </c>
      <c r="P29" s="17">
        <v>73.80421373693035</v>
      </c>
      <c r="Q29" s="17">
        <v>27.606071041688448</v>
      </c>
      <c r="R29" s="17">
        <v>5.4686318625941064E-4</v>
      </c>
      <c r="S29" s="17">
        <v>8.4803703785902207E-4</v>
      </c>
      <c r="T29" s="17">
        <v>2.485901041419158E-3</v>
      </c>
      <c r="U29" s="17">
        <v>0.10232999725083761</v>
      </c>
      <c r="V29" s="17">
        <v>2.2175555290089351E-2</v>
      </c>
      <c r="W29" s="17">
        <v>1.4477621728908889</v>
      </c>
      <c r="X29" s="17">
        <v>4.5210655301533587</v>
      </c>
      <c r="Y29" s="17">
        <v>3.9073559606624703E-2</v>
      </c>
      <c r="Z29" s="17">
        <v>8.6222987995096811E-2</v>
      </c>
      <c r="AA29" s="17">
        <v>1.246143313965062E-2</v>
      </c>
      <c r="AB29" s="17">
        <v>0.31772308218948841</v>
      </c>
      <c r="AC29" s="17">
        <v>2.9308284625217791E-2</v>
      </c>
      <c r="AD29" s="17">
        <v>2.5230854018946122E-4</v>
      </c>
      <c r="AE29" s="17">
        <v>7.1767762542780059E-3</v>
      </c>
      <c r="AF29" s="17">
        <v>3.600847808136012E-3</v>
      </c>
      <c r="AG29" s="17">
        <v>2.228920120855819E-3</v>
      </c>
      <c r="AH29" s="17">
        <v>3.164807643869544E-3</v>
      </c>
      <c r="AI29" s="17">
        <v>2.7964391220180851E-2</v>
      </c>
    </row>
    <row r="30" spans="1:35" x14ac:dyDescent="0.2">
      <c r="A30" s="12" t="s">
        <v>1394</v>
      </c>
      <c r="B30" s="17">
        <v>9.3760229512181219</v>
      </c>
      <c r="C30" s="17">
        <v>51.305426131168574</v>
      </c>
      <c r="D30" s="17">
        <v>4.3935724311068078</v>
      </c>
      <c r="E30" s="17">
        <v>1.3292842856466309</v>
      </c>
      <c r="F30" s="17">
        <v>0.62480199065402175</v>
      </c>
      <c r="G30" s="17">
        <v>3.1747094060236321</v>
      </c>
      <c r="H30" s="17">
        <v>0.26870700128138941</v>
      </c>
      <c r="I30" s="17">
        <v>5.7385435834864458</v>
      </c>
      <c r="J30" s="17">
        <v>2.417129624832412E-2</v>
      </c>
      <c r="K30" s="17">
        <v>0.56427103334973183</v>
      </c>
      <c r="L30" s="17">
        <v>6.5501483683711248</v>
      </c>
      <c r="M30" s="17">
        <v>852.72287986826973</v>
      </c>
      <c r="N30" s="17">
        <v>3248.1667860841039</v>
      </c>
      <c r="O30" s="17">
        <v>15.84184784363819</v>
      </c>
      <c r="P30" s="17">
        <v>1190.6696166213551</v>
      </c>
      <c r="Q30" s="17">
        <v>53.92314822566383</v>
      </c>
      <c r="R30" s="17">
        <v>3.82005139075555</v>
      </c>
      <c r="S30" s="17">
        <v>3.3946322746391151</v>
      </c>
      <c r="T30" s="17">
        <v>2.6268230207360221</v>
      </c>
      <c r="U30" s="17">
        <v>2.1873212585549791</v>
      </c>
      <c r="V30" s="17">
        <v>0.31561741962197681</v>
      </c>
      <c r="W30" s="17">
        <v>0.74823692806040776</v>
      </c>
      <c r="X30" s="17">
        <v>1.137813033881808</v>
      </c>
      <c r="Y30" s="17">
        <v>7.8926681627180788E-3</v>
      </c>
      <c r="Z30" s="17">
        <v>0.62198369181983026</v>
      </c>
      <c r="AA30" s="17">
        <v>0.62856963231205376</v>
      </c>
      <c r="AB30" s="17">
        <v>21.654389713515592</v>
      </c>
      <c r="AC30" s="17">
        <v>2.040302893086078</v>
      </c>
      <c r="AD30" s="17">
        <v>0.70197434840421435</v>
      </c>
      <c r="AE30" s="17">
        <v>8.7188099537596042E-2</v>
      </c>
      <c r="AF30" s="17">
        <v>0.2379786683549143</v>
      </c>
      <c r="AG30" s="17">
        <v>7.4781874689190925E-2</v>
      </c>
      <c r="AH30" s="17">
        <v>7.8181867697204907E-2</v>
      </c>
      <c r="AI30" s="17">
        <v>9.2296524244336126E-2</v>
      </c>
    </row>
    <row r="31" spans="1:35" x14ac:dyDescent="0.2">
      <c r="A31" s="12" t="s">
        <v>1395</v>
      </c>
      <c r="B31" s="17">
        <v>8.0167525894182692</v>
      </c>
      <c r="C31" s="17">
        <v>105.1380853276254</v>
      </c>
      <c r="D31" s="17">
        <v>8.3094604165097135</v>
      </c>
      <c r="E31" s="17">
        <v>7.8792673262624238</v>
      </c>
      <c r="F31" s="17">
        <v>2.023962373835182</v>
      </c>
      <c r="G31" s="17">
        <v>12.05424431734788</v>
      </c>
      <c r="H31" s="17">
        <v>0.86045684351874019</v>
      </c>
      <c r="I31" s="17">
        <v>14.071567138010151</v>
      </c>
      <c r="J31" s="17">
        <v>0.33460302301754652</v>
      </c>
      <c r="K31" s="17">
        <v>25.679789469819731</v>
      </c>
      <c r="L31" s="17">
        <v>98.217403112824513</v>
      </c>
      <c r="M31" s="17">
        <v>2690.6918761096658</v>
      </c>
      <c r="N31" s="17">
        <v>3160.8933436974048</v>
      </c>
      <c r="O31" s="17">
        <v>36.814105506575039</v>
      </c>
      <c r="P31" s="17">
        <v>1874.0079751124049</v>
      </c>
      <c r="Q31" s="17">
        <v>96.386194269864546</v>
      </c>
      <c r="R31" s="17">
        <v>627.06777774510385</v>
      </c>
      <c r="S31" s="17">
        <v>15.264157451512821</v>
      </c>
      <c r="T31" s="17">
        <v>4.2087175984470164</v>
      </c>
      <c r="U31" s="17">
        <v>2.578083377362387</v>
      </c>
      <c r="V31" s="17">
        <v>0.24325416477379519</v>
      </c>
      <c r="W31" s="17">
        <v>7.0357793913634232</v>
      </c>
      <c r="X31" s="17">
        <v>11.494607441287011</v>
      </c>
      <c r="Y31" s="17">
        <v>0.35359239868960868</v>
      </c>
      <c r="Z31" s="17">
        <v>0.90161299574227338</v>
      </c>
      <c r="AA31" s="17">
        <v>0.58289966424806217</v>
      </c>
      <c r="AB31" s="17">
        <v>9.1148480915726431</v>
      </c>
      <c r="AC31" s="17">
        <v>0.45336002360133082</v>
      </c>
      <c r="AD31" s="17">
        <v>0.42111841284635559</v>
      </c>
      <c r="AE31" s="17">
        <v>0.32238969813667773</v>
      </c>
      <c r="AF31" s="17">
        <v>0.73500696709972091</v>
      </c>
      <c r="AG31" s="17">
        <v>0.12814271285283349</v>
      </c>
      <c r="AH31" s="17">
        <v>2.479251880072099E-3</v>
      </c>
      <c r="AI31" s="17">
        <v>2.4764555892761018E-2</v>
      </c>
    </row>
    <row r="32" spans="1:35" x14ac:dyDescent="0.2">
      <c r="A32" s="12" t="s">
        <v>1396</v>
      </c>
      <c r="B32" s="17">
        <v>3.785034037239813</v>
      </c>
      <c r="C32" s="17">
        <v>75.168752873188566</v>
      </c>
      <c r="D32" s="17">
        <v>10.38886138265673</v>
      </c>
      <c r="E32" s="17">
        <v>12.01139820350744</v>
      </c>
      <c r="F32" s="17">
        <v>1.7518195441368281</v>
      </c>
      <c r="G32" s="17">
        <v>26.229127385991529</v>
      </c>
      <c r="H32" s="17">
        <v>0.99278350159642248</v>
      </c>
      <c r="I32" s="17">
        <v>4.5889489211242367</v>
      </c>
      <c r="J32" s="17">
        <v>1.1685446848348491</v>
      </c>
      <c r="K32" s="17">
        <v>4.795606359041872</v>
      </c>
      <c r="L32" s="17">
        <v>5.814397739180567</v>
      </c>
      <c r="M32" s="17">
        <v>277.22496502979709</v>
      </c>
      <c r="N32" s="17">
        <v>87.801611412469015</v>
      </c>
      <c r="O32" s="17">
        <v>1.675240183047318</v>
      </c>
      <c r="P32" s="17">
        <v>237.5857943377188</v>
      </c>
      <c r="Q32" s="17">
        <v>29.864229077910998</v>
      </c>
      <c r="R32" s="17">
        <v>2.356474567929336</v>
      </c>
      <c r="S32" s="17">
        <v>7.7002771912215904</v>
      </c>
      <c r="T32" s="17">
        <v>8.6151115899397244</v>
      </c>
      <c r="U32" s="17">
        <v>5.980515032870751</v>
      </c>
      <c r="V32" s="17">
        <v>0.96429254833427691</v>
      </c>
      <c r="W32" s="17">
        <v>4.5639174620945671</v>
      </c>
      <c r="X32" s="17">
        <v>8.475661830123185</v>
      </c>
      <c r="Y32" s="17">
        <v>0.30591662830007638</v>
      </c>
      <c r="Z32" s="17">
        <v>1.080745107072729</v>
      </c>
      <c r="AA32" s="17">
        <v>5.9431540749302361</v>
      </c>
      <c r="AB32" s="17">
        <v>33.536784691172031</v>
      </c>
      <c r="AC32" s="17">
        <v>4.1708858231247952</v>
      </c>
      <c r="AD32" s="17">
        <v>0.18355795684496951</v>
      </c>
      <c r="AE32" s="17">
        <v>0.31595424519378618</v>
      </c>
      <c r="AF32" s="17">
        <v>3.1185830609999572</v>
      </c>
      <c r="AG32" s="17">
        <v>0.95987830579597155</v>
      </c>
      <c r="AH32" s="17">
        <v>3.6755176824109427E-2</v>
      </c>
      <c r="AI32" s="17">
        <v>0.20742463914429859</v>
      </c>
    </row>
    <row r="33" spans="1:35" x14ac:dyDescent="0.2">
      <c r="A33" s="12" t="s">
        <v>1397</v>
      </c>
      <c r="B33" s="17">
        <v>2.0119572857884598</v>
      </c>
      <c r="C33" s="17">
        <v>1.3801016799087169</v>
      </c>
      <c r="D33" s="17">
        <v>1.0544052560246351</v>
      </c>
      <c r="E33" s="17">
        <v>0.34502541997717923</v>
      </c>
      <c r="F33" s="17">
        <v>0</v>
      </c>
      <c r="G33" s="17">
        <v>3.4801007917434119</v>
      </c>
      <c r="H33" s="17">
        <v>7.7630719494865327E-3</v>
      </c>
      <c r="I33" s="17">
        <v>4.2804023985292297</v>
      </c>
      <c r="J33" s="17">
        <v>0.38307878942809181</v>
      </c>
      <c r="K33" s="17">
        <v>0.29344198990404791</v>
      </c>
      <c r="L33" s="17">
        <v>4.4531470186080639</v>
      </c>
      <c r="M33" s="17">
        <v>27.079828869249759</v>
      </c>
      <c r="N33" s="17">
        <v>85.587868243089005</v>
      </c>
      <c r="O33" s="17">
        <v>0.18089105360607369</v>
      </c>
      <c r="P33" s="17">
        <v>26.910280112200251</v>
      </c>
      <c r="Q33" s="17">
        <v>0.3211729939095524</v>
      </c>
      <c r="R33" s="17">
        <v>0</v>
      </c>
      <c r="S33" s="17">
        <v>1.1596687727010739E-2</v>
      </c>
      <c r="T33" s="17">
        <v>0.52324714111594006</v>
      </c>
      <c r="U33" s="17">
        <v>0.2290703748545333</v>
      </c>
      <c r="V33" s="17">
        <v>2.2631218295978428</v>
      </c>
      <c r="W33" s="17">
        <v>5.571639918143137E-2</v>
      </c>
      <c r="X33" s="17">
        <v>11.7255445457254</v>
      </c>
      <c r="Y33" s="17">
        <v>4.49917407223328E-2</v>
      </c>
      <c r="Z33" s="17">
        <v>0.38712893350416122</v>
      </c>
      <c r="AA33" s="17">
        <v>2.0398255427045191</v>
      </c>
      <c r="AB33" s="17">
        <v>3.159131310770197</v>
      </c>
      <c r="AC33" s="17">
        <v>3.4760435483788661</v>
      </c>
      <c r="AD33" s="17">
        <v>0.43739189592058969</v>
      </c>
      <c r="AE33" s="17">
        <v>2.379118287236603</v>
      </c>
      <c r="AF33" s="17">
        <v>0.59142870764805544</v>
      </c>
      <c r="AG33" s="17">
        <v>0.74782129993510527</v>
      </c>
      <c r="AH33" s="17">
        <v>9.9508360151168629E-4</v>
      </c>
      <c r="AI33" s="17">
        <v>0.26583995630587348</v>
      </c>
    </row>
    <row r="34" spans="1:35" x14ac:dyDescent="0.2">
      <c r="A34" s="12" t="s">
        <v>1398</v>
      </c>
      <c r="B34" s="17">
        <v>1.5671071173456059</v>
      </c>
      <c r="C34" s="17">
        <v>43.501665260998152</v>
      </c>
      <c r="D34" s="17">
        <v>3.451662447479666</v>
      </c>
      <c r="E34" s="17">
        <v>7.6738253779829799</v>
      </c>
      <c r="F34" s="17">
        <v>1.006361764709627</v>
      </c>
      <c r="G34" s="17">
        <v>8.8204906013502029</v>
      </c>
      <c r="H34" s="17">
        <v>0.4135084231764562</v>
      </c>
      <c r="I34" s="17">
        <v>6.3071514930271242</v>
      </c>
      <c r="J34" s="17">
        <v>8.9847101206974325E-2</v>
      </c>
      <c r="K34" s="17">
        <v>1.38906984857181</v>
      </c>
      <c r="L34" s="17">
        <v>24.269330645924938</v>
      </c>
      <c r="M34" s="17">
        <v>439.4203692463974</v>
      </c>
      <c r="N34" s="17">
        <v>301.88091049434672</v>
      </c>
      <c r="O34" s="17">
        <v>2.723099608693448</v>
      </c>
      <c r="P34" s="17">
        <v>587.00909042748469</v>
      </c>
      <c r="Q34" s="17">
        <v>44.851739000746647</v>
      </c>
      <c r="R34" s="17">
        <v>1.983160833928026</v>
      </c>
      <c r="S34" s="17">
        <v>3.056835645359679</v>
      </c>
      <c r="T34" s="17">
        <v>2.4197239647296218</v>
      </c>
      <c r="U34" s="17">
        <v>1.574054385475349</v>
      </c>
      <c r="V34" s="17">
        <v>0.8552085891804877</v>
      </c>
      <c r="W34" s="17">
        <v>1.281564950747256</v>
      </c>
      <c r="X34" s="17">
        <v>2.1807884267432378</v>
      </c>
      <c r="Y34" s="17">
        <v>0.1401636431226197</v>
      </c>
      <c r="Z34" s="17">
        <v>0.29901960807015499</v>
      </c>
      <c r="AA34" s="17">
        <v>0.3033657663314161</v>
      </c>
      <c r="AB34" s="17">
        <v>11.562341993647809</v>
      </c>
      <c r="AC34" s="17">
        <v>1.683188112724024</v>
      </c>
      <c r="AD34" s="17">
        <v>8.1844219908634497E-2</v>
      </c>
      <c r="AE34" s="17">
        <v>0.1247504208797957</v>
      </c>
      <c r="AF34" s="17">
        <v>0.1893684810284719</v>
      </c>
      <c r="AG34" s="17">
        <v>0.16536865644810611</v>
      </c>
      <c r="AH34" s="17">
        <v>1.6055072364831231E-4</v>
      </c>
      <c r="AI34" s="17">
        <v>5.0851031580603528E-2</v>
      </c>
    </row>
    <row r="35" spans="1:35" x14ac:dyDescent="0.2">
      <c r="A35" s="12" t="s">
        <v>1399</v>
      </c>
      <c r="B35" s="17">
        <v>113.2411359515894</v>
      </c>
      <c r="C35" s="17">
        <v>747.45471195598384</v>
      </c>
      <c r="D35" s="17">
        <v>74.427597076201309</v>
      </c>
      <c r="E35" s="17">
        <v>99.617532322242397</v>
      </c>
      <c r="F35" s="17">
        <v>27.395440222396111</v>
      </c>
      <c r="G35" s="17">
        <v>171.9787188573118</v>
      </c>
      <c r="H35" s="17">
        <v>9.0395706636051187</v>
      </c>
      <c r="I35" s="17">
        <v>224.87902591990181</v>
      </c>
      <c r="J35" s="17">
        <v>4.4512725602089906</v>
      </c>
      <c r="K35" s="17">
        <v>19.972235908022281</v>
      </c>
      <c r="L35" s="17">
        <v>188.17008802539661</v>
      </c>
      <c r="M35" s="17">
        <v>12218.73747325994</v>
      </c>
      <c r="N35" s="17">
        <v>11467.213532180949</v>
      </c>
      <c r="O35" s="17">
        <v>70.880767393552375</v>
      </c>
      <c r="P35" s="17">
        <v>8330.9023809813953</v>
      </c>
      <c r="Q35" s="17">
        <v>550.41356688851283</v>
      </c>
      <c r="R35" s="17">
        <v>142.71649792401499</v>
      </c>
      <c r="S35" s="17">
        <v>134.454339692632</v>
      </c>
      <c r="T35" s="17">
        <v>49.706443322443967</v>
      </c>
      <c r="U35" s="17">
        <v>115.072556938966</v>
      </c>
      <c r="V35" s="17">
        <v>17.501243026440871</v>
      </c>
      <c r="W35" s="17">
        <v>37.991880440565197</v>
      </c>
      <c r="X35" s="17">
        <v>68.854019394072239</v>
      </c>
      <c r="Y35" s="17">
        <v>1.063679678420665</v>
      </c>
      <c r="Z35" s="17">
        <v>23.028885131222651</v>
      </c>
      <c r="AA35" s="17">
        <v>26.098785337931009</v>
      </c>
      <c r="AB35" s="17">
        <v>371.15455141754381</v>
      </c>
      <c r="AC35" s="17">
        <v>28.681969735858249</v>
      </c>
      <c r="AD35" s="17">
        <v>4.4296529540682616</v>
      </c>
      <c r="AE35" s="17">
        <v>4.5949600878356263</v>
      </c>
      <c r="AF35" s="17">
        <v>4.3044144837252611</v>
      </c>
      <c r="AG35" s="17">
        <v>2.558431457680499</v>
      </c>
      <c r="AH35" s="17">
        <v>1.035734871749356</v>
      </c>
      <c r="AI35" s="17">
        <v>2.038927782071144</v>
      </c>
    </row>
    <row r="36" spans="1:35" x14ac:dyDescent="0.2">
      <c r="A36" s="12" t="s">
        <v>1400</v>
      </c>
      <c r="B36" s="17">
        <v>0.23882634445256179</v>
      </c>
      <c r="C36" s="17">
        <v>3.8005802444014161</v>
      </c>
      <c r="D36" s="17">
        <v>2.324347532914127</v>
      </c>
      <c r="E36" s="17">
        <v>3.4007125825305349</v>
      </c>
      <c r="F36" s="17">
        <v>0.1697769745839241</v>
      </c>
      <c r="G36" s="17">
        <v>5.2192083439499468</v>
      </c>
      <c r="H36" s="17">
        <v>0.25893295339334649</v>
      </c>
      <c r="I36" s="17">
        <v>1.721653133631343</v>
      </c>
      <c r="J36" s="17">
        <v>0.40374248499279169</v>
      </c>
      <c r="K36" s="17">
        <v>0.48240445142729649</v>
      </c>
      <c r="L36" s="17">
        <v>115.9901755348844</v>
      </c>
      <c r="M36" s="17">
        <v>184.07032254323801</v>
      </c>
      <c r="N36" s="17">
        <v>75.215132647933899</v>
      </c>
      <c r="O36" s="17">
        <v>1.9507893632194591</v>
      </c>
      <c r="P36" s="17">
        <v>27.542981794733961</v>
      </c>
      <c r="Q36" s="17">
        <v>35.9229972347011</v>
      </c>
      <c r="R36" s="17">
        <v>2.9693029433293838</v>
      </c>
      <c r="S36" s="17">
        <v>0.64948553611191684</v>
      </c>
      <c r="T36" s="17">
        <v>2.8397900648342661E-2</v>
      </c>
      <c r="U36" s="17">
        <v>1.1166133145033941</v>
      </c>
      <c r="V36" s="17">
        <v>0.1167312028665108</v>
      </c>
      <c r="W36" s="17">
        <v>0.52411988659075992</v>
      </c>
      <c r="X36" s="17">
        <v>2.0840588221359821</v>
      </c>
      <c r="Y36" s="17">
        <v>1.3452154320962319E-3</v>
      </c>
      <c r="Z36" s="17">
        <v>0.51412100870042587</v>
      </c>
      <c r="AA36" s="17">
        <v>9.6061985767168026E-2</v>
      </c>
      <c r="AB36" s="17">
        <v>4.2090996034778927</v>
      </c>
      <c r="AC36" s="17">
        <v>0.1582700928344786</v>
      </c>
      <c r="AD36" s="17">
        <v>5.1830372140260962E-2</v>
      </c>
      <c r="AE36" s="17">
        <v>9.0213939813968538E-2</v>
      </c>
      <c r="AF36" s="17">
        <v>1.188977847214347E-2</v>
      </c>
      <c r="AG36" s="17">
        <v>1.5722021120189709E-3</v>
      </c>
      <c r="AH36" s="17">
        <v>0</v>
      </c>
      <c r="AI36" s="17">
        <v>3.1183100362065148E-3</v>
      </c>
    </row>
    <row r="37" spans="1:35" x14ac:dyDescent="0.2">
      <c r="A37" s="12" t="s">
        <v>1401</v>
      </c>
      <c r="B37" s="17">
        <v>148.49539759789141</v>
      </c>
      <c r="C37" s="17">
        <v>2303.2576702593919</v>
      </c>
      <c r="D37" s="17">
        <v>298.59717473342738</v>
      </c>
      <c r="E37" s="17">
        <v>327.87050038972649</v>
      </c>
      <c r="F37" s="17">
        <v>93.056030810579543</v>
      </c>
      <c r="G37" s="17">
        <v>572.2018793918993</v>
      </c>
      <c r="H37" s="17">
        <v>29.37213754917143</v>
      </c>
      <c r="I37" s="17">
        <v>876.37530862719029</v>
      </c>
      <c r="J37" s="17">
        <v>18.883117425963661</v>
      </c>
      <c r="K37" s="17">
        <v>28.541779591932581</v>
      </c>
      <c r="L37" s="17">
        <v>1365.284072213846</v>
      </c>
      <c r="M37" s="17">
        <v>29686.846818018359</v>
      </c>
      <c r="N37" s="17">
        <v>13758.91072095106</v>
      </c>
      <c r="O37" s="17">
        <v>180.48017468015871</v>
      </c>
      <c r="P37" s="17">
        <v>18231.86866755657</v>
      </c>
      <c r="Q37" s="17">
        <v>1376.554835921959</v>
      </c>
      <c r="R37" s="17">
        <v>287.50263948708601</v>
      </c>
      <c r="S37" s="17">
        <v>342.02624853906917</v>
      </c>
      <c r="T37" s="17">
        <v>130.5526775548046</v>
      </c>
      <c r="U37" s="17">
        <v>165.16695534956369</v>
      </c>
      <c r="V37" s="17">
        <v>49.261884212757451</v>
      </c>
      <c r="W37" s="17">
        <v>169.6467265476162</v>
      </c>
      <c r="X37" s="17">
        <v>144.86602716615039</v>
      </c>
      <c r="Y37" s="17">
        <v>4.0611340712865882</v>
      </c>
      <c r="Z37" s="17">
        <v>55.089034691891413</v>
      </c>
      <c r="AA37" s="17">
        <v>58.520761064581293</v>
      </c>
      <c r="AB37" s="17">
        <v>723.8570902067886</v>
      </c>
      <c r="AC37" s="17">
        <v>71.019501610267938</v>
      </c>
      <c r="AD37" s="17">
        <v>12.43550098828401</v>
      </c>
      <c r="AE37" s="17">
        <v>14.37010104567881</v>
      </c>
      <c r="AF37" s="17">
        <v>21.135088253605971</v>
      </c>
      <c r="AG37" s="17">
        <v>6.3023827149262166</v>
      </c>
      <c r="AH37" s="17">
        <v>1.9546922797361901</v>
      </c>
      <c r="AI37" s="17">
        <v>6.4974874651790753</v>
      </c>
    </row>
    <row r="38" spans="1:35" x14ac:dyDescent="0.2">
      <c r="A38" s="12" t="s">
        <v>1402</v>
      </c>
      <c r="B38" s="17">
        <v>0.2054742375786483</v>
      </c>
      <c r="C38" s="17">
        <v>0.43607931100513658</v>
      </c>
      <c r="D38" s="17">
        <v>0.3100572415818329</v>
      </c>
      <c r="E38" s="17">
        <v>0.14990011050840449</v>
      </c>
      <c r="F38" s="17">
        <v>4.883704345188853E-2</v>
      </c>
      <c r="G38" s="17">
        <v>3.839005226834066</v>
      </c>
      <c r="H38" s="17">
        <v>0</v>
      </c>
      <c r="I38" s="17">
        <v>0.32476149431065898</v>
      </c>
      <c r="J38" s="17">
        <v>0</v>
      </c>
      <c r="K38" s="17">
        <v>0</v>
      </c>
      <c r="L38" s="17">
        <v>0.3257538894369133</v>
      </c>
      <c r="M38" s="17">
        <v>45.653775984069803</v>
      </c>
      <c r="N38" s="17">
        <v>9.6421753896207285</v>
      </c>
      <c r="O38" s="17">
        <v>3.767741264689926</v>
      </c>
      <c r="P38" s="17">
        <v>28.056353094080109</v>
      </c>
      <c r="Q38" s="17">
        <v>2.8460173886164322</v>
      </c>
      <c r="R38" s="17">
        <v>0</v>
      </c>
      <c r="S38" s="17">
        <v>1.2792889118000439E-2</v>
      </c>
      <c r="T38" s="17">
        <v>0</v>
      </c>
      <c r="U38" s="17">
        <v>2.562816887449838E-2</v>
      </c>
      <c r="V38" s="17">
        <v>0</v>
      </c>
      <c r="W38" s="17">
        <v>0.80151689388122493</v>
      </c>
      <c r="X38" s="17">
        <v>0</v>
      </c>
      <c r="Y38" s="17">
        <v>0</v>
      </c>
      <c r="Z38" s="17">
        <v>0</v>
      </c>
      <c r="AA38" s="17">
        <v>8.0448348160036334E-2</v>
      </c>
      <c r="AB38" s="17">
        <v>0</v>
      </c>
      <c r="AC38" s="17">
        <v>0</v>
      </c>
      <c r="AD38" s="17">
        <v>0</v>
      </c>
      <c r="AE38" s="17">
        <v>5.0778686090212237E-2</v>
      </c>
      <c r="AF38" s="17">
        <v>3.6039612479763371E-3</v>
      </c>
      <c r="AG38" s="17">
        <v>1.182774511649449E-2</v>
      </c>
      <c r="AH38" s="17">
        <v>0</v>
      </c>
      <c r="AI38" s="17">
        <v>0</v>
      </c>
    </row>
    <row r="39" spans="1:35" x14ac:dyDescent="0.2">
      <c r="A39" s="12" t="s">
        <v>1403</v>
      </c>
      <c r="B39" s="17">
        <v>23.033881393295381</v>
      </c>
      <c r="C39" s="17">
        <v>360.27202008800191</v>
      </c>
      <c r="D39" s="17">
        <v>45.816028455603757</v>
      </c>
      <c r="E39" s="17">
        <v>28.773300763901439</v>
      </c>
      <c r="F39" s="17">
        <v>9.5142945951981055</v>
      </c>
      <c r="G39" s="17">
        <v>124.8376627146493</v>
      </c>
      <c r="H39" s="17">
        <v>3.090155851556859</v>
      </c>
      <c r="I39" s="17">
        <v>138.82892217515811</v>
      </c>
      <c r="J39" s="17">
        <v>0.30707746491702198</v>
      </c>
      <c r="K39" s="17">
        <v>5.6847162813999361</v>
      </c>
      <c r="L39" s="17">
        <v>977.86146831924668</v>
      </c>
      <c r="M39" s="17">
        <v>5329.1885726483724</v>
      </c>
      <c r="N39" s="17">
        <v>1390.775705371103</v>
      </c>
      <c r="O39" s="17">
        <v>19.474436475794612</v>
      </c>
      <c r="P39" s="17">
        <v>1464.964611681356</v>
      </c>
      <c r="Q39" s="17">
        <v>370.90696897529551</v>
      </c>
      <c r="R39" s="17">
        <v>25.094931178212121</v>
      </c>
      <c r="S39" s="17">
        <v>22.826508253052911</v>
      </c>
      <c r="T39" s="17">
        <v>87.592170298482614</v>
      </c>
      <c r="U39" s="17">
        <v>14.33050421394238</v>
      </c>
      <c r="V39" s="17">
        <v>3.9096083298102728</v>
      </c>
      <c r="W39" s="17">
        <v>19.387388052813211</v>
      </c>
      <c r="X39" s="17">
        <v>34.690904212155957</v>
      </c>
      <c r="Y39" s="17">
        <v>0.13569074925620711</v>
      </c>
      <c r="Z39" s="17">
        <v>37.21447092923345</v>
      </c>
      <c r="AA39" s="17">
        <v>5.1892428747756281</v>
      </c>
      <c r="AB39" s="17">
        <v>147.62828168258531</v>
      </c>
      <c r="AC39" s="17">
        <v>8.9713889984292923</v>
      </c>
      <c r="AD39" s="17">
        <v>8.2866114497397021</v>
      </c>
      <c r="AE39" s="17">
        <v>1.513281243561686</v>
      </c>
      <c r="AF39" s="17">
        <v>15.722804874441699</v>
      </c>
      <c r="AG39" s="17">
        <v>3.7943587126070359</v>
      </c>
      <c r="AH39" s="17">
        <v>0.5661077731361801</v>
      </c>
      <c r="AI39" s="17">
        <v>5.3591066560776666</v>
      </c>
    </row>
    <row r="40" spans="1:35" x14ac:dyDescent="0.2">
      <c r="A40" s="12" t="s">
        <v>1404</v>
      </c>
      <c r="B40" s="17">
        <v>2.5064563856819658E-2</v>
      </c>
      <c r="C40" s="17">
        <v>1.8767721335229239</v>
      </c>
      <c r="D40" s="17">
        <v>1.9348848386112519E-2</v>
      </c>
      <c r="E40" s="17">
        <v>0.4991172115888538</v>
      </c>
      <c r="F40" s="17">
        <v>6.5657449509661597E-2</v>
      </c>
      <c r="G40" s="17">
        <v>0.12542666525015961</v>
      </c>
      <c r="H40" s="17">
        <v>1.6180708953777701E-2</v>
      </c>
      <c r="I40" s="17">
        <v>0</v>
      </c>
      <c r="J40" s="17">
        <v>7.387216790558343E-2</v>
      </c>
      <c r="K40" s="17">
        <v>7.179762699196921</v>
      </c>
      <c r="L40" s="17">
        <v>23.773678101801998</v>
      </c>
      <c r="M40" s="17">
        <v>34.275873774113393</v>
      </c>
      <c r="N40" s="17">
        <v>11.3999507486502</v>
      </c>
      <c r="O40" s="17">
        <v>5.1093052769578387E-2</v>
      </c>
      <c r="P40" s="17">
        <v>26.356859907053831</v>
      </c>
      <c r="Q40" s="17">
        <v>3.8711933719185039</v>
      </c>
      <c r="R40" s="17">
        <v>1.3066586173144071E-3</v>
      </c>
      <c r="S40" s="17">
        <v>0.49138906179197711</v>
      </c>
      <c r="T40" s="17">
        <v>0.66037994727227767</v>
      </c>
      <c r="U40" s="17">
        <v>1.542153631914756</v>
      </c>
      <c r="V40" s="17">
        <v>3.3498698729419192E-2</v>
      </c>
      <c r="W40" s="17">
        <v>9.2142266071187162</v>
      </c>
      <c r="X40" s="17">
        <v>4.7317992288338617</v>
      </c>
      <c r="Y40" s="17">
        <v>0.2135751410867531</v>
      </c>
      <c r="Z40" s="17">
        <v>1.283539490386298</v>
      </c>
      <c r="AA40" s="17">
        <v>1.349687905199213</v>
      </c>
      <c r="AB40" s="17">
        <v>79.366980394856725</v>
      </c>
      <c r="AC40" s="17">
        <v>0.35984323111828792</v>
      </c>
      <c r="AD40" s="17">
        <v>3.2172150259734182E-2</v>
      </c>
      <c r="AE40" s="17">
        <v>9.8240168195698252E-2</v>
      </c>
      <c r="AF40" s="17">
        <v>0.29848094288633908</v>
      </c>
      <c r="AG40" s="17">
        <v>1.7973936170136921E-2</v>
      </c>
      <c r="AH40" s="17">
        <v>0</v>
      </c>
      <c r="AI40" s="17">
        <v>0.1149593687315514</v>
      </c>
    </row>
    <row r="41" spans="1:35" x14ac:dyDescent="0.2">
      <c r="A41" s="12" t="s">
        <v>1405</v>
      </c>
      <c r="B41" s="17">
        <v>2.1133300331006431E-2</v>
      </c>
      <c r="C41" s="17">
        <v>2.631725636748397</v>
      </c>
      <c r="D41" s="17">
        <v>2.5860115723390691E-2</v>
      </c>
      <c r="E41" s="17">
        <v>7.6457129019531394</v>
      </c>
      <c r="F41" s="17">
        <v>1.199526134143692</v>
      </c>
      <c r="G41" s="17">
        <v>3.6891817659589292</v>
      </c>
      <c r="H41" s="17">
        <v>3.7080417667303099E-3</v>
      </c>
      <c r="I41" s="17">
        <v>2.3162206395911871</v>
      </c>
      <c r="J41" s="17">
        <v>1.8131228230139931E-2</v>
      </c>
      <c r="K41" s="17">
        <v>5.0531473418851327</v>
      </c>
      <c r="L41" s="17">
        <v>3.18392889376458</v>
      </c>
      <c r="M41" s="17">
        <v>13.97019189696325</v>
      </c>
      <c r="N41" s="17">
        <v>8.8519004180130221</v>
      </c>
      <c r="O41" s="17">
        <v>2.544800891922273E-2</v>
      </c>
      <c r="P41" s="17">
        <v>22.494595212101348</v>
      </c>
      <c r="Q41" s="17">
        <v>0.79789633174006702</v>
      </c>
      <c r="R41" s="17">
        <v>102.5692990842991</v>
      </c>
      <c r="S41" s="17">
        <v>0.20004907398808769</v>
      </c>
      <c r="T41" s="17">
        <v>0.49520507939072012</v>
      </c>
      <c r="U41" s="17">
        <v>5.4561044923086097</v>
      </c>
      <c r="V41" s="17">
        <v>1.80044166589279</v>
      </c>
      <c r="W41" s="17">
        <v>1.472789908032452</v>
      </c>
      <c r="X41" s="17">
        <v>8.2082556079047713</v>
      </c>
      <c r="Y41" s="17">
        <v>1.1539404278554279</v>
      </c>
      <c r="Z41" s="17">
        <v>0.55867945751702275</v>
      </c>
      <c r="AA41" s="17">
        <v>4.5606486327920213E-2</v>
      </c>
      <c r="AB41" s="17">
        <v>6.6555443800930147</v>
      </c>
      <c r="AC41" s="17">
        <v>0.29241395963871092</v>
      </c>
      <c r="AD41" s="17">
        <v>5.8265024467904726E-3</v>
      </c>
      <c r="AE41" s="17">
        <v>2.942306500083562E-4</v>
      </c>
      <c r="AF41" s="17">
        <v>1.1273771008785181</v>
      </c>
      <c r="AG41" s="17">
        <v>0.87153490767090791</v>
      </c>
      <c r="AH41" s="17">
        <v>5.6848303888114481E-2</v>
      </c>
      <c r="AI41" s="17">
        <v>8.3538701726997525E-2</v>
      </c>
    </row>
    <row r="42" spans="1:35" x14ac:dyDescent="0.2">
      <c r="A42" s="12" t="s">
        <v>1406</v>
      </c>
      <c r="B42" s="17">
        <v>0</v>
      </c>
      <c r="C42" s="17">
        <v>0</v>
      </c>
      <c r="D42" s="17">
        <v>0.39305060802922209</v>
      </c>
      <c r="E42" s="17">
        <v>0.21846316629190909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0.16497626418949701</v>
      </c>
      <c r="L42" s="17">
        <v>8.1280309601518113</v>
      </c>
      <c r="M42" s="17">
        <v>14.56150289169031</v>
      </c>
      <c r="N42" s="17">
        <v>0.2340482365387043</v>
      </c>
      <c r="O42" s="17">
        <v>5.4213466669435918E-2</v>
      </c>
      <c r="P42" s="17">
        <v>11.17241829956658</v>
      </c>
      <c r="Q42" s="17">
        <v>89.314404017879099</v>
      </c>
      <c r="R42" s="17">
        <v>2.4931955285425351</v>
      </c>
      <c r="S42" s="17">
        <v>0.8546124620171337</v>
      </c>
      <c r="T42" s="17">
        <v>1.3957922577759159E-2</v>
      </c>
      <c r="U42" s="17">
        <v>0.70116157926032396</v>
      </c>
      <c r="V42" s="17">
        <v>4.524481909696133E-3</v>
      </c>
      <c r="W42" s="17">
        <v>0.48912668739764142</v>
      </c>
      <c r="X42" s="17">
        <v>0</v>
      </c>
      <c r="Y42" s="17">
        <v>4.5370499150008473E-2</v>
      </c>
      <c r="Z42" s="17">
        <v>3.6321535330616182E-2</v>
      </c>
      <c r="AA42" s="17">
        <v>0</v>
      </c>
      <c r="AB42" s="17">
        <v>8.296073371434283E-2</v>
      </c>
      <c r="AC42" s="17">
        <v>1.6732551441183921E-2</v>
      </c>
      <c r="AD42" s="17">
        <v>0</v>
      </c>
      <c r="AE42" s="17">
        <v>0</v>
      </c>
      <c r="AF42" s="17">
        <v>0</v>
      </c>
      <c r="AG42" s="17">
        <v>4.1771141417771523E-2</v>
      </c>
      <c r="AH42" s="17">
        <v>0</v>
      </c>
      <c r="AI42" s="17">
        <v>0.16288134874906079</v>
      </c>
    </row>
    <row r="43" spans="1:35" x14ac:dyDescent="0.2">
      <c r="A43" s="12" t="s">
        <v>1407</v>
      </c>
      <c r="B43" s="17">
        <v>6.5752572856538771</v>
      </c>
      <c r="C43" s="17">
        <v>139.0261536926034</v>
      </c>
      <c r="D43" s="17">
        <v>4.8110935823460004</v>
      </c>
      <c r="E43" s="17">
        <v>16.962150782405331</v>
      </c>
      <c r="F43" s="17">
        <v>2.9730483552486162</v>
      </c>
      <c r="G43" s="17">
        <v>17.902833828403601</v>
      </c>
      <c r="H43" s="17">
        <v>1.2844256554414391</v>
      </c>
      <c r="I43" s="17">
        <v>37.160339890856328</v>
      </c>
      <c r="J43" s="17">
        <v>0.54533846114668305</v>
      </c>
      <c r="K43" s="17">
        <v>11.366180199212719</v>
      </c>
      <c r="L43" s="17">
        <v>611.63899758585842</v>
      </c>
      <c r="M43" s="17">
        <v>1674.5749172391079</v>
      </c>
      <c r="N43" s="17">
        <v>484.06021249503829</v>
      </c>
      <c r="O43" s="17">
        <v>11.8392057881243</v>
      </c>
      <c r="P43" s="17">
        <v>946.45042314877151</v>
      </c>
      <c r="Q43" s="17">
        <v>219.65797211437331</v>
      </c>
      <c r="R43" s="17">
        <v>7.5494450667224076</v>
      </c>
      <c r="S43" s="17">
        <v>8.1447160136931984</v>
      </c>
      <c r="T43" s="17">
        <v>3.2574793333931749</v>
      </c>
      <c r="U43" s="17">
        <v>10.463070391228939</v>
      </c>
      <c r="V43" s="17">
        <v>1.271689247817944</v>
      </c>
      <c r="W43" s="17">
        <v>6.9538887503566738</v>
      </c>
      <c r="X43" s="17">
        <v>25.48086074409812</v>
      </c>
      <c r="Y43" s="17">
        <v>0.45795473336986181</v>
      </c>
      <c r="Z43" s="17">
        <v>4.5759555025540131</v>
      </c>
      <c r="AA43" s="17">
        <v>2.066433272771973</v>
      </c>
      <c r="AB43" s="17">
        <v>35.179963128221218</v>
      </c>
      <c r="AC43" s="17">
        <v>2.056168388480073</v>
      </c>
      <c r="AD43" s="17">
        <v>0.1868208448259816</v>
      </c>
      <c r="AE43" s="17">
        <v>0.13717587588424979</v>
      </c>
      <c r="AF43" s="17">
        <v>0.74092911655810512</v>
      </c>
      <c r="AG43" s="17">
        <v>0.35291850638079197</v>
      </c>
      <c r="AH43" s="17">
        <v>8.9521404825136541E-2</v>
      </c>
      <c r="AI43" s="17">
        <v>0.4150261076362039</v>
      </c>
    </row>
    <row r="44" spans="1:35" x14ac:dyDescent="0.2">
      <c r="A44" s="12" t="s">
        <v>1408</v>
      </c>
      <c r="B44" s="17">
        <v>0.85861933492835107</v>
      </c>
      <c r="C44" s="17">
        <v>13.302423010380361</v>
      </c>
      <c r="D44" s="17">
        <v>5.8597894843180107</v>
      </c>
      <c r="E44" s="17">
        <v>1.606063751063862</v>
      </c>
      <c r="F44" s="17">
        <v>0.88201742776620906</v>
      </c>
      <c r="G44" s="17">
        <v>8.4891740727906964</v>
      </c>
      <c r="H44" s="17">
        <v>7.8832894774367418E-2</v>
      </c>
      <c r="I44" s="17">
        <v>1.1560322592715451</v>
      </c>
      <c r="J44" s="17">
        <v>0.54590708116646114</v>
      </c>
      <c r="K44" s="17">
        <v>11.95118314899409</v>
      </c>
      <c r="L44" s="17">
        <v>117.5099658074538</v>
      </c>
      <c r="M44" s="17">
        <v>597.66514641377364</v>
      </c>
      <c r="N44" s="17">
        <v>163.61347963532671</v>
      </c>
      <c r="O44" s="17">
        <v>20.070264602580529</v>
      </c>
      <c r="P44" s="17">
        <v>263.27990443860813</v>
      </c>
      <c r="Q44" s="17">
        <v>71.413970480830756</v>
      </c>
      <c r="R44" s="17">
        <v>838.66693480852507</v>
      </c>
      <c r="S44" s="17">
        <v>25.797773485502471</v>
      </c>
      <c r="T44" s="17">
        <v>5.3550791665914668</v>
      </c>
      <c r="U44" s="17">
        <v>5.1871310840772624</v>
      </c>
      <c r="V44" s="17">
        <v>0.36465744328960048</v>
      </c>
      <c r="W44" s="17">
        <v>2.839158023967618</v>
      </c>
      <c r="X44" s="17">
        <v>1.5284435001661889</v>
      </c>
      <c r="Y44" s="17">
        <v>5.3744436076269331E-2</v>
      </c>
      <c r="Z44" s="17">
        <v>3.459053127820281</v>
      </c>
      <c r="AA44" s="17">
        <v>1.2507852156361561</v>
      </c>
      <c r="AB44" s="17">
        <v>12.151928072823861</v>
      </c>
      <c r="AC44" s="17">
        <v>0.83521738924919608</v>
      </c>
      <c r="AD44" s="17">
        <v>0.12391104694210001</v>
      </c>
      <c r="AE44" s="17">
        <v>0.1003789844414914</v>
      </c>
      <c r="AF44" s="17">
        <v>0.42821294253706738</v>
      </c>
      <c r="AG44" s="17">
        <v>0.21610984256252269</v>
      </c>
      <c r="AH44" s="17">
        <v>4.0330723593326519E-2</v>
      </c>
      <c r="AI44" s="17">
        <v>0.15563734444897959</v>
      </c>
    </row>
    <row r="45" spans="1:35" x14ac:dyDescent="0.2">
      <c r="A45" s="12" t="s">
        <v>1409</v>
      </c>
      <c r="B45" s="17">
        <v>41.666721307791221</v>
      </c>
      <c r="C45" s="17">
        <v>872.58636013535772</v>
      </c>
      <c r="D45" s="17">
        <v>118.9906349189713</v>
      </c>
      <c r="E45" s="17">
        <v>108.684205537824</v>
      </c>
      <c r="F45" s="17">
        <v>21.552960589905481</v>
      </c>
      <c r="G45" s="17">
        <v>99.574641807459813</v>
      </c>
      <c r="H45" s="17">
        <v>5.3938470853202833</v>
      </c>
      <c r="I45" s="17">
        <v>138.03186734368651</v>
      </c>
      <c r="J45" s="17">
        <v>5.2531374453260691</v>
      </c>
      <c r="K45" s="17">
        <v>19.669065048387129</v>
      </c>
      <c r="L45" s="17">
        <v>772.24426966035537</v>
      </c>
      <c r="M45" s="17">
        <v>11370.766564698461</v>
      </c>
      <c r="N45" s="17">
        <v>6049.7493313431314</v>
      </c>
      <c r="O45" s="17">
        <v>91.459589588582332</v>
      </c>
      <c r="P45" s="17">
        <v>7001.5942864492263</v>
      </c>
      <c r="Q45" s="17">
        <v>427.56163777896722</v>
      </c>
      <c r="R45" s="17">
        <v>103.8714963686491</v>
      </c>
      <c r="S45" s="17">
        <v>49.38420371519387</v>
      </c>
      <c r="T45" s="17">
        <v>2.157634621036324</v>
      </c>
      <c r="U45" s="17">
        <v>62.890487932050583</v>
      </c>
      <c r="V45" s="17">
        <v>13.3153528831673</v>
      </c>
      <c r="W45" s="17">
        <v>66.732493475592378</v>
      </c>
      <c r="X45" s="17">
        <v>54.820075926532517</v>
      </c>
      <c r="Y45" s="17">
        <v>1.359867532586359</v>
      </c>
      <c r="Z45" s="17">
        <v>10.33112399249559</v>
      </c>
      <c r="AA45" s="17">
        <v>12.945102146484279</v>
      </c>
      <c r="AB45" s="17">
        <v>103.88114814912591</v>
      </c>
      <c r="AC45" s="17">
        <v>5.9299970158666788</v>
      </c>
      <c r="AD45" s="17">
        <v>3.3698262825079781</v>
      </c>
      <c r="AE45" s="17">
        <v>1.4106910119783069</v>
      </c>
      <c r="AF45" s="17">
        <v>2.9632385370529519</v>
      </c>
      <c r="AG45" s="17">
        <v>0.8751456023857116</v>
      </c>
      <c r="AH45" s="17">
        <v>4.378106463662753E-2</v>
      </c>
      <c r="AI45" s="17">
        <v>0.8539254042203952</v>
      </c>
    </row>
    <row r="46" spans="1:35" x14ac:dyDescent="0.2">
      <c r="A46" s="12" t="s">
        <v>1410</v>
      </c>
      <c r="B46" s="17">
        <v>2.3822578274712871</v>
      </c>
      <c r="C46" s="17">
        <v>41.00194219950604</v>
      </c>
      <c r="D46" s="17">
        <v>4.6550227207647881</v>
      </c>
      <c r="E46" s="17">
        <v>2.5238991170441381</v>
      </c>
      <c r="F46" s="17">
        <v>0.96036179820237177</v>
      </c>
      <c r="G46" s="17">
        <v>13.79270982426485</v>
      </c>
      <c r="H46" s="17">
        <v>1.441667342769231</v>
      </c>
      <c r="I46" s="17">
        <v>17.39686831124386</v>
      </c>
      <c r="J46" s="17">
        <v>0.64307412582323387</v>
      </c>
      <c r="K46" s="17">
        <v>3.073436476186362</v>
      </c>
      <c r="L46" s="17">
        <v>605.95557134479759</v>
      </c>
      <c r="M46" s="17">
        <v>2582.7226316440501</v>
      </c>
      <c r="N46" s="17">
        <v>789.38204437883314</v>
      </c>
      <c r="O46" s="17">
        <v>23.590381667782729</v>
      </c>
      <c r="P46" s="17">
        <v>711.96953133229215</v>
      </c>
      <c r="Q46" s="17">
        <v>121.6336208851604</v>
      </c>
      <c r="R46" s="17">
        <v>10.38170231346221</v>
      </c>
      <c r="S46" s="17">
        <v>5.8820061043764911</v>
      </c>
      <c r="T46" s="17">
        <v>2.1949406154233961</v>
      </c>
      <c r="U46" s="17">
        <v>5.0050749763509419</v>
      </c>
      <c r="V46" s="17">
        <v>1.9151650023555631</v>
      </c>
      <c r="W46" s="17">
        <v>4.8862236847088392</v>
      </c>
      <c r="X46" s="17">
        <v>6.6548906587957903</v>
      </c>
      <c r="Y46" s="17">
        <v>7.7290838752837709E-2</v>
      </c>
      <c r="Z46" s="17">
        <v>1.3860652274526979</v>
      </c>
      <c r="AA46" s="17">
        <v>0.76094462891012393</v>
      </c>
      <c r="AB46" s="17">
        <v>17.83035803703519</v>
      </c>
      <c r="AC46" s="17">
        <v>0.38185955324857268</v>
      </c>
      <c r="AD46" s="17">
        <v>0.34229421547363981</v>
      </c>
      <c r="AE46" s="17">
        <v>0.5294927241140005</v>
      </c>
      <c r="AF46" s="17">
        <v>0.38408567126777021</v>
      </c>
      <c r="AG46" s="17">
        <v>4.2888769107012822E-2</v>
      </c>
      <c r="AH46" s="17">
        <v>7.3900067334172231E-2</v>
      </c>
      <c r="AI46" s="17">
        <v>0.89212252340172915</v>
      </c>
    </row>
    <row r="47" spans="1:35" x14ac:dyDescent="0.2">
      <c r="A47" s="12" t="s">
        <v>1411</v>
      </c>
      <c r="B47" s="17">
        <v>1.138082338573803</v>
      </c>
      <c r="C47" s="17">
        <v>38.736426850651959</v>
      </c>
      <c r="D47" s="17">
        <v>8.1205182987853082</v>
      </c>
      <c r="E47" s="17">
        <v>5.6382299150966784</v>
      </c>
      <c r="F47" s="17">
        <v>2.1393133109912221</v>
      </c>
      <c r="G47" s="17">
        <v>5.4098200475929614</v>
      </c>
      <c r="H47" s="17">
        <v>0.93207128320370447</v>
      </c>
      <c r="I47" s="17">
        <v>11.163760165673001</v>
      </c>
      <c r="J47" s="17">
        <v>0.81862083526472917</v>
      </c>
      <c r="K47" s="17">
        <v>1.95427758777834</v>
      </c>
      <c r="L47" s="17">
        <v>234.2410009628569</v>
      </c>
      <c r="M47" s="17">
        <v>1269.690868489339</v>
      </c>
      <c r="N47" s="17">
        <v>997.32514727865123</v>
      </c>
      <c r="O47" s="17">
        <v>9.5076596379617939</v>
      </c>
      <c r="P47" s="17">
        <v>785.67498928993484</v>
      </c>
      <c r="Q47" s="17">
        <v>119.62432575727701</v>
      </c>
      <c r="R47" s="17">
        <v>97.788850257781931</v>
      </c>
      <c r="S47" s="17">
        <v>13.58691867209952</v>
      </c>
      <c r="T47" s="17">
        <v>10.736749080046311</v>
      </c>
      <c r="U47" s="17">
        <v>11.802746190666239</v>
      </c>
      <c r="V47" s="17">
        <v>1.0318538896275189</v>
      </c>
      <c r="W47" s="17">
        <v>1.3489019496939501</v>
      </c>
      <c r="X47" s="17">
        <v>4.7389051958492452</v>
      </c>
      <c r="Y47" s="17">
        <v>1.8926872494555231E-2</v>
      </c>
      <c r="Z47" s="17">
        <v>3.017674400754216</v>
      </c>
      <c r="AA47" s="17">
        <v>1.378212795336857</v>
      </c>
      <c r="AB47" s="17">
        <v>24.168758773529952</v>
      </c>
      <c r="AC47" s="17">
        <v>2.0999575331292299</v>
      </c>
      <c r="AD47" s="17">
        <v>0.52242761125129122</v>
      </c>
      <c r="AE47" s="17">
        <v>0.27718722902328691</v>
      </c>
      <c r="AF47" s="17">
        <v>1.0055450125699901</v>
      </c>
      <c r="AG47" s="17">
        <v>0.18099622983495359</v>
      </c>
      <c r="AH47" s="17">
        <v>1.6199424792949359E-2</v>
      </c>
      <c r="AI47" s="17">
        <v>1.056847691777054</v>
      </c>
    </row>
    <row r="48" spans="1:35" x14ac:dyDescent="0.2">
      <c r="A48" s="12" t="s">
        <v>1412</v>
      </c>
      <c r="B48" s="17">
        <v>1.2387027805842939E-2</v>
      </c>
      <c r="C48" s="17">
        <v>14.9860394522631</v>
      </c>
      <c r="D48" s="17">
        <v>4.5290144959340577E-2</v>
      </c>
      <c r="E48" s="17">
        <v>8.0692093040285726E-2</v>
      </c>
      <c r="F48" s="17">
        <v>0.2168559339970054</v>
      </c>
      <c r="G48" s="17">
        <v>0.9986901025313526</v>
      </c>
      <c r="H48" s="17">
        <v>4.7903475819938498E-4</v>
      </c>
      <c r="I48" s="17">
        <v>1.607927982629682</v>
      </c>
      <c r="J48" s="17">
        <v>2.0839855257112221E-2</v>
      </c>
      <c r="K48" s="17">
        <v>0.28779037743116198</v>
      </c>
      <c r="L48" s="17">
        <v>137.39541806816879</v>
      </c>
      <c r="M48" s="17">
        <v>215.7494838437523</v>
      </c>
      <c r="N48" s="17">
        <v>11.22620341255533</v>
      </c>
      <c r="O48" s="17">
        <v>1.880796936954378</v>
      </c>
      <c r="P48" s="17">
        <v>7.8042115695401666</v>
      </c>
      <c r="Q48" s="17">
        <v>7.7082404579582526</v>
      </c>
      <c r="R48" s="17">
        <v>0.5156322330444556</v>
      </c>
      <c r="S48" s="17">
        <v>0.16150757710701569</v>
      </c>
      <c r="T48" s="17">
        <v>0.2638288810041628</v>
      </c>
      <c r="U48" s="17">
        <v>0.1574165899121622</v>
      </c>
      <c r="V48" s="17">
        <v>0</v>
      </c>
      <c r="W48" s="17">
        <v>4.8516961257216037E-2</v>
      </c>
      <c r="X48" s="17">
        <v>9.5633466892679347E-3</v>
      </c>
      <c r="Y48" s="17">
        <v>0</v>
      </c>
      <c r="Z48" s="17">
        <v>9.446244484909555E-2</v>
      </c>
      <c r="AA48" s="17">
        <v>1.0400627450430369E-2</v>
      </c>
      <c r="AB48" s="17">
        <v>0.34866617522280119</v>
      </c>
      <c r="AC48" s="17">
        <v>0.15337808185333601</v>
      </c>
      <c r="AD48" s="17">
        <v>2.8182597182250832E-3</v>
      </c>
      <c r="AE48" s="17">
        <v>0</v>
      </c>
      <c r="AF48" s="17">
        <v>5.2774060097511236E-3</v>
      </c>
      <c r="AG48" s="17">
        <v>1.344528476374833E-2</v>
      </c>
      <c r="AH48" s="17">
        <v>0</v>
      </c>
      <c r="AI48" s="17">
        <v>0</v>
      </c>
    </row>
    <row r="49" spans="1:35" x14ac:dyDescent="0.2">
      <c r="A49" s="12" t="s">
        <v>1413</v>
      </c>
      <c r="B49" s="17">
        <v>0</v>
      </c>
      <c r="C49" s="17">
        <v>0</v>
      </c>
      <c r="D49" s="17">
        <v>0</v>
      </c>
      <c r="E49" s="17">
        <v>1.200963448885533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13.562342074202711</v>
      </c>
      <c r="N49" s="17">
        <v>7.9213094366843979</v>
      </c>
      <c r="O49" s="17">
        <v>0</v>
      </c>
      <c r="P49" s="17">
        <v>1.415211091834039</v>
      </c>
      <c r="Q49" s="17">
        <v>1.196076522319951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6.9363471456822229E-2</v>
      </c>
      <c r="AH49" s="17">
        <v>0</v>
      </c>
      <c r="AI49" s="17">
        <v>0</v>
      </c>
    </row>
    <row r="50" spans="1:35" x14ac:dyDescent="0.2">
      <c r="A50" s="12" t="s">
        <v>1414</v>
      </c>
      <c r="B50" s="17">
        <v>1.415674880983409</v>
      </c>
      <c r="C50" s="17">
        <v>19.598585944981892</v>
      </c>
      <c r="D50" s="17">
        <v>0.6387998738713464</v>
      </c>
      <c r="E50" s="17">
        <v>4.2623737089784806</v>
      </c>
      <c r="F50" s="17">
        <v>2.791198076004759</v>
      </c>
      <c r="G50" s="17">
        <v>6.6854701627999216</v>
      </c>
      <c r="H50" s="17">
        <v>9.5757824551250717E-2</v>
      </c>
      <c r="I50" s="17">
        <v>12.11771252821136</v>
      </c>
      <c r="J50" s="17">
        <v>0.15236270298074811</v>
      </c>
      <c r="K50" s="17">
        <v>0.59594236210156348</v>
      </c>
      <c r="L50" s="17">
        <v>117.7775089174532</v>
      </c>
      <c r="M50" s="17">
        <v>301.49572410523348</v>
      </c>
      <c r="N50" s="17">
        <v>94.695081759626234</v>
      </c>
      <c r="O50" s="17">
        <v>2.059440420999803</v>
      </c>
      <c r="P50" s="17">
        <v>128.11574002696861</v>
      </c>
      <c r="Q50" s="17">
        <v>31.946480498601051</v>
      </c>
      <c r="R50" s="17">
        <v>5.8932991147111924</v>
      </c>
      <c r="S50" s="17">
        <v>6.9135557358030812</v>
      </c>
      <c r="T50" s="17">
        <v>1.43307423057576</v>
      </c>
      <c r="U50" s="17">
        <v>2.9408638551937432</v>
      </c>
      <c r="V50" s="17">
        <v>1.4693316439533941</v>
      </c>
      <c r="W50" s="17">
        <v>1.1411637465711679</v>
      </c>
      <c r="X50" s="17">
        <v>3.4202664982549318</v>
      </c>
      <c r="Y50" s="17">
        <v>2.5868705460067091E-2</v>
      </c>
      <c r="Z50" s="17">
        <v>1.816031216299705</v>
      </c>
      <c r="AA50" s="17">
        <v>1.032837547200695</v>
      </c>
      <c r="AB50" s="17">
        <v>18.983070261464871</v>
      </c>
      <c r="AC50" s="17">
        <v>1.0806959461351939</v>
      </c>
      <c r="AD50" s="17">
        <v>0.69289753544547206</v>
      </c>
      <c r="AE50" s="17">
        <v>0.14403550290827291</v>
      </c>
      <c r="AF50" s="17">
        <v>0.2167668532318642</v>
      </c>
      <c r="AG50" s="17">
        <v>9.8000137316775881E-3</v>
      </c>
      <c r="AH50" s="17">
        <v>7.0469132429210931E-3</v>
      </c>
      <c r="AI50" s="17">
        <v>0.1033235981529943</v>
      </c>
    </row>
    <row r="51" spans="1:35" x14ac:dyDescent="0.2">
      <c r="A51" s="12" t="s">
        <v>1415</v>
      </c>
      <c r="B51" s="17">
        <v>0.1906892094864433</v>
      </c>
      <c r="C51" s="17">
        <v>3.955291624131553</v>
      </c>
      <c r="D51" s="17">
        <v>0.5328008527596263</v>
      </c>
      <c r="E51" s="17">
        <v>4.5191167982044709</v>
      </c>
      <c r="F51" s="17">
        <v>0.41510750857541928</v>
      </c>
      <c r="G51" s="17">
        <v>3.1836495399464089</v>
      </c>
      <c r="H51" s="17">
        <v>0.26596672394593002</v>
      </c>
      <c r="I51" s="17">
        <v>1.268243657832967</v>
      </c>
      <c r="J51" s="17">
        <v>7.5902717162821126E-2</v>
      </c>
      <c r="K51" s="17">
        <v>1.127367601500914</v>
      </c>
      <c r="L51" s="17">
        <v>866.1532741340003</v>
      </c>
      <c r="M51" s="17">
        <v>1039.9904253692721</v>
      </c>
      <c r="N51" s="17">
        <v>34.850503766656438</v>
      </c>
      <c r="O51" s="17">
        <v>1.4940951532007301</v>
      </c>
      <c r="P51" s="17">
        <v>87.991152656054282</v>
      </c>
      <c r="Q51" s="17">
        <v>201.2163664724099</v>
      </c>
      <c r="R51" s="17">
        <v>1.0887017529227401</v>
      </c>
      <c r="S51" s="17">
        <v>0.36912240172801142</v>
      </c>
      <c r="T51" s="17">
        <v>7.1974970615476558E-2</v>
      </c>
      <c r="U51" s="17">
        <v>0.73454541773260673</v>
      </c>
      <c r="V51" s="17">
        <v>0.33988476323558431</v>
      </c>
      <c r="W51" s="17">
        <v>0.7320713100592553</v>
      </c>
      <c r="X51" s="17">
        <v>7.0849948162944214</v>
      </c>
      <c r="Y51" s="17">
        <v>0.13207283600593919</v>
      </c>
      <c r="Z51" s="17">
        <v>0.77797175049152467</v>
      </c>
      <c r="AA51" s="17">
        <v>6.9124761779103705E-2</v>
      </c>
      <c r="AB51" s="17">
        <v>3.5112882942910209</v>
      </c>
      <c r="AC51" s="17">
        <v>0.16780921810258351</v>
      </c>
      <c r="AD51" s="17">
        <v>1.91180853901109E-4</v>
      </c>
      <c r="AE51" s="17">
        <v>2.1650795169715499E-2</v>
      </c>
      <c r="AF51" s="17">
        <v>3.7952359416800772E-2</v>
      </c>
      <c r="AG51" s="17">
        <v>1.619436838848223E-3</v>
      </c>
      <c r="AH51" s="17">
        <v>6.338908062963034E-4</v>
      </c>
      <c r="AI51" s="17">
        <v>3.858582433569699E-3</v>
      </c>
    </row>
    <row r="52" spans="1:35" x14ac:dyDescent="0.2">
      <c r="A52" s="12" t="s">
        <v>1416</v>
      </c>
      <c r="B52" s="17">
        <v>23.091151843996499</v>
      </c>
      <c r="C52" s="17">
        <v>220.77292177514059</v>
      </c>
      <c r="D52" s="17">
        <v>35.827613996641112</v>
      </c>
      <c r="E52" s="17">
        <v>53.87797190903072</v>
      </c>
      <c r="F52" s="17">
        <v>8.3358937841987881</v>
      </c>
      <c r="G52" s="17">
        <v>37.152598795275011</v>
      </c>
      <c r="H52" s="17">
        <v>4.2238446222012698</v>
      </c>
      <c r="I52" s="17">
        <v>32.806866391403773</v>
      </c>
      <c r="J52" s="17">
        <v>2.1217326609343541</v>
      </c>
      <c r="K52" s="17">
        <v>12.005130537450979</v>
      </c>
      <c r="L52" s="17">
        <v>612.48972078973873</v>
      </c>
      <c r="M52" s="17">
        <v>3221.3949085796321</v>
      </c>
      <c r="N52" s="17">
        <v>785.65494449197297</v>
      </c>
      <c r="O52" s="17">
        <v>42.437609679103367</v>
      </c>
      <c r="P52" s="17">
        <v>1574.6655060651949</v>
      </c>
      <c r="Q52" s="17">
        <v>292.73654785562798</v>
      </c>
      <c r="R52" s="17">
        <v>30.56522159445495</v>
      </c>
      <c r="S52" s="17">
        <v>23.752478685711921</v>
      </c>
      <c r="T52" s="17">
        <v>12.993277819146369</v>
      </c>
      <c r="U52" s="17">
        <v>14.46466334816501</v>
      </c>
      <c r="V52" s="17">
        <v>8.6840780774250241</v>
      </c>
      <c r="W52" s="17">
        <v>21.744994894206108</v>
      </c>
      <c r="X52" s="17">
        <v>59.019531872820977</v>
      </c>
      <c r="Y52" s="17">
        <v>0.70527589371037758</v>
      </c>
      <c r="Z52" s="17">
        <v>6.9187250581299331</v>
      </c>
      <c r="AA52" s="17">
        <v>7.8028072872749634</v>
      </c>
      <c r="AB52" s="17">
        <v>92.913971822306749</v>
      </c>
      <c r="AC52" s="17">
        <v>6.7894747489246638</v>
      </c>
      <c r="AD52" s="17">
        <v>1.776013655931737</v>
      </c>
      <c r="AE52" s="17">
        <v>0.78675049688608578</v>
      </c>
      <c r="AF52" s="17">
        <v>3.9447688292794969</v>
      </c>
      <c r="AG52" s="17">
        <v>1.517195233621025</v>
      </c>
      <c r="AH52" s="17">
        <v>0.49471971735477499</v>
      </c>
      <c r="AI52" s="17">
        <v>1.212495203507715</v>
      </c>
    </row>
    <row r="53" spans="1:35" x14ac:dyDescent="0.2">
      <c r="A53" s="12" t="s">
        <v>1417</v>
      </c>
      <c r="B53" s="17">
        <v>105.7390216972763</v>
      </c>
      <c r="C53" s="17">
        <v>281.60425654352372</v>
      </c>
      <c r="D53" s="17">
        <v>69.652688145416306</v>
      </c>
      <c r="E53" s="17">
        <v>79.727214906212851</v>
      </c>
      <c r="F53" s="17">
        <v>38.487343495055029</v>
      </c>
      <c r="G53" s="17">
        <v>95.588388664326828</v>
      </c>
      <c r="H53" s="17">
        <v>21.48482283525324</v>
      </c>
      <c r="I53" s="17">
        <v>93.358166676948429</v>
      </c>
      <c r="J53" s="17">
        <v>9.2685984971374751</v>
      </c>
      <c r="K53" s="17">
        <v>14.558351846441351</v>
      </c>
      <c r="L53" s="17">
        <v>278.98198288413812</v>
      </c>
      <c r="M53" s="17">
        <v>1292.3963159385839</v>
      </c>
      <c r="N53" s="17">
        <v>680.39997808962096</v>
      </c>
      <c r="O53" s="17">
        <v>23.070076819675428</v>
      </c>
      <c r="P53" s="17">
        <v>904.16044815860675</v>
      </c>
      <c r="Q53" s="17">
        <v>65.149744954880319</v>
      </c>
      <c r="R53" s="17">
        <v>56.231281637030747</v>
      </c>
      <c r="S53" s="17">
        <v>55.240703921016951</v>
      </c>
      <c r="T53" s="17">
        <v>109.07555371937531</v>
      </c>
      <c r="U53" s="17">
        <v>56.248382470517598</v>
      </c>
      <c r="V53" s="17">
        <v>34.109338027696111</v>
      </c>
      <c r="W53" s="17">
        <v>52.471374741504327</v>
      </c>
      <c r="X53" s="17">
        <v>60.307073463881324</v>
      </c>
      <c r="Y53" s="17">
        <v>4.816544937199307</v>
      </c>
      <c r="Z53" s="17">
        <v>47.765864147803491</v>
      </c>
      <c r="AA53" s="17">
        <v>54.62593134178244</v>
      </c>
      <c r="AB53" s="17">
        <v>240.3215918053331</v>
      </c>
      <c r="AC53" s="17">
        <v>53.47025880645495</v>
      </c>
      <c r="AD53" s="17">
        <v>9.3721525919608286</v>
      </c>
      <c r="AE53" s="17">
        <v>7.2932847527033999</v>
      </c>
      <c r="AF53" s="17">
        <v>20.906120414797279</v>
      </c>
      <c r="AG53" s="17">
        <v>15.68430066133223</v>
      </c>
      <c r="AH53" s="17">
        <v>7.1618648264358082</v>
      </c>
      <c r="AI53" s="17">
        <v>19.562578163041579</v>
      </c>
    </row>
    <row r="54" spans="1:35" x14ac:dyDescent="0.2">
      <c r="A54" s="12" t="s">
        <v>1418</v>
      </c>
      <c r="B54" s="17">
        <v>105.9687099087943</v>
      </c>
      <c r="C54" s="17">
        <v>492.47388227859773</v>
      </c>
      <c r="D54" s="17">
        <v>137.69761764939659</v>
      </c>
      <c r="E54" s="17">
        <v>120.0713272517883</v>
      </c>
      <c r="F54" s="17">
        <v>28.3249658791519</v>
      </c>
      <c r="G54" s="17">
        <v>149.7049492730487</v>
      </c>
      <c r="H54" s="17">
        <v>15.15404254162115</v>
      </c>
      <c r="I54" s="17">
        <v>140.9997318572041</v>
      </c>
      <c r="J54" s="17">
        <v>4.1334683208977783</v>
      </c>
      <c r="K54" s="17">
        <v>16.11943527991383</v>
      </c>
      <c r="L54" s="17">
        <v>235.92541633270201</v>
      </c>
      <c r="M54" s="17">
        <v>4211.8391688669808</v>
      </c>
      <c r="N54" s="17">
        <v>2052.581539948726</v>
      </c>
      <c r="O54" s="17">
        <v>57.531178933601012</v>
      </c>
      <c r="P54" s="17">
        <v>4236.3271959201365</v>
      </c>
      <c r="Q54" s="17">
        <v>309.50666067417558</v>
      </c>
      <c r="R54" s="17">
        <v>44.469382756828082</v>
      </c>
      <c r="S54" s="17">
        <v>103.80532805759739</v>
      </c>
      <c r="T54" s="17">
        <v>136.24525771975519</v>
      </c>
      <c r="U54" s="17">
        <v>59.25175459125191</v>
      </c>
      <c r="V54" s="17">
        <v>20.20709418015355</v>
      </c>
      <c r="W54" s="17">
        <v>56.592030828889342</v>
      </c>
      <c r="X54" s="17">
        <v>46.246278453635092</v>
      </c>
      <c r="Y54" s="17">
        <v>1.5281686127386129</v>
      </c>
      <c r="Z54" s="17">
        <v>16.386287683680191</v>
      </c>
      <c r="AA54" s="17">
        <v>23.262151831216869</v>
      </c>
      <c r="AB54" s="17">
        <v>255.2078250882933</v>
      </c>
      <c r="AC54" s="17">
        <v>24.07927363830747</v>
      </c>
      <c r="AD54" s="17">
        <v>3.7525218604132058</v>
      </c>
      <c r="AE54" s="17">
        <v>7.7349928467857803</v>
      </c>
      <c r="AF54" s="17">
        <v>15.26133540916946</v>
      </c>
      <c r="AG54" s="17">
        <v>5.8890582154927573</v>
      </c>
      <c r="AH54" s="17">
        <v>0.63927992065858541</v>
      </c>
      <c r="AI54" s="17">
        <v>1.5022372980731189</v>
      </c>
    </row>
    <row r="55" spans="1:35" x14ac:dyDescent="0.2">
      <c r="A55" s="12" t="s">
        <v>1419</v>
      </c>
      <c r="B55" s="17">
        <v>38.750778841537247</v>
      </c>
      <c r="C55" s="17">
        <v>166.0234642586704</v>
      </c>
      <c r="D55" s="17">
        <v>31.648454652740408</v>
      </c>
      <c r="E55" s="17">
        <v>26.329526170341921</v>
      </c>
      <c r="F55" s="17">
        <v>7.1906528123233722</v>
      </c>
      <c r="G55" s="17">
        <v>42.08044010226137</v>
      </c>
      <c r="H55" s="17">
        <v>4.7815774812793652</v>
      </c>
      <c r="I55" s="17">
        <v>31.861602846098808</v>
      </c>
      <c r="J55" s="17">
        <v>1.833975380083583</v>
      </c>
      <c r="K55" s="17">
        <v>3.9227984435298171</v>
      </c>
      <c r="L55" s="17">
        <v>160.9492197109688</v>
      </c>
      <c r="M55" s="17">
        <v>1419.2885572672919</v>
      </c>
      <c r="N55" s="17">
        <v>608.93600161019117</v>
      </c>
      <c r="O55" s="17">
        <v>13.38760162186483</v>
      </c>
      <c r="P55" s="17">
        <v>1051.4072067104751</v>
      </c>
      <c r="Q55" s="17">
        <v>59.967703205626933</v>
      </c>
      <c r="R55" s="17">
        <v>24.460269317225119</v>
      </c>
      <c r="S55" s="17">
        <v>33.570962562198062</v>
      </c>
      <c r="T55" s="17">
        <v>41.730284050679202</v>
      </c>
      <c r="U55" s="17">
        <v>20.86818558057784</v>
      </c>
      <c r="V55" s="17">
        <v>5.1906689292161934</v>
      </c>
      <c r="W55" s="17">
        <v>14.42894523239311</v>
      </c>
      <c r="X55" s="17">
        <v>16.013456168319671</v>
      </c>
      <c r="Y55" s="17">
        <v>1.1551338184834781</v>
      </c>
      <c r="Z55" s="17">
        <v>9.8869585431229829</v>
      </c>
      <c r="AA55" s="17">
        <v>8.6986667051132223</v>
      </c>
      <c r="AB55" s="17">
        <v>120.5852403951593</v>
      </c>
      <c r="AC55" s="17">
        <v>15.92182894640615</v>
      </c>
      <c r="AD55" s="17">
        <v>0.75872296168863851</v>
      </c>
      <c r="AE55" s="17">
        <v>2.1706223979997872</v>
      </c>
      <c r="AF55" s="17">
        <v>3.9026398130799849</v>
      </c>
      <c r="AG55" s="17">
        <v>2.8533245161651508</v>
      </c>
      <c r="AH55" s="17">
        <v>0.49986195801556221</v>
      </c>
      <c r="AI55" s="17">
        <v>1.3991488344540901</v>
      </c>
    </row>
    <row r="56" spans="1:35" x14ac:dyDescent="0.2">
      <c r="A56" s="12" t="s">
        <v>1420</v>
      </c>
      <c r="B56" s="17">
        <v>0.1200067611728142</v>
      </c>
      <c r="C56" s="17">
        <v>2.164130183656867E-2</v>
      </c>
      <c r="D56" s="17">
        <v>9.9088587585842963E-2</v>
      </c>
      <c r="E56" s="17">
        <v>5.7810225185811359E-2</v>
      </c>
      <c r="F56" s="17">
        <v>5.4069475244122131E-2</v>
      </c>
      <c r="G56" s="17">
        <v>0</v>
      </c>
      <c r="H56" s="17">
        <v>0</v>
      </c>
      <c r="I56" s="17">
        <v>0.68703689363830267</v>
      </c>
      <c r="J56" s="17">
        <v>0.1717592234095757</v>
      </c>
      <c r="K56" s="17">
        <v>0</v>
      </c>
      <c r="L56" s="17">
        <v>0</v>
      </c>
      <c r="M56" s="17">
        <v>9.2240137692596508E-2</v>
      </c>
      <c r="N56" s="17">
        <v>14.81159072346491</v>
      </c>
      <c r="O56" s="17">
        <v>4.4862000844169883</v>
      </c>
      <c r="P56" s="17">
        <v>16.308691395780301</v>
      </c>
      <c r="Q56" s="17">
        <v>0</v>
      </c>
      <c r="R56" s="17">
        <v>0.5983223189342276</v>
      </c>
      <c r="S56" s="17">
        <v>0.25144095042836728</v>
      </c>
      <c r="T56" s="17">
        <v>0</v>
      </c>
      <c r="U56" s="17">
        <v>0</v>
      </c>
      <c r="V56" s="17">
        <v>0</v>
      </c>
      <c r="W56" s="17">
        <v>0.52029202667230212</v>
      </c>
      <c r="X56" s="17">
        <v>6.3257457709595594E-2</v>
      </c>
      <c r="Y56" s="17">
        <v>5.7650086057872817E-3</v>
      </c>
      <c r="Z56" s="17">
        <v>0</v>
      </c>
      <c r="AA56" s="17">
        <v>7.8390605299787239E-2</v>
      </c>
      <c r="AB56" s="17">
        <v>0.49549298140669562</v>
      </c>
      <c r="AC56" s="17">
        <v>5.8573388217393441E-2</v>
      </c>
      <c r="AD56" s="17">
        <v>1.6824617129042391E-2</v>
      </c>
      <c r="AE56" s="17">
        <v>0</v>
      </c>
      <c r="AF56" s="17">
        <v>0</v>
      </c>
      <c r="AG56" s="17">
        <v>2.4045890929520739E-3</v>
      </c>
      <c r="AH56" s="17">
        <v>0</v>
      </c>
      <c r="AI56" s="1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20"/>
  <sheetViews>
    <sheetView tabSelected="1" workbookViewId="0">
      <pane xSplit="1" ySplit="12" topLeftCell="B13" activePane="bottomRight" state="frozen"/>
      <selection pane="topRight"/>
      <selection pane="bottomLeft"/>
      <selection pane="bottomRight" activeCell="E9" sqref="E9"/>
    </sheetView>
  </sheetViews>
  <sheetFormatPr baseColWidth="10" defaultColWidth="8.83203125" defaultRowHeight="15" x14ac:dyDescent="0.2"/>
  <cols>
    <col min="1" max="1" width="34" customWidth="1"/>
    <col min="2" max="2" width="18" customWidth="1"/>
  </cols>
  <sheetData>
    <row r="1" spans="1:35" ht="17" x14ac:dyDescent="0.2">
      <c r="A1" s="1" t="s">
        <v>1475</v>
      </c>
    </row>
    <row r="2" spans="1:35" x14ac:dyDescent="0.2">
      <c r="A2" s="2" t="s">
        <v>1476</v>
      </c>
    </row>
    <row r="4" spans="1:35" ht="16" x14ac:dyDescent="0.2">
      <c r="A4" s="18" t="s">
        <v>1477</v>
      </c>
    </row>
    <row r="5" spans="1:35" x14ac:dyDescent="0.2">
      <c r="A5" s="7" t="s">
        <v>1478</v>
      </c>
      <c r="B5" s="19" t="e">
        <f>MAX(ABS(B13:AI64))</f>
        <v>#VALUE!</v>
      </c>
    </row>
    <row r="6" spans="1:35" x14ac:dyDescent="0.2">
      <c r="A6" s="7" t="s">
        <v>1479</v>
      </c>
      <c r="B6" s="19" t="e">
        <f>MAX(ABS(B69:AI120))</f>
        <v>#VALUE!</v>
      </c>
    </row>
    <row r="7" spans="1:35" x14ac:dyDescent="0.2">
      <c r="A7" s="7" t="s">
        <v>1480</v>
      </c>
      <c r="B7" s="20">
        <f>COUNTIF(B13:AI64,"&gt;1E-09")+COUNTIF(B13:AI64,"&lt;-1E-09")</f>
        <v>0</v>
      </c>
    </row>
    <row r="8" spans="1:35" x14ac:dyDescent="0.2">
      <c r="A8" s="7" t="s">
        <v>1481</v>
      </c>
      <c r="B8" s="20">
        <f>COUNTIF(B69:AI120,"&gt;1E-09")+COUNTIF(B69:AI120,"&lt;-1E-09")</f>
        <v>0</v>
      </c>
    </row>
    <row r="9" spans="1:35" x14ac:dyDescent="0.2">
      <c r="A9" s="7" t="s">
        <v>1482</v>
      </c>
      <c r="B9" s="21">
        <v>1768</v>
      </c>
    </row>
    <row r="10" spans="1:35" x14ac:dyDescent="0.2">
      <c r="A10" s="7" t="s">
        <v>1483</v>
      </c>
      <c r="B10" s="21">
        <f>SUM('08_dL_manual'!B5:AI56)</f>
        <v>520433.02814743499</v>
      </c>
    </row>
    <row r="11" spans="1:35" x14ac:dyDescent="0.2">
      <c r="A11" s="10" t="s">
        <v>1484</v>
      </c>
      <c r="B11" s="21">
        <f>SUM('10_dash_dL'!B5:AI56)</f>
        <v>520433.02814743505</v>
      </c>
    </row>
    <row r="12" spans="1:35" ht="30" customHeight="1" x14ac:dyDescent="0.2">
      <c r="A12" s="5" t="s">
        <v>1334</v>
      </c>
      <c r="B12" s="5" t="s">
        <v>1335</v>
      </c>
      <c r="C12" s="5" t="s">
        <v>1336</v>
      </c>
      <c r="D12" s="5" t="s">
        <v>1337</v>
      </c>
      <c r="E12" s="5" t="s">
        <v>1338</v>
      </c>
      <c r="F12" s="5" t="s">
        <v>1339</v>
      </c>
      <c r="G12" s="5" t="s">
        <v>1340</v>
      </c>
      <c r="H12" s="5" t="s">
        <v>1341</v>
      </c>
      <c r="I12" s="5" t="s">
        <v>1342</v>
      </c>
      <c r="J12" s="5" t="s">
        <v>1343</v>
      </c>
      <c r="K12" s="5" t="s">
        <v>1344</v>
      </c>
      <c r="L12" s="5" t="s">
        <v>1345</v>
      </c>
      <c r="M12" s="5" t="s">
        <v>1346</v>
      </c>
      <c r="N12" s="5" t="s">
        <v>1347</v>
      </c>
      <c r="O12" s="5" t="s">
        <v>1348</v>
      </c>
      <c r="P12" s="5" t="s">
        <v>1349</v>
      </c>
      <c r="Q12" s="5" t="s">
        <v>1350</v>
      </c>
      <c r="R12" s="5" t="s">
        <v>1351</v>
      </c>
      <c r="S12" s="5" t="s">
        <v>1352</v>
      </c>
      <c r="T12" s="5" t="s">
        <v>1353</v>
      </c>
      <c r="U12" s="5" t="s">
        <v>1354</v>
      </c>
      <c r="V12" s="5" t="s">
        <v>1355</v>
      </c>
      <c r="W12" s="5" t="s">
        <v>1356</v>
      </c>
      <c r="X12" s="5" t="s">
        <v>1357</v>
      </c>
      <c r="Y12" s="5" t="s">
        <v>1358</v>
      </c>
      <c r="Z12" s="5" t="s">
        <v>1359</v>
      </c>
      <c r="AA12" s="5" t="s">
        <v>1360</v>
      </c>
      <c r="AB12" s="5" t="s">
        <v>1361</v>
      </c>
      <c r="AC12" s="5" t="s">
        <v>1362</v>
      </c>
      <c r="AD12" s="5" t="s">
        <v>1363</v>
      </c>
      <c r="AE12" s="5" t="s">
        <v>1364</v>
      </c>
      <c r="AF12" s="5" t="s">
        <v>1365</v>
      </c>
      <c r="AG12" s="5" t="s">
        <v>1366</v>
      </c>
      <c r="AH12" s="5" t="s">
        <v>1367</v>
      </c>
      <c r="AI12" s="5" t="s">
        <v>1368</v>
      </c>
    </row>
    <row r="13" spans="1:35" x14ac:dyDescent="0.2">
      <c r="A13" s="12" t="s">
        <v>1369</v>
      </c>
      <c r="B13" s="9">
        <f>'07_E_manual'!B5-'09_dash_E'!B5</f>
        <v>0</v>
      </c>
      <c r="C13" s="9">
        <f>'07_E_manual'!C5-'09_dash_E'!C5</f>
        <v>0</v>
      </c>
      <c r="D13" s="9">
        <f>'07_E_manual'!D5-'09_dash_E'!D5</f>
        <v>0</v>
      </c>
      <c r="E13" s="9">
        <f>'07_E_manual'!E5-'09_dash_E'!E5</f>
        <v>0</v>
      </c>
      <c r="F13" s="9">
        <f>'07_E_manual'!F5-'09_dash_E'!F5</f>
        <v>0</v>
      </c>
      <c r="G13" s="9">
        <f>'07_E_manual'!G5-'09_dash_E'!G5</f>
        <v>0</v>
      </c>
      <c r="H13" s="9">
        <f>'07_E_manual'!H5-'09_dash_E'!H5</f>
        <v>0</v>
      </c>
      <c r="I13" s="9">
        <f>'07_E_manual'!I5-'09_dash_E'!I5</f>
        <v>0</v>
      </c>
      <c r="J13" s="9">
        <f>'07_E_manual'!J5-'09_dash_E'!J5</f>
        <v>0</v>
      </c>
      <c r="K13" s="9">
        <f>'07_E_manual'!K5-'09_dash_E'!K5</f>
        <v>1.951563910473908E-18</v>
      </c>
      <c r="L13" s="9">
        <f>'07_E_manual'!L5-'09_dash_E'!L5</f>
        <v>0</v>
      </c>
      <c r="M13" s="9">
        <f>'07_E_manual'!M5-'09_dash_E'!M5</f>
        <v>0</v>
      </c>
      <c r="N13" s="9">
        <f>'07_E_manual'!N5-'09_dash_E'!N5</f>
        <v>0</v>
      </c>
      <c r="O13" s="9">
        <f>'07_E_manual'!O5-'09_dash_E'!O5</f>
        <v>0</v>
      </c>
      <c r="P13" s="9">
        <f>'07_E_manual'!P5-'09_dash_E'!P5</f>
        <v>0</v>
      </c>
      <c r="Q13" s="9">
        <f>'07_E_manual'!Q5-'09_dash_E'!Q5</f>
        <v>0</v>
      </c>
      <c r="R13" s="9">
        <f>'07_E_manual'!R5-'09_dash_E'!R5</f>
        <v>0</v>
      </c>
      <c r="S13" s="9">
        <f>'07_E_manual'!S5-'09_dash_E'!S5</f>
        <v>0</v>
      </c>
      <c r="T13" s="9">
        <f>'07_E_manual'!T5-'09_dash_E'!T5</f>
        <v>0</v>
      </c>
      <c r="U13" s="9">
        <f>'07_E_manual'!U5-'09_dash_E'!U5</f>
        <v>0</v>
      </c>
      <c r="V13" s="9">
        <f>'07_E_manual'!V5-'09_dash_E'!V5</f>
        <v>0</v>
      </c>
      <c r="W13" s="9">
        <f>'07_E_manual'!W5-'09_dash_E'!W5</f>
        <v>0</v>
      </c>
      <c r="X13" s="9">
        <f>'07_E_manual'!X5-'09_dash_E'!X5</f>
        <v>0</v>
      </c>
      <c r="Y13" s="9">
        <f>'07_E_manual'!Y5-'09_dash_E'!Y5</f>
        <v>0</v>
      </c>
      <c r="Z13" s="9">
        <f>'07_E_manual'!Z5-'09_dash_E'!Z5</f>
        <v>0</v>
      </c>
      <c r="AA13" s="9">
        <f>'07_E_manual'!AA5-'09_dash_E'!AA5</f>
        <v>0</v>
      </c>
      <c r="AB13" s="9">
        <f>'07_E_manual'!AB5-'09_dash_E'!AB5</f>
        <v>0</v>
      </c>
      <c r="AC13" s="9">
        <f>'07_E_manual'!AC5-'09_dash_E'!AC5</f>
        <v>0</v>
      </c>
      <c r="AD13" s="9">
        <f>'07_E_manual'!AD5-'09_dash_E'!AD5</f>
        <v>0</v>
      </c>
      <c r="AE13" s="9">
        <f>'07_E_manual'!AE5-'09_dash_E'!AE5</f>
        <v>0</v>
      </c>
      <c r="AF13" s="9">
        <f>'07_E_manual'!AF5-'09_dash_E'!AF5</f>
        <v>0</v>
      </c>
      <c r="AG13" s="9">
        <f>'07_E_manual'!AG5-'09_dash_E'!AG5</f>
        <v>0</v>
      </c>
      <c r="AH13" s="9">
        <f>'07_E_manual'!AH5-'09_dash_E'!AH5</f>
        <v>0</v>
      </c>
      <c r="AI13" s="9">
        <f>'07_E_manual'!AI5-'09_dash_E'!AI5</f>
        <v>0</v>
      </c>
    </row>
    <row r="14" spans="1:35" x14ac:dyDescent="0.2">
      <c r="A14" s="12" t="s">
        <v>1370</v>
      </c>
      <c r="B14" s="9">
        <f>'07_E_manual'!B6-'09_dash_E'!B6</f>
        <v>0</v>
      </c>
      <c r="C14" s="9">
        <f>'07_E_manual'!C6-'09_dash_E'!C6</f>
        <v>0</v>
      </c>
      <c r="D14" s="9">
        <f>'07_E_manual'!D6-'09_dash_E'!D6</f>
        <v>0</v>
      </c>
      <c r="E14" s="9">
        <f>'07_E_manual'!E6-'09_dash_E'!E6</f>
        <v>0</v>
      </c>
      <c r="F14" s="9">
        <f>'07_E_manual'!F6-'09_dash_E'!F6</f>
        <v>0</v>
      </c>
      <c r="G14" s="9">
        <f>'07_E_manual'!G6-'09_dash_E'!G6</f>
        <v>0</v>
      </c>
      <c r="H14" s="9">
        <f>'07_E_manual'!H6-'09_dash_E'!H6</f>
        <v>0</v>
      </c>
      <c r="I14" s="9">
        <f>'07_E_manual'!I6-'09_dash_E'!I6</f>
        <v>0</v>
      </c>
      <c r="J14" s="9">
        <f>'07_E_manual'!J6-'09_dash_E'!J6</f>
        <v>0</v>
      </c>
      <c r="K14" s="9">
        <f>'07_E_manual'!K6-'09_dash_E'!K6</f>
        <v>0</v>
      </c>
      <c r="L14" s="9">
        <f>'07_E_manual'!L6-'09_dash_E'!L6</f>
        <v>0</v>
      </c>
      <c r="M14" s="9">
        <f>'07_E_manual'!M6-'09_dash_E'!M6</f>
        <v>0</v>
      </c>
      <c r="N14" s="9">
        <f>'07_E_manual'!N6-'09_dash_E'!N6</f>
        <v>0</v>
      </c>
      <c r="O14" s="9">
        <f>'07_E_manual'!O6-'09_dash_E'!O6</f>
        <v>0</v>
      </c>
      <c r="P14" s="9">
        <f>'07_E_manual'!P6-'09_dash_E'!P6</f>
        <v>0</v>
      </c>
      <c r="Q14" s="9">
        <f>'07_E_manual'!Q6-'09_dash_E'!Q6</f>
        <v>0</v>
      </c>
      <c r="R14" s="9">
        <f>'07_E_manual'!R6-'09_dash_E'!R6</f>
        <v>0</v>
      </c>
      <c r="S14" s="9">
        <f>'07_E_manual'!S6-'09_dash_E'!S6</f>
        <v>0</v>
      </c>
      <c r="T14" s="9">
        <f>'07_E_manual'!T6-'09_dash_E'!T6</f>
        <v>0</v>
      </c>
      <c r="U14" s="9">
        <f>'07_E_manual'!U6-'09_dash_E'!U6</f>
        <v>0</v>
      </c>
      <c r="V14" s="9">
        <f>'07_E_manual'!V6-'09_dash_E'!V6</f>
        <v>0</v>
      </c>
      <c r="W14" s="9">
        <f>'07_E_manual'!W6-'09_dash_E'!W6</f>
        <v>0</v>
      </c>
      <c r="X14" s="9">
        <f>'07_E_manual'!X6-'09_dash_E'!X6</f>
        <v>0</v>
      </c>
      <c r="Y14" s="9">
        <f>'07_E_manual'!Y6-'09_dash_E'!Y6</f>
        <v>0</v>
      </c>
      <c r="Z14" s="9">
        <f>'07_E_manual'!Z6-'09_dash_E'!Z6</f>
        <v>0</v>
      </c>
      <c r="AA14" s="9">
        <f>'07_E_manual'!AA6-'09_dash_E'!AA6</f>
        <v>0</v>
      </c>
      <c r="AB14" s="9">
        <f>'07_E_manual'!AB6-'09_dash_E'!AB6</f>
        <v>0</v>
      </c>
      <c r="AC14" s="9">
        <f>'07_E_manual'!AC6-'09_dash_E'!AC6</f>
        <v>0</v>
      </c>
      <c r="AD14" s="9">
        <f>'07_E_manual'!AD6-'09_dash_E'!AD6</f>
        <v>0</v>
      </c>
      <c r="AE14" s="9">
        <f>'07_E_manual'!AE6-'09_dash_E'!AE6</f>
        <v>0</v>
      </c>
      <c r="AF14" s="9">
        <f>'07_E_manual'!AF6-'09_dash_E'!AF6</f>
        <v>0</v>
      </c>
      <c r="AG14" s="9">
        <f>'07_E_manual'!AG6-'09_dash_E'!AG6</f>
        <v>0</v>
      </c>
      <c r="AH14" s="9">
        <f>'07_E_manual'!AH6-'09_dash_E'!AH6</f>
        <v>0</v>
      </c>
      <c r="AI14" s="9">
        <f>'07_E_manual'!AI6-'09_dash_E'!AI6</f>
        <v>0</v>
      </c>
    </row>
    <row r="15" spans="1:35" x14ac:dyDescent="0.2">
      <c r="A15" s="12" t="s">
        <v>1371</v>
      </c>
      <c r="B15" s="9">
        <f>'07_E_manual'!B7-'09_dash_E'!B7</f>
        <v>0</v>
      </c>
      <c r="C15" s="9">
        <f>'07_E_manual'!C7-'09_dash_E'!C7</f>
        <v>0</v>
      </c>
      <c r="D15" s="9">
        <f>'07_E_manual'!D7-'09_dash_E'!D7</f>
        <v>0</v>
      </c>
      <c r="E15" s="9">
        <f>'07_E_manual'!E7-'09_dash_E'!E7</f>
        <v>0</v>
      </c>
      <c r="F15" s="9">
        <f>'07_E_manual'!F7-'09_dash_E'!F7</f>
        <v>0</v>
      </c>
      <c r="G15" s="9">
        <f>'07_E_manual'!G7-'09_dash_E'!G7</f>
        <v>0</v>
      </c>
      <c r="H15" s="9">
        <f>'07_E_manual'!H7-'09_dash_E'!H7</f>
        <v>0</v>
      </c>
      <c r="I15" s="9">
        <f>'07_E_manual'!I7-'09_dash_E'!I7</f>
        <v>0</v>
      </c>
      <c r="J15" s="9">
        <f>'07_E_manual'!J7-'09_dash_E'!J7</f>
        <v>-1.1102230246251565E-16</v>
      </c>
      <c r="K15" s="9">
        <f>'07_E_manual'!K7-'09_dash_E'!K7</f>
        <v>0</v>
      </c>
      <c r="L15" s="9">
        <f>'07_E_manual'!L7-'09_dash_E'!L7</f>
        <v>0</v>
      </c>
      <c r="M15" s="9">
        <f>'07_E_manual'!M7-'09_dash_E'!M7</f>
        <v>-2.2204460492503131E-16</v>
      </c>
      <c r="N15" s="9">
        <f>'07_E_manual'!N7-'09_dash_E'!N7</f>
        <v>0</v>
      </c>
      <c r="O15" s="9">
        <f>'07_E_manual'!O7-'09_dash_E'!O7</f>
        <v>0</v>
      </c>
      <c r="P15" s="9">
        <f>'07_E_manual'!P7-'09_dash_E'!P7</f>
        <v>0</v>
      </c>
      <c r="Q15" s="9">
        <f>'07_E_manual'!Q7-'09_dash_E'!Q7</f>
        <v>0</v>
      </c>
      <c r="R15" s="9">
        <f>'07_E_manual'!R7-'09_dash_E'!R7</f>
        <v>0</v>
      </c>
      <c r="S15" s="9">
        <f>'07_E_manual'!S7-'09_dash_E'!S7</f>
        <v>0</v>
      </c>
      <c r="T15" s="9">
        <f>'07_E_manual'!T7-'09_dash_E'!T7</f>
        <v>0</v>
      </c>
      <c r="U15" s="9">
        <f>'07_E_manual'!U7-'09_dash_E'!U7</f>
        <v>0</v>
      </c>
      <c r="V15" s="9">
        <f>'07_E_manual'!V7-'09_dash_E'!V7</f>
        <v>0</v>
      </c>
      <c r="W15" s="9">
        <f>'07_E_manual'!W7-'09_dash_E'!W7</f>
        <v>0</v>
      </c>
      <c r="X15" s="9">
        <f>'07_E_manual'!X7-'09_dash_E'!X7</f>
        <v>0</v>
      </c>
      <c r="Y15" s="9">
        <f>'07_E_manual'!Y7-'09_dash_E'!Y7</f>
        <v>0</v>
      </c>
      <c r="Z15" s="9">
        <f>'07_E_manual'!Z7-'09_dash_E'!Z7</f>
        <v>0</v>
      </c>
      <c r="AA15" s="9">
        <f>'07_E_manual'!AA7-'09_dash_E'!AA7</f>
        <v>0</v>
      </c>
      <c r="AB15" s="9">
        <f>'07_E_manual'!AB7-'09_dash_E'!AB7</f>
        <v>0</v>
      </c>
      <c r="AC15" s="9">
        <f>'07_E_manual'!AC7-'09_dash_E'!AC7</f>
        <v>0</v>
      </c>
      <c r="AD15" s="9">
        <f>'07_E_manual'!AD7-'09_dash_E'!AD7</f>
        <v>0</v>
      </c>
      <c r="AE15" s="9">
        <f>'07_E_manual'!AE7-'09_dash_E'!AE7</f>
        <v>0</v>
      </c>
      <c r="AF15" s="9">
        <f>'07_E_manual'!AF7-'09_dash_E'!AF7</f>
        <v>-6.2450045135165055E-17</v>
      </c>
      <c r="AG15" s="9">
        <f>'07_E_manual'!AG7-'09_dash_E'!AG7</f>
        <v>0</v>
      </c>
      <c r="AH15" s="9">
        <f>'07_E_manual'!AH7-'09_dash_E'!AH7</f>
        <v>0</v>
      </c>
      <c r="AI15" s="9">
        <f>'07_E_manual'!AI7-'09_dash_E'!AI7</f>
        <v>0</v>
      </c>
    </row>
    <row r="16" spans="1:35" x14ac:dyDescent="0.2">
      <c r="A16" s="12" t="s">
        <v>1372</v>
      </c>
      <c r="B16" s="9">
        <f>'07_E_manual'!B8-'09_dash_E'!B8</f>
        <v>0</v>
      </c>
      <c r="C16" s="9">
        <f>'07_E_manual'!C8-'09_dash_E'!C8</f>
        <v>0</v>
      </c>
      <c r="D16" s="9">
        <f>'07_E_manual'!D8-'09_dash_E'!D8</f>
        <v>0</v>
      </c>
      <c r="E16" s="9">
        <f>'07_E_manual'!E8-'09_dash_E'!E8</f>
        <v>0</v>
      </c>
      <c r="F16" s="9">
        <f>'07_E_manual'!F8-'09_dash_E'!F8</f>
        <v>0</v>
      </c>
      <c r="G16" s="9">
        <f>'07_E_manual'!G8-'09_dash_E'!G8</f>
        <v>0</v>
      </c>
      <c r="H16" s="9">
        <f>'07_E_manual'!H8-'09_dash_E'!H8</f>
        <v>0</v>
      </c>
      <c r="I16" s="9">
        <f>'07_E_manual'!I8-'09_dash_E'!I8</f>
        <v>0</v>
      </c>
      <c r="J16" s="9">
        <f>'07_E_manual'!J8-'09_dash_E'!J8</f>
        <v>0</v>
      </c>
      <c r="K16" s="9">
        <f>'07_E_manual'!K8-'09_dash_E'!K8</f>
        <v>0</v>
      </c>
      <c r="L16" s="9">
        <f>'07_E_manual'!L8-'09_dash_E'!L8</f>
        <v>0</v>
      </c>
      <c r="M16" s="9">
        <f>'07_E_manual'!M8-'09_dash_E'!M8</f>
        <v>0</v>
      </c>
      <c r="N16" s="9">
        <f>'07_E_manual'!N8-'09_dash_E'!N8</f>
        <v>0</v>
      </c>
      <c r="O16" s="9">
        <f>'07_E_manual'!O8-'09_dash_E'!O8</f>
        <v>0</v>
      </c>
      <c r="P16" s="9">
        <f>'07_E_manual'!P8-'09_dash_E'!P8</f>
        <v>0</v>
      </c>
      <c r="Q16" s="9">
        <f>'07_E_manual'!Q8-'09_dash_E'!Q8</f>
        <v>0</v>
      </c>
      <c r="R16" s="9">
        <f>'07_E_manual'!R8-'09_dash_E'!R8</f>
        <v>0</v>
      </c>
      <c r="S16" s="9">
        <f>'07_E_manual'!S8-'09_dash_E'!S8</f>
        <v>0</v>
      </c>
      <c r="T16" s="9">
        <f>'07_E_manual'!T8-'09_dash_E'!T8</f>
        <v>0</v>
      </c>
      <c r="U16" s="9">
        <f>'07_E_manual'!U8-'09_dash_E'!U8</f>
        <v>0</v>
      </c>
      <c r="V16" s="9">
        <f>'07_E_manual'!V8-'09_dash_E'!V8</f>
        <v>0</v>
      </c>
      <c r="W16" s="9">
        <f>'07_E_manual'!W8-'09_dash_E'!W8</f>
        <v>0</v>
      </c>
      <c r="X16" s="9">
        <f>'07_E_manual'!X8-'09_dash_E'!X8</f>
        <v>0</v>
      </c>
      <c r="Y16" s="9">
        <f>'07_E_manual'!Y8-'09_dash_E'!Y8</f>
        <v>0</v>
      </c>
      <c r="Z16" s="9">
        <f>'07_E_manual'!Z8-'09_dash_E'!Z8</f>
        <v>0</v>
      </c>
      <c r="AA16" s="9">
        <f>'07_E_manual'!AA8-'09_dash_E'!AA8</f>
        <v>0</v>
      </c>
      <c r="AB16" s="9">
        <f>'07_E_manual'!AB8-'09_dash_E'!AB8</f>
        <v>0</v>
      </c>
      <c r="AC16" s="9">
        <f>'07_E_manual'!AC8-'09_dash_E'!AC8</f>
        <v>0</v>
      </c>
      <c r="AD16" s="9">
        <f>'07_E_manual'!AD8-'09_dash_E'!AD8</f>
        <v>0</v>
      </c>
      <c r="AE16" s="9">
        <f>'07_E_manual'!AE8-'09_dash_E'!AE8</f>
        <v>0</v>
      </c>
      <c r="AF16" s="9">
        <f>'07_E_manual'!AF8-'09_dash_E'!AF8</f>
        <v>0</v>
      </c>
      <c r="AG16" s="9">
        <f>'07_E_manual'!AG8-'09_dash_E'!AG8</f>
        <v>0</v>
      </c>
      <c r="AH16" s="9">
        <f>'07_E_manual'!AH8-'09_dash_E'!AH8</f>
        <v>0</v>
      </c>
      <c r="AI16" s="9">
        <f>'07_E_manual'!AI8-'09_dash_E'!AI8</f>
        <v>0</v>
      </c>
    </row>
    <row r="17" spans="1:35" x14ac:dyDescent="0.2">
      <c r="A17" s="12" t="s">
        <v>1373</v>
      </c>
      <c r="B17" s="9">
        <f>'07_E_manual'!B9-'09_dash_E'!B9</f>
        <v>0</v>
      </c>
      <c r="C17" s="9">
        <f>'07_E_manual'!C9-'09_dash_E'!C9</f>
        <v>0</v>
      </c>
      <c r="D17" s="9">
        <f>'07_E_manual'!D9-'09_dash_E'!D9</f>
        <v>0</v>
      </c>
      <c r="E17" s="9">
        <f>'07_E_manual'!E9-'09_dash_E'!E9</f>
        <v>0</v>
      </c>
      <c r="F17" s="9">
        <f>'07_E_manual'!F9-'09_dash_E'!F9</f>
        <v>0</v>
      </c>
      <c r="G17" s="9">
        <f>'07_E_manual'!G9-'09_dash_E'!G9</f>
        <v>0</v>
      </c>
      <c r="H17" s="9">
        <f>'07_E_manual'!H9-'09_dash_E'!H9</f>
        <v>0</v>
      </c>
      <c r="I17" s="9">
        <f>'07_E_manual'!I9-'09_dash_E'!I9</f>
        <v>0</v>
      </c>
      <c r="J17" s="9">
        <f>'07_E_manual'!J9-'09_dash_E'!J9</f>
        <v>0</v>
      </c>
      <c r="K17" s="9">
        <f>'07_E_manual'!K9-'09_dash_E'!K9</f>
        <v>0</v>
      </c>
      <c r="L17" s="9">
        <f>'07_E_manual'!L9-'09_dash_E'!L9</f>
        <v>0</v>
      </c>
      <c r="M17" s="9">
        <f>'07_E_manual'!M9-'09_dash_E'!M9</f>
        <v>0</v>
      </c>
      <c r="N17" s="9">
        <f>'07_E_manual'!N9-'09_dash_E'!N9</f>
        <v>0</v>
      </c>
      <c r="O17" s="9">
        <f>'07_E_manual'!O9-'09_dash_E'!O9</f>
        <v>0</v>
      </c>
      <c r="P17" s="9">
        <f>'07_E_manual'!P9-'09_dash_E'!P9</f>
        <v>0</v>
      </c>
      <c r="Q17" s="9">
        <f>'07_E_manual'!Q9-'09_dash_E'!Q9</f>
        <v>0</v>
      </c>
      <c r="R17" s="9">
        <f>'07_E_manual'!R9-'09_dash_E'!R9</f>
        <v>0</v>
      </c>
      <c r="S17" s="9">
        <f>'07_E_manual'!S9-'09_dash_E'!S9</f>
        <v>0</v>
      </c>
      <c r="T17" s="9">
        <f>'07_E_manual'!T9-'09_dash_E'!T9</f>
        <v>0</v>
      </c>
      <c r="U17" s="9">
        <f>'07_E_manual'!U9-'09_dash_E'!U9</f>
        <v>0</v>
      </c>
      <c r="V17" s="9">
        <f>'07_E_manual'!V9-'09_dash_E'!V9</f>
        <v>0</v>
      </c>
      <c r="W17" s="9">
        <f>'07_E_manual'!W9-'09_dash_E'!W9</f>
        <v>0</v>
      </c>
      <c r="X17" s="9">
        <f>'07_E_manual'!X9-'09_dash_E'!X9</f>
        <v>0</v>
      </c>
      <c r="Y17" s="9">
        <f>'07_E_manual'!Y9-'09_dash_E'!Y9</f>
        <v>0</v>
      </c>
      <c r="Z17" s="9">
        <f>'07_E_manual'!Z9-'09_dash_E'!Z9</f>
        <v>0</v>
      </c>
      <c r="AA17" s="9">
        <f>'07_E_manual'!AA9-'09_dash_E'!AA9</f>
        <v>0</v>
      </c>
      <c r="AB17" s="9">
        <f>'07_E_manual'!AB9-'09_dash_E'!AB9</f>
        <v>0</v>
      </c>
      <c r="AC17" s="9">
        <f>'07_E_manual'!AC9-'09_dash_E'!AC9</f>
        <v>0</v>
      </c>
      <c r="AD17" s="9">
        <f>'07_E_manual'!AD9-'09_dash_E'!AD9</f>
        <v>0</v>
      </c>
      <c r="AE17" s="9">
        <f>'07_E_manual'!AE9-'09_dash_E'!AE9</f>
        <v>0</v>
      </c>
      <c r="AF17" s="9">
        <f>'07_E_manual'!AF9-'09_dash_E'!AF9</f>
        <v>0</v>
      </c>
      <c r="AG17" s="9">
        <f>'07_E_manual'!AG9-'09_dash_E'!AG9</f>
        <v>0</v>
      </c>
      <c r="AH17" s="9">
        <f>'07_E_manual'!AH9-'09_dash_E'!AH9</f>
        <v>0</v>
      </c>
      <c r="AI17" s="9">
        <f>'07_E_manual'!AI9-'09_dash_E'!AI9</f>
        <v>0</v>
      </c>
    </row>
    <row r="18" spans="1:35" x14ac:dyDescent="0.2">
      <c r="A18" s="12" t="s">
        <v>1374</v>
      </c>
      <c r="B18" s="9">
        <f>'07_E_manual'!B10-'09_dash_E'!B10</f>
        <v>0</v>
      </c>
      <c r="C18" s="9">
        <f>'07_E_manual'!C10-'09_dash_E'!C10</f>
        <v>0</v>
      </c>
      <c r="D18" s="9">
        <f>'07_E_manual'!D10-'09_dash_E'!D10</f>
        <v>0</v>
      </c>
      <c r="E18" s="9">
        <f>'07_E_manual'!E10-'09_dash_E'!E10</f>
        <v>0</v>
      </c>
      <c r="F18" s="9">
        <f>'07_E_manual'!F10-'09_dash_E'!F10</f>
        <v>0</v>
      </c>
      <c r="G18" s="9">
        <f>'07_E_manual'!G10-'09_dash_E'!G10</f>
        <v>0</v>
      </c>
      <c r="H18" s="9">
        <f>'07_E_manual'!H10-'09_dash_E'!H10</f>
        <v>0</v>
      </c>
      <c r="I18" s="9">
        <f>'07_E_manual'!I10-'09_dash_E'!I10</f>
        <v>0</v>
      </c>
      <c r="J18" s="9">
        <f>'07_E_manual'!J10-'09_dash_E'!J10</f>
        <v>0</v>
      </c>
      <c r="K18" s="9">
        <f>'07_E_manual'!K10-'09_dash_E'!K10</f>
        <v>0</v>
      </c>
      <c r="L18" s="9">
        <f>'07_E_manual'!L10-'09_dash_E'!L10</f>
        <v>0</v>
      </c>
      <c r="M18" s="9">
        <f>'07_E_manual'!M10-'09_dash_E'!M10</f>
        <v>0</v>
      </c>
      <c r="N18" s="9">
        <f>'07_E_manual'!N10-'09_dash_E'!N10</f>
        <v>0</v>
      </c>
      <c r="O18" s="9">
        <f>'07_E_manual'!O10-'09_dash_E'!O10</f>
        <v>0</v>
      </c>
      <c r="P18" s="9">
        <f>'07_E_manual'!P10-'09_dash_E'!P10</f>
        <v>0</v>
      </c>
      <c r="Q18" s="9">
        <f>'07_E_manual'!Q10-'09_dash_E'!Q10</f>
        <v>0</v>
      </c>
      <c r="R18" s="9">
        <f>'07_E_manual'!R10-'09_dash_E'!R10</f>
        <v>0</v>
      </c>
      <c r="S18" s="9">
        <f>'07_E_manual'!S10-'09_dash_E'!S10</f>
        <v>0</v>
      </c>
      <c r="T18" s="9">
        <f>'07_E_manual'!T10-'09_dash_E'!T10</f>
        <v>0</v>
      </c>
      <c r="U18" s="9">
        <f>'07_E_manual'!U10-'09_dash_E'!U10</f>
        <v>0</v>
      </c>
      <c r="V18" s="9">
        <f>'07_E_manual'!V10-'09_dash_E'!V10</f>
        <v>0</v>
      </c>
      <c r="W18" s="9">
        <f>'07_E_manual'!W10-'09_dash_E'!W10</f>
        <v>0</v>
      </c>
      <c r="X18" s="9">
        <f>'07_E_manual'!X10-'09_dash_E'!X10</f>
        <v>0</v>
      </c>
      <c r="Y18" s="9">
        <f>'07_E_manual'!Y10-'09_dash_E'!Y10</f>
        <v>0</v>
      </c>
      <c r="Z18" s="9">
        <f>'07_E_manual'!Z10-'09_dash_E'!Z10</f>
        <v>0</v>
      </c>
      <c r="AA18" s="9">
        <f>'07_E_manual'!AA10-'09_dash_E'!AA10</f>
        <v>0</v>
      </c>
      <c r="AB18" s="9">
        <f>'07_E_manual'!AB10-'09_dash_E'!AB10</f>
        <v>0</v>
      </c>
      <c r="AC18" s="9">
        <f>'07_E_manual'!AC10-'09_dash_E'!AC10</f>
        <v>0</v>
      </c>
      <c r="AD18" s="9">
        <f>'07_E_manual'!AD10-'09_dash_E'!AD10</f>
        <v>0</v>
      </c>
      <c r="AE18" s="9">
        <f>'07_E_manual'!AE10-'09_dash_E'!AE10</f>
        <v>0</v>
      </c>
      <c r="AF18" s="9">
        <f>'07_E_manual'!AF10-'09_dash_E'!AF10</f>
        <v>0</v>
      </c>
      <c r="AG18" s="9">
        <f>'07_E_manual'!AG10-'09_dash_E'!AG10</f>
        <v>0</v>
      </c>
      <c r="AH18" s="9">
        <f>'07_E_manual'!AH10-'09_dash_E'!AH10</f>
        <v>0</v>
      </c>
      <c r="AI18" s="9">
        <f>'07_E_manual'!AI10-'09_dash_E'!AI10</f>
        <v>0</v>
      </c>
    </row>
    <row r="19" spans="1:35" x14ac:dyDescent="0.2">
      <c r="A19" s="12" t="s">
        <v>1375</v>
      </c>
      <c r="B19" s="9">
        <f>'07_E_manual'!B11-'09_dash_E'!B11</f>
        <v>0</v>
      </c>
      <c r="C19" s="9">
        <f>'07_E_manual'!C11-'09_dash_E'!C11</f>
        <v>0</v>
      </c>
      <c r="D19" s="9">
        <f>'07_E_manual'!D11-'09_dash_E'!D11</f>
        <v>0</v>
      </c>
      <c r="E19" s="9">
        <f>'07_E_manual'!E11-'09_dash_E'!E11</f>
        <v>0</v>
      </c>
      <c r="F19" s="9">
        <f>'07_E_manual'!F11-'09_dash_E'!F11</f>
        <v>0</v>
      </c>
      <c r="G19" s="9">
        <f>'07_E_manual'!G11-'09_dash_E'!G11</f>
        <v>0</v>
      </c>
      <c r="H19" s="9">
        <f>'07_E_manual'!H11-'09_dash_E'!H11</f>
        <v>0</v>
      </c>
      <c r="I19" s="9">
        <f>'07_E_manual'!I11-'09_dash_E'!I11</f>
        <v>0</v>
      </c>
      <c r="J19" s="9">
        <f>'07_E_manual'!J11-'09_dash_E'!J11</f>
        <v>0</v>
      </c>
      <c r="K19" s="9">
        <f>'07_E_manual'!K11-'09_dash_E'!K11</f>
        <v>0</v>
      </c>
      <c r="L19" s="9">
        <f>'07_E_manual'!L11-'09_dash_E'!L11</f>
        <v>0</v>
      </c>
      <c r="M19" s="9">
        <f>'07_E_manual'!M11-'09_dash_E'!M11</f>
        <v>0</v>
      </c>
      <c r="N19" s="9">
        <f>'07_E_manual'!N11-'09_dash_E'!N11</f>
        <v>0</v>
      </c>
      <c r="O19" s="9">
        <f>'07_E_manual'!O11-'09_dash_E'!O11</f>
        <v>0</v>
      </c>
      <c r="P19" s="9">
        <f>'07_E_manual'!P11-'09_dash_E'!P11</f>
        <v>0</v>
      </c>
      <c r="Q19" s="9">
        <f>'07_E_manual'!Q11-'09_dash_E'!Q11</f>
        <v>0</v>
      </c>
      <c r="R19" s="9">
        <f>'07_E_manual'!R11-'09_dash_E'!R11</f>
        <v>0</v>
      </c>
      <c r="S19" s="9">
        <f>'07_E_manual'!S11-'09_dash_E'!S11</f>
        <v>0</v>
      </c>
      <c r="T19" s="9">
        <f>'07_E_manual'!T11-'09_dash_E'!T11</f>
        <v>0</v>
      </c>
      <c r="U19" s="9">
        <f>'07_E_manual'!U11-'09_dash_E'!U11</f>
        <v>0</v>
      </c>
      <c r="V19" s="9">
        <f>'07_E_manual'!V11-'09_dash_E'!V11</f>
        <v>0</v>
      </c>
      <c r="W19" s="9">
        <f>'07_E_manual'!W11-'09_dash_E'!W11</f>
        <v>0</v>
      </c>
      <c r="X19" s="9">
        <f>'07_E_manual'!X11-'09_dash_E'!X11</f>
        <v>0</v>
      </c>
      <c r="Y19" s="9">
        <f>'07_E_manual'!Y11-'09_dash_E'!Y11</f>
        <v>0</v>
      </c>
      <c r="Z19" s="9">
        <f>'07_E_manual'!Z11-'09_dash_E'!Z11</f>
        <v>0</v>
      </c>
      <c r="AA19" s="9">
        <f>'07_E_manual'!AA11-'09_dash_E'!AA11</f>
        <v>0</v>
      </c>
      <c r="AB19" s="9">
        <f>'07_E_manual'!AB11-'09_dash_E'!AB11</f>
        <v>0</v>
      </c>
      <c r="AC19" s="9">
        <f>'07_E_manual'!AC11-'09_dash_E'!AC11</f>
        <v>0</v>
      </c>
      <c r="AD19" s="9">
        <f>'07_E_manual'!AD11-'09_dash_E'!AD11</f>
        <v>0</v>
      </c>
      <c r="AE19" s="9">
        <f>'07_E_manual'!AE11-'09_dash_E'!AE11</f>
        <v>0</v>
      </c>
      <c r="AF19" s="9">
        <f>'07_E_manual'!AF11-'09_dash_E'!AF11</f>
        <v>0</v>
      </c>
      <c r="AG19" s="9">
        <f>'07_E_manual'!AG11-'09_dash_E'!AG11</f>
        <v>0</v>
      </c>
      <c r="AH19" s="9">
        <f>'07_E_manual'!AH11-'09_dash_E'!AH11</f>
        <v>0</v>
      </c>
      <c r="AI19" s="9">
        <f>'07_E_manual'!AI11-'09_dash_E'!AI11</f>
        <v>0</v>
      </c>
    </row>
    <row r="20" spans="1:35" x14ac:dyDescent="0.2">
      <c r="A20" s="12" t="s">
        <v>1376</v>
      </c>
      <c r="B20" s="9">
        <f>'07_E_manual'!B12-'09_dash_E'!B12</f>
        <v>0</v>
      </c>
      <c r="C20" s="9">
        <f>'07_E_manual'!C12-'09_dash_E'!C12</f>
        <v>0</v>
      </c>
      <c r="D20" s="9">
        <f>'07_E_manual'!D12-'09_dash_E'!D12</f>
        <v>0</v>
      </c>
      <c r="E20" s="9">
        <f>'07_E_manual'!E12-'09_dash_E'!E12</f>
        <v>0</v>
      </c>
      <c r="F20" s="9">
        <f>'07_E_manual'!F12-'09_dash_E'!F12</f>
        <v>0</v>
      </c>
      <c r="G20" s="9">
        <f>'07_E_manual'!G12-'09_dash_E'!G12</f>
        <v>0</v>
      </c>
      <c r="H20" s="9">
        <f>'07_E_manual'!H12-'09_dash_E'!H12</f>
        <v>0</v>
      </c>
      <c r="I20" s="9">
        <f>'07_E_manual'!I12-'09_dash_E'!I12</f>
        <v>0</v>
      </c>
      <c r="J20" s="9">
        <f>'07_E_manual'!J12-'09_dash_E'!J12</f>
        <v>0</v>
      </c>
      <c r="K20" s="9">
        <f>'07_E_manual'!K12-'09_dash_E'!K12</f>
        <v>0</v>
      </c>
      <c r="L20" s="9">
        <f>'07_E_manual'!L12-'09_dash_E'!L12</f>
        <v>0</v>
      </c>
      <c r="M20" s="9">
        <f>'07_E_manual'!M12-'09_dash_E'!M12</f>
        <v>0</v>
      </c>
      <c r="N20" s="9">
        <f>'07_E_manual'!N12-'09_dash_E'!N12</f>
        <v>0</v>
      </c>
      <c r="O20" s="9">
        <f>'07_E_manual'!O12-'09_dash_E'!O12</f>
        <v>0</v>
      </c>
      <c r="P20" s="9">
        <f>'07_E_manual'!P12-'09_dash_E'!P12</f>
        <v>0</v>
      </c>
      <c r="Q20" s="9">
        <f>'07_E_manual'!Q12-'09_dash_E'!Q12</f>
        <v>0</v>
      </c>
      <c r="R20" s="9">
        <f>'07_E_manual'!R12-'09_dash_E'!R12</f>
        <v>0</v>
      </c>
      <c r="S20" s="9">
        <f>'07_E_manual'!S12-'09_dash_E'!S12</f>
        <v>0</v>
      </c>
      <c r="T20" s="9">
        <f>'07_E_manual'!T12-'09_dash_E'!T12</f>
        <v>0</v>
      </c>
      <c r="U20" s="9">
        <f>'07_E_manual'!U12-'09_dash_E'!U12</f>
        <v>0</v>
      </c>
      <c r="V20" s="9">
        <f>'07_E_manual'!V12-'09_dash_E'!V12</f>
        <v>0</v>
      </c>
      <c r="W20" s="9">
        <f>'07_E_manual'!W12-'09_dash_E'!W12</f>
        <v>0</v>
      </c>
      <c r="X20" s="9">
        <f>'07_E_manual'!X12-'09_dash_E'!X12</f>
        <v>0</v>
      </c>
      <c r="Y20" s="9">
        <f>'07_E_manual'!Y12-'09_dash_E'!Y12</f>
        <v>0</v>
      </c>
      <c r="Z20" s="9">
        <f>'07_E_manual'!Z12-'09_dash_E'!Z12</f>
        <v>0</v>
      </c>
      <c r="AA20" s="9">
        <f>'07_E_manual'!AA12-'09_dash_E'!AA12</f>
        <v>0</v>
      </c>
      <c r="AB20" s="9">
        <f>'07_E_manual'!AB12-'09_dash_E'!AB12</f>
        <v>0</v>
      </c>
      <c r="AC20" s="9">
        <f>'07_E_manual'!AC12-'09_dash_E'!AC12</f>
        <v>0</v>
      </c>
      <c r="AD20" s="9">
        <f>'07_E_manual'!AD12-'09_dash_E'!AD12</f>
        <v>0</v>
      </c>
      <c r="AE20" s="9">
        <f>'07_E_manual'!AE12-'09_dash_E'!AE12</f>
        <v>0</v>
      </c>
      <c r="AF20" s="9">
        <f>'07_E_manual'!AF12-'09_dash_E'!AF12</f>
        <v>0</v>
      </c>
      <c r="AG20" s="9">
        <f>'07_E_manual'!AG12-'09_dash_E'!AG12</f>
        <v>0</v>
      </c>
      <c r="AH20" s="9">
        <f>'07_E_manual'!AH12-'09_dash_E'!AH12</f>
        <v>0</v>
      </c>
      <c r="AI20" s="9">
        <f>'07_E_manual'!AI12-'09_dash_E'!AI12</f>
        <v>0</v>
      </c>
    </row>
    <row r="21" spans="1:35" x14ac:dyDescent="0.2">
      <c r="A21" s="12" t="s">
        <v>1377</v>
      </c>
      <c r="B21" s="9">
        <f>'07_E_manual'!B13-'09_dash_E'!B13</f>
        <v>0</v>
      </c>
      <c r="C21" s="9">
        <f>'07_E_manual'!C13-'09_dash_E'!C13</f>
        <v>0</v>
      </c>
      <c r="D21" s="9">
        <f>'07_E_manual'!D13-'09_dash_E'!D13</f>
        <v>0</v>
      </c>
      <c r="E21" s="9">
        <f>'07_E_manual'!E13-'09_dash_E'!E13</f>
        <v>0</v>
      </c>
      <c r="F21" s="9">
        <f>'07_E_manual'!F13-'09_dash_E'!F13</f>
        <v>0</v>
      </c>
      <c r="G21" s="9">
        <f>'07_E_manual'!G13-'09_dash_E'!G13</f>
        <v>0</v>
      </c>
      <c r="H21" s="9">
        <f>'07_E_manual'!H13-'09_dash_E'!H13</f>
        <v>0</v>
      </c>
      <c r="I21" s="9">
        <f>'07_E_manual'!I13-'09_dash_E'!I13</f>
        <v>0</v>
      </c>
      <c r="J21" s="9">
        <f>'07_E_manual'!J13-'09_dash_E'!J13</f>
        <v>0</v>
      </c>
      <c r="K21" s="9">
        <f>'07_E_manual'!K13-'09_dash_E'!K13</f>
        <v>0</v>
      </c>
      <c r="L21" s="9">
        <f>'07_E_manual'!L13-'09_dash_E'!L13</f>
        <v>0</v>
      </c>
      <c r="M21" s="9">
        <f>'07_E_manual'!M13-'09_dash_E'!M13</f>
        <v>0</v>
      </c>
      <c r="N21" s="9">
        <f>'07_E_manual'!N13-'09_dash_E'!N13</f>
        <v>0</v>
      </c>
      <c r="O21" s="9">
        <f>'07_E_manual'!O13-'09_dash_E'!O13</f>
        <v>0</v>
      </c>
      <c r="P21" s="9">
        <f>'07_E_manual'!P13-'09_dash_E'!P13</f>
        <v>0</v>
      </c>
      <c r="Q21" s="9">
        <f>'07_E_manual'!Q13-'09_dash_E'!Q13</f>
        <v>0</v>
      </c>
      <c r="R21" s="9">
        <f>'07_E_manual'!R13-'09_dash_E'!R13</f>
        <v>0</v>
      </c>
      <c r="S21" s="9">
        <f>'07_E_manual'!S13-'09_dash_E'!S13</f>
        <v>0</v>
      </c>
      <c r="T21" s="9">
        <f>'07_E_manual'!T13-'09_dash_E'!T13</f>
        <v>0</v>
      </c>
      <c r="U21" s="9">
        <f>'07_E_manual'!U13-'09_dash_E'!U13</f>
        <v>0</v>
      </c>
      <c r="V21" s="9">
        <f>'07_E_manual'!V13-'09_dash_E'!V13</f>
        <v>0</v>
      </c>
      <c r="W21" s="9">
        <f>'07_E_manual'!W13-'09_dash_E'!W13</f>
        <v>0</v>
      </c>
      <c r="X21" s="9">
        <f>'07_E_manual'!X13-'09_dash_E'!X13</f>
        <v>0</v>
      </c>
      <c r="Y21" s="9">
        <f>'07_E_manual'!Y13-'09_dash_E'!Y13</f>
        <v>0</v>
      </c>
      <c r="Z21" s="9">
        <f>'07_E_manual'!Z13-'09_dash_E'!Z13</f>
        <v>0</v>
      </c>
      <c r="AA21" s="9">
        <f>'07_E_manual'!AA13-'09_dash_E'!AA13</f>
        <v>0</v>
      </c>
      <c r="AB21" s="9">
        <f>'07_E_manual'!AB13-'09_dash_E'!AB13</f>
        <v>0</v>
      </c>
      <c r="AC21" s="9">
        <f>'07_E_manual'!AC13-'09_dash_E'!AC13</f>
        <v>0</v>
      </c>
      <c r="AD21" s="9">
        <f>'07_E_manual'!AD13-'09_dash_E'!AD13</f>
        <v>0</v>
      </c>
      <c r="AE21" s="9">
        <f>'07_E_manual'!AE13-'09_dash_E'!AE13</f>
        <v>0</v>
      </c>
      <c r="AF21" s="9">
        <f>'07_E_manual'!AF13-'09_dash_E'!AF13</f>
        <v>0</v>
      </c>
      <c r="AG21" s="9">
        <f>'07_E_manual'!AG13-'09_dash_E'!AG13</f>
        <v>0</v>
      </c>
      <c r="AH21" s="9">
        <f>'07_E_manual'!AH13-'09_dash_E'!AH13</f>
        <v>0</v>
      </c>
      <c r="AI21" s="9">
        <f>'07_E_manual'!AI13-'09_dash_E'!AI13</f>
        <v>0</v>
      </c>
    </row>
    <row r="22" spans="1:35" x14ac:dyDescent="0.2">
      <c r="A22" s="12" t="s">
        <v>1378</v>
      </c>
      <c r="B22" s="9">
        <f>'07_E_manual'!B14-'09_dash_E'!B14</f>
        <v>0</v>
      </c>
      <c r="C22" s="9">
        <f>'07_E_manual'!C14-'09_dash_E'!C14</f>
        <v>0</v>
      </c>
      <c r="D22" s="9">
        <f>'07_E_manual'!D14-'09_dash_E'!D14</f>
        <v>0</v>
      </c>
      <c r="E22" s="9">
        <f>'07_E_manual'!E14-'09_dash_E'!E14</f>
        <v>0</v>
      </c>
      <c r="F22" s="9">
        <f>'07_E_manual'!F14-'09_dash_E'!F14</f>
        <v>0</v>
      </c>
      <c r="G22" s="9">
        <f>'07_E_manual'!G14-'09_dash_E'!G14</f>
        <v>0</v>
      </c>
      <c r="H22" s="9">
        <f>'07_E_manual'!H14-'09_dash_E'!H14</f>
        <v>0</v>
      </c>
      <c r="I22" s="9">
        <f>'07_E_manual'!I14-'09_dash_E'!I14</f>
        <v>0</v>
      </c>
      <c r="J22" s="9">
        <f>'07_E_manual'!J14-'09_dash_E'!J14</f>
        <v>0</v>
      </c>
      <c r="K22" s="9">
        <f>'07_E_manual'!K14-'09_dash_E'!K14</f>
        <v>0</v>
      </c>
      <c r="L22" s="9">
        <f>'07_E_manual'!L14-'09_dash_E'!L14</f>
        <v>0</v>
      </c>
      <c r="M22" s="9">
        <f>'07_E_manual'!M14-'09_dash_E'!M14</f>
        <v>0</v>
      </c>
      <c r="N22" s="9">
        <f>'07_E_manual'!N14-'09_dash_E'!N14</f>
        <v>0</v>
      </c>
      <c r="O22" s="9">
        <f>'07_E_manual'!O14-'09_dash_E'!O14</f>
        <v>0</v>
      </c>
      <c r="P22" s="9">
        <f>'07_E_manual'!P14-'09_dash_E'!P14</f>
        <v>0</v>
      </c>
      <c r="Q22" s="9">
        <f>'07_E_manual'!Q14-'09_dash_E'!Q14</f>
        <v>0</v>
      </c>
      <c r="R22" s="9">
        <f>'07_E_manual'!R14-'09_dash_E'!R14</f>
        <v>0</v>
      </c>
      <c r="S22" s="9">
        <f>'07_E_manual'!S14-'09_dash_E'!S14</f>
        <v>0</v>
      </c>
      <c r="T22" s="9">
        <f>'07_E_manual'!T14-'09_dash_E'!T14</f>
        <v>0</v>
      </c>
      <c r="U22" s="9">
        <f>'07_E_manual'!U14-'09_dash_E'!U14</f>
        <v>0</v>
      </c>
      <c r="V22" s="9">
        <f>'07_E_manual'!V14-'09_dash_E'!V14</f>
        <v>0</v>
      </c>
      <c r="W22" s="9">
        <f>'07_E_manual'!W14-'09_dash_E'!W14</f>
        <v>0</v>
      </c>
      <c r="X22" s="9">
        <f>'07_E_manual'!X14-'09_dash_E'!X14</f>
        <v>0</v>
      </c>
      <c r="Y22" s="9">
        <f>'07_E_manual'!Y14-'09_dash_E'!Y14</f>
        <v>0</v>
      </c>
      <c r="Z22" s="9">
        <f>'07_E_manual'!Z14-'09_dash_E'!Z14</f>
        <v>0</v>
      </c>
      <c r="AA22" s="9">
        <f>'07_E_manual'!AA14-'09_dash_E'!AA14</f>
        <v>0</v>
      </c>
      <c r="AB22" s="9">
        <f>'07_E_manual'!AB14-'09_dash_E'!AB14</f>
        <v>0</v>
      </c>
      <c r="AC22" s="9">
        <f>'07_E_manual'!AC14-'09_dash_E'!AC14</f>
        <v>0</v>
      </c>
      <c r="AD22" s="9">
        <f>'07_E_manual'!AD14-'09_dash_E'!AD14</f>
        <v>0</v>
      </c>
      <c r="AE22" s="9">
        <f>'07_E_manual'!AE14-'09_dash_E'!AE14</f>
        <v>0</v>
      </c>
      <c r="AF22" s="9">
        <f>'07_E_manual'!AF14-'09_dash_E'!AF14</f>
        <v>0</v>
      </c>
      <c r="AG22" s="9">
        <f>'07_E_manual'!AG14-'09_dash_E'!AG14</f>
        <v>0</v>
      </c>
      <c r="AH22" s="9">
        <f>'07_E_manual'!AH14-'09_dash_E'!AH14</f>
        <v>0</v>
      </c>
      <c r="AI22" s="9">
        <f>'07_E_manual'!AI14-'09_dash_E'!AI14</f>
        <v>0</v>
      </c>
    </row>
    <row r="23" spans="1:35" x14ac:dyDescent="0.2">
      <c r="A23" s="12" t="s">
        <v>1379</v>
      </c>
      <c r="B23" s="9">
        <f>'07_E_manual'!B15-'09_dash_E'!B15</f>
        <v>0</v>
      </c>
      <c r="C23" s="9">
        <f>'07_E_manual'!C15-'09_dash_E'!C15</f>
        <v>0</v>
      </c>
      <c r="D23" s="9">
        <f>'07_E_manual'!D15-'09_dash_E'!D15</f>
        <v>0</v>
      </c>
      <c r="E23" s="9">
        <f>'07_E_manual'!E15-'09_dash_E'!E15</f>
        <v>0</v>
      </c>
      <c r="F23" s="9">
        <f>'07_E_manual'!F15-'09_dash_E'!F15</f>
        <v>0</v>
      </c>
      <c r="G23" s="9">
        <f>'07_E_manual'!G15-'09_dash_E'!G15</f>
        <v>0</v>
      </c>
      <c r="H23" s="9">
        <f>'07_E_manual'!H15-'09_dash_E'!H15</f>
        <v>0</v>
      </c>
      <c r="I23" s="9">
        <f>'07_E_manual'!I15-'09_dash_E'!I15</f>
        <v>0</v>
      </c>
      <c r="J23" s="9">
        <f>'07_E_manual'!J15-'09_dash_E'!J15</f>
        <v>-1.3877787807814457E-17</v>
      </c>
      <c r="K23" s="9">
        <f>'07_E_manual'!K15-'09_dash_E'!K15</f>
        <v>0</v>
      </c>
      <c r="L23" s="9">
        <f>'07_E_manual'!L15-'09_dash_E'!L15</f>
        <v>0</v>
      </c>
      <c r="M23" s="9">
        <f>'07_E_manual'!M15-'09_dash_E'!M15</f>
        <v>0</v>
      </c>
      <c r="N23" s="9">
        <f>'07_E_manual'!N15-'09_dash_E'!N15</f>
        <v>0</v>
      </c>
      <c r="O23" s="9">
        <f>'07_E_manual'!O15-'09_dash_E'!O15</f>
        <v>0</v>
      </c>
      <c r="P23" s="9">
        <f>'07_E_manual'!P15-'09_dash_E'!P15</f>
        <v>0</v>
      </c>
      <c r="Q23" s="9">
        <f>'07_E_manual'!Q15-'09_dash_E'!Q15</f>
        <v>0</v>
      </c>
      <c r="R23" s="9">
        <f>'07_E_manual'!R15-'09_dash_E'!R15</f>
        <v>0</v>
      </c>
      <c r="S23" s="9">
        <f>'07_E_manual'!S15-'09_dash_E'!S15</f>
        <v>0</v>
      </c>
      <c r="T23" s="9">
        <f>'07_E_manual'!T15-'09_dash_E'!T15</f>
        <v>0</v>
      </c>
      <c r="U23" s="9">
        <f>'07_E_manual'!U15-'09_dash_E'!U15</f>
        <v>0</v>
      </c>
      <c r="V23" s="9">
        <f>'07_E_manual'!V15-'09_dash_E'!V15</f>
        <v>0</v>
      </c>
      <c r="W23" s="9">
        <f>'07_E_manual'!W15-'09_dash_E'!W15</f>
        <v>0</v>
      </c>
      <c r="X23" s="9">
        <f>'07_E_manual'!X15-'09_dash_E'!X15</f>
        <v>0</v>
      </c>
      <c r="Y23" s="9">
        <f>'07_E_manual'!Y15-'09_dash_E'!Y15</f>
        <v>0</v>
      </c>
      <c r="Z23" s="9">
        <f>'07_E_manual'!Z15-'09_dash_E'!Z15</f>
        <v>0</v>
      </c>
      <c r="AA23" s="9">
        <f>'07_E_manual'!AA15-'09_dash_E'!AA15</f>
        <v>0</v>
      </c>
      <c r="AB23" s="9">
        <f>'07_E_manual'!AB15-'09_dash_E'!AB15</f>
        <v>0</v>
      </c>
      <c r="AC23" s="9">
        <f>'07_E_manual'!AC15-'09_dash_E'!AC15</f>
        <v>0</v>
      </c>
      <c r="AD23" s="9">
        <f>'07_E_manual'!AD15-'09_dash_E'!AD15</f>
        <v>0</v>
      </c>
      <c r="AE23" s="9">
        <f>'07_E_manual'!AE15-'09_dash_E'!AE15</f>
        <v>0</v>
      </c>
      <c r="AF23" s="9">
        <f>'07_E_manual'!AF15-'09_dash_E'!AF15</f>
        <v>0</v>
      </c>
      <c r="AG23" s="9">
        <f>'07_E_manual'!AG15-'09_dash_E'!AG15</f>
        <v>0</v>
      </c>
      <c r="AH23" s="9">
        <f>'07_E_manual'!AH15-'09_dash_E'!AH15</f>
        <v>0</v>
      </c>
      <c r="AI23" s="9">
        <f>'07_E_manual'!AI15-'09_dash_E'!AI15</f>
        <v>0</v>
      </c>
    </row>
    <row r="24" spans="1:35" x14ac:dyDescent="0.2">
      <c r="A24" s="12" t="s">
        <v>1380</v>
      </c>
      <c r="B24" s="9">
        <f>'07_E_manual'!B16-'09_dash_E'!B16</f>
        <v>0</v>
      </c>
      <c r="C24" s="9">
        <f>'07_E_manual'!C16-'09_dash_E'!C16</f>
        <v>-2.4980018054066022E-16</v>
      </c>
      <c r="D24" s="9">
        <f>'07_E_manual'!D16-'09_dash_E'!D16</f>
        <v>0</v>
      </c>
      <c r="E24" s="9">
        <f>'07_E_manual'!E16-'09_dash_E'!E16</f>
        <v>-1.1102230246251565E-16</v>
      </c>
      <c r="F24" s="9">
        <f>'07_E_manual'!F16-'09_dash_E'!F16</f>
        <v>0</v>
      </c>
      <c r="G24" s="9">
        <f>'07_E_manual'!G16-'09_dash_E'!G16</f>
        <v>0</v>
      </c>
      <c r="H24" s="9">
        <f>'07_E_manual'!H16-'09_dash_E'!H16</f>
        <v>0</v>
      </c>
      <c r="I24" s="9">
        <f>'07_E_manual'!I16-'09_dash_E'!I16</f>
        <v>0</v>
      </c>
      <c r="J24" s="9">
        <f>'07_E_manual'!J16-'09_dash_E'!J16</f>
        <v>0</v>
      </c>
      <c r="K24" s="9">
        <f>'07_E_manual'!K16-'09_dash_E'!K16</f>
        <v>0</v>
      </c>
      <c r="L24" s="9">
        <f>'07_E_manual'!L16-'09_dash_E'!L16</f>
        <v>0</v>
      </c>
      <c r="M24" s="9">
        <f>'07_E_manual'!M16-'09_dash_E'!M16</f>
        <v>0</v>
      </c>
      <c r="N24" s="9">
        <f>'07_E_manual'!N16-'09_dash_E'!N16</f>
        <v>0</v>
      </c>
      <c r="O24" s="9">
        <f>'07_E_manual'!O16-'09_dash_E'!O16</f>
        <v>0</v>
      </c>
      <c r="P24" s="9">
        <f>'07_E_manual'!P16-'09_dash_E'!P16</f>
        <v>0</v>
      </c>
      <c r="Q24" s="9">
        <f>'07_E_manual'!Q16-'09_dash_E'!Q16</f>
        <v>0</v>
      </c>
      <c r="R24" s="9">
        <f>'07_E_manual'!R16-'09_dash_E'!R16</f>
        <v>0</v>
      </c>
      <c r="S24" s="9">
        <f>'07_E_manual'!S16-'09_dash_E'!S16</f>
        <v>0</v>
      </c>
      <c r="T24" s="9">
        <f>'07_E_manual'!T16-'09_dash_E'!T16</f>
        <v>0</v>
      </c>
      <c r="U24" s="9">
        <f>'07_E_manual'!U16-'09_dash_E'!U16</f>
        <v>0</v>
      </c>
      <c r="V24" s="9">
        <f>'07_E_manual'!V16-'09_dash_E'!V16</f>
        <v>0</v>
      </c>
      <c r="W24" s="9">
        <f>'07_E_manual'!W16-'09_dash_E'!W16</f>
        <v>0</v>
      </c>
      <c r="X24" s="9">
        <f>'07_E_manual'!X16-'09_dash_E'!X16</f>
        <v>0</v>
      </c>
      <c r="Y24" s="9">
        <f>'07_E_manual'!Y16-'09_dash_E'!Y16</f>
        <v>0</v>
      </c>
      <c r="Z24" s="9">
        <f>'07_E_manual'!Z16-'09_dash_E'!Z16</f>
        <v>0</v>
      </c>
      <c r="AA24" s="9">
        <f>'07_E_manual'!AA16-'09_dash_E'!AA16</f>
        <v>0</v>
      </c>
      <c r="AB24" s="9">
        <f>'07_E_manual'!AB16-'09_dash_E'!AB16</f>
        <v>0</v>
      </c>
      <c r="AC24" s="9">
        <f>'07_E_manual'!AC16-'09_dash_E'!AC16</f>
        <v>0</v>
      </c>
      <c r="AD24" s="9">
        <f>'07_E_manual'!AD16-'09_dash_E'!AD16</f>
        <v>0</v>
      </c>
      <c r="AE24" s="9">
        <f>'07_E_manual'!AE16-'09_dash_E'!AE16</f>
        <v>0</v>
      </c>
      <c r="AF24" s="9">
        <f>'07_E_manual'!AF16-'09_dash_E'!AF16</f>
        <v>0</v>
      </c>
      <c r="AG24" s="9">
        <f>'07_E_manual'!AG16-'09_dash_E'!AG16</f>
        <v>0</v>
      </c>
      <c r="AH24" s="9">
        <f>'07_E_manual'!AH16-'09_dash_E'!AH16</f>
        <v>0</v>
      </c>
      <c r="AI24" s="9">
        <f>'07_E_manual'!AI16-'09_dash_E'!AI16</f>
        <v>0</v>
      </c>
    </row>
    <row r="25" spans="1:35" x14ac:dyDescent="0.2">
      <c r="A25" s="12" t="s">
        <v>1381</v>
      </c>
      <c r="B25" s="9">
        <f>'07_E_manual'!B17-'09_dash_E'!B17</f>
        <v>0</v>
      </c>
      <c r="C25" s="9">
        <f>'07_E_manual'!C17-'09_dash_E'!C17</f>
        <v>0</v>
      </c>
      <c r="D25" s="9">
        <f>'07_E_manual'!D17-'09_dash_E'!D17</f>
        <v>0</v>
      </c>
      <c r="E25" s="9">
        <f>'07_E_manual'!E17-'09_dash_E'!E17</f>
        <v>0</v>
      </c>
      <c r="F25" s="9">
        <f>'07_E_manual'!F17-'09_dash_E'!F17</f>
        <v>0</v>
      </c>
      <c r="G25" s="9">
        <f>'07_E_manual'!G17-'09_dash_E'!G17</f>
        <v>0</v>
      </c>
      <c r="H25" s="9">
        <f>'07_E_manual'!H17-'09_dash_E'!H17</f>
        <v>0</v>
      </c>
      <c r="I25" s="9">
        <f>'07_E_manual'!I17-'09_dash_E'!I17</f>
        <v>0</v>
      </c>
      <c r="J25" s="9">
        <f>'07_E_manual'!J17-'09_dash_E'!J17</f>
        <v>0</v>
      </c>
      <c r="K25" s="9">
        <f>'07_E_manual'!K17-'09_dash_E'!K17</f>
        <v>0</v>
      </c>
      <c r="L25" s="9">
        <f>'07_E_manual'!L17-'09_dash_E'!L17</f>
        <v>0</v>
      </c>
      <c r="M25" s="9">
        <f>'07_E_manual'!M17-'09_dash_E'!M17</f>
        <v>0</v>
      </c>
      <c r="N25" s="9">
        <f>'07_E_manual'!N17-'09_dash_E'!N17</f>
        <v>0</v>
      </c>
      <c r="O25" s="9">
        <f>'07_E_manual'!O17-'09_dash_E'!O17</f>
        <v>0</v>
      </c>
      <c r="P25" s="9">
        <f>'07_E_manual'!P17-'09_dash_E'!P17</f>
        <v>0</v>
      </c>
      <c r="Q25" s="9">
        <f>'07_E_manual'!Q17-'09_dash_E'!Q17</f>
        <v>0</v>
      </c>
      <c r="R25" s="9">
        <f>'07_E_manual'!R17-'09_dash_E'!R17</f>
        <v>0</v>
      </c>
      <c r="S25" s="9">
        <f>'07_E_manual'!S17-'09_dash_E'!S17</f>
        <v>0</v>
      </c>
      <c r="T25" s="9">
        <f>'07_E_manual'!T17-'09_dash_E'!T17</f>
        <v>0</v>
      </c>
      <c r="U25" s="9">
        <f>'07_E_manual'!U17-'09_dash_E'!U17</f>
        <v>0</v>
      </c>
      <c r="V25" s="9">
        <f>'07_E_manual'!V17-'09_dash_E'!V17</f>
        <v>0</v>
      </c>
      <c r="W25" s="9">
        <f>'07_E_manual'!W17-'09_dash_E'!W17</f>
        <v>0</v>
      </c>
      <c r="X25" s="9">
        <f>'07_E_manual'!X17-'09_dash_E'!X17</f>
        <v>0</v>
      </c>
      <c r="Y25" s="9">
        <f>'07_E_manual'!Y17-'09_dash_E'!Y17</f>
        <v>0</v>
      </c>
      <c r="Z25" s="9">
        <f>'07_E_manual'!Z17-'09_dash_E'!Z17</f>
        <v>0</v>
      </c>
      <c r="AA25" s="9">
        <f>'07_E_manual'!AA17-'09_dash_E'!AA17</f>
        <v>0</v>
      </c>
      <c r="AB25" s="9">
        <f>'07_E_manual'!AB17-'09_dash_E'!AB17</f>
        <v>0</v>
      </c>
      <c r="AC25" s="9">
        <f>'07_E_manual'!AC17-'09_dash_E'!AC17</f>
        <v>0</v>
      </c>
      <c r="AD25" s="9">
        <f>'07_E_manual'!AD17-'09_dash_E'!AD17</f>
        <v>0</v>
      </c>
      <c r="AE25" s="9">
        <f>'07_E_manual'!AE17-'09_dash_E'!AE17</f>
        <v>0</v>
      </c>
      <c r="AF25" s="9">
        <f>'07_E_manual'!AF17-'09_dash_E'!AF17</f>
        <v>0</v>
      </c>
      <c r="AG25" s="9">
        <f>'07_E_manual'!AG17-'09_dash_E'!AG17</f>
        <v>0</v>
      </c>
      <c r="AH25" s="9">
        <f>'07_E_manual'!AH17-'09_dash_E'!AH17</f>
        <v>0</v>
      </c>
      <c r="AI25" s="9">
        <f>'07_E_manual'!AI17-'09_dash_E'!AI17</f>
        <v>0</v>
      </c>
    </row>
    <row r="26" spans="1:35" x14ac:dyDescent="0.2">
      <c r="A26" s="12" t="s">
        <v>1382</v>
      </c>
      <c r="B26" s="9">
        <f>'07_E_manual'!B18-'09_dash_E'!B18</f>
        <v>0</v>
      </c>
      <c r="C26" s="9">
        <f>'07_E_manual'!C18-'09_dash_E'!C18</f>
        <v>0</v>
      </c>
      <c r="D26" s="9">
        <f>'07_E_manual'!D18-'09_dash_E'!D18</f>
        <v>0</v>
      </c>
      <c r="E26" s="9">
        <f>'07_E_manual'!E18-'09_dash_E'!E18</f>
        <v>0</v>
      </c>
      <c r="F26" s="9">
        <f>'07_E_manual'!F18-'09_dash_E'!F18</f>
        <v>0</v>
      </c>
      <c r="G26" s="9">
        <f>'07_E_manual'!G18-'09_dash_E'!G18</f>
        <v>0</v>
      </c>
      <c r="H26" s="9">
        <f>'07_E_manual'!H18-'09_dash_E'!H18</f>
        <v>0</v>
      </c>
      <c r="I26" s="9">
        <f>'07_E_manual'!I18-'09_dash_E'!I18</f>
        <v>0</v>
      </c>
      <c r="J26" s="9">
        <f>'07_E_manual'!J18-'09_dash_E'!J18</f>
        <v>0</v>
      </c>
      <c r="K26" s="9">
        <f>'07_E_manual'!K18-'09_dash_E'!K18</f>
        <v>0</v>
      </c>
      <c r="L26" s="9">
        <f>'07_E_manual'!L18-'09_dash_E'!L18</f>
        <v>0</v>
      </c>
      <c r="M26" s="9">
        <f>'07_E_manual'!M18-'09_dash_E'!M18</f>
        <v>0</v>
      </c>
      <c r="N26" s="9">
        <f>'07_E_manual'!N18-'09_dash_E'!N18</f>
        <v>0</v>
      </c>
      <c r="O26" s="9">
        <f>'07_E_manual'!O18-'09_dash_E'!O18</f>
        <v>0</v>
      </c>
      <c r="P26" s="9">
        <f>'07_E_manual'!P18-'09_dash_E'!P18</f>
        <v>0</v>
      </c>
      <c r="Q26" s="9">
        <f>'07_E_manual'!Q18-'09_dash_E'!Q18</f>
        <v>0</v>
      </c>
      <c r="R26" s="9">
        <f>'07_E_manual'!R18-'09_dash_E'!R18</f>
        <v>0</v>
      </c>
      <c r="S26" s="9">
        <f>'07_E_manual'!S18-'09_dash_E'!S18</f>
        <v>0</v>
      </c>
      <c r="T26" s="9">
        <f>'07_E_manual'!T18-'09_dash_E'!T18</f>
        <v>0</v>
      </c>
      <c r="U26" s="9">
        <f>'07_E_manual'!U18-'09_dash_E'!U18</f>
        <v>0</v>
      </c>
      <c r="V26" s="9">
        <f>'07_E_manual'!V18-'09_dash_E'!V18</f>
        <v>0</v>
      </c>
      <c r="W26" s="9">
        <f>'07_E_manual'!W18-'09_dash_E'!W18</f>
        <v>0</v>
      </c>
      <c r="X26" s="9">
        <f>'07_E_manual'!X18-'09_dash_E'!X18</f>
        <v>0</v>
      </c>
      <c r="Y26" s="9">
        <f>'07_E_manual'!Y18-'09_dash_E'!Y18</f>
        <v>0</v>
      </c>
      <c r="Z26" s="9">
        <f>'07_E_manual'!Z18-'09_dash_E'!Z18</f>
        <v>0</v>
      </c>
      <c r="AA26" s="9">
        <f>'07_E_manual'!AA18-'09_dash_E'!AA18</f>
        <v>0</v>
      </c>
      <c r="AB26" s="9">
        <f>'07_E_manual'!AB18-'09_dash_E'!AB18</f>
        <v>0</v>
      </c>
      <c r="AC26" s="9">
        <f>'07_E_manual'!AC18-'09_dash_E'!AC18</f>
        <v>0</v>
      </c>
      <c r="AD26" s="9">
        <f>'07_E_manual'!AD18-'09_dash_E'!AD18</f>
        <v>0</v>
      </c>
      <c r="AE26" s="9">
        <f>'07_E_manual'!AE18-'09_dash_E'!AE18</f>
        <v>0</v>
      </c>
      <c r="AF26" s="9">
        <f>'07_E_manual'!AF18-'09_dash_E'!AF18</f>
        <v>0</v>
      </c>
      <c r="AG26" s="9">
        <f>'07_E_manual'!AG18-'09_dash_E'!AG18</f>
        <v>0</v>
      </c>
      <c r="AH26" s="9">
        <f>'07_E_manual'!AH18-'09_dash_E'!AH18</f>
        <v>0</v>
      </c>
      <c r="AI26" s="9">
        <f>'07_E_manual'!AI18-'09_dash_E'!AI18</f>
        <v>0</v>
      </c>
    </row>
    <row r="27" spans="1:35" x14ac:dyDescent="0.2">
      <c r="A27" s="12" t="s">
        <v>1383</v>
      </c>
      <c r="B27" s="9">
        <f>'07_E_manual'!B19-'09_dash_E'!B19</f>
        <v>0</v>
      </c>
      <c r="C27" s="9">
        <f>'07_E_manual'!C19-'09_dash_E'!C19</f>
        <v>0</v>
      </c>
      <c r="D27" s="9">
        <f>'07_E_manual'!D19-'09_dash_E'!D19</f>
        <v>0</v>
      </c>
      <c r="E27" s="9">
        <f>'07_E_manual'!E19-'09_dash_E'!E19</f>
        <v>0</v>
      </c>
      <c r="F27" s="9">
        <f>'07_E_manual'!F19-'09_dash_E'!F19</f>
        <v>0</v>
      </c>
      <c r="G27" s="9">
        <f>'07_E_manual'!G19-'09_dash_E'!G19</f>
        <v>0</v>
      </c>
      <c r="H27" s="9">
        <f>'07_E_manual'!H19-'09_dash_E'!H19</f>
        <v>0</v>
      </c>
      <c r="I27" s="9">
        <f>'07_E_manual'!I19-'09_dash_E'!I19</f>
        <v>0</v>
      </c>
      <c r="J27" s="9">
        <f>'07_E_manual'!J19-'09_dash_E'!J19</f>
        <v>0</v>
      </c>
      <c r="K27" s="9">
        <f>'07_E_manual'!K19-'09_dash_E'!K19</f>
        <v>0</v>
      </c>
      <c r="L27" s="9">
        <f>'07_E_manual'!L19-'09_dash_E'!L19</f>
        <v>0</v>
      </c>
      <c r="M27" s="9">
        <f>'07_E_manual'!M19-'09_dash_E'!M19</f>
        <v>0</v>
      </c>
      <c r="N27" s="9">
        <f>'07_E_manual'!N19-'09_dash_E'!N19</f>
        <v>0</v>
      </c>
      <c r="O27" s="9">
        <f>'07_E_manual'!O19-'09_dash_E'!O19</f>
        <v>0</v>
      </c>
      <c r="P27" s="9">
        <f>'07_E_manual'!P19-'09_dash_E'!P19</f>
        <v>0</v>
      </c>
      <c r="Q27" s="9">
        <f>'07_E_manual'!Q19-'09_dash_E'!Q19</f>
        <v>0</v>
      </c>
      <c r="R27" s="9">
        <f>'07_E_manual'!R19-'09_dash_E'!R19</f>
        <v>0</v>
      </c>
      <c r="S27" s="9">
        <f>'07_E_manual'!S19-'09_dash_E'!S19</f>
        <v>0</v>
      </c>
      <c r="T27" s="9">
        <f>'07_E_manual'!T19-'09_dash_E'!T19</f>
        <v>0</v>
      </c>
      <c r="U27" s="9">
        <f>'07_E_manual'!U19-'09_dash_E'!U19</f>
        <v>0</v>
      </c>
      <c r="V27" s="9">
        <f>'07_E_manual'!V19-'09_dash_E'!V19</f>
        <v>0</v>
      </c>
      <c r="W27" s="9">
        <f>'07_E_manual'!W19-'09_dash_E'!W19</f>
        <v>0</v>
      </c>
      <c r="X27" s="9">
        <f>'07_E_manual'!X19-'09_dash_E'!X19</f>
        <v>0</v>
      </c>
      <c r="Y27" s="9">
        <f>'07_E_manual'!Y19-'09_dash_E'!Y19</f>
        <v>0</v>
      </c>
      <c r="Z27" s="9">
        <f>'07_E_manual'!Z19-'09_dash_E'!Z19</f>
        <v>0</v>
      </c>
      <c r="AA27" s="9">
        <f>'07_E_manual'!AA19-'09_dash_E'!AA19</f>
        <v>0</v>
      </c>
      <c r="AB27" s="9">
        <f>'07_E_manual'!AB19-'09_dash_E'!AB19</f>
        <v>0</v>
      </c>
      <c r="AC27" s="9">
        <f>'07_E_manual'!AC19-'09_dash_E'!AC19</f>
        <v>0</v>
      </c>
      <c r="AD27" s="9">
        <f>'07_E_manual'!AD19-'09_dash_E'!AD19</f>
        <v>0</v>
      </c>
      <c r="AE27" s="9">
        <f>'07_E_manual'!AE19-'09_dash_E'!AE19</f>
        <v>0</v>
      </c>
      <c r="AF27" s="9">
        <f>'07_E_manual'!AF19-'09_dash_E'!AF19</f>
        <v>0</v>
      </c>
      <c r="AG27" s="9">
        <f>'07_E_manual'!AG19-'09_dash_E'!AG19</f>
        <v>0</v>
      </c>
      <c r="AH27" s="9">
        <f>'07_E_manual'!AH19-'09_dash_E'!AH19</f>
        <v>0</v>
      </c>
      <c r="AI27" s="9">
        <f>'07_E_manual'!AI19-'09_dash_E'!AI19</f>
        <v>0</v>
      </c>
    </row>
    <row r="28" spans="1:35" x14ac:dyDescent="0.2">
      <c r="A28" s="12" t="s">
        <v>1384</v>
      </c>
      <c r="B28" s="9">
        <f>'07_E_manual'!B20-'09_dash_E'!B20</f>
        <v>-3.4694469519536142E-17</v>
      </c>
      <c r="C28" s="9">
        <f>'07_E_manual'!C20-'09_dash_E'!C20</f>
        <v>0</v>
      </c>
      <c r="D28" s="9">
        <f>'07_E_manual'!D20-'09_dash_E'!D20</f>
        <v>0</v>
      </c>
      <c r="E28" s="9">
        <f>'07_E_manual'!E20-'09_dash_E'!E20</f>
        <v>0</v>
      </c>
      <c r="F28" s="9">
        <f>'07_E_manual'!F20-'09_dash_E'!F20</f>
        <v>-1.7347234759768071E-17</v>
      </c>
      <c r="G28" s="9">
        <f>'07_E_manual'!G20-'09_dash_E'!G20</f>
        <v>-3.1225022567582528E-17</v>
      </c>
      <c r="H28" s="9">
        <f>'07_E_manual'!H20-'09_dash_E'!H20</f>
        <v>-4.3368086899420177E-18</v>
      </c>
      <c r="I28" s="9">
        <f>'07_E_manual'!I20-'09_dash_E'!I20</f>
        <v>0</v>
      </c>
      <c r="J28" s="9">
        <f>'07_E_manual'!J20-'09_dash_E'!J20</f>
        <v>-5.2041704279304213E-18</v>
      </c>
      <c r="K28" s="9">
        <f>'07_E_manual'!K20-'09_dash_E'!K20</f>
        <v>-1.4094628242311558E-18</v>
      </c>
      <c r="L28" s="9">
        <f>'07_E_manual'!L20-'09_dash_E'!L20</f>
        <v>0</v>
      </c>
      <c r="M28" s="9">
        <f>'07_E_manual'!M20-'09_dash_E'!M20</f>
        <v>0</v>
      </c>
      <c r="N28" s="9">
        <f>'07_E_manual'!N20-'09_dash_E'!N20</f>
        <v>-9.9920072216264089E-16</v>
      </c>
      <c r="O28" s="9">
        <f>'07_E_manual'!O20-'09_dash_E'!O20</f>
        <v>0</v>
      </c>
      <c r="P28" s="9">
        <f>'07_E_manual'!P20-'09_dash_E'!P20</f>
        <v>-1.2212453270876722E-15</v>
      </c>
      <c r="Q28" s="9">
        <f>'07_E_manual'!Q20-'09_dash_E'!Q20</f>
        <v>0</v>
      </c>
      <c r="R28" s="9">
        <f>'07_E_manual'!R20-'09_dash_E'!R20</f>
        <v>0</v>
      </c>
      <c r="S28" s="9">
        <f>'07_E_manual'!S20-'09_dash_E'!S20</f>
        <v>0</v>
      </c>
      <c r="T28" s="9">
        <f>'07_E_manual'!T20-'09_dash_E'!T20</f>
        <v>-4.163336342344337E-17</v>
      </c>
      <c r="U28" s="9">
        <f>'07_E_manual'!U20-'09_dash_E'!U20</f>
        <v>0</v>
      </c>
      <c r="V28" s="9">
        <f>'07_E_manual'!V20-'09_dash_E'!V20</f>
        <v>0</v>
      </c>
      <c r="W28" s="9">
        <f>'07_E_manual'!W20-'09_dash_E'!W20</f>
        <v>0</v>
      </c>
      <c r="X28" s="9">
        <f>'07_E_manual'!X20-'09_dash_E'!X20</f>
        <v>-1.7347234759768071E-17</v>
      </c>
      <c r="Y28" s="9">
        <f>'07_E_manual'!Y20-'09_dash_E'!Y20</f>
        <v>0</v>
      </c>
      <c r="Z28" s="9">
        <f>'07_E_manual'!Z20-'09_dash_E'!Z20</f>
        <v>0</v>
      </c>
      <c r="AA28" s="9">
        <f>'07_E_manual'!AA20-'09_dash_E'!AA20</f>
        <v>-2.2551405187698492E-17</v>
      </c>
      <c r="AB28" s="9">
        <f>'07_E_manual'!AB20-'09_dash_E'!AB20</f>
        <v>-6.9388939039072284E-17</v>
      </c>
      <c r="AC28" s="9">
        <f>'07_E_manual'!AC20-'09_dash_E'!AC20</f>
        <v>-1.5612511283791264E-17</v>
      </c>
      <c r="AD28" s="9">
        <f>'07_E_manual'!AD20-'09_dash_E'!AD20</f>
        <v>-7.8062556418956319E-18</v>
      </c>
      <c r="AE28" s="9">
        <f>'07_E_manual'!AE20-'09_dash_E'!AE20</f>
        <v>-3.903127820947816E-18</v>
      </c>
      <c r="AF28" s="9">
        <f>'07_E_manual'!AF20-'09_dash_E'!AF20</f>
        <v>-7.8062556418956319E-18</v>
      </c>
      <c r="AG28" s="9">
        <f>'07_E_manual'!AG20-'09_dash_E'!AG20</f>
        <v>0</v>
      </c>
      <c r="AH28" s="9">
        <f>'07_E_manual'!AH20-'09_dash_E'!AH20</f>
        <v>0</v>
      </c>
      <c r="AI28" s="9">
        <f>'07_E_manual'!AI20-'09_dash_E'!AI20</f>
        <v>-7.8062556418956319E-18</v>
      </c>
    </row>
    <row r="29" spans="1:35" x14ac:dyDescent="0.2">
      <c r="A29" s="12" t="s">
        <v>1385</v>
      </c>
      <c r="B29" s="9">
        <f>'07_E_manual'!B21-'09_dash_E'!B21</f>
        <v>0</v>
      </c>
      <c r="C29" s="9">
        <f>'07_E_manual'!C21-'09_dash_E'!C21</f>
        <v>0</v>
      </c>
      <c r="D29" s="9">
        <f>'07_E_manual'!D21-'09_dash_E'!D21</f>
        <v>0</v>
      </c>
      <c r="E29" s="9">
        <f>'07_E_manual'!E21-'09_dash_E'!E21</f>
        <v>0</v>
      </c>
      <c r="F29" s="9">
        <f>'07_E_manual'!F21-'09_dash_E'!F21</f>
        <v>0</v>
      </c>
      <c r="G29" s="9">
        <f>'07_E_manual'!G21-'09_dash_E'!G21</f>
        <v>0</v>
      </c>
      <c r="H29" s="9">
        <f>'07_E_manual'!H21-'09_dash_E'!H21</f>
        <v>0</v>
      </c>
      <c r="I29" s="9">
        <f>'07_E_manual'!I21-'09_dash_E'!I21</f>
        <v>0</v>
      </c>
      <c r="J29" s="9">
        <f>'07_E_manual'!J21-'09_dash_E'!J21</f>
        <v>0</v>
      </c>
      <c r="K29" s="9">
        <f>'07_E_manual'!K21-'09_dash_E'!K21</f>
        <v>0</v>
      </c>
      <c r="L29" s="9">
        <f>'07_E_manual'!L21-'09_dash_E'!L21</f>
        <v>0</v>
      </c>
      <c r="M29" s="9">
        <f>'07_E_manual'!M21-'09_dash_E'!M21</f>
        <v>0</v>
      </c>
      <c r="N29" s="9">
        <f>'07_E_manual'!N21-'09_dash_E'!N21</f>
        <v>0</v>
      </c>
      <c r="O29" s="9">
        <f>'07_E_manual'!O21-'09_dash_E'!O21</f>
        <v>0</v>
      </c>
      <c r="P29" s="9">
        <f>'07_E_manual'!P21-'09_dash_E'!P21</f>
        <v>0</v>
      </c>
      <c r="Q29" s="9">
        <f>'07_E_manual'!Q21-'09_dash_E'!Q21</f>
        <v>0</v>
      </c>
      <c r="R29" s="9">
        <f>'07_E_manual'!R21-'09_dash_E'!R21</f>
        <v>0</v>
      </c>
      <c r="S29" s="9">
        <f>'07_E_manual'!S21-'09_dash_E'!S21</f>
        <v>0</v>
      </c>
      <c r="T29" s="9">
        <f>'07_E_manual'!T21-'09_dash_E'!T21</f>
        <v>0</v>
      </c>
      <c r="U29" s="9">
        <f>'07_E_manual'!U21-'09_dash_E'!U21</f>
        <v>0</v>
      </c>
      <c r="V29" s="9">
        <f>'07_E_manual'!V21-'09_dash_E'!V21</f>
        <v>0</v>
      </c>
      <c r="W29" s="9">
        <f>'07_E_manual'!W21-'09_dash_E'!W21</f>
        <v>0</v>
      </c>
      <c r="X29" s="9">
        <f>'07_E_manual'!X21-'09_dash_E'!X21</f>
        <v>0</v>
      </c>
      <c r="Y29" s="9">
        <f>'07_E_manual'!Y21-'09_dash_E'!Y21</f>
        <v>0</v>
      </c>
      <c r="Z29" s="9">
        <f>'07_E_manual'!Z21-'09_dash_E'!Z21</f>
        <v>0</v>
      </c>
      <c r="AA29" s="9">
        <f>'07_E_manual'!AA21-'09_dash_E'!AA21</f>
        <v>0</v>
      </c>
      <c r="AB29" s="9">
        <f>'07_E_manual'!AB21-'09_dash_E'!AB21</f>
        <v>0</v>
      </c>
      <c r="AC29" s="9">
        <f>'07_E_manual'!AC21-'09_dash_E'!AC21</f>
        <v>0</v>
      </c>
      <c r="AD29" s="9">
        <f>'07_E_manual'!AD21-'09_dash_E'!AD21</f>
        <v>0</v>
      </c>
      <c r="AE29" s="9">
        <f>'07_E_manual'!AE21-'09_dash_E'!AE21</f>
        <v>0</v>
      </c>
      <c r="AF29" s="9">
        <f>'07_E_manual'!AF21-'09_dash_E'!AF21</f>
        <v>0</v>
      </c>
      <c r="AG29" s="9">
        <f>'07_E_manual'!AG21-'09_dash_E'!AG21</f>
        <v>0</v>
      </c>
      <c r="AH29" s="9">
        <f>'07_E_manual'!AH21-'09_dash_E'!AH21</f>
        <v>0</v>
      </c>
      <c r="AI29" s="9">
        <f>'07_E_manual'!AI21-'09_dash_E'!AI21</f>
        <v>0</v>
      </c>
    </row>
    <row r="30" spans="1:35" x14ac:dyDescent="0.2">
      <c r="A30" s="12" t="s">
        <v>1386</v>
      </c>
      <c r="B30" s="9">
        <f>'07_E_manual'!B22-'09_dash_E'!B22</f>
        <v>0</v>
      </c>
      <c r="C30" s="9">
        <f>'07_E_manual'!C22-'09_dash_E'!C22</f>
        <v>0</v>
      </c>
      <c r="D30" s="9">
        <f>'07_E_manual'!D22-'09_dash_E'!D22</f>
        <v>0</v>
      </c>
      <c r="E30" s="9">
        <f>'07_E_manual'!E22-'09_dash_E'!E22</f>
        <v>0</v>
      </c>
      <c r="F30" s="9">
        <f>'07_E_manual'!F22-'09_dash_E'!F22</f>
        <v>0</v>
      </c>
      <c r="G30" s="9">
        <f>'07_E_manual'!G22-'09_dash_E'!G22</f>
        <v>0</v>
      </c>
      <c r="H30" s="9">
        <f>'07_E_manual'!H22-'09_dash_E'!H22</f>
        <v>0</v>
      </c>
      <c r="I30" s="9">
        <f>'07_E_manual'!I22-'09_dash_E'!I22</f>
        <v>0</v>
      </c>
      <c r="J30" s="9">
        <f>'07_E_manual'!J22-'09_dash_E'!J22</f>
        <v>0</v>
      </c>
      <c r="K30" s="9">
        <f>'07_E_manual'!K22-'09_dash_E'!K22</f>
        <v>0</v>
      </c>
      <c r="L30" s="9">
        <f>'07_E_manual'!L22-'09_dash_E'!L22</f>
        <v>0</v>
      </c>
      <c r="M30" s="9">
        <f>'07_E_manual'!M22-'09_dash_E'!M22</f>
        <v>0</v>
      </c>
      <c r="N30" s="9">
        <f>'07_E_manual'!N22-'09_dash_E'!N22</f>
        <v>0</v>
      </c>
      <c r="O30" s="9">
        <f>'07_E_manual'!O22-'09_dash_E'!O22</f>
        <v>0</v>
      </c>
      <c r="P30" s="9">
        <f>'07_E_manual'!P22-'09_dash_E'!P22</f>
        <v>0</v>
      </c>
      <c r="Q30" s="9">
        <f>'07_E_manual'!Q22-'09_dash_E'!Q22</f>
        <v>0</v>
      </c>
      <c r="R30" s="9">
        <f>'07_E_manual'!R22-'09_dash_E'!R22</f>
        <v>0</v>
      </c>
      <c r="S30" s="9">
        <f>'07_E_manual'!S22-'09_dash_E'!S22</f>
        <v>0</v>
      </c>
      <c r="T30" s="9">
        <f>'07_E_manual'!T22-'09_dash_E'!T22</f>
        <v>0</v>
      </c>
      <c r="U30" s="9">
        <f>'07_E_manual'!U22-'09_dash_E'!U22</f>
        <v>0</v>
      </c>
      <c r="V30" s="9">
        <f>'07_E_manual'!V22-'09_dash_E'!V22</f>
        <v>0</v>
      </c>
      <c r="W30" s="9">
        <f>'07_E_manual'!W22-'09_dash_E'!W22</f>
        <v>0</v>
      </c>
      <c r="X30" s="9">
        <f>'07_E_manual'!X22-'09_dash_E'!X22</f>
        <v>0</v>
      </c>
      <c r="Y30" s="9">
        <f>'07_E_manual'!Y22-'09_dash_E'!Y22</f>
        <v>0</v>
      </c>
      <c r="Z30" s="9">
        <f>'07_E_manual'!Z22-'09_dash_E'!Z22</f>
        <v>0</v>
      </c>
      <c r="AA30" s="9">
        <f>'07_E_manual'!AA22-'09_dash_E'!AA22</f>
        <v>0</v>
      </c>
      <c r="AB30" s="9">
        <f>'07_E_manual'!AB22-'09_dash_E'!AB22</f>
        <v>0</v>
      </c>
      <c r="AC30" s="9">
        <f>'07_E_manual'!AC22-'09_dash_E'!AC22</f>
        <v>0</v>
      </c>
      <c r="AD30" s="9">
        <f>'07_E_manual'!AD22-'09_dash_E'!AD22</f>
        <v>0</v>
      </c>
      <c r="AE30" s="9">
        <f>'07_E_manual'!AE22-'09_dash_E'!AE22</f>
        <v>0</v>
      </c>
      <c r="AF30" s="9">
        <f>'07_E_manual'!AF22-'09_dash_E'!AF22</f>
        <v>0</v>
      </c>
      <c r="AG30" s="9">
        <f>'07_E_manual'!AG22-'09_dash_E'!AG22</f>
        <v>0</v>
      </c>
      <c r="AH30" s="9">
        <f>'07_E_manual'!AH22-'09_dash_E'!AH22</f>
        <v>0</v>
      </c>
      <c r="AI30" s="9">
        <f>'07_E_manual'!AI22-'09_dash_E'!AI22</f>
        <v>0</v>
      </c>
    </row>
    <row r="31" spans="1:35" x14ac:dyDescent="0.2">
      <c r="A31" s="12" t="s">
        <v>1387</v>
      </c>
      <c r="B31" s="9">
        <f>'07_E_manual'!B23-'09_dash_E'!B23</f>
        <v>0</v>
      </c>
      <c r="C31" s="9">
        <f>'07_E_manual'!C23-'09_dash_E'!C23</f>
        <v>0</v>
      </c>
      <c r="D31" s="9">
        <f>'07_E_manual'!D23-'09_dash_E'!D23</f>
        <v>0</v>
      </c>
      <c r="E31" s="9">
        <f>'07_E_manual'!E23-'09_dash_E'!E23</f>
        <v>0</v>
      </c>
      <c r="F31" s="9">
        <f>'07_E_manual'!F23-'09_dash_E'!F23</f>
        <v>-5.5511151231257827E-17</v>
      </c>
      <c r="G31" s="9">
        <f>'07_E_manual'!G23-'09_dash_E'!G23</f>
        <v>0</v>
      </c>
      <c r="H31" s="9">
        <f>'07_E_manual'!H23-'09_dash_E'!H23</f>
        <v>0</v>
      </c>
      <c r="I31" s="9">
        <f>'07_E_manual'!I23-'09_dash_E'!I23</f>
        <v>0</v>
      </c>
      <c r="J31" s="9">
        <f>'07_E_manual'!J23-'09_dash_E'!J23</f>
        <v>0</v>
      </c>
      <c r="K31" s="9">
        <f>'07_E_manual'!K23-'09_dash_E'!K23</f>
        <v>-1.2490009027033011E-16</v>
      </c>
      <c r="L31" s="9">
        <f>'07_E_manual'!L23-'09_dash_E'!L23</f>
        <v>-3.3306690738754696E-16</v>
      </c>
      <c r="M31" s="9">
        <f>'07_E_manual'!M23-'09_dash_E'!M23</f>
        <v>0</v>
      </c>
      <c r="N31" s="9">
        <f>'07_E_manual'!N23-'09_dash_E'!N23</f>
        <v>-1.7763568394002505E-15</v>
      </c>
      <c r="O31" s="9">
        <f>'07_E_manual'!O23-'09_dash_E'!O23</f>
        <v>0</v>
      </c>
      <c r="P31" s="9">
        <f>'07_E_manual'!P23-'09_dash_E'!P23</f>
        <v>0</v>
      </c>
      <c r="Q31" s="9">
        <f>'07_E_manual'!Q23-'09_dash_E'!Q23</f>
        <v>-1.3322676295501878E-15</v>
      </c>
      <c r="R31" s="9">
        <f>'07_E_manual'!R23-'09_dash_E'!R23</f>
        <v>0</v>
      </c>
      <c r="S31" s="9">
        <f>'07_E_manual'!S23-'09_dash_E'!S23</f>
        <v>0</v>
      </c>
      <c r="T31" s="9">
        <f>'07_E_manual'!T23-'09_dash_E'!T23</f>
        <v>-1.1102230246251565E-16</v>
      </c>
      <c r="U31" s="9">
        <f>'07_E_manual'!U23-'09_dash_E'!U23</f>
        <v>0</v>
      </c>
      <c r="V31" s="9">
        <f>'07_E_manual'!V23-'09_dash_E'!V23</f>
        <v>0</v>
      </c>
      <c r="W31" s="9">
        <f>'07_E_manual'!W23-'09_dash_E'!W23</f>
        <v>0</v>
      </c>
      <c r="X31" s="9">
        <f>'07_E_manual'!X23-'09_dash_E'!X23</f>
        <v>-8.8817841970012523E-16</v>
      </c>
      <c r="Y31" s="9">
        <f>'07_E_manual'!Y23-'09_dash_E'!Y23</f>
        <v>0</v>
      </c>
      <c r="Z31" s="9">
        <f>'07_E_manual'!Z23-'09_dash_E'!Z23</f>
        <v>0</v>
      </c>
      <c r="AA31" s="9">
        <f>'07_E_manual'!AA23-'09_dash_E'!AA23</f>
        <v>0</v>
      </c>
      <c r="AB31" s="9">
        <f>'07_E_manual'!AB23-'09_dash_E'!AB23</f>
        <v>0</v>
      </c>
      <c r="AC31" s="9">
        <f>'07_E_manual'!AC23-'09_dash_E'!AC23</f>
        <v>0</v>
      </c>
      <c r="AD31" s="9">
        <f>'07_E_manual'!AD23-'09_dash_E'!AD23</f>
        <v>0</v>
      </c>
      <c r="AE31" s="9">
        <f>'07_E_manual'!AE23-'09_dash_E'!AE23</f>
        <v>0</v>
      </c>
      <c r="AF31" s="9">
        <f>'07_E_manual'!AF23-'09_dash_E'!AF23</f>
        <v>0</v>
      </c>
      <c r="AG31" s="9">
        <f>'07_E_manual'!AG23-'09_dash_E'!AG23</f>
        <v>0</v>
      </c>
      <c r="AH31" s="9">
        <f>'07_E_manual'!AH23-'09_dash_E'!AH23</f>
        <v>-2.7755575615628914E-17</v>
      </c>
      <c r="AI31" s="9">
        <f>'07_E_manual'!AI23-'09_dash_E'!AI23</f>
        <v>0</v>
      </c>
    </row>
    <row r="32" spans="1:35" x14ac:dyDescent="0.2">
      <c r="A32" s="12" t="s">
        <v>1388</v>
      </c>
      <c r="B32" s="9">
        <f>'07_E_manual'!B24-'09_dash_E'!B24</f>
        <v>0</v>
      </c>
      <c r="C32" s="9">
        <f>'07_E_manual'!C24-'09_dash_E'!C24</f>
        <v>0</v>
      </c>
      <c r="D32" s="9">
        <f>'07_E_manual'!D24-'09_dash_E'!D24</f>
        <v>0</v>
      </c>
      <c r="E32" s="9">
        <f>'07_E_manual'!E24-'09_dash_E'!E24</f>
        <v>0</v>
      </c>
      <c r="F32" s="9">
        <f>'07_E_manual'!F24-'09_dash_E'!F24</f>
        <v>0</v>
      </c>
      <c r="G32" s="9">
        <f>'07_E_manual'!G24-'09_dash_E'!G24</f>
        <v>0</v>
      </c>
      <c r="H32" s="9">
        <f>'07_E_manual'!H24-'09_dash_E'!H24</f>
        <v>0</v>
      </c>
      <c r="I32" s="9">
        <f>'07_E_manual'!I24-'09_dash_E'!I24</f>
        <v>0</v>
      </c>
      <c r="J32" s="9">
        <f>'07_E_manual'!J24-'09_dash_E'!J24</f>
        <v>0</v>
      </c>
      <c r="K32" s="9">
        <f>'07_E_manual'!K24-'09_dash_E'!K24</f>
        <v>0</v>
      </c>
      <c r="L32" s="9">
        <f>'07_E_manual'!L24-'09_dash_E'!L24</f>
        <v>0</v>
      </c>
      <c r="M32" s="9">
        <f>'07_E_manual'!M24-'09_dash_E'!M24</f>
        <v>0</v>
      </c>
      <c r="N32" s="9">
        <f>'07_E_manual'!N24-'09_dash_E'!N24</f>
        <v>0</v>
      </c>
      <c r="O32" s="9">
        <f>'07_E_manual'!O24-'09_dash_E'!O24</f>
        <v>0</v>
      </c>
      <c r="P32" s="9">
        <f>'07_E_manual'!P24-'09_dash_E'!P24</f>
        <v>0</v>
      </c>
      <c r="Q32" s="9">
        <f>'07_E_manual'!Q24-'09_dash_E'!Q24</f>
        <v>0</v>
      </c>
      <c r="R32" s="9">
        <f>'07_E_manual'!R24-'09_dash_E'!R24</f>
        <v>0</v>
      </c>
      <c r="S32" s="9">
        <f>'07_E_manual'!S24-'09_dash_E'!S24</f>
        <v>0</v>
      </c>
      <c r="T32" s="9">
        <f>'07_E_manual'!T24-'09_dash_E'!T24</f>
        <v>0</v>
      </c>
      <c r="U32" s="9">
        <f>'07_E_manual'!U24-'09_dash_E'!U24</f>
        <v>0</v>
      </c>
      <c r="V32" s="9">
        <f>'07_E_manual'!V24-'09_dash_E'!V24</f>
        <v>0</v>
      </c>
      <c r="W32" s="9">
        <f>'07_E_manual'!W24-'09_dash_E'!W24</f>
        <v>0</v>
      </c>
      <c r="X32" s="9">
        <f>'07_E_manual'!X24-'09_dash_E'!X24</f>
        <v>0</v>
      </c>
      <c r="Y32" s="9">
        <f>'07_E_manual'!Y24-'09_dash_E'!Y24</f>
        <v>0</v>
      </c>
      <c r="Z32" s="9">
        <f>'07_E_manual'!Z24-'09_dash_E'!Z24</f>
        <v>0</v>
      </c>
      <c r="AA32" s="9">
        <f>'07_E_manual'!AA24-'09_dash_E'!AA24</f>
        <v>0</v>
      </c>
      <c r="AB32" s="9">
        <f>'07_E_manual'!AB24-'09_dash_E'!AB24</f>
        <v>0</v>
      </c>
      <c r="AC32" s="9">
        <f>'07_E_manual'!AC24-'09_dash_E'!AC24</f>
        <v>0</v>
      </c>
      <c r="AD32" s="9">
        <f>'07_E_manual'!AD24-'09_dash_E'!AD24</f>
        <v>0</v>
      </c>
      <c r="AE32" s="9">
        <f>'07_E_manual'!AE24-'09_dash_E'!AE24</f>
        <v>0</v>
      </c>
      <c r="AF32" s="9">
        <f>'07_E_manual'!AF24-'09_dash_E'!AF24</f>
        <v>0</v>
      </c>
      <c r="AG32" s="9">
        <f>'07_E_manual'!AG24-'09_dash_E'!AG24</f>
        <v>0</v>
      </c>
      <c r="AH32" s="9">
        <f>'07_E_manual'!AH24-'09_dash_E'!AH24</f>
        <v>0</v>
      </c>
      <c r="AI32" s="9">
        <f>'07_E_manual'!AI24-'09_dash_E'!AI24</f>
        <v>0</v>
      </c>
    </row>
    <row r="33" spans="1:35" x14ac:dyDescent="0.2">
      <c r="A33" s="12" t="s">
        <v>1389</v>
      </c>
      <c r="B33" s="9">
        <f>'07_E_manual'!B25-'09_dash_E'!B25</f>
        <v>0</v>
      </c>
      <c r="C33" s="9">
        <f>'07_E_manual'!C25-'09_dash_E'!C25</f>
        <v>0</v>
      </c>
      <c r="D33" s="9">
        <f>'07_E_manual'!D25-'09_dash_E'!D25</f>
        <v>0</v>
      </c>
      <c r="E33" s="9">
        <f>'07_E_manual'!E25-'09_dash_E'!E25</f>
        <v>0</v>
      </c>
      <c r="F33" s="9">
        <f>'07_E_manual'!F25-'09_dash_E'!F25</f>
        <v>0</v>
      </c>
      <c r="G33" s="9">
        <f>'07_E_manual'!G25-'09_dash_E'!G25</f>
        <v>0</v>
      </c>
      <c r="H33" s="9">
        <f>'07_E_manual'!H25-'09_dash_E'!H25</f>
        <v>0</v>
      </c>
      <c r="I33" s="9">
        <f>'07_E_manual'!I25-'09_dash_E'!I25</f>
        <v>-6.2450045135165055E-17</v>
      </c>
      <c r="J33" s="9">
        <f>'07_E_manual'!J25-'09_dash_E'!J25</f>
        <v>0</v>
      </c>
      <c r="K33" s="9">
        <f>'07_E_manual'!K25-'09_dash_E'!K25</f>
        <v>0</v>
      </c>
      <c r="L33" s="9">
        <f>'07_E_manual'!L25-'09_dash_E'!L25</f>
        <v>0</v>
      </c>
      <c r="M33" s="9">
        <f>'07_E_manual'!M25-'09_dash_E'!M25</f>
        <v>0</v>
      </c>
      <c r="N33" s="9">
        <f>'07_E_manual'!N25-'09_dash_E'!N25</f>
        <v>0</v>
      </c>
      <c r="O33" s="9">
        <f>'07_E_manual'!O25-'09_dash_E'!O25</f>
        <v>0</v>
      </c>
      <c r="P33" s="9">
        <f>'07_E_manual'!P25-'09_dash_E'!P25</f>
        <v>0</v>
      </c>
      <c r="Q33" s="9">
        <f>'07_E_manual'!Q25-'09_dash_E'!Q25</f>
        <v>0</v>
      </c>
      <c r="R33" s="9">
        <f>'07_E_manual'!R25-'09_dash_E'!R25</f>
        <v>0</v>
      </c>
      <c r="S33" s="9">
        <f>'07_E_manual'!S25-'09_dash_E'!S25</f>
        <v>0</v>
      </c>
      <c r="T33" s="9">
        <f>'07_E_manual'!T25-'09_dash_E'!T25</f>
        <v>0</v>
      </c>
      <c r="U33" s="9">
        <f>'07_E_manual'!U25-'09_dash_E'!U25</f>
        <v>0</v>
      </c>
      <c r="V33" s="9">
        <f>'07_E_manual'!V25-'09_dash_E'!V25</f>
        <v>0</v>
      </c>
      <c r="W33" s="9">
        <f>'07_E_manual'!W25-'09_dash_E'!W25</f>
        <v>0</v>
      </c>
      <c r="X33" s="9">
        <f>'07_E_manual'!X25-'09_dash_E'!X25</f>
        <v>0</v>
      </c>
      <c r="Y33" s="9">
        <f>'07_E_manual'!Y25-'09_dash_E'!Y25</f>
        <v>0</v>
      </c>
      <c r="Z33" s="9">
        <f>'07_E_manual'!Z25-'09_dash_E'!Z25</f>
        <v>0</v>
      </c>
      <c r="AA33" s="9">
        <f>'07_E_manual'!AA25-'09_dash_E'!AA25</f>
        <v>0</v>
      </c>
      <c r="AB33" s="9">
        <f>'07_E_manual'!AB25-'09_dash_E'!AB25</f>
        <v>0</v>
      </c>
      <c r="AC33" s="9">
        <f>'07_E_manual'!AC25-'09_dash_E'!AC25</f>
        <v>0</v>
      </c>
      <c r="AD33" s="9">
        <f>'07_E_manual'!AD25-'09_dash_E'!AD25</f>
        <v>0</v>
      </c>
      <c r="AE33" s="9">
        <f>'07_E_manual'!AE25-'09_dash_E'!AE25</f>
        <v>0</v>
      </c>
      <c r="AF33" s="9">
        <f>'07_E_manual'!AF25-'09_dash_E'!AF25</f>
        <v>0</v>
      </c>
      <c r="AG33" s="9">
        <f>'07_E_manual'!AG25-'09_dash_E'!AG25</f>
        <v>0</v>
      </c>
      <c r="AH33" s="9">
        <f>'07_E_manual'!AH25-'09_dash_E'!AH25</f>
        <v>0</v>
      </c>
      <c r="AI33" s="9">
        <f>'07_E_manual'!AI25-'09_dash_E'!AI25</f>
        <v>0</v>
      </c>
    </row>
    <row r="34" spans="1:35" x14ac:dyDescent="0.2">
      <c r="A34" s="12" t="s">
        <v>1390</v>
      </c>
      <c r="B34" s="9">
        <f>'07_E_manual'!B26-'09_dash_E'!B26</f>
        <v>0</v>
      </c>
      <c r="C34" s="9">
        <f>'07_E_manual'!C26-'09_dash_E'!C26</f>
        <v>0</v>
      </c>
      <c r="D34" s="9">
        <f>'07_E_manual'!D26-'09_dash_E'!D26</f>
        <v>0</v>
      </c>
      <c r="E34" s="9">
        <f>'07_E_manual'!E26-'09_dash_E'!E26</f>
        <v>0</v>
      </c>
      <c r="F34" s="9">
        <f>'07_E_manual'!F26-'09_dash_E'!F26</f>
        <v>0</v>
      </c>
      <c r="G34" s="9">
        <f>'07_E_manual'!G26-'09_dash_E'!G26</f>
        <v>0</v>
      </c>
      <c r="H34" s="9">
        <f>'07_E_manual'!H26-'09_dash_E'!H26</f>
        <v>0</v>
      </c>
      <c r="I34" s="9">
        <f>'07_E_manual'!I26-'09_dash_E'!I26</f>
        <v>0</v>
      </c>
      <c r="J34" s="9">
        <f>'07_E_manual'!J26-'09_dash_E'!J26</f>
        <v>0</v>
      </c>
      <c r="K34" s="9">
        <f>'07_E_manual'!K26-'09_dash_E'!K26</f>
        <v>0</v>
      </c>
      <c r="L34" s="9">
        <f>'07_E_manual'!L26-'09_dash_E'!L26</f>
        <v>0</v>
      </c>
      <c r="M34" s="9">
        <f>'07_E_manual'!M26-'09_dash_E'!M26</f>
        <v>0</v>
      </c>
      <c r="N34" s="9">
        <f>'07_E_manual'!N26-'09_dash_E'!N26</f>
        <v>0</v>
      </c>
      <c r="O34" s="9">
        <f>'07_E_manual'!O26-'09_dash_E'!O26</f>
        <v>0</v>
      </c>
      <c r="P34" s="9">
        <f>'07_E_manual'!P26-'09_dash_E'!P26</f>
        <v>0</v>
      </c>
      <c r="Q34" s="9">
        <f>'07_E_manual'!Q26-'09_dash_E'!Q26</f>
        <v>0</v>
      </c>
      <c r="R34" s="9">
        <f>'07_E_manual'!R26-'09_dash_E'!R26</f>
        <v>0</v>
      </c>
      <c r="S34" s="9">
        <f>'07_E_manual'!S26-'09_dash_E'!S26</f>
        <v>0</v>
      </c>
      <c r="T34" s="9">
        <f>'07_E_manual'!T26-'09_dash_E'!T26</f>
        <v>0</v>
      </c>
      <c r="U34" s="9">
        <f>'07_E_manual'!U26-'09_dash_E'!U26</f>
        <v>0</v>
      </c>
      <c r="V34" s="9">
        <f>'07_E_manual'!V26-'09_dash_E'!V26</f>
        <v>0</v>
      </c>
      <c r="W34" s="9">
        <f>'07_E_manual'!W26-'09_dash_E'!W26</f>
        <v>0</v>
      </c>
      <c r="X34" s="9">
        <f>'07_E_manual'!X26-'09_dash_E'!X26</f>
        <v>0</v>
      </c>
      <c r="Y34" s="9">
        <f>'07_E_manual'!Y26-'09_dash_E'!Y26</f>
        <v>0</v>
      </c>
      <c r="Z34" s="9">
        <f>'07_E_manual'!Z26-'09_dash_E'!Z26</f>
        <v>0</v>
      </c>
      <c r="AA34" s="9">
        <f>'07_E_manual'!AA26-'09_dash_E'!AA26</f>
        <v>0</v>
      </c>
      <c r="AB34" s="9">
        <f>'07_E_manual'!AB26-'09_dash_E'!AB26</f>
        <v>-2.2204460492503131E-16</v>
      </c>
      <c r="AC34" s="9">
        <f>'07_E_manual'!AC26-'09_dash_E'!AC26</f>
        <v>0</v>
      </c>
      <c r="AD34" s="9">
        <f>'07_E_manual'!AD26-'09_dash_E'!AD26</f>
        <v>0</v>
      </c>
      <c r="AE34" s="9">
        <f>'07_E_manual'!AE26-'09_dash_E'!AE26</f>
        <v>0</v>
      </c>
      <c r="AF34" s="9">
        <f>'07_E_manual'!AF26-'09_dash_E'!AF26</f>
        <v>0</v>
      </c>
      <c r="AG34" s="9">
        <f>'07_E_manual'!AG26-'09_dash_E'!AG26</f>
        <v>0</v>
      </c>
      <c r="AH34" s="9">
        <f>'07_E_manual'!AH26-'09_dash_E'!AH26</f>
        <v>0</v>
      </c>
      <c r="AI34" s="9">
        <f>'07_E_manual'!AI26-'09_dash_E'!AI26</f>
        <v>0</v>
      </c>
    </row>
    <row r="35" spans="1:35" x14ac:dyDescent="0.2">
      <c r="A35" s="12" t="s">
        <v>1391</v>
      </c>
      <c r="B35" s="9">
        <f>'07_E_manual'!B27-'09_dash_E'!B27</f>
        <v>0</v>
      </c>
      <c r="C35" s="9">
        <f>'07_E_manual'!C27-'09_dash_E'!C27</f>
        <v>0</v>
      </c>
      <c r="D35" s="9">
        <f>'07_E_manual'!D27-'09_dash_E'!D27</f>
        <v>0</v>
      </c>
      <c r="E35" s="9">
        <f>'07_E_manual'!E27-'09_dash_E'!E27</f>
        <v>0</v>
      </c>
      <c r="F35" s="9">
        <f>'07_E_manual'!F27-'09_dash_E'!F27</f>
        <v>0</v>
      </c>
      <c r="G35" s="9">
        <f>'07_E_manual'!G27-'09_dash_E'!G27</f>
        <v>0</v>
      </c>
      <c r="H35" s="9">
        <f>'07_E_manual'!H27-'09_dash_E'!H27</f>
        <v>0</v>
      </c>
      <c r="I35" s="9">
        <f>'07_E_manual'!I27-'09_dash_E'!I27</f>
        <v>0</v>
      </c>
      <c r="J35" s="9">
        <f>'07_E_manual'!J27-'09_dash_E'!J27</f>
        <v>0</v>
      </c>
      <c r="K35" s="9">
        <f>'07_E_manual'!K27-'09_dash_E'!K27</f>
        <v>0</v>
      </c>
      <c r="L35" s="9">
        <f>'07_E_manual'!L27-'09_dash_E'!L27</f>
        <v>0</v>
      </c>
      <c r="M35" s="9">
        <f>'07_E_manual'!M27-'09_dash_E'!M27</f>
        <v>0</v>
      </c>
      <c r="N35" s="9">
        <f>'07_E_manual'!N27-'09_dash_E'!N27</f>
        <v>0</v>
      </c>
      <c r="O35" s="9">
        <f>'07_E_manual'!O27-'09_dash_E'!O27</f>
        <v>0</v>
      </c>
      <c r="P35" s="9">
        <f>'07_E_manual'!P27-'09_dash_E'!P27</f>
        <v>0</v>
      </c>
      <c r="Q35" s="9">
        <f>'07_E_manual'!Q27-'09_dash_E'!Q27</f>
        <v>0</v>
      </c>
      <c r="R35" s="9">
        <f>'07_E_manual'!R27-'09_dash_E'!R27</f>
        <v>0</v>
      </c>
      <c r="S35" s="9">
        <f>'07_E_manual'!S27-'09_dash_E'!S27</f>
        <v>0</v>
      </c>
      <c r="T35" s="9">
        <f>'07_E_manual'!T27-'09_dash_E'!T27</f>
        <v>0</v>
      </c>
      <c r="U35" s="9">
        <f>'07_E_manual'!U27-'09_dash_E'!U27</f>
        <v>0</v>
      </c>
      <c r="V35" s="9">
        <f>'07_E_manual'!V27-'09_dash_E'!V27</f>
        <v>0</v>
      </c>
      <c r="W35" s="9">
        <f>'07_E_manual'!W27-'09_dash_E'!W27</f>
        <v>0</v>
      </c>
      <c r="X35" s="9">
        <f>'07_E_manual'!X27-'09_dash_E'!X27</f>
        <v>0</v>
      </c>
      <c r="Y35" s="9">
        <f>'07_E_manual'!Y27-'09_dash_E'!Y27</f>
        <v>0</v>
      </c>
      <c r="Z35" s="9">
        <f>'07_E_manual'!Z27-'09_dash_E'!Z27</f>
        <v>0</v>
      </c>
      <c r="AA35" s="9">
        <f>'07_E_manual'!AA27-'09_dash_E'!AA27</f>
        <v>0</v>
      </c>
      <c r="AB35" s="9">
        <f>'07_E_manual'!AB27-'09_dash_E'!AB27</f>
        <v>0</v>
      </c>
      <c r="AC35" s="9">
        <f>'07_E_manual'!AC27-'09_dash_E'!AC27</f>
        <v>0</v>
      </c>
      <c r="AD35" s="9">
        <f>'07_E_manual'!AD27-'09_dash_E'!AD27</f>
        <v>0</v>
      </c>
      <c r="AE35" s="9">
        <f>'07_E_manual'!AE27-'09_dash_E'!AE27</f>
        <v>0</v>
      </c>
      <c r="AF35" s="9">
        <f>'07_E_manual'!AF27-'09_dash_E'!AF27</f>
        <v>0</v>
      </c>
      <c r="AG35" s="9">
        <f>'07_E_manual'!AG27-'09_dash_E'!AG27</f>
        <v>0</v>
      </c>
      <c r="AH35" s="9">
        <f>'07_E_manual'!AH27-'09_dash_E'!AH27</f>
        <v>0</v>
      </c>
      <c r="AI35" s="9">
        <f>'07_E_manual'!AI27-'09_dash_E'!AI27</f>
        <v>0</v>
      </c>
    </row>
    <row r="36" spans="1:35" x14ac:dyDescent="0.2">
      <c r="A36" s="12" t="s">
        <v>1392</v>
      </c>
      <c r="B36" s="9">
        <f>'07_E_manual'!B28-'09_dash_E'!B28</f>
        <v>0</v>
      </c>
      <c r="C36" s="9">
        <f>'07_E_manual'!C28-'09_dash_E'!C28</f>
        <v>0</v>
      </c>
      <c r="D36" s="9">
        <f>'07_E_manual'!D28-'09_dash_E'!D28</f>
        <v>0</v>
      </c>
      <c r="E36" s="9">
        <f>'07_E_manual'!E28-'09_dash_E'!E28</f>
        <v>0</v>
      </c>
      <c r="F36" s="9">
        <f>'07_E_manual'!F28-'09_dash_E'!F28</f>
        <v>0</v>
      </c>
      <c r="G36" s="9">
        <f>'07_E_manual'!G28-'09_dash_E'!G28</f>
        <v>0</v>
      </c>
      <c r="H36" s="9">
        <f>'07_E_manual'!H28-'09_dash_E'!H28</f>
        <v>0</v>
      </c>
      <c r="I36" s="9">
        <f>'07_E_manual'!I28-'09_dash_E'!I28</f>
        <v>0</v>
      </c>
      <c r="J36" s="9">
        <f>'07_E_manual'!J28-'09_dash_E'!J28</f>
        <v>0</v>
      </c>
      <c r="K36" s="9">
        <f>'07_E_manual'!K28-'09_dash_E'!K28</f>
        <v>0</v>
      </c>
      <c r="L36" s="9">
        <f>'07_E_manual'!L28-'09_dash_E'!L28</f>
        <v>0</v>
      </c>
      <c r="M36" s="9">
        <f>'07_E_manual'!M28-'09_dash_E'!M28</f>
        <v>0</v>
      </c>
      <c r="N36" s="9">
        <f>'07_E_manual'!N28-'09_dash_E'!N28</f>
        <v>0</v>
      </c>
      <c r="O36" s="9">
        <f>'07_E_manual'!O28-'09_dash_E'!O28</f>
        <v>0</v>
      </c>
      <c r="P36" s="9">
        <f>'07_E_manual'!P28-'09_dash_E'!P28</f>
        <v>0</v>
      </c>
      <c r="Q36" s="9">
        <f>'07_E_manual'!Q28-'09_dash_E'!Q28</f>
        <v>0</v>
      </c>
      <c r="R36" s="9">
        <f>'07_E_manual'!R28-'09_dash_E'!R28</f>
        <v>0</v>
      </c>
      <c r="S36" s="9">
        <f>'07_E_manual'!S28-'09_dash_E'!S28</f>
        <v>0</v>
      </c>
      <c r="T36" s="9">
        <f>'07_E_manual'!T28-'09_dash_E'!T28</f>
        <v>0</v>
      </c>
      <c r="U36" s="9">
        <f>'07_E_manual'!U28-'09_dash_E'!U28</f>
        <v>0</v>
      </c>
      <c r="V36" s="9">
        <f>'07_E_manual'!V28-'09_dash_E'!V28</f>
        <v>0</v>
      </c>
      <c r="W36" s="9">
        <f>'07_E_manual'!W28-'09_dash_E'!W28</f>
        <v>0</v>
      </c>
      <c r="X36" s="9">
        <f>'07_E_manual'!X28-'09_dash_E'!X28</f>
        <v>0</v>
      </c>
      <c r="Y36" s="9">
        <f>'07_E_manual'!Y28-'09_dash_E'!Y28</f>
        <v>0</v>
      </c>
      <c r="Z36" s="9">
        <f>'07_E_manual'!Z28-'09_dash_E'!Z28</f>
        <v>0</v>
      </c>
      <c r="AA36" s="9">
        <f>'07_E_manual'!AA28-'09_dash_E'!AA28</f>
        <v>0</v>
      </c>
      <c r="AB36" s="9">
        <f>'07_E_manual'!AB28-'09_dash_E'!AB28</f>
        <v>0</v>
      </c>
      <c r="AC36" s="9">
        <f>'07_E_manual'!AC28-'09_dash_E'!AC28</f>
        <v>0</v>
      </c>
      <c r="AD36" s="9">
        <f>'07_E_manual'!AD28-'09_dash_E'!AD28</f>
        <v>0</v>
      </c>
      <c r="AE36" s="9">
        <f>'07_E_manual'!AE28-'09_dash_E'!AE28</f>
        <v>0</v>
      </c>
      <c r="AF36" s="9">
        <f>'07_E_manual'!AF28-'09_dash_E'!AF28</f>
        <v>0</v>
      </c>
      <c r="AG36" s="9">
        <f>'07_E_manual'!AG28-'09_dash_E'!AG28</f>
        <v>0</v>
      </c>
      <c r="AH36" s="9">
        <f>'07_E_manual'!AH28-'09_dash_E'!AH28</f>
        <v>0</v>
      </c>
      <c r="AI36" s="9">
        <f>'07_E_manual'!AI28-'09_dash_E'!AI28</f>
        <v>0</v>
      </c>
    </row>
    <row r="37" spans="1:35" x14ac:dyDescent="0.2">
      <c r="A37" s="12" t="s">
        <v>1393</v>
      </c>
      <c r="B37" s="9">
        <f>'07_E_manual'!B29-'09_dash_E'!B29</f>
        <v>0</v>
      </c>
      <c r="C37" s="9">
        <f>'07_E_manual'!C29-'09_dash_E'!C29</f>
        <v>0</v>
      </c>
      <c r="D37" s="9">
        <f>'07_E_manual'!D29-'09_dash_E'!D29</f>
        <v>0</v>
      </c>
      <c r="E37" s="9">
        <f>'07_E_manual'!E29-'09_dash_E'!E29</f>
        <v>0</v>
      </c>
      <c r="F37" s="9">
        <f>'07_E_manual'!F29-'09_dash_E'!F29</f>
        <v>0</v>
      </c>
      <c r="G37" s="9">
        <f>'07_E_manual'!G29-'09_dash_E'!G29</f>
        <v>0</v>
      </c>
      <c r="H37" s="9">
        <f>'07_E_manual'!H29-'09_dash_E'!H29</f>
        <v>0</v>
      </c>
      <c r="I37" s="9">
        <f>'07_E_manual'!I29-'09_dash_E'!I29</f>
        <v>0</v>
      </c>
      <c r="J37" s="9">
        <f>'07_E_manual'!J29-'09_dash_E'!J29</f>
        <v>0</v>
      </c>
      <c r="K37" s="9">
        <f>'07_E_manual'!K29-'09_dash_E'!K29</f>
        <v>0</v>
      </c>
      <c r="L37" s="9">
        <f>'07_E_manual'!L29-'09_dash_E'!L29</f>
        <v>0</v>
      </c>
      <c r="M37" s="9">
        <f>'07_E_manual'!M29-'09_dash_E'!M29</f>
        <v>0</v>
      </c>
      <c r="N37" s="9">
        <f>'07_E_manual'!N29-'09_dash_E'!N29</f>
        <v>0</v>
      </c>
      <c r="O37" s="9">
        <f>'07_E_manual'!O29-'09_dash_E'!O29</f>
        <v>0</v>
      </c>
      <c r="P37" s="9">
        <f>'07_E_manual'!P29-'09_dash_E'!P29</f>
        <v>0</v>
      </c>
      <c r="Q37" s="9">
        <f>'07_E_manual'!Q29-'09_dash_E'!Q29</f>
        <v>0</v>
      </c>
      <c r="R37" s="9">
        <f>'07_E_manual'!R29-'09_dash_E'!R29</f>
        <v>0</v>
      </c>
      <c r="S37" s="9">
        <f>'07_E_manual'!S29-'09_dash_E'!S29</f>
        <v>0</v>
      </c>
      <c r="T37" s="9">
        <f>'07_E_manual'!T29-'09_dash_E'!T29</f>
        <v>0</v>
      </c>
      <c r="U37" s="9">
        <f>'07_E_manual'!U29-'09_dash_E'!U29</f>
        <v>0</v>
      </c>
      <c r="V37" s="9">
        <f>'07_E_manual'!V29-'09_dash_E'!V29</f>
        <v>0</v>
      </c>
      <c r="W37" s="9">
        <f>'07_E_manual'!W29-'09_dash_E'!W29</f>
        <v>0</v>
      </c>
      <c r="X37" s="9">
        <f>'07_E_manual'!X29-'09_dash_E'!X29</f>
        <v>0</v>
      </c>
      <c r="Y37" s="9">
        <f>'07_E_manual'!Y29-'09_dash_E'!Y29</f>
        <v>0</v>
      </c>
      <c r="Z37" s="9">
        <f>'07_E_manual'!Z29-'09_dash_E'!Z29</f>
        <v>0</v>
      </c>
      <c r="AA37" s="9">
        <f>'07_E_manual'!AA29-'09_dash_E'!AA29</f>
        <v>0</v>
      </c>
      <c r="AB37" s="9">
        <f>'07_E_manual'!AB29-'09_dash_E'!AB29</f>
        <v>0</v>
      </c>
      <c r="AC37" s="9">
        <f>'07_E_manual'!AC29-'09_dash_E'!AC29</f>
        <v>-5.2041704279304213E-18</v>
      </c>
      <c r="AD37" s="9">
        <f>'07_E_manual'!AD29-'09_dash_E'!AD29</f>
        <v>0</v>
      </c>
      <c r="AE37" s="9">
        <f>'07_E_manual'!AE29-'09_dash_E'!AE29</f>
        <v>0</v>
      </c>
      <c r="AF37" s="9">
        <f>'07_E_manual'!AF29-'09_dash_E'!AF29</f>
        <v>0</v>
      </c>
      <c r="AG37" s="9">
        <f>'07_E_manual'!AG29-'09_dash_E'!AG29</f>
        <v>0</v>
      </c>
      <c r="AH37" s="9">
        <f>'07_E_manual'!AH29-'09_dash_E'!AH29</f>
        <v>0</v>
      </c>
      <c r="AI37" s="9">
        <f>'07_E_manual'!AI29-'09_dash_E'!AI29</f>
        <v>0</v>
      </c>
    </row>
    <row r="38" spans="1:35" x14ac:dyDescent="0.2">
      <c r="A38" s="12" t="s">
        <v>1394</v>
      </c>
      <c r="B38" s="9">
        <f>'07_E_manual'!B30-'09_dash_E'!B30</f>
        <v>0</v>
      </c>
      <c r="C38" s="9">
        <f>'07_E_manual'!C30-'09_dash_E'!C30</f>
        <v>0</v>
      </c>
      <c r="D38" s="9">
        <f>'07_E_manual'!D30-'09_dash_E'!D30</f>
        <v>0</v>
      </c>
      <c r="E38" s="9">
        <f>'07_E_manual'!E30-'09_dash_E'!E30</f>
        <v>0</v>
      </c>
      <c r="F38" s="9">
        <f>'07_E_manual'!F30-'09_dash_E'!F30</f>
        <v>0</v>
      </c>
      <c r="G38" s="9">
        <f>'07_E_manual'!G30-'09_dash_E'!G30</f>
        <v>0</v>
      </c>
      <c r="H38" s="9">
        <f>'07_E_manual'!H30-'09_dash_E'!H30</f>
        <v>0</v>
      </c>
      <c r="I38" s="9">
        <f>'07_E_manual'!I30-'09_dash_E'!I30</f>
        <v>0</v>
      </c>
      <c r="J38" s="9">
        <f>'07_E_manual'!J30-'09_dash_E'!J30</f>
        <v>0</v>
      </c>
      <c r="K38" s="9">
        <f>'07_E_manual'!K30-'09_dash_E'!K30</f>
        <v>0</v>
      </c>
      <c r="L38" s="9">
        <f>'07_E_manual'!L30-'09_dash_E'!L30</f>
        <v>0</v>
      </c>
      <c r="M38" s="9">
        <f>'07_E_manual'!M30-'09_dash_E'!M30</f>
        <v>0</v>
      </c>
      <c r="N38" s="9">
        <f>'07_E_manual'!N30-'09_dash_E'!N30</f>
        <v>0</v>
      </c>
      <c r="O38" s="9">
        <f>'07_E_manual'!O30-'09_dash_E'!O30</f>
        <v>0</v>
      </c>
      <c r="P38" s="9">
        <f>'07_E_manual'!P30-'09_dash_E'!P30</f>
        <v>0</v>
      </c>
      <c r="Q38" s="9">
        <f>'07_E_manual'!Q30-'09_dash_E'!Q30</f>
        <v>0</v>
      </c>
      <c r="R38" s="9">
        <f>'07_E_manual'!R30-'09_dash_E'!R30</f>
        <v>0</v>
      </c>
      <c r="S38" s="9">
        <f>'07_E_manual'!S30-'09_dash_E'!S30</f>
        <v>0</v>
      </c>
      <c r="T38" s="9">
        <f>'07_E_manual'!T30-'09_dash_E'!T30</f>
        <v>0</v>
      </c>
      <c r="U38" s="9">
        <f>'07_E_manual'!U30-'09_dash_E'!U30</f>
        <v>0</v>
      </c>
      <c r="V38" s="9">
        <f>'07_E_manual'!V30-'09_dash_E'!V30</f>
        <v>0</v>
      </c>
      <c r="W38" s="9">
        <f>'07_E_manual'!W30-'09_dash_E'!W30</f>
        <v>0</v>
      </c>
      <c r="X38" s="9">
        <f>'07_E_manual'!X30-'09_dash_E'!X30</f>
        <v>0</v>
      </c>
      <c r="Y38" s="9">
        <f>'07_E_manual'!Y30-'09_dash_E'!Y30</f>
        <v>0</v>
      </c>
      <c r="Z38" s="9">
        <f>'07_E_manual'!Z30-'09_dash_E'!Z30</f>
        <v>0</v>
      </c>
      <c r="AA38" s="9">
        <f>'07_E_manual'!AA30-'09_dash_E'!AA30</f>
        <v>0</v>
      </c>
      <c r="AB38" s="9">
        <f>'07_E_manual'!AB30-'09_dash_E'!AB30</f>
        <v>0</v>
      </c>
      <c r="AC38" s="9">
        <f>'07_E_manual'!AC30-'09_dash_E'!AC30</f>
        <v>0</v>
      </c>
      <c r="AD38" s="9">
        <f>'07_E_manual'!AD30-'09_dash_E'!AD30</f>
        <v>0</v>
      </c>
      <c r="AE38" s="9">
        <f>'07_E_manual'!AE30-'09_dash_E'!AE30</f>
        <v>0</v>
      </c>
      <c r="AF38" s="9">
        <f>'07_E_manual'!AF30-'09_dash_E'!AF30</f>
        <v>0</v>
      </c>
      <c r="AG38" s="9">
        <f>'07_E_manual'!AG30-'09_dash_E'!AG30</f>
        <v>0</v>
      </c>
      <c r="AH38" s="9">
        <f>'07_E_manual'!AH30-'09_dash_E'!AH30</f>
        <v>0</v>
      </c>
      <c r="AI38" s="9">
        <f>'07_E_manual'!AI30-'09_dash_E'!AI30</f>
        <v>0</v>
      </c>
    </row>
    <row r="39" spans="1:35" x14ac:dyDescent="0.2">
      <c r="A39" s="12" t="s">
        <v>1395</v>
      </c>
      <c r="B39" s="9">
        <f>'07_E_manual'!B31-'09_dash_E'!B31</f>
        <v>0</v>
      </c>
      <c r="C39" s="9">
        <f>'07_E_manual'!C31-'09_dash_E'!C31</f>
        <v>-2.4980018054066022E-16</v>
      </c>
      <c r="D39" s="9">
        <f>'07_E_manual'!D31-'09_dash_E'!D31</f>
        <v>-5.5511151231257827E-17</v>
      </c>
      <c r="E39" s="9">
        <f>'07_E_manual'!E31-'09_dash_E'!E31</f>
        <v>0</v>
      </c>
      <c r="F39" s="9">
        <f>'07_E_manual'!F31-'09_dash_E'!F31</f>
        <v>-3.4694469519536142E-17</v>
      </c>
      <c r="G39" s="9">
        <f>'07_E_manual'!G31-'09_dash_E'!G31</f>
        <v>0</v>
      </c>
      <c r="H39" s="9">
        <f>'07_E_manual'!H31-'09_dash_E'!H31</f>
        <v>0</v>
      </c>
      <c r="I39" s="9">
        <f>'07_E_manual'!I31-'09_dash_E'!I31</f>
        <v>0</v>
      </c>
      <c r="J39" s="9">
        <f>'07_E_manual'!J31-'09_dash_E'!J31</f>
        <v>-1.5612511283791264E-17</v>
      </c>
      <c r="K39" s="9">
        <f>'07_E_manual'!K31-'09_dash_E'!K31</f>
        <v>0</v>
      </c>
      <c r="L39" s="9">
        <f>'07_E_manual'!L31-'09_dash_E'!L31</f>
        <v>0</v>
      </c>
      <c r="M39" s="9">
        <f>'07_E_manual'!M31-'09_dash_E'!M31</f>
        <v>0</v>
      </c>
      <c r="N39" s="9">
        <f>'07_E_manual'!N31-'09_dash_E'!N31</f>
        <v>0</v>
      </c>
      <c r="O39" s="9">
        <f>'07_E_manual'!O31-'09_dash_E'!O31</f>
        <v>0</v>
      </c>
      <c r="P39" s="9">
        <f>'07_E_manual'!P31-'09_dash_E'!P31</f>
        <v>0</v>
      </c>
      <c r="Q39" s="9">
        <f>'07_E_manual'!Q31-'09_dash_E'!Q31</f>
        <v>0</v>
      </c>
      <c r="R39" s="9">
        <f>'07_E_manual'!R31-'09_dash_E'!R31</f>
        <v>0</v>
      </c>
      <c r="S39" s="9">
        <f>'07_E_manual'!S31-'09_dash_E'!S31</f>
        <v>0</v>
      </c>
      <c r="T39" s="9">
        <f>'07_E_manual'!T31-'09_dash_E'!T31</f>
        <v>0</v>
      </c>
      <c r="U39" s="9">
        <f>'07_E_manual'!U31-'09_dash_E'!U31</f>
        <v>0</v>
      </c>
      <c r="V39" s="9">
        <f>'07_E_manual'!V31-'09_dash_E'!V31</f>
        <v>0</v>
      </c>
      <c r="W39" s="9">
        <f>'07_E_manual'!W31-'09_dash_E'!W31</f>
        <v>-5.5511151231257827E-17</v>
      </c>
      <c r="X39" s="9">
        <f>'07_E_manual'!X31-'09_dash_E'!X31</f>
        <v>0</v>
      </c>
      <c r="Y39" s="9">
        <f>'07_E_manual'!Y31-'09_dash_E'!Y31</f>
        <v>-1.3877787807814457E-17</v>
      </c>
      <c r="Z39" s="9">
        <f>'07_E_manual'!Z31-'09_dash_E'!Z31</f>
        <v>0</v>
      </c>
      <c r="AA39" s="9">
        <f>'07_E_manual'!AA31-'09_dash_E'!AA31</f>
        <v>0</v>
      </c>
      <c r="AB39" s="9">
        <f>'07_E_manual'!AB31-'09_dash_E'!AB31</f>
        <v>0</v>
      </c>
      <c r="AC39" s="9">
        <f>'07_E_manual'!AC31-'09_dash_E'!AC31</f>
        <v>0</v>
      </c>
      <c r="AD39" s="9">
        <f>'07_E_manual'!AD31-'09_dash_E'!AD31</f>
        <v>0</v>
      </c>
      <c r="AE39" s="9">
        <f>'07_E_manual'!AE31-'09_dash_E'!AE31</f>
        <v>0</v>
      </c>
      <c r="AF39" s="9">
        <f>'07_E_manual'!AF31-'09_dash_E'!AF31</f>
        <v>0</v>
      </c>
      <c r="AG39" s="9">
        <f>'07_E_manual'!AG31-'09_dash_E'!AG31</f>
        <v>0</v>
      </c>
      <c r="AH39" s="9">
        <f>'07_E_manual'!AH31-'09_dash_E'!AH31</f>
        <v>0</v>
      </c>
      <c r="AI39" s="9">
        <f>'07_E_manual'!AI31-'09_dash_E'!AI31</f>
        <v>0</v>
      </c>
    </row>
    <row r="40" spans="1:35" x14ac:dyDescent="0.2">
      <c r="A40" s="12" t="s">
        <v>1396</v>
      </c>
      <c r="B40" s="9">
        <f>'07_E_manual'!B32-'09_dash_E'!B32</f>
        <v>0</v>
      </c>
      <c r="C40" s="9">
        <f>'07_E_manual'!C32-'09_dash_E'!C32</f>
        <v>0</v>
      </c>
      <c r="D40" s="9">
        <f>'07_E_manual'!D32-'09_dash_E'!D32</f>
        <v>0</v>
      </c>
      <c r="E40" s="9">
        <f>'07_E_manual'!E32-'09_dash_E'!E32</f>
        <v>0</v>
      </c>
      <c r="F40" s="9">
        <f>'07_E_manual'!F32-'09_dash_E'!F32</f>
        <v>0</v>
      </c>
      <c r="G40" s="9">
        <f>'07_E_manual'!G32-'09_dash_E'!G32</f>
        <v>0</v>
      </c>
      <c r="H40" s="9">
        <f>'07_E_manual'!H32-'09_dash_E'!H32</f>
        <v>0</v>
      </c>
      <c r="I40" s="9">
        <f>'07_E_manual'!I32-'09_dash_E'!I32</f>
        <v>0</v>
      </c>
      <c r="J40" s="9">
        <f>'07_E_manual'!J32-'09_dash_E'!J32</f>
        <v>0</v>
      </c>
      <c r="K40" s="9">
        <f>'07_E_manual'!K32-'09_dash_E'!K32</f>
        <v>0</v>
      </c>
      <c r="L40" s="9">
        <f>'07_E_manual'!L32-'09_dash_E'!L32</f>
        <v>0</v>
      </c>
      <c r="M40" s="9">
        <f>'07_E_manual'!M32-'09_dash_E'!M32</f>
        <v>0</v>
      </c>
      <c r="N40" s="9">
        <f>'07_E_manual'!N32-'09_dash_E'!N32</f>
        <v>0</v>
      </c>
      <c r="O40" s="9">
        <f>'07_E_manual'!O32-'09_dash_E'!O32</f>
        <v>0</v>
      </c>
      <c r="P40" s="9">
        <f>'07_E_manual'!P32-'09_dash_E'!P32</f>
        <v>0</v>
      </c>
      <c r="Q40" s="9">
        <f>'07_E_manual'!Q32-'09_dash_E'!Q32</f>
        <v>0</v>
      </c>
      <c r="R40" s="9">
        <f>'07_E_manual'!R32-'09_dash_E'!R32</f>
        <v>0</v>
      </c>
      <c r="S40" s="9">
        <f>'07_E_manual'!S32-'09_dash_E'!S32</f>
        <v>1.9428902930940239E-16</v>
      </c>
      <c r="T40" s="9">
        <f>'07_E_manual'!T32-'09_dash_E'!T32</f>
        <v>0</v>
      </c>
      <c r="U40" s="9">
        <f>'07_E_manual'!U32-'09_dash_E'!U32</f>
        <v>0</v>
      </c>
      <c r="V40" s="9">
        <f>'07_E_manual'!V32-'09_dash_E'!V32</f>
        <v>0</v>
      </c>
      <c r="W40" s="9">
        <f>'07_E_manual'!W32-'09_dash_E'!W32</f>
        <v>0</v>
      </c>
      <c r="X40" s="9">
        <f>'07_E_manual'!X32-'09_dash_E'!X32</f>
        <v>0</v>
      </c>
      <c r="Y40" s="9">
        <f>'07_E_manual'!Y32-'09_dash_E'!Y32</f>
        <v>0</v>
      </c>
      <c r="Z40" s="9">
        <f>'07_E_manual'!Z32-'09_dash_E'!Z32</f>
        <v>0</v>
      </c>
      <c r="AA40" s="9">
        <f>'07_E_manual'!AA32-'09_dash_E'!AA32</f>
        <v>0</v>
      </c>
      <c r="AB40" s="9">
        <f>'07_E_manual'!AB32-'09_dash_E'!AB32</f>
        <v>0</v>
      </c>
      <c r="AC40" s="9">
        <f>'07_E_manual'!AC32-'09_dash_E'!AC32</f>
        <v>0</v>
      </c>
      <c r="AD40" s="9">
        <f>'07_E_manual'!AD32-'09_dash_E'!AD32</f>
        <v>0</v>
      </c>
      <c r="AE40" s="9">
        <f>'07_E_manual'!AE32-'09_dash_E'!AE32</f>
        <v>0</v>
      </c>
      <c r="AF40" s="9">
        <f>'07_E_manual'!AF32-'09_dash_E'!AF32</f>
        <v>0</v>
      </c>
      <c r="AG40" s="9">
        <f>'07_E_manual'!AG32-'09_dash_E'!AG32</f>
        <v>0</v>
      </c>
      <c r="AH40" s="9">
        <f>'07_E_manual'!AH32-'09_dash_E'!AH32</f>
        <v>0</v>
      </c>
      <c r="AI40" s="9">
        <f>'07_E_manual'!AI32-'09_dash_E'!AI32</f>
        <v>0</v>
      </c>
    </row>
    <row r="41" spans="1:35" x14ac:dyDescent="0.2">
      <c r="A41" s="12" t="s">
        <v>1397</v>
      </c>
      <c r="B41" s="9">
        <f>'07_E_manual'!B33-'09_dash_E'!B33</f>
        <v>0</v>
      </c>
      <c r="C41" s="9">
        <f>'07_E_manual'!C33-'09_dash_E'!C33</f>
        <v>0</v>
      </c>
      <c r="D41" s="9">
        <f>'07_E_manual'!D33-'09_dash_E'!D33</f>
        <v>0</v>
      </c>
      <c r="E41" s="9">
        <f>'07_E_manual'!E33-'09_dash_E'!E33</f>
        <v>0</v>
      </c>
      <c r="F41" s="9">
        <f>'07_E_manual'!F33-'09_dash_E'!F33</f>
        <v>0</v>
      </c>
      <c r="G41" s="9">
        <f>'07_E_manual'!G33-'09_dash_E'!G33</f>
        <v>0</v>
      </c>
      <c r="H41" s="9">
        <f>'07_E_manual'!H33-'09_dash_E'!H33</f>
        <v>0</v>
      </c>
      <c r="I41" s="9">
        <f>'07_E_manual'!I33-'09_dash_E'!I33</f>
        <v>0</v>
      </c>
      <c r="J41" s="9">
        <f>'07_E_manual'!J33-'09_dash_E'!J33</f>
        <v>0</v>
      </c>
      <c r="K41" s="9">
        <f>'07_E_manual'!K33-'09_dash_E'!K33</f>
        <v>0</v>
      </c>
      <c r="L41" s="9">
        <f>'07_E_manual'!L33-'09_dash_E'!L33</f>
        <v>0</v>
      </c>
      <c r="M41" s="9">
        <f>'07_E_manual'!M33-'09_dash_E'!M33</f>
        <v>0</v>
      </c>
      <c r="N41" s="9">
        <f>'07_E_manual'!N33-'09_dash_E'!N33</f>
        <v>0</v>
      </c>
      <c r="O41" s="9">
        <f>'07_E_manual'!O33-'09_dash_E'!O33</f>
        <v>0</v>
      </c>
      <c r="P41" s="9">
        <f>'07_E_manual'!P33-'09_dash_E'!P33</f>
        <v>0</v>
      </c>
      <c r="Q41" s="9">
        <f>'07_E_manual'!Q33-'09_dash_E'!Q33</f>
        <v>0</v>
      </c>
      <c r="R41" s="9">
        <f>'07_E_manual'!R33-'09_dash_E'!R33</f>
        <v>0</v>
      </c>
      <c r="S41" s="9">
        <f>'07_E_manual'!S33-'09_dash_E'!S33</f>
        <v>0</v>
      </c>
      <c r="T41" s="9">
        <f>'07_E_manual'!T33-'09_dash_E'!T33</f>
        <v>0</v>
      </c>
      <c r="U41" s="9">
        <f>'07_E_manual'!U33-'09_dash_E'!U33</f>
        <v>0</v>
      </c>
      <c r="V41" s="9">
        <f>'07_E_manual'!V33-'09_dash_E'!V33</f>
        <v>0</v>
      </c>
      <c r="W41" s="9">
        <f>'07_E_manual'!W33-'09_dash_E'!W33</f>
        <v>0</v>
      </c>
      <c r="X41" s="9">
        <f>'07_E_manual'!X33-'09_dash_E'!X33</f>
        <v>0</v>
      </c>
      <c r="Y41" s="9">
        <f>'07_E_manual'!Y33-'09_dash_E'!Y33</f>
        <v>0</v>
      </c>
      <c r="Z41" s="9">
        <f>'07_E_manual'!Z33-'09_dash_E'!Z33</f>
        <v>0</v>
      </c>
      <c r="AA41" s="9">
        <f>'07_E_manual'!AA33-'09_dash_E'!AA33</f>
        <v>0</v>
      </c>
      <c r="AB41" s="9">
        <f>'07_E_manual'!AB33-'09_dash_E'!AB33</f>
        <v>0</v>
      </c>
      <c r="AC41" s="9">
        <f>'07_E_manual'!AC33-'09_dash_E'!AC33</f>
        <v>0</v>
      </c>
      <c r="AD41" s="9">
        <f>'07_E_manual'!AD33-'09_dash_E'!AD33</f>
        <v>0</v>
      </c>
      <c r="AE41" s="9">
        <f>'07_E_manual'!AE33-'09_dash_E'!AE33</f>
        <v>0</v>
      </c>
      <c r="AF41" s="9">
        <f>'07_E_manual'!AF33-'09_dash_E'!AF33</f>
        <v>0</v>
      </c>
      <c r="AG41" s="9">
        <f>'07_E_manual'!AG33-'09_dash_E'!AG33</f>
        <v>0</v>
      </c>
      <c r="AH41" s="9">
        <f>'07_E_manual'!AH33-'09_dash_E'!AH33</f>
        <v>0</v>
      </c>
      <c r="AI41" s="9">
        <f>'07_E_manual'!AI33-'09_dash_E'!AI33</f>
        <v>0</v>
      </c>
    </row>
    <row r="42" spans="1:35" x14ac:dyDescent="0.2">
      <c r="A42" s="12" t="s">
        <v>1398</v>
      </c>
      <c r="B42" s="9">
        <f>'07_E_manual'!B34-'09_dash_E'!B34</f>
        <v>0</v>
      </c>
      <c r="C42" s="9">
        <f>'07_E_manual'!C34-'09_dash_E'!C34</f>
        <v>0</v>
      </c>
      <c r="D42" s="9">
        <f>'07_E_manual'!D34-'09_dash_E'!D34</f>
        <v>0</v>
      </c>
      <c r="E42" s="9">
        <f>'07_E_manual'!E34-'09_dash_E'!E34</f>
        <v>0</v>
      </c>
      <c r="F42" s="9">
        <f>'07_E_manual'!F34-'09_dash_E'!F34</f>
        <v>0</v>
      </c>
      <c r="G42" s="9">
        <f>'07_E_manual'!G34-'09_dash_E'!G34</f>
        <v>0</v>
      </c>
      <c r="H42" s="9">
        <f>'07_E_manual'!H34-'09_dash_E'!H34</f>
        <v>0</v>
      </c>
      <c r="I42" s="9">
        <f>'07_E_manual'!I34-'09_dash_E'!I34</f>
        <v>0</v>
      </c>
      <c r="J42" s="9">
        <f>'07_E_manual'!J34-'09_dash_E'!J34</f>
        <v>0</v>
      </c>
      <c r="K42" s="9">
        <f>'07_E_manual'!K34-'09_dash_E'!K34</f>
        <v>0</v>
      </c>
      <c r="L42" s="9">
        <f>'07_E_manual'!L34-'09_dash_E'!L34</f>
        <v>0</v>
      </c>
      <c r="M42" s="9">
        <f>'07_E_manual'!M34-'09_dash_E'!M34</f>
        <v>0</v>
      </c>
      <c r="N42" s="9">
        <f>'07_E_manual'!N34-'09_dash_E'!N34</f>
        <v>0</v>
      </c>
      <c r="O42" s="9">
        <f>'07_E_manual'!O34-'09_dash_E'!O34</f>
        <v>0</v>
      </c>
      <c r="P42" s="9">
        <f>'07_E_manual'!P34-'09_dash_E'!P34</f>
        <v>0</v>
      </c>
      <c r="Q42" s="9">
        <f>'07_E_manual'!Q34-'09_dash_E'!Q34</f>
        <v>0</v>
      </c>
      <c r="R42" s="9">
        <f>'07_E_manual'!R34-'09_dash_E'!R34</f>
        <v>0</v>
      </c>
      <c r="S42" s="9">
        <f>'07_E_manual'!S34-'09_dash_E'!S34</f>
        <v>0</v>
      </c>
      <c r="T42" s="9">
        <f>'07_E_manual'!T34-'09_dash_E'!T34</f>
        <v>0</v>
      </c>
      <c r="U42" s="9">
        <f>'07_E_manual'!U34-'09_dash_E'!U34</f>
        <v>0</v>
      </c>
      <c r="V42" s="9">
        <f>'07_E_manual'!V34-'09_dash_E'!V34</f>
        <v>0</v>
      </c>
      <c r="W42" s="9">
        <f>'07_E_manual'!W34-'09_dash_E'!W34</f>
        <v>0</v>
      </c>
      <c r="X42" s="9">
        <f>'07_E_manual'!X34-'09_dash_E'!X34</f>
        <v>0</v>
      </c>
      <c r="Y42" s="9">
        <f>'07_E_manual'!Y34-'09_dash_E'!Y34</f>
        <v>0</v>
      </c>
      <c r="Z42" s="9">
        <f>'07_E_manual'!Z34-'09_dash_E'!Z34</f>
        <v>0</v>
      </c>
      <c r="AA42" s="9">
        <f>'07_E_manual'!AA34-'09_dash_E'!AA34</f>
        <v>0</v>
      </c>
      <c r="AB42" s="9">
        <f>'07_E_manual'!AB34-'09_dash_E'!AB34</f>
        <v>0</v>
      </c>
      <c r="AC42" s="9">
        <f>'07_E_manual'!AC34-'09_dash_E'!AC34</f>
        <v>0</v>
      </c>
      <c r="AD42" s="9">
        <f>'07_E_manual'!AD34-'09_dash_E'!AD34</f>
        <v>0</v>
      </c>
      <c r="AE42" s="9">
        <f>'07_E_manual'!AE34-'09_dash_E'!AE34</f>
        <v>0</v>
      </c>
      <c r="AF42" s="9">
        <f>'07_E_manual'!AF34-'09_dash_E'!AF34</f>
        <v>0</v>
      </c>
      <c r="AG42" s="9">
        <f>'07_E_manual'!AG34-'09_dash_E'!AG34</f>
        <v>0</v>
      </c>
      <c r="AH42" s="9">
        <f>'07_E_manual'!AH34-'09_dash_E'!AH34</f>
        <v>0</v>
      </c>
      <c r="AI42" s="9">
        <f>'07_E_manual'!AI34-'09_dash_E'!AI34</f>
        <v>0</v>
      </c>
    </row>
    <row r="43" spans="1:35" x14ac:dyDescent="0.2">
      <c r="A43" s="12" t="s">
        <v>1399</v>
      </c>
      <c r="B43" s="9">
        <f>'07_E_manual'!B35-'09_dash_E'!B35</f>
        <v>0</v>
      </c>
      <c r="C43" s="9">
        <f>'07_E_manual'!C35-'09_dash_E'!C35</f>
        <v>0</v>
      </c>
      <c r="D43" s="9">
        <f>'07_E_manual'!D35-'09_dash_E'!D35</f>
        <v>0</v>
      </c>
      <c r="E43" s="9">
        <f>'07_E_manual'!E35-'09_dash_E'!E35</f>
        <v>0</v>
      </c>
      <c r="F43" s="9">
        <f>'07_E_manual'!F35-'09_dash_E'!F35</f>
        <v>0</v>
      </c>
      <c r="G43" s="9">
        <f>'07_E_manual'!G35-'09_dash_E'!G35</f>
        <v>0</v>
      </c>
      <c r="H43" s="9">
        <f>'07_E_manual'!H35-'09_dash_E'!H35</f>
        <v>0</v>
      </c>
      <c r="I43" s="9">
        <f>'07_E_manual'!I35-'09_dash_E'!I35</f>
        <v>0</v>
      </c>
      <c r="J43" s="9">
        <f>'07_E_manual'!J35-'09_dash_E'!J35</f>
        <v>0</v>
      </c>
      <c r="K43" s="9">
        <f>'07_E_manual'!K35-'09_dash_E'!K35</f>
        <v>0</v>
      </c>
      <c r="L43" s="9">
        <f>'07_E_manual'!L35-'09_dash_E'!L35</f>
        <v>0</v>
      </c>
      <c r="M43" s="9">
        <f>'07_E_manual'!M35-'09_dash_E'!M35</f>
        <v>0</v>
      </c>
      <c r="N43" s="9">
        <f>'07_E_manual'!N35-'09_dash_E'!N35</f>
        <v>0</v>
      </c>
      <c r="O43" s="9">
        <f>'07_E_manual'!O35-'09_dash_E'!O35</f>
        <v>0</v>
      </c>
      <c r="P43" s="9">
        <f>'07_E_manual'!P35-'09_dash_E'!P35</f>
        <v>0</v>
      </c>
      <c r="Q43" s="9">
        <f>'07_E_manual'!Q35-'09_dash_E'!Q35</f>
        <v>0</v>
      </c>
      <c r="R43" s="9">
        <f>'07_E_manual'!R35-'09_dash_E'!R35</f>
        <v>0</v>
      </c>
      <c r="S43" s="9">
        <f>'07_E_manual'!S35-'09_dash_E'!S35</f>
        <v>0</v>
      </c>
      <c r="T43" s="9">
        <f>'07_E_manual'!T35-'09_dash_E'!T35</f>
        <v>0</v>
      </c>
      <c r="U43" s="9">
        <f>'07_E_manual'!U35-'09_dash_E'!U35</f>
        <v>0</v>
      </c>
      <c r="V43" s="9">
        <f>'07_E_manual'!V35-'09_dash_E'!V35</f>
        <v>0</v>
      </c>
      <c r="W43" s="9">
        <f>'07_E_manual'!W35-'09_dash_E'!W35</f>
        <v>0</v>
      </c>
      <c r="X43" s="9">
        <f>'07_E_manual'!X35-'09_dash_E'!X35</f>
        <v>0</v>
      </c>
      <c r="Y43" s="9">
        <f>'07_E_manual'!Y35-'09_dash_E'!Y35</f>
        <v>0</v>
      </c>
      <c r="Z43" s="9">
        <f>'07_E_manual'!Z35-'09_dash_E'!Z35</f>
        <v>0</v>
      </c>
      <c r="AA43" s="9">
        <f>'07_E_manual'!AA35-'09_dash_E'!AA35</f>
        <v>0</v>
      </c>
      <c r="AB43" s="9">
        <f>'07_E_manual'!AB35-'09_dash_E'!AB35</f>
        <v>0</v>
      </c>
      <c r="AC43" s="9">
        <f>'07_E_manual'!AC35-'09_dash_E'!AC35</f>
        <v>0</v>
      </c>
      <c r="AD43" s="9">
        <f>'07_E_manual'!AD35-'09_dash_E'!AD35</f>
        <v>0</v>
      </c>
      <c r="AE43" s="9">
        <f>'07_E_manual'!AE35-'09_dash_E'!AE35</f>
        <v>0</v>
      </c>
      <c r="AF43" s="9">
        <f>'07_E_manual'!AF35-'09_dash_E'!AF35</f>
        <v>0</v>
      </c>
      <c r="AG43" s="9">
        <f>'07_E_manual'!AG35-'09_dash_E'!AG35</f>
        <v>0</v>
      </c>
      <c r="AH43" s="9">
        <f>'07_E_manual'!AH35-'09_dash_E'!AH35</f>
        <v>0</v>
      </c>
      <c r="AI43" s="9">
        <f>'07_E_manual'!AI35-'09_dash_E'!AI35</f>
        <v>0</v>
      </c>
    </row>
    <row r="44" spans="1:35" x14ac:dyDescent="0.2">
      <c r="A44" s="12" t="s">
        <v>1400</v>
      </c>
      <c r="B44" s="9">
        <f>'07_E_manual'!B36-'09_dash_E'!B36</f>
        <v>0</v>
      </c>
      <c r="C44" s="9">
        <f>'07_E_manual'!C36-'09_dash_E'!C36</f>
        <v>0</v>
      </c>
      <c r="D44" s="9">
        <f>'07_E_manual'!D36-'09_dash_E'!D36</f>
        <v>0</v>
      </c>
      <c r="E44" s="9">
        <f>'07_E_manual'!E36-'09_dash_E'!E36</f>
        <v>0</v>
      </c>
      <c r="F44" s="9">
        <f>'07_E_manual'!F36-'09_dash_E'!F36</f>
        <v>0</v>
      </c>
      <c r="G44" s="9">
        <f>'07_E_manual'!G36-'09_dash_E'!G36</f>
        <v>0</v>
      </c>
      <c r="H44" s="9">
        <f>'07_E_manual'!H36-'09_dash_E'!H36</f>
        <v>0</v>
      </c>
      <c r="I44" s="9">
        <f>'07_E_manual'!I36-'09_dash_E'!I36</f>
        <v>0</v>
      </c>
      <c r="J44" s="9">
        <f>'07_E_manual'!J36-'09_dash_E'!J36</f>
        <v>0</v>
      </c>
      <c r="K44" s="9">
        <f>'07_E_manual'!K36-'09_dash_E'!K36</f>
        <v>0</v>
      </c>
      <c r="L44" s="9">
        <f>'07_E_manual'!L36-'09_dash_E'!L36</f>
        <v>0</v>
      </c>
      <c r="M44" s="9">
        <f>'07_E_manual'!M36-'09_dash_E'!M36</f>
        <v>0</v>
      </c>
      <c r="N44" s="9">
        <f>'07_E_manual'!N36-'09_dash_E'!N36</f>
        <v>0</v>
      </c>
      <c r="O44" s="9">
        <f>'07_E_manual'!O36-'09_dash_E'!O36</f>
        <v>0</v>
      </c>
      <c r="P44" s="9">
        <f>'07_E_manual'!P36-'09_dash_E'!P36</f>
        <v>0</v>
      </c>
      <c r="Q44" s="9">
        <f>'07_E_manual'!Q36-'09_dash_E'!Q36</f>
        <v>0</v>
      </c>
      <c r="R44" s="9">
        <f>'07_E_manual'!R36-'09_dash_E'!R36</f>
        <v>0</v>
      </c>
      <c r="S44" s="9">
        <f>'07_E_manual'!S36-'09_dash_E'!S36</f>
        <v>0</v>
      </c>
      <c r="T44" s="9">
        <f>'07_E_manual'!T36-'09_dash_E'!T36</f>
        <v>0</v>
      </c>
      <c r="U44" s="9">
        <f>'07_E_manual'!U36-'09_dash_E'!U36</f>
        <v>0</v>
      </c>
      <c r="V44" s="9">
        <f>'07_E_manual'!V36-'09_dash_E'!V36</f>
        <v>0</v>
      </c>
      <c r="W44" s="9">
        <f>'07_E_manual'!W36-'09_dash_E'!W36</f>
        <v>0</v>
      </c>
      <c r="X44" s="9">
        <f>'07_E_manual'!X36-'09_dash_E'!X36</f>
        <v>0</v>
      </c>
      <c r="Y44" s="9">
        <f>'07_E_manual'!Y36-'09_dash_E'!Y36</f>
        <v>0</v>
      </c>
      <c r="Z44" s="9">
        <f>'07_E_manual'!Z36-'09_dash_E'!Z36</f>
        <v>0</v>
      </c>
      <c r="AA44" s="9">
        <f>'07_E_manual'!AA36-'09_dash_E'!AA36</f>
        <v>0</v>
      </c>
      <c r="AB44" s="9">
        <f>'07_E_manual'!AB36-'09_dash_E'!AB36</f>
        <v>0</v>
      </c>
      <c r="AC44" s="9">
        <f>'07_E_manual'!AC36-'09_dash_E'!AC36</f>
        <v>0</v>
      </c>
      <c r="AD44" s="9">
        <f>'07_E_manual'!AD36-'09_dash_E'!AD36</f>
        <v>0</v>
      </c>
      <c r="AE44" s="9">
        <f>'07_E_manual'!AE36-'09_dash_E'!AE36</f>
        <v>0</v>
      </c>
      <c r="AF44" s="9">
        <f>'07_E_manual'!AF36-'09_dash_E'!AF36</f>
        <v>0</v>
      </c>
      <c r="AG44" s="9">
        <f>'07_E_manual'!AG36-'09_dash_E'!AG36</f>
        <v>0</v>
      </c>
      <c r="AH44" s="9">
        <f>'07_E_manual'!AH36-'09_dash_E'!AH36</f>
        <v>0</v>
      </c>
      <c r="AI44" s="9">
        <f>'07_E_manual'!AI36-'09_dash_E'!AI36</f>
        <v>0</v>
      </c>
    </row>
    <row r="45" spans="1:35" x14ac:dyDescent="0.2">
      <c r="A45" s="12" t="s">
        <v>1401</v>
      </c>
      <c r="B45" s="9">
        <f>'07_E_manual'!B37-'09_dash_E'!B37</f>
        <v>0</v>
      </c>
      <c r="C45" s="9">
        <f>'07_E_manual'!C37-'09_dash_E'!C37</f>
        <v>0</v>
      </c>
      <c r="D45" s="9">
        <f>'07_E_manual'!D37-'09_dash_E'!D37</f>
        <v>0</v>
      </c>
      <c r="E45" s="9">
        <f>'07_E_manual'!E37-'09_dash_E'!E37</f>
        <v>0</v>
      </c>
      <c r="F45" s="9">
        <f>'07_E_manual'!F37-'09_dash_E'!F37</f>
        <v>0</v>
      </c>
      <c r="G45" s="9">
        <f>'07_E_manual'!G37-'09_dash_E'!G37</f>
        <v>0</v>
      </c>
      <c r="H45" s="9">
        <f>'07_E_manual'!H37-'09_dash_E'!H37</f>
        <v>0</v>
      </c>
      <c r="I45" s="9">
        <f>'07_E_manual'!I37-'09_dash_E'!I37</f>
        <v>0</v>
      </c>
      <c r="J45" s="9">
        <f>'07_E_manual'!J37-'09_dash_E'!J37</f>
        <v>0</v>
      </c>
      <c r="K45" s="9">
        <f>'07_E_manual'!K37-'09_dash_E'!K37</f>
        <v>0</v>
      </c>
      <c r="L45" s="9">
        <f>'07_E_manual'!L37-'09_dash_E'!L37</f>
        <v>0</v>
      </c>
      <c r="M45" s="9">
        <f>'07_E_manual'!M37-'09_dash_E'!M37</f>
        <v>0</v>
      </c>
      <c r="N45" s="9">
        <f>'07_E_manual'!N37-'09_dash_E'!N37</f>
        <v>0</v>
      </c>
      <c r="O45" s="9">
        <f>'07_E_manual'!O37-'09_dash_E'!O37</f>
        <v>0</v>
      </c>
      <c r="P45" s="9">
        <f>'07_E_manual'!P37-'09_dash_E'!P37</f>
        <v>0</v>
      </c>
      <c r="Q45" s="9">
        <f>'07_E_manual'!Q37-'09_dash_E'!Q37</f>
        <v>0</v>
      </c>
      <c r="R45" s="9">
        <f>'07_E_manual'!R37-'09_dash_E'!R37</f>
        <v>0</v>
      </c>
      <c r="S45" s="9">
        <f>'07_E_manual'!S37-'09_dash_E'!S37</f>
        <v>0</v>
      </c>
      <c r="T45" s="9">
        <f>'07_E_manual'!T37-'09_dash_E'!T37</f>
        <v>0</v>
      </c>
      <c r="U45" s="9">
        <f>'07_E_manual'!U37-'09_dash_E'!U37</f>
        <v>0</v>
      </c>
      <c r="V45" s="9">
        <f>'07_E_manual'!V37-'09_dash_E'!V37</f>
        <v>0</v>
      </c>
      <c r="W45" s="9">
        <f>'07_E_manual'!W37-'09_dash_E'!W37</f>
        <v>0</v>
      </c>
      <c r="X45" s="9">
        <f>'07_E_manual'!X37-'09_dash_E'!X37</f>
        <v>0</v>
      </c>
      <c r="Y45" s="9">
        <f>'07_E_manual'!Y37-'09_dash_E'!Y37</f>
        <v>0</v>
      </c>
      <c r="Z45" s="9">
        <f>'07_E_manual'!Z37-'09_dash_E'!Z37</f>
        <v>0</v>
      </c>
      <c r="AA45" s="9">
        <f>'07_E_manual'!AA37-'09_dash_E'!AA37</f>
        <v>0</v>
      </c>
      <c r="AB45" s="9">
        <f>'07_E_manual'!AB37-'09_dash_E'!AB37</f>
        <v>0</v>
      </c>
      <c r="AC45" s="9">
        <f>'07_E_manual'!AC37-'09_dash_E'!AC37</f>
        <v>0</v>
      </c>
      <c r="AD45" s="9">
        <f>'07_E_manual'!AD37-'09_dash_E'!AD37</f>
        <v>0</v>
      </c>
      <c r="AE45" s="9">
        <f>'07_E_manual'!AE37-'09_dash_E'!AE37</f>
        <v>0</v>
      </c>
      <c r="AF45" s="9">
        <f>'07_E_manual'!AF37-'09_dash_E'!AF37</f>
        <v>0</v>
      </c>
      <c r="AG45" s="9">
        <f>'07_E_manual'!AG37-'09_dash_E'!AG37</f>
        <v>0</v>
      </c>
      <c r="AH45" s="9">
        <f>'07_E_manual'!AH37-'09_dash_E'!AH37</f>
        <v>0</v>
      </c>
      <c r="AI45" s="9">
        <f>'07_E_manual'!AI37-'09_dash_E'!AI37</f>
        <v>0</v>
      </c>
    </row>
    <row r="46" spans="1:35" x14ac:dyDescent="0.2">
      <c r="A46" s="12" t="s">
        <v>1402</v>
      </c>
      <c r="B46" s="9">
        <f>'07_E_manual'!B38-'09_dash_E'!B38</f>
        <v>0</v>
      </c>
      <c r="C46" s="9">
        <f>'07_E_manual'!C38-'09_dash_E'!C38</f>
        <v>0</v>
      </c>
      <c r="D46" s="9">
        <f>'07_E_manual'!D38-'09_dash_E'!D38</f>
        <v>0</v>
      </c>
      <c r="E46" s="9">
        <f>'07_E_manual'!E38-'09_dash_E'!E38</f>
        <v>0</v>
      </c>
      <c r="F46" s="9">
        <f>'07_E_manual'!F38-'09_dash_E'!F38</f>
        <v>0</v>
      </c>
      <c r="G46" s="9">
        <f>'07_E_manual'!G38-'09_dash_E'!G38</f>
        <v>0</v>
      </c>
      <c r="H46" s="9">
        <f>'07_E_manual'!H38-'09_dash_E'!H38</f>
        <v>0</v>
      </c>
      <c r="I46" s="9">
        <f>'07_E_manual'!I38-'09_dash_E'!I38</f>
        <v>0</v>
      </c>
      <c r="J46" s="9">
        <f>'07_E_manual'!J38-'09_dash_E'!J38</f>
        <v>0</v>
      </c>
      <c r="K46" s="9">
        <f>'07_E_manual'!K38-'09_dash_E'!K38</f>
        <v>0</v>
      </c>
      <c r="L46" s="9">
        <f>'07_E_manual'!L38-'09_dash_E'!L38</f>
        <v>0</v>
      </c>
      <c r="M46" s="9">
        <f>'07_E_manual'!M38-'09_dash_E'!M38</f>
        <v>0</v>
      </c>
      <c r="N46" s="9">
        <f>'07_E_manual'!N38-'09_dash_E'!N38</f>
        <v>0</v>
      </c>
      <c r="O46" s="9">
        <f>'07_E_manual'!O38-'09_dash_E'!O38</f>
        <v>0</v>
      </c>
      <c r="P46" s="9">
        <f>'07_E_manual'!P38-'09_dash_E'!P38</f>
        <v>0</v>
      </c>
      <c r="Q46" s="9">
        <f>'07_E_manual'!Q38-'09_dash_E'!Q38</f>
        <v>0</v>
      </c>
      <c r="R46" s="9">
        <f>'07_E_manual'!R38-'09_dash_E'!R38</f>
        <v>0</v>
      </c>
      <c r="S46" s="9">
        <f>'07_E_manual'!S38-'09_dash_E'!S38</f>
        <v>0</v>
      </c>
      <c r="T46" s="9">
        <f>'07_E_manual'!T38-'09_dash_E'!T38</f>
        <v>0</v>
      </c>
      <c r="U46" s="9">
        <f>'07_E_manual'!U38-'09_dash_E'!U38</f>
        <v>0</v>
      </c>
      <c r="V46" s="9">
        <f>'07_E_manual'!V38-'09_dash_E'!V38</f>
        <v>0</v>
      </c>
      <c r="W46" s="9">
        <f>'07_E_manual'!W38-'09_dash_E'!W38</f>
        <v>0</v>
      </c>
      <c r="X46" s="9">
        <f>'07_E_manual'!X38-'09_dash_E'!X38</f>
        <v>0</v>
      </c>
      <c r="Y46" s="9">
        <f>'07_E_manual'!Y38-'09_dash_E'!Y38</f>
        <v>0</v>
      </c>
      <c r="Z46" s="9">
        <f>'07_E_manual'!Z38-'09_dash_E'!Z38</f>
        <v>0</v>
      </c>
      <c r="AA46" s="9">
        <f>'07_E_manual'!AA38-'09_dash_E'!AA38</f>
        <v>0</v>
      </c>
      <c r="AB46" s="9">
        <f>'07_E_manual'!AB38-'09_dash_E'!AB38</f>
        <v>0</v>
      </c>
      <c r="AC46" s="9">
        <f>'07_E_manual'!AC38-'09_dash_E'!AC38</f>
        <v>0</v>
      </c>
      <c r="AD46" s="9">
        <f>'07_E_manual'!AD38-'09_dash_E'!AD38</f>
        <v>0</v>
      </c>
      <c r="AE46" s="9">
        <f>'07_E_manual'!AE38-'09_dash_E'!AE38</f>
        <v>0</v>
      </c>
      <c r="AF46" s="9">
        <f>'07_E_manual'!AF38-'09_dash_E'!AF38</f>
        <v>0</v>
      </c>
      <c r="AG46" s="9">
        <f>'07_E_manual'!AG38-'09_dash_E'!AG38</f>
        <v>0</v>
      </c>
      <c r="AH46" s="9">
        <f>'07_E_manual'!AH38-'09_dash_E'!AH38</f>
        <v>0</v>
      </c>
      <c r="AI46" s="9">
        <f>'07_E_manual'!AI38-'09_dash_E'!AI38</f>
        <v>0</v>
      </c>
    </row>
    <row r="47" spans="1:35" x14ac:dyDescent="0.2">
      <c r="A47" s="12" t="s">
        <v>1403</v>
      </c>
      <c r="B47" s="9">
        <f>'07_E_manual'!B39-'09_dash_E'!B39</f>
        <v>0</v>
      </c>
      <c r="C47" s="9">
        <f>'07_E_manual'!C39-'09_dash_E'!C39</f>
        <v>0</v>
      </c>
      <c r="D47" s="9">
        <f>'07_E_manual'!D39-'09_dash_E'!D39</f>
        <v>0</v>
      </c>
      <c r="E47" s="9">
        <f>'07_E_manual'!E39-'09_dash_E'!E39</f>
        <v>0</v>
      </c>
      <c r="F47" s="9">
        <f>'07_E_manual'!F39-'09_dash_E'!F39</f>
        <v>0</v>
      </c>
      <c r="G47" s="9">
        <f>'07_E_manual'!G39-'09_dash_E'!G39</f>
        <v>0</v>
      </c>
      <c r="H47" s="9">
        <f>'07_E_manual'!H39-'09_dash_E'!H39</f>
        <v>0</v>
      </c>
      <c r="I47" s="9">
        <f>'07_E_manual'!I39-'09_dash_E'!I39</f>
        <v>0</v>
      </c>
      <c r="J47" s="9">
        <f>'07_E_manual'!J39-'09_dash_E'!J39</f>
        <v>0</v>
      </c>
      <c r="K47" s="9">
        <f>'07_E_manual'!K39-'09_dash_E'!K39</f>
        <v>0</v>
      </c>
      <c r="L47" s="9">
        <f>'07_E_manual'!L39-'09_dash_E'!L39</f>
        <v>0</v>
      </c>
      <c r="M47" s="9">
        <f>'07_E_manual'!M39-'09_dash_E'!M39</f>
        <v>0</v>
      </c>
      <c r="N47" s="9">
        <f>'07_E_manual'!N39-'09_dash_E'!N39</f>
        <v>0</v>
      </c>
      <c r="O47" s="9">
        <f>'07_E_manual'!O39-'09_dash_E'!O39</f>
        <v>0</v>
      </c>
      <c r="P47" s="9">
        <f>'07_E_manual'!P39-'09_dash_E'!P39</f>
        <v>0</v>
      </c>
      <c r="Q47" s="9">
        <f>'07_E_manual'!Q39-'09_dash_E'!Q39</f>
        <v>0</v>
      </c>
      <c r="R47" s="9">
        <f>'07_E_manual'!R39-'09_dash_E'!R39</f>
        <v>0</v>
      </c>
      <c r="S47" s="9">
        <f>'07_E_manual'!S39-'09_dash_E'!S39</f>
        <v>0</v>
      </c>
      <c r="T47" s="9">
        <f>'07_E_manual'!T39-'09_dash_E'!T39</f>
        <v>0</v>
      </c>
      <c r="U47" s="9">
        <f>'07_E_manual'!U39-'09_dash_E'!U39</f>
        <v>0</v>
      </c>
      <c r="V47" s="9">
        <f>'07_E_manual'!V39-'09_dash_E'!V39</f>
        <v>0</v>
      </c>
      <c r="W47" s="9">
        <f>'07_E_manual'!W39-'09_dash_E'!W39</f>
        <v>0</v>
      </c>
      <c r="X47" s="9">
        <f>'07_E_manual'!X39-'09_dash_E'!X39</f>
        <v>0</v>
      </c>
      <c r="Y47" s="9">
        <f>'07_E_manual'!Y39-'09_dash_E'!Y39</f>
        <v>0</v>
      </c>
      <c r="Z47" s="9">
        <f>'07_E_manual'!Z39-'09_dash_E'!Z39</f>
        <v>0</v>
      </c>
      <c r="AA47" s="9">
        <f>'07_E_manual'!AA39-'09_dash_E'!AA39</f>
        <v>0</v>
      </c>
      <c r="AB47" s="9">
        <f>'07_E_manual'!AB39-'09_dash_E'!AB39</f>
        <v>0</v>
      </c>
      <c r="AC47" s="9">
        <f>'07_E_manual'!AC39-'09_dash_E'!AC39</f>
        <v>0</v>
      </c>
      <c r="AD47" s="9">
        <f>'07_E_manual'!AD39-'09_dash_E'!AD39</f>
        <v>0</v>
      </c>
      <c r="AE47" s="9">
        <f>'07_E_manual'!AE39-'09_dash_E'!AE39</f>
        <v>0</v>
      </c>
      <c r="AF47" s="9">
        <f>'07_E_manual'!AF39-'09_dash_E'!AF39</f>
        <v>0</v>
      </c>
      <c r="AG47" s="9">
        <f>'07_E_manual'!AG39-'09_dash_E'!AG39</f>
        <v>0</v>
      </c>
      <c r="AH47" s="9">
        <f>'07_E_manual'!AH39-'09_dash_E'!AH39</f>
        <v>0</v>
      </c>
      <c r="AI47" s="9">
        <f>'07_E_manual'!AI39-'09_dash_E'!AI39</f>
        <v>0</v>
      </c>
    </row>
    <row r="48" spans="1:35" x14ac:dyDescent="0.2">
      <c r="A48" s="12" t="s">
        <v>1404</v>
      </c>
      <c r="B48" s="9">
        <f>'07_E_manual'!B40-'09_dash_E'!B40</f>
        <v>0</v>
      </c>
      <c r="C48" s="9">
        <f>'07_E_manual'!C40-'09_dash_E'!C40</f>
        <v>0</v>
      </c>
      <c r="D48" s="9">
        <f>'07_E_manual'!D40-'09_dash_E'!D40</f>
        <v>0</v>
      </c>
      <c r="E48" s="9">
        <f>'07_E_manual'!E40-'09_dash_E'!E40</f>
        <v>0</v>
      </c>
      <c r="F48" s="9">
        <f>'07_E_manual'!F40-'09_dash_E'!F40</f>
        <v>0</v>
      </c>
      <c r="G48" s="9">
        <f>'07_E_manual'!G40-'09_dash_E'!G40</f>
        <v>0</v>
      </c>
      <c r="H48" s="9">
        <f>'07_E_manual'!H40-'09_dash_E'!H40</f>
        <v>0</v>
      </c>
      <c r="I48" s="9">
        <f>'07_E_manual'!I40-'09_dash_E'!I40</f>
        <v>0</v>
      </c>
      <c r="J48" s="9">
        <f>'07_E_manual'!J40-'09_dash_E'!J40</f>
        <v>0</v>
      </c>
      <c r="K48" s="9">
        <f>'07_E_manual'!K40-'09_dash_E'!K40</f>
        <v>0</v>
      </c>
      <c r="L48" s="9">
        <f>'07_E_manual'!L40-'09_dash_E'!L40</f>
        <v>0</v>
      </c>
      <c r="M48" s="9">
        <f>'07_E_manual'!M40-'09_dash_E'!M40</f>
        <v>0</v>
      </c>
      <c r="N48" s="9">
        <f>'07_E_manual'!N40-'09_dash_E'!N40</f>
        <v>0</v>
      </c>
      <c r="O48" s="9">
        <f>'07_E_manual'!O40-'09_dash_E'!O40</f>
        <v>0</v>
      </c>
      <c r="P48" s="9">
        <f>'07_E_manual'!P40-'09_dash_E'!P40</f>
        <v>0</v>
      </c>
      <c r="Q48" s="9">
        <f>'07_E_manual'!Q40-'09_dash_E'!Q40</f>
        <v>0</v>
      </c>
      <c r="R48" s="9">
        <f>'07_E_manual'!R40-'09_dash_E'!R40</f>
        <v>0</v>
      </c>
      <c r="S48" s="9">
        <f>'07_E_manual'!S40-'09_dash_E'!S40</f>
        <v>0</v>
      </c>
      <c r="T48" s="9">
        <f>'07_E_manual'!T40-'09_dash_E'!T40</f>
        <v>0</v>
      </c>
      <c r="U48" s="9">
        <f>'07_E_manual'!U40-'09_dash_E'!U40</f>
        <v>0</v>
      </c>
      <c r="V48" s="9">
        <f>'07_E_manual'!V40-'09_dash_E'!V40</f>
        <v>0</v>
      </c>
      <c r="W48" s="9">
        <f>'07_E_manual'!W40-'09_dash_E'!W40</f>
        <v>0</v>
      </c>
      <c r="X48" s="9">
        <f>'07_E_manual'!X40-'09_dash_E'!X40</f>
        <v>0</v>
      </c>
      <c r="Y48" s="9">
        <f>'07_E_manual'!Y40-'09_dash_E'!Y40</f>
        <v>0</v>
      </c>
      <c r="Z48" s="9">
        <f>'07_E_manual'!Z40-'09_dash_E'!Z40</f>
        <v>0</v>
      </c>
      <c r="AA48" s="9">
        <f>'07_E_manual'!AA40-'09_dash_E'!AA40</f>
        <v>0</v>
      </c>
      <c r="AB48" s="9">
        <f>'07_E_manual'!AB40-'09_dash_E'!AB40</f>
        <v>0</v>
      </c>
      <c r="AC48" s="9">
        <f>'07_E_manual'!AC40-'09_dash_E'!AC40</f>
        <v>0</v>
      </c>
      <c r="AD48" s="9">
        <f>'07_E_manual'!AD40-'09_dash_E'!AD40</f>
        <v>0</v>
      </c>
      <c r="AE48" s="9">
        <f>'07_E_manual'!AE40-'09_dash_E'!AE40</f>
        <v>0</v>
      </c>
      <c r="AF48" s="9">
        <f>'07_E_manual'!AF40-'09_dash_E'!AF40</f>
        <v>0</v>
      </c>
      <c r="AG48" s="9">
        <f>'07_E_manual'!AG40-'09_dash_E'!AG40</f>
        <v>0</v>
      </c>
      <c r="AH48" s="9">
        <f>'07_E_manual'!AH40-'09_dash_E'!AH40</f>
        <v>0</v>
      </c>
      <c r="AI48" s="9">
        <f>'07_E_manual'!AI40-'09_dash_E'!AI40</f>
        <v>0</v>
      </c>
    </row>
    <row r="49" spans="1:35" x14ac:dyDescent="0.2">
      <c r="A49" s="12" t="s">
        <v>1405</v>
      </c>
      <c r="B49" s="9">
        <f>'07_E_manual'!B41-'09_dash_E'!B41</f>
        <v>0</v>
      </c>
      <c r="C49" s="9">
        <f>'07_E_manual'!C41-'09_dash_E'!C41</f>
        <v>0</v>
      </c>
      <c r="D49" s="9">
        <f>'07_E_manual'!D41-'09_dash_E'!D41</f>
        <v>0</v>
      </c>
      <c r="E49" s="9">
        <f>'07_E_manual'!E41-'09_dash_E'!E41</f>
        <v>0</v>
      </c>
      <c r="F49" s="9">
        <f>'07_E_manual'!F41-'09_dash_E'!F41</f>
        <v>0</v>
      </c>
      <c r="G49" s="9">
        <f>'07_E_manual'!G41-'09_dash_E'!G41</f>
        <v>0</v>
      </c>
      <c r="H49" s="9">
        <f>'07_E_manual'!H41-'09_dash_E'!H41</f>
        <v>0</v>
      </c>
      <c r="I49" s="9">
        <f>'07_E_manual'!I41-'09_dash_E'!I41</f>
        <v>0</v>
      </c>
      <c r="J49" s="9">
        <f>'07_E_manual'!J41-'09_dash_E'!J41</f>
        <v>0</v>
      </c>
      <c r="K49" s="9">
        <f>'07_E_manual'!K41-'09_dash_E'!K41</f>
        <v>0</v>
      </c>
      <c r="L49" s="9">
        <f>'07_E_manual'!L41-'09_dash_E'!L41</f>
        <v>0</v>
      </c>
      <c r="M49" s="9">
        <f>'07_E_manual'!M41-'09_dash_E'!M41</f>
        <v>0</v>
      </c>
      <c r="N49" s="9">
        <f>'07_E_manual'!N41-'09_dash_E'!N41</f>
        <v>0</v>
      </c>
      <c r="O49" s="9">
        <f>'07_E_manual'!O41-'09_dash_E'!O41</f>
        <v>0</v>
      </c>
      <c r="P49" s="9">
        <f>'07_E_manual'!P41-'09_dash_E'!P41</f>
        <v>0</v>
      </c>
      <c r="Q49" s="9">
        <f>'07_E_manual'!Q41-'09_dash_E'!Q41</f>
        <v>0</v>
      </c>
      <c r="R49" s="9">
        <f>'07_E_manual'!R41-'09_dash_E'!R41</f>
        <v>0</v>
      </c>
      <c r="S49" s="9">
        <f>'07_E_manual'!S41-'09_dash_E'!S41</f>
        <v>0</v>
      </c>
      <c r="T49" s="9">
        <f>'07_E_manual'!T41-'09_dash_E'!T41</f>
        <v>0</v>
      </c>
      <c r="U49" s="9">
        <f>'07_E_manual'!U41-'09_dash_E'!U41</f>
        <v>0</v>
      </c>
      <c r="V49" s="9">
        <f>'07_E_manual'!V41-'09_dash_E'!V41</f>
        <v>0</v>
      </c>
      <c r="W49" s="9">
        <f>'07_E_manual'!W41-'09_dash_E'!W41</f>
        <v>0</v>
      </c>
      <c r="X49" s="9">
        <f>'07_E_manual'!X41-'09_dash_E'!X41</f>
        <v>0</v>
      </c>
      <c r="Y49" s="9">
        <f>'07_E_manual'!Y41-'09_dash_E'!Y41</f>
        <v>0</v>
      </c>
      <c r="Z49" s="9">
        <f>'07_E_manual'!Z41-'09_dash_E'!Z41</f>
        <v>0</v>
      </c>
      <c r="AA49" s="9">
        <f>'07_E_manual'!AA41-'09_dash_E'!AA41</f>
        <v>0</v>
      </c>
      <c r="AB49" s="9">
        <f>'07_E_manual'!AB41-'09_dash_E'!AB41</f>
        <v>0</v>
      </c>
      <c r="AC49" s="9">
        <f>'07_E_manual'!AC41-'09_dash_E'!AC41</f>
        <v>0</v>
      </c>
      <c r="AD49" s="9">
        <f>'07_E_manual'!AD41-'09_dash_E'!AD41</f>
        <v>0</v>
      </c>
      <c r="AE49" s="9">
        <f>'07_E_manual'!AE41-'09_dash_E'!AE41</f>
        <v>0</v>
      </c>
      <c r="AF49" s="9">
        <f>'07_E_manual'!AF41-'09_dash_E'!AF41</f>
        <v>0</v>
      </c>
      <c r="AG49" s="9">
        <f>'07_E_manual'!AG41-'09_dash_E'!AG41</f>
        <v>0</v>
      </c>
      <c r="AH49" s="9">
        <f>'07_E_manual'!AH41-'09_dash_E'!AH41</f>
        <v>0</v>
      </c>
      <c r="AI49" s="9">
        <f>'07_E_manual'!AI41-'09_dash_E'!AI41</f>
        <v>0</v>
      </c>
    </row>
    <row r="50" spans="1:35" x14ac:dyDescent="0.2">
      <c r="A50" s="12" t="s">
        <v>1406</v>
      </c>
      <c r="B50" s="9">
        <f>'07_E_manual'!B42-'09_dash_E'!B42</f>
        <v>0</v>
      </c>
      <c r="C50" s="9">
        <f>'07_E_manual'!C42-'09_dash_E'!C42</f>
        <v>0</v>
      </c>
      <c r="D50" s="9">
        <f>'07_E_manual'!D42-'09_dash_E'!D42</f>
        <v>0</v>
      </c>
      <c r="E50" s="9">
        <f>'07_E_manual'!E42-'09_dash_E'!E42</f>
        <v>0</v>
      </c>
      <c r="F50" s="9">
        <f>'07_E_manual'!F42-'09_dash_E'!F42</f>
        <v>0</v>
      </c>
      <c r="G50" s="9">
        <f>'07_E_manual'!G42-'09_dash_E'!G42</f>
        <v>0</v>
      </c>
      <c r="H50" s="9">
        <f>'07_E_manual'!H42-'09_dash_E'!H42</f>
        <v>0</v>
      </c>
      <c r="I50" s="9">
        <f>'07_E_manual'!I42-'09_dash_E'!I42</f>
        <v>0</v>
      </c>
      <c r="J50" s="9">
        <f>'07_E_manual'!J42-'09_dash_E'!J42</f>
        <v>0</v>
      </c>
      <c r="K50" s="9">
        <f>'07_E_manual'!K42-'09_dash_E'!K42</f>
        <v>0</v>
      </c>
      <c r="L50" s="9">
        <f>'07_E_manual'!L42-'09_dash_E'!L42</f>
        <v>0</v>
      </c>
      <c r="M50" s="9">
        <f>'07_E_manual'!M42-'09_dash_E'!M42</f>
        <v>0</v>
      </c>
      <c r="N50" s="9">
        <f>'07_E_manual'!N42-'09_dash_E'!N42</f>
        <v>0</v>
      </c>
      <c r="O50" s="9">
        <f>'07_E_manual'!O42-'09_dash_E'!O42</f>
        <v>0</v>
      </c>
      <c r="P50" s="9">
        <f>'07_E_manual'!P42-'09_dash_E'!P42</f>
        <v>0</v>
      </c>
      <c r="Q50" s="9">
        <f>'07_E_manual'!Q42-'09_dash_E'!Q42</f>
        <v>0</v>
      </c>
      <c r="R50" s="9">
        <f>'07_E_manual'!R42-'09_dash_E'!R42</f>
        <v>0</v>
      </c>
      <c r="S50" s="9">
        <f>'07_E_manual'!S42-'09_dash_E'!S42</f>
        <v>0</v>
      </c>
      <c r="T50" s="9">
        <f>'07_E_manual'!T42-'09_dash_E'!T42</f>
        <v>0</v>
      </c>
      <c r="U50" s="9">
        <f>'07_E_manual'!U42-'09_dash_E'!U42</f>
        <v>0</v>
      </c>
      <c r="V50" s="9">
        <f>'07_E_manual'!V42-'09_dash_E'!V42</f>
        <v>0</v>
      </c>
      <c r="W50" s="9">
        <f>'07_E_manual'!W42-'09_dash_E'!W42</f>
        <v>0</v>
      </c>
      <c r="X50" s="9">
        <f>'07_E_manual'!X42-'09_dash_E'!X42</f>
        <v>0</v>
      </c>
      <c r="Y50" s="9">
        <f>'07_E_manual'!Y42-'09_dash_E'!Y42</f>
        <v>0</v>
      </c>
      <c r="Z50" s="9">
        <f>'07_E_manual'!Z42-'09_dash_E'!Z42</f>
        <v>0</v>
      </c>
      <c r="AA50" s="9">
        <f>'07_E_manual'!AA42-'09_dash_E'!AA42</f>
        <v>0</v>
      </c>
      <c r="AB50" s="9">
        <f>'07_E_manual'!AB42-'09_dash_E'!AB42</f>
        <v>0</v>
      </c>
      <c r="AC50" s="9">
        <f>'07_E_manual'!AC42-'09_dash_E'!AC42</f>
        <v>0</v>
      </c>
      <c r="AD50" s="9">
        <f>'07_E_manual'!AD42-'09_dash_E'!AD42</f>
        <v>0</v>
      </c>
      <c r="AE50" s="9">
        <f>'07_E_manual'!AE42-'09_dash_E'!AE42</f>
        <v>0</v>
      </c>
      <c r="AF50" s="9">
        <f>'07_E_manual'!AF42-'09_dash_E'!AF42</f>
        <v>0</v>
      </c>
      <c r="AG50" s="9">
        <f>'07_E_manual'!AG42-'09_dash_E'!AG42</f>
        <v>0</v>
      </c>
      <c r="AH50" s="9">
        <f>'07_E_manual'!AH42-'09_dash_E'!AH42</f>
        <v>0</v>
      </c>
      <c r="AI50" s="9">
        <f>'07_E_manual'!AI42-'09_dash_E'!AI42</f>
        <v>0</v>
      </c>
    </row>
    <row r="51" spans="1:35" x14ac:dyDescent="0.2">
      <c r="A51" s="12" t="s">
        <v>1407</v>
      </c>
      <c r="B51" s="9">
        <f>'07_E_manual'!B43-'09_dash_E'!B43</f>
        <v>0</v>
      </c>
      <c r="C51" s="9">
        <f>'07_E_manual'!C43-'09_dash_E'!C43</f>
        <v>0</v>
      </c>
      <c r="D51" s="9">
        <f>'07_E_manual'!D43-'09_dash_E'!D43</f>
        <v>0</v>
      </c>
      <c r="E51" s="9">
        <f>'07_E_manual'!E43-'09_dash_E'!E43</f>
        <v>0</v>
      </c>
      <c r="F51" s="9">
        <f>'07_E_manual'!F43-'09_dash_E'!F43</f>
        <v>0</v>
      </c>
      <c r="G51" s="9">
        <f>'07_E_manual'!G43-'09_dash_E'!G43</f>
        <v>0</v>
      </c>
      <c r="H51" s="9">
        <f>'07_E_manual'!H43-'09_dash_E'!H43</f>
        <v>0</v>
      </c>
      <c r="I51" s="9">
        <f>'07_E_manual'!I43-'09_dash_E'!I43</f>
        <v>0</v>
      </c>
      <c r="J51" s="9">
        <f>'07_E_manual'!J43-'09_dash_E'!J43</f>
        <v>0</v>
      </c>
      <c r="K51" s="9">
        <f>'07_E_manual'!K43-'09_dash_E'!K43</f>
        <v>0</v>
      </c>
      <c r="L51" s="9">
        <f>'07_E_manual'!L43-'09_dash_E'!L43</f>
        <v>0</v>
      </c>
      <c r="M51" s="9">
        <f>'07_E_manual'!M43-'09_dash_E'!M43</f>
        <v>0</v>
      </c>
      <c r="N51" s="9">
        <f>'07_E_manual'!N43-'09_dash_E'!N43</f>
        <v>0</v>
      </c>
      <c r="O51" s="9">
        <f>'07_E_manual'!O43-'09_dash_E'!O43</f>
        <v>0</v>
      </c>
      <c r="P51" s="9">
        <f>'07_E_manual'!P43-'09_dash_E'!P43</f>
        <v>0</v>
      </c>
      <c r="Q51" s="9">
        <f>'07_E_manual'!Q43-'09_dash_E'!Q43</f>
        <v>0</v>
      </c>
      <c r="R51" s="9">
        <f>'07_E_manual'!R43-'09_dash_E'!R43</f>
        <v>0</v>
      </c>
      <c r="S51" s="9">
        <f>'07_E_manual'!S43-'09_dash_E'!S43</f>
        <v>0</v>
      </c>
      <c r="T51" s="9">
        <f>'07_E_manual'!T43-'09_dash_E'!T43</f>
        <v>0</v>
      </c>
      <c r="U51" s="9">
        <f>'07_E_manual'!U43-'09_dash_E'!U43</f>
        <v>0</v>
      </c>
      <c r="V51" s="9">
        <f>'07_E_manual'!V43-'09_dash_E'!V43</f>
        <v>0</v>
      </c>
      <c r="W51" s="9">
        <f>'07_E_manual'!W43-'09_dash_E'!W43</f>
        <v>0</v>
      </c>
      <c r="X51" s="9">
        <f>'07_E_manual'!X43-'09_dash_E'!X43</f>
        <v>0</v>
      </c>
      <c r="Y51" s="9">
        <f>'07_E_manual'!Y43-'09_dash_E'!Y43</f>
        <v>0</v>
      </c>
      <c r="Z51" s="9">
        <f>'07_E_manual'!Z43-'09_dash_E'!Z43</f>
        <v>0</v>
      </c>
      <c r="AA51" s="9">
        <f>'07_E_manual'!AA43-'09_dash_E'!AA43</f>
        <v>0</v>
      </c>
      <c r="AB51" s="9">
        <f>'07_E_manual'!AB43-'09_dash_E'!AB43</f>
        <v>0</v>
      </c>
      <c r="AC51" s="9">
        <f>'07_E_manual'!AC43-'09_dash_E'!AC43</f>
        <v>0</v>
      </c>
      <c r="AD51" s="9">
        <f>'07_E_manual'!AD43-'09_dash_E'!AD43</f>
        <v>0</v>
      </c>
      <c r="AE51" s="9">
        <f>'07_E_manual'!AE43-'09_dash_E'!AE43</f>
        <v>0</v>
      </c>
      <c r="AF51" s="9">
        <f>'07_E_manual'!AF43-'09_dash_E'!AF43</f>
        <v>0</v>
      </c>
      <c r="AG51" s="9">
        <f>'07_E_manual'!AG43-'09_dash_E'!AG43</f>
        <v>0</v>
      </c>
      <c r="AH51" s="9">
        <f>'07_E_manual'!AH43-'09_dash_E'!AH43</f>
        <v>0</v>
      </c>
      <c r="AI51" s="9">
        <f>'07_E_manual'!AI43-'09_dash_E'!AI43</f>
        <v>0</v>
      </c>
    </row>
    <row r="52" spans="1:35" x14ac:dyDescent="0.2">
      <c r="A52" s="12" t="s">
        <v>1408</v>
      </c>
      <c r="B52" s="9">
        <f>'07_E_manual'!B44-'09_dash_E'!B44</f>
        <v>0</v>
      </c>
      <c r="C52" s="9">
        <f>'07_E_manual'!C44-'09_dash_E'!C44</f>
        <v>0</v>
      </c>
      <c r="D52" s="9">
        <f>'07_E_manual'!D44-'09_dash_E'!D44</f>
        <v>0</v>
      </c>
      <c r="E52" s="9">
        <f>'07_E_manual'!E44-'09_dash_E'!E44</f>
        <v>0</v>
      </c>
      <c r="F52" s="9">
        <f>'07_E_manual'!F44-'09_dash_E'!F44</f>
        <v>0</v>
      </c>
      <c r="G52" s="9">
        <f>'07_E_manual'!G44-'09_dash_E'!G44</f>
        <v>0</v>
      </c>
      <c r="H52" s="9">
        <f>'07_E_manual'!H44-'09_dash_E'!H44</f>
        <v>0</v>
      </c>
      <c r="I52" s="9">
        <f>'07_E_manual'!I44-'09_dash_E'!I44</f>
        <v>0</v>
      </c>
      <c r="J52" s="9">
        <f>'07_E_manual'!J44-'09_dash_E'!J44</f>
        <v>0</v>
      </c>
      <c r="K52" s="9">
        <f>'07_E_manual'!K44-'09_dash_E'!K44</f>
        <v>0</v>
      </c>
      <c r="L52" s="9">
        <f>'07_E_manual'!L44-'09_dash_E'!L44</f>
        <v>0</v>
      </c>
      <c r="M52" s="9">
        <f>'07_E_manual'!M44-'09_dash_E'!M44</f>
        <v>0</v>
      </c>
      <c r="N52" s="9">
        <f>'07_E_manual'!N44-'09_dash_E'!N44</f>
        <v>0</v>
      </c>
      <c r="O52" s="9">
        <f>'07_E_manual'!O44-'09_dash_E'!O44</f>
        <v>0</v>
      </c>
      <c r="P52" s="9">
        <f>'07_E_manual'!P44-'09_dash_E'!P44</f>
        <v>0</v>
      </c>
      <c r="Q52" s="9">
        <f>'07_E_manual'!Q44-'09_dash_E'!Q44</f>
        <v>0</v>
      </c>
      <c r="R52" s="9">
        <f>'07_E_manual'!R44-'09_dash_E'!R44</f>
        <v>0</v>
      </c>
      <c r="S52" s="9">
        <f>'07_E_manual'!S44-'09_dash_E'!S44</f>
        <v>0</v>
      </c>
      <c r="T52" s="9">
        <f>'07_E_manual'!T44-'09_dash_E'!T44</f>
        <v>0</v>
      </c>
      <c r="U52" s="9">
        <f>'07_E_manual'!U44-'09_dash_E'!U44</f>
        <v>0</v>
      </c>
      <c r="V52" s="9">
        <f>'07_E_manual'!V44-'09_dash_E'!V44</f>
        <v>0</v>
      </c>
      <c r="W52" s="9">
        <f>'07_E_manual'!W44-'09_dash_E'!W44</f>
        <v>0</v>
      </c>
      <c r="X52" s="9">
        <f>'07_E_manual'!X44-'09_dash_E'!X44</f>
        <v>0</v>
      </c>
      <c r="Y52" s="9">
        <f>'07_E_manual'!Y44-'09_dash_E'!Y44</f>
        <v>0</v>
      </c>
      <c r="Z52" s="9">
        <f>'07_E_manual'!Z44-'09_dash_E'!Z44</f>
        <v>0</v>
      </c>
      <c r="AA52" s="9">
        <f>'07_E_manual'!AA44-'09_dash_E'!AA44</f>
        <v>0</v>
      </c>
      <c r="AB52" s="9">
        <f>'07_E_manual'!AB44-'09_dash_E'!AB44</f>
        <v>0</v>
      </c>
      <c r="AC52" s="9">
        <f>'07_E_manual'!AC44-'09_dash_E'!AC44</f>
        <v>0</v>
      </c>
      <c r="AD52" s="9">
        <f>'07_E_manual'!AD44-'09_dash_E'!AD44</f>
        <v>0</v>
      </c>
      <c r="AE52" s="9">
        <f>'07_E_manual'!AE44-'09_dash_E'!AE44</f>
        <v>0</v>
      </c>
      <c r="AF52" s="9">
        <f>'07_E_manual'!AF44-'09_dash_E'!AF44</f>
        <v>0</v>
      </c>
      <c r="AG52" s="9">
        <f>'07_E_manual'!AG44-'09_dash_E'!AG44</f>
        <v>0</v>
      </c>
      <c r="AH52" s="9">
        <f>'07_E_manual'!AH44-'09_dash_E'!AH44</f>
        <v>0</v>
      </c>
      <c r="AI52" s="9">
        <f>'07_E_manual'!AI44-'09_dash_E'!AI44</f>
        <v>0</v>
      </c>
    </row>
    <row r="53" spans="1:35" x14ac:dyDescent="0.2">
      <c r="A53" s="12" t="s">
        <v>1409</v>
      </c>
      <c r="B53" s="9">
        <f>'07_E_manual'!B45-'09_dash_E'!B45</f>
        <v>0</v>
      </c>
      <c r="C53" s="9">
        <f>'07_E_manual'!C45-'09_dash_E'!C45</f>
        <v>0</v>
      </c>
      <c r="D53" s="9">
        <f>'07_E_manual'!D45-'09_dash_E'!D45</f>
        <v>0</v>
      </c>
      <c r="E53" s="9">
        <f>'07_E_manual'!E45-'09_dash_E'!E45</f>
        <v>0</v>
      </c>
      <c r="F53" s="9">
        <f>'07_E_manual'!F45-'09_dash_E'!F45</f>
        <v>0</v>
      </c>
      <c r="G53" s="9">
        <f>'07_E_manual'!G45-'09_dash_E'!G45</f>
        <v>0</v>
      </c>
      <c r="H53" s="9">
        <f>'07_E_manual'!H45-'09_dash_E'!H45</f>
        <v>0</v>
      </c>
      <c r="I53" s="9">
        <f>'07_E_manual'!I45-'09_dash_E'!I45</f>
        <v>0</v>
      </c>
      <c r="J53" s="9">
        <f>'07_E_manual'!J45-'09_dash_E'!J45</f>
        <v>0</v>
      </c>
      <c r="K53" s="9">
        <f>'07_E_manual'!K45-'09_dash_E'!K45</f>
        <v>0</v>
      </c>
      <c r="L53" s="9">
        <f>'07_E_manual'!L45-'09_dash_E'!L45</f>
        <v>0</v>
      </c>
      <c r="M53" s="9">
        <f>'07_E_manual'!M45-'09_dash_E'!M45</f>
        <v>0</v>
      </c>
      <c r="N53" s="9">
        <f>'07_E_manual'!N45-'09_dash_E'!N45</f>
        <v>0</v>
      </c>
      <c r="O53" s="9">
        <f>'07_E_manual'!O45-'09_dash_E'!O45</f>
        <v>0</v>
      </c>
      <c r="P53" s="9">
        <f>'07_E_manual'!P45-'09_dash_E'!P45</f>
        <v>0</v>
      </c>
      <c r="Q53" s="9">
        <f>'07_E_manual'!Q45-'09_dash_E'!Q45</f>
        <v>0</v>
      </c>
      <c r="R53" s="9">
        <f>'07_E_manual'!R45-'09_dash_E'!R45</f>
        <v>0</v>
      </c>
      <c r="S53" s="9">
        <f>'07_E_manual'!S45-'09_dash_E'!S45</f>
        <v>0</v>
      </c>
      <c r="T53" s="9">
        <f>'07_E_manual'!T45-'09_dash_E'!T45</f>
        <v>0</v>
      </c>
      <c r="U53" s="9">
        <f>'07_E_manual'!U45-'09_dash_E'!U45</f>
        <v>0</v>
      </c>
      <c r="V53" s="9">
        <f>'07_E_manual'!V45-'09_dash_E'!V45</f>
        <v>0</v>
      </c>
      <c r="W53" s="9">
        <f>'07_E_manual'!W45-'09_dash_E'!W45</f>
        <v>0</v>
      </c>
      <c r="X53" s="9">
        <f>'07_E_manual'!X45-'09_dash_E'!X45</f>
        <v>0</v>
      </c>
      <c r="Y53" s="9">
        <f>'07_E_manual'!Y45-'09_dash_E'!Y45</f>
        <v>0</v>
      </c>
      <c r="Z53" s="9">
        <f>'07_E_manual'!Z45-'09_dash_E'!Z45</f>
        <v>0</v>
      </c>
      <c r="AA53" s="9">
        <f>'07_E_manual'!AA45-'09_dash_E'!AA45</f>
        <v>0</v>
      </c>
      <c r="AB53" s="9">
        <f>'07_E_manual'!AB45-'09_dash_E'!AB45</f>
        <v>0</v>
      </c>
      <c r="AC53" s="9">
        <f>'07_E_manual'!AC45-'09_dash_E'!AC45</f>
        <v>0</v>
      </c>
      <c r="AD53" s="9">
        <f>'07_E_manual'!AD45-'09_dash_E'!AD45</f>
        <v>0</v>
      </c>
      <c r="AE53" s="9">
        <f>'07_E_manual'!AE45-'09_dash_E'!AE45</f>
        <v>0</v>
      </c>
      <c r="AF53" s="9">
        <f>'07_E_manual'!AF45-'09_dash_E'!AF45</f>
        <v>0</v>
      </c>
      <c r="AG53" s="9">
        <f>'07_E_manual'!AG45-'09_dash_E'!AG45</f>
        <v>0</v>
      </c>
      <c r="AH53" s="9">
        <f>'07_E_manual'!AH45-'09_dash_E'!AH45</f>
        <v>0</v>
      </c>
      <c r="AI53" s="9">
        <f>'07_E_manual'!AI45-'09_dash_E'!AI45</f>
        <v>0</v>
      </c>
    </row>
    <row r="54" spans="1:35" x14ac:dyDescent="0.2">
      <c r="A54" s="12" t="s">
        <v>1410</v>
      </c>
      <c r="B54" s="9">
        <f>'07_E_manual'!B46-'09_dash_E'!B46</f>
        <v>0</v>
      </c>
      <c r="C54" s="9">
        <f>'07_E_manual'!C46-'09_dash_E'!C46</f>
        <v>0</v>
      </c>
      <c r="D54" s="9">
        <f>'07_E_manual'!D46-'09_dash_E'!D46</f>
        <v>0</v>
      </c>
      <c r="E54" s="9">
        <f>'07_E_manual'!E46-'09_dash_E'!E46</f>
        <v>0</v>
      </c>
      <c r="F54" s="9">
        <f>'07_E_manual'!F46-'09_dash_E'!F46</f>
        <v>0</v>
      </c>
      <c r="G54" s="9">
        <f>'07_E_manual'!G46-'09_dash_E'!G46</f>
        <v>0</v>
      </c>
      <c r="H54" s="9">
        <f>'07_E_manual'!H46-'09_dash_E'!H46</f>
        <v>0</v>
      </c>
      <c r="I54" s="9">
        <f>'07_E_manual'!I46-'09_dash_E'!I46</f>
        <v>0</v>
      </c>
      <c r="J54" s="9">
        <f>'07_E_manual'!J46-'09_dash_E'!J46</f>
        <v>0</v>
      </c>
      <c r="K54" s="9">
        <f>'07_E_manual'!K46-'09_dash_E'!K46</f>
        <v>0</v>
      </c>
      <c r="L54" s="9">
        <f>'07_E_manual'!L46-'09_dash_E'!L46</f>
        <v>0</v>
      </c>
      <c r="M54" s="9">
        <f>'07_E_manual'!M46-'09_dash_E'!M46</f>
        <v>0</v>
      </c>
      <c r="N54" s="9">
        <f>'07_E_manual'!N46-'09_dash_E'!N46</f>
        <v>0</v>
      </c>
      <c r="O54" s="9">
        <f>'07_E_manual'!O46-'09_dash_E'!O46</f>
        <v>0</v>
      </c>
      <c r="P54" s="9">
        <f>'07_E_manual'!P46-'09_dash_E'!P46</f>
        <v>0</v>
      </c>
      <c r="Q54" s="9">
        <f>'07_E_manual'!Q46-'09_dash_E'!Q46</f>
        <v>0</v>
      </c>
      <c r="R54" s="9">
        <f>'07_E_manual'!R46-'09_dash_E'!R46</f>
        <v>0</v>
      </c>
      <c r="S54" s="9">
        <f>'07_E_manual'!S46-'09_dash_E'!S46</f>
        <v>0</v>
      </c>
      <c r="T54" s="9">
        <f>'07_E_manual'!T46-'09_dash_E'!T46</f>
        <v>0</v>
      </c>
      <c r="U54" s="9">
        <f>'07_E_manual'!U46-'09_dash_E'!U46</f>
        <v>0</v>
      </c>
      <c r="V54" s="9">
        <f>'07_E_manual'!V46-'09_dash_E'!V46</f>
        <v>0</v>
      </c>
      <c r="W54" s="9">
        <f>'07_E_manual'!W46-'09_dash_E'!W46</f>
        <v>0</v>
      </c>
      <c r="X54" s="9">
        <f>'07_E_manual'!X46-'09_dash_E'!X46</f>
        <v>0</v>
      </c>
      <c r="Y54" s="9">
        <f>'07_E_manual'!Y46-'09_dash_E'!Y46</f>
        <v>0</v>
      </c>
      <c r="Z54" s="9">
        <f>'07_E_manual'!Z46-'09_dash_E'!Z46</f>
        <v>0</v>
      </c>
      <c r="AA54" s="9">
        <f>'07_E_manual'!AA46-'09_dash_E'!AA46</f>
        <v>0</v>
      </c>
      <c r="AB54" s="9">
        <f>'07_E_manual'!AB46-'09_dash_E'!AB46</f>
        <v>0</v>
      </c>
      <c r="AC54" s="9">
        <f>'07_E_manual'!AC46-'09_dash_E'!AC46</f>
        <v>0</v>
      </c>
      <c r="AD54" s="9">
        <f>'07_E_manual'!AD46-'09_dash_E'!AD46</f>
        <v>0</v>
      </c>
      <c r="AE54" s="9">
        <f>'07_E_manual'!AE46-'09_dash_E'!AE46</f>
        <v>0</v>
      </c>
      <c r="AF54" s="9">
        <f>'07_E_manual'!AF46-'09_dash_E'!AF46</f>
        <v>0</v>
      </c>
      <c r="AG54" s="9">
        <f>'07_E_manual'!AG46-'09_dash_E'!AG46</f>
        <v>0</v>
      </c>
      <c r="AH54" s="9">
        <f>'07_E_manual'!AH46-'09_dash_E'!AH46</f>
        <v>0</v>
      </c>
      <c r="AI54" s="9">
        <f>'07_E_manual'!AI46-'09_dash_E'!AI46</f>
        <v>0</v>
      </c>
    </row>
    <row r="55" spans="1:35" x14ac:dyDescent="0.2">
      <c r="A55" s="12" t="s">
        <v>1411</v>
      </c>
      <c r="B55" s="9">
        <f>'07_E_manual'!B47-'09_dash_E'!B47</f>
        <v>0</v>
      </c>
      <c r="C55" s="9">
        <f>'07_E_manual'!C47-'09_dash_E'!C47</f>
        <v>0</v>
      </c>
      <c r="D55" s="9">
        <f>'07_E_manual'!D47-'09_dash_E'!D47</f>
        <v>0</v>
      </c>
      <c r="E55" s="9">
        <f>'07_E_manual'!E47-'09_dash_E'!E47</f>
        <v>0</v>
      </c>
      <c r="F55" s="9">
        <f>'07_E_manual'!F47-'09_dash_E'!F47</f>
        <v>0</v>
      </c>
      <c r="G55" s="9">
        <f>'07_E_manual'!G47-'09_dash_E'!G47</f>
        <v>0</v>
      </c>
      <c r="H55" s="9">
        <f>'07_E_manual'!H47-'09_dash_E'!H47</f>
        <v>0</v>
      </c>
      <c r="I55" s="9">
        <f>'07_E_manual'!I47-'09_dash_E'!I47</f>
        <v>0</v>
      </c>
      <c r="J55" s="9">
        <f>'07_E_manual'!J47-'09_dash_E'!J47</f>
        <v>0</v>
      </c>
      <c r="K55" s="9">
        <f>'07_E_manual'!K47-'09_dash_E'!K47</f>
        <v>0</v>
      </c>
      <c r="L55" s="9">
        <f>'07_E_manual'!L47-'09_dash_E'!L47</f>
        <v>0</v>
      </c>
      <c r="M55" s="9">
        <f>'07_E_manual'!M47-'09_dash_E'!M47</f>
        <v>0</v>
      </c>
      <c r="N55" s="9">
        <f>'07_E_manual'!N47-'09_dash_E'!N47</f>
        <v>0</v>
      </c>
      <c r="O55" s="9">
        <f>'07_E_manual'!O47-'09_dash_E'!O47</f>
        <v>0</v>
      </c>
      <c r="P55" s="9">
        <f>'07_E_manual'!P47-'09_dash_E'!P47</f>
        <v>0</v>
      </c>
      <c r="Q55" s="9">
        <f>'07_E_manual'!Q47-'09_dash_E'!Q47</f>
        <v>0</v>
      </c>
      <c r="R55" s="9">
        <f>'07_E_manual'!R47-'09_dash_E'!R47</f>
        <v>0</v>
      </c>
      <c r="S55" s="9">
        <f>'07_E_manual'!S47-'09_dash_E'!S47</f>
        <v>0</v>
      </c>
      <c r="T55" s="9">
        <f>'07_E_manual'!T47-'09_dash_E'!T47</f>
        <v>0</v>
      </c>
      <c r="U55" s="9">
        <f>'07_E_manual'!U47-'09_dash_E'!U47</f>
        <v>0</v>
      </c>
      <c r="V55" s="9">
        <f>'07_E_manual'!V47-'09_dash_E'!V47</f>
        <v>0</v>
      </c>
      <c r="W55" s="9">
        <f>'07_E_manual'!W47-'09_dash_E'!W47</f>
        <v>0</v>
      </c>
      <c r="X55" s="9">
        <f>'07_E_manual'!X47-'09_dash_E'!X47</f>
        <v>0</v>
      </c>
      <c r="Y55" s="9">
        <f>'07_E_manual'!Y47-'09_dash_E'!Y47</f>
        <v>0</v>
      </c>
      <c r="Z55" s="9">
        <f>'07_E_manual'!Z47-'09_dash_E'!Z47</f>
        <v>0</v>
      </c>
      <c r="AA55" s="9">
        <f>'07_E_manual'!AA47-'09_dash_E'!AA47</f>
        <v>0</v>
      </c>
      <c r="AB55" s="9">
        <f>'07_E_manual'!AB47-'09_dash_E'!AB47</f>
        <v>0</v>
      </c>
      <c r="AC55" s="9">
        <f>'07_E_manual'!AC47-'09_dash_E'!AC47</f>
        <v>0</v>
      </c>
      <c r="AD55" s="9">
        <f>'07_E_manual'!AD47-'09_dash_E'!AD47</f>
        <v>0</v>
      </c>
      <c r="AE55" s="9">
        <f>'07_E_manual'!AE47-'09_dash_E'!AE47</f>
        <v>0</v>
      </c>
      <c r="AF55" s="9">
        <f>'07_E_manual'!AF47-'09_dash_E'!AF47</f>
        <v>0</v>
      </c>
      <c r="AG55" s="9">
        <f>'07_E_manual'!AG47-'09_dash_E'!AG47</f>
        <v>0</v>
      </c>
      <c r="AH55" s="9">
        <f>'07_E_manual'!AH47-'09_dash_E'!AH47</f>
        <v>0</v>
      </c>
      <c r="AI55" s="9">
        <f>'07_E_manual'!AI47-'09_dash_E'!AI47</f>
        <v>0</v>
      </c>
    </row>
    <row r="56" spans="1:35" x14ac:dyDescent="0.2">
      <c r="A56" s="12" t="s">
        <v>1412</v>
      </c>
      <c r="B56" s="9">
        <f>'07_E_manual'!B48-'09_dash_E'!B48</f>
        <v>0</v>
      </c>
      <c r="C56" s="9">
        <f>'07_E_manual'!C48-'09_dash_E'!C48</f>
        <v>0</v>
      </c>
      <c r="D56" s="9">
        <f>'07_E_manual'!D48-'09_dash_E'!D48</f>
        <v>0</v>
      </c>
      <c r="E56" s="9">
        <f>'07_E_manual'!E48-'09_dash_E'!E48</f>
        <v>0</v>
      </c>
      <c r="F56" s="9">
        <f>'07_E_manual'!F48-'09_dash_E'!F48</f>
        <v>0</v>
      </c>
      <c r="G56" s="9">
        <f>'07_E_manual'!G48-'09_dash_E'!G48</f>
        <v>0</v>
      </c>
      <c r="H56" s="9">
        <f>'07_E_manual'!H48-'09_dash_E'!H48</f>
        <v>0</v>
      </c>
      <c r="I56" s="9">
        <f>'07_E_manual'!I48-'09_dash_E'!I48</f>
        <v>0</v>
      </c>
      <c r="J56" s="9">
        <f>'07_E_manual'!J48-'09_dash_E'!J48</f>
        <v>0</v>
      </c>
      <c r="K56" s="9">
        <f>'07_E_manual'!K48-'09_dash_E'!K48</f>
        <v>0</v>
      </c>
      <c r="L56" s="9">
        <f>'07_E_manual'!L48-'09_dash_E'!L48</f>
        <v>0</v>
      </c>
      <c r="M56" s="9">
        <f>'07_E_manual'!M48-'09_dash_E'!M48</f>
        <v>0</v>
      </c>
      <c r="N56" s="9">
        <f>'07_E_manual'!N48-'09_dash_E'!N48</f>
        <v>0</v>
      </c>
      <c r="O56" s="9">
        <f>'07_E_manual'!O48-'09_dash_E'!O48</f>
        <v>0</v>
      </c>
      <c r="P56" s="9">
        <f>'07_E_manual'!P48-'09_dash_E'!P48</f>
        <v>0</v>
      </c>
      <c r="Q56" s="9">
        <f>'07_E_manual'!Q48-'09_dash_E'!Q48</f>
        <v>0</v>
      </c>
      <c r="R56" s="9">
        <f>'07_E_manual'!R48-'09_dash_E'!R48</f>
        <v>0</v>
      </c>
      <c r="S56" s="9">
        <f>'07_E_manual'!S48-'09_dash_E'!S48</f>
        <v>0</v>
      </c>
      <c r="T56" s="9">
        <f>'07_E_manual'!T48-'09_dash_E'!T48</f>
        <v>0</v>
      </c>
      <c r="U56" s="9">
        <f>'07_E_manual'!U48-'09_dash_E'!U48</f>
        <v>0</v>
      </c>
      <c r="V56" s="9">
        <f>'07_E_manual'!V48-'09_dash_E'!V48</f>
        <v>0</v>
      </c>
      <c r="W56" s="9">
        <f>'07_E_manual'!W48-'09_dash_E'!W48</f>
        <v>0</v>
      </c>
      <c r="X56" s="9">
        <f>'07_E_manual'!X48-'09_dash_E'!X48</f>
        <v>0</v>
      </c>
      <c r="Y56" s="9">
        <f>'07_E_manual'!Y48-'09_dash_E'!Y48</f>
        <v>0</v>
      </c>
      <c r="Z56" s="9">
        <f>'07_E_manual'!Z48-'09_dash_E'!Z48</f>
        <v>0</v>
      </c>
      <c r="AA56" s="9">
        <f>'07_E_manual'!AA48-'09_dash_E'!AA48</f>
        <v>0</v>
      </c>
      <c r="AB56" s="9">
        <f>'07_E_manual'!AB48-'09_dash_E'!AB48</f>
        <v>0</v>
      </c>
      <c r="AC56" s="9">
        <f>'07_E_manual'!AC48-'09_dash_E'!AC48</f>
        <v>0</v>
      </c>
      <c r="AD56" s="9">
        <f>'07_E_manual'!AD48-'09_dash_E'!AD48</f>
        <v>0</v>
      </c>
      <c r="AE56" s="9">
        <f>'07_E_manual'!AE48-'09_dash_E'!AE48</f>
        <v>0</v>
      </c>
      <c r="AF56" s="9">
        <f>'07_E_manual'!AF48-'09_dash_E'!AF48</f>
        <v>0</v>
      </c>
      <c r="AG56" s="9">
        <f>'07_E_manual'!AG48-'09_dash_E'!AG48</f>
        <v>0</v>
      </c>
      <c r="AH56" s="9">
        <f>'07_E_manual'!AH48-'09_dash_E'!AH48</f>
        <v>0</v>
      </c>
      <c r="AI56" s="9">
        <f>'07_E_manual'!AI48-'09_dash_E'!AI48</f>
        <v>0</v>
      </c>
    </row>
    <row r="57" spans="1:35" x14ac:dyDescent="0.2">
      <c r="A57" s="12" t="s">
        <v>1413</v>
      </c>
      <c r="B57" s="9">
        <f>'07_E_manual'!B49-'09_dash_E'!B49</f>
        <v>0</v>
      </c>
      <c r="C57" s="9">
        <f>'07_E_manual'!C49-'09_dash_E'!C49</f>
        <v>0</v>
      </c>
      <c r="D57" s="9">
        <f>'07_E_manual'!D49-'09_dash_E'!D49</f>
        <v>0</v>
      </c>
      <c r="E57" s="9">
        <f>'07_E_manual'!E49-'09_dash_E'!E49</f>
        <v>0</v>
      </c>
      <c r="F57" s="9">
        <f>'07_E_manual'!F49-'09_dash_E'!F49</f>
        <v>0</v>
      </c>
      <c r="G57" s="9">
        <f>'07_E_manual'!G49-'09_dash_E'!G49</f>
        <v>0</v>
      </c>
      <c r="H57" s="9">
        <f>'07_E_manual'!H49-'09_dash_E'!H49</f>
        <v>0</v>
      </c>
      <c r="I57" s="9">
        <f>'07_E_manual'!I49-'09_dash_E'!I49</f>
        <v>0</v>
      </c>
      <c r="J57" s="9">
        <f>'07_E_manual'!J49-'09_dash_E'!J49</f>
        <v>0</v>
      </c>
      <c r="K57" s="9">
        <f>'07_E_manual'!K49-'09_dash_E'!K49</f>
        <v>0</v>
      </c>
      <c r="L57" s="9">
        <f>'07_E_manual'!L49-'09_dash_E'!L49</f>
        <v>0</v>
      </c>
      <c r="M57" s="9">
        <f>'07_E_manual'!M49-'09_dash_E'!M49</f>
        <v>0</v>
      </c>
      <c r="N57" s="9">
        <f>'07_E_manual'!N49-'09_dash_E'!N49</f>
        <v>0</v>
      </c>
      <c r="O57" s="9">
        <f>'07_E_manual'!O49-'09_dash_E'!O49</f>
        <v>0</v>
      </c>
      <c r="P57" s="9">
        <f>'07_E_manual'!P49-'09_dash_E'!P49</f>
        <v>0</v>
      </c>
      <c r="Q57" s="9">
        <f>'07_E_manual'!Q49-'09_dash_E'!Q49</f>
        <v>0</v>
      </c>
      <c r="R57" s="9">
        <f>'07_E_manual'!R49-'09_dash_E'!R49</f>
        <v>0</v>
      </c>
      <c r="S57" s="9">
        <f>'07_E_manual'!S49-'09_dash_E'!S49</f>
        <v>0</v>
      </c>
      <c r="T57" s="9">
        <f>'07_E_manual'!T49-'09_dash_E'!T49</f>
        <v>0</v>
      </c>
      <c r="U57" s="9">
        <f>'07_E_manual'!U49-'09_dash_E'!U49</f>
        <v>0</v>
      </c>
      <c r="V57" s="9">
        <f>'07_E_manual'!V49-'09_dash_E'!V49</f>
        <v>0</v>
      </c>
      <c r="W57" s="9">
        <f>'07_E_manual'!W49-'09_dash_E'!W49</f>
        <v>0</v>
      </c>
      <c r="X57" s="9">
        <f>'07_E_manual'!X49-'09_dash_E'!X49</f>
        <v>0</v>
      </c>
      <c r="Y57" s="9">
        <f>'07_E_manual'!Y49-'09_dash_E'!Y49</f>
        <v>0</v>
      </c>
      <c r="Z57" s="9">
        <f>'07_E_manual'!Z49-'09_dash_E'!Z49</f>
        <v>0</v>
      </c>
      <c r="AA57" s="9">
        <f>'07_E_manual'!AA49-'09_dash_E'!AA49</f>
        <v>0</v>
      </c>
      <c r="AB57" s="9">
        <f>'07_E_manual'!AB49-'09_dash_E'!AB49</f>
        <v>0</v>
      </c>
      <c r="AC57" s="9">
        <f>'07_E_manual'!AC49-'09_dash_E'!AC49</f>
        <v>0</v>
      </c>
      <c r="AD57" s="9">
        <f>'07_E_manual'!AD49-'09_dash_E'!AD49</f>
        <v>0</v>
      </c>
      <c r="AE57" s="9">
        <f>'07_E_manual'!AE49-'09_dash_E'!AE49</f>
        <v>0</v>
      </c>
      <c r="AF57" s="9">
        <f>'07_E_manual'!AF49-'09_dash_E'!AF49</f>
        <v>0</v>
      </c>
      <c r="AG57" s="9">
        <f>'07_E_manual'!AG49-'09_dash_E'!AG49</f>
        <v>0</v>
      </c>
      <c r="AH57" s="9">
        <f>'07_E_manual'!AH49-'09_dash_E'!AH49</f>
        <v>0</v>
      </c>
      <c r="AI57" s="9">
        <f>'07_E_manual'!AI49-'09_dash_E'!AI49</f>
        <v>0</v>
      </c>
    </row>
    <row r="58" spans="1:35" x14ac:dyDescent="0.2">
      <c r="A58" s="12" t="s">
        <v>1414</v>
      </c>
      <c r="B58" s="9">
        <f>'07_E_manual'!B50-'09_dash_E'!B50</f>
        <v>0</v>
      </c>
      <c r="C58" s="9">
        <f>'07_E_manual'!C50-'09_dash_E'!C50</f>
        <v>0</v>
      </c>
      <c r="D58" s="9">
        <f>'07_E_manual'!D50-'09_dash_E'!D50</f>
        <v>0</v>
      </c>
      <c r="E58" s="9">
        <f>'07_E_manual'!E50-'09_dash_E'!E50</f>
        <v>0</v>
      </c>
      <c r="F58" s="9">
        <f>'07_E_manual'!F50-'09_dash_E'!F50</f>
        <v>0</v>
      </c>
      <c r="G58" s="9">
        <f>'07_E_manual'!G50-'09_dash_E'!G50</f>
        <v>0</v>
      </c>
      <c r="H58" s="9">
        <f>'07_E_manual'!H50-'09_dash_E'!H50</f>
        <v>0</v>
      </c>
      <c r="I58" s="9">
        <f>'07_E_manual'!I50-'09_dash_E'!I50</f>
        <v>0</v>
      </c>
      <c r="J58" s="9">
        <f>'07_E_manual'!J50-'09_dash_E'!J50</f>
        <v>0</v>
      </c>
      <c r="K58" s="9">
        <f>'07_E_manual'!K50-'09_dash_E'!K50</f>
        <v>0</v>
      </c>
      <c r="L58" s="9">
        <f>'07_E_manual'!L50-'09_dash_E'!L50</f>
        <v>0</v>
      </c>
      <c r="M58" s="9">
        <f>'07_E_manual'!M50-'09_dash_E'!M50</f>
        <v>0</v>
      </c>
      <c r="N58" s="9">
        <f>'07_E_manual'!N50-'09_dash_E'!N50</f>
        <v>0</v>
      </c>
      <c r="O58" s="9">
        <f>'07_E_manual'!O50-'09_dash_E'!O50</f>
        <v>0</v>
      </c>
      <c r="P58" s="9">
        <f>'07_E_manual'!P50-'09_dash_E'!P50</f>
        <v>0</v>
      </c>
      <c r="Q58" s="9">
        <f>'07_E_manual'!Q50-'09_dash_E'!Q50</f>
        <v>0</v>
      </c>
      <c r="R58" s="9">
        <f>'07_E_manual'!R50-'09_dash_E'!R50</f>
        <v>0</v>
      </c>
      <c r="S58" s="9">
        <f>'07_E_manual'!S50-'09_dash_E'!S50</f>
        <v>0</v>
      </c>
      <c r="T58" s="9">
        <f>'07_E_manual'!T50-'09_dash_E'!T50</f>
        <v>0</v>
      </c>
      <c r="U58" s="9">
        <f>'07_E_manual'!U50-'09_dash_E'!U50</f>
        <v>0</v>
      </c>
      <c r="V58" s="9">
        <f>'07_E_manual'!V50-'09_dash_E'!V50</f>
        <v>0</v>
      </c>
      <c r="W58" s="9">
        <f>'07_E_manual'!W50-'09_dash_E'!W50</f>
        <v>0</v>
      </c>
      <c r="X58" s="9">
        <f>'07_E_manual'!X50-'09_dash_E'!X50</f>
        <v>0</v>
      </c>
      <c r="Y58" s="9">
        <f>'07_E_manual'!Y50-'09_dash_E'!Y50</f>
        <v>0</v>
      </c>
      <c r="Z58" s="9">
        <f>'07_E_manual'!Z50-'09_dash_E'!Z50</f>
        <v>0</v>
      </c>
      <c r="AA58" s="9">
        <f>'07_E_manual'!AA50-'09_dash_E'!AA50</f>
        <v>0</v>
      </c>
      <c r="AB58" s="9">
        <f>'07_E_manual'!AB50-'09_dash_E'!AB50</f>
        <v>0</v>
      </c>
      <c r="AC58" s="9">
        <f>'07_E_manual'!AC50-'09_dash_E'!AC50</f>
        <v>0</v>
      </c>
      <c r="AD58" s="9">
        <f>'07_E_manual'!AD50-'09_dash_E'!AD50</f>
        <v>0</v>
      </c>
      <c r="AE58" s="9">
        <f>'07_E_manual'!AE50-'09_dash_E'!AE50</f>
        <v>0</v>
      </c>
      <c r="AF58" s="9">
        <f>'07_E_manual'!AF50-'09_dash_E'!AF50</f>
        <v>0</v>
      </c>
      <c r="AG58" s="9">
        <f>'07_E_manual'!AG50-'09_dash_E'!AG50</f>
        <v>0</v>
      </c>
      <c r="AH58" s="9">
        <f>'07_E_manual'!AH50-'09_dash_E'!AH50</f>
        <v>0</v>
      </c>
      <c r="AI58" s="9">
        <f>'07_E_manual'!AI50-'09_dash_E'!AI50</f>
        <v>0</v>
      </c>
    </row>
    <row r="59" spans="1:35" x14ac:dyDescent="0.2">
      <c r="A59" s="12" t="s">
        <v>1415</v>
      </c>
      <c r="B59" s="9">
        <f>'07_E_manual'!B51-'09_dash_E'!B51</f>
        <v>0</v>
      </c>
      <c r="C59" s="9">
        <f>'07_E_manual'!C51-'09_dash_E'!C51</f>
        <v>0</v>
      </c>
      <c r="D59" s="9">
        <f>'07_E_manual'!D51-'09_dash_E'!D51</f>
        <v>0</v>
      </c>
      <c r="E59" s="9">
        <f>'07_E_manual'!E51-'09_dash_E'!E51</f>
        <v>0</v>
      </c>
      <c r="F59" s="9">
        <f>'07_E_manual'!F51-'09_dash_E'!F51</f>
        <v>0</v>
      </c>
      <c r="G59" s="9">
        <f>'07_E_manual'!G51-'09_dash_E'!G51</f>
        <v>0</v>
      </c>
      <c r="H59" s="9">
        <f>'07_E_manual'!H51-'09_dash_E'!H51</f>
        <v>0</v>
      </c>
      <c r="I59" s="9">
        <f>'07_E_manual'!I51-'09_dash_E'!I51</f>
        <v>0</v>
      </c>
      <c r="J59" s="9">
        <f>'07_E_manual'!J51-'09_dash_E'!J51</f>
        <v>0</v>
      </c>
      <c r="K59" s="9">
        <f>'07_E_manual'!K51-'09_dash_E'!K51</f>
        <v>0</v>
      </c>
      <c r="L59" s="9">
        <f>'07_E_manual'!L51-'09_dash_E'!L51</f>
        <v>0</v>
      </c>
      <c r="M59" s="9">
        <f>'07_E_manual'!M51-'09_dash_E'!M51</f>
        <v>0</v>
      </c>
      <c r="N59" s="9">
        <f>'07_E_manual'!N51-'09_dash_E'!N51</f>
        <v>0</v>
      </c>
      <c r="O59" s="9">
        <f>'07_E_manual'!O51-'09_dash_E'!O51</f>
        <v>0</v>
      </c>
      <c r="P59" s="9">
        <f>'07_E_manual'!P51-'09_dash_E'!P51</f>
        <v>0</v>
      </c>
      <c r="Q59" s="9">
        <f>'07_E_manual'!Q51-'09_dash_E'!Q51</f>
        <v>0</v>
      </c>
      <c r="R59" s="9">
        <f>'07_E_manual'!R51-'09_dash_E'!R51</f>
        <v>0</v>
      </c>
      <c r="S59" s="9">
        <f>'07_E_manual'!S51-'09_dash_E'!S51</f>
        <v>0</v>
      </c>
      <c r="T59" s="9">
        <f>'07_E_manual'!T51-'09_dash_E'!T51</f>
        <v>0</v>
      </c>
      <c r="U59" s="9">
        <f>'07_E_manual'!U51-'09_dash_E'!U51</f>
        <v>0</v>
      </c>
      <c r="V59" s="9">
        <f>'07_E_manual'!V51-'09_dash_E'!V51</f>
        <v>0</v>
      </c>
      <c r="W59" s="9">
        <f>'07_E_manual'!W51-'09_dash_E'!W51</f>
        <v>0</v>
      </c>
      <c r="X59" s="9">
        <f>'07_E_manual'!X51-'09_dash_E'!X51</f>
        <v>0</v>
      </c>
      <c r="Y59" s="9">
        <f>'07_E_manual'!Y51-'09_dash_E'!Y51</f>
        <v>0</v>
      </c>
      <c r="Z59" s="9">
        <f>'07_E_manual'!Z51-'09_dash_E'!Z51</f>
        <v>0</v>
      </c>
      <c r="AA59" s="9">
        <f>'07_E_manual'!AA51-'09_dash_E'!AA51</f>
        <v>0</v>
      </c>
      <c r="AB59" s="9">
        <f>'07_E_manual'!AB51-'09_dash_E'!AB51</f>
        <v>0</v>
      </c>
      <c r="AC59" s="9">
        <f>'07_E_manual'!AC51-'09_dash_E'!AC51</f>
        <v>0</v>
      </c>
      <c r="AD59" s="9">
        <f>'07_E_manual'!AD51-'09_dash_E'!AD51</f>
        <v>0</v>
      </c>
      <c r="AE59" s="9">
        <f>'07_E_manual'!AE51-'09_dash_E'!AE51</f>
        <v>0</v>
      </c>
      <c r="AF59" s="9">
        <f>'07_E_manual'!AF51-'09_dash_E'!AF51</f>
        <v>0</v>
      </c>
      <c r="AG59" s="9">
        <f>'07_E_manual'!AG51-'09_dash_E'!AG51</f>
        <v>0</v>
      </c>
      <c r="AH59" s="9">
        <f>'07_E_manual'!AH51-'09_dash_E'!AH51</f>
        <v>0</v>
      </c>
      <c r="AI59" s="9">
        <f>'07_E_manual'!AI51-'09_dash_E'!AI51</f>
        <v>0</v>
      </c>
    </row>
    <row r="60" spans="1:35" x14ac:dyDescent="0.2">
      <c r="A60" s="12" t="s">
        <v>1416</v>
      </c>
      <c r="B60" s="9">
        <f>'07_E_manual'!B52-'09_dash_E'!B52</f>
        <v>-7.6327832942979512E-17</v>
      </c>
      <c r="C60" s="9">
        <f>'07_E_manual'!C52-'09_dash_E'!C52</f>
        <v>0</v>
      </c>
      <c r="D60" s="9">
        <f>'07_E_manual'!D52-'09_dash_E'!D52</f>
        <v>-1.0408340855860843E-16</v>
      </c>
      <c r="E60" s="9">
        <f>'07_E_manual'!E52-'09_dash_E'!E52</f>
        <v>-1.2490009027033011E-16</v>
      </c>
      <c r="F60" s="9">
        <f>'07_E_manual'!F52-'09_dash_E'!F52</f>
        <v>-5.2041704279304213E-17</v>
      </c>
      <c r="G60" s="9">
        <f>'07_E_manual'!G52-'09_dash_E'!G52</f>
        <v>-1.1102230246251565E-16</v>
      </c>
      <c r="H60" s="9">
        <f>'07_E_manual'!H52-'09_dash_E'!H52</f>
        <v>-3.4694469519536142E-17</v>
      </c>
      <c r="I60" s="9">
        <f>'07_E_manual'!I52-'09_dash_E'!I52</f>
        <v>-7.6327832942979512E-17</v>
      </c>
      <c r="J60" s="9">
        <f>'07_E_manual'!J52-'09_dash_E'!J52</f>
        <v>-2.4286128663675299E-17</v>
      </c>
      <c r="K60" s="9">
        <f>'07_E_manual'!K52-'09_dash_E'!K52</f>
        <v>-5.5511151231257827E-17</v>
      </c>
      <c r="L60" s="9">
        <f>'07_E_manual'!L52-'09_dash_E'!L52</f>
        <v>0</v>
      </c>
      <c r="M60" s="9">
        <f>'07_E_manual'!M52-'09_dash_E'!M52</f>
        <v>-1.1102230246251565E-15</v>
      </c>
      <c r="N60" s="9">
        <f>'07_E_manual'!N52-'09_dash_E'!N52</f>
        <v>-4.9960036108132044E-16</v>
      </c>
      <c r="O60" s="9">
        <f>'07_E_manual'!O52-'09_dash_E'!O52</f>
        <v>0</v>
      </c>
      <c r="P60" s="9">
        <f>'07_E_manual'!P52-'09_dash_E'!P52</f>
        <v>-6.106226635438361E-16</v>
      </c>
      <c r="Q60" s="9">
        <f>'07_E_manual'!Q52-'09_dash_E'!Q52</f>
        <v>0</v>
      </c>
      <c r="R60" s="9">
        <f>'07_E_manual'!R52-'09_dash_E'!R52</f>
        <v>-1.2490009027033011E-16</v>
      </c>
      <c r="S60" s="9">
        <f>'07_E_manual'!S52-'09_dash_E'!S52</f>
        <v>-6.9388939039072284E-17</v>
      </c>
      <c r="T60" s="9">
        <f>'07_E_manual'!T52-'09_dash_E'!T52</f>
        <v>-6.2450045135165055E-17</v>
      </c>
      <c r="U60" s="9">
        <f>'07_E_manual'!U52-'09_dash_E'!U52</f>
        <v>-5.5511151231257827E-17</v>
      </c>
      <c r="V60" s="9">
        <f>'07_E_manual'!V52-'09_dash_E'!V52</f>
        <v>-5.5511151231257827E-17</v>
      </c>
      <c r="W60" s="9">
        <f>'07_E_manual'!W52-'09_dash_E'!W52</f>
        <v>-6.9388939039072284E-17</v>
      </c>
      <c r="X60" s="9">
        <f>'07_E_manual'!X52-'09_dash_E'!X52</f>
        <v>-1.3877787807814457E-16</v>
      </c>
      <c r="Y60" s="9">
        <f>'07_E_manual'!Y52-'09_dash_E'!Y52</f>
        <v>0</v>
      </c>
      <c r="Z60" s="9">
        <f>'07_E_manual'!Z52-'09_dash_E'!Z52</f>
        <v>-3.8163916471489756E-17</v>
      </c>
      <c r="AA60" s="9">
        <f>'07_E_manual'!AA52-'09_dash_E'!AA52</f>
        <v>-4.163336342344337E-17</v>
      </c>
      <c r="AB60" s="9">
        <f>'07_E_manual'!AB52-'09_dash_E'!AB52</f>
        <v>0</v>
      </c>
      <c r="AC60" s="9">
        <f>'07_E_manual'!AC52-'09_dash_E'!AC52</f>
        <v>-3.8163916471489756E-17</v>
      </c>
      <c r="AD60" s="9">
        <f>'07_E_manual'!AD52-'09_dash_E'!AD52</f>
        <v>-3.2959746043559335E-17</v>
      </c>
      <c r="AE60" s="9">
        <f>'07_E_manual'!AE52-'09_dash_E'!AE52</f>
        <v>-1.5612511283791264E-17</v>
      </c>
      <c r="AF60" s="9">
        <f>'07_E_manual'!AF52-'09_dash_E'!AF52</f>
        <v>-3.4694469519536142E-17</v>
      </c>
      <c r="AG60" s="9">
        <f>'07_E_manual'!AG52-'09_dash_E'!AG52</f>
        <v>-1.7347234759768071E-17</v>
      </c>
      <c r="AH60" s="9">
        <f>'07_E_manual'!AH52-'09_dash_E'!AH52</f>
        <v>-1.214306433183765E-17</v>
      </c>
      <c r="AI60" s="9">
        <f>'07_E_manual'!AI52-'09_dash_E'!AI52</f>
        <v>-2.2551405187698492E-17</v>
      </c>
    </row>
    <row r="61" spans="1:35" x14ac:dyDescent="0.2">
      <c r="A61" s="12" t="s">
        <v>1417</v>
      </c>
      <c r="B61" s="9">
        <f>'07_E_manual'!B53-'09_dash_E'!B53</f>
        <v>0</v>
      </c>
      <c r="C61" s="9">
        <f>'07_E_manual'!C53-'09_dash_E'!C53</f>
        <v>0</v>
      </c>
      <c r="D61" s="9">
        <f>'07_E_manual'!D53-'09_dash_E'!D53</f>
        <v>0</v>
      </c>
      <c r="E61" s="9">
        <f>'07_E_manual'!E53-'09_dash_E'!E53</f>
        <v>0</v>
      </c>
      <c r="F61" s="9">
        <f>'07_E_manual'!F53-'09_dash_E'!F53</f>
        <v>0</v>
      </c>
      <c r="G61" s="9">
        <f>'07_E_manual'!G53-'09_dash_E'!G53</f>
        <v>0</v>
      </c>
      <c r="H61" s="9">
        <f>'07_E_manual'!H53-'09_dash_E'!H53</f>
        <v>0</v>
      </c>
      <c r="I61" s="9">
        <f>'07_E_manual'!I53-'09_dash_E'!I53</f>
        <v>0</v>
      </c>
      <c r="J61" s="9">
        <f>'07_E_manual'!J53-'09_dash_E'!J53</f>
        <v>0</v>
      </c>
      <c r="K61" s="9">
        <f>'07_E_manual'!K53-'09_dash_E'!K53</f>
        <v>0</v>
      </c>
      <c r="L61" s="9">
        <f>'07_E_manual'!L53-'09_dash_E'!L53</f>
        <v>0</v>
      </c>
      <c r="M61" s="9">
        <f>'07_E_manual'!M53-'09_dash_E'!M53</f>
        <v>0</v>
      </c>
      <c r="N61" s="9">
        <f>'07_E_manual'!N53-'09_dash_E'!N53</f>
        <v>0</v>
      </c>
      <c r="O61" s="9">
        <f>'07_E_manual'!O53-'09_dash_E'!O53</f>
        <v>0</v>
      </c>
      <c r="P61" s="9">
        <f>'07_E_manual'!P53-'09_dash_E'!P53</f>
        <v>0</v>
      </c>
      <c r="Q61" s="9">
        <f>'07_E_manual'!Q53-'09_dash_E'!Q53</f>
        <v>0</v>
      </c>
      <c r="R61" s="9">
        <f>'07_E_manual'!R53-'09_dash_E'!R53</f>
        <v>0</v>
      </c>
      <c r="S61" s="9">
        <f>'07_E_manual'!S53-'09_dash_E'!S53</f>
        <v>0</v>
      </c>
      <c r="T61" s="9">
        <f>'07_E_manual'!T53-'09_dash_E'!T53</f>
        <v>0</v>
      </c>
      <c r="U61" s="9">
        <f>'07_E_manual'!U53-'09_dash_E'!U53</f>
        <v>0</v>
      </c>
      <c r="V61" s="9">
        <f>'07_E_manual'!V53-'09_dash_E'!V53</f>
        <v>0</v>
      </c>
      <c r="W61" s="9">
        <f>'07_E_manual'!W53-'09_dash_E'!W53</f>
        <v>0</v>
      </c>
      <c r="X61" s="9">
        <f>'07_E_manual'!X53-'09_dash_E'!X53</f>
        <v>0</v>
      </c>
      <c r="Y61" s="9">
        <f>'07_E_manual'!Y53-'09_dash_E'!Y53</f>
        <v>0</v>
      </c>
      <c r="Z61" s="9">
        <f>'07_E_manual'!Z53-'09_dash_E'!Z53</f>
        <v>0</v>
      </c>
      <c r="AA61" s="9">
        <f>'07_E_manual'!AA53-'09_dash_E'!AA53</f>
        <v>0</v>
      </c>
      <c r="AB61" s="9">
        <f>'07_E_manual'!AB53-'09_dash_E'!AB53</f>
        <v>0</v>
      </c>
      <c r="AC61" s="9">
        <f>'07_E_manual'!AC53-'09_dash_E'!AC53</f>
        <v>0</v>
      </c>
      <c r="AD61" s="9">
        <f>'07_E_manual'!AD53-'09_dash_E'!AD53</f>
        <v>0</v>
      </c>
      <c r="AE61" s="9">
        <f>'07_E_manual'!AE53-'09_dash_E'!AE53</f>
        <v>0</v>
      </c>
      <c r="AF61" s="9">
        <f>'07_E_manual'!AF53-'09_dash_E'!AF53</f>
        <v>0</v>
      </c>
      <c r="AG61" s="9">
        <f>'07_E_manual'!AG53-'09_dash_E'!AG53</f>
        <v>0</v>
      </c>
      <c r="AH61" s="9">
        <f>'07_E_manual'!AH53-'09_dash_E'!AH53</f>
        <v>0</v>
      </c>
      <c r="AI61" s="9">
        <f>'07_E_manual'!AI53-'09_dash_E'!AI53</f>
        <v>0</v>
      </c>
    </row>
    <row r="62" spans="1:35" x14ac:dyDescent="0.2">
      <c r="A62" s="12" t="s">
        <v>1418</v>
      </c>
      <c r="B62" s="9">
        <f>'07_E_manual'!B54-'09_dash_E'!B54</f>
        <v>0</v>
      </c>
      <c r="C62" s="9">
        <f>'07_E_manual'!C54-'09_dash_E'!C54</f>
        <v>0</v>
      </c>
      <c r="D62" s="9">
        <f>'07_E_manual'!D54-'09_dash_E'!D54</f>
        <v>0</v>
      </c>
      <c r="E62" s="9">
        <f>'07_E_manual'!E54-'09_dash_E'!E54</f>
        <v>0</v>
      </c>
      <c r="F62" s="9">
        <f>'07_E_manual'!F54-'09_dash_E'!F54</f>
        <v>0</v>
      </c>
      <c r="G62" s="9">
        <f>'07_E_manual'!G54-'09_dash_E'!G54</f>
        <v>0</v>
      </c>
      <c r="H62" s="9">
        <f>'07_E_manual'!H54-'09_dash_E'!H54</f>
        <v>0</v>
      </c>
      <c r="I62" s="9">
        <f>'07_E_manual'!I54-'09_dash_E'!I54</f>
        <v>0</v>
      </c>
      <c r="J62" s="9">
        <f>'07_E_manual'!J54-'09_dash_E'!J54</f>
        <v>0</v>
      </c>
      <c r="K62" s="9">
        <f>'07_E_manual'!K54-'09_dash_E'!K54</f>
        <v>0</v>
      </c>
      <c r="L62" s="9">
        <f>'07_E_manual'!L54-'09_dash_E'!L54</f>
        <v>0</v>
      </c>
      <c r="M62" s="9">
        <f>'07_E_manual'!M54-'09_dash_E'!M54</f>
        <v>0</v>
      </c>
      <c r="N62" s="9">
        <f>'07_E_manual'!N54-'09_dash_E'!N54</f>
        <v>0</v>
      </c>
      <c r="O62" s="9">
        <f>'07_E_manual'!O54-'09_dash_E'!O54</f>
        <v>0</v>
      </c>
      <c r="P62" s="9">
        <f>'07_E_manual'!P54-'09_dash_E'!P54</f>
        <v>0</v>
      </c>
      <c r="Q62" s="9">
        <f>'07_E_manual'!Q54-'09_dash_E'!Q54</f>
        <v>0</v>
      </c>
      <c r="R62" s="9">
        <f>'07_E_manual'!R54-'09_dash_E'!R54</f>
        <v>0</v>
      </c>
      <c r="S62" s="9">
        <f>'07_E_manual'!S54-'09_dash_E'!S54</f>
        <v>0</v>
      </c>
      <c r="T62" s="9">
        <f>'07_E_manual'!T54-'09_dash_E'!T54</f>
        <v>0</v>
      </c>
      <c r="U62" s="9">
        <f>'07_E_manual'!U54-'09_dash_E'!U54</f>
        <v>0</v>
      </c>
      <c r="V62" s="9">
        <f>'07_E_manual'!V54-'09_dash_E'!V54</f>
        <v>0</v>
      </c>
      <c r="W62" s="9">
        <f>'07_E_manual'!W54-'09_dash_E'!W54</f>
        <v>0</v>
      </c>
      <c r="X62" s="9">
        <f>'07_E_manual'!X54-'09_dash_E'!X54</f>
        <v>0</v>
      </c>
      <c r="Y62" s="9">
        <f>'07_E_manual'!Y54-'09_dash_E'!Y54</f>
        <v>0</v>
      </c>
      <c r="Z62" s="9">
        <f>'07_E_manual'!Z54-'09_dash_E'!Z54</f>
        <v>0</v>
      </c>
      <c r="AA62" s="9">
        <f>'07_E_manual'!AA54-'09_dash_E'!AA54</f>
        <v>0</v>
      </c>
      <c r="AB62" s="9">
        <f>'07_E_manual'!AB54-'09_dash_E'!AB54</f>
        <v>0</v>
      </c>
      <c r="AC62" s="9">
        <f>'07_E_manual'!AC54-'09_dash_E'!AC54</f>
        <v>0</v>
      </c>
      <c r="AD62" s="9">
        <f>'07_E_manual'!AD54-'09_dash_E'!AD54</f>
        <v>0</v>
      </c>
      <c r="AE62" s="9">
        <f>'07_E_manual'!AE54-'09_dash_E'!AE54</f>
        <v>0</v>
      </c>
      <c r="AF62" s="9">
        <f>'07_E_manual'!AF54-'09_dash_E'!AF54</f>
        <v>0</v>
      </c>
      <c r="AG62" s="9">
        <f>'07_E_manual'!AG54-'09_dash_E'!AG54</f>
        <v>0</v>
      </c>
      <c r="AH62" s="9">
        <f>'07_E_manual'!AH54-'09_dash_E'!AH54</f>
        <v>0</v>
      </c>
      <c r="AI62" s="9">
        <f>'07_E_manual'!AI54-'09_dash_E'!AI54</f>
        <v>0</v>
      </c>
    </row>
    <row r="63" spans="1:35" x14ac:dyDescent="0.2">
      <c r="A63" s="12" t="s">
        <v>1419</v>
      </c>
      <c r="B63" s="9">
        <f>'07_E_manual'!B55-'09_dash_E'!B55</f>
        <v>0</v>
      </c>
      <c r="C63" s="9">
        <f>'07_E_manual'!C55-'09_dash_E'!C55</f>
        <v>0</v>
      </c>
      <c r="D63" s="9">
        <f>'07_E_manual'!D55-'09_dash_E'!D55</f>
        <v>0</v>
      </c>
      <c r="E63" s="9">
        <f>'07_E_manual'!E55-'09_dash_E'!E55</f>
        <v>0</v>
      </c>
      <c r="F63" s="9">
        <f>'07_E_manual'!F55-'09_dash_E'!F55</f>
        <v>0</v>
      </c>
      <c r="G63" s="9">
        <f>'07_E_manual'!G55-'09_dash_E'!G55</f>
        <v>0</v>
      </c>
      <c r="H63" s="9">
        <f>'07_E_manual'!H55-'09_dash_E'!H55</f>
        <v>0</v>
      </c>
      <c r="I63" s="9">
        <f>'07_E_manual'!I55-'09_dash_E'!I55</f>
        <v>0</v>
      </c>
      <c r="J63" s="9">
        <f>'07_E_manual'!J55-'09_dash_E'!J55</f>
        <v>0</v>
      </c>
      <c r="K63" s="9">
        <f>'07_E_manual'!K55-'09_dash_E'!K55</f>
        <v>0</v>
      </c>
      <c r="L63" s="9">
        <f>'07_E_manual'!L55-'09_dash_E'!L55</f>
        <v>0</v>
      </c>
      <c r="M63" s="9">
        <f>'07_E_manual'!M55-'09_dash_E'!M55</f>
        <v>0</v>
      </c>
      <c r="N63" s="9">
        <f>'07_E_manual'!N55-'09_dash_E'!N55</f>
        <v>0</v>
      </c>
      <c r="O63" s="9">
        <f>'07_E_manual'!O55-'09_dash_E'!O55</f>
        <v>0</v>
      </c>
      <c r="P63" s="9">
        <f>'07_E_manual'!P55-'09_dash_E'!P55</f>
        <v>0</v>
      </c>
      <c r="Q63" s="9">
        <f>'07_E_manual'!Q55-'09_dash_E'!Q55</f>
        <v>0</v>
      </c>
      <c r="R63" s="9">
        <f>'07_E_manual'!R55-'09_dash_E'!R55</f>
        <v>0</v>
      </c>
      <c r="S63" s="9">
        <f>'07_E_manual'!S55-'09_dash_E'!S55</f>
        <v>0</v>
      </c>
      <c r="T63" s="9">
        <f>'07_E_manual'!T55-'09_dash_E'!T55</f>
        <v>0</v>
      </c>
      <c r="U63" s="9">
        <f>'07_E_manual'!U55-'09_dash_E'!U55</f>
        <v>0</v>
      </c>
      <c r="V63" s="9">
        <f>'07_E_manual'!V55-'09_dash_E'!V55</f>
        <v>0</v>
      </c>
      <c r="W63" s="9">
        <f>'07_E_manual'!W55-'09_dash_E'!W55</f>
        <v>0</v>
      </c>
      <c r="X63" s="9">
        <f>'07_E_manual'!X55-'09_dash_E'!X55</f>
        <v>0</v>
      </c>
      <c r="Y63" s="9">
        <f>'07_E_manual'!Y55-'09_dash_E'!Y55</f>
        <v>0</v>
      </c>
      <c r="Z63" s="9">
        <f>'07_E_manual'!Z55-'09_dash_E'!Z55</f>
        <v>0</v>
      </c>
      <c r="AA63" s="9">
        <f>'07_E_manual'!AA55-'09_dash_E'!AA55</f>
        <v>0</v>
      </c>
      <c r="AB63" s="9">
        <f>'07_E_manual'!AB55-'09_dash_E'!AB55</f>
        <v>0</v>
      </c>
      <c r="AC63" s="9">
        <f>'07_E_manual'!AC55-'09_dash_E'!AC55</f>
        <v>0</v>
      </c>
      <c r="AD63" s="9">
        <f>'07_E_manual'!AD55-'09_dash_E'!AD55</f>
        <v>0</v>
      </c>
      <c r="AE63" s="9">
        <f>'07_E_manual'!AE55-'09_dash_E'!AE55</f>
        <v>0</v>
      </c>
      <c r="AF63" s="9">
        <f>'07_E_manual'!AF55-'09_dash_E'!AF55</f>
        <v>0</v>
      </c>
      <c r="AG63" s="9">
        <f>'07_E_manual'!AG55-'09_dash_E'!AG55</f>
        <v>0</v>
      </c>
      <c r="AH63" s="9">
        <f>'07_E_manual'!AH55-'09_dash_E'!AH55</f>
        <v>0</v>
      </c>
      <c r="AI63" s="9">
        <f>'07_E_manual'!AI55-'09_dash_E'!AI55</f>
        <v>0</v>
      </c>
    </row>
    <row r="64" spans="1:35" x14ac:dyDescent="0.2">
      <c r="A64" s="12" t="s">
        <v>1420</v>
      </c>
      <c r="B64" s="9">
        <f>'07_E_manual'!B56-'09_dash_E'!B56</f>
        <v>0</v>
      </c>
      <c r="C64" s="9">
        <f>'07_E_manual'!C56-'09_dash_E'!C56</f>
        <v>0</v>
      </c>
      <c r="D64" s="9">
        <f>'07_E_manual'!D56-'09_dash_E'!D56</f>
        <v>0</v>
      </c>
      <c r="E64" s="9">
        <f>'07_E_manual'!E56-'09_dash_E'!E56</f>
        <v>0</v>
      </c>
      <c r="F64" s="9">
        <f>'07_E_manual'!F56-'09_dash_E'!F56</f>
        <v>0</v>
      </c>
      <c r="G64" s="9">
        <f>'07_E_manual'!G56-'09_dash_E'!G56</f>
        <v>0</v>
      </c>
      <c r="H64" s="9">
        <f>'07_E_manual'!H56-'09_dash_E'!H56</f>
        <v>0</v>
      </c>
      <c r="I64" s="9">
        <f>'07_E_manual'!I56-'09_dash_E'!I56</f>
        <v>0</v>
      </c>
      <c r="J64" s="9">
        <f>'07_E_manual'!J56-'09_dash_E'!J56</f>
        <v>0</v>
      </c>
      <c r="K64" s="9">
        <f>'07_E_manual'!K56-'09_dash_E'!K56</f>
        <v>0</v>
      </c>
      <c r="L64" s="9">
        <f>'07_E_manual'!L56-'09_dash_E'!L56</f>
        <v>0</v>
      </c>
      <c r="M64" s="9">
        <f>'07_E_manual'!M56-'09_dash_E'!M56</f>
        <v>0</v>
      </c>
      <c r="N64" s="9">
        <f>'07_E_manual'!N56-'09_dash_E'!N56</f>
        <v>0</v>
      </c>
      <c r="O64" s="9">
        <f>'07_E_manual'!O56-'09_dash_E'!O56</f>
        <v>0</v>
      </c>
      <c r="P64" s="9">
        <f>'07_E_manual'!P56-'09_dash_E'!P56</f>
        <v>0</v>
      </c>
      <c r="Q64" s="9">
        <f>'07_E_manual'!Q56-'09_dash_E'!Q56</f>
        <v>0</v>
      </c>
      <c r="R64" s="9">
        <f>'07_E_manual'!R56-'09_dash_E'!R56</f>
        <v>0</v>
      </c>
      <c r="S64" s="9">
        <f>'07_E_manual'!S56-'09_dash_E'!S56</f>
        <v>0</v>
      </c>
      <c r="T64" s="9">
        <f>'07_E_manual'!T56-'09_dash_E'!T56</f>
        <v>0</v>
      </c>
      <c r="U64" s="9">
        <f>'07_E_manual'!U56-'09_dash_E'!U56</f>
        <v>0</v>
      </c>
      <c r="V64" s="9">
        <f>'07_E_manual'!V56-'09_dash_E'!V56</f>
        <v>0</v>
      </c>
      <c r="W64" s="9">
        <f>'07_E_manual'!W56-'09_dash_E'!W56</f>
        <v>0</v>
      </c>
      <c r="X64" s="9">
        <f>'07_E_manual'!X56-'09_dash_E'!X56</f>
        <v>0</v>
      </c>
      <c r="Y64" s="9">
        <f>'07_E_manual'!Y56-'09_dash_E'!Y56</f>
        <v>0</v>
      </c>
      <c r="Z64" s="9">
        <f>'07_E_manual'!Z56-'09_dash_E'!Z56</f>
        <v>0</v>
      </c>
      <c r="AA64" s="9">
        <f>'07_E_manual'!AA56-'09_dash_E'!AA56</f>
        <v>0</v>
      </c>
      <c r="AB64" s="9">
        <f>'07_E_manual'!AB56-'09_dash_E'!AB56</f>
        <v>0</v>
      </c>
      <c r="AC64" s="9">
        <f>'07_E_manual'!AC56-'09_dash_E'!AC56</f>
        <v>0</v>
      </c>
      <c r="AD64" s="9">
        <f>'07_E_manual'!AD56-'09_dash_E'!AD56</f>
        <v>0</v>
      </c>
      <c r="AE64" s="9">
        <f>'07_E_manual'!AE56-'09_dash_E'!AE56</f>
        <v>0</v>
      </c>
      <c r="AF64" s="9">
        <f>'07_E_manual'!AF56-'09_dash_E'!AF56</f>
        <v>0</v>
      </c>
      <c r="AG64" s="9">
        <f>'07_E_manual'!AG56-'09_dash_E'!AG56</f>
        <v>0</v>
      </c>
      <c r="AH64" s="9">
        <f>'07_E_manual'!AH56-'09_dash_E'!AH56</f>
        <v>0</v>
      </c>
      <c r="AI64" s="9">
        <f>'07_E_manual'!AI56-'09_dash_E'!AI56</f>
        <v>0</v>
      </c>
    </row>
    <row r="67" spans="1:35" x14ac:dyDescent="0.2">
      <c r="A67" s="10" t="s">
        <v>1485</v>
      </c>
    </row>
    <row r="68" spans="1:35" ht="30" customHeight="1" x14ac:dyDescent="0.2">
      <c r="A68" s="5" t="s">
        <v>1334</v>
      </c>
      <c r="B68" s="5" t="s">
        <v>1335</v>
      </c>
      <c r="C68" s="5" t="s">
        <v>1336</v>
      </c>
      <c r="D68" s="5" t="s">
        <v>1337</v>
      </c>
      <c r="E68" s="5" t="s">
        <v>1338</v>
      </c>
      <c r="F68" s="5" t="s">
        <v>1339</v>
      </c>
      <c r="G68" s="5" t="s">
        <v>1340</v>
      </c>
      <c r="H68" s="5" t="s">
        <v>1341</v>
      </c>
      <c r="I68" s="5" t="s">
        <v>1342</v>
      </c>
      <c r="J68" s="5" t="s">
        <v>1343</v>
      </c>
      <c r="K68" s="5" t="s">
        <v>1344</v>
      </c>
      <c r="L68" s="5" t="s">
        <v>1345</v>
      </c>
      <c r="M68" s="5" t="s">
        <v>1346</v>
      </c>
      <c r="N68" s="5" t="s">
        <v>1347</v>
      </c>
      <c r="O68" s="5" t="s">
        <v>1348</v>
      </c>
      <c r="P68" s="5" t="s">
        <v>1349</v>
      </c>
      <c r="Q68" s="5" t="s">
        <v>1350</v>
      </c>
      <c r="R68" s="5" t="s">
        <v>1351</v>
      </c>
      <c r="S68" s="5" t="s">
        <v>1352</v>
      </c>
      <c r="T68" s="5" t="s">
        <v>1353</v>
      </c>
      <c r="U68" s="5" t="s">
        <v>1354</v>
      </c>
      <c r="V68" s="5" t="s">
        <v>1355</v>
      </c>
      <c r="W68" s="5" t="s">
        <v>1356</v>
      </c>
      <c r="X68" s="5" t="s">
        <v>1357</v>
      </c>
      <c r="Y68" s="5" t="s">
        <v>1358</v>
      </c>
      <c r="Z68" s="5" t="s">
        <v>1359</v>
      </c>
      <c r="AA68" s="5" t="s">
        <v>1360</v>
      </c>
      <c r="AB68" s="5" t="s">
        <v>1361</v>
      </c>
      <c r="AC68" s="5" t="s">
        <v>1362</v>
      </c>
      <c r="AD68" s="5" t="s">
        <v>1363</v>
      </c>
      <c r="AE68" s="5" t="s">
        <v>1364</v>
      </c>
      <c r="AF68" s="5" t="s">
        <v>1365</v>
      </c>
      <c r="AG68" s="5" t="s">
        <v>1366</v>
      </c>
      <c r="AH68" s="5" t="s">
        <v>1367</v>
      </c>
      <c r="AI68" s="5" t="s">
        <v>1368</v>
      </c>
    </row>
    <row r="69" spans="1:35" x14ac:dyDescent="0.2">
      <c r="A69" s="12" t="s">
        <v>1369</v>
      </c>
      <c r="B69" s="9">
        <f>'08_dL_manual'!B5-'10_dash_dL'!B5</f>
        <v>0</v>
      </c>
      <c r="C69" s="9">
        <f>'08_dL_manual'!C5-'10_dash_dL'!C5</f>
        <v>0</v>
      </c>
      <c r="D69" s="9">
        <f>'08_dL_manual'!D5-'10_dash_dL'!D5</f>
        <v>0</v>
      </c>
      <c r="E69" s="9">
        <f>'08_dL_manual'!E5-'10_dash_dL'!E5</f>
        <v>0</v>
      </c>
      <c r="F69" s="9">
        <f>'08_dL_manual'!F5-'10_dash_dL'!F5</f>
        <v>0</v>
      </c>
      <c r="G69" s="9">
        <f>'08_dL_manual'!G5-'10_dash_dL'!G5</f>
        <v>0</v>
      </c>
      <c r="H69" s="9">
        <f>'08_dL_manual'!H5-'10_dash_dL'!H5</f>
        <v>0</v>
      </c>
      <c r="I69" s="9">
        <f>'08_dL_manual'!I5-'10_dash_dL'!I5</f>
        <v>0</v>
      </c>
      <c r="J69" s="9">
        <f>'08_dL_manual'!J5-'10_dash_dL'!J5</f>
        <v>0</v>
      </c>
      <c r="K69" s="9">
        <f>'08_dL_manual'!K5-'10_dash_dL'!K5</f>
        <v>0</v>
      </c>
      <c r="L69" s="9">
        <f>'08_dL_manual'!L5-'10_dash_dL'!L5</f>
        <v>0</v>
      </c>
      <c r="M69" s="9">
        <f>'08_dL_manual'!M5-'10_dash_dL'!M5</f>
        <v>0</v>
      </c>
      <c r="N69" s="9">
        <f>'08_dL_manual'!N5-'10_dash_dL'!N5</f>
        <v>0</v>
      </c>
      <c r="O69" s="9">
        <f>'08_dL_manual'!O5-'10_dash_dL'!O5</f>
        <v>0</v>
      </c>
      <c r="P69" s="9">
        <f>'08_dL_manual'!P5-'10_dash_dL'!P5</f>
        <v>0</v>
      </c>
      <c r="Q69" s="9">
        <f>'08_dL_manual'!Q5-'10_dash_dL'!Q5</f>
        <v>0</v>
      </c>
      <c r="R69" s="9">
        <f>'08_dL_manual'!R5-'10_dash_dL'!R5</f>
        <v>0</v>
      </c>
      <c r="S69" s="9">
        <f>'08_dL_manual'!S5-'10_dash_dL'!S5</f>
        <v>0</v>
      </c>
      <c r="T69" s="9">
        <f>'08_dL_manual'!T5-'10_dash_dL'!T5</f>
        <v>0</v>
      </c>
      <c r="U69" s="9">
        <f>'08_dL_manual'!U5-'10_dash_dL'!U5</f>
        <v>0</v>
      </c>
      <c r="V69" s="9">
        <f>'08_dL_manual'!V5-'10_dash_dL'!V5</f>
        <v>0</v>
      </c>
      <c r="W69" s="9">
        <f>'08_dL_manual'!W5-'10_dash_dL'!W5</f>
        <v>0</v>
      </c>
      <c r="X69" s="9">
        <f>'08_dL_manual'!X5-'10_dash_dL'!X5</f>
        <v>0</v>
      </c>
      <c r="Y69" s="9">
        <f>'08_dL_manual'!Y5-'10_dash_dL'!Y5</f>
        <v>0</v>
      </c>
      <c r="Z69" s="9">
        <f>'08_dL_manual'!Z5-'10_dash_dL'!Z5</f>
        <v>0</v>
      </c>
      <c r="AA69" s="9">
        <f>'08_dL_manual'!AA5-'10_dash_dL'!AA5</f>
        <v>0</v>
      </c>
      <c r="AB69" s="9">
        <f>'08_dL_manual'!AB5-'10_dash_dL'!AB5</f>
        <v>0</v>
      </c>
      <c r="AC69" s="9">
        <f>'08_dL_manual'!AC5-'10_dash_dL'!AC5</f>
        <v>0</v>
      </c>
      <c r="AD69" s="9">
        <f>'08_dL_manual'!AD5-'10_dash_dL'!AD5</f>
        <v>0</v>
      </c>
      <c r="AE69" s="9">
        <f>'08_dL_manual'!AE5-'10_dash_dL'!AE5</f>
        <v>0</v>
      </c>
      <c r="AF69" s="9">
        <f>'08_dL_manual'!AF5-'10_dash_dL'!AF5</f>
        <v>0</v>
      </c>
      <c r="AG69" s="9">
        <f>'08_dL_manual'!AG5-'10_dash_dL'!AG5</f>
        <v>0</v>
      </c>
      <c r="AH69" s="9">
        <f>'08_dL_manual'!AH5-'10_dash_dL'!AH5</f>
        <v>0</v>
      </c>
      <c r="AI69" s="9">
        <f>'08_dL_manual'!AI5-'10_dash_dL'!AI5</f>
        <v>0</v>
      </c>
    </row>
    <row r="70" spans="1:35" x14ac:dyDescent="0.2">
      <c r="A70" s="12" t="s">
        <v>1370</v>
      </c>
      <c r="B70" s="9">
        <f>'08_dL_manual'!B6-'10_dash_dL'!B6</f>
        <v>0</v>
      </c>
      <c r="C70" s="9">
        <f>'08_dL_manual'!C6-'10_dash_dL'!C6</f>
        <v>0</v>
      </c>
      <c r="D70" s="9">
        <f>'08_dL_manual'!D6-'10_dash_dL'!D6</f>
        <v>0</v>
      </c>
      <c r="E70" s="9">
        <f>'08_dL_manual'!E6-'10_dash_dL'!E6</f>
        <v>0</v>
      </c>
      <c r="F70" s="9">
        <f>'08_dL_manual'!F6-'10_dash_dL'!F6</f>
        <v>0</v>
      </c>
      <c r="G70" s="9">
        <f>'08_dL_manual'!G6-'10_dash_dL'!G6</f>
        <v>0</v>
      </c>
      <c r="H70" s="9">
        <f>'08_dL_manual'!H6-'10_dash_dL'!H6</f>
        <v>0</v>
      </c>
      <c r="I70" s="9">
        <f>'08_dL_manual'!I6-'10_dash_dL'!I6</f>
        <v>0</v>
      </c>
      <c r="J70" s="9">
        <f>'08_dL_manual'!J6-'10_dash_dL'!J6</f>
        <v>0</v>
      </c>
      <c r="K70" s="9">
        <f>'08_dL_manual'!K6-'10_dash_dL'!K6</f>
        <v>0</v>
      </c>
      <c r="L70" s="9">
        <f>'08_dL_manual'!L6-'10_dash_dL'!L6</f>
        <v>0</v>
      </c>
      <c r="M70" s="9">
        <f>'08_dL_manual'!M6-'10_dash_dL'!M6</f>
        <v>0</v>
      </c>
      <c r="N70" s="9">
        <f>'08_dL_manual'!N6-'10_dash_dL'!N6</f>
        <v>0</v>
      </c>
      <c r="O70" s="9">
        <f>'08_dL_manual'!O6-'10_dash_dL'!O6</f>
        <v>0</v>
      </c>
      <c r="P70" s="9">
        <f>'08_dL_manual'!P6-'10_dash_dL'!P6</f>
        <v>0</v>
      </c>
      <c r="Q70" s="9">
        <f>'08_dL_manual'!Q6-'10_dash_dL'!Q6</f>
        <v>0</v>
      </c>
      <c r="R70" s="9">
        <f>'08_dL_manual'!R6-'10_dash_dL'!R6</f>
        <v>0</v>
      </c>
      <c r="S70" s="9">
        <f>'08_dL_manual'!S6-'10_dash_dL'!S6</f>
        <v>0</v>
      </c>
      <c r="T70" s="9">
        <f>'08_dL_manual'!T6-'10_dash_dL'!T6</f>
        <v>0</v>
      </c>
      <c r="U70" s="9">
        <f>'08_dL_manual'!U6-'10_dash_dL'!U6</f>
        <v>0</v>
      </c>
      <c r="V70" s="9">
        <f>'08_dL_manual'!V6-'10_dash_dL'!V6</f>
        <v>0</v>
      </c>
      <c r="W70" s="9">
        <f>'08_dL_manual'!W6-'10_dash_dL'!W6</f>
        <v>0</v>
      </c>
      <c r="X70" s="9">
        <f>'08_dL_manual'!X6-'10_dash_dL'!X6</f>
        <v>0</v>
      </c>
      <c r="Y70" s="9">
        <f>'08_dL_manual'!Y6-'10_dash_dL'!Y6</f>
        <v>0</v>
      </c>
      <c r="Z70" s="9">
        <f>'08_dL_manual'!Z6-'10_dash_dL'!Z6</f>
        <v>0</v>
      </c>
      <c r="AA70" s="9">
        <f>'08_dL_manual'!AA6-'10_dash_dL'!AA6</f>
        <v>0</v>
      </c>
      <c r="AB70" s="9">
        <f>'08_dL_manual'!AB6-'10_dash_dL'!AB6</f>
        <v>0</v>
      </c>
      <c r="AC70" s="9">
        <f>'08_dL_manual'!AC6-'10_dash_dL'!AC6</f>
        <v>0</v>
      </c>
      <c r="AD70" s="9">
        <f>'08_dL_manual'!AD6-'10_dash_dL'!AD6</f>
        <v>0</v>
      </c>
      <c r="AE70" s="9">
        <f>'08_dL_manual'!AE6-'10_dash_dL'!AE6</f>
        <v>0</v>
      </c>
      <c r="AF70" s="9">
        <f>'08_dL_manual'!AF6-'10_dash_dL'!AF6</f>
        <v>0</v>
      </c>
      <c r="AG70" s="9">
        <f>'08_dL_manual'!AG6-'10_dash_dL'!AG6</f>
        <v>0</v>
      </c>
      <c r="AH70" s="9">
        <f>'08_dL_manual'!AH6-'10_dash_dL'!AH6</f>
        <v>0</v>
      </c>
      <c r="AI70" s="9">
        <f>'08_dL_manual'!AI6-'10_dash_dL'!AI6</f>
        <v>0</v>
      </c>
    </row>
    <row r="71" spans="1:35" x14ac:dyDescent="0.2">
      <c r="A71" s="12" t="s">
        <v>1371</v>
      </c>
      <c r="B71" s="9">
        <f>'08_dL_manual'!B7-'10_dash_dL'!B7</f>
        <v>0</v>
      </c>
      <c r="C71" s="9">
        <f>'08_dL_manual'!C7-'10_dash_dL'!C7</f>
        <v>0</v>
      </c>
      <c r="D71" s="9">
        <f>'08_dL_manual'!D7-'10_dash_dL'!D7</f>
        <v>0</v>
      </c>
      <c r="E71" s="9">
        <f>'08_dL_manual'!E7-'10_dash_dL'!E7</f>
        <v>0</v>
      </c>
      <c r="F71" s="9">
        <f>'08_dL_manual'!F7-'10_dash_dL'!F7</f>
        <v>-2.2737367544323206E-12</v>
      </c>
      <c r="G71" s="9">
        <f>'08_dL_manual'!G7-'10_dash_dL'!G7</f>
        <v>0</v>
      </c>
      <c r="H71" s="9">
        <f>'08_dL_manual'!H7-'10_dash_dL'!H7</f>
        <v>0</v>
      </c>
      <c r="I71" s="9">
        <f>'08_dL_manual'!I7-'10_dash_dL'!I7</f>
        <v>0</v>
      </c>
      <c r="J71" s="9">
        <f>'08_dL_manual'!J7-'10_dash_dL'!J7</f>
        <v>0</v>
      </c>
      <c r="K71" s="9">
        <f>'08_dL_manual'!K7-'10_dash_dL'!K7</f>
        <v>0</v>
      </c>
      <c r="L71" s="9">
        <f>'08_dL_manual'!L7-'10_dash_dL'!L7</f>
        <v>0</v>
      </c>
      <c r="M71" s="9">
        <f>'08_dL_manual'!M7-'10_dash_dL'!M7</f>
        <v>0</v>
      </c>
      <c r="N71" s="9">
        <f>'08_dL_manual'!N7-'10_dash_dL'!N7</f>
        <v>0</v>
      </c>
      <c r="O71" s="9">
        <f>'08_dL_manual'!O7-'10_dash_dL'!O7</f>
        <v>-8.8817841970012523E-16</v>
      </c>
      <c r="P71" s="9">
        <f>'08_dL_manual'!P7-'10_dash_dL'!P7</f>
        <v>0</v>
      </c>
      <c r="Q71" s="9">
        <f>'08_dL_manual'!Q7-'10_dash_dL'!Q7</f>
        <v>0</v>
      </c>
      <c r="R71" s="9">
        <f>'08_dL_manual'!R7-'10_dash_dL'!R7</f>
        <v>0</v>
      </c>
      <c r="S71" s="9">
        <f>'08_dL_manual'!S7-'10_dash_dL'!S7</f>
        <v>0</v>
      </c>
      <c r="T71" s="9">
        <f>'08_dL_manual'!T7-'10_dash_dL'!T7</f>
        <v>0</v>
      </c>
      <c r="U71" s="9">
        <f>'08_dL_manual'!U7-'10_dash_dL'!U7</f>
        <v>0</v>
      </c>
      <c r="V71" s="9">
        <f>'08_dL_manual'!V7-'10_dash_dL'!V7</f>
        <v>0</v>
      </c>
      <c r="W71" s="9">
        <f>'08_dL_manual'!W7-'10_dash_dL'!W7</f>
        <v>0</v>
      </c>
      <c r="X71" s="9">
        <f>'08_dL_manual'!X7-'10_dash_dL'!X7</f>
        <v>0</v>
      </c>
      <c r="Y71" s="9">
        <f>'08_dL_manual'!Y7-'10_dash_dL'!Y7</f>
        <v>0</v>
      </c>
      <c r="Z71" s="9">
        <f>'08_dL_manual'!Z7-'10_dash_dL'!Z7</f>
        <v>0</v>
      </c>
      <c r="AA71" s="9">
        <f>'08_dL_manual'!AA7-'10_dash_dL'!AA7</f>
        <v>0</v>
      </c>
      <c r="AB71" s="9">
        <f>'08_dL_manual'!AB7-'10_dash_dL'!AB7</f>
        <v>0</v>
      </c>
      <c r="AC71" s="9">
        <f>'08_dL_manual'!AC7-'10_dash_dL'!AC7</f>
        <v>0</v>
      </c>
      <c r="AD71" s="9">
        <f>'08_dL_manual'!AD7-'10_dash_dL'!AD7</f>
        <v>0</v>
      </c>
      <c r="AE71" s="9">
        <f>'08_dL_manual'!AE7-'10_dash_dL'!AE7</f>
        <v>0</v>
      </c>
      <c r="AF71" s="9">
        <f>'08_dL_manual'!AF7-'10_dash_dL'!AF7</f>
        <v>0</v>
      </c>
      <c r="AG71" s="9">
        <f>'08_dL_manual'!AG7-'10_dash_dL'!AG7</f>
        <v>0</v>
      </c>
      <c r="AH71" s="9">
        <f>'08_dL_manual'!AH7-'10_dash_dL'!AH7</f>
        <v>0</v>
      </c>
      <c r="AI71" s="9">
        <f>'08_dL_manual'!AI7-'10_dash_dL'!AI7</f>
        <v>0</v>
      </c>
    </row>
    <row r="72" spans="1:35" x14ac:dyDescent="0.2">
      <c r="A72" s="12" t="s">
        <v>1372</v>
      </c>
      <c r="B72" s="9">
        <f>'08_dL_manual'!B8-'10_dash_dL'!B8</f>
        <v>0</v>
      </c>
      <c r="C72" s="9">
        <f>'08_dL_manual'!C8-'10_dash_dL'!C8</f>
        <v>0</v>
      </c>
      <c r="D72" s="9">
        <f>'08_dL_manual'!D8-'10_dash_dL'!D8</f>
        <v>0</v>
      </c>
      <c r="E72" s="9">
        <f>'08_dL_manual'!E8-'10_dash_dL'!E8</f>
        <v>0</v>
      </c>
      <c r="F72" s="9">
        <f>'08_dL_manual'!F8-'10_dash_dL'!F8</f>
        <v>0</v>
      </c>
      <c r="G72" s="9">
        <f>'08_dL_manual'!G8-'10_dash_dL'!G8</f>
        <v>0</v>
      </c>
      <c r="H72" s="9">
        <f>'08_dL_manual'!H8-'10_dash_dL'!H8</f>
        <v>0</v>
      </c>
      <c r="I72" s="9">
        <f>'08_dL_manual'!I8-'10_dash_dL'!I8</f>
        <v>0</v>
      </c>
      <c r="J72" s="9">
        <f>'08_dL_manual'!J8-'10_dash_dL'!J8</f>
        <v>0</v>
      </c>
      <c r="K72" s="9">
        <f>'08_dL_manual'!K8-'10_dash_dL'!K8</f>
        <v>0</v>
      </c>
      <c r="L72" s="9">
        <f>'08_dL_manual'!L8-'10_dash_dL'!L8</f>
        <v>0</v>
      </c>
      <c r="M72" s="9">
        <f>'08_dL_manual'!M8-'10_dash_dL'!M8</f>
        <v>0</v>
      </c>
      <c r="N72" s="9">
        <f>'08_dL_manual'!N8-'10_dash_dL'!N8</f>
        <v>0</v>
      </c>
      <c r="O72" s="9">
        <f>'08_dL_manual'!O8-'10_dash_dL'!O8</f>
        <v>0</v>
      </c>
      <c r="P72" s="9">
        <f>'08_dL_manual'!P8-'10_dash_dL'!P8</f>
        <v>0</v>
      </c>
      <c r="Q72" s="9">
        <f>'08_dL_manual'!Q8-'10_dash_dL'!Q8</f>
        <v>0</v>
      </c>
      <c r="R72" s="9">
        <f>'08_dL_manual'!R8-'10_dash_dL'!R8</f>
        <v>0</v>
      </c>
      <c r="S72" s="9">
        <f>'08_dL_manual'!S8-'10_dash_dL'!S8</f>
        <v>0</v>
      </c>
      <c r="T72" s="9">
        <f>'08_dL_manual'!T8-'10_dash_dL'!T8</f>
        <v>0</v>
      </c>
      <c r="U72" s="9">
        <f>'08_dL_manual'!U8-'10_dash_dL'!U8</f>
        <v>0</v>
      </c>
      <c r="V72" s="9">
        <f>'08_dL_manual'!V8-'10_dash_dL'!V8</f>
        <v>0</v>
      </c>
      <c r="W72" s="9">
        <f>'08_dL_manual'!W8-'10_dash_dL'!W8</f>
        <v>0</v>
      </c>
      <c r="X72" s="9">
        <f>'08_dL_manual'!X8-'10_dash_dL'!X8</f>
        <v>0</v>
      </c>
      <c r="Y72" s="9">
        <f>'08_dL_manual'!Y8-'10_dash_dL'!Y8</f>
        <v>0</v>
      </c>
      <c r="Z72" s="9">
        <f>'08_dL_manual'!Z8-'10_dash_dL'!Z8</f>
        <v>0</v>
      </c>
      <c r="AA72" s="9">
        <f>'08_dL_manual'!AA8-'10_dash_dL'!AA8</f>
        <v>0</v>
      </c>
      <c r="AB72" s="9">
        <f>'08_dL_manual'!AB8-'10_dash_dL'!AB8</f>
        <v>0</v>
      </c>
      <c r="AC72" s="9">
        <f>'08_dL_manual'!AC8-'10_dash_dL'!AC8</f>
        <v>0</v>
      </c>
      <c r="AD72" s="9">
        <f>'08_dL_manual'!AD8-'10_dash_dL'!AD8</f>
        <v>0</v>
      </c>
      <c r="AE72" s="9">
        <f>'08_dL_manual'!AE8-'10_dash_dL'!AE8</f>
        <v>0</v>
      </c>
      <c r="AF72" s="9">
        <f>'08_dL_manual'!AF8-'10_dash_dL'!AF8</f>
        <v>0</v>
      </c>
      <c r="AG72" s="9">
        <f>'08_dL_manual'!AG8-'10_dash_dL'!AG8</f>
        <v>0</v>
      </c>
      <c r="AH72" s="9">
        <f>'08_dL_manual'!AH8-'10_dash_dL'!AH8</f>
        <v>0</v>
      </c>
      <c r="AI72" s="9">
        <f>'08_dL_manual'!AI8-'10_dash_dL'!AI8</f>
        <v>0</v>
      </c>
    </row>
    <row r="73" spans="1:35" x14ac:dyDescent="0.2">
      <c r="A73" s="12" t="s">
        <v>1373</v>
      </c>
      <c r="B73" s="9">
        <f>'08_dL_manual'!B9-'10_dash_dL'!B9</f>
        <v>0</v>
      </c>
      <c r="C73" s="9">
        <f>'08_dL_manual'!C9-'10_dash_dL'!C9</f>
        <v>0</v>
      </c>
      <c r="D73" s="9">
        <f>'08_dL_manual'!D9-'10_dash_dL'!D9</f>
        <v>0</v>
      </c>
      <c r="E73" s="9">
        <f>'08_dL_manual'!E9-'10_dash_dL'!E9</f>
        <v>0</v>
      </c>
      <c r="F73" s="9">
        <f>'08_dL_manual'!F9-'10_dash_dL'!F9</f>
        <v>0</v>
      </c>
      <c r="G73" s="9">
        <f>'08_dL_manual'!G9-'10_dash_dL'!G9</f>
        <v>0</v>
      </c>
      <c r="H73" s="9">
        <f>'08_dL_manual'!H9-'10_dash_dL'!H9</f>
        <v>0</v>
      </c>
      <c r="I73" s="9">
        <f>'08_dL_manual'!I9-'10_dash_dL'!I9</f>
        <v>0</v>
      </c>
      <c r="J73" s="9">
        <f>'08_dL_manual'!J9-'10_dash_dL'!J9</f>
        <v>0</v>
      </c>
      <c r="K73" s="9">
        <f>'08_dL_manual'!K9-'10_dash_dL'!K9</f>
        <v>0</v>
      </c>
      <c r="L73" s="9">
        <f>'08_dL_manual'!L9-'10_dash_dL'!L9</f>
        <v>0</v>
      </c>
      <c r="M73" s="9">
        <f>'08_dL_manual'!M9-'10_dash_dL'!M9</f>
        <v>0</v>
      </c>
      <c r="N73" s="9">
        <f>'08_dL_manual'!N9-'10_dash_dL'!N9</f>
        <v>0</v>
      </c>
      <c r="O73" s="9">
        <f>'08_dL_manual'!O9-'10_dash_dL'!O9</f>
        <v>0</v>
      </c>
      <c r="P73" s="9">
        <f>'08_dL_manual'!P9-'10_dash_dL'!P9</f>
        <v>0</v>
      </c>
      <c r="Q73" s="9">
        <f>'08_dL_manual'!Q9-'10_dash_dL'!Q9</f>
        <v>0</v>
      </c>
      <c r="R73" s="9">
        <f>'08_dL_manual'!R9-'10_dash_dL'!R9</f>
        <v>0</v>
      </c>
      <c r="S73" s="9">
        <f>'08_dL_manual'!S9-'10_dash_dL'!S9</f>
        <v>0</v>
      </c>
      <c r="T73" s="9">
        <f>'08_dL_manual'!T9-'10_dash_dL'!T9</f>
        <v>0</v>
      </c>
      <c r="U73" s="9">
        <f>'08_dL_manual'!U9-'10_dash_dL'!U9</f>
        <v>0</v>
      </c>
      <c r="V73" s="9">
        <f>'08_dL_manual'!V9-'10_dash_dL'!V9</f>
        <v>0</v>
      </c>
      <c r="W73" s="9">
        <f>'08_dL_manual'!W9-'10_dash_dL'!W9</f>
        <v>0</v>
      </c>
      <c r="X73" s="9">
        <f>'08_dL_manual'!X9-'10_dash_dL'!X9</f>
        <v>0</v>
      </c>
      <c r="Y73" s="9">
        <f>'08_dL_manual'!Y9-'10_dash_dL'!Y9</f>
        <v>0</v>
      </c>
      <c r="Z73" s="9">
        <f>'08_dL_manual'!Z9-'10_dash_dL'!Z9</f>
        <v>0</v>
      </c>
      <c r="AA73" s="9">
        <f>'08_dL_manual'!AA9-'10_dash_dL'!AA9</f>
        <v>0</v>
      </c>
      <c r="AB73" s="9">
        <f>'08_dL_manual'!AB9-'10_dash_dL'!AB9</f>
        <v>0</v>
      </c>
      <c r="AC73" s="9">
        <f>'08_dL_manual'!AC9-'10_dash_dL'!AC9</f>
        <v>0</v>
      </c>
      <c r="AD73" s="9">
        <f>'08_dL_manual'!AD9-'10_dash_dL'!AD9</f>
        <v>0</v>
      </c>
      <c r="AE73" s="9">
        <f>'08_dL_manual'!AE9-'10_dash_dL'!AE9</f>
        <v>0</v>
      </c>
      <c r="AF73" s="9">
        <f>'08_dL_manual'!AF9-'10_dash_dL'!AF9</f>
        <v>0</v>
      </c>
      <c r="AG73" s="9">
        <f>'08_dL_manual'!AG9-'10_dash_dL'!AG9</f>
        <v>0</v>
      </c>
      <c r="AH73" s="9">
        <f>'08_dL_manual'!AH9-'10_dash_dL'!AH9</f>
        <v>0</v>
      </c>
      <c r="AI73" s="9">
        <f>'08_dL_manual'!AI9-'10_dash_dL'!AI9</f>
        <v>0</v>
      </c>
    </row>
    <row r="74" spans="1:35" x14ac:dyDescent="0.2">
      <c r="A74" s="12" t="s">
        <v>1374</v>
      </c>
      <c r="B74" s="9">
        <f>'08_dL_manual'!B10-'10_dash_dL'!B10</f>
        <v>0</v>
      </c>
      <c r="C74" s="9">
        <f>'08_dL_manual'!C10-'10_dash_dL'!C10</f>
        <v>0</v>
      </c>
      <c r="D74" s="9">
        <f>'08_dL_manual'!D10-'10_dash_dL'!D10</f>
        <v>0</v>
      </c>
      <c r="E74" s="9">
        <f>'08_dL_manual'!E10-'10_dash_dL'!E10</f>
        <v>0</v>
      </c>
      <c r="F74" s="9">
        <f>'08_dL_manual'!F10-'10_dash_dL'!F10</f>
        <v>0</v>
      </c>
      <c r="G74" s="9">
        <f>'08_dL_manual'!G10-'10_dash_dL'!G10</f>
        <v>0</v>
      </c>
      <c r="H74" s="9">
        <f>'08_dL_manual'!H10-'10_dash_dL'!H10</f>
        <v>0</v>
      </c>
      <c r="I74" s="9">
        <f>'08_dL_manual'!I10-'10_dash_dL'!I10</f>
        <v>0</v>
      </c>
      <c r="J74" s="9">
        <f>'08_dL_manual'!J10-'10_dash_dL'!J10</f>
        <v>0</v>
      </c>
      <c r="K74" s="9">
        <f>'08_dL_manual'!K10-'10_dash_dL'!K10</f>
        <v>0</v>
      </c>
      <c r="L74" s="9">
        <f>'08_dL_manual'!L10-'10_dash_dL'!L10</f>
        <v>0</v>
      </c>
      <c r="M74" s="9">
        <f>'08_dL_manual'!M10-'10_dash_dL'!M10</f>
        <v>0</v>
      </c>
      <c r="N74" s="9">
        <f>'08_dL_manual'!N10-'10_dash_dL'!N10</f>
        <v>0</v>
      </c>
      <c r="O74" s="9">
        <f>'08_dL_manual'!O10-'10_dash_dL'!O10</f>
        <v>0</v>
      </c>
      <c r="P74" s="9">
        <f>'08_dL_manual'!P10-'10_dash_dL'!P10</f>
        <v>0</v>
      </c>
      <c r="Q74" s="9">
        <f>'08_dL_manual'!Q10-'10_dash_dL'!Q10</f>
        <v>0</v>
      </c>
      <c r="R74" s="9">
        <f>'08_dL_manual'!R10-'10_dash_dL'!R10</f>
        <v>0</v>
      </c>
      <c r="S74" s="9">
        <f>'08_dL_manual'!S10-'10_dash_dL'!S10</f>
        <v>0</v>
      </c>
      <c r="T74" s="9">
        <f>'08_dL_manual'!T10-'10_dash_dL'!T10</f>
        <v>0</v>
      </c>
      <c r="U74" s="9">
        <f>'08_dL_manual'!U10-'10_dash_dL'!U10</f>
        <v>0</v>
      </c>
      <c r="V74" s="9">
        <f>'08_dL_manual'!V10-'10_dash_dL'!V10</f>
        <v>0</v>
      </c>
      <c r="W74" s="9">
        <f>'08_dL_manual'!W10-'10_dash_dL'!W10</f>
        <v>0</v>
      </c>
      <c r="X74" s="9">
        <f>'08_dL_manual'!X10-'10_dash_dL'!X10</f>
        <v>0</v>
      </c>
      <c r="Y74" s="9">
        <f>'08_dL_manual'!Y10-'10_dash_dL'!Y10</f>
        <v>0</v>
      </c>
      <c r="Z74" s="9">
        <f>'08_dL_manual'!Z10-'10_dash_dL'!Z10</f>
        <v>0</v>
      </c>
      <c r="AA74" s="9">
        <f>'08_dL_manual'!AA10-'10_dash_dL'!AA10</f>
        <v>0</v>
      </c>
      <c r="AB74" s="9">
        <f>'08_dL_manual'!AB10-'10_dash_dL'!AB10</f>
        <v>0</v>
      </c>
      <c r="AC74" s="9">
        <f>'08_dL_manual'!AC10-'10_dash_dL'!AC10</f>
        <v>0</v>
      </c>
      <c r="AD74" s="9">
        <f>'08_dL_manual'!AD10-'10_dash_dL'!AD10</f>
        <v>0</v>
      </c>
      <c r="AE74" s="9">
        <f>'08_dL_manual'!AE10-'10_dash_dL'!AE10</f>
        <v>0</v>
      </c>
      <c r="AF74" s="9">
        <f>'08_dL_manual'!AF10-'10_dash_dL'!AF10</f>
        <v>0</v>
      </c>
      <c r="AG74" s="9">
        <f>'08_dL_manual'!AG10-'10_dash_dL'!AG10</f>
        <v>0</v>
      </c>
      <c r="AH74" s="9">
        <f>'08_dL_manual'!AH10-'10_dash_dL'!AH10</f>
        <v>0</v>
      </c>
      <c r="AI74" s="9">
        <f>'08_dL_manual'!AI10-'10_dash_dL'!AI10</f>
        <v>0</v>
      </c>
    </row>
    <row r="75" spans="1:35" x14ac:dyDescent="0.2">
      <c r="A75" s="12" t="s">
        <v>1375</v>
      </c>
      <c r="B75" s="9">
        <f>'08_dL_manual'!B11-'10_dash_dL'!B11</f>
        <v>0</v>
      </c>
      <c r="C75" s="9">
        <f>'08_dL_manual'!C11-'10_dash_dL'!C11</f>
        <v>0</v>
      </c>
      <c r="D75" s="9">
        <f>'08_dL_manual'!D11-'10_dash_dL'!D11</f>
        <v>0</v>
      </c>
      <c r="E75" s="9">
        <f>'08_dL_manual'!E11-'10_dash_dL'!E11</f>
        <v>0</v>
      </c>
      <c r="F75" s="9">
        <f>'08_dL_manual'!F11-'10_dash_dL'!F11</f>
        <v>0</v>
      </c>
      <c r="G75" s="9">
        <f>'08_dL_manual'!G11-'10_dash_dL'!G11</f>
        <v>0</v>
      </c>
      <c r="H75" s="9">
        <f>'08_dL_manual'!H11-'10_dash_dL'!H11</f>
        <v>0</v>
      </c>
      <c r="I75" s="9">
        <f>'08_dL_manual'!I11-'10_dash_dL'!I11</f>
        <v>0</v>
      </c>
      <c r="J75" s="9">
        <f>'08_dL_manual'!J11-'10_dash_dL'!J11</f>
        <v>0</v>
      </c>
      <c r="K75" s="9">
        <f>'08_dL_manual'!K11-'10_dash_dL'!K11</f>
        <v>0</v>
      </c>
      <c r="L75" s="9">
        <f>'08_dL_manual'!L11-'10_dash_dL'!L11</f>
        <v>0</v>
      </c>
      <c r="M75" s="9">
        <f>'08_dL_manual'!M11-'10_dash_dL'!M11</f>
        <v>0</v>
      </c>
      <c r="N75" s="9">
        <f>'08_dL_manual'!N11-'10_dash_dL'!N11</f>
        <v>0</v>
      </c>
      <c r="O75" s="9">
        <f>'08_dL_manual'!O11-'10_dash_dL'!O11</f>
        <v>0</v>
      </c>
      <c r="P75" s="9">
        <f>'08_dL_manual'!P11-'10_dash_dL'!P11</f>
        <v>0</v>
      </c>
      <c r="Q75" s="9">
        <f>'08_dL_manual'!Q11-'10_dash_dL'!Q11</f>
        <v>0</v>
      </c>
      <c r="R75" s="9">
        <f>'08_dL_manual'!R11-'10_dash_dL'!R11</f>
        <v>0</v>
      </c>
      <c r="S75" s="9">
        <f>'08_dL_manual'!S11-'10_dash_dL'!S11</f>
        <v>0</v>
      </c>
      <c r="T75" s="9">
        <f>'08_dL_manual'!T11-'10_dash_dL'!T11</f>
        <v>0</v>
      </c>
      <c r="U75" s="9">
        <f>'08_dL_manual'!U11-'10_dash_dL'!U11</f>
        <v>0</v>
      </c>
      <c r="V75" s="9">
        <f>'08_dL_manual'!V11-'10_dash_dL'!V11</f>
        <v>0</v>
      </c>
      <c r="W75" s="9">
        <f>'08_dL_manual'!W11-'10_dash_dL'!W11</f>
        <v>0</v>
      </c>
      <c r="X75" s="9">
        <f>'08_dL_manual'!X11-'10_dash_dL'!X11</f>
        <v>0</v>
      </c>
      <c r="Y75" s="9">
        <f>'08_dL_manual'!Y11-'10_dash_dL'!Y11</f>
        <v>0</v>
      </c>
      <c r="Z75" s="9">
        <f>'08_dL_manual'!Z11-'10_dash_dL'!Z11</f>
        <v>0</v>
      </c>
      <c r="AA75" s="9">
        <f>'08_dL_manual'!AA11-'10_dash_dL'!AA11</f>
        <v>0</v>
      </c>
      <c r="AB75" s="9">
        <f>'08_dL_manual'!AB11-'10_dash_dL'!AB11</f>
        <v>0</v>
      </c>
      <c r="AC75" s="9">
        <f>'08_dL_manual'!AC11-'10_dash_dL'!AC11</f>
        <v>0</v>
      </c>
      <c r="AD75" s="9">
        <f>'08_dL_manual'!AD11-'10_dash_dL'!AD11</f>
        <v>0</v>
      </c>
      <c r="AE75" s="9">
        <f>'08_dL_manual'!AE11-'10_dash_dL'!AE11</f>
        <v>0</v>
      </c>
      <c r="AF75" s="9">
        <f>'08_dL_manual'!AF11-'10_dash_dL'!AF11</f>
        <v>0</v>
      </c>
      <c r="AG75" s="9">
        <f>'08_dL_manual'!AG11-'10_dash_dL'!AG11</f>
        <v>0</v>
      </c>
      <c r="AH75" s="9">
        <f>'08_dL_manual'!AH11-'10_dash_dL'!AH11</f>
        <v>0</v>
      </c>
      <c r="AI75" s="9">
        <f>'08_dL_manual'!AI11-'10_dash_dL'!AI11</f>
        <v>0</v>
      </c>
    </row>
    <row r="76" spans="1:35" x14ac:dyDescent="0.2">
      <c r="A76" s="12" t="s">
        <v>1376</v>
      </c>
      <c r="B76" s="9">
        <f>'08_dL_manual'!B12-'10_dash_dL'!B12</f>
        <v>0</v>
      </c>
      <c r="C76" s="9">
        <f>'08_dL_manual'!C12-'10_dash_dL'!C12</f>
        <v>0</v>
      </c>
      <c r="D76" s="9">
        <f>'08_dL_manual'!D12-'10_dash_dL'!D12</f>
        <v>0</v>
      </c>
      <c r="E76" s="9">
        <f>'08_dL_manual'!E12-'10_dash_dL'!E12</f>
        <v>0</v>
      </c>
      <c r="F76" s="9">
        <f>'08_dL_manual'!F12-'10_dash_dL'!F12</f>
        <v>0</v>
      </c>
      <c r="G76" s="9">
        <f>'08_dL_manual'!G12-'10_dash_dL'!G12</f>
        <v>0</v>
      </c>
      <c r="H76" s="9">
        <f>'08_dL_manual'!H12-'10_dash_dL'!H12</f>
        <v>0</v>
      </c>
      <c r="I76" s="9">
        <f>'08_dL_manual'!I12-'10_dash_dL'!I12</f>
        <v>0</v>
      </c>
      <c r="J76" s="9">
        <f>'08_dL_manual'!J12-'10_dash_dL'!J12</f>
        <v>0</v>
      </c>
      <c r="K76" s="9">
        <f>'08_dL_manual'!K12-'10_dash_dL'!K12</f>
        <v>0</v>
      </c>
      <c r="L76" s="9">
        <f>'08_dL_manual'!L12-'10_dash_dL'!L12</f>
        <v>0</v>
      </c>
      <c r="M76" s="9">
        <f>'08_dL_manual'!M12-'10_dash_dL'!M12</f>
        <v>0</v>
      </c>
      <c r="N76" s="9">
        <f>'08_dL_manual'!N12-'10_dash_dL'!N12</f>
        <v>0</v>
      </c>
      <c r="O76" s="9">
        <f>'08_dL_manual'!O12-'10_dash_dL'!O12</f>
        <v>0</v>
      </c>
      <c r="P76" s="9">
        <f>'08_dL_manual'!P12-'10_dash_dL'!P12</f>
        <v>0</v>
      </c>
      <c r="Q76" s="9">
        <f>'08_dL_manual'!Q12-'10_dash_dL'!Q12</f>
        <v>0</v>
      </c>
      <c r="R76" s="9">
        <f>'08_dL_manual'!R12-'10_dash_dL'!R12</f>
        <v>0</v>
      </c>
      <c r="S76" s="9">
        <f>'08_dL_manual'!S12-'10_dash_dL'!S12</f>
        <v>0</v>
      </c>
      <c r="T76" s="9">
        <f>'08_dL_manual'!T12-'10_dash_dL'!T12</f>
        <v>0</v>
      </c>
      <c r="U76" s="9">
        <f>'08_dL_manual'!U12-'10_dash_dL'!U12</f>
        <v>0</v>
      </c>
      <c r="V76" s="9">
        <f>'08_dL_manual'!V12-'10_dash_dL'!V12</f>
        <v>0</v>
      </c>
      <c r="W76" s="9">
        <f>'08_dL_manual'!W12-'10_dash_dL'!W12</f>
        <v>0</v>
      </c>
      <c r="X76" s="9">
        <f>'08_dL_manual'!X12-'10_dash_dL'!X12</f>
        <v>0</v>
      </c>
      <c r="Y76" s="9">
        <f>'08_dL_manual'!Y12-'10_dash_dL'!Y12</f>
        <v>0</v>
      </c>
      <c r="Z76" s="9">
        <f>'08_dL_manual'!Z12-'10_dash_dL'!Z12</f>
        <v>0</v>
      </c>
      <c r="AA76" s="9">
        <f>'08_dL_manual'!AA12-'10_dash_dL'!AA12</f>
        <v>0</v>
      </c>
      <c r="AB76" s="9">
        <f>'08_dL_manual'!AB12-'10_dash_dL'!AB12</f>
        <v>0</v>
      </c>
      <c r="AC76" s="9">
        <f>'08_dL_manual'!AC12-'10_dash_dL'!AC12</f>
        <v>0</v>
      </c>
      <c r="AD76" s="9">
        <f>'08_dL_manual'!AD12-'10_dash_dL'!AD12</f>
        <v>0</v>
      </c>
      <c r="AE76" s="9">
        <f>'08_dL_manual'!AE12-'10_dash_dL'!AE12</f>
        <v>0</v>
      </c>
      <c r="AF76" s="9">
        <f>'08_dL_manual'!AF12-'10_dash_dL'!AF12</f>
        <v>0</v>
      </c>
      <c r="AG76" s="9">
        <f>'08_dL_manual'!AG12-'10_dash_dL'!AG12</f>
        <v>0</v>
      </c>
      <c r="AH76" s="9">
        <f>'08_dL_manual'!AH12-'10_dash_dL'!AH12</f>
        <v>0</v>
      </c>
      <c r="AI76" s="9">
        <f>'08_dL_manual'!AI12-'10_dash_dL'!AI12</f>
        <v>0</v>
      </c>
    </row>
    <row r="77" spans="1:35" x14ac:dyDescent="0.2">
      <c r="A77" s="12" t="s">
        <v>1377</v>
      </c>
      <c r="B77" s="9">
        <f>'08_dL_manual'!B13-'10_dash_dL'!B13</f>
        <v>0</v>
      </c>
      <c r="C77" s="9">
        <f>'08_dL_manual'!C13-'10_dash_dL'!C13</f>
        <v>0</v>
      </c>
      <c r="D77" s="9">
        <f>'08_dL_manual'!D13-'10_dash_dL'!D13</f>
        <v>0</v>
      </c>
      <c r="E77" s="9">
        <f>'08_dL_manual'!E13-'10_dash_dL'!E13</f>
        <v>0</v>
      </c>
      <c r="F77" s="9">
        <f>'08_dL_manual'!F13-'10_dash_dL'!F13</f>
        <v>-6.3948846218409017E-14</v>
      </c>
      <c r="G77" s="9">
        <f>'08_dL_manual'!G13-'10_dash_dL'!G13</f>
        <v>0</v>
      </c>
      <c r="H77" s="9">
        <f>'08_dL_manual'!H13-'10_dash_dL'!H13</f>
        <v>0</v>
      </c>
      <c r="I77" s="9">
        <f>'08_dL_manual'!I13-'10_dash_dL'!I13</f>
        <v>0</v>
      </c>
      <c r="J77" s="9">
        <f>'08_dL_manual'!J13-'10_dash_dL'!J13</f>
        <v>0</v>
      </c>
      <c r="K77" s="9">
        <f>'08_dL_manual'!K13-'10_dash_dL'!K13</f>
        <v>0</v>
      </c>
      <c r="L77" s="9">
        <f>'08_dL_manual'!L13-'10_dash_dL'!L13</f>
        <v>0</v>
      </c>
      <c r="M77" s="9">
        <f>'08_dL_manual'!M13-'10_dash_dL'!M13</f>
        <v>0</v>
      </c>
      <c r="N77" s="9">
        <f>'08_dL_manual'!N13-'10_dash_dL'!N13</f>
        <v>0</v>
      </c>
      <c r="O77" s="9">
        <f>'08_dL_manual'!O13-'10_dash_dL'!O13</f>
        <v>0</v>
      </c>
      <c r="P77" s="9">
        <f>'08_dL_manual'!P13-'10_dash_dL'!P13</f>
        <v>0</v>
      </c>
      <c r="Q77" s="9">
        <f>'08_dL_manual'!Q13-'10_dash_dL'!Q13</f>
        <v>0</v>
      </c>
      <c r="R77" s="9">
        <f>'08_dL_manual'!R13-'10_dash_dL'!R13</f>
        <v>0</v>
      </c>
      <c r="S77" s="9">
        <f>'08_dL_manual'!S13-'10_dash_dL'!S13</f>
        <v>0</v>
      </c>
      <c r="T77" s="9">
        <f>'08_dL_manual'!T13-'10_dash_dL'!T13</f>
        <v>0</v>
      </c>
      <c r="U77" s="9">
        <f>'08_dL_manual'!U13-'10_dash_dL'!U13</f>
        <v>0</v>
      </c>
      <c r="V77" s="9">
        <f>'08_dL_manual'!V13-'10_dash_dL'!V13</f>
        <v>0</v>
      </c>
      <c r="W77" s="9">
        <f>'08_dL_manual'!W13-'10_dash_dL'!W13</f>
        <v>-2.2204460492503131E-16</v>
      </c>
      <c r="X77" s="9">
        <f>'08_dL_manual'!X13-'10_dash_dL'!X13</f>
        <v>0</v>
      </c>
      <c r="Y77" s="9">
        <f>'08_dL_manual'!Y13-'10_dash_dL'!Y13</f>
        <v>0</v>
      </c>
      <c r="Z77" s="9">
        <f>'08_dL_manual'!Z13-'10_dash_dL'!Z13</f>
        <v>0</v>
      </c>
      <c r="AA77" s="9">
        <f>'08_dL_manual'!AA13-'10_dash_dL'!AA13</f>
        <v>0</v>
      </c>
      <c r="AB77" s="9">
        <f>'08_dL_manual'!AB13-'10_dash_dL'!AB13</f>
        <v>0</v>
      </c>
      <c r="AC77" s="9">
        <f>'08_dL_manual'!AC13-'10_dash_dL'!AC13</f>
        <v>0</v>
      </c>
      <c r="AD77" s="9">
        <f>'08_dL_manual'!AD13-'10_dash_dL'!AD13</f>
        <v>0</v>
      </c>
      <c r="AE77" s="9">
        <f>'08_dL_manual'!AE13-'10_dash_dL'!AE13</f>
        <v>0</v>
      </c>
      <c r="AF77" s="9">
        <f>'08_dL_manual'!AF13-'10_dash_dL'!AF13</f>
        <v>-2.2204460492503131E-16</v>
      </c>
      <c r="AG77" s="9">
        <f>'08_dL_manual'!AG13-'10_dash_dL'!AG13</f>
        <v>0</v>
      </c>
      <c r="AH77" s="9">
        <f>'08_dL_manual'!AH13-'10_dash_dL'!AH13</f>
        <v>0</v>
      </c>
      <c r="AI77" s="9">
        <f>'08_dL_manual'!AI13-'10_dash_dL'!AI13</f>
        <v>0</v>
      </c>
    </row>
    <row r="78" spans="1:35" x14ac:dyDescent="0.2">
      <c r="A78" s="12" t="s">
        <v>1378</v>
      </c>
      <c r="B78" s="9">
        <f>'08_dL_manual'!B14-'10_dash_dL'!B14</f>
        <v>0</v>
      </c>
      <c r="C78" s="9">
        <f>'08_dL_manual'!C14-'10_dash_dL'!C14</f>
        <v>0</v>
      </c>
      <c r="D78" s="9">
        <f>'08_dL_manual'!D14-'10_dash_dL'!D14</f>
        <v>0</v>
      </c>
      <c r="E78" s="9">
        <f>'08_dL_manual'!E14-'10_dash_dL'!E14</f>
        <v>0</v>
      </c>
      <c r="F78" s="9">
        <f>'08_dL_manual'!F14-'10_dash_dL'!F14</f>
        <v>0</v>
      </c>
      <c r="G78" s="9">
        <f>'08_dL_manual'!G14-'10_dash_dL'!G14</f>
        <v>0</v>
      </c>
      <c r="H78" s="9">
        <f>'08_dL_manual'!H14-'10_dash_dL'!H14</f>
        <v>0</v>
      </c>
      <c r="I78" s="9">
        <f>'08_dL_manual'!I14-'10_dash_dL'!I14</f>
        <v>0</v>
      </c>
      <c r="J78" s="9">
        <f>'08_dL_manual'!J14-'10_dash_dL'!J14</f>
        <v>0</v>
      </c>
      <c r="K78" s="9">
        <f>'08_dL_manual'!K14-'10_dash_dL'!K14</f>
        <v>0</v>
      </c>
      <c r="L78" s="9">
        <f>'08_dL_manual'!L14-'10_dash_dL'!L14</f>
        <v>0</v>
      </c>
      <c r="M78" s="9">
        <f>'08_dL_manual'!M14-'10_dash_dL'!M14</f>
        <v>0</v>
      </c>
      <c r="N78" s="9">
        <f>'08_dL_manual'!N14-'10_dash_dL'!N14</f>
        <v>0</v>
      </c>
      <c r="O78" s="9">
        <f>'08_dL_manual'!O14-'10_dash_dL'!O14</f>
        <v>0</v>
      </c>
      <c r="P78" s="9">
        <f>'08_dL_manual'!P14-'10_dash_dL'!P14</f>
        <v>0</v>
      </c>
      <c r="Q78" s="9">
        <f>'08_dL_manual'!Q14-'10_dash_dL'!Q14</f>
        <v>0</v>
      </c>
      <c r="R78" s="9">
        <f>'08_dL_manual'!R14-'10_dash_dL'!R14</f>
        <v>0</v>
      </c>
      <c r="S78" s="9">
        <f>'08_dL_manual'!S14-'10_dash_dL'!S14</f>
        <v>0</v>
      </c>
      <c r="T78" s="9">
        <f>'08_dL_manual'!T14-'10_dash_dL'!T14</f>
        <v>0</v>
      </c>
      <c r="U78" s="9">
        <f>'08_dL_manual'!U14-'10_dash_dL'!U14</f>
        <v>0</v>
      </c>
      <c r="V78" s="9">
        <f>'08_dL_manual'!V14-'10_dash_dL'!V14</f>
        <v>0</v>
      </c>
      <c r="W78" s="9">
        <f>'08_dL_manual'!W14-'10_dash_dL'!W14</f>
        <v>0</v>
      </c>
      <c r="X78" s="9">
        <f>'08_dL_manual'!X14-'10_dash_dL'!X14</f>
        <v>0</v>
      </c>
      <c r="Y78" s="9">
        <f>'08_dL_manual'!Y14-'10_dash_dL'!Y14</f>
        <v>0</v>
      </c>
      <c r="Z78" s="9">
        <f>'08_dL_manual'!Z14-'10_dash_dL'!Z14</f>
        <v>0</v>
      </c>
      <c r="AA78" s="9">
        <f>'08_dL_manual'!AA14-'10_dash_dL'!AA14</f>
        <v>0</v>
      </c>
      <c r="AB78" s="9">
        <f>'08_dL_manual'!AB14-'10_dash_dL'!AB14</f>
        <v>0</v>
      </c>
      <c r="AC78" s="9">
        <f>'08_dL_manual'!AC14-'10_dash_dL'!AC14</f>
        <v>0</v>
      </c>
      <c r="AD78" s="9">
        <f>'08_dL_manual'!AD14-'10_dash_dL'!AD14</f>
        <v>0</v>
      </c>
      <c r="AE78" s="9">
        <f>'08_dL_manual'!AE14-'10_dash_dL'!AE14</f>
        <v>0</v>
      </c>
      <c r="AF78" s="9">
        <f>'08_dL_manual'!AF14-'10_dash_dL'!AF14</f>
        <v>0</v>
      </c>
      <c r="AG78" s="9">
        <f>'08_dL_manual'!AG14-'10_dash_dL'!AG14</f>
        <v>0</v>
      </c>
      <c r="AH78" s="9">
        <f>'08_dL_manual'!AH14-'10_dash_dL'!AH14</f>
        <v>0</v>
      </c>
      <c r="AI78" s="9">
        <f>'08_dL_manual'!AI14-'10_dash_dL'!AI14</f>
        <v>0</v>
      </c>
    </row>
    <row r="79" spans="1:35" x14ac:dyDescent="0.2">
      <c r="A79" s="12" t="s">
        <v>1379</v>
      </c>
      <c r="B79" s="9">
        <f>'08_dL_manual'!B15-'10_dash_dL'!B15</f>
        <v>0</v>
      </c>
      <c r="C79" s="9">
        <f>'08_dL_manual'!C15-'10_dash_dL'!C15</f>
        <v>0</v>
      </c>
      <c r="D79" s="9">
        <f>'08_dL_manual'!D15-'10_dash_dL'!D15</f>
        <v>0</v>
      </c>
      <c r="E79" s="9">
        <f>'08_dL_manual'!E15-'10_dash_dL'!E15</f>
        <v>0</v>
      </c>
      <c r="F79" s="9">
        <f>'08_dL_manual'!F15-'10_dash_dL'!F15</f>
        <v>0</v>
      </c>
      <c r="G79" s="9">
        <f>'08_dL_manual'!G15-'10_dash_dL'!G15</f>
        <v>-1.7763568394002505E-15</v>
      </c>
      <c r="H79" s="9">
        <f>'08_dL_manual'!H15-'10_dash_dL'!H15</f>
        <v>0</v>
      </c>
      <c r="I79" s="9">
        <f>'08_dL_manual'!I15-'10_dash_dL'!I15</f>
        <v>0</v>
      </c>
      <c r="J79" s="9">
        <f>'08_dL_manual'!J15-'10_dash_dL'!J15</f>
        <v>0</v>
      </c>
      <c r="K79" s="9">
        <f>'08_dL_manual'!K15-'10_dash_dL'!K15</f>
        <v>0</v>
      </c>
      <c r="L79" s="9">
        <f>'08_dL_manual'!L15-'10_dash_dL'!L15</f>
        <v>0</v>
      </c>
      <c r="M79" s="9">
        <f>'08_dL_manual'!M15-'10_dash_dL'!M15</f>
        <v>-2.8421709430404007E-14</v>
      </c>
      <c r="N79" s="9">
        <f>'08_dL_manual'!N15-'10_dash_dL'!N15</f>
        <v>0</v>
      </c>
      <c r="O79" s="9">
        <f>'08_dL_manual'!O15-'10_dash_dL'!O15</f>
        <v>0</v>
      </c>
      <c r="P79" s="9">
        <f>'08_dL_manual'!P15-'10_dash_dL'!P15</f>
        <v>0</v>
      </c>
      <c r="Q79" s="9">
        <f>'08_dL_manual'!Q15-'10_dash_dL'!Q15</f>
        <v>0</v>
      </c>
      <c r="R79" s="9">
        <f>'08_dL_manual'!R15-'10_dash_dL'!R15</f>
        <v>0</v>
      </c>
      <c r="S79" s="9">
        <f>'08_dL_manual'!S15-'10_dash_dL'!S15</f>
        <v>0</v>
      </c>
      <c r="T79" s="9">
        <f>'08_dL_manual'!T15-'10_dash_dL'!T15</f>
        <v>0</v>
      </c>
      <c r="U79" s="9">
        <f>'08_dL_manual'!U15-'10_dash_dL'!U15</f>
        <v>0</v>
      </c>
      <c r="V79" s="9">
        <f>'08_dL_manual'!V15-'10_dash_dL'!V15</f>
        <v>0</v>
      </c>
      <c r="W79" s="9">
        <f>'08_dL_manual'!W15-'10_dash_dL'!W15</f>
        <v>0</v>
      </c>
      <c r="X79" s="9">
        <f>'08_dL_manual'!X15-'10_dash_dL'!X15</f>
        <v>0</v>
      </c>
      <c r="Y79" s="9">
        <f>'08_dL_manual'!Y15-'10_dash_dL'!Y15</f>
        <v>0</v>
      </c>
      <c r="Z79" s="9">
        <f>'08_dL_manual'!Z15-'10_dash_dL'!Z15</f>
        <v>-5.5511151231257827E-16</v>
      </c>
      <c r="AA79" s="9">
        <f>'08_dL_manual'!AA15-'10_dash_dL'!AA15</f>
        <v>0</v>
      </c>
      <c r="AB79" s="9">
        <f>'08_dL_manual'!AB15-'10_dash_dL'!AB15</f>
        <v>0</v>
      </c>
      <c r="AC79" s="9">
        <f>'08_dL_manual'!AC15-'10_dash_dL'!AC15</f>
        <v>0</v>
      </c>
      <c r="AD79" s="9">
        <f>'08_dL_manual'!AD15-'10_dash_dL'!AD15</f>
        <v>0</v>
      </c>
      <c r="AE79" s="9">
        <f>'08_dL_manual'!AE15-'10_dash_dL'!AE15</f>
        <v>0</v>
      </c>
      <c r="AF79" s="9">
        <f>'08_dL_manual'!AF15-'10_dash_dL'!AF15</f>
        <v>0</v>
      </c>
      <c r="AG79" s="9">
        <f>'08_dL_manual'!AG15-'10_dash_dL'!AG15</f>
        <v>0</v>
      </c>
      <c r="AH79" s="9">
        <f>'08_dL_manual'!AH15-'10_dash_dL'!AH15</f>
        <v>0</v>
      </c>
      <c r="AI79" s="9">
        <f>'08_dL_manual'!AI15-'10_dash_dL'!AI15</f>
        <v>0</v>
      </c>
    </row>
    <row r="80" spans="1:35" x14ac:dyDescent="0.2">
      <c r="A80" s="12" t="s">
        <v>1380</v>
      </c>
      <c r="B80" s="9">
        <f>'08_dL_manual'!B16-'10_dash_dL'!B16</f>
        <v>0</v>
      </c>
      <c r="C80" s="9">
        <f>'08_dL_manual'!C16-'10_dash_dL'!C16</f>
        <v>0</v>
      </c>
      <c r="D80" s="9">
        <f>'08_dL_manual'!D16-'10_dash_dL'!D16</f>
        <v>0</v>
      </c>
      <c r="E80" s="9">
        <f>'08_dL_manual'!E16-'10_dash_dL'!E16</f>
        <v>-2.2737367544323206E-13</v>
      </c>
      <c r="F80" s="9">
        <f>'08_dL_manual'!F16-'10_dash_dL'!F16</f>
        <v>0</v>
      </c>
      <c r="G80" s="9">
        <f>'08_dL_manual'!G16-'10_dash_dL'!G16</f>
        <v>0</v>
      </c>
      <c r="H80" s="9">
        <f>'08_dL_manual'!H16-'10_dash_dL'!H16</f>
        <v>0</v>
      </c>
      <c r="I80" s="9">
        <f>'08_dL_manual'!I16-'10_dash_dL'!I16</f>
        <v>0</v>
      </c>
      <c r="J80" s="9">
        <f>'08_dL_manual'!J16-'10_dash_dL'!J16</f>
        <v>0</v>
      </c>
      <c r="K80" s="9">
        <f>'08_dL_manual'!K16-'10_dash_dL'!K16</f>
        <v>0</v>
      </c>
      <c r="L80" s="9">
        <f>'08_dL_manual'!L16-'10_dash_dL'!L16</f>
        <v>0</v>
      </c>
      <c r="M80" s="9">
        <f>'08_dL_manual'!M16-'10_dash_dL'!M16</f>
        <v>0</v>
      </c>
      <c r="N80" s="9">
        <f>'08_dL_manual'!N16-'10_dash_dL'!N16</f>
        <v>0</v>
      </c>
      <c r="O80" s="9">
        <f>'08_dL_manual'!O16-'10_dash_dL'!O16</f>
        <v>0</v>
      </c>
      <c r="P80" s="9">
        <f>'08_dL_manual'!P16-'10_dash_dL'!P16</f>
        <v>0</v>
      </c>
      <c r="Q80" s="9">
        <f>'08_dL_manual'!Q16-'10_dash_dL'!Q16</f>
        <v>0</v>
      </c>
      <c r="R80" s="9">
        <f>'08_dL_manual'!R16-'10_dash_dL'!R16</f>
        <v>0</v>
      </c>
      <c r="S80" s="9">
        <f>'08_dL_manual'!S16-'10_dash_dL'!S16</f>
        <v>0</v>
      </c>
      <c r="T80" s="9">
        <f>'08_dL_manual'!T16-'10_dash_dL'!T16</f>
        <v>0</v>
      </c>
      <c r="U80" s="9">
        <f>'08_dL_manual'!U16-'10_dash_dL'!U16</f>
        <v>0</v>
      </c>
      <c r="V80" s="9">
        <f>'08_dL_manual'!V16-'10_dash_dL'!V16</f>
        <v>0</v>
      </c>
      <c r="W80" s="9">
        <f>'08_dL_manual'!W16-'10_dash_dL'!W16</f>
        <v>0</v>
      </c>
      <c r="X80" s="9">
        <f>'08_dL_manual'!X16-'10_dash_dL'!X16</f>
        <v>0</v>
      </c>
      <c r="Y80" s="9">
        <f>'08_dL_manual'!Y16-'10_dash_dL'!Y16</f>
        <v>0</v>
      </c>
      <c r="Z80" s="9">
        <f>'08_dL_manual'!Z16-'10_dash_dL'!Z16</f>
        <v>0</v>
      </c>
      <c r="AA80" s="9">
        <f>'08_dL_manual'!AA16-'10_dash_dL'!AA16</f>
        <v>0</v>
      </c>
      <c r="AB80" s="9">
        <f>'08_dL_manual'!AB16-'10_dash_dL'!AB16</f>
        <v>0</v>
      </c>
      <c r="AC80" s="9">
        <f>'08_dL_manual'!AC16-'10_dash_dL'!AC16</f>
        <v>0</v>
      </c>
      <c r="AD80" s="9">
        <f>'08_dL_manual'!AD16-'10_dash_dL'!AD16</f>
        <v>0</v>
      </c>
      <c r="AE80" s="9">
        <f>'08_dL_manual'!AE16-'10_dash_dL'!AE16</f>
        <v>0</v>
      </c>
      <c r="AF80" s="9">
        <f>'08_dL_manual'!AF16-'10_dash_dL'!AF16</f>
        <v>0</v>
      </c>
      <c r="AG80" s="9">
        <f>'08_dL_manual'!AG16-'10_dash_dL'!AG16</f>
        <v>0</v>
      </c>
      <c r="AH80" s="9">
        <f>'08_dL_manual'!AH16-'10_dash_dL'!AH16</f>
        <v>0</v>
      </c>
      <c r="AI80" s="9">
        <f>'08_dL_manual'!AI16-'10_dash_dL'!AI16</f>
        <v>0</v>
      </c>
    </row>
    <row r="81" spans="1:35" x14ac:dyDescent="0.2">
      <c r="A81" s="12" t="s">
        <v>1381</v>
      </c>
      <c r="B81" s="9">
        <f>'08_dL_manual'!B17-'10_dash_dL'!B17</f>
        <v>0</v>
      </c>
      <c r="C81" s="9">
        <f>'08_dL_manual'!C17-'10_dash_dL'!C17</f>
        <v>0</v>
      </c>
      <c r="D81" s="9">
        <f>'08_dL_manual'!D17-'10_dash_dL'!D17</f>
        <v>0</v>
      </c>
      <c r="E81" s="9">
        <f>'08_dL_manual'!E17-'10_dash_dL'!E17</f>
        <v>0</v>
      </c>
      <c r="F81" s="9">
        <f>'08_dL_manual'!F17-'10_dash_dL'!F17</f>
        <v>0</v>
      </c>
      <c r="G81" s="9">
        <f>'08_dL_manual'!G17-'10_dash_dL'!G17</f>
        <v>0</v>
      </c>
      <c r="H81" s="9">
        <f>'08_dL_manual'!H17-'10_dash_dL'!H17</f>
        <v>0</v>
      </c>
      <c r="I81" s="9">
        <f>'08_dL_manual'!I17-'10_dash_dL'!I17</f>
        <v>0</v>
      </c>
      <c r="J81" s="9">
        <f>'08_dL_manual'!J17-'10_dash_dL'!J17</f>
        <v>0</v>
      </c>
      <c r="K81" s="9">
        <f>'08_dL_manual'!K17-'10_dash_dL'!K17</f>
        <v>0</v>
      </c>
      <c r="L81" s="9">
        <f>'08_dL_manual'!L17-'10_dash_dL'!L17</f>
        <v>0</v>
      </c>
      <c r="M81" s="9">
        <f>'08_dL_manual'!M17-'10_dash_dL'!M17</f>
        <v>0</v>
      </c>
      <c r="N81" s="9">
        <f>'08_dL_manual'!N17-'10_dash_dL'!N17</f>
        <v>0</v>
      </c>
      <c r="O81" s="9">
        <f>'08_dL_manual'!O17-'10_dash_dL'!O17</f>
        <v>0</v>
      </c>
      <c r="P81" s="9">
        <f>'08_dL_manual'!P17-'10_dash_dL'!P17</f>
        <v>0</v>
      </c>
      <c r="Q81" s="9">
        <f>'08_dL_manual'!Q17-'10_dash_dL'!Q17</f>
        <v>0</v>
      </c>
      <c r="R81" s="9">
        <f>'08_dL_manual'!R17-'10_dash_dL'!R17</f>
        <v>0</v>
      </c>
      <c r="S81" s="9">
        <f>'08_dL_manual'!S17-'10_dash_dL'!S17</f>
        <v>0</v>
      </c>
      <c r="T81" s="9">
        <f>'08_dL_manual'!T17-'10_dash_dL'!T17</f>
        <v>0</v>
      </c>
      <c r="U81" s="9">
        <f>'08_dL_manual'!U17-'10_dash_dL'!U17</f>
        <v>0</v>
      </c>
      <c r="V81" s="9">
        <f>'08_dL_manual'!V17-'10_dash_dL'!V17</f>
        <v>0</v>
      </c>
      <c r="W81" s="9">
        <f>'08_dL_manual'!W17-'10_dash_dL'!W17</f>
        <v>0</v>
      </c>
      <c r="X81" s="9">
        <f>'08_dL_manual'!X17-'10_dash_dL'!X17</f>
        <v>0</v>
      </c>
      <c r="Y81" s="9">
        <f>'08_dL_manual'!Y17-'10_dash_dL'!Y17</f>
        <v>0</v>
      </c>
      <c r="Z81" s="9">
        <f>'08_dL_manual'!Z17-'10_dash_dL'!Z17</f>
        <v>0</v>
      </c>
      <c r="AA81" s="9">
        <f>'08_dL_manual'!AA17-'10_dash_dL'!AA17</f>
        <v>0</v>
      </c>
      <c r="AB81" s="9">
        <f>'08_dL_manual'!AB17-'10_dash_dL'!AB17</f>
        <v>0</v>
      </c>
      <c r="AC81" s="9">
        <f>'08_dL_manual'!AC17-'10_dash_dL'!AC17</f>
        <v>0</v>
      </c>
      <c r="AD81" s="9">
        <f>'08_dL_manual'!AD17-'10_dash_dL'!AD17</f>
        <v>0</v>
      </c>
      <c r="AE81" s="9">
        <f>'08_dL_manual'!AE17-'10_dash_dL'!AE17</f>
        <v>0</v>
      </c>
      <c r="AF81" s="9">
        <f>'08_dL_manual'!AF17-'10_dash_dL'!AF17</f>
        <v>0</v>
      </c>
      <c r="AG81" s="9">
        <f>'08_dL_manual'!AG17-'10_dash_dL'!AG17</f>
        <v>0</v>
      </c>
      <c r="AH81" s="9">
        <f>'08_dL_manual'!AH17-'10_dash_dL'!AH17</f>
        <v>0</v>
      </c>
      <c r="AI81" s="9">
        <f>'08_dL_manual'!AI17-'10_dash_dL'!AI17</f>
        <v>0</v>
      </c>
    </row>
    <row r="82" spans="1:35" x14ac:dyDescent="0.2">
      <c r="A82" s="12" t="s">
        <v>1382</v>
      </c>
      <c r="B82" s="9">
        <f>'08_dL_manual'!B18-'10_dash_dL'!B18</f>
        <v>0</v>
      </c>
      <c r="C82" s="9">
        <f>'08_dL_manual'!C18-'10_dash_dL'!C18</f>
        <v>0</v>
      </c>
      <c r="D82" s="9">
        <f>'08_dL_manual'!D18-'10_dash_dL'!D18</f>
        <v>0</v>
      </c>
      <c r="E82" s="9">
        <f>'08_dL_manual'!E18-'10_dash_dL'!E18</f>
        <v>0</v>
      </c>
      <c r="F82" s="9">
        <f>'08_dL_manual'!F18-'10_dash_dL'!F18</f>
        <v>0</v>
      </c>
      <c r="G82" s="9">
        <f>'08_dL_manual'!G18-'10_dash_dL'!G18</f>
        <v>0</v>
      </c>
      <c r="H82" s="9">
        <f>'08_dL_manual'!H18-'10_dash_dL'!H18</f>
        <v>0</v>
      </c>
      <c r="I82" s="9">
        <f>'08_dL_manual'!I18-'10_dash_dL'!I18</f>
        <v>0</v>
      </c>
      <c r="J82" s="9">
        <f>'08_dL_manual'!J18-'10_dash_dL'!J18</f>
        <v>0</v>
      </c>
      <c r="K82" s="9">
        <f>'08_dL_manual'!K18-'10_dash_dL'!K18</f>
        <v>0</v>
      </c>
      <c r="L82" s="9">
        <f>'08_dL_manual'!L18-'10_dash_dL'!L18</f>
        <v>0</v>
      </c>
      <c r="M82" s="9">
        <f>'08_dL_manual'!M18-'10_dash_dL'!M18</f>
        <v>0</v>
      </c>
      <c r="N82" s="9">
        <f>'08_dL_manual'!N18-'10_dash_dL'!N18</f>
        <v>0</v>
      </c>
      <c r="O82" s="9">
        <f>'08_dL_manual'!O18-'10_dash_dL'!O18</f>
        <v>0</v>
      </c>
      <c r="P82" s="9">
        <f>'08_dL_manual'!P18-'10_dash_dL'!P18</f>
        <v>0</v>
      </c>
      <c r="Q82" s="9">
        <f>'08_dL_manual'!Q18-'10_dash_dL'!Q18</f>
        <v>0</v>
      </c>
      <c r="R82" s="9">
        <f>'08_dL_manual'!R18-'10_dash_dL'!R18</f>
        <v>0</v>
      </c>
      <c r="S82" s="9">
        <f>'08_dL_manual'!S18-'10_dash_dL'!S18</f>
        <v>0</v>
      </c>
      <c r="T82" s="9">
        <f>'08_dL_manual'!T18-'10_dash_dL'!T18</f>
        <v>0</v>
      </c>
      <c r="U82" s="9">
        <f>'08_dL_manual'!U18-'10_dash_dL'!U18</f>
        <v>0</v>
      </c>
      <c r="V82" s="9">
        <f>'08_dL_manual'!V18-'10_dash_dL'!V18</f>
        <v>0</v>
      </c>
      <c r="W82" s="9">
        <f>'08_dL_manual'!W18-'10_dash_dL'!W18</f>
        <v>0</v>
      </c>
      <c r="X82" s="9">
        <f>'08_dL_manual'!X18-'10_dash_dL'!X18</f>
        <v>0</v>
      </c>
      <c r="Y82" s="9">
        <f>'08_dL_manual'!Y18-'10_dash_dL'!Y18</f>
        <v>0</v>
      </c>
      <c r="Z82" s="9">
        <f>'08_dL_manual'!Z18-'10_dash_dL'!Z18</f>
        <v>0</v>
      </c>
      <c r="AA82" s="9">
        <f>'08_dL_manual'!AA18-'10_dash_dL'!AA18</f>
        <v>0</v>
      </c>
      <c r="AB82" s="9">
        <f>'08_dL_manual'!AB18-'10_dash_dL'!AB18</f>
        <v>0</v>
      </c>
      <c r="AC82" s="9">
        <f>'08_dL_manual'!AC18-'10_dash_dL'!AC18</f>
        <v>0</v>
      </c>
      <c r="AD82" s="9">
        <f>'08_dL_manual'!AD18-'10_dash_dL'!AD18</f>
        <v>0</v>
      </c>
      <c r="AE82" s="9">
        <f>'08_dL_manual'!AE18-'10_dash_dL'!AE18</f>
        <v>0</v>
      </c>
      <c r="AF82" s="9">
        <f>'08_dL_manual'!AF18-'10_dash_dL'!AF18</f>
        <v>0</v>
      </c>
      <c r="AG82" s="9">
        <f>'08_dL_manual'!AG18-'10_dash_dL'!AG18</f>
        <v>0</v>
      </c>
      <c r="AH82" s="9">
        <f>'08_dL_manual'!AH18-'10_dash_dL'!AH18</f>
        <v>0</v>
      </c>
      <c r="AI82" s="9">
        <f>'08_dL_manual'!AI18-'10_dash_dL'!AI18</f>
        <v>0</v>
      </c>
    </row>
    <row r="83" spans="1:35" x14ac:dyDescent="0.2">
      <c r="A83" s="12" t="s">
        <v>1383</v>
      </c>
      <c r="B83" s="9">
        <f>'08_dL_manual'!B19-'10_dash_dL'!B19</f>
        <v>0</v>
      </c>
      <c r="C83" s="9">
        <f>'08_dL_manual'!C19-'10_dash_dL'!C19</f>
        <v>0</v>
      </c>
      <c r="D83" s="9">
        <f>'08_dL_manual'!D19-'10_dash_dL'!D19</f>
        <v>0</v>
      </c>
      <c r="E83" s="9">
        <f>'08_dL_manual'!E19-'10_dash_dL'!E19</f>
        <v>0</v>
      </c>
      <c r="F83" s="9">
        <f>'08_dL_manual'!F19-'10_dash_dL'!F19</f>
        <v>0</v>
      </c>
      <c r="G83" s="9">
        <f>'08_dL_manual'!G19-'10_dash_dL'!G19</f>
        <v>0</v>
      </c>
      <c r="H83" s="9">
        <f>'08_dL_manual'!H19-'10_dash_dL'!H19</f>
        <v>0</v>
      </c>
      <c r="I83" s="9">
        <f>'08_dL_manual'!I19-'10_dash_dL'!I19</f>
        <v>0</v>
      </c>
      <c r="J83" s="9">
        <f>'08_dL_manual'!J19-'10_dash_dL'!J19</f>
        <v>0</v>
      </c>
      <c r="K83" s="9">
        <f>'08_dL_manual'!K19-'10_dash_dL'!K19</f>
        <v>0</v>
      </c>
      <c r="L83" s="9">
        <f>'08_dL_manual'!L19-'10_dash_dL'!L19</f>
        <v>0</v>
      </c>
      <c r="M83" s="9">
        <f>'08_dL_manual'!M19-'10_dash_dL'!M19</f>
        <v>0</v>
      </c>
      <c r="N83" s="9">
        <f>'08_dL_manual'!N19-'10_dash_dL'!N19</f>
        <v>0</v>
      </c>
      <c r="O83" s="9">
        <f>'08_dL_manual'!O19-'10_dash_dL'!O19</f>
        <v>0</v>
      </c>
      <c r="P83" s="9">
        <f>'08_dL_manual'!P19-'10_dash_dL'!P19</f>
        <v>0</v>
      </c>
      <c r="Q83" s="9">
        <f>'08_dL_manual'!Q19-'10_dash_dL'!Q19</f>
        <v>0</v>
      </c>
      <c r="R83" s="9">
        <f>'08_dL_manual'!R19-'10_dash_dL'!R19</f>
        <v>0</v>
      </c>
      <c r="S83" s="9">
        <f>'08_dL_manual'!S19-'10_dash_dL'!S19</f>
        <v>0</v>
      </c>
      <c r="T83" s="9">
        <f>'08_dL_manual'!T19-'10_dash_dL'!T19</f>
        <v>0</v>
      </c>
      <c r="U83" s="9">
        <f>'08_dL_manual'!U19-'10_dash_dL'!U19</f>
        <v>0</v>
      </c>
      <c r="V83" s="9">
        <f>'08_dL_manual'!V19-'10_dash_dL'!V19</f>
        <v>0</v>
      </c>
      <c r="W83" s="9">
        <f>'08_dL_manual'!W19-'10_dash_dL'!W19</f>
        <v>0</v>
      </c>
      <c r="X83" s="9">
        <f>'08_dL_manual'!X19-'10_dash_dL'!X19</f>
        <v>0</v>
      </c>
      <c r="Y83" s="9">
        <f>'08_dL_manual'!Y19-'10_dash_dL'!Y19</f>
        <v>0</v>
      </c>
      <c r="Z83" s="9">
        <f>'08_dL_manual'!Z19-'10_dash_dL'!Z19</f>
        <v>0</v>
      </c>
      <c r="AA83" s="9">
        <f>'08_dL_manual'!AA19-'10_dash_dL'!AA19</f>
        <v>0</v>
      </c>
      <c r="AB83" s="9">
        <f>'08_dL_manual'!AB19-'10_dash_dL'!AB19</f>
        <v>0</v>
      </c>
      <c r="AC83" s="9">
        <f>'08_dL_manual'!AC19-'10_dash_dL'!AC19</f>
        <v>0</v>
      </c>
      <c r="AD83" s="9">
        <f>'08_dL_manual'!AD19-'10_dash_dL'!AD19</f>
        <v>0</v>
      </c>
      <c r="AE83" s="9">
        <f>'08_dL_manual'!AE19-'10_dash_dL'!AE19</f>
        <v>0</v>
      </c>
      <c r="AF83" s="9">
        <f>'08_dL_manual'!AF19-'10_dash_dL'!AF19</f>
        <v>0</v>
      </c>
      <c r="AG83" s="9">
        <f>'08_dL_manual'!AG19-'10_dash_dL'!AG19</f>
        <v>0</v>
      </c>
      <c r="AH83" s="9">
        <f>'08_dL_manual'!AH19-'10_dash_dL'!AH19</f>
        <v>0</v>
      </c>
      <c r="AI83" s="9">
        <f>'08_dL_manual'!AI19-'10_dash_dL'!AI19</f>
        <v>0</v>
      </c>
    </row>
    <row r="84" spans="1:35" x14ac:dyDescent="0.2">
      <c r="A84" s="12" t="s">
        <v>1384</v>
      </c>
      <c r="B84" s="9">
        <f>'08_dL_manual'!B20-'10_dash_dL'!B20</f>
        <v>-3.9968028886505635E-15</v>
      </c>
      <c r="C84" s="9">
        <f>'08_dL_manual'!C20-'10_dash_dL'!C20</f>
        <v>0</v>
      </c>
      <c r="D84" s="9">
        <f>'08_dL_manual'!D20-'10_dash_dL'!D20</f>
        <v>0</v>
      </c>
      <c r="E84" s="9">
        <f>'08_dL_manual'!E20-'10_dash_dL'!E20</f>
        <v>0</v>
      </c>
      <c r="F84" s="9">
        <f>'08_dL_manual'!F20-'10_dash_dL'!F20</f>
        <v>-8.8817841970012523E-16</v>
      </c>
      <c r="G84" s="9">
        <f>'08_dL_manual'!G20-'10_dash_dL'!G20</f>
        <v>0</v>
      </c>
      <c r="H84" s="9">
        <f>'08_dL_manual'!H20-'10_dash_dL'!H20</f>
        <v>-7.6327832942979512E-17</v>
      </c>
      <c r="I84" s="9">
        <f>'08_dL_manual'!I20-'10_dash_dL'!I20</f>
        <v>-8.8817841970012523E-15</v>
      </c>
      <c r="J84" s="9">
        <f>'08_dL_manual'!J20-'10_dash_dL'!J20</f>
        <v>0</v>
      </c>
      <c r="K84" s="9">
        <f>'08_dL_manual'!K20-'10_dash_dL'!K20</f>
        <v>-6.9388939039072284E-18</v>
      </c>
      <c r="L84" s="9">
        <f>'08_dL_manual'!L20-'10_dash_dL'!L20</f>
        <v>0</v>
      </c>
      <c r="M84" s="9">
        <f>'08_dL_manual'!M20-'10_dash_dL'!M20</f>
        <v>-6.2527760746888816E-13</v>
      </c>
      <c r="N84" s="9">
        <f>'08_dL_manual'!N20-'10_dash_dL'!N20</f>
        <v>-3.637978807091713E-12</v>
      </c>
      <c r="O84" s="9">
        <f>'08_dL_manual'!O20-'10_dash_dL'!O20</f>
        <v>0</v>
      </c>
      <c r="P84" s="9">
        <f>'08_dL_manual'!P20-'10_dash_dL'!P20</f>
        <v>-4.0927261579781771E-12</v>
      </c>
      <c r="Q84" s="9">
        <f>'08_dL_manual'!Q20-'10_dash_dL'!Q20</f>
        <v>0</v>
      </c>
      <c r="R84" s="9">
        <f>'08_dL_manual'!R20-'10_dash_dL'!R20</f>
        <v>0</v>
      </c>
      <c r="S84" s="9">
        <f>'08_dL_manual'!S20-'10_dash_dL'!S20</f>
        <v>-2.8421709430404007E-14</v>
      </c>
      <c r="T84" s="9">
        <f>'08_dL_manual'!T20-'10_dash_dL'!T20</f>
        <v>-3.9968028886505635E-15</v>
      </c>
      <c r="U84" s="9">
        <f>'08_dL_manual'!U20-'10_dash_dL'!U20</f>
        <v>-1.9984014443252818E-15</v>
      </c>
      <c r="V84" s="9">
        <f>'08_dL_manual'!V20-'10_dash_dL'!V20</f>
        <v>-9.4368957093138306E-16</v>
      </c>
      <c r="W84" s="9">
        <f>'08_dL_manual'!W20-'10_dash_dL'!W20</f>
        <v>0</v>
      </c>
      <c r="X84" s="9">
        <f>'08_dL_manual'!X20-'10_dash_dL'!X20</f>
        <v>0</v>
      </c>
      <c r="Y84" s="9">
        <f>'08_dL_manual'!Y20-'10_dash_dL'!Y20</f>
        <v>0</v>
      </c>
      <c r="Z84" s="9">
        <f>'08_dL_manual'!Z20-'10_dash_dL'!Z20</f>
        <v>0</v>
      </c>
      <c r="AA84" s="9">
        <f>'08_dL_manual'!AA20-'10_dash_dL'!AA20</f>
        <v>0</v>
      </c>
      <c r="AB84" s="9">
        <f>'08_dL_manual'!AB20-'10_dash_dL'!AB20</f>
        <v>-2.1316282072803006E-14</v>
      </c>
      <c r="AC84" s="9">
        <f>'08_dL_manual'!AC20-'10_dash_dL'!AC20</f>
        <v>0</v>
      </c>
      <c r="AD84" s="9">
        <f>'08_dL_manual'!AD20-'10_dash_dL'!AD20</f>
        <v>-1.5265566588595902E-16</v>
      </c>
      <c r="AE84" s="9">
        <f>'08_dL_manual'!AE20-'10_dash_dL'!AE20</f>
        <v>0</v>
      </c>
      <c r="AF84" s="9">
        <f>'08_dL_manual'!AF20-'10_dash_dL'!AF20</f>
        <v>0</v>
      </c>
      <c r="AG84" s="9">
        <f>'08_dL_manual'!AG20-'10_dash_dL'!AG20</f>
        <v>-2.7755575615628914E-17</v>
      </c>
      <c r="AH84" s="9">
        <f>'08_dL_manual'!AH20-'10_dash_dL'!AH20</f>
        <v>0</v>
      </c>
      <c r="AI84" s="9">
        <f>'08_dL_manual'!AI20-'10_dash_dL'!AI20</f>
        <v>-2.2204460492503131E-16</v>
      </c>
    </row>
    <row r="85" spans="1:35" x14ac:dyDescent="0.2">
      <c r="A85" s="12" t="s">
        <v>1385</v>
      </c>
      <c r="B85" s="9">
        <f>'08_dL_manual'!B21-'10_dash_dL'!B21</f>
        <v>0</v>
      </c>
      <c r="C85" s="9">
        <f>'08_dL_manual'!C21-'10_dash_dL'!C21</f>
        <v>0</v>
      </c>
      <c r="D85" s="9">
        <f>'08_dL_manual'!D21-'10_dash_dL'!D21</f>
        <v>0</v>
      </c>
      <c r="E85" s="9">
        <f>'08_dL_manual'!E21-'10_dash_dL'!E21</f>
        <v>0</v>
      </c>
      <c r="F85" s="9">
        <f>'08_dL_manual'!F21-'10_dash_dL'!F21</f>
        <v>0</v>
      </c>
      <c r="G85" s="9">
        <f>'08_dL_manual'!G21-'10_dash_dL'!G21</f>
        <v>0</v>
      </c>
      <c r="H85" s="9">
        <f>'08_dL_manual'!H21-'10_dash_dL'!H21</f>
        <v>0</v>
      </c>
      <c r="I85" s="9">
        <f>'08_dL_manual'!I21-'10_dash_dL'!I21</f>
        <v>0</v>
      </c>
      <c r="J85" s="9">
        <f>'08_dL_manual'!J21-'10_dash_dL'!J21</f>
        <v>0</v>
      </c>
      <c r="K85" s="9">
        <f>'08_dL_manual'!K21-'10_dash_dL'!K21</f>
        <v>0</v>
      </c>
      <c r="L85" s="9">
        <f>'08_dL_manual'!L21-'10_dash_dL'!L21</f>
        <v>0</v>
      </c>
      <c r="M85" s="9">
        <f>'08_dL_manual'!M21-'10_dash_dL'!M21</f>
        <v>0</v>
      </c>
      <c r="N85" s="9">
        <f>'08_dL_manual'!N21-'10_dash_dL'!N21</f>
        <v>0</v>
      </c>
      <c r="O85" s="9">
        <f>'08_dL_manual'!O21-'10_dash_dL'!O21</f>
        <v>0</v>
      </c>
      <c r="P85" s="9">
        <f>'08_dL_manual'!P21-'10_dash_dL'!P21</f>
        <v>0</v>
      </c>
      <c r="Q85" s="9">
        <f>'08_dL_manual'!Q21-'10_dash_dL'!Q21</f>
        <v>0</v>
      </c>
      <c r="R85" s="9">
        <f>'08_dL_manual'!R21-'10_dash_dL'!R21</f>
        <v>0</v>
      </c>
      <c r="S85" s="9">
        <f>'08_dL_manual'!S21-'10_dash_dL'!S21</f>
        <v>0</v>
      </c>
      <c r="T85" s="9">
        <f>'08_dL_manual'!T21-'10_dash_dL'!T21</f>
        <v>0</v>
      </c>
      <c r="U85" s="9">
        <f>'08_dL_manual'!U21-'10_dash_dL'!U21</f>
        <v>0</v>
      </c>
      <c r="V85" s="9">
        <f>'08_dL_manual'!V21-'10_dash_dL'!V21</f>
        <v>0</v>
      </c>
      <c r="W85" s="9">
        <f>'08_dL_manual'!W21-'10_dash_dL'!W21</f>
        <v>0</v>
      </c>
      <c r="X85" s="9">
        <f>'08_dL_manual'!X21-'10_dash_dL'!X21</f>
        <v>0</v>
      </c>
      <c r="Y85" s="9">
        <f>'08_dL_manual'!Y21-'10_dash_dL'!Y21</f>
        <v>0</v>
      </c>
      <c r="Z85" s="9">
        <f>'08_dL_manual'!Z21-'10_dash_dL'!Z21</f>
        <v>0</v>
      </c>
      <c r="AA85" s="9">
        <f>'08_dL_manual'!AA21-'10_dash_dL'!AA21</f>
        <v>0</v>
      </c>
      <c r="AB85" s="9">
        <f>'08_dL_manual'!AB21-'10_dash_dL'!AB21</f>
        <v>0</v>
      </c>
      <c r="AC85" s="9">
        <f>'08_dL_manual'!AC21-'10_dash_dL'!AC21</f>
        <v>0</v>
      </c>
      <c r="AD85" s="9">
        <f>'08_dL_manual'!AD21-'10_dash_dL'!AD21</f>
        <v>0</v>
      </c>
      <c r="AE85" s="9">
        <f>'08_dL_manual'!AE21-'10_dash_dL'!AE21</f>
        <v>0</v>
      </c>
      <c r="AF85" s="9">
        <f>'08_dL_manual'!AF21-'10_dash_dL'!AF21</f>
        <v>0</v>
      </c>
      <c r="AG85" s="9">
        <f>'08_dL_manual'!AG21-'10_dash_dL'!AG21</f>
        <v>0</v>
      </c>
      <c r="AH85" s="9">
        <f>'08_dL_manual'!AH21-'10_dash_dL'!AH21</f>
        <v>0</v>
      </c>
      <c r="AI85" s="9">
        <f>'08_dL_manual'!AI21-'10_dash_dL'!AI21</f>
        <v>0</v>
      </c>
    </row>
    <row r="86" spans="1:35" x14ac:dyDescent="0.2">
      <c r="A86" s="12" t="s">
        <v>1386</v>
      </c>
      <c r="B86" s="9">
        <f>'08_dL_manual'!B22-'10_dash_dL'!B22</f>
        <v>0</v>
      </c>
      <c r="C86" s="9">
        <f>'08_dL_manual'!C22-'10_dash_dL'!C22</f>
        <v>0</v>
      </c>
      <c r="D86" s="9">
        <f>'08_dL_manual'!D22-'10_dash_dL'!D22</f>
        <v>0</v>
      </c>
      <c r="E86" s="9">
        <f>'08_dL_manual'!E22-'10_dash_dL'!E22</f>
        <v>0</v>
      </c>
      <c r="F86" s="9">
        <f>'08_dL_manual'!F22-'10_dash_dL'!F22</f>
        <v>0</v>
      </c>
      <c r="G86" s="9">
        <f>'08_dL_manual'!G22-'10_dash_dL'!G22</f>
        <v>0</v>
      </c>
      <c r="H86" s="9">
        <f>'08_dL_manual'!H22-'10_dash_dL'!H22</f>
        <v>0</v>
      </c>
      <c r="I86" s="9">
        <f>'08_dL_manual'!I22-'10_dash_dL'!I22</f>
        <v>0</v>
      </c>
      <c r="J86" s="9">
        <f>'08_dL_manual'!J22-'10_dash_dL'!J22</f>
        <v>0</v>
      </c>
      <c r="K86" s="9">
        <f>'08_dL_manual'!K22-'10_dash_dL'!K22</f>
        <v>0</v>
      </c>
      <c r="L86" s="9">
        <f>'08_dL_manual'!L22-'10_dash_dL'!L22</f>
        <v>0</v>
      </c>
      <c r="M86" s="9">
        <f>'08_dL_manual'!M22-'10_dash_dL'!M22</f>
        <v>0</v>
      </c>
      <c r="N86" s="9">
        <f>'08_dL_manual'!N22-'10_dash_dL'!N22</f>
        <v>0</v>
      </c>
      <c r="O86" s="9">
        <f>'08_dL_manual'!O22-'10_dash_dL'!O22</f>
        <v>0</v>
      </c>
      <c r="P86" s="9">
        <f>'08_dL_manual'!P22-'10_dash_dL'!P22</f>
        <v>0</v>
      </c>
      <c r="Q86" s="9">
        <f>'08_dL_manual'!Q22-'10_dash_dL'!Q22</f>
        <v>0</v>
      </c>
      <c r="R86" s="9">
        <f>'08_dL_manual'!R22-'10_dash_dL'!R22</f>
        <v>0</v>
      </c>
      <c r="S86" s="9">
        <f>'08_dL_manual'!S22-'10_dash_dL'!S22</f>
        <v>0</v>
      </c>
      <c r="T86" s="9">
        <f>'08_dL_manual'!T22-'10_dash_dL'!T22</f>
        <v>0</v>
      </c>
      <c r="U86" s="9">
        <f>'08_dL_manual'!U22-'10_dash_dL'!U22</f>
        <v>0</v>
      </c>
      <c r="V86" s="9">
        <f>'08_dL_manual'!V22-'10_dash_dL'!V22</f>
        <v>0</v>
      </c>
      <c r="W86" s="9">
        <f>'08_dL_manual'!W22-'10_dash_dL'!W22</f>
        <v>0</v>
      </c>
      <c r="X86" s="9">
        <f>'08_dL_manual'!X22-'10_dash_dL'!X22</f>
        <v>0</v>
      </c>
      <c r="Y86" s="9">
        <f>'08_dL_manual'!Y22-'10_dash_dL'!Y22</f>
        <v>0</v>
      </c>
      <c r="Z86" s="9">
        <f>'08_dL_manual'!Z22-'10_dash_dL'!Z22</f>
        <v>0</v>
      </c>
      <c r="AA86" s="9">
        <f>'08_dL_manual'!AA22-'10_dash_dL'!AA22</f>
        <v>0</v>
      </c>
      <c r="AB86" s="9">
        <f>'08_dL_manual'!AB22-'10_dash_dL'!AB22</f>
        <v>0</v>
      </c>
      <c r="AC86" s="9">
        <f>'08_dL_manual'!AC22-'10_dash_dL'!AC22</f>
        <v>0</v>
      </c>
      <c r="AD86" s="9">
        <f>'08_dL_manual'!AD22-'10_dash_dL'!AD22</f>
        <v>0</v>
      </c>
      <c r="AE86" s="9">
        <f>'08_dL_manual'!AE22-'10_dash_dL'!AE22</f>
        <v>0</v>
      </c>
      <c r="AF86" s="9">
        <f>'08_dL_manual'!AF22-'10_dash_dL'!AF22</f>
        <v>0</v>
      </c>
      <c r="AG86" s="9">
        <f>'08_dL_manual'!AG22-'10_dash_dL'!AG22</f>
        <v>0</v>
      </c>
      <c r="AH86" s="9">
        <f>'08_dL_manual'!AH22-'10_dash_dL'!AH22</f>
        <v>0</v>
      </c>
      <c r="AI86" s="9">
        <f>'08_dL_manual'!AI22-'10_dash_dL'!AI22</f>
        <v>0</v>
      </c>
    </row>
    <row r="87" spans="1:35" x14ac:dyDescent="0.2">
      <c r="A87" s="12" t="s">
        <v>1387</v>
      </c>
      <c r="B87" s="9">
        <f>'08_dL_manual'!B23-'10_dash_dL'!B23</f>
        <v>0</v>
      </c>
      <c r="C87" s="9">
        <f>'08_dL_manual'!C23-'10_dash_dL'!C23</f>
        <v>0</v>
      </c>
      <c r="D87" s="9">
        <f>'08_dL_manual'!D23-'10_dash_dL'!D23</f>
        <v>0</v>
      </c>
      <c r="E87" s="9">
        <f>'08_dL_manual'!E23-'10_dash_dL'!E23</f>
        <v>0</v>
      </c>
      <c r="F87" s="9">
        <f>'08_dL_manual'!F23-'10_dash_dL'!F23</f>
        <v>-5.5511151231257827E-17</v>
      </c>
      <c r="G87" s="9">
        <f>'08_dL_manual'!G23-'10_dash_dL'!G23</f>
        <v>0</v>
      </c>
      <c r="H87" s="9">
        <f>'08_dL_manual'!H23-'10_dash_dL'!H23</f>
        <v>0</v>
      </c>
      <c r="I87" s="9">
        <f>'08_dL_manual'!I23-'10_dash_dL'!I23</f>
        <v>0</v>
      </c>
      <c r="J87" s="9">
        <f>'08_dL_manual'!J23-'10_dash_dL'!J23</f>
        <v>0</v>
      </c>
      <c r="K87" s="9">
        <f>'08_dL_manual'!K23-'10_dash_dL'!K23</f>
        <v>-4.4408920985006262E-16</v>
      </c>
      <c r="L87" s="9">
        <f>'08_dL_manual'!L23-'10_dash_dL'!L23</f>
        <v>-1.7763568394002505E-15</v>
      </c>
      <c r="M87" s="9">
        <f>'08_dL_manual'!M23-'10_dash_dL'!M23</f>
        <v>0</v>
      </c>
      <c r="N87" s="9">
        <f>'08_dL_manual'!N23-'10_dash_dL'!N23</f>
        <v>0</v>
      </c>
      <c r="O87" s="9">
        <f>'08_dL_manual'!O23-'10_dash_dL'!O23</f>
        <v>0</v>
      </c>
      <c r="P87" s="9">
        <f>'08_dL_manual'!P23-'10_dash_dL'!P23</f>
        <v>0</v>
      </c>
      <c r="Q87" s="9">
        <f>'08_dL_manual'!Q23-'10_dash_dL'!Q23</f>
        <v>-3.5527136788005009E-14</v>
      </c>
      <c r="R87" s="9">
        <f>'08_dL_manual'!R23-'10_dash_dL'!R23</f>
        <v>0</v>
      </c>
      <c r="S87" s="9">
        <f>'08_dL_manual'!S23-'10_dash_dL'!S23</f>
        <v>0</v>
      </c>
      <c r="T87" s="9">
        <f>'08_dL_manual'!T23-'10_dash_dL'!T23</f>
        <v>0</v>
      </c>
      <c r="U87" s="9">
        <f>'08_dL_manual'!U23-'10_dash_dL'!U23</f>
        <v>0</v>
      </c>
      <c r="V87" s="9">
        <f>'08_dL_manual'!V23-'10_dash_dL'!V23</f>
        <v>0</v>
      </c>
      <c r="W87" s="9">
        <f>'08_dL_manual'!W23-'10_dash_dL'!W23</f>
        <v>0</v>
      </c>
      <c r="X87" s="9">
        <f>'08_dL_manual'!X23-'10_dash_dL'!X23</f>
        <v>-1.9539925233402755E-14</v>
      </c>
      <c r="Y87" s="9">
        <f>'08_dL_manual'!Y23-'10_dash_dL'!Y23</f>
        <v>-8.8817841970012523E-16</v>
      </c>
      <c r="Z87" s="9">
        <f>'08_dL_manual'!Z23-'10_dash_dL'!Z23</f>
        <v>0</v>
      </c>
      <c r="AA87" s="9">
        <f>'08_dL_manual'!AA23-'10_dash_dL'!AA23</f>
        <v>0</v>
      </c>
      <c r="AB87" s="9">
        <f>'08_dL_manual'!AB23-'10_dash_dL'!AB23</f>
        <v>-1.7763568394002505E-15</v>
      </c>
      <c r="AC87" s="9">
        <f>'08_dL_manual'!AC23-'10_dash_dL'!AC23</f>
        <v>0</v>
      </c>
      <c r="AD87" s="9">
        <f>'08_dL_manual'!AD23-'10_dash_dL'!AD23</f>
        <v>0</v>
      </c>
      <c r="AE87" s="9">
        <f>'08_dL_manual'!AE23-'10_dash_dL'!AE23</f>
        <v>0</v>
      </c>
      <c r="AF87" s="9">
        <f>'08_dL_manual'!AF23-'10_dash_dL'!AF23</f>
        <v>0</v>
      </c>
      <c r="AG87" s="9">
        <f>'08_dL_manual'!AG23-'10_dash_dL'!AG23</f>
        <v>0</v>
      </c>
      <c r="AH87" s="9">
        <f>'08_dL_manual'!AH23-'10_dash_dL'!AH23</f>
        <v>0</v>
      </c>
      <c r="AI87" s="9">
        <f>'08_dL_manual'!AI23-'10_dash_dL'!AI23</f>
        <v>0</v>
      </c>
    </row>
    <row r="88" spans="1:35" x14ac:dyDescent="0.2">
      <c r="A88" s="12" t="s">
        <v>1388</v>
      </c>
      <c r="B88" s="9">
        <f>'08_dL_manual'!B24-'10_dash_dL'!B24</f>
        <v>0</v>
      </c>
      <c r="C88" s="9">
        <f>'08_dL_manual'!C24-'10_dash_dL'!C24</f>
        <v>0</v>
      </c>
      <c r="D88" s="9">
        <f>'08_dL_manual'!D24-'10_dash_dL'!D24</f>
        <v>0</v>
      </c>
      <c r="E88" s="9">
        <f>'08_dL_manual'!E24-'10_dash_dL'!E24</f>
        <v>0</v>
      </c>
      <c r="F88" s="9">
        <f>'08_dL_manual'!F24-'10_dash_dL'!F24</f>
        <v>0</v>
      </c>
      <c r="G88" s="9">
        <f>'08_dL_manual'!G24-'10_dash_dL'!G24</f>
        <v>0</v>
      </c>
      <c r="H88" s="9">
        <f>'08_dL_manual'!H24-'10_dash_dL'!H24</f>
        <v>0</v>
      </c>
      <c r="I88" s="9">
        <f>'08_dL_manual'!I24-'10_dash_dL'!I24</f>
        <v>0</v>
      </c>
      <c r="J88" s="9">
        <f>'08_dL_manual'!J24-'10_dash_dL'!J24</f>
        <v>0</v>
      </c>
      <c r="K88" s="9">
        <f>'08_dL_manual'!K24-'10_dash_dL'!K24</f>
        <v>0</v>
      </c>
      <c r="L88" s="9">
        <f>'08_dL_manual'!L24-'10_dash_dL'!L24</f>
        <v>0</v>
      </c>
      <c r="M88" s="9">
        <f>'08_dL_manual'!M24-'10_dash_dL'!M24</f>
        <v>0</v>
      </c>
      <c r="N88" s="9">
        <f>'08_dL_manual'!N24-'10_dash_dL'!N24</f>
        <v>0</v>
      </c>
      <c r="O88" s="9">
        <f>'08_dL_manual'!O24-'10_dash_dL'!O24</f>
        <v>0</v>
      </c>
      <c r="P88" s="9">
        <f>'08_dL_manual'!P24-'10_dash_dL'!P24</f>
        <v>0</v>
      </c>
      <c r="Q88" s="9">
        <f>'08_dL_manual'!Q24-'10_dash_dL'!Q24</f>
        <v>0</v>
      </c>
      <c r="R88" s="9">
        <f>'08_dL_manual'!R24-'10_dash_dL'!R24</f>
        <v>0</v>
      </c>
      <c r="S88" s="9">
        <f>'08_dL_manual'!S24-'10_dash_dL'!S24</f>
        <v>0</v>
      </c>
      <c r="T88" s="9">
        <f>'08_dL_manual'!T24-'10_dash_dL'!T24</f>
        <v>0</v>
      </c>
      <c r="U88" s="9">
        <f>'08_dL_manual'!U24-'10_dash_dL'!U24</f>
        <v>0</v>
      </c>
      <c r="V88" s="9">
        <f>'08_dL_manual'!V24-'10_dash_dL'!V24</f>
        <v>0</v>
      </c>
      <c r="W88" s="9">
        <f>'08_dL_manual'!W24-'10_dash_dL'!W24</f>
        <v>0</v>
      </c>
      <c r="X88" s="9">
        <f>'08_dL_manual'!X24-'10_dash_dL'!X24</f>
        <v>0</v>
      </c>
      <c r="Y88" s="9">
        <f>'08_dL_manual'!Y24-'10_dash_dL'!Y24</f>
        <v>0</v>
      </c>
      <c r="Z88" s="9">
        <f>'08_dL_manual'!Z24-'10_dash_dL'!Z24</f>
        <v>0</v>
      </c>
      <c r="AA88" s="9">
        <f>'08_dL_manual'!AA24-'10_dash_dL'!AA24</f>
        <v>0</v>
      </c>
      <c r="AB88" s="9">
        <f>'08_dL_manual'!AB24-'10_dash_dL'!AB24</f>
        <v>0</v>
      </c>
      <c r="AC88" s="9">
        <f>'08_dL_manual'!AC24-'10_dash_dL'!AC24</f>
        <v>0</v>
      </c>
      <c r="AD88" s="9">
        <f>'08_dL_manual'!AD24-'10_dash_dL'!AD24</f>
        <v>0</v>
      </c>
      <c r="AE88" s="9">
        <f>'08_dL_manual'!AE24-'10_dash_dL'!AE24</f>
        <v>0</v>
      </c>
      <c r="AF88" s="9">
        <f>'08_dL_manual'!AF24-'10_dash_dL'!AF24</f>
        <v>0</v>
      </c>
      <c r="AG88" s="9">
        <f>'08_dL_manual'!AG24-'10_dash_dL'!AG24</f>
        <v>0</v>
      </c>
      <c r="AH88" s="9">
        <f>'08_dL_manual'!AH24-'10_dash_dL'!AH24</f>
        <v>0</v>
      </c>
      <c r="AI88" s="9">
        <f>'08_dL_manual'!AI24-'10_dash_dL'!AI24</f>
        <v>0</v>
      </c>
    </row>
    <row r="89" spans="1:35" x14ac:dyDescent="0.2">
      <c r="A89" s="12" t="s">
        <v>1389</v>
      </c>
      <c r="B89" s="9">
        <f>'08_dL_manual'!B25-'10_dash_dL'!B25</f>
        <v>0</v>
      </c>
      <c r="C89" s="9">
        <f>'08_dL_manual'!C25-'10_dash_dL'!C25</f>
        <v>0</v>
      </c>
      <c r="D89" s="9">
        <f>'08_dL_manual'!D25-'10_dash_dL'!D25</f>
        <v>0</v>
      </c>
      <c r="E89" s="9">
        <f>'08_dL_manual'!E25-'10_dash_dL'!E25</f>
        <v>0</v>
      </c>
      <c r="F89" s="9">
        <f>'08_dL_manual'!F25-'10_dash_dL'!F25</f>
        <v>0</v>
      </c>
      <c r="G89" s="9">
        <f>'08_dL_manual'!G25-'10_dash_dL'!G25</f>
        <v>-8.8817841970012523E-16</v>
      </c>
      <c r="H89" s="9">
        <f>'08_dL_manual'!H25-'10_dash_dL'!H25</f>
        <v>0</v>
      </c>
      <c r="I89" s="9">
        <f>'08_dL_manual'!I25-'10_dash_dL'!I25</f>
        <v>-1.9984014443252818E-15</v>
      </c>
      <c r="J89" s="9">
        <f>'08_dL_manual'!J25-'10_dash_dL'!J25</f>
        <v>0</v>
      </c>
      <c r="K89" s="9">
        <f>'08_dL_manual'!K25-'10_dash_dL'!K25</f>
        <v>0</v>
      </c>
      <c r="L89" s="9">
        <f>'08_dL_manual'!L25-'10_dash_dL'!L25</f>
        <v>0</v>
      </c>
      <c r="M89" s="9">
        <f>'08_dL_manual'!M25-'10_dash_dL'!M25</f>
        <v>0</v>
      </c>
      <c r="N89" s="9">
        <f>'08_dL_manual'!N25-'10_dash_dL'!N25</f>
        <v>0</v>
      </c>
      <c r="O89" s="9">
        <f>'08_dL_manual'!O25-'10_dash_dL'!O25</f>
        <v>0</v>
      </c>
      <c r="P89" s="9">
        <f>'08_dL_manual'!P25-'10_dash_dL'!P25</f>
        <v>0</v>
      </c>
      <c r="Q89" s="9">
        <f>'08_dL_manual'!Q25-'10_dash_dL'!Q25</f>
        <v>0</v>
      </c>
      <c r="R89" s="9">
        <f>'08_dL_manual'!R25-'10_dash_dL'!R25</f>
        <v>-5.5511151231257827E-17</v>
      </c>
      <c r="S89" s="9">
        <f>'08_dL_manual'!S25-'10_dash_dL'!S25</f>
        <v>-6.2450045135165055E-17</v>
      </c>
      <c r="T89" s="9">
        <f>'08_dL_manual'!T25-'10_dash_dL'!T25</f>
        <v>0</v>
      </c>
      <c r="U89" s="9">
        <f>'08_dL_manual'!U25-'10_dash_dL'!U25</f>
        <v>0</v>
      </c>
      <c r="V89" s="9">
        <f>'08_dL_manual'!V25-'10_dash_dL'!V25</f>
        <v>0</v>
      </c>
      <c r="W89" s="9">
        <f>'08_dL_manual'!W25-'10_dash_dL'!W25</f>
        <v>0</v>
      </c>
      <c r="X89" s="9">
        <f>'08_dL_manual'!X25-'10_dash_dL'!X25</f>
        <v>0</v>
      </c>
      <c r="Y89" s="9">
        <f>'08_dL_manual'!Y25-'10_dash_dL'!Y25</f>
        <v>0</v>
      </c>
      <c r="Z89" s="9">
        <f>'08_dL_manual'!Z25-'10_dash_dL'!Z25</f>
        <v>-6.9388939039072284E-17</v>
      </c>
      <c r="AA89" s="9">
        <f>'08_dL_manual'!AA25-'10_dash_dL'!AA25</f>
        <v>0</v>
      </c>
      <c r="AB89" s="9">
        <f>'08_dL_manual'!AB25-'10_dash_dL'!AB25</f>
        <v>0</v>
      </c>
      <c r="AC89" s="9">
        <f>'08_dL_manual'!AC25-'10_dash_dL'!AC25</f>
        <v>0</v>
      </c>
      <c r="AD89" s="9">
        <f>'08_dL_manual'!AD25-'10_dash_dL'!AD25</f>
        <v>0</v>
      </c>
      <c r="AE89" s="9">
        <f>'08_dL_manual'!AE25-'10_dash_dL'!AE25</f>
        <v>0</v>
      </c>
      <c r="AF89" s="9">
        <f>'08_dL_manual'!AF25-'10_dash_dL'!AF25</f>
        <v>0</v>
      </c>
      <c r="AG89" s="9">
        <f>'08_dL_manual'!AG25-'10_dash_dL'!AG25</f>
        <v>0</v>
      </c>
      <c r="AH89" s="9">
        <f>'08_dL_manual'!AH25-'10_dash_dL'!AH25</f>
        <v>0</v>
      </c>
      <c r="AI89" s="9">
        <f>'08_dL_manual'!AI25-'10_dash_dL'!AI25</f>
        <v>0</v>
      </c>
    </row>
    <row r="90" spans="1:35" x14ac:dyDescent="0.2">
      <c r="A90" s="12" t="s">
        <v>1390</v>
      </c>
      <c r="B90" s="9">
        <f>'08_dL_manual'!B26-'10_dash_dL'!B26</f>
        <v>0</v>
      </c>
      <c r="C90" s="9">
        <f>'08_dL_manual'!C26-'10_dash_dL'!C26</f>
        <v>0</v>
      </c>
      <c r="D90" s="9">
        <f>'08_dL_manual'!D26-'10_dash_dL'!D26</f>
        <v>0</v>
      </c>
      <c r="E90" s="9">
        <f>'08_dL_manual'!E26-'10_dash_dL'!E26</f>
        <v>0</v>
      </c>
      <c r="F90" s="9">
        <f>'08_dL_manual'!F26-'10_dash_dL'!F26</f>
        <v>0</v>
      </c>
      <c r="G90" s="9">
        <f>'08_dL_manual'!G26-'10_dash_dL'!G26</f>
        <v>0</v>
      </c>
      <c r="H90" s="9">
        <f>'08_dL_manual'!H26-'10_dash_dL'!H26</f>
        <v>0</v>
      </c>
      <c r="I90" s="9">
        <f>'08_dL_manual'!I26-'10_dash_dL'!I26</f>
        <v>0</v>
      </c>
      <c r="J90" s="9">
        <f>'08_dL_manual'!J26-'10_dash_dL'!J26</f>
        <v>0</v>
      </c>
      <c r="K90" s="9">
        <f>'08_dL_manual'!K26-'10_dash_dL'!K26</f>
        <v>0</v>
      </c>
      <c r="L90" s="9">
        <f>'08_dL_manual'!L26-'10_dash_dL'!L26</f>
        <v>0</v>
      </c>
      <c r="M90" s="9">
        <f>'08_dL_manual'!M26-'10_dash_dL'!M26</f>
        <v>0</v>
      </c>
      <c r="N90" s="9">
        <f>'08_dL_manual'!N26-'10_dash_dL'!N26</f>
        <v>0</v>
      </c>
      <c r="O90" s="9">
        <f>'08_dL_manual'!O26-'10_dash_dL'!O26</f>
        <v>0</v>
      </c>
      <c r="P90" s="9">
        <f>'08_dL_manual'!P26-'10_dash_dL'!P26</f>
        <v>0</v>
      </c>
      <c r="Q90" s="9">
        <f>'08_dL_manual'!Q26-'10_dash_dL'!Q26</f>
        <v>0</v>
      </c>
      <c r="R90" s="9">
        <f>'08_dL_manual'!R26-'10_dash_dL'!R26</f>
        <v>0</v>
      </c>
      <c r="S90" s="9">
        <f>'08_dL_manual'!S26-'10_dash_dL'!S26</f>
        <v>0</v>
      </c>
      <c r="T90" s="9">
        <f>'08_dL_manual'!T26-'10_dash_dL'!T26</f>
        <v>0</v>
      </c>
      <c r="U90" s="9">
        <f>'08_dL_manual'!U26-'10_dash_dL'!U26</f>
        <v>0</v>
      </c>
      <c r="V90" s="9">
        <f>'08_dL_manual'!V26-'10_dash_dL'!V26</f>
        <v>0</v>
      </c>
      <c r="W90" s="9">
        <f>'08_dL_manual'!W26-'10_dash_dL'!W26</f>
        <v>0</v>
      </c>
      <c r="X90" s="9">
        <f>'08_dL_manual'!X26-'10_dash_dL'!X26</f>
        <v>0</v>
      </c>
      <c r="Y90" s="9">
        <f>'08_dL_manual'!Y26-'10_dash_dL'!Y26</f>
        <v>0</v>
      </c>
      <c r="Z90" s="9">
        <f>'08_dL_manual'!Z26-'10_dash_dL'!Z26</f>
        <v>0</v>
      </c>
      <c r="AA90" s="9">
        <f>'08_dL_manual'!AA26-'10_dash_dL'!AA26</f>
        <v>0</v>
      </c>
      <c r="AB90" s="9">
        <f>'08_dL_manual'!AB26-'10_dash_dL'!AB26</f>
        <v>-1.5987211554602254E-14</v>
      </c>
      <c r="AC90" s="9">
        <f>'08_dL_manual'!AC26-'10_dash_dL'!AC26</f>
        <v>0</v>
      </c>
      <c r="AD90" s="9">
        <f>'08_dL_manual'!AD26-'10_dash_dL'!AD26</f>
        <v>0</v>
      </c>
      <c r="AE90" s="9">
        <f>'08_dL_manual'!AE26-'10_dash_dL'!AE26</f>
        <v>0</v>
      </c>
      <c r="AF90" s="9">
        <f>'08_dL_manual'!AF26-'10_dash_dL'!AF26</f>
        <v>0</v>
      </c>
      <c r="AG90" s="9">
        <f>'08_dL_manual'!AG26-'10_dash_dL'!AG26</f>
        <v>0</v>
      </c>
      <c r="AH90" s="9">
        <f>'08_dL_manual'!AH26-'10_dash_dL'!AH26</f>
        <v>0</v>
      </c>
      <c r="AI90" s="9">
        <f>'08_dL_manual'!AI26-'10_dash_dL'!AI26</f>
        <v>0</v>
      </c>
    </row>
    <row r="91" spans="1:35" x14ac:dyDescent="0.2">
      <c r="A91" s="12" t="s">
        <v>1391</v>
      </c>
      <c r="B91" s="9">
        <f>'08_dL_manual'!B27-'10_dash_dL'!B27</f>
        <v>0</v>
      </c>
      <c r="C91" s="9">
        <f>'08_dL_manual'!C27-'10_dash_dL'!C27</f>
        <v>0</v>
      </c>
      <c r="D91" s="9">
        <f>'08_dL_manual'!D27-'10_dash_dL'!D27</f>
        <v>0</v>
      </c>
      <c r="E91" s="9">
        <f>'08_dL_manual'!E27-'10_dash_dL'!E27</f>
        <v>0</v>
      </c>
      <c r="F91" s="9">
        <f>'08_dL_manual'!F27-'10_dash_dL'!F27</f>
        <v>0</v>
      </c>
      <c r="G91" s="9">
        <f>'08_dL_manual'!G27-'10_dash_dL'!G27</f>
        <v>0</v>
      </c>
      <c r="H91" s="9">
        <f>'08_dL_manual'!H27-'10_dash_dL'!H27</f>
        <v>0</v>
      </c>
      <c r="I91" s="9">
        <f>'08_dL_manual'!I27-'10_dash_dL'!I27</f>
        <v>0</v>
      </c>
      <c r="J91" s="9">
        <f>'08_dL_manual'!J27-'10_dash_dL'!J27</f>
        <v>0</v>
      </c>
      <c r="K91" s="9">
        <f>'08_dL_manual'!K27-'10_dash_dL'!K27</f>
        <v>0</v>
      </c>
      <c r="L91" s="9">
        <f>'08_dL_manual'!L27-'10_dash_dL'!L27</f>
        <v>0</v>
      </c>
      <c r="M91" s="9">
        <f>'08_dL_manual'!M27-'10_dash_dL'!M27</f>
        <v>0</v>
      </c>
      <c r="N91" s="9">
        <f>'08_dL_manual'!N27-'10_dash_dL'!N27</f>
        <v>0</v>
      </c>
      <c r="O91" s="9">
        <f>'08_dL_manual'!O27-'10_dash_dL'!O27</f>
        <v>0</v>
      </c>
      <c r="P91" s="9">
        <f>'08_dL_manual'!P27-'10_dash_dL'!P27</f>
        <v>0</v>
      </c>
      <c r="Q91" s="9">
        <f>'08_dL_manual'!Q27-'10_dash_dL'!Q27</f>
        <v>0</v>
      </c>
      <c r="R91" s="9">
        <f>'08_dL_manual'!R27-'10_dash_dL'!R27</f>
        <v>0</v>
      </c>
      <c r="S91" s="9">
        <f>'08_dL_manual'!S27-'10_dash_dL'!S27</f>
        <v>0</v>
      </c>
      <c r="T91" s="9">
        <f>'08_dL_manual'!T27-'10_dash_dL'!T27</f>
        <v>0</v>
      </c>
      <c r="U91" s="9">
        <f>'08_dL_manual'!U27-'10_dash_dL'!U27</f>
        <v>0</v>
      </c>
      <c r="V91" s="9">
        <f>'08_dL_manual'!V27-'10_dash_dL'!V27</f>
        <v>0</v>
      </c>
      <c r="W91" s="9">
        <f>'08_dL_manual'!W27-'10_dash_dL'!W27</f>
        <v>0</v>
      </c>
      <c r="X91" s="9">
        <f>'08_dL_manual'!X27-'10_dash_dL'!X27</f>
        <v>0</v>
      </c>
      <c r="Y91" s="9">
        <f>'08_dL_manual'!Y27-'10_dash_dL'!Y27</f>
        <v>0</v>
      </c>
      <c r="Z91" s="9">
        <f>'08_dL_manual'!Z27-'10_dash_dL'!Z27</f>
        <v>0</v>
      </c>
      <c r="AA91" s="9">
        <f>'08_dL_manual'!AA27-'10_dash_dL'!AA27</f>
        <v>0</v>
      </c>
      <c r="AB91" s="9">
        <f>'08_dL_manual'!AB27-'10_dash_dL'!AB27</f>
        <v>0</v>
      </c>
      <c r="AC91" s="9">
        <f>'08_dL_manual'!AC27-'10_dash_dL'!AC27</f>
        <v>0</v>
      </c>
      <c r="AD91" s="9">
        <f>'08_dL_manual'!AD27-'10_dash_dL'!AD27</f>
        <v>0</v>
      </c>
      <c r="AE91" s="9">
        <f>'08_dL_manual'!AE27-'10_dash_dL'!AE27</f>
        <v>0</v>
      </c>
      <c r="AF91" s="9">
        <f>'08_dL_manual'!AF27-'10_dash_dL'!AF27</f>
        <v>0</v>
      </c>
      <c r="AG91" s="9">
        <f>'08_dL_manual'!AG27-'10_dash_dL'!AG27</f>
        <v>0</v>
      </c>
      <c r="AH91" s="9">
        <f>'08_dL_manual'!AH27-'10_dash_dL'!AH27</f>
        <v>0</v>
      </c>
      <c r="AI91" s="9">
        <f>'08_dL_manual'!AI27-'10_dash_dL'!AI27</f>
        <v>0</v>
      </c>
    </row>
    <row r="92" spans="1:35" x14ac:dyDescent="0.2">
      <c r="A92" s="12" t="s">
        <v>1392</v>
      </c>
      <c r="B92" s="9">
        <f>'08_dL_manual'!B28-'10_dash_dL'!B28</f>
        <v>0</v>
      </c>
      <c r="C92" s="9">
        <f>'08_dL_manual'!C28-'10_dash_dL'!C28</f>
        <v>0</v>
      </c>
      <c r="D92" s="9">
        <f>'08_dL_manual'!D28-'10_dash_dL'!D28</f>
        <v>0</v>
      </c>
      <c r="E92" s="9">
        <f>'08_dL_manual'!E28-'10_dash_dL'!E28</f>
        <v>0</v>
      </c>
      <c r="F92" s="9">
        <f>'08_dL_manual'!F28-'10_dash_dL'!F28</f>
        <v>0</v>
      </c>
      <c r="G92" s="9">
        <f>'08_dL_manual'!G28-'10_dash_dL'!G28</f>
        <v>0</v>
      </c>
      <c r="H92" s="9">
        <f>'08_dL_manual'!H28-'10_dash_dL'!H28</f>
        <v>0</v>
      </c>
      <c r="I92" s="9">
        <f>'08_dL_manual'!I28-'10_dash_dL'!I28</f>
        <v>0</v>
      </c>
      <c r="J92" s="9">
        <f>'08_dL_manual'!J28-'10_dash_dL'!J28</f>
        <v>0</v>
      </c>
      <c r="K92" s="9">
        <f>'08_dL_manual'!K28-'10_dash_dL'!K28</f>
        <v>0</v>
      </c>
      <c r="L92" s="9">
        <f>'08_dL_manual'!L28-'10_dash_dL'!L28</f>
        <v>0</v>
      </c>
      <c r="M92" s="9">
        <f>'08_dL_manual'!M28-'10_dash_dL'!M28</f>
        <v>0</v>
      </c>
      <c r="N92" s="9">
        <f>'08_dL_manual'!N28-'10_dash_dL'!N28</f>
        <v>0</v>
      </c>
      <c r="O92" s="9">
        <f>'08_dL_manual'!O28-'10_dash_dL'!O28</f>
        <v>0</v>
      </c>
      <c r="P92" s="9">
        <f>'08_dL_manual'!P28-'10_dash_dL'!P28</f>
        <v>0</v>
      </c>
      <c r="Q92" s="9">
        <f>'08_dL_manual'!Q28-'10_dash_dL'!Q28</f>
        <v>0</v>
      </c>
      <c r="R92" s="9">
        <f>'08_dL_manual'!R28-'10_dash_dL'!R28</f>
        <v>0</v>
      </c>
      <c r="S92" s="9">
        <f>'08_dL_manual'!S28-'10_dash_dL'!S28</f>
        <v>0</v>
      </c>
      <c r="T92" s="9">
        <f>'08_dL_manual'!T28-'10_dash_dL'!T28</f>
        <v>0</v>
      </c>
      <c r="U92" s="9">
        <f>'08_dL_manual'!U28-'10_dash_dL'!U28</f>
        <v>0</v>
      </c>
      <c r="V92" s="9">
        <f>'08_dL_manual'!V28-'10_dash_dL'!V28</f>
        <v>0</v>
      </c>
      <c r="W92" s="9">
        <f>'08_dL_manual'!W28-'10_dash_dL'!W28</f>
        <v>0</v>
      </c>
      <c r="X92" s="9">
        <f>'08_dL_manual'!X28-'10_dash_dL'!X28</f>
        <v>0</v>
      </c>
      <c r="Y92" s="9">
        <f>'08_dL_manual'!Y28-'10_dash_dL'!Y28</f>
        <v>0</v>
      </c>
      <c r="Z92" s="9">
        <f>'08_dL_manual'!Z28-'10_dash_dL'!Z28</f>
        <v>0</v>
      </c>
      <c r="AA92" s="9">
        <f>'08_dL_manual'!AA28-'10_dash_dL'!AA28</f>
        <v>0</v>
      </c>
      <c r="AB92" s="9">
        <f>'08_dL_manual'!AB28-'10_dash_dL'!AB28</f>
        <v>0</v>
      </c>
      <c r="AC92" s="9">
        <f>'08_dL_manual'!AC28-'10_dash_dL'!AC28</f>
        <v>0</v>
      </c>
      <c r="AD92" s="9">
        <f>'08_dL_manual'!AD28-'10_dash_dL'!AD28</f>
        <v>0</v>
      </c>
      <c r="AE92" s="9">
        <f>'08_dL_manual'!AE28-'10_dash_dL'!AE28</f>
        <v>0</v>
      </c>
      <c r="AF92" s="9">
        <f>'08_dL_manual'!AF28-'10_dash_dL'!AF28</f>
        <v>0</v>
      </c>
      <c r="AG92" s="9">
        <f>'08_dL_manual'!AG28-'10_dash_dL'!AG28</f>
        <v>0</v>
      </c>
      <c r="AH92" s="9">
        <f>'08_dL_manual'!AH28-'10_dash_dL'!AH28</f>
        <v>0</v>
      </c>
      <c r="AI92" s="9">
        <f>'08_dL_manual'!AI28-'10_dash_dL'!AI28</f>
        <v>0</v>
      </c>
    </row>
    <row r="93" spans="1:35" x14ac:dyDescent="0.2">
      <c r="A93" s="12" t="s">
        <v>1393</v>
      </c>
      <c r="B93" s="9">
        <f>'08_dL_manual'!B29-'10_dash_dL'!B29</f>
        <v>0</v>
      </c>
      <c r="C93" s="9">
        <f>'08_dL_manual'!C29-'10_dash_dL'!C29</f>
        <v>0</v>
      </c>
      <c r="D93" s="9">
        <f>'08_dL_manual'!D29-'10_dash_dL'!D29</f>
        <v>0</v>
      </c>
      <c r="E93" s="9">
        <f>'08_dL_manual'!E29-'10_dash_dL'!E29</f>
        <v>0</v>
      </c>
      <c r="F93" s="9">
        <f>'08_dL_manual'!F29-'10_dash_dL'!F29</f>
        <v>0</v>
      </c>
      <c r="G93" s="9">
        <f>'08_dL_manual'!G29-'10_dash_dL'!G29</f>
        <v>0</v>
      </c>
      <c r="H93" s="9">
        <f>'08_dL_manual'!H29-'10_dash_dL'!H29</f>
        <v>-9.7578195523695399E-19</v>
      </c>
      <c r="I93" s="9">
        <f>'08_dL_manual'!I29-'10_dash_dL'!I29</f>
        <v>0</v>
      </c>
      <c r="J93" s="9">
        <f>'08_dL_manual'!J29-'10_dash_dL'!J29</f>
        <v>0</v>
      </c>
      <c r="K93" s="9">
        <f>'08_dL_manual'!K29-'10_dash_dL'!K29</f>
        <v>0</v>
      </c>
      <c r="L93" s="9">
        <f>'08_dL_manual'!L29-'10_dash_dL'!L29</f>
        <v>0</v>
      </c>
      <c r="M93" s="9">
        <f>'08_dL_manual'!M29-'10_dash_dL'!M29</f>
        <v>-3.637978807091713E-12</v>
      </c>
      <c r="N93" s="9">
        <f>'08_dL_manual'!N29-'10_dash_dL'!N29</f>
        <v>0</v>
      </c>
      <c r="O93" s="9">
        <f>'08_dL_manual'!O29-'10_dash_dL'!O29</f>
        <v>0</v>
      </c>
      <c r="P93" s="9">
        <f>'08_dL_manual'!P29-'10_dash_dL'!P29</f>
        <v>0</v>
      </c>
      <c r="Q93" s="9">
        <f>'08_dL_manual'!Q29-'10_dash_dL'!Q29</f>
        <v>0</v>
      </c>
      <c r="R93" s="9">
        <f>'08_dL_manual'!R29-'10_dash_dL'!R29</f>
        <v>0</v>
      </c>
      <c r="S93" s="9">
        <f>'08_dL_manual'!S29-'10_dash_dL'!S29</f>
        <v>0</v>
      </c>
      <c r="T93" s="9">
        <f>'08_dL_manual'!T29-'10_dash_dL'!T29</f>
        <v>0</v>
      </c>
      <c r="U93" s="9">
        <f>'08_dL_manual'!U29-'10_dash_dL'!U29</f>
        <v>0</v>
      </c>
      <c r="V93" s="9">
        <f>'08_dL_manual'!V29-'10_dash_dL'!V29</f>
        <v>0</v>
      </c>
      <c r="W93" s="9">
        <f>'08_dL_manual'!W29-'10_dash_dL'!W29</f>
        <v>0</v>
      </c>
      <c r="X93" s="9">
        <f>'08_dL_manual'!X29-'10_dash_dL'!X29</f>
        <v>0</v>
      </c>
      <c r="Y93" s="9">
        <f>'08_dL_manual'!Y29-'10_dash_dL'!Y29</f>
        <v>0</v>
      </c>
      <c r="Z93" s="9">
        <f>'08_dL_manual'!Z29-'10_dash_dL'!Z29</f>
        <v>0</v>
      </c>
      <c r="AA93" s="9">
        <f>'08_dL_manual'!AA29-'10_dash_dL'!AA29</f>
        <v>0</v>
      </c>
      <c r="AB93" s="9">
        <f>'08_dL_manual'!AB29-'10_dash_dL'!AB29</f>
        <v>0</v>
      </c>
      <c r="AC93" s="9">
        <f>'08_dL_manual'!AC29-'10_dash_dL'!AC29</f>
        <v>-3.4694469519536142E-17</v>
      </c>
      <c r="AD93" s="9">
        <f>'08_dL_manual'!AD29-'10_dash_dL'!AD29</f>
        <v>0</v>
      </c>
      <c r="AE93" s="9">
        <f>'08_dL_manual'!AE29-'10_dash_dL'!AE29</f>
        <v>0</v>
      </c>
      <c r="AF93" s="9">
        <f>'08_dL_manual'!AF29-'10_dash_dL'!AF29</f>
        <v>0</v>
      </c>
      <c r="AG93" s="9">
        <f>'08_dL_manual'!AG29-'10_dash_dL'!AG29</f>
        <v>0</v>
      </c>
      <c r="AH93" s="9">
        <f>'08_dL_manual'!AH29-'10_dash_dL'!AH29</f>
        <v>0</v>
      </c>
      <c r="AI93" s="9">
        <f>'08_dL_manual'!AI29-'10_dash_dL'!AI29</f>
        <v>0</v>
      </c>
    </row>
    <row r="94" spans="1:35" x14ac:dyDescent="0.2">
      <c r="A94" s="12" t="s">
        <v>1394</v>
      </c>
      <c r="B94" s="9">
        <f>'08_dL_manual'!B30-'10_dash_dL'!B30</f>
        <v>0</v>
      </c>
      <c r="C94" s="9">
        <f>'08_dL_manual'!C30-'10_dash_dL'!C30</f>
        <v>0</v>
      </c>
      <c r="D94" s="9">
        <f>'08_dL_manual'!D30-'10_dash_dL'!D30</f>
        <v>0</v>
      </c>
      <c r="E94" s="9">
        <f>'08_dL_manual'!E30-'10_dash_dL'!E30</f>
        <v>0</v>
      </c>
      <c r="F94" s="9">
        <f>'08_dL_manual'!F30-'10_dash_dL'!F30</f>
        <v>0</v>
      </c>
      <c r="G94" s="9">
        <f>'08_dL_manual'!G30-'10_dash_dL'!G30</f>
        <v>0</v>
      </c>
      <c r="H94" s="9">
        <f>'08_dL_manual'!H30-'10_dash_dL'!H30</f>
        <v>0</v>
      </c>
      <c r="I94" s="9">
        <f>'08_dL_manual'!I30-'10_dash_dL'!I30</f>
        <v>0</v>
      </c>
      <c r="J94" s="9">
        <f>'08_dL_manual'!J30-'10_dash_dL'!J30</f>
        <v>0</v>
      </c>
      <c r="K94" s="9">
        <f>'08_dL_manual'!K30-'10_dash_dL'!K30</f>
        <v>0</v>
      </c>
      <c r="L94" s="9">
        <f>'08_dL_manual'!L30-'10_dash_dL'!L30</f>
        <v>0</v>
      </c>
      <c r="M94" s="9">
        <f>'08_dL_manual'!M30-'10_dash_dL'!M30</f>
        <v>0</v>
      </c>
      <c r="N94" s="9">
        <f>'08_dL_manual'!N30-'10_dash_dL'!N30</f>
        <v>0</v>
      </c>
      <c r="O94" s="9">
        <f>'08_dL_manual'!O30-'10_dash_dL'!O30</f>
        <v>0</v>
      </c>
      <c r="P94" s="9">
        <f>'08_dL_manual'!P30-'10_dash_dL'!P30</f>
        <v>0</v>
      </c>
      <c r="Q94" s="9">
        <f>'08_dL_manual'!Q30-'10_dash_dL'!Q30</f>
        <v>0</v>
      </c>
      <c r="R94" s="9">
        <f>'08_dL_manual'!R30-'10_dash_dL'!R30</f>
        <v>0</v>
      </c>
      <c r="S94" s="9">
        <f>'08_dL_manual'!S30-'10_dash_dL'!S30</f>
        <v>0</v>
      </c>
      <c r="T94" s="9">
        <f>'08_dL_manual'!T30-'10_dash_dL'!T30</f>
        <v>0</v>
      </c>
      <c r="U94" s="9">
        <f>'08_dL_manual'!U30-'10_dash_dL'!U30</f>
        <v>0</v>
      </c>
      <c r="V94" s="9">
        <f>'08_dL_manual'!V30-'10_dash_dL'!V30</f>
        <v>0</v>
      </c>
      <c r="W94" s="9">
        <f>'08_dL_manual'!W30-'10_dash_dL'!W30</f>
        <v>0</v>
      </c>
      <c r="X94" s="9">
        <f>'08_dL_manual'!X30-'10_dash_dL'!X30</f>
        <v>0</v>
      </c>
      <c r="Y94" s="9">
        <f>'08_dL_manual'!Y30-'10_dash_dL'!Y30</f>
        <v>0</v>
      </c>
      <c r="Z94" s="9">
        <f>'08_dL_manual'!Z30-'10_dash_dL'!Z30</f>
        <v>0</v>
      </c>
      <c r="AA94" s="9">
        <f>'08_dL_manual'!AA30-'10_dash_dL'!AA30</f>
        <v>0</v>
      </c>
      <c r="AB94" s="9">
        <f>'08_dL_manual'!AB30-'10_dash_dL'!AB30</f>
        <v>0</v>
      </c>
      <c r="AC94" s="9">
        <f>'08_dL_manual'!AC30-'10_dash_dL'!AC30</f>
        <v>0</v>
      </c>
      <c r="AD94" s="9">
        <f>'08_dL_manual'!AD30-'10_dash_dL'!AD30</f>
        <v>0</v>
      </c>
      <c r="AE94" s="9">
        <f>'08_dL_manual'!AE30-'10_dash_dL'!AE30</f>
        <v>0</v>
      </c>
      <c r="AF94" s="9">
        <f>'08_dL_manual'!AF30-'10_dash_dL'!AF30</f>
        <v>0</v>
      </c>
      <c r="AG94" s="9">
        <f>'08_dL_manual'!AG30-'10_dash_dL'!AG30</f>
        <v>0</v>
      </c>
      <c r="AH94" s="9">
        <f>'08_dL_manual'!AH30-'10_dash_dL'!AH30</f>
        <v>0</v>
      </c>
      <c r="AI94" s="9">
        <f>'08_dL_manual'!AI30-'10_dash_dL'!AI30</f>
        <v>0</v>
      </c>
    </row>
    <row r="95" spans="1:35" x14ac:dyDescent="0.2">
      <c r="A95" s="12" t="s">
        <v>1395</v>
      </c>
      <c r="B95" s="9">
        <f>'08_dL_manual'!B31-'10_dash_dL'!B31</f>
        <v>0</v>
      </c>
      <c r="C95" s="9">
        <f>'08_dL_manual'!C31-'10_dash_dL'!C31</f>
        <v>-1.1368683772161603E-13</v>
      </c>
      <c r="D95" s="9">
        <f>'08_dL_manual'!D31-'10_dash_dL'!D31</f>
        <v>0</v>
      </c>
      <c r="E95" s="9">
        <f>'08_dL_manual'!E31-'10_dash_dL'!E31</f>
        <v>0</v>
      </c>
      <c r="F95" s="9">
        <f>'08_dL_manual'!F31-'10_dash_dL'!F31</f>
        <v>0</v>
      </c>
      <c r="G95" s="9">
        <f>'08_dL_manual'!G31-'10_dash_dL'!G31</f>
        <v>0</v>
      </c>
      <c r="H95" s="9">
        <f>'08_dL_manual'!H31-'10_dash_dL'!H31</f>
        <v>-8.8817841970012523E-16</v>
      </c>
      <c r="I95" s="9">
        <f>'08_dL_manual'!I31-'10_dash_dL'!I31</f>
        <v>0</v>
      </c>
      <c r="J95" s="9">
        <f>'08_dL_manual'!J31-'10_dash_dL'!J31</f>
        <v>-4.4408920985006262E-16</v>
      </c>
      <c r="K95" s="9">
        <f>'08_dL_manual'!K31-'10_dash_dL'!K31</f>
        <v>0</v>
      </c>
      <c r="L95" s="9">
        <f>'08_dL_manual'!L31-'10_dash_dL'!L31</f>
        <v>0</v>
      </c>
      <c r="M95" s="9">
        <f>'08_dL_manual'!M31-'10_dash_dL'!M31</f>
        <v>0</v>
      </c>
      <c r="N95" s="9">
        <f>'08_dL_manual'!N31-'10_dash_dL'!N31</f>
        <v>0</v>
      </c>
      <c r="O95" s="9">
        <f>'08_dL_manual'!O31-'10_dash_dL'!O31</f>
        <v>0</v>
      </c>
      <c r="P95" s="9">
        <f>'08_dL_manual'!P31-'10_dash_dL'!P31</f>
        <v>0</v>
      </c>
      <c r="Q95" s="9">
        <f>'08_dL_manual'!Q31-'10_dash_dL'!Q31</f>
        <v>0</v>
      </c>
      <c r="R95" s="9">
        <f>'08_dL_manual'!R31-'10_dash_dL'!R31</f>
        <v>0</v>
      </c>
      <c r="S95" s="9">
        <f>'08_dL_manual'!S31-'10_dash_dL'!S31</f>
        <v>0</v>
      </c>
      <c r="T95" s="9">
        <f>'08_dL_manual'!T31-'10_dash_dL'!T31</f>
        <v>0</v>
      </c>
      <c r="U95" s="9">
        <f>'08_dL_manual'!U31-'10_dash_dL'!U31</f>
        <v>-3.5527136788005009E-15</v>
      </c>
      <c r="V95" s="9">
        <f>'08_dL_manual'!V31-'10_dash_dL'!V31</f>
        <v>0</v>
      </c>
      <c r="W95" s="9">
        <f>'08_dL_manual'!W31-'10_dash_dL'!W31</f>
        <v>-7.1054273576010019E-15</v>
      </c>
      <c r="X95" s="9">
        <f>'08_dL_manual'!X31-'10_dash_dL'!X31</f>
        <v>-1.4210854715202004E-14</v>
      </c>
      <c r="Y95" s="9">
        <f>'08_dL_manual'!Y31-'10_dash_dL'!Y31</f>
        <v>0</v>
      </c>
      <c r="Z95" s="9">
        <f>'08_dL_manual'!Z31-'10_dash_dL'!Z31</f>
        <v>0</v>
      </c>
      <c r="AA95" s="9">
        <f>'08_dL_manual'!AA31-'10_dash_dL'!AA31</f>
        <v>0</v>
      </c>
      <c r="AB95" s="9">
        <f>'08_dL_manual'!AB31-'10_dash_dL'!AB31</f>
        <v>0</v>
      </c>
      <c r="AC95" s="9">
        <f>'08_dL_manual'!AC31-'10_dash_dL'!AC31</f>
        <v>0</v>
      </c>
      <c r="AD95" s="9">
        <f>'08_dL_manual'!AD31-'10_dash_dL'!AD31</f>
        <v>0</v>
      </c>
      <c r="AE95" s="9">
        <f>'08_dL_manual'!AE31-'10_dash_dL'!AE31</f>
        <v>0</v>
      </c>
      <c r="AF95" s="9">
        <f>'08_dL_manual'!AF31-'10_dash_dL'!AF31</f>
        <v>0</v>
      </c>
      <c r="AG95" s="9">
        <f>'08_dL_manual'!AG31-'10_dash_dL'!AG31</f>
        <v>0</v>
      </c>
      <c r="AH95" s="9">
        <f>'08_dL_manual'!AH31-'10_dash_dL'!AH31</f>
        <v>0</v>
      </c>
      <c r="AI95" s="9">
        <f>'08_dL_manual'!AI31-'10_dash_dL'!AI31</f>
        <v>0</v>
      </c>
    </row>
    <row r="96" spans="1:35" x14ac:dyDescent="0.2">
      <c r="A96" s="12" t="s">
        <v>1396</v>
      </c>
      <c r="B96" s="9">
        <f>'08_dL_manual'!B32-'10_dash_dL'!B32</f>
        <v>0</v>
      </c>
      <c r="C96" s="9">
        <f>'08_dL_manual'!C32-'10_dash_dL'!C32</f>
        <v>0</v>
      </c>
      <c r="D96" s="9">
        <f>'08_dL_manual'!D32-'10_dash_dL'!D32</f>
        <v>0</v>
      </c>
      <c r="E96" s="9">
        <f>'08_dL_manual'!E32-'10_dash_dL'!E32</f>
        <v>0</v>
      </c>
      <c r="F96" s="9">
        <f>'08_dL_manual'!F32-'10_dash_dL'!F32</f>
        <v>0</v>
      </c>
      <c r="G96" s="9">
        <f>'08_dL_manual'!G32-'10_dash_dL'!G32</f>
        <v>0</v>
      </c>
      <c r="H96" s="9">
        <f>'08_dL_manual'!H32-'10_dash_dL'!H32</f>
        <v>0</v>
      </c>
      <c r="I96" s="9">
        <f>'08_dL_manual'!I32-'10_dash_dL'!I32</f>
        <v>0</v>
      </c>
      <c r="J96" s="9">
        <f>'08_dL_manual'!J32-'10_dash_dL'!J32</f>
        <v>0</v>
      </c>
      <c r="K96" s="9">
        <f>'08_dL_manual'!K32-'10_dash_dL'!K32</f>
        <v>0</v>
      </c>
      <c r="L96" s="9">
        <f>'08_dL_manual'!L32-'10_dash_dL'!L32</f>
        <v>0</v>
      </c>
      <c r="M96" s="9">
        <f>'08_dL_manual'!M32-'10_dash_dL'!M32</f>
        <v>0</v>
      </c>
      <c r="N96" s="9">
        <f>'08_dL_manual'!N32-'10_dash_dL'!N32</f>
        <v>0</v>
      </c>
      <c r="O96" s="9">
        <f>'08_dL_manual'!O32-'10_dash_dL'!O32</f>
        <v>0</v>
      </c>
      <c r="P96" s="9">
        <f>'08_dL_manual'!P32-'10_dash_dL'!P32</f>
        <v>0</v>
      </c>
      <c r="Q96" s="9">
        <f>'08_dL_manual'!Q32-'10_dash_dL'!Q32</f>
        <v>0</v>
      </c>
      <c r="R96" s="9">
        <f>'08_dL_manual'!R32-'10_dash_dL'!R32</f>
        <v>0</v>
      </c>
      <c r="S96" s="9">
        <f>'08_dL_manual'!S32-'10_dash_dL'!S32</f>
        <v>9.7699626167013776E-15</v>
      </c>
      <c r="T96" s="9">
        <f>'08_dL_manual'!T32-'10_dash_dL'!T32</f>
        <v>0</v>
      </c>
      <c r="U96" s="9">
        <f>'08_dL_manual'!U32-'10_dash_dL'!U32</f>
        <v>0</v>
      </c>
      <c r="V96" s="9">
        <f>'08_dL_manual'!V32-'10_dash_dL'!V32</f>
        <v>0</v>
      </c>
      <c r="W96" s="9">
        <f>'08_dL_manual'!W32-'10_dash_dL'!W32</f>
        <v>0</v>
      </c>
      <c r="X96" s="9">
        <f>'08_dL_manual'!X32-'10_dash_dL'!X32</f>
        <v>0</v>
      </c>
      <c r="Y96" s="9">
        <f>'08_dL_manual'!Y32-'10_dash_dL'!Y32</f>
        <v>0</v>
      </c>
      <c r="Z96" s="9">
        <f>'08_dL_manual'!Z32-'10_dash_dL'!Z32</f>
        <v>0</v>
      </c>
      <c r="AA96" s="9">
        <f>'08_dL_manual'!AA32-'10_dash_dL'!AA32</f>
        <v>0</v>
      </c>
      <c r="AB96" s="9">
        <f>'08_dL_manual'!AB32-'10_dash_dL'!AB32</f>
        <v>0</v>
      </c>
      <c r="AC96" s="9">
        <f>'08_dL_manual'!AC32-'10_dash_dL'!AC32</f>
        <v>0</v>
      </c>
      <c r="AD96" s="9">
        <f>'08_dL_manual'!AD32-'10_dash_dL'!AD32</f>
        <v>0</v>
      </c>
      <c r="AE96" s="9">
        <f>'08_dL_manual'!AE32-'10_dash_dL'!AE32</f>
        <v>0</v>
      </c>
      <c r="AF96" s="9">
        <f>'08_dL_manual'!AF32-'10_dash_dL'!AF32</f>
        <v>0</v>
      </c>
      <c r="AG96" s="9">
        <f>'08_dL_manual'!AG32-'10_dash_dL'!AG32</f>
        <v>0</v>
      </c>
      <c r="AH96" s="9">
        <f>'08_dL_manual'!AH32-'10_dash_dL'!AH32</f>
        <v>0</v>
      </c>
      <c r="AI96" s="9">
        <f>'08_dL_manual'!AI32-'10_dash_dL'!AI32</f>
        <v>0</v>
      </c>
    </row>
    <row r="97" spans="1:35" x14ac:dyDescent="0.2">
      <c r="A97" s="12" t="s">
        <v>1397</v>
      </c>
      <c r="B97" s="9">
        <f>'08_dL_manual'!B33-'10_dash_dL'!B33</f>
        <v>0</v>
      </c>
      <c r="C97" s="9">
        <f>'08_dL_manual'!C33-'10_dash_dL'!C33</f>
        <v>0</v>
      </c>
      <c r="D97" s="9">
        <f>'08_dL_manual'!D33-'10_dash_dL'!D33</f>
        <v>0</v>
      </c>
      <c r="E97" s="9">
        <f>'08_dL_manual'!E33-'10_dash_dL'!E33</f>
        <v>0</v>
      </c>
      <c r="F97" s="9">
        <f>'08_dL_manual'!F33-'10_dash_dL'!F33</f>
        <v>0</v>
      </c>
      <c r="G97" s="9">
        <f>'08_dL_manual'!G33-'10_dash_dL'!G33</f>
        <v>0</v>
      </c>
      <c r="H97" s="9">
        <f>'08_dL_manual'!H33-'10_dash_dL'!H33</f>
        <v>0</v>
      </c>
      <c r="I97" s="9">
        <f>'08_dL_manual'!I33-'10_dash_dL'!I33</f>
        <v>0</v>
      </c>
      <c r="J97" s="9">
        <f>'08_dL_manual'!J33-'10_dash_dL'!J33</f>
        <v>0</v>
      </c>
      <c r="K97" s="9">
        <f>'08_dL_manual'!K33-'10_dash_dL'!K33</f>
        <v>0</v>
      </c>
      <c r="L97" s="9">
        <f>'08_dL_manual'!L33-'10_dash_dL'!L33</f>
        <v>0</v>
      </c>
      <c r="M97" s="9">
        <f>'08_dL_manual'!M33-'10_dash_dL'!M33</f>
        <v>0</v>
      </c>
      <c r="N97" s="9">
        <f>'08_dL_manual'!N33-'10_dash_dL'!N33</f>
        <v>0</v>
      </c>
      <c r="O97" s="9">
        <f>'08_dL_manual'!O33-'10_dash_dL'!O33</f>
        <v>0</v>
      </c>
      <c r="P97" s="9">
        <f>'08_dL_manual'!P33-'10_dash_dL'!P33</f>
        <v>0</v>
      </c>
      <c r="Q97" s="9">
        <f>'08_dL_manual'!Q33-'10_dash_dL'!Q33</f>
        <v>0</v>
      </c>
      <c r="R97" s="9">
        <f>'08_dL_manual'!R33-'10_dash_dL'!R33</f>
        <v>0</v>
      </c>
      <c r="S97" s="9">
        <f>'08_dL_manual'!S33-'10_dash_dL'!S33</f>
        <v>0</v>
      </c>
      <c r="T97" s="9">
        <f>'08_dL_manual'!T33-'10_dash_dL'!T33</f>
        <v>0</v>
      </c>
      <c r="U97" s="9">
        <f>'08_dL_manual'!U33-'10_dash_dL'!U33</f>
        <v>0</v>
      </c>
      <c r="V97" s="9">
        <f>'08_dL_manual'!V33-'10_dash_dL'!V33</f>
        <v>0</v>
      </c>
      <c r="W97" s="9">
        <f>'08_dL_manual'!W33-'10_dash_dL'!W33</f>
        <v>0</v>
      </c>
      <c r="X97" s="9">
        <f>'08_dL_manual'!X33-'10_dash_dL'!X33</f>
        <v>0</v>
      </c>
      <c r="Y97" s="9">
        <f>'08_dL_manual'!Y33-'10_dash_dL'!Y33</f>
        <v>0</v>
      </c>
      <c r="Z97" s="9">
        <f>'08_dL_manual'!Z33-'10_dash_dL'!Z33</f>
        <v>0</v>
      </c>
      <c r="AA97" s="9">
        <f>'08_dL_manual'!AA33-'10_dash_dL'!AA33</f>
        <v>0</v>
      </c>
      <c r="AB97" s="9">
        <f>'08_dL_manual'!AB33-'10_dash_dL'!AB33</f>
        <v>0</v>
      </c>
      <c r="AC97" s="9">
        <f>'08_dL_manual'!AC33-'10_dash_dL'!AC33</f>
        <v>0</v>
      </c>
      <c r="AD97" s="9">
        <f>'08_dL_manual'!AD33-'10_dash_dL'!AD33</f>
        <v>0</v>
      </c>
      <c r="AE97" s="9">
        <f>'08_dL_manual'!AE33-'10_dash_dL'!AE33</f>
        <v>0</v>
      </c>
      <c r="AF97" s="9">
        <f>'08_dL_manual'!AF33-'10_dash_dL'!AF33</f>
        <v>0</v>
      </c>
      <c r="AG97" s="9">
        <f>'08_dL_manual'!AG33-'10_dash_dL'!AG33</f>
        <v>0</v>
      </c>
      <c r="AH97" s="9">
        <f>'08_dL_manual'!AH33-'10_dash_dL'!AH33</f>
        <v>0</v>
      </c>
      <c r="AI97" s="9">
        <f>'08_dL_manual'!AI33-'10_dash_dL'!AI33</f>
        <v>0</v>
      </c>
    </row>
    <row r="98" spans="1:35" x14ac:dyDescent="0.2">
      <c r="A98" s="12" t="s">
        <v>1398</v>
      </c>
      <c r="B98" s="9">
        <f>'08_dL_manual'!B34-'10_dash_dL'!B34</f>
        <v>0</v>
      </c>
      <c r="C98" s="9">
        <f>'08_dL_manual'!C34-'10_dash_dL'!C34</f>
        <v>0</v>
      </c>
      <c r="D98" s="9">
        <f>'08_dL_manual'!D34-'10_dash_dL'!D34</f>
        <v>0</v>
      </c>
      <c r="E98" s="9">
        <f>'08_dL_manual'!E34-'10_dash_dL'!E34</f>
        <v>0</v>
      </c>
      <c r="F98" s="9">
        <f>'08_dL_manual'!F34-'10_dash_dL'!F34</f>
        <v>0</v>
      </c>
      <c r="G98" s="9">
        <f>'08_dL_manual'!G34-'10_dash_dL'!G34</f>
        <v>0</v>
      </c>
      <c r="H98" s="9">
        <f>'08_dL_manual'!H34-'10_dash_dL'!H34</f>
        <v>0</v>
      </c>
      <c r="I98" s="9">
        <f>'08_dL_manual'!I34-'10_dash_dL'!I34</f>
        <v>0</v>
      </c>
      <c r="J98" s="9">
        <f>'08_dL_manual'!J34-'10_dash_dL'!J34</f>
        <v>0</v>
      </c>
      <c r="K98" s="9">
        <f>'08_dL_manual'!K34-'10_dash_dL'!K34</f>
        <v>0</v>
      </c>
      <c r="L98" s="9">
        <f>'08_dL_manual'!L34-'10_dash_dL'!L34</f>
        <v>0</v>
      </c>
      <c r="M98" s="9">
        <f>'08_dL_manual'!M34-'10_dash_dL'!M34</f>
        <v>0</v>
      </c>
      <c r="N98" s="9">
        <f>'08_dL_manual'!N34-'10_dash_dL'!N34</f>
        <v>0</v>
      </c>
      <c r="O98" s="9">
        <f>'08_dL_manual'!O34-'10_dash_dL'!O34</f>
        <v>0</v>
      </c>
      <c r="P98" s="9">
        <f>'08_dL_manual'!P34-'10_dash_dL'!P34</f>
        <v>0</v>
      </c>
      <c r="Q98" s="9">
        <f>'08_dL_manual'!Q34-'10_dash_dL'!Q34</f>
        <v>0</v>
      </c>
      <c r="R98" s="9">
        <f>'08_dL_manual'!R34-'10_dash_dL'!R34</f>
        <v>0</v>
      </c>
      <c r="S98" s="9">
        <f>'08_dL_manual'!S34-'10_dash_dL'!S34</f>
        <v>0</v>
      </c>
      <c r="T98" s="9">
        <f>'08_dL_manual'!T34-'10_dash_dL'!T34</f>
        <v>0</v>
      </c>
      <c r="U98" s="9">
        <f>'08_dL_manual'!U34-'10_dash_dL'!U34</f>
        <v>0</v>
      </c>
      <c r="V98" s="9">
        <f>'08_dL_manual'!V34-'10_dash_dL'!V34</f>
        <v>0</v>
      </c>
      <c r="W98" s="9">
        <f>'08_dL_manual'!W34-'10_dash_dL'!W34</f>
        <v>0</v>
      </c>
      <c r="X98" s="9">
        <f>'08_dL_manual'!X34-'10_dash_dL'!X34</f>
        <v>0</v>
      </c>
      <c r="Y98" s="9">
        <f>'08_dL_manual'!Y34-'10_dash_dL'!Y34</f>
        <v>0</v>
      </c>
      <c r="Z98" s="9">
        <f>'08_dL_manual'!Z34-'10_dash_dL'!Z34</f>
        <v>0</v>
      </c>
      <c r="AA98" s="9">
        <f>'08_dL_manual'!AA34-'10_dash_dL'!AA34</f>
        <v>0</v>
      </c>
      <c r="AB98" s="9">
        <f>'08_dL_manual'!AB34-'10_dash_dL'!AB34</f>
        <v>0</v>
      </c>
      <c r="AC98" s="9">
        <f>'08_dL_manual'!AC34-'10_dash_dL'!AC34</f>
        <v>0</v>
      </c>
      <c r="AD98" s="9">
        <f>'08_dL_manual'!AD34-'10_dash_dL'!AD34</f>
        <v>0</v>
      </c>
      <c r="AE98" s="9">
        <f>'08_dL_manual'!AE34-'10_dash_dL'!AE34</f>
        <v>-1.1102230246251565E-16</v>
      </c>
      <c r="AF98" s="9">
        <f>'08_dL_manual'!AF34-'10_dash_dL'!AF34</f>
        <v>0</v>
      </c>
      <c r="AG98" s="9">
        <f>'08_dL_manual'!AG34-'10_dash_dL'!AG34</f>
        <v>0</v>
      </c>
      <c r="AH98" s="9">
        <f>'08_dL_manual'!AH34-'10_dash_dL'!AH34</f>
        <v>0</v>
      </c>
      <c r="AI98" s="9">
        <f>'08_dL_manual'!AI34-'10_dash_dL'!AI34</f>
        <v>0</v>
      </c>
    </row>
    <row r="99" spans="1:35" x14ac:dyDescent="0.2">
      <c r="A99" s="12" t="s">
        <v>1399</v>
      </c>
      <c r="B99" s="9">
        <f>'08_dL_manual'!B35-'10_dash_dL'!B35</f>
        <v>0</v>
      </c>
      <c r="C99" s="9">
        <f>'08_dL_manual'!C35-'10_dash_dL'!C35</f>
        <v>0</v>
      </c>
      <c r="D99" s="9">
        <f>'08_dL_manual'!D35-'10_dash_dL'!D35</f>
        <v>0</v>
      </c>
      <c r="E99" s="9">
        <f>'08_dL_manual'!E35-'10_dash_dL'!E35</f>
        <v>0</v>
      </c>
      <c r="F99" s="9">
        <f>'08_dL_manual'!F35-'10_dash_dL'!F35</f>
        <v>0</v>
      </c>
      <c r="G99" s="9">
        <f>'08_dL_manual'!G35-'10_dash_dL'!G35</f>
        <v>0</v>
      </c>
      <c r="H99" s="9">
        <f>'08_dL_manual'!H35-'10_dash_dL'!H35</f>
        <v>0</v>
      </c>
      <c r="I99" s="9">
        <f>'08_dL_manual'!I35-'10_dash_dL'!I35</f>
        <v>0</v>
      </c>
      <c r="J99" s="9">
        <f>'08_dL_manual'!J35-'10_dash_dL'!J35</f>
        <v>0</v>
      </c>
      <c r="K99" s="9">
        <f>'08_dL_manual'!K35-'10_dash_dL'!K35</f>
        <v>0</v>
      </c>
      <c r="L99" s="9">
        <f>'08_dL_manual'!L35-'10_dash_dL'!L35</f>
        <v>0</v>
      </c>
      <c r="M99" s="9">
        <f>'08_dL_manual'!M35-'10_dash_dL'!M35</f>
        <v>0</v>
      </c>
      <c r="N99" s="9">
        <f>'08_dL_manual'!N35-'10_dash_dL'!N35</f>
        <v>0</v>
      </c>
      <c r="O99" s="9">
        <f>'08_dL_manual'!O35-'10_dash_dL'!O35</f>
        <v>0</v>
      </c>
      <c r="P99" s="9">
        <f>'08_dL_manual'!P35-'10_dash_dL'!P35</f>
        <v>0</v>
      </c>
      <c r="Q99" s="9">
        <f>'08_dL_manual'!Q35-'10_dash_dL'!Q35</f>
        <v>0</v>
      </c>
      <c r="R99" s="9">
        <f>'08_dL_manual'!R35-'10_dash_dL'!R35</f>
        <v>0</v>
      </c>
      <c r="S99" s="9">
        <f>'08_dL_manual'!S35-'10_dash_dL'!S35</f>
        <v>0</v>
      </c>
      <c r="T99" s="9">
        <f>'08_dL_manual'!T35-'10_dash_dL'!T35</f>
        <v>0</v>
      </c>
      <c r="U99" s="9">
        <f>'08_dL_manual'!U35-'10_dash_dL'!U35</f>
        <v>0</v>
      </c>
      <c r="V99" s="9">
        <f>'08_dL_manual'!V35-'10_dash_dL'!V35</f>
        <v>0</v>
      </c>
      <c r="W99" s="9">
        <f>'08_dL_manual'!W35-'10_dash_dL'!W35</f>
        <v>0</v>
      </c>
      <c r="X99" s="9">
        <f>'08_dL_manual'!X35-'10_dash_dL'!X35</f>
        <v>0</v>
      </c>
      <c r="Y99" s="9">
        <f>'08_dL_manual'!Y35-'10_dash_dL'!Y35</f>
        <v>0</v>
      </c>
      <c r="Z99" s="9">
        <f>'08_dL_manual'!Z35-'10_dash_dL'!Z35</f>
        <v>0</v>
      </c>
      <c r="AA99" s="9">
        <f>'08_dL_manual'!AA35-'10_dash_dL'!AA35</f>
        <v>0</v>
      </c>
      <c r="AB99" s="9">
        <f>'08_dL_manual'!AB35-'10_dash_dL'!AB35</f>
        <v>0</v>
      </c>
      <c r="AC99" s="9">
        <f>'08_dL_manual'!AC35-'10_dash_dL'!AC35</f>
        <v>0</v>
      </c>
      <c r="AD99" s="9">
        <f>'08_dL_manual'!AD35-'10_dash_dL'!AD35</f>
        <v>0</v>
      </c>
      <c r="AE99" s="9">
        <f>'08_dL_manual'!AE35-'10_dash_dL'!AE35</f>
        <v>0</v>
      </c>
      <c r="AF99" s="9">
        <f>'08_dL_manual'!AF35-'10_dash_dL'!AF35</f>
        <v>0</v>
      </c>
      <c r="AG99" s="9">
        <f>'08_dL_manual'!AG35-'10_dash_dL'!AG35</f>
        <v>0</v>
      </c>
      <c r="AH99" s="9">
        <f>'08_dL_manual'!AH35-'10_dash_dL'!AH35</f>
        <v>0</v>
      </c>
      <c r="AI99" s="9">
        <f>'08_dL_manual'!AI35-'10_dash_dL'!AI35</f>
        <v>0</v>
      </c>
    </row>
    <row r="100" spans="1:35" x14ac:dyDescent="0.2">
      <c r="A100" s="12" t="s">
        <v>1400</v>
      </c>
      <c r="B100" s="9">
        <f>'08_dL_manual'!B36-'10_dash_dL'!B36</f>
        <v>0</v>
      </c>
      <c r="C100" s="9">
        <f>'08_dL_manual'!C36-'10_dash_dL'!C36</f>
        <v>0</v>
      </c>
      <c r="D100" s="9">
        <f>'08_dL_manual'!D36-'10_dash_dL'!D36</f>
        <v>0</v>
      </c>
      <c r="E100" s="9">
        <f>'08_dL_manual'!E36-'10_dash_dL'!E36</f>
        <v>0</v>
      </c>
      <c r="F100" s="9">
        <f>'08_dL_manual'!F36-'10_dash_dL'!F36</f>
        <v>0</v>
      </c>
      <c r="G100" s="9">
        <f>'08_dL_manual'!G36-'10_dash_dL'!G36</f>
        <v>0</v>
      </c>
      <c r="H100" s="9">
        <f>'08_dL_manual'!H36-'10_dash_dL'!H36</f>
        <v>0</v>
      </c>
      <c r="I100" s="9">
        <f>'08_dL_manual'!I36-'10_dash_dL'!I36</f>
        <v>0</v>
      </c>
      <c r="J100" s="9">
        <f>'08_dL_manual'!J36-'10_dash_dL'!J36</f>
        <v>0</v>
      </c>
      <c r="K100" s="9">
        <f>'08_dL_manual'!K36-'10_dash_dL'!K36</f>
        <v>0</v>
      </c>
      <c r="L100" s="9">
        <f>'08_dL_manual'!L36-'10_dash_dL'!L36</f>
        <v>0</v>
      </c>
      <c r="M100" s="9">
        <f>'08_dL_manual'!M36-'10_dash_dL'!M36</f>
        <v>0</v>
      </c>
      <c r="N100" s="9">
        <f>'08_dL_manual'!N36-'10_dash_dL'!N36</f>
        <v>0</v>
      </c>
      <c r="O100" s="9">
        <f>'08_dL_manual'!O36-'10_dash_dL'!O36</f>
        <v>0</v>
      </c>
      <c r="P100" s="9">
        <f>'08_dL_manual'!P36-'10_dash_dL'!P36</f>
        <v>0</v>
      </c>
      <c r="Q100" s="9">
        <f>'08_dL_manual'!Q36-'10_dash_dL'!Q36</f>
        <v>0</v>
      </c>
      <c r="R100" s="9">
        <f>'08_dL_manual'!R36-'10_dash_dL'!R36</f>
        <v>0</v>
      </c>
      <c r="S100" s="9">
        <f>'08_dL_manual'!S36-'10_dash_dL'!S36</f>
        <v>0</v>
      </c>
      <c r="T100" s="9">
        <f>'08_dL_manual'!T36-'10_dash_dL'!T36</f>
        <v>0</v>
      </c>
      <c r="U100" s="9">
        <f>'08_dL_manual'!U36-'10_dash_dL'!U36</f>
        <v>0</v>
      </c>
      <c r="V100" s="9">
        <f>'08_dL_manual'!V36-'10_dash_dL'!V36</f>
        <v>0</v>
      </c>
      <c r="W100" s="9">
        <f>'08_dL_manual'!W36-'10_dash_dL'!W36</f>
        <v>0</v>
      </c>
      <c r="X100" s="9">
        <f>'08_dL_manual'!X36-'10_dash_dL'!X36</f>
        <v>0</v>
      </c>
      <c r="Y100" s="9">
        <f>'08_dL_manual'!Y36-'10_dash_dL'!Y36</f>
        <v>0</v>
      </c>
      <c r="Z100" s="9">
        <f>'08_dL_manual'!Z36-'10_dash_dL'!Z36</f>
        <v>0</v>
      </c>
      <c r="AA100" s="9">
        <f>'08_dL_manual'!AA36-'10_dash_dL'!AA36</f>
        <v>0</v>
      </c>
      <c r="AB100" s="9">
        <f>'08_dL_manual'!AB36-'10_dash_dL'!AB36</f>
        <v>0</v>
      </c>
      <c r="AC100" s="9">
        <f>'08_dL_manual'!AC36-'10_dash_dL'!AC36</f>
        <v>0</v>
      </c>
      <c r="AD100" s="9">
        <f>'08_dL_manual'!AD36-'10_dash_dL'!AD36</f>
        <v>0</v>
      </c>
      <c r="AE100" s="9">
        <f>'08_dL_manual'!AE36-'10_dash_dL'!AE36</f>
        <v>0</v>
      </c>
      <c r="AF100" s="9">
        <f>'08_dL_manual'!AF36-'10_dash_dL'!AF36</f>
        <v>0</v>
      </c>
      <c r="AG100" s="9">
        <f>'08_dL_manual'!AG36-'10_dash_dL'!AG36</f>
        <v>0</v>
      </c>
      <c r="AH100" s="9">
        <f>'08_dL_manual'!AH36-'10_dash_dL'!AH36</f>
        <v>0</v>
      </c>
      <c r="AI100" s="9">
        <f>'08_dL_manual'!AI36-'10_dash_dL'!AI36</f>
        <v>0</v>
      </c>
    </row>
    <row r="101" spans="1:35" x14ac:dyDescent="0.2">
      <c r="A101" s="12" t="s">
        <v>1401</v>
      </c>
      <c r="B101" s="9">
        <f>'08_dL_manual'!B37-'10_dash_dL'!B37</f>
        <v>0</v>
      </c>
      <c r="C101" s="9">
        <f>'08_dL_manual'!C37-'10_dash_dL'!C37</f>
        <v>0</v>
      </c>
      <c r="D101" s="9">
        <f>'08_dL_manual'!D37-'10_dash_dL'!D37</f>
        <v>0</v>
      </c>
      <c r="E101" s="9">
        <f>'08_dL_manual'!E37-'10_dash_dL'!E37</f>
        <v>0</v>
      </c>
      <c r="F101" s="9">
        <f>'08_dL_manual'!F37-'10_dash_dL'!F37</f>
        <v>0</v>
      </c>
      <c r="G101" s="9">
        <f>'08_dL_manual'!G37-'10_dash_dL'!G37</f>
        <v>0</v>
      </c>
      <c r="H101" s="9">
        <f>'08_dL_manual'!H37-'10_dash_dL'!H37</f>
        <v>0</v>
      </c>
      <c r="I101" s="9">
        <f>'08_dL_manual'!I37-'10_dash_dL'!I37</f>
        <v>0</v>
      </c>
      <c r="J101" s="9">
        <f>'08_dL_manual'!J37-'10_dash_dL'!J37</f>
        <v>0</v>
      </c>
      <c r="K101" s="9">
        <f>'08_dL_manual'!K37-'10_dash_dL'!K37</f>
        <v>0</v>
      </c>
      <c r="L101" s="9">
        <f>'08_dL_manual'!L37-'10_dash_dL'!L37</f>
        <v>0</v>
      </c>
      <c r="M101" s="9">
        <f>'08_dL_manual'!M37-'10_dash_dL'!M37</f>
        <v>0</v>
      </c>
      <c r="N101" s="9">
        <f>'08_dL_manual'!N37-'10_dash_dL'!N37</f>
        <v>0</v>
      </c>
      <c r="O101" s="9">
        <f>'08_dL_manual'!O37-'10_dash_dL'!O37</f>
        <v>0</v>
      </c>
      <c r="P101" s="9">
        <f>'08_dL_manual'!P37-'10_dash_dL'!P37</f>
        <v>0</v>
      </c>
      <c r="Q101" s="9">
        <f>'08_dL_manual'!Q37-'10_dash_dL'!Q37</f>
        <v>0</v>
      </c>
      <c r="R101" s="9">
        <f>'08_dL_manual'!R37-'10_dash_dL'!R37</f>
        <v>0</v>
      </c>
      <c r="S101" s="9">
        <f>'08_dL_manual'!S37-'10_dash_dL'!S37</f>
        <v>0</v>
      </c>
      <c r="T101" s="9">
        <f>'08_dL_manual'!T37-'10_dash_dL'!T37</f>
        <v>0</v>
      </c>
      <c r="U101" s="9">
        <f>'08_dL_manual'!U37-'10_dash_dL'!U37</f>
        <v>0</v>
      </c>
      <c r="V101" s="9">
        <f>'08_dL_manual'!V37-'10_dash_dL'!V37</f>
        <v>0</v>
      </c>
      <c r="W101" s="9">
        <f>'08_dL_manual'!W37-'10_dash_dL'!W37</f>
        <v>0</v>
      </c>
      <c r="X101" s="9">
        <f>'08_dL_manual'!X37-'10_dash_dL'!X37</f>
        <v>0</v>
      </c>
      <c r="Y101" s="9">
        <f>'08_dL_manual'!Y37-'10_dash_dL'!Y37</f>
        <v>0</v>
      </c>
      <c r="Z101" s="9">
        <f>'08_dL_manual'!Z37-'10_dash_dL'!Z37</f>
        <v>0</v>
      </c>
      <c r="AA101" s="9">
        <f>'08_dL_manual'!AA37-'10_dash_dL'!AA37</f>
        <v>0</v>
      </c>
      <c r="AB101" s="9">
        <f>'08_dL_manual'!AB37-'10_dash_dL'!AB37</f>
        <v>0</v>
      </c>
      <c r="AC101" s="9">
        <f>'08_dL_manual'!AC37-'10_dash_dL'!AC37</f>
        <v>0</v>
      </c>
      <c r="AD101" s="9">
        <f>'08_dL_manual'!AD37-'10_dash_dL'!AD37</f>
        <v>0</v>
      </c>
      <c r="AE101" s="9">
        <f>'08_dL_manual'!AE37-'10_dash_dL'!AE37</f>
        <v>0</v>
      </c>
      <c r="AF101" s="9">
        <f>'08_dL_manual'!AF37-'10_dash_dL'!AF37</f>
        <v>0</v>
      </c>
      <c r="AG101" s="9">
        <f>'08_dL_manual'!AG37-'10_dash_dL'!AG37</f>
        <v>0</v>
      </c>
      <c r="AH101" s="9">
        <f>'08_dL_manual'!AH37-'10_dash_dL'!AH37</f>
        <v>0</v>
      </c>
      <c r="AI101" s="9">
        <f>'08_dL_manual'!AI37-'10_dash_dL'!AI37</f>
        <v>0</v>
      </c>
    </row>
    <row r="102" spans="1:35" x14ac:dyDescent="0.2">
      <c r="A102" s="12" t="s">
        <v>1402</v>
      </c>
      <c r="B102" s="9">
        <f>'08_dL_manual'!B38-'10_dash_dL'!B38</f>
        <v>0</v>
      </c>
      <c r="C102" s="9">
        <f>'08_dL_manual'!C38-'10_dash_dL'!C38</f>
        <v>0</v>
      </c>
      <c r="D102" s="9">
        <f>'08_dL_manual'!D38-'10_dash_dL'!D38</f>
        <v>0</v>
      </c>
      <c r="E102" s="9">
        <f>'08_dL_manual'!E38-'10_dash_dL'!E38</f>
        <v>0</v>
      </c>
      <c r="F102" s="9">
        <f>'08_dL_manual'!F38-'10_dash_dL'!F38</f>
        <v>0</v>
      </c>
      <c r="G102" s="9">
        <f>'08_dL_manual'!G38-'10_dash_dL'!G38</f>
        <v>0</v>
      </c>
      <c r="H102" s="9">
        <f>'08_dL_manual'!H38-'10_dash_dL'!H38</f>
        <v>0</v>
      </c>
      <c r="I102" s="9">
        <f>'08_dL_manual'!I38-'10_dash_dL'!I38</f>
        <v>0</v>
      </c>
      <c r="J102" s="9">
        <f>'08_dL_manual'!J38-'10_dash_dL'!J38</f>
        <v>0</v>
      </c>
      <c r="K102" s="9">
        <f>'08_dL_manual'!K38-'10_dash_dL'!K38</f>
        <v>0</v>
      </c>
      <c r="L102" s="9">
        <f>'08_dL_manual'!L38-'10_dash_dL'!L38</f>
        <v>0</v>
      </c>
      <c r="M102" s="9">
        <f>'08_dL_manual'!M38-'10_dash_dL'!M38</f>
        <v>0</v>
      </c>
      <c r="N102" s="9">
        <f>'08_dL_manual'!N38-'10_dash_dL'!N38</f>
        <v>0</v>
      </c>
      <c r="O102" s="9">
        <f>'08_dL_manual'!O38-'10_dash_dL'!O38</f>
        <v>0</v>
      </c>
      <c r="P102" s="9">
        <f>'08_dL_manual'!P38-'10_dash_dL'!P38</f>
        <v>0</v>
      </c>
      <c r="Q102" s="9">
        <f>'08_dL_manual'!Q38-'10_dash_dL'!Q38</f>
        <v>0</v>
      </c>
      <c r="R102" s="9">
        <f>'08_dL_manual'!R38-'10_dash_dL'!R38</f>
        <v>0</v>
      </c>
      <c r="S102" s="9">
        <f>'08_dL_manual'!S38-'10_dash_dL'!S38</f>
        <v>0</v>
      </c>
      <c r="T102" s="9">
        <f>'08_dL_manual'!T38-'10_dash_dL'!T38</f>
        <v>0</v>
      </c>
      <c r="U102" s="9">
        <f>'08_dL_manual'!U38-'10_dash_dL'!U38</f>
        <v>0</v>
      </c>
      <c r="V102" s="9">
        <f>'08_dL_manual'!V38-'10_dash_dL'!V38</f>
        <v>0</v>
      </c>
      <c r="W102" s="9">
        <f>'08_dL_manual'!W38-'10_dash_dL'!W38</f>
        <v>0</v>
      </c>
      <c r="X102" s="9">
        <f>'08_dL_manual'!X38-'10_dash_dL'!X38</f>
        <v>0</v>
      </c>
      <c r="Y102" s="9">
        <f>'08_dL_manual'!Y38-'10_dash_dL'!Y38</f>
        <v>0</v>
      </c>
      <c r="Z102" s="9">
        <f>'08_dL_manual'!Z38-'10_dash_dL'!Z38</f>
        <v>0</v>
      </c>
      <c r="AA102" s="9">
        <f>'08_dL_manual'!AA38-'10_dash_dL'!AA38</f>
        <v>0</v>
      </c>
      <c r="AB102" s="9">
        <f>'08_dL_manual'!AB38-'10_dash_dL'!AB38</f>
        <v>0</v>
      </c>
      <c r="AC102" s="9">
        <f>'08_dL_manual'!AC38-'10_dash_dL'!AC38</f>
        <v>0</v>
      </c>
      <c r="AD102" s="9">
        <f>'08_dL_manual'!AD38-'10_dash_dL'!AD38</f>
        <v>0</v>
      </c>
      <c r="AE102" s="9">
        <f>'08_dL_manual'!AE38-'10_dash_dL'!AE38</f>
        <v>0</v>
      </c>
      <c r="AF102" s="9">
        <f>'08_dL_manual'!AF38-'10_dash_dL'!AF38</f>
        <v>0</v>
      </c>
      <c r="AG102" s="9">
        <f>'08_dL_manual'!AG38-'10_dash_dL'!AG38</f>
        <v>0</v>
      </c>
      <c r="AH102" s="9">
        <f>'08_dL_manual'!AH38-'10_dash_dL'!AH38</f>
        <v>0</v>
      </c>
      <c r="AI102" s="9">
        <f>'08_dL_manual'!AI38-'10_dash_dL'!AI38</f>
        <v>0</v>
      </c>
    </row>
    <row r="103" spans="1:35" x14ac:dyDescent="0.2">
      <c r="A103" s="12" t="s">
        <v>1403</v>
      </c>
      <c r="B103" s="9">
        <f>'08_dL_manual'!B39-'10_dash_dL'!B39</f>
        <v>0</v>
      </c>
      <c r="C103" s="9">
        <f>'08_dL_manual'!C39-'10_dash_dL'!C39</f>
        <v>0</v>
      </c>
      <c r="D103" s="9">
        <f>'08_dL_manual'!D39-'10_dash_dL'!D39</f>
        <v>0</v>
      </c>
      <c r="E103" s="9">
        <f>'08_dL_manual'!E39-'10_dash_dL'!E39</f>
        <v>0</v>
      </c>
      <c r="F103" s="9">
        <f>'08_dL_manual'!F39-'10_dash_dL'!F39</f>
        <v>0</v>
      </c>
      <c r="G103" s="9">
        <f>'08_dL_manual'!G39-'10_dash_dL'!G39</f>
        <v>0</v>
      </c>
      <c r="H103" s="9">
        <f>'08_dL_manual'!H39-'10_dash_dL'!H39</f>
        <v>0</v>
      </c>
      <c r="I103" s="9">
        <f>'08_dL_manual'!I39-'10_dash_dL'!I39</f>
        <v>0</v>
      </c>
      <c r="J103" s="9">
        <f>'08_dL_manual'!J39-'10_dash_dL'!J39</f>
        <v>0</v>
      </c>
      <c r="K103" s="9">
        <f>'08_dL_manual'!K39-'10_dash_dL'!K39</f>
        <v>0</v>
      </c>
      <c r="L103" s="9">
        <f>'08_dL_manual'!L39-'10_dash_dL'!L39</f>
        <v>0</v>
      </c>
      <c r="M103" s="9">
        <f>'08_dL_manual'!M39-'10_dash_dL'!M39</f>
        <v>0</v>
      </c>
      <c r="N103" s="9">
        <f>'08_dL_manual'!N39-'10_dash_dL'!N39</f>
        <v>0</v>
      </c>
      <c r="O103" s="9">
        <f>'08_dL_manual'!O39-'10_dash_dL'!O39</f>
        <v>0</v>
      </c>
      <c r="P103" s="9">
        <f>'08_dL_manual'!P39-'10_dash_dL'!P39</f>
        <v>0</v>
      </c>
      <c r="Q103" s="9">
        <f>'08_dL_manual'!Q39-'10_dash_dL'!Q39</f>
        <v>0</v>
      </c>
      <c r="R103" s="9">
        <f>'08_dL_manual'!R39-'10_dash_dL'!R39</f>
        <v>0</v>
      </c>
      <c r="S103" s="9">
        <f>'08_dL_manual'!S39-'10_dash_dL'!S39</f>
        <v>0</v>
      </c>
      <c r="T103" s="9">
        <f>'08_dL_manual'!T39-'10_dash_dL'!T39</f>
        <v>0</v>
      </c>
      <c r="U103" s="9">
        <f>'08_dL_manual'!U39-'10_dash_dL'!U39</f>
        <v>0</v>
      </c>
      <c r="V103" s="9">
        <f>'08_dL_manual'!V39-'10_dash_dL'!V39</f>
        <v>0</v>
      </c>
      <c r="W103" s="9">
        <f>'08_dL_manual'!W39-'10_dash_dL'!W39</f>
        <v>0</v>
      </c>
      <c r="X103" s="9">
        <f>'08_dL_manual'!X39-'10_dash_dL'!X39</f>
        <v>0</v>
      </c>
      <c r="Y103" s="9">
        <f>'08_dL_manual'!Y39-'10_dash_dL'!Y39</f>
        <v>0</v>
      </c>
      <c r="Z103" s="9">
        <f>'08_dL_manual'!Z39-'10_dash_dL'!Z39</f>
        <v>0</v>
      </c>
      <c r="AA103" s="9">
        <f>'08_dL_manual'!AA39-'10_dash_dL'!AA39</f>
        <v>0</v>
      </c>
      <c r="AB103" s="9">
        <f>'08_dL_manual'!AB39-'10_dash_dL'!AB39</f>
        <v>0</v>
      </c>
      <c r="AC103" s="9">
        <f>'08_dL_manual'!AC39-'10_dash_dL'!AC39</f>
        <v>0</v>
      </c>
      <c r="AD103" s="9">
        <f>'08_dL_manual'!AD39-'10_dash_dL'!AD39</f>
        <v>0</v>
      </c>
      <c r="AE103" s="9">
        <f>'08_dL_manual'!AE39-'10_dash_dL'!AE39</f>
        <v>0</v>
      </c>
      <c r="AF103" s="9">
        <f>'08_dL_manual'!AF39-'10_dash_dL'!AF39</f>
        <v>0</v>
      </c>
      <c r="AG103" s="9">
        <f>'08_dL_manual'!AG39-'10_dash_dL'!AG39</f>
        <v>0</v>
      </c>
      <c r="AH103" s="9">
        <f>'08_dL_manual'!AH39-'10_dash_dL'!AH39</f>
        <v>0</v>
      </c>
      <c r="AI103" s="9">
        <f>'08_dL_manual'!AI39-'10_dash_dL'!AI39</f>
        <v>0</v>
      </c>
    </row>
    <row r="104" spans="1:35" x14ac:dyDescent="0.2">
      <c r="A104" s="12" t="s">
        <v>1404</v>
      </c>
      <c r="B104" s="9">
        <f>'08_dL_manual'!B40-'10_dash_dL'!B40</f>
        <v>0</v>
      </c>
      <c r="C104" s="9">
        <f>'08_dL_manual'!C40-'10_dash_dL'!C40</f>
        <v>0</v>
      </c>
      <c r="D104" s="9">
        <f>'08_dL_manual'!D40-'10_dash_dL'!D40</f>
        <v>0</v>
      </c>
      <c r="E104" s="9">
        <f>'08_dL_manual'!E40-'10_dash_dL'!E40</f>
        <v>0</v>
      </c>
      <c r="F104" s="9">
        <f>'08_dL_manual'!F40-'10_dash_dL'!F40</f>
        <v>0</v>
      </c>
      <c r="G104" s="9">
        <f>'08_dL_manual'!G40-'10_dash_dL'!G40</f>
        <v>0</v>
      </c>
      <c r="H104" s="9">
        <f>'08_dL_manual'!H40-'10_dash_dL'!H40</f>
        <v>0</v>
      </c>
      <c r="I104" s="9">
        <f>'08_dL_manual'!I40-'10_dash_dL'!I40</f>
        <v>0</v>
      </c>
      <c r="J104" s="9">
        <f>'08_dL_manual'!J40-'10_dash_dL'!J40</f>
        <v>0</v>
      </c>
      <c r="K104" s="9">
        <f>'08_dL_manual'!K40-'10_dash_dL'!K40</f>
        <v>0</v>
      </c>
      <c r="L104" s="9">
        <f>'08_dL_manual'!L40-'10_dash_dL'!L40</f>
        <v>0</v>
      </c>
      <c r="M104" s="9">
        <f>'08_dL_manual'!M40-'10_dash_dL'!M40</f>
        <v>0</v>
      </c>
      <c r="N104" s="9">
        <f>'08_dL_manual'!N40-'10_dash_dL'!N40</f>
        <v>0</v>
      </c>
      <c r="O104" s="9">
        <f>'08_dL_manual'!O40-'10_dash_dL'!O40</f>
        <v>0</v>
      </c>
      <c r="P104" s="9">
        <f>'08_dL_manual'!P40-'10_dash_dL'!P40</f>
        <v>0</v>
      </c>
      <c r="Q104" s="9">
        <f>'08_dL_manual'!Q40-'10_dash_dL'!Q40</f>
        <v>0</v>
      </c>
      <c r="R104" s="9">
        <f>'08_dL_manual'!R40-'10_dash_dL'!R40</f>
        <v>0</v>
      </c>
      <c r="S104" s="9">
        <f>'08_dL_manual'!S40-'10_dash_dL'!S40</f>
        <v>0</v>
      </c>
      <c r="T104" s="9">
        <f>'08_dL_manual'!T40-'10_dash_dL'!T40</f>
        <v>0</v>
      </c>
      <c r="U104" s="9">
        <f>'08_dL_manual'!U40-'10_dash_dL'!U40</f>
        <v>0</v>
      </c>
      <c r="V104" s="9">
        <f>'08_dL_manual'!V40-'10_dash_dL'!V40</f>
        <v>0</v>
      </c>
      <c r="W104" s="9">
        <f>'08_dL_manual'!W40-'10_dash_dL'!W40</f>
        <v>0</v>
      </c>
      <c r="X104" s="9">
        <f>'08_dL_manual'!X40-'10_dash_dL'!X40</f>
        <v>0</v>
      </c>
      <c r="Y104" s="9">
        <f>'08_dL_manual'!Y40-'10_dash_dL'!Y40</f>
        <v>0</v>
      </c>
      <c r="Z104" s="9">
        <f>'08_dL_manual'!Z40-'10_dash_dL'!Z40</f>
        <v>0</v>
      </c>
      <c r="AA104" s="9">
        <f>'08_dL_manual'!AA40-'10_dash_dL'!AA40</f>
        <v>0</v>
      </c>
      <c r="AB104" s="9">
        <f>'08_dL_manual'!AB40-'10_dash_dL'!AB40</f>
        <v>0</v>
      </c>
      <c r="AC104" s="9">
        <f>'08_dL_manual'!AC40-'10_dash_dL'!AC40</f>
        <v>0</v>
      </c>
      <c r="AD104" s="9">
        <f>'08_dL_manual'!AD40-'10_dash_dL'!AD40</f>
        <v>0</v>
      </c>
      <c r="AE104" s="9">
        <f>'08_dL_manual'!AE40-'10_dash_dL'!AE40</f>
        <v>0</v>
      </c>
      <c r="AF104" s="9">
        <f>'08_dL_manual'!AF40-'10_dash_dL'!AF40</f>
        <v>0</v>
      </c>
      <c r="AG104" s="9">
        <f>'08_dL_manual'!AG40-'10_dash_dL'!AG40</f>
        <v>0</v>
      </c>
      <c r="AH104" s="9">
        <f>'08_dL_manual'!AH40-'10_dash_dL'!AH40</f>
        <v>0</v>
      </c>
      <c r="AI104" s="9">
        <f>'08_dL_manual'!AI40-'10_dash_dL'!AI40</f>
        <v>0</v>
      </c>
    </row>
    <row r="105" spans="1:35" x14ac:dyDescent="0.2">
      <c r="A105" s="12" t="s">
        <v>1405</v>
      </c>
      <c r="B105" s="9">
        <f>'08_dL_manual'!B41-'10_dash_dL'!B41</f>
        <v>0</v>
      </c>
      <c r="C105" s="9">
        <f>'08_dL_manual'!C41-'10_dash_dL'!C41</f>
        <v>0</v>
      </c>
      <c r="D105" s="9">
        <f>'08_dL_manual'!D41-'10_dash_dL'!D41</f>
        <v>0</v>
      </c>
      <c r="E105" s="9">
        <f>'08_dL_manual'!E41-'10_dash_dL'!E41</f>
        <v>0</v>
      </c>
      <c r="F105" s="9">
        <f>'08_dL_manual'!F41-'10_dash_dL'!F41</f>
        <v>0</v>
      </c>
      <c r="G105" s="9">
        <f>'08_dL_manual'!G41-'10_dash_dL'!G41</f>
        <v>0</v>
      </c>
      <c r="H105" s="9">
        <f>'08_dL_manual'!H41-'10_dash_dL'!H41</f>
        <v>0</v>
      </c>
      <c r="I105" s="9">
        <f>'08_dL_manual'!I41-'10_dash_dL'!I41</f>
        <v>0</v>
      </c>
      <c r="J105" s="9">
        <f>'08_dL_manual'!J41-'10_dash_dL'!J41</f>
        <v>0</v>
      </c>
      <c r="K105" s="9">
        <f>'08_dL_manual'!K41-'10_dash_dL'!K41</f>
        <v>0</v>
      </c>
      <c r="L105" s="9">
        <f>'08_dL_manual'!L41-'10_dash_dL'!L41</f>
        <v>0</v>
      </c>
      <c r="M105" s="9">
        <f>'08_dL_manual'!M41-'10_dash_dL'!M41</f>
        <v>0</v>
      </c>
      <c r="N105" s="9">
        <f>'08_dL_manual'!N41-'10_dash_dL'!N41</f>
        <v>0</v>
      </c>
      <c r="O105" s="9">
        <f>'08_dL_manual'!O41-'10_dash_dL'!O41</f>
        <v>0</v>
      </c>
      <c r="P105" s="9">
        <f>'08_dL_manual'!P41-'10_dash_dL'!P41</f>
        <v>0</v>
      </c>
      <c r="Q105" s="9">
        <f>'08_dL_manual'!Q41-'10_dash_dL'!Q41</f>
        <v>0</v>
      </c>
      <c r="R105" s="9">
        <f>'08_dL_manual'!R41-'10_dash_dL'!R41</f>
        <v>0</v>
      </c>
      <c r="S105" s="9">
        <f>'08_dL_manual'!S41-'10_dash_dL'!S41</f>
        <v>0</v>
      </c>
      <c r="T105" s="9">
        <f>'08_dL_manual'!T41-'10_dash_dL'!T41</f>
        <v>0</v>
      </c>
      <c r="U105" s="9">
        <f>'08_dL_manual'!U41-'10_dash_dL'!U41</f>
        <v>0</v>
      </c>
      <c r="V105" s="9">
        <f>'08_dL_manual'!V41-'10_dash_dL'!V41</f>
        <v>0</v>
      </c>
      <c r="W105" s="9">
        <f>'08_dL_manual'!W41-'10_dash_dL'!W41</f>
        <v>0</v>
      </c>
      <c r="X105" s="9">
        <f>'08_dL_manual'!X41-'10_dash_dL'!X41</f>
        <v>0</v>
      </c>
      <c r="Y105" s="9">
        <f>'08_dL_manual'!Y41-'10_dash_dL'!Y41</f>
        <v>0</v>
      </c>
      <c r="Z105" s="9">
        <f>'08_dL_manual'!Z41-'10_dash_dL'!Z41</f>
        <v>0</v>
      </c>
      <c r="AA105" s="9">
        <f>'08_dL_manual'!AA41-'10_dash_dL'!AA41</f>
        <v>0</v>
      </c>
      <c r="AB105" s="9">
        <f>'08_dL_manual'!AB41-'10_dash_dL'!AB41</f>
        <v>0</v>
      </c>
      <c r="AC105" s="9">
        <f>'08_dL_manual'!AC41-'10_dash_dL'!AC41</f>
        <v>0</v>
      </c>
      <c r="AD105" s="9">
        <f>'08_dL_manual'!AD41-'10_dash_dL'!AD41</f>
        <v>0</v>
      </c>
      <c r="AE105" s="9">
        <f>'08_dL_manual'!AE41-'10_dash_dL'!AE41</f>
        <v>0</v>
      </c>
      <c r="AF105" s="9">
        <f>'08_dL_manual'!AF41-'10_dash_dL'!AF41</f>
        <v>0</v>
      </c>
      <c r="AG105" s="9">
        <f>'08_dL_manual'!AG41-'10_dash_dL'!AG41</f>
        <v>0</v>
      </c>
      <c r="AH105" s="9">
        <f>'08_dL_manual'!AH41-'10_dash_dL'!AH41</f>
        <v>0</v>
      </c>
      <c r="AI105" s="9">
        <f>'08_dL_manual'!AI41-'10_dash_dL'!AI41</f>
        <v>0</v>
      </c>
    </row>
    <row r="106" spans="1:35" x14ac:dyDescent="0.2">
      <c r="A106" s="12" t="s">
        <v>1406</v>
      </c>
      <c r="B106" s="9">
        <f>'08_dL_manual'!B42-'10_dash_dL'!B42</f>
        <v>0</v>
      </c>
      <c r="C106" s="9">
        <f>'08_dL_manual'!C42-'10_dash_dL'!C42</f>
        <v>0</v>
      </c>
      <c r="D106" s="9">
        <f>'08_dL_manual'!D42-'10_dash_dL'!D42</f>
        <v>0</v>
      </c>
      <c r="E106" s="9">
        <f>'08_dL_manual'!E42-'10_dash_dL'!E42</f>
        <v>0</v>
      </c>
      <c r="F106" s="9">
        <f>'08_dL_manual'!F42-'10_dash_dL'!F42</f>
        <v>0</v>
      </c>
      <c r="G106" s="9">
        <f>'08_dL_manual'!G42-'10_dash_dL'!G42</f>
        <v>0</v>
      </c>
      <c r="H106" s="9">
        <f>'08_dL_manual'!H42-'10_dash_dL'!H42</f>
        <v>0</v>
      </c>
      <c r="I106" s="9">
        <f>'08_dL_manual'!I42-'10_dash_dL'!I42</f>
        <v>0</v>
      </c>
      <c r="J106" s="9">
        <f>'08_dL_manual'!J42-'10_dash_dL'!J42</f>
        <v>0</v>
      </c>
      <c r="K106" s="9">
        <f>'08_dL_manual'!K42-'10_dash_dL'!K42</f>
        <v>0</v>
      </c>
      <c r="L106" s="9">
        <f>'08_dL_manual'!L42-'10_dash_dL'!L42</f>
        <v>0</v>
      </c>
      <c r="M106" s="9">
        <f>'08_dL_manual'!M42-'10_dash_dL'!M42</f>
        <v>0</v>
      </c>
      <c r="N106" s="9">
        <f>'08_dL_manual'!N42-'10_dash_dL'!N42</f>
        <v>0</v>
      </c>
      <c r="O106" s="9">
        <f>'08_dL_manual'!O42-'10_dash_dL'!O42</f>
        <v>0</v>
      </c>
      <c r="P106" s="9">
        <f>'08_dL_manual'!P42-'10_dash_dL'!P42</f>
        <v>0</v>
      </c>
      <c r="Q106" s="9">
        <f>'08_dL_manual'!Q42-'10_dash_dL'!Q42</f>
        <v>0</v>
      </c>
      <c r="R106" s="9">
        <f>'08_dL_manual'!R42-'10_dash_dL'!R42</f>
        <v>0</v>
      </c>
      <c r="S106" s="9">
        <f>'08_dL_manual'!S42-'10_dash_dL'!S42</f>
        <v>0</v>
      </c>
      <c r="T106" s="9">
        <f>'08_dL_manual'!T42-'10_dash_dL'!T42</f>
        <v>0</v>
      </c>
      <c r="U106" s="9">
        <f>'08_dL_manual'!U42-'10_dash_dL'!U42</f>
        <v>0</v>
      </c>
      <c r="V106" s="9">
        <f>'08_dL_manual'!V42-'10_dash_dL'!V42</f>
        <v>0</v>
      </c>
      <c r="W106" s="9">
        <f>'08_dL_manual'!W42-'10_dash_dL'!W42</f>
        <v>0</v>
      </c>
      <c r="X106" s="9">
        <f>'08_dL_manual'!X42-'10_dash_dL'!X42</f>
        <v>0</v>
      </c>
      <c r="Y106" s="9">
        <f>'08_dL_manual'!Y42-'10_dash_dL'!Y42</f>
        <v>0</v>
      </c>
      <c r="Z106" s="9">
        <f>'08_dL_manual'!Z42-'10_dash_dL'!Z42</f>
        <v>0</v>
      </c>
      <c r="AA106" s="9">
        <f>'08_dL_manual'!AA42-'10_dash_dL'!AA42</f>
        <v>0</v>
      </c>
      <c r="AB106" s="9">
        <f>'08_dL_manual'!AB42-'10_dash_dL'!AB42</f>
        <v>0</v>
      </c>
      <c r="AC106" s="9">
        <f>'08_dL_manual'!AC42-'10_dash_dL'!AC42</f>
        <v>0</v>
      </c>
      <c r="AD106" s="9">
        <f>'08_dL_manual'!AD42-'10_dash_dL'!AD42</f>
        <v>0</v>
      </c>
      <c r="AE106" s="9">
        <f>'08_dL_manual'!AE42-'10_dash_dL'!AE42</f>
        <v>0</v>
      </c>
      <c r="AF106" s="9">
        <f>'08_dL_manual'!AF42-'10_dash_dL'!AF42</f>
        <v>0</v>
      </c>
      <c r="AG106" s="9">
        <f>'08_dL_manual'!AG42-'10_dash_dL'!AG42</f>
        <v>0</v>
      </c>
      <c r="AH106" s="9">
        <f>'08_dL_manual'!AH42-'10_dash_dL'!AH42</f>
        <v>0</v>
      </c>
      <c r="AI106" s="9">
        <f>'08_dL_manual'!AI42-'10_dash_dL'!AI42</f>
        <v>0</v>
      </c>
    </row>
    <row r="107" spans="1:35" x14ac:dyDescent="0.2">
      <c r="A107" s="12" t="s">
        <v>1407</v>
      </c>
      <c r="B107" s="9">
        <f>'08_dL_manual'!B43-'10_dash_dL'!B43</f>
        <v>0</v>
      </c>
      <c r="C107" s="9">
        <f>'08_dL_manual'!C43-'10_dash_dL'!C43</f>
        <v>0</v>
      </c>
      <c r="D107" s="9">
        <f>'08_dL_manual'!D43-'10_dash_dL'!D43</f>
        <v>0</v>
      </c>
      <c r="E107" s="9">
        <f>'08_dL_manual'!E43-'10_dash_dL'!E43</f>
        <v>0</v>
      </c>
      <c r="F107" s="9">
        <f>'08_dL_manual'!F43-'10_dash_dL'!F43</f>
        <v>0</v>
      </c>
      <c r="G107" s="9">
        <f>'08_dL_manual'!G43-'10_dash_dL'!G43</f>
        <v>0</v>
      </c>
      <c r="H107" s="9">
        <f>'08_dL_manual'!H43-'10_dash_dL'!H43</f>
        <v>0</v>
      </c>
      <c r="I107" s="9">
        <f>'08_dL_manual'!I43-'10_dash_dL'!I43</f>
        <v>0</v>
      </c>
      <c r="J107" s="9">
        <f>'08_dL_manual'!J43-'10_dash_dL'!J43</f>
        <v>0</v>
      </c>
      <c r="K107" s="9">
        <f>'08_dL_manual'!K43-'10_dash_dL'!K43</f>
        <v>0</v>
      </c>
      <c r="L107" s="9">
        <f>'08_dL_manual'!L43-'10_dash_dL'!L43</f>
        <v>0</v>
      </c>
      <c r="M107" s="9">
        <f>'08_dL_manual'!M43-'10_dash_dL'!M43</f>
        <v>0</v>
      </c>
      <c r="N107" s="9">
        <f>'08_dL_manual'!N43-'10_dash_dL'!N43</f>
        <v>0</v>
      </c>
      <c r="O107" s="9">
        <f>'08_dL_manual'!O43-'10_dash_dL'!O43</f>
        <v>0</v>
      </c>
      <c r="P107" s="9">
        <f>'08_dL_manual'!P43-'10_dash_dL'!P43</f>
        <v>0</v>
      </c>
      <c r="Q107" s="9">
        <f>'08_dL_manual'!Q43-'10_dash_dL'!Q43</f>
        <v>0</v>
      </c>
      <c r="R107" s="9">
        <f>'08_dL_manual'!R43-'10_dash_dL'!R43</f>
        <v>0</v>
      </c>
      <c r="S107" s="9">
        <f>'08_dL_manual'!S43-'10_dash_dL'!S43</f>
        <v>0</v>
      </c>
      <c r="T107" s="9">
        <f>'08_dL_manual'!T43-'10_dash_dL'!T43</f>
        <v>0</v>
      </c>
      <c r="U107" s="9">
        <f>'08_dL_manual'!U43-'10_dash_dL'!U43</f>
        <v>0</v>
      </c>
      <c r="V107" s="9">
        <f>'08_dL_manual'!V43-'10_dash_dL'!V43</f>
        <v>0</v>
      </c>
      <c r="W107" s="9">
        <f>'08_dL_manual'!W43-'10_dash_dL'!W43</f>
        <v>0</v>
      </c>
      <c r="X107" s="9">
        <f>'08_dL_manual'!X43-'10_dash_dL'!X43</f>
        <v>0</v>
      </c>
      <c r="Y107" s="9">
        <f>'08_dL_manual'!Y43-'10_dash_dL'!Y43</f>
        <v>0</v>
      </c>
      <c r="Z107" s="9">
        <f>'08_dL_manual'!Z43-'10_dash_dL'!Z43</f>
        <v>0</v>
      </c>
      <c r="AA107" s="9">
        <f>'08_dL_manual'!AA43-'10_dash_dL'!AA43</f>
        <v>0</v>
      </c>
      <c r="AB107" s="9">
        <f>'08_dL_manual'!AB43-'10_dash_dL'!AB43</f>
        <v>0</v>
      </c>
      <c r="AC107" s="9">
        <f>'08_dL_manual'!AC43-'10_dash_dL'!AC43</f>
        <v>0</v>
      </c>
      <c r="AD107" s="9">
        <f>'08_dL_manual'!AD43-'10_dash_dL'!AD43</f>
        <v>0</v>
      </c>
      <c r="AE107" s="9">
        <f>'08_dL_manual'!AE43-'10_dash_dL'!AE43</f>
        <v>0</v>
      </c>
      <c r="AF107" s="9">
        <f>'08_dL_manual'!AF43-'10_dash_dL'!AF43</f>
        <v>0</v>
      </c>
      <c r="AG107" s="9">
        <f>'08_dL_manual'!AG43-'10_dash_dL'!AG43</f>
        <v>0</v>
      </c>
      <c r="AH107" s="9">
        <f>'08_dL_manual'!AH43-'10_dash_dL'!AH43</f>
        <v>0</v>
      </c>
      <c r="AI107" s="9">
        <f>'08_dL_manual'!AI43-'10_dash_dL'!AI43</f>
        <v>0</v>
      </c>
    </row>
    <row r="108" spans="1:35" x14ac:dyDescent="0.2">
      <c r="A108" s="12" t="s">
        <v>1408</v>
      </c>
      <c r="B108" s="9">
        <f>'08_dL_manual'!B44-'10_dash_dL'!B44</f>
        <v>0</v>
      </c>
      <c r="C108" s="9">
        <f>'08_dL_manual'!C44-'10_dash_dL'!C44</f>
        <v>0</v>
      </c>
      <c r="D108" s="9">
        <f>'08_dL_manual'!D44-'10_dash_dL'!D44</f>
        <v>0</v>
      </c>
      <c r="E108" s="9">
        <f>'08_dL_manual'!E44-'10_dash_dL'!E44</f>
        <v>0</v>
      </c>
      <c r="F108" s="9">
        <f>'08_dL_manual'!F44-'10_dash_dL'!F44</f>
        <v>0</v>
      </c>
      <c r="G108" s="9">
        <f>'08_dL_manual'!G44-'10_dash_dL'!G44</f>
        <v>0</v>
      </c>
      <c r="H108" s="9">
        <f>'08_dL_manual'!H44-'10_dash_dL'!H44</f>
        <v>0</v>
      </c>
      <c r="I108" s="9">
        <f>'08_dL_manual'!I44-'10_dash_dL'!I44</f>
        <v>0</v>
      </c>
      <c r="J108" s="9">
        <f>'08_dL_manual'!J44-'10_dash_dL'!J44</f>
        <v>0</v>
      </c>
      <c r="K108" s="9">
        <f>'08_dL_manual'!K44-'10_dash_dL'!K44</f>
        <v>0</v>
      </c>
      <c r="L108" s="9">
        <f>'08_dL_manual'!L44-'10_dash_dL'!L44</f>
        <v>0</v>
      </c>
      <c r="M108" s="9">
        <f>'08_dL_manual'!M44-'10_dash_dL'!M44</f>
        <v>0</v>
      </c>
      <c r="N108" s="9">
        <f>'08_dL_manual'!N44-'10_dash_dL'!N44</f>
        <v>0</v>
      </c>
      <c r="O108" s="9">
        <f>'08_dL_manual'!O44-'10_dash_dL'!O44</f>
        <v>0</v>
      </c>
      <c r="P108" s="9">
        <f>'08_dL_manual'!P44-'10_dash_dL'!P44</f>
        <v>0</v>
      </c>
      <c r="Q108" s="9">
        <f>'08_dL_manual'!Q44-'10_dash_dL'!Q44</f>
        <v>0</v>
      </c>
      <c r="R108" s="9">
        <f>'08_dL_manual'!R44-'10_dash_dL'!R44</f>
        <v>0</v>
      </c>
      <c r="S108" s="9">
        <f>'08_dL_manual'!S44-'10_dash_dL'!S44</f>
        <v>0</v>
      </c>
      <c r="T108" s="9">
        <f>'08_dL_manual'!T44-'10_dash_dL'!T44</f>
        <v>0</v>
      </c>
      <c r="U108" s="9">
        <f>'08_dL_manual'!U44-'10_dash_dL'!U44</f>
        <v>0</v>
      </c>
      <c r="V108" s="9">
        <f>'08_dL_manual'!V44-'10_dash_dL'!V44</f>
        <v>0</v>
      </c>
      <c r="W108" s="9">
        <f>'08_dL_manual'!W44-'10_dash_dL'!W44</f>
        <v>0</v>
      </c>
      <c r="X108" s="9">
        <f>'08_dL_manual'!X44-'10_dash_dL'!X44</f>
        <v>0</v>
      </c>
      <c r="Y108" s="9">
        <f>'08_dL_manual'!Y44-'10_dash_dL'!Y44</f>
        <v>0</v>
      </c>
      <c r="Z108" s="9">
        <f>'08_dL_manual'!Z44-'10_dash_dL'!Z44</f>
        <v>0</v>
      </c>
      <c r="AA108" s="9">
        <f>'08_dL_manual'!AA44-'10_dash_dL'!AA44</f>
        <v>0</v>
      </c>
      <c r="AB108" s="9">
        <f>'08_dL_manual'!AB44-'10_dash_dL'!AB44</f>
        <v>0</v>
      </c>
      <c r="AC108" s="9">
        <f>'08_dL_manual'!AC44-'10_dash_dL'!AC44</f>
        <v>0</v>
      </c>
      <c r="AD108" s="9">
        <f>'08_dL_manual'!AD44-'10_dash_dL'!AD44</f>
        <v>-1.1102230246251565E-16</v>
      </c>
      <c r="AE108" s="9">
        <f>'08_dL_manual'!AE44-'10_dash_dL'!AE44</f>
        <v>0</v>
      </c>
      <c r="AF108" s="9">
        <f>'08_dL_manual'!AF44-'10_dash_dL'!AF44</f>
        <v>0</v>
      </c>
      <c r="AG108" s="9">
        <f>'08_dL_manual'!AG44-'10_dash_dL'!AG44</f>
        <v>0</v>
      </c>
      <c r="AH108" s="9">
        <f>'08_dL_manual'!AH44-'10_dash_dL'!AH44</f>
        <v>0</v>
      </c>
      <c r="AI108" s="9">
        <f>'08_dL_manual'!AI44-'10_dash_dL'!AI44</f>
        <v>0</v>
      </c>
    </row>
    <row r="109" spans="1:35" x14ac:dyDescent="0.2">
      <c r="A109" s="12" t="s">
        <v>1409</v>
      </c>
      <c r="B109" s="9">
        <f>'08_dL_manual'!B45-'10_dash_dL'!B45</f>
        <v>0</v>
      </c>
      <c r="C109" s="9">
        <f>'08_dL_manual'!C45-'10_dash_dL'!C45</f>
        <v>0</v>
      </c>
      <c r="D109" s="9">
        <f>'08_dL_manual'!D45-'10_dash_dL'!D45</f>
        <v>0</v>
      </c>
      <c r="E109" s="9">
        <f>'08_dL_manual'!E45-'10_dash_dL'!E45</f>
        <v>0</v>
      </c>
      <c r="F109" s="9">
        <f>'08_dL_manual'!F45-'10_dash_dL'!F45</f>
        <v>0</v>
      </c>
      <c r="G109" s="9">
        <f>'08_dL_manual'!G45-'10_dash_dL'!G45</f>
        <v>0</v>
      </c>
      <c r="H109" s="9">
        <f>'08_dL_manual'!H45-'10_dash_dL'!H45</f>
        <v>0</v>
      </c>
      <c r="I109" s="9">
        <f>'08_dL_manual'!I45-'10_dash_dL'!I45</f>
        <v>0</v>
      </c>
      <c r="J109" s="9">
        <f>'08_dL_manual'!J45-'10_dash_dL'!J45</f>
        <v>0</v>
      </c>
      <c r="K109" s="9">
        <f>'08_dL_manual'!K45-'10_dash_dL'!K45</f>
        <v>0</v>
      </c>
      <c r="L109" s="9">
        <f>'08_dL_manual'!L45-'10_dash_dL'!L45</f>
        <v>0</v>
      </c>
      <c r="M109" s="9">
        <f>'08_dL_manual'!M45-'10_dash_dL'!M45</f>
        <v>0</v>
      </c>
      <c r="N109" s="9">
        <f>'08_dL_manual'!N45-'10_dash_dL'!N45</f>
        <v>0</v>
      </c>
      <c r="O109" s="9">
        <f>'08_dL_manual'!O45-'10_dash_dL'!O45</f>
        <v>0</v>
      </c>
      <c r="P109" s="9">
        <f>'08_dL_manual'!P45-'10_dash_dL'!P45</f>
        <v>0</v>
      </c>
      <c r="Q109" s="9">
        <f>'08_dL_manual'!Q45-'10_dash_dL'!Q45</f>
        <v>0</v>
      </c>
      <c r="R109" s="9">
        <f>'08_dL_manual'!R45-'10_dash_dL'!R45</f>
        <v>0</v>
      </c>
      <c r="S109" s="9">
        <f>'08_dL_manual'!S45-'10_dash_dL'!S45</f>
        <v>0</v>
      </c>
      <c r="T109" s="9">
        <f>'08_dL_manual'!T45-'10_dash_dL'!T45</f>
        <v>0</v>
      </c>
      <c r="U109" s="9">
        <f>'08_dL_manual'!U45-'10_dash_dL'!U45</f>
        <v>0</v>
      </c>
      <c r="V109" s="9">
        <f>'08_dL_manual'!V45-'10_dash_dL'!V45</f>
        <v>0</v>
      </c>
      <c r="W109" s="9">
        <f>'08_dL_manual'!W45-'10_dash_dL'!W45</f>
        <v>0</v>
      </c>
      <c r="X109" s="9">
        <f>'08_dL_manual'!X45-'10_dash_dL'!X45</f>
        <v>0</v>
      </c>
      <c r="Y109" s="9">
        <f>'08_dL_manual'!Y45-'10_dash_dL'!Y45</f>
        <v>0</v>
      </c>
      <c r="Z109" s="9">
        <f>'08_dL_manual'!Z45-'10_dash_dL'!Z45</f>
        <v>0</v>
      </c>
      <c r="AA109" s="9">
        <f>'08_dL_manual'!AA45-'10_dash_dL'!AA45</f>
        <v>0</v>
      </c>
      <c r="AB109" s="9">
        <f>'08_dL_manual'!AB45-'10_dash_dL'!AB45</f>
        <v>0</v>
      </c>
      <c r="AC109" s="9">
        <f>'08_dL_manual'!AC45-'10_dash_dL'!AC45</f>
        <v>0</v>
      </c>
      <c r="AD109" s="9">
        <f>'08_dL_manual'!AD45-'10_dash_dL'!AD45</f>
        <v>0</v>
      </c>
      <c r="AE109" s="9">
        <f>'08_dL_manual'!AE45-'10_dash_dL'!AE45</f>
        <v>0</v>
      </c>
      <c r="AF109" s="9">
        <f>'08_dL_manual'!AF45-'10_dash_dL'!AF45</f>
        <v>0</v>
      </c>
      <c r="AG109" s="9">
        <f>'08_dL_manual'!AG45-'10_dash_dL'!AG45</f>
        <v>0</v>
      </c>
      <c r="AH109" s="9">
        <f>'08_dL_manual'!AH45-'10_dash_dL'!AH45</f>
        <v>0</v>
      </c>
      <c r="AI109" s="9">
        <f>'08_dL_manual'!AI45-'10_dash_dL'!AI45</f>
        <v>0</v>
      </c>
    </row>
    <row r="110" spans="1:35" x14ac:dyDescent="0.2">
      <c r="A110" s="12" t="s">
        <v>1410</v>
      </c>
      <c r="B110" s="9">
        <f>'08_dL_manual'!B46-'10_dash_dL'!B46</f>
        <v>0</v>
      </c>
      <c r="C110" s="9">
        <f>'08_dL_manual'!C46-'10_dash_dL'!C46</f>
        <v>0</v>
      </c>
      <c r="D110" s="9">
        <f>'08_dL_manual'!D46-'10_dash_dL'!D46</f>
        <v>0</v>
      </c>
      <c r="E110" s="9">
        <f>'08_dL_manual'!E46-'10_dash_dL'!E46</f>
        <v>0</v>
      </c>
      <c r="F110" s="9">
        <f>'08_dL_manual'!F46-'10_dash_dL'!F46</f>
        <v>0</v>
      </c>
      <c r="G110" s="9">
        <f>'08_dL_manual'!G46-'10_dash_dL'!G46</f>
        <v>0</v>
      </c>
      <c r="H110" s="9">
        <f>'08_dL_manual'!H46-'10_dash_dL'!H46</f>
        <v>0</v>
      </c>
      <c r="I110" s="9">
        <f>'08_dL_manual'!I46-'10_dash_dL'!I46</f>
        <v>0</v>
      </c>
      <c r="J110" s="9">
        <f>'08_dL_manual'!J46-'10_dash_dL'!J46</f>
        <v>0</v>
      </c>
      <c r="K110" s="9">
        <f>'08_dL_manual'!K46-'10_dash_dL'!K46</f>
        <v>0</v>
      </c>
      <c r="L110" s="9">
        <f>'08_dL_manual'!L46-'10_dash_dL'!L46</f>
        <v>0</v>
      </c>
      <c r="M110" s="9">
        <f>'08_dL_manual'!M46-'10_dash_dL'!M46</f>
        <v>0</v>
      </c>
      <c r="N110" s="9">
        <f>'08_dL_manual'!N46-'10_dash_dL'!N46</f>
        <v>0</v>
      </c>
      <c r="O110" s="9">
        <f>'08_dL_manual'!O46-'10_dash_dL'!O46</f>
        <v>0</v>
      </c>
      <c r="P110" s="9">
        <f>'08_dL_manual'!P46-'10_dash_dL'!P46</f>
        <v>0</v>
      </c>
      <c r="Q110" s="9">
        <f>'08_dL_manual'!Q46-'10_dash_dL'!Q46</f>
        <v>0</v>
      </c>
      <c r="R110" s="9">
        <f>'08_dL_manual'!R46-'10_dash_dL'!R46</f>
        <v>0</v>
      </c>
      <c r="S110" s="9">
        <f>'08_dL_manual'!S46-'10_dash_dL'!S46</f>
        <v>0</v>
      </c>
      <c r="T110" s="9">
        <f>'08_dL_manual'!T46-'10_dash_dL'!T46</f>
        <v>0</v>
      </c>
      <c r="U110" s="9">
        <f>'08_dL_manual'!U46-'10_dash_dL'!U46</f>
        <v>0</v>
      </c>
      <c r="V110" s="9">
        <f>'08_dL_manual'!V46-'10_dash_dL'!V46</f>
        <v>0</v>
      </c>
      <c r="W110" s="9">
        <f>'08_dL_manual'!W46-'10_dash_dL'!W46</f>
        <v>0</v>
      </c>
      <c r="X110" s="9">
        <f>'08_dL_manual'!X46-'10_dash_dL'!X46</f>
        <v>0</v>
      </c>
      <c r="Y110" s="9">
        <f>'08_dL_manual'!Y46-'10_dash_dL'!Y46</f>
        <v>0</v>
      </c>
      <c r="Z110" s="9">
        <f>'08_dL_manual'!Z46-'10_dash_dL'!Z46</f>
        <v>0</v>
      </c>
      <c r="AA110" s="9">
        <f>'08_dL_manual'!AA46-'10_dash_dL'!AA46</f>
        <v>0</v>
      </c>
      <c r="AB110" s="9">
        <f>'08_dL_manual'!AB46-'10_dash_dL'!AB46</f>
        <v>0</v>
      </c>
      <c r="AC110" s="9">
        <f>'08_dL_manual'!AC46-'10_dash_dL'!AC46</f>
        <v>0</v>
      </c>
      <c r="AD110" s="9">
        <f>'08_dL_manual'!AD46-'10_dash_dL'!AD46</f>
        <v>0</v>
      </c>
      <c r="AE110" s="9">
        <f>'08_dL_manual'!AE46-'10_dash_dL'!AE46</f>
        <v>0</v>
      </c>
      <c r="AF110" s="9">
        <f>'08_dL_manual'!AF46-'10_dash_dL'!AF46</f>
        <v>0</v>
      </c>
      <c r="AG110" s="9">
        <f>'08_dL_manual'!AG46-'10_dash_dL'!AG46</f>
        <v>0</v>
      </c>
      <c r="AH110" s="9">
        <f>'08_dL_manual'!AH46-'10_dash_dL'!AH46</f>
        <v>0</v>
      </c>
      <c r="AI110" s="9">
        <f>'08_dL_manual'!AI46-'10_dash_dL'!AI46</f>
        <v>0</v>
      </c>
    </row>
    <row r="111" spans="1:35" x14ac:dyDescent="0.2">
      <c r="A111" s="12" t="s">
        <v>1411</v>
      </c>
      <c r="B111" s="9">
        <f>'08_dL_manual'!B47-'10_dash_dL'!B47</f>
        <v>0</v>
      </c>
      <c r="C111" s="9">
        <f>'08_dL_manual'!C47-'10_dash_dL'!C47</f>
        <v>0</v>
      </c>
      <c r="D111" s="9">
        <f>'08_dL_manual'!D47-'10_dash_dL'!D47</f>
        <v>0</v>
      </c>
      <c r="E111" s="9">
        <f>'08_dL_manual'!E47-'10_dash_dL'!E47</f>
        <v>0</v>
      </c>
      <c r="F111" s="9">
        <f>'08_dL_manual'!F47-'10_dash_dL'!F47</f>
        <v>0</v>
      </c>
      <c r="G111" s="9">
        <f>'08_dL_manual'!G47-'10_dash_dL'!G47</f>
        <v>0</v>
      </c>
      <c r="H111" s="9">
        <f>'08_dL_manual'!H47-'10_dash_dL'!H47</f>
        <v>0</v>
      </c>
      <c r="I111" s="9">
        <f>'08_dL_manual'!I47-'10_dash_dL'!I47</f>
        <v>0</v>
      </c>
      <c r="J111" s="9">
        <f>'08_dL_manual'!J47-'10_dash_dL'!J47</f>
        <v>0</v>
      </c>
      <c r="K111" s="9">
        <f>'08_dL_manual'!K47-'10_dash_dL'!K47</f>
        <v>0</v>
      </c>
      <c r="L111" s="9">
        <f>'08_dL_manual'!L47-'10_dash_dL'!L47</f>
        <v>0</v>
      </c>
      <c r="M111" s="9">
        <f>'08_dL_manual'!M47-'10_dash_dL'!M47</f>
        <v>0</v>
      </c>
      <c r="N111" s="9">
        <f>'08_dL_manual'!N47-'10_dash_dL'!N47</f>
        <v>0</v>
      </c>
      <c r="O111" s="9">
        <f>'08_dL_manual'!O47-'10_dash_dL'!O47</f>
        <v>0</v>
      </c>
      <c r="P111" s="9">
        <f>'08_dL_manual'!P47-'10_dash_dL'!P47</f>
        <v>0</v>
      </c>
      <c r="Q111" s="9">
        <f>'08_dL_manual'!Q47-'10_dash_dL'!Q47</f>
        <v>0</v>
      </c>
      <c r="R111" s="9">
        <f>'08_dL_manual'!R47-'10_dash_dL'!R47</f>
        <v>0</v>
      </c>
      <c r="S111" s="9">
        <f>'08_dL_manual'!S47-'10_dash_dL'!S47</f>
        <v>0</v>
      </c>
      <c r="T111" s="9">
        <f>'08_dL_manual'!T47-'10_dash_dL'!T47</f>
        <v>0</v>
      </c>
      <c r="U111" s="9">
        <f>'08_dL_manual'!U47-'10_dash_dL'!U47</f>
        <v>0</v>
      </c>
      <c r="V111" s="9">
        <f>'08_dL_manual'!V47-'10_dash_dL'!V47</f>
        <v>0</v>
      </c>
      <c r="W111" s="9">
        <f>'08_dL_manual'!W47-'10_dash_dL'!W47</f>
        <v>0</v>
      </c>
      <c r="X111" s="9">
        <f>'08_dL_manual'!X47-'10_dash_dL'!X47</f>
        <v>0</v>
      </c>
      <c r="Y111" s="9">
        <f>'08_dL_manual'!Y47-'10_dash_dL'!Y47</f>
        <v>0</v>
      </c>
      <c r="Z111" s="9">
        <f>'08_dL_manual'!Z47-'10_dash_dL'!Z47</f>
        <v>0</v>
      </c>
      <c r="AA111" s="9">
        <f>'08_dL_manual'!AA47-'10_dash_dL'!AA47</f>
        <v>0</v>
      </c>
      <c r="AB111" s="9">
        <f>'08_dL_manual'!AB47-'10_dash_dL'!AB47</f>
        <v>0</v>
      </c>
      <c r="AC111" s="9">
        <f>'08_dL_manual'!AC47-'10_dash_dL'!AC47</f>
        <v>0</v>
      </c>
      <c r="AD111" s="9">
        <f>'08_dL_manual'!AD47-'10_dash_dL'!AD47</f>
        <v>0</v>
      </c>
      <c r="AE111" s="9">
        <f>'08_dL_manual'!AE47-'10_dash_dL'!AE47</f>
        <v>0</v>
      </c>
      <c r="AF111" s="9">
        <f>'08_dL_manual'!AF47-'10_dash_dL'!AF47</f>
        <v>0</v>
      </c>
      <c r="AG111" s="9">
        <f>'08_dL_manual'!AG47-'10_dash_dL'!AG47</f>
        <v>0</v>
      </c>
      <c r="AH111" s="9">
        <f>'08_dL_manual'!AH47-'10_dash_dL'!AH47</f>
        <v>0</v>
      </c>
      <c r="AI111" s="9">
        <f>'08_dL_manual'!AI47-'10_dash_dL'!AI47</f>
        <v>0</v>
      </c>
    </row>
    <row r="112" spans="1:35" x14ac:dyDescent="0.2">
      <c r="A112" s="12" t="s">
        <v>1412</v>
      </c>
      <c r="B112" s="9">
        <f>'08_dL_manual'!B48-'10_dash_dL'!B48</f>
        <v>0</v>
      </c>
      <c r="C112" s="9">
        <f>'08_dL_manual'!C48-'10_dash_dL'!C48</f>
        <v>0</v>
      </c>
      <c r="D112" s="9">
        <f>'08_dL_manual'!D48-'10_dash_dL'!D48</f>
        <v>0</v>
      </c>
      <c r="E112" s="9">
        <f>'08_dL_manual'!E48-'10_dash_dL'!E48</f>
        <v>0</v>
      </c>
      <c r="F112" s="9">
        <f>'08_dL_manual'!F48-'10_dash_dL'!F48</f>
        <v>0</v>
      </c>
      <c r="G112" s="9">
        <f>'08_dL_manual'!G48-'10_dash_dL'!G48</f>
        <v>0</v>
      </c>
      <c r="H112" s="9">
        <f>'08_dL_manual'!H48-'10_dash_dL'!H48</f>
        <v>0</v>
      </c>
      <c r="I112" s="9">
        <f>'08_dL_manual'!I48-'10_dash_dL'!I48</f>
        <v>0</v>
      </c>
      <c r="J112" s="9">
        <f>'08_dL_manual'!J48-'10_dash_dL'!J48</f>
        <v>0</v>
      </c>
      <c r="K112" s="9">
        <f>'08_dL_manual'!K48-'10_dash_dL'!K48</f>
        <v>0</v>
      </c>
      <c r="L112" s="9">
        <f>'08_dL_manual'!L48-'10_dash_dL'!L48</f>
        <v>0</v>
      </c>
      <c r="M112" s="9">
        <f>'08_dL_manual'!M48-'10_dash_dL'!M48</f>
        <v>0</v>
      </c>
      <c r="N112" s="9">
        <f>'08_dL_manual'!N48-'10_dash_dL'!N48</f>
        <v>0</v>
      </c>
      <c r="O112" s="9">
        <f>'08_dL_manual'!O48-'10_dash_dL'!O48</f>
        <v>0</v>
      </c>
      <c r="P112" s="9">
        <f>'08_dL_manual'!P48-'10_dash_dL'!P48</f>
        <v>0</v>
      </c>
      <c r="Q112" s="9">
        <f>'08_dL_manual'!Q48-'10_dash_dL'!Q48</f>
        <v>0</v>
      </c>
      <c r="R112" s="9">
        <f>'08_dL_manual'!R48-'10_dash_dL'!R48</f>
        <v>0</v>
      </c>
      <c r="S112" s="9">
        <f>'08_dL_manual'!S48-'10_dash_dL'!S48</f>
        <v>0</v>
      </c>
      <c r="T112" s="9">
        <f>'08_dL_manual'!T48-'10_dash_dL'!T48</f>
        <v>0</v>
      </c>
      <c r="U112" s="9">
        <f>'08_dL_manual'!U48-'10_dash_dL'!U48</f>
        <v>0</v>
      </c>
      <c r="V112" s="9">
        <f>'08_dL_manual'!V48-'10_dash_dL'!V48</f>
        <v>0</v>
      </c>
      <c r="W112" s="9">
        <f>'08_dL_manual'!W48-'10_dash_dL'!W48</f>
        <v>0</v>
      </c>
      <c r="X112" s="9">
        <f>'08_dL_manual'!X48-'10_dash_dL'!X48</f>
        <v>0</v>
      </c>
      <c r="Y112" s="9">
        <f>'08_dL_manual'!Y48-'10_dash_dL'!Y48</f>
        <v>0</v>
      </c>
      <c r="Z112" s="9">
        <f>'08_dL_manual'!Z48-'10_dash_dL'!Z48</f>
        <v>0</v>
      </c>
      <c r="AA112" s="9">
        <f>'08_dL_manual'!AA48-'10_dash_dL'!AA48</f>
        <v>0</v>
      </c>
      <c r="AB112" s="9">
        <f>'08_dL_manual'!AB48-'10_dash_dL'!AB48</f>
        <v>0</v>
      </c>
      <c r="AC112" s="9">
        <f>'08_dL_manual'!AC48-'10_dash_dL'!AC48</f>
        <v>0</v>
      </c>
      <c r="AD112" s="9">
        <f>'08_dL_manual'!AD48-'10_dash_dL'!AD48</f>
        <v>0</v>
      </c>
      <c r="AE112" s="9">
        <f>'08_dL_manual'!AE48-'10_dash_dL'!AE48</f>
        <v>0</v>
      </c>
      <c r="AF112" s="9">
        <f>'08_dL_manual'!AF48-'10_dash_dL'!AF48</f>
        <v>0</v>
      </c>
      <c r="AG112" s="9">
        <f>'08_dL_manual'!AG48-'10_dash_dL'!AG48</f>
        <v>0</v>
      </c>
      <c r="AH112" s="9">
        <f>'08_dL_manual'!AH48-'10_dash_dL'!AH48</f>
        <v>0</v>
      </c>
      <c r="AI112" s="9">
        <f>'08_dL_manual'!AI48-'10_dash_dL'!AI48</f>
        <v>0</v>
      </c>
    </row>
    <row r="113" spans="1:35" x14ac:dyDescent="0.2">
      <c r="A113" s="12" t="s">
        <v>1413</v>
      </c>
      <c r="B113" s="9">
        <f>'08_dL_manual'!B49-'10_dash_dL'!B49</f>
        <v>0</v>
      </c>
      <c r="C113" s="9">
        <f>'08_dL_manual'!C49-'10_dash_dL'!C49</f>
        <v>0</v>
      </c>
      <c r="D113" s="9">
        <f>'08_dL_manual'!D49-'10_dash_dL'!D49</f>
        <v>0</v>
      </c>
      <c r="E113" s="9">
        <f>'08_dL_manual'!E49-'10_dash_dL'!E49</f>
        <v>0</v>
      </c>
      <c r="F113" s="9">
        <f>'08_dL_manual'!F49-'10_dash_dL'!F49</f>
        <v>0</v>
      </c>
      <c r="G113" s="9">
        <f>'08_dL_manual'!G49-'10_dash_dL'!G49</f>
        <v>0</v>
      </c>
      <c r="H113" s="9">
        <f>'08_dL_manual'!H49-'10_dash_dL'!H49</f>
        <v>0</v>
      </c>
      <c r="I113" s="9">
        <f>'08_dL_manual'!I49-'10_dash_dL'!I49</f>
        <v>0</v>
      </c>
      <c r="J113" s="9">
        <f>'08_dL_manual'!J49-'10_dash_dL'!J49</f>
        <v>0</v>
      </c>
      <c r="K113" s="9">
        <f>'08_dL_manual'!K49-'10_dash_dL'!K49</f>
        <v>0</v>
      </c>
      <c r="L113" s="9">
        <f>'08_dL_manual'!L49-'10_dash_dL'!L49</f>
        <v>0</v>
      </c>
      <c r="M113" s="9">
        <f>'08_dL_manual'!M49-'10_dash_dL'!M49</f>
        <v>0</v>
      </c>
      <c r="N113" s="9">
        <f>'08_dL_manual'!N49-'10_dash_dL'!N49</f>
        <v>0</v>
      </c>
      <c r="O113" s="9">
        <f>'08_dL_manual'!O49-'10_dash_dL'!O49</f>
        <v>0</v>
      </c>
      <c r="P113" s="9">
        <f>'08_dL_manual'!P49-'10_dash_dL'!P49</f>
        <v>0</v>
      </c>
      <c r="Q113" s="9">
        <f>'08_dL_manual'!Q49-'10_dash_dL'!Q49</f>
        <v>0</v>
      </c>
      <c r="R113" s="9">
        <f>'08_dL_manual'!R49-'10_dash_dL'!R49</f>
        <v>0</v>
      </c>
      <c r="S113" s="9">
        <f>'08_dL_manual'!S49-'10_dash_dL'!S49</f>
        <v>0</v>
      </c>
      <c r="T113" s="9">
        <f>'08_dL_manual'!T49-'10_dash_dL'!T49</f>
        <v>0</v>
      </c>
      <c r="U113" s="9">
        <f>'08_dL_manual'!U49-'10_dash_dL'!U49</f>
        <v>0</v>
      </c>
      <c r="V113" s="9">
        <f>'08_dL_manual'!V49-'10_dash_dL'!V49</f>
        <v>0</v>
      </c>
      <c r="W113" s="9">
        <f>'08_dL_manual'!W49-'10_dash_dL'!W49</f>
        <v>0</v>
      </c>
      <c r="X113" s="9">
        <f>'08_dL_manual'!X49-'10_dash_dL'!X49</f>
        <v>0</v>
      </c>
      <c r="Y113" s="9">
        <f>'08_dL_manual'!Y49-'10_dash_dL'!Y49</f>
        <v>0</v>
      </c>
      <c r="Z113" s="9">
        <f>'08_dL_manual'!Z49-'10_dash_dL'!Z49</f>
        <v>0</v>
      </c>
      <c r="AA113" s="9">
        <f>'08_dL_manual'!AA49-'10_dash_dL'!AA49</f>
        <v>0</v>
      </c>
      <c r="AB113" s="9">
        <f>'08_dL_manual'!AB49-'10_dash_dL'!AB49</f>
        <v>0</v>
      </c>
      <c r="AC113" s="9">
        <f>'08_dL_manual'!AC49-'10_dash_dL'!AC49</f>
        <v>0</v>
      </c>
      <c r="AD113" s="9">
        <f>'08_dL_manual'!AD49-'10_dash_dL'!AD49</f>
        <v>0</v>
      </c>
      <c r="AE113" s="9">
        <f>'08_dL_manual'!AE49-'10_dash_dL'!AE49</f>
        <v>0</v>
      </c>
      <c r="AF113" s="9">
        <f>'08_dL_manual'!AF49-'10_dash_dL'!AF49</f>
        <v>0</v>
      </c>
      <c r="AG113" s="9">
        <f>'08_dL_manual'!AG49-'10_dash_dL'!AG49</f>
        <v>0</v>
      </c>
      <c r="AH113" s="9">
        <f>'08_dL_manual'!AH49-'10_dash_dL'!AH49</f>
        <v>0</v>
      </c>
      <c r="AI113" s="9">
        <f>'08_dL_manual'!AI49-'10_dash_dL'!AI49</f>
        <v>0</v>
      </c>
    </row>
    <row r="114" spans="1:35" x14ac:dyDescent="0.2">
      <c r="A114" s="12" t="s">
        <v>1414</v>
      </c>
      <c r="B114" s="9">
        <f>'08_dL_manual'!B50-'10_dash_dL'!B50</f>
        <v>0</v>
      </c>
      <c r="C114" s="9">
        <f>'08_dL_manual'!C50-'10_dash_dL'!C50</f>
        <v>0</v>
      </c>
      <c r="D114" s="9">
        <f>'08_dL_manual'!D50-'10_dash_dL'!D50</f>
        <v>0</v>
      </c>
      <c r="E114" s="9">
        <f>'08_dL_manual'!E50-'10_dash_dL'!E50</f>
        <v>0</v>
      </c>
      <c r="F114" s="9">
        <f>'08_dL_manual'!F50-'10_dash_dL'!F50</f>
        <v>0</v>
      </c>
      <c r="G114" s="9">
        <f>'08_dL_manual'!G50-'10_dash_dL'!G50</f>
        <v>0</v>
      </c>
      <c r="H114" s="9">
        <f>'08_dL_manual'!H50-'10_dash_dL'!H50</f>
        <v>0</v>
      </c>
      <c r="I114" s="9">
        <f>'08_dL_manual'!I50-'10_dash_dL'!I50</f>
        <v>0</v>
      </c>
      <c r="J114" s="9">
        <f>'08_dL_manual'!J50-'10_dash_dL'!J50</f>
        <v>0</v>
      </c>
      <c r="K114" s="9">
        <f>'08_dL_manual'!K50-'10_dash_dL'!K50</f>
        <v>0</v>
      </c>
      <c r="L114" s="9">
        <f>'08_dL_manual'!L50-'10_dash_dL'!L50</f>
        <v>0</v>
      </c>
      <c r="M114" s="9">
        <f>'08_dL_manual'!M50-'10_dash_dL'!M50</f>
        <v>0</v>
      </c>
      <c r="N114" s="9">
        <f>'08_dL_manual'!N50-'10_dash_dL'!N50</f>
        <v>0</v>
      </c>
      <c r="O114" s="9">
        <f>'08_dL_manual'!O50-'10_dash_dL'!O50</f>
        <v>0</v>
      </c>
      <c r="P114" s="9">
        <f>'08_dL_manual'!P50-'10_dash_dL'!P50</f>
        <v>0</v>
      </c>
      <c r="Q114" s="9">
        <f>'08_dL_manual'!Q50-'10_dash_dL'!Q50</f>
        <v>0</v>
      </c>
      <c r="R114" s="9">
        <f>'08_dL_manual'!R50-'10_dash_dL'!R50</f>
        <v>0</v>
      </c>
      <c r="S114" s="9">
        <f>'08_dL_manual'!S50-'10_dash_dL'!S50</f>
        <v>0</v>
      </c>
      <c r="T114" s="9">
        <f>'08_dL_manual'!T50-'10_dash_dL'!T50</f>
        <v>0</v>
      </c>
      <c r="U114" s="9">
        <f>'08_dL_manual'!U50-'10_dash_dL'!U50</f>
        <v>0</v>
      </c>
      <c r="V114" s="9">
        <f>'08_dL_manual'!V50-'10_dash_dL'!V50</f>
        <v>0</v>
      </c>
      <c r="W114" s="9">
        <f>'08_dL_manual'!W50-'10_dash_dL'!W50</f>
        <v>0</v>
      </c>
      <c r="X114" s="9">
        <f>'08_dL_manual'!X50-'10_dash_dL'!X50</f>
        <v>0</v>
      </c>
      <c r="Y114" s="9">
        <f>'08_dL_manual'!Y50-'10_dash_dL'!Y50</f>
        <v>0</v>
      </c>
      <c r="Z114" s="9">
        <f>'08_dL_manual'!Z50-'10_dash_dL'!Z50</f>
        <v>0</v>
      </c>
      <c r="AA114" s="9">
        <f>'08_dL_manual'!AA50-'10_dash_dL'!AA50</f>
        <v>0</v>
      </c>
      <c r="AB114" s="9">
        <f>'08_dL_manual'!AB50-'10_dash_dL'!AB50</f>
        <v>0</v>
      </c>
      <c r="AC114" s="9">
        <f>'08_dL_manual'!AC50-'10_dash_dL'!AC50</f>
        <v>0</v>
      </c>
      <c r="AD114" s="9">
        <f>'08_dL_manual'!AD50-'10_dash_dL'!AD50</f>
        <v>0</v>
      </c>
      <c r="AE114" s="9">
        <f>'08_dL_manual'!AE50-'10_dash_dL'!AE50</f>
        <v>0</v>
      </c>
      <c r="AF114" s="9">
        <f>'08_dL_manual'!AF50-'10_dash_dL'!AF50</f>
        <v>0</v>
      </c>
      <c r="AG114" s="9">
        <f>'08_dL_manual'!AG50-'10_dash_dL'!AG50</f>
        <v>0</v>
      </c>
      <c r="AH114" s="9">
        <f>'08_dL_manual'!AH50-'10_dash_dL'!AH50</f>
        <v>0</v>
      </c>
      <c r="AI114" s="9">
        <f>'08_dL_manual'!AI50-'10_dash_dL'!AI50</f>
        <v>0</v>
      </c>
    </row>
    <row r="115" spans="1:35" x14ac:dyDescent="0.2">
      <c r="A115" s="12" t="s">
        <v>1415</v>
      </c>
      <c r="B115" s="9">
        <f>'08_dL_manual'!B51-'10_dash_dL'!B51</f>
        <v>0</v>
      </c>
      <c r="C115" s="9">
        <f>'08_dL_manual'!C51-'10_dash_dL'!C51</f>
        <v>0</v>
      </c>
      <c r="D115" s="9">
        <f>'08_dL_manual'!D51-'10_dash_dL'!D51</f>
        <v>0</v>
      </c>
      <c r="E115" s="9">
        <f>'08_dL_manual'!E51-'10_dash_dL'!E51</f>
        <v>0</v>
      </c>
      <c r="F115" s="9">
        <f>'08_dL_manual'!F51-'10_dash_dL'!F51</f>
        <v>0</v>
      </c>
      <c r="G115" s="9">
        <f>'08_dL_manual'!G51-'10_dash_dL'!G51</f>
        <v>0</v>
      </c>
      <c r="H115" s="9">
        <f>'08_dL_manual'!H51-'10_dash_dL'!H51</f>
        <v>0</v>
      </c>
      <c r="I115" s="9">
        <f>'08_dL_manual'!I51-'10_dash_dL'!I51</f>
        <v>0</v>
      </c>
      <c r="J115" s="9">
        <f>'08_dL_manual'!J51-'10_dash_dL'!J51</f>
        <v>0</v>
      </c>
      <c r="K115" s="9">
        <f>'08_dL_manual'!K51-'10_dash_dL'!K51</f>
        <v>0</v>
      </c>
      <c r="L115" s="9">
        <f>'08_dL_manual'!L51-'10_dash_dL'!L51</f>
        <v>0</v>
      </c>
      <c r="M115" s="9">
        <f>'08_dL_manual'!M51-'10_dash_dL'!M51</f>
        <v>0</v>
      </c>
      <c r="N115" s="9">
        <f>'08_dL_manual'!N51-'10_dash_dL'!N51</f>
        <v>0</v>
      </c>
      <c r="O115" s="9">
        <f>'08_dL_manual'!O51-'10_dash_dL'!O51</f>
        <v>0</v>
      </c>
      <c r="P115" s="9">
        <f>'08_dL_manual'!P51-'10_dash_dL'!P51</f>
        <v>0</v>
      </c>
      <c r="Q115" s="9">
        <f>'08_dL_manual'!Q51-'10_dash_dL'!Q51</f>
        <v>0</v>
      </c>
      <c r="R115" s="9">
        <f>'08_dL_manual'!R51-'10_dash_dL'!R51</f>
        <v>0</v>
      </c>
      <c r="S115" s="9">
        <f>'08_dL_manual'!S51-'10_dash_dL'!S51</f>
        <v>0</v>
      </c>
      <c r="T115" s="9">
        <f>'08_dL_manual'!T51-'10_dash_dL'!T51</f>
        <v>0</v>
      </c>
      <c r="U115" s="9">
        <f>'08_dL_manual'!U51-'10_dash_dL'!U51</f>
        <v>0</v>
      </c>
      <c r="V115" s="9">
        <f>'08_dL_manual'!V51-'10_dash_dL'!V51</f>
        <v>0</v>
      </c>
      <c r="W115" s="9">
        <f>'08_dL_manual'!W51-'10_dash_dL'!W51</f>
        <v>0</v>
      </c>
      <c r="X115" s="9">
        <f>'08_dL_manual'!X51-'10_dash_dL'!X51</f>
        <v>0</v>
      </c>
      <c r="Y115" s="9">
        <f>'08_dL_manual'!Y51-'10_dash_dL'!Y51</f>
        <v>0</v>
      </c>
      <c r="Z115" s="9">
        <f>'08_dL_manual'!Z51-'10_dash_dL'!Z51</f>
        <v>0</v>
      </c>
      <c r="AA115" s="9">
        <f>'08_dL_manual'!AA51-'10_dash_dL'!AA51</f>
        <v>0</v>
      </c>
      <c r="AB115" s="9">
        <f>'08_dL_manual'!AB51-'10_dash_dL'!AB51</f>
        <v>0</v>
      </c>
      <c r="AC115" s="9">
        <f>'08_dL_manual'!AC51-'10_dash_dL'!AC51</f>
        <v>0</v>
      </c>
      <c r="AD115" s="9">
        <f>'08_dL_manual'!AD51-'10_dash_dL'!AD51</f>
        <v>0</v>
      </c>
      <c r="AE115" s="9">
        <f>'08_dL_manual'!AE51-'10_dash_dL'!AE51</f>
        <v>0</v>
      </c>
      <c r="AF115" s="9">
        <f>'08_dL_manual'!AF51-'10_dash_dL'!AF51</f>
        <v>0</v>
      </c>
      <c r="AG115" s="9">
        <f>'08_dL_manual'!AG51-'10_dash_dL'!AG51</f>
        <v>0</v>
      </c>
      <c r="AH115" s="9">
        <f>'08_dL_manual'!AH51-'10_dash_dL'!AH51</f>
        <v>0</v>
      </c>
      <c r="AI115" s="9">
        <f>'08_dL_manual'!AI51-'10_dash_dL'!AI51</f>
        <v>0</v>
      </c>
    </row>
    <row r="116" spans="1:35" x14ac:dyDescent="0.2">
      <c r="A116" s="12" t="s">
        <v>1416</v>
      </c>
      <c r="B116" s="9">
        <f>'08_dL_manual'!B52-'10_dash_dL'!B52</f>
        <v>-3.1974423109204508E-14</v>
      </c>
      <c r="C116" s="9">
        <f>'08_dL_manual'!C52-'10_dash_dL'!C52</f>
        <v>-2.8421709430404007E-13</v>
      </c>
      <c r="D116" s="9">
        <f>'08_dL_manual'!D52-'10_dash_dL'!D52</f>
        <v>-7.1054273576010019E-14</v>
      </c>
      <c r="E116" s="9">
        <f>'08_dL_manual'!E52-'10_dash_dL'!E52</f>
        <v>-8.5265128291212022E-14</v>
      </c>
      <c r="F116" s="9">
        <f>'08_dL_manual'!F52-'10_dash_dL'!F52</f>
        <v>-1.4210854715202004E-14</v>
      </c>
      <c r="G116" s="9">
        <f>'08_dL_manual'!G52-'10_dash_dL'!G52</f>
        <v>-7.1054273576010019E-14</v>
      </c>
      <c r="H116" s="9">
        <f>'08_dL_manual'!H52-'10_dash_dL'!H52</f>
        <v>0</v>
      </c>
      <c r="I116" s="9">
        <f>'08_dL_manual'!I52-'10_dash_dL'!I52</f>
        <v>0</v>
      </c>
      <c r="J116" s="9">
        <f>'08_dL_manual'!J52-'10_dash_dL'!J52</f>
        <v>-3.5527136788005009E-15</v>
      </c>
      <c r="K116" s="9">
        <f>'08_dL_manual'!K52-'10_dash_dL'!K52</f>
        <v>-2.4868995751603507E-14</v>
      </c>
      <c r="L116" s="9">
        <f>'08_dL_manual'!L52-'10_dash_dL'!L52</f>
        <v>0</v>
      </c>
      <c r="M116" s="9">
        <f>'08_dL_manual'!M52-'10_dash_dL'!M52</f>
        <v>-6.3664629124104977E-12</v>
      </c>
      <c r="N116" s="9">
        <f>'08_dL_manual'!N52-'10_dash_dL'!N52</f>
        <v>-1.3642420526593924E-12</v>
      </c>
      <c r="O116" s="9">
        <f>'08_dL_manual'!O52-'10_dash_dL'!O52</f>
        <v>-5.6843418860808015E-14</v>
      </c>
      <c r="P116" s="9">
        <f>'08_dL_manual'!P52-'10_dash_dL'!P52</f>
        <v>-2.2737367544323206E-12</v>
      </c>
      <c r="Q116" s="9">
        <f>'08_dL_manual'!Q52-'10_dash_dL'!Q52</f>
        <v>0</v>
      </c>
      <c r="R116" s="9">
        <f>'08_dL_manual'!R52-'10_dash_dL'!R52</f>
        <v>-6.7501559897209518E-14</v>
      </c>
      <c r="S116" s="9">
        <f>'08_dL_manual'!S52-'10_dash_dL'!S52</f>
        <v>-3.5527136788005009E-14</v>
      </c>
      <c r="T116" s="9">
        <f>'08_dL_manual'!T52-'10_dash_dL'!T52</f>
        <v>-2.4868995751603507E-14</v>
      </c>
      <c r="U116" s="9">
        <f>'08_dL_manual'!U52-'10_dash_dL'!U52</f>
        <v>-2.3092638912203256E-14</v>
      </c>
      <c r="V116" s="9">
        <f>'08_dL_manual'!V52-'10_dash_dL'!V52</f>
        <v>-1.5987211554602254E-14</v>
      </c>
      <c r="W116" s="9">
        <f>'08_dL_manual'!W52-'10_dash_dL'!W52</f>
        <v>-2.8421709430404007E-14</v>
      </c>
      <c r="X116" s="9">
        <f>'08_dL_manual'!X52-'10_dash_dL'!X52</f>
        <v>-9.2370555648813024E-14</v>
      </c>
      <c r="Y116" s="9">
        <f>'08_dL_manual'!Y52-'10_dash_dL'!Y52</f>
        <v>-9.9920072216264089E-16</v>
      </c>
      <c r="Z116" s="9">
        <f>'08_dL_manual'!Z52-'10_dash_dL'!Z52</f>
        <v>-9.7699626167013776E-15</v>
      </c>
      <c r="AA116" s="9">
        <f>'08_dL_manual'!AA52-'10_dash_dL'!AA52</f>
        <v>-1.4210854715202004E-14</v>
      </c>
      <c r="AB116" s="9">
        <f>'08_dL_manual'!AB52-'10_dash_dL'!AB52</f>
        <v>0</v>
      </c>
      <c r="AC116" s="9">
        <f>'08_dL_manual'!AC52-'10_dash_dL'!AC52</f>
        <v>-8.8817841970012523E-15</v>
      </c>
      <c r="AD116" s="9">
        <f>'08_dL_manual'!AD52-'10_dash_dL'!AD52</f>
        <v>-3.9968028886505635E-15</v>
      </c>
      <c r="AE116" s="9">
        <f>'08_dL_manual'!AE52-'10_dash_dL'!AE52</f>
        <v>-1.2212453270876722E-15</v>
      </c>
      <c r="AF116" s="9">
        <f>'08_dL_manual'!AF52-'10_dash_dL'!AF52</f>
        <v>-6.6613381477509392E-15</v>
      </c>
      <c r="AG116" s="9">
        <f>'08_dL_manual'!AG52-'10_dash_dL'!AG52</f>
        <v>-2.6645352591003757E-15</v>
      </c>
      <c r="AH116" s="9">
        <f>'08_dL_manual'!AH52-'10_dash_dL'!AH52</f>
        <v>-7.2164496600635175E-16</v>
      </c>
      <c r="AI116" s="9">
        <f>'08_dL_manual'!AI52-'10_dash_dL'!AI52</f>
        <v>-2.4424906541753444E-15</v>
      </c>
    </row>
    <row r="117" spans="1:35" x14ac:dyDescent="0.2">
      <c r="A117" s="12" t="s">
        <v>1417</v>
      </c>
      <c r="B117" s="9">
        <f>'08_dL_manual'!B53-'10_dash_dL'!B53</f>
        <v>0</v>
      </c>
      <c r="C117" s="9">
        <f>'08_dL_manual'!C53-'10_dash_dL'!C53</f>
        <v>0</v>
      </c>
      <c r="D117" s="9">
        <f>'08_dL_manual'!D53-'10_dash_dL'!D53</f>
        <v>0</v>
      </c>
      <c r="E117" s="9">
        <f>'08_dL_manual'!E53-'10_dash_dL'!E53</f>
        <v>0</v>
      </c>
      <c r="F117" s="9">
        <f>'08_dL_manual'!F53-'10_dash_dL'!F53</f>
        <v>0</v>
      </c>
      <c r="G117" s="9">
        <f>'08_dL_manual'!G53-'10_dash_dL'!G53</f>
        <v>0</v>
      </c>
      <c r="H117" s="9">
        <f>'08_dL_manual'!H53-'10_dash_dL'!H53</f>
        <v>0</v>
      </c>
      <c r="I117" s="9">
        <f>'08_dL_manual'!I53-'10_dash_dL'!I53</f>
        <v>0</v>
      </c>
      <c r="J117" s="9">
        <f>'08_dL_manual'!J53-'10_dash_dL'!J53</f>
        <v>0</v>
      </c>
      <c r="K117" s="9">
        <f>'08_dL_manual'!K53-'10_dash_dL'!K53</f>
        <v>0</v>
      </c>
      <c r="L117" s="9">
        <f>'08_dL_manual'!L53-'10_dash_dL'!L53</f>
        <v>0</v>
      </c>
      <c r="M117" s="9">
        <f>'08_dL_manual'!M53-'10_dash_dL'!M53</f>
        <v>0</v>
      </c>
      <c r="N117" s="9">
        <f>'08_dL_manual'!N53-'10_dash_dL'!N53</f>
        <v>0</v>
      </c>
      <c r="O117" s="9">
        <f>'08_dL_manual'!O53-'10_dash_dL'!O53</f>
        <v>0</v>
      </c>
      <c r="P117" s="9">
        <f>'08_dL_manual'!P53-'10_dash_dL'!P53</f>
        <v>0</v>
      </c>
      <c r="Q117" s="9">
        <f>'08_dL_manual'!Q53-'10_dash_dL'!Q53</f>
        <v>0</v>
      </c>
      <c r="R117" s="9">
        <f>'08_dL_manual'!R53-'10_dash_dL'!R53</f>
        <v>0</v>
      </c>
      <c r="S117" s="9">
        <f>'08_dL_manual'!S53-'10_dash_dL'!S53</f>
        <v>0</v>
      </c>
      <c r="T117" s="9">
        <f>'08_dL_manual'!T53-'10_dash_dL'!T53</f>
        <v>0</v>
      </c>
      <c r="U117" s="9">
        <f>'08_dL_manual'!U53-'10_dash_dL'!U53</f>
        <v>0</v>
      </c>
      <c r="V117" s="9">
        <f>'08_dL_manual'!V53-'10_dash_dL'!V53</f>
        <v>0</v>
      </c>
      <c r="W117" s="9">
        <f>'08_dL_manual'!W53-'10_dash_dL'!W53</f>
        <v>0</v>
      </c>
      <c r="X117" s="9">
        <f>'08_dL_manual'!X53-'10_dash_dL'!X53</f>
        <v>0</v>
      </c>
      <c r="Y117" s="9">
        <f>'08_dL_manual'!Y53-'10_dash_dL'!Y53</f>
        <v>0</v>
      </c>
      <c r="Z117" s="9">
        <f>'08_dL_manual'!Z53-'10_dash_dL'!Z53</f>
        <v>0</v>
      </c>
      <c r="AA117" s="9">
        <f>'08_dL_manual'!AA53-'10_dash_dL'!AA53</f>
        <v>0</v>
      </c>
      <c r="AB117" s="9">
        <f>'08_dL_manual'!AB53-'10_dash_dL'!AB53</f>
        <v>0</v>
      </c>
      <c r="AC117" s="9">
        <f>'08_dL_manual'!AC53-'10_dash_dL'!AC53</f>
        <v>0</v>
      </c>
      <c r="AD117" s="9">
        <f>'08_dL_manual'!AD53-'10_dash_dL'!AD53</f>
        <v>0</v>
      </c>
      <c r="AE117" s="9">
        <f>'08_dL_manual'!AE53-'10_dash_dL'!AE53</f>
        <v>0</v>
      </c>
      <c r="AF117" s="9">
        <f>'08_dL_manual'!AF53-'10_dash_dL'!AF53</f>
        <v>0</v>
      </c>
      <c r="AG117" s="9">
        <f>'08_dL_manual'!AG53-'10_dash_dL'!AG53</f>
        <v>0</v>
      </c>
      <c r="AH117" s="9">
        <f>'08_dL_manual'!AH53-'10_dash_dL'!AH53</f>
        <v>0</v>
      </c>
      <c r="AI117" s="9">
        <f>'08_dL_manual'!AI53-'10_dash_dL'!AI53</f>
        <v>0</v>
      </c>
    </row>
    <row r="118" spans="1:35" x14ac:dyDescent="0.2">
      <c r="A118" s="12" t="s">
        <v>1418</v>
      </c>
      <c r="B118" s="9">
        <f>'08_dL_manual'!B54-'10_dash_dL'!B54</f>
        <v>0</v>
      </c>
      <c r="C118" s="9">
        <f>'08_dL_manual'!C54-'10_dash_dL'!C54</f>
        <v>0</v>
      </c>
      <c r="D118" s="9">
        <f>'08_dL_manual'!D54-'10_dash_dL'!D54</f>
        <v>0</v>
      </c>
      <c r="E118" s="9">
        <f>'08_dL_manual'!E54-'10_dash_dL'!E54</f>
        <v>0</v>
      </c>
      <c r="F118" s="9">
        <f>'08_dL_manual'!F54-'10_dash_dL'!F54</f>
        <v>0</v>
      </c>
      <c r="G118" s="9">
        <f>'08_dL_manual'!G54-'10_dash_dL'!G54</f>
        <v>0</v>
      </c>
      <c r="H118" s="9">
        <f>'08_dL_manual'!H54-'10_dash_dL'!H54</f>
        <v>0</v>
      </c>
      <c r="I118" s="9">
        <f>'08_dL_manual'!I54-'10_dash_dL'!I54</f>
        <v>0</v>
      </c>
      <c r="J118" s="9">
        <f>'08_dL_manual'!J54-'10_dash_dL'!J54</f>
        <v>0</v>
      </c>
      <c r="K118" s="9">
        <f>'08_dL_manual'!K54-'10_dash_dL'!K54</f>
        <v>0</v>
      </c>
      <c r="L118" s="9">
        <f>'08_dL_manual'!L54-'10_dash_dL'!L54</f>
        <v>0</v>
      </c>
      <c r="M118" s="9">
        <f>'08_dL_manual'!M54-'10_dash_dL'!M54</f>
        <v>0</v>
      </c>
      <c r="N118" s="9">
        <f>'08_dL_manual'!N54-'10_dash_dL'!N54</f>
        <v>0</v>
      </c>
      <c r="O118" s="9">
        <f>'08_dL_manual'!O54-'10_dash_dL'!O54</f>
        <v>0</v>
      </c>
      <c r="P118" s="9">
        <f>'08_dL_manual'!P54-'10_dash_dL'!P54</f>
        <v>0</v>
      </c>
      <c r="Q118" s="9">
        <f>'08_dL_manual'!Q54-'10_dash_dL'!Q54</f>
        <v>0</v>
      </c>
      <c r="R118" s="9">
        <f>'08_dL_manual'!R54-'10_dash_dL'!R54</f>
        <v>0</v>
      </c>
      <c r="S118" s="9">
        <f>'08_dL_manual'!S54-'10_dash_dL'!S54</f>
        <v>0</v>
      </c>
      <c r="T118" s="9">
        <f>'08_dL_manual'!T54-'10_dash_dL'!T54</f>
        <v>0</v>
      </c>
      <c r="U118" s="9">
        <f>'08_dL_manual'!U54-'10_dash_dL'!U54</f>
        <v>0</v>
      </c>
      <c r="V118" s="9">
        <f>'08_dL_manual'!V54-'10_dash_dL'!V54</f>
        <v>0</v>
      </c>
      <c r="W118" s="9">
        <f>'08_dL_manual'!W54-'10_dash_dL'!W54</f>
        <v>0</v>
      </c>
      <c r="X118" s="9">
        <f>'08_dL_manual'!X54-'10_dash_dL'!X54</f>
        <v>0</v>
      </c>
      <c r="Y118" s="9">
        <f>'08_dL_manual'!Y54-'10_dash_dL'!Y54</f>
        <v>0</v>
      </c>
      <c r="Z118" s="9">
        <f>'08_dL_manual'!Z54-'10_dash_dL'!Z54</f>
        <v>0</v>
      </c>
      <c r="AA118" s="9">
        <f>'08_dL_manual'!AA54-'10_dash_dL'!AA54</f>
        <v>0</v>
      </c>
      <c r="AB118" s="9">
        <f>'08_dL_manual'!AB54-'10_dash_dL'!AB54</f>
        <v>0</v>
      </c>
      <c r="AC118" s="9">
        <f>'08_dL_manual'!AC54-'10_dash_dL'!AC54</f>
        <v>0</v>
      </c>
      <c r="AD118" s="9">
        <f>'08_dL_manual'!AD54-'10_dash_dL'!AD54</f>
        <v>0</v>
      </c>
      <c r="AE118" s="9">
        <f>'08_dL_manual'!AE54-'10_dash_dL'!AE54</f>
        <v>0</v>
      </c>
      <c r="AF118" s="9">
        <f>'08_dL_manual'!AF54-'10_dash_dL'!AF54</f>
        <v>0</v>
      </c>
      <c r="AG118" s="9">
        <f>'08_dL_manual'!AG54-'10_dash_dL'!AG54</f>
        <v>0</v>
      </c>
      <c r="AH118" s="9">
        <f>'08_dL_manual'!AH54-'10_dash_dL'!AH54</f>
        <v>0</v>
      </c>
      <c r="AI118" s="9">
        <f>'08_dL_manual'!AI54-'10_dash_dL'!AI54</f>
        <v>0</v>
      </c>
    </row>
    <row r="119" spans="1:35" x14ac:dyDescent="0.2">
      <c r="A119" s="12" t="s">
        <v>1419</v>
      </c>
      <c r="B119" s="9">
        <f>'08_dL_manual'!B55-'10_dash_dL'!B55</f>
        <v>0</v>
      </c>
      <c r="C119" s="9">
        <f>'08_dL_manual'!C55-'10_dash_dL'!C55</f>
        <v>0</v>
      </c>
      <c r="D119" s="9">
        <f>'08_dL_manual'!D55-'10_dash_dL'!D55</f>
        <v>0</v>
      </c>
      <c r="E119" s="9">
        <f>'08_dL_manual'!E55-'10_dash_dL'!E55</f>
        <v>0</v>
      </c>
      <c r="F119" s="9">
        <f>'08_dL_manual'!F55-'10_dash_dL'!F55</f>
        <v>0</v>
      </c>
      <c r="G119" s="9">
        <f>'08_dL_manual'!G55-'10_dash_dL'!G55</f>
        <v>0</v>
      </c>
      <c r="H119" s="9">
        <f>'08_dL_manual'!H55-'10_dash_dL'!H55</f>
        <v>0</v>
      </c>
      <c r="I119" s="9">
        <f>'08_dL_manual'!I55-'10_dash_dL'!I55</f>
        <v>0</v>
      </c>
      <c r="J119" s="9">
        <f>'08_dL_manual'!J55-'10_dash_dL'!J55</f>
        <v>0</v>
      </c>
      <c r="K119" s="9">
        <f>'08_dL_manual'!K55-'10_dash_dL'!K55</f>
        <v>0</v>
      </c>
      <c r="L119" s="9">
        <f>'08_dL_manual'!L55-'10_dash_dL'!L55</f>
        <v>0</v>
      </c>
      <c r="M119" s="9">
        <f>'08_dL_manual'!M55-'10_dash_dL'!M55</f>
        <v>0</v>
      </c>
      <c r="N119" s="9">
        <f>'08_dL_manual'!N55-'10_dash_dL'!N55</f>
        <v>0</v>
      </c>
      <c r="O119" s="9">
        <f>'08_dL_manual'!O55-'10_dash_dL'!O55</f>
        <v>0</v>
      </c>
      <c r="P119" s="9">
        <f>'08_dL_manual'!P55-'10_dash_dL'!P55</f>
        <v>0</v>
      </c>
      <c r="Q119" s="9">
        <f>'08_dL_manual'!Q55-'10_dash_dL'!Q55</f>
        <v>0</v>
      </c>
      <c r="R119" s="9">
        <f>'08_dL_manual'!R55-'10_dash_dL'!R55</f>
        <v>0</v>
      </c>
      <c r="S119" s="9">
        <f>'08_dL_manual'!S55-'10_dash_dL'!S55</f>
        <v>0</v>
      </c>
      <c r="T119" s="9">
        <f>'08_dL_manual'!T55-'10_dash_dL'!T55</f>
        <v>0</v>
      </c>
      <c r="U119" s="9">
        <f>'08_dL_manual'!U55-'10_dash_dL'!U55</f>
        <v>0</v>
      </c>
      <c r="V119" s="9">
        <f>'08_dL_manual'!V55-'10_dash_dL'!V55</f>
        <v>0</v>
      </c>
      <c r="W119" s="9">
        <f>'08_dL_manual'!W55-'10_dash_dL'!W55</f>
        <v>0</v>
      </c>
      <c r="X119" s="9">
        <f>'08_dL_manual'!X55-'10_dash_dL'!X55</f>
        <v>0</v>
      </c>
      <c r="Y119" s="9">
        <f>'08_dL_manual'!Y55-'10_dash_dL'!Y55</f>
        <v>0</v>
      </c>
      <c r="Z119" s="9">
        <f>'08_dL_manual'!Z55-'10_dash_dL'!Z55</f>
        <v>0</v>
      </c>
      <c r="AA119" s="9">
        <f>'08_dL_manual'!AA55-'10_dash_dL'!AA55</f>
        <v>0</v>
      </c>
      <c r="AB119" s="9">
        <f>'08_dL_manual'!AB55-'10_dash_dL'!AB55</f>
        <v>0</v>
      </c>
      <c r="AC119" s="9">
        <f>'08_dL_manual'!AC55-'10_dash_dL'!AC55</f>
        <v>0</v>
      </c>
      <c r="AD119" s="9">
        <f>'08_dL_manual'!AD55-'10_dash_dL'!AD55</f>
        <v>0</v>
      </c>
      <c r="AE119" s="9">
        <f>'08_dL_manual'!AE55-'10_dash_dL'!AE55</f>
        <v>0</v>
      </c>
      <c r="AF119" s="9">
        <f>'08_dL_manual'!AF55-'10_dash_dL'!AF55</f>
        <v>0</v>
      </c>
      <c r="AG119" s="9">
        <f>'08_dL_manual'!AG55-'10_dash_dL'!AG55</f>
        <v>0</v>
      </c>
      <c r="AH119" s="9">
        <f>'08_dL_manual'!AH55-'10_dash_dL'!AH55</f>
        <v>0</v>
      </c>
      <c r="AI119" s="9">
        <f>'08_dL_manual'!AI55-'10_dash_dL'!AI55</f>
        <v>0</v>
      </c>
    </row>
    <row r="120" spans="1:35" x14ac:dyDescent="0.2">
      <c r="A120" s="12" t="s">
        <v>1420</v>
      </c>
      <c r="B120" s="9">
        <f>'08_dL_manual'!B56-'10_dash_dL'!B56</f>
        <v>0</v>
      </c>
      <c r="C120" s="9">
        <f>'08_dL_manual'!C56-'10_dash_dL'!C56</f>
        <v>0</v>
      </c>
      <c r="D120" s="9">
        <f>'08_dL_manual'!D56-'10_dash_dL'!D56</f>
        <v>0</v>
      </c>
      <c r="E120" s="9">
        <f>'08_dL_manual'!E56-'10_dash_dL'!E56</f>
        <v>0</v>
      </c>
      <c r="F120" s="9">
        <f>'08_dL_manual'!F56-'10_dash_dL'!F56</f>
        <v>0</v>
      </c>
      <c r="G120" s="9">
        <f>'08_dL_manual'!G56-'10_dash_dL'!G56</f>
        <v>0</v>
      </c>
      <c r="H120" s="9">
        <f>'08_dL_manual'!H56-'10_dash_dL'!H56</f>
        <v>0</v>
      </c>
      <c r="I120" s="9">
        <f>'08_dL_manual'!I56-'10_dash_dL'!I56</f>
        <v>0</v>
      </c>
      <c r="J120" s="9">
        <f>'08_dL_manual'!J56-'10_dash_dL'!J56</f>
        <v>0</v>
      </c>
      <c r="K120" s="9">
        <f>'08_dL_manual'!K56-'10_dash_dL'!K56</f>
        <v>0</v>
      </c>
      <c r="L120" s="9">
        <f>'08_dL_manual'!L56-'10_dash_dL'!L56</f>
        <v>0</v>
      </c>
      <c r="M120" s="9">
        <f>'08_dL_manual'!M56-'10_dash_dL'!M56</f>
        <v>0</v>
      </c>
      <c r="N120" s="9">
        <f>'08_dL_manual'!N56-'10_dash_dL'!N56</f>
        <v>0</v>
      </c>
      <c r="O120" s="9">
        <f>'08_dL_manual'!O56-'10_dash_dL'!O56</f>
        <v>0</v>
      </c>
      <c r="P120" s="9">
        <f>'08_dL_manual'!P56-'10_dash_dL'!P56</f>
        <v>0</v>
      </c>
      <c r="Q120" s="9">
        <f>'08_dL_manual'!Q56-'10_dash_dL'!Q56</f>
        <v>0</v>
      </c>
      <c r="R120" s="9">
        <f>'08_dL_manual'!R56-'10_dash_dL'!R56</f>
        <v>0</v>
      </c>
      <c r="S120" s="9">
        <f>'08_dL_manual'!S56-'10_dash_dL'!S56</f>
        <v>0</v>
      </c>
      <c r="T120" s="9">
        <f>'08_dL_manual'!T56-'10_dash_dL'!T56</f>
        <v>0</v>
      </c>
      <c r="U120" s="9">
        <f>'08_dL_manual'!U56-'10_dash_dL'!U56</f>
        <v>0</v>
      </c>
      <c r="V120" s="9">
        <f>'08_dL_manual'!V56-'10_dash_dL'!V56</f>
        <v>0</v>
      </c>
      <c r="W120" s="9">
        <f>'08_dL_manual'!W56-'10_dash_dL'!W56</f>
        <v>0</v>
      </c>
      <c r="X120" s="9">
        <f>'08_dL_manual'!X56-'10_dash_dL'!X56</f>
        <v>0</v>
      </c>
      <c r="Y120" s="9">
        <f>'08_dL_manual'!Y56-'10_dash_dL'!Y56</f>
        <v>0</v>
      </c>
      <c r="Z120" s="9">
        <f>'08_dL_manual'!Z56-'10_dash_dL'!Z56</f>
        <v>0</v>
      </c>
      <c r="AA120" s="9">
        <f>'08_dL_manual'!AA56-'10_dash_dL'!AA56</f>
        <v>0</v>
      </c>
      <c r="AB120" s="9">
        <f>'08_dL_manual'!AB56-'10_dash_dL'!AB56</f>
        <v>0</v>
      </c>
      <c r="AC120" s="9">
        <f>'08_dL_manual'!AC56-'10_dash_dL'!AC56</f>
        <v>0</v>
      </c>
      <c r="AD120" s="9">
        <f>'08_dL_manual'!AD56-'10_dash_dL'!AD56</f>
        <v>0</v>
      </c>
      <c r="AE120" s="9">
        <f>'08_dL_manual'!AE56-'10_dash_dL'!AE56</f>
        <v>0</v>
      </c>
      <c r="AF120" s="9">
        <f>'08_dL_manual'!AF56-'10_dash_dL'!AF56</f>
        <v>0</v>
      </c>
      <c r="AG120" s="9">
        <f>'08_dL_manual'!AG56-'10_dash_dL'!AG56</f>
        <v>0</v>
      </c>
      <c r="AH120" s="9">
        <f>'08_dL_manual'!AH56-'10_dash_dL'!AH56</f>
        <v>0</v>
      </c>
      <c r="AI120" s="9">
        <f>'08_dL_manual'!AI56-'10_dash_dL'!AI56</f>
        <v>0</v>
      </c>
    </row>
  </sheetData>
  <conditionalFormatting sqref="B13:AI64">
    <cfRule type="colorScale" priority="1">
      <colorScale>
        <cfvo type="num" val="-1.0000000000000001E-9"/>
        <cfvo type="num" val="0"/>
        <cfvo type="num" val="1.0000000000000001E-9"/>
        <color rgb="FFFFC7CE"/>
        <color rgb="FFC6EFCE"/>
        <color rgb="FFFFC7CE"/>
      </colorScale>
    </cfRule>
  </conditionalFormatting>
  <conditionalFormatting sqref="B69:AI120">
    <cfRule type="colorScale" priority="2">
      <colorScale>
        <cfvo type="num" val="-1.0000000000000001E-9"/>
        <cfvo type="num" val="0"/>
        <cfvo type="num" val="1.0000000000000001E-9"/>
        <color rgb="FFFFC7CE"/>
        <color rgb="FFC6EFCE"/>
        <color rgb="FF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00_README</vt:lpstr>
      <vt:lpstr>01_shock_T1</vt:lpstr>
      <vt:lpstr>02_shock_T2</vt:lpstr>
      <vt:lpstr>03_shock_T3</vt:lpstr>
      <vt:lpstr>04_L0</vt:lpstr>
      <vt:lpstr>05_shares</vt:lpstr>
      <vt:lpstr>06_intensity</vt:lpstr>
      <vt:lpstr>07_E_manual</vt:lpstr>
      <vt:lpstr>08_dL_manual</vt:lpstr>
      <vt:lpstr>09_dash_E</vt:lpstr>
      <vt:lpstr>10_dash_dL</vt:lpstr>
      <vt:lpstr>11_selisih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Muthia</cp:lastModifiedBy>
  <dcterms:created xsi:type="dcterms:W3CDTF">2026-08-19T09:29:41Z</dcterms:created>
  <dcterms:modified xsi:type="dcterms:W3CDTF">2026-08-24T02:27:18Z</dcterms:modified>
</cp:coreProperties>
</file>